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gla-my.sharepoint.com/personal/william_morrison_glasgow_ac_uk/Documents/Staff/Skills/"/>
    </mc:Choice>
  </mc:AlternateContent>
  <xr:revisionPtr revIDLastSave="0" documentId="8_{C75E8C8D-0FE3-4D43-A972-B085335719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ff" sheetId="32" r:id="rId1"/>
    <sheet name="SFIA Level" sheetId="34" r:id="rId2"/>
    <sheet name="Baseline" sheetId="13" r:id="rId3"/>
    <sheet name="Master" sheetId="41" r:id="rId4"/>
    <sheet name="Competence Heatmap" sheetId="11" r:id="rId5"/>
    <sheet name="Skills Gap" sheetId="12" r:id="rId6"/>
    <sheet name="Skills Gap Heatmap" sheetId="7" r:id="rId7"/>
    <sheet name="Skills Gap Heatmap (largest)" sheetId="14" r:id="rId8"/>
    <sheet name="Competence Analysis" sheetId="27" r:id="rId9"/>
    <sheet name="Competence Gap Analysis" sheetId="22" r:id="rId10"/>
    <sheet name="Competence By Area" sheetId="38" r:id="rId11"/>
    <sheet name="High Skill Analysis" sheetId="24" r:id="rId12"/>
    <sheet name="Anon" sheetId="40" r:id="rId13"/>
  </sheets>
  <externalReferences>
    <externalReference r:id="rId14"/>
  </externalReferences>
  <definedNames>
    <definedName name="_xlnm._FilterDatabase" localSheetId="2" hidden="1">Baseline!$A$3:$BC$114</definedName>
    <definedName name="_xlnm._FilterDatabase" localSheetId="4" hidden="1">'Competence Heatmap'!$B$1:$CS$1</definedName>
    <definedName name="_xlnm._FilterDatabase" localSheetId="3" hidden="1">Master!$A$1:$J$2993</definedName>
    <definedName name="_xlnm._FilterDatabase" localSheetId="5" hidden="1">'Skills Gap'!$A$1:$H$97</definedName>
    <definedName name="_xlnm._FilterDatabase" localSheetId="6" hidden="1">'Skills Gap Heatmap'!$A$3:$BE$37</definedName>
    <definedName name="_xlnm._FilterDatabase" localSheetId="7" hidden="1">'Skills Gap Heatmap (largest)'!$A$4:$BE$30</definedName>
  </definedNames>
  <calcPr calcId="191028"/>
  <pivotCaches>
    <pivotCache cacheId="273" r:id="rId15"/>
    <pivotCache cacheId="274" r:id="rId16"/>
    <pivotCache cacheId="275" r:id="rId17"/>
    <pivotCache cacheId="27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1" l="1"/>
  <c r="A5" i="11"/>
  <c r="A6" i="11"/>
  <c r="A8" i="11"/>
  <c r="A9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C2993" i="41"/>
  <c r="C2992" i="41"/>
  <c r="D2992" i="41" s="1" a="1"/>
  <c r="D2992" i="41" s="1"/>
  <c r="C2991" i="41"/>
  <c r="H2990" i="41"/>
  <c r="C2990" i="41"/>
  <c r="D2990" i="41" s="1" a="1"/>
  <c r="D2990" i="41" s="1"/>
  <c r="H2989" i="41"/>
  <c r="C2989" i="41"/>
  <c r="D2989" i="41" s="1" a="1"/>
  <c r="D2989" i="41" s="1"/>
  <c r="H2988" i="41"/>
  <c r="D2988" i="41" a="1"/>
  <c r="D2988" i="41" s="1"/>
  <c r="C2988" i="41"/>
  <c r="H2987" i="41"/>
  <c r="C2987" i="41"/>
  <c r="D2987" i="41" s="1" a="1"/>
  <c r="D2987" i="41" s="1"/>
  <c r="H2986" i="41"/>
  <c r="C2986" i="41"/>
  <c r="D2986" i="41" s="1" a="1"/>
  <c r="D2986" i="41" s="1"/>
  <c r="C2985" i="41"/>
  <c r="H2985" i="41" s="1"/>
  <c r="C2984" i="41"/>
  <c r="C2983" i="41"/>
  <c r="C2982" i="41"/>
  <c r="D2982" i="41" s="1" a="1"/>
  <c r="D2982" i="41" s="1"/>
  <c r="H2981" i="41"/>
  <c r="C2981" i="41"/>
  <c r="D2981" i="41" s="1" a="1"/>
  <c r="D2981" i="41" s="1"/>
  <c r="H2980" i="41"/>
  <c r="C2980" i="41"/>
  <c r="D2980" i="41" s="1" a="1"/>
  <c r="D2980" i="41" s="1"/>
  <c r="H2979" i="41"/>
  <c r="C2979" i="41"/>
  <c r="D2979" i="41" s="1" a="1"/>
  <c r="D2979" i="41" s="1"/>
  <c r="H2978" i="41"/>
  <c r="C2978" i="41"/>
  <c r="D2978" i="41" s="1" a="1"/>
  <c r="D2978" i="41" s="1"/>
  <c r="C2977" i="41"/>
  <c r="H2977" i="41" s="1"/>
  <c r="C2976" i="41"/>
  <c r="C2975" i="41"/>
  <c r="C2974" i="41"/>
  <c r="D2974" i="41" s="1" a="1"/>
  <c r="D2974" i="41" s="1"/>
  <c r="H2973" i="41"/>
  <c r="C2973" i="41"/>
  <c r="D2973" i="41" s="1" a="1"/>
  <c r="D2973" i="41" s="1"/>
  <c r="H2972" i="41"/>
  <c r="C2972" i="41"/>
  <c r="D2972" i="41" s="1" a="1"/>
  <c r="D2972" i="41" s="1"/>
  <c r="H2971" i="41"/>
  <c r="C2971" i="41"/>
  <c r="D2971" i="41" s="1" a="1"/>
  <c r="D2971" i="41" s="1"/>
  <c r="H2970" i="41"/>
  <c r="C2970" i="41"/>
  <c r="D2970" i="41" s="1" a="1"/>
  <c r="D2970" i="41" s="1"/>
  <c r="C2969" i="41"/>
  <c r="H2969" i="41" s="1"/>
  <c r="C2968" i="41"/>
  <c r="C2967" i="41"/>
  <c r="C2966" i="41"/>
  <c r="D2966" i="41" s="1" a="1"/>
  <c r="D2966" i="41" s="1"/>
  <c r="H2965" i="41"/>
  <c r="C2965" i="41"/>
  <c r="D2965" i="41" s="1" a="1"/>
  <c r="D2965" i="41" s="1"/>
  <c r="H2964" i="41"/>
  <c r="C2964" i="41"/>
  <c r="D2964" i="41" s="1" a="1"/>
  <c r="D2964" i="41" s="1"/>
  <c r="H2963" i="41"/>
  <c r="C2963" i="41"/>
  <c r="D2963" i="41" s="1" a="1"/>
  <c r="D2963" i="41" s="1"/>
  <c r="H2962" i="41"/>
  <c r="C2962" i="41"/>
  <c r="D2962" i="41" s="1" a="1"/>
  <c r="D2962" i="41" s="1"/>
  <c r="C2961" i="41"/>
  <c r="C2960" i="41"/>
  <c r="C2959" i="41"/>
  <c r="C2958" i="41"/>
  <c r="D2958" i="41" s="1" a="1"/>
  <c r="D2958" i="41" s="1"/>
  <c r="H2957" i="41"/>
  <c r="C2957" i="41"/>
  <c r="D2957" i="41" s="1" a="1"/>
  <c r="D2957" i="41" s="1"/>
  <c r="H2956" i="41"/>
  <c r="C2956" i="41"/>
  <c r="D2956" i="41" s="1" a="1"/>
  <c r="D2956" i="41" s="1"/>
  <c r="H2955" i="41"/>
  <c r="C2955" i="41"/>
  <c r="D2955" i="41" s="1" a="1"/>
  <c r="D2955" i="41" s="1"/>
  <c r="H2954" i="41"/>
  <c r="C2954" i="41"/>
  <c r="D2954" i="41" s="1" a="1"/>
  <c r="D2954" i="41" s="1"/>
  <c r="C2953" i="41"/>
  <c r="C2952" i="41"/>
  <c r="C2951" i="41"/>
  <c r="C2950" i="41"/>
  <c r="D2950" i="41" s="1" a="1"/>
  <c r="D2950" i="41" s="1"/>
  <c r="H2949" i="41"/>
  <c r="C2949" i="41"/>
  <c r="D2949" i="41" s="1" a="1"/>
  <c r="D2949" i="41" s="1"/>
  <c r="H2948" i="41"/>
  <c r="C2948" i="41"/>
  <c r="D2948" i="41" s="1" a="1"/>
  <c r="D2948" i="41" s="1"/>
  <c r="H2947" i="41"/>
  <c r="C2947" i="41"/>
  <c r="D2947" i="41" s="1" a="1"/>
  <c r="D2947" i="41" s="1"/>
  <c r="H2946" i="41"/>
  <c r="C2946" i="41"/>
  <c r="D2946" i="41" s="1" a="1"/>
  <c r="D2946" i="41" s="1"/>
  <c r="C2945" i="41"/>
  <c r="C2944" i="41"/>
  <c r="C2943" i="41"/>
  <c r="C2942" i="41"/>
  <c r="D2942" i="41" s="1" a="1"/>
  <c r="D2942" i="41" s="1"/>
  <c r="H2941" i="41"/>
  <c r="C2941" i="41"/>
  <c r="D2941" i="41" s="1" a="1"/>
  <c r="D2941" i="41" s="1"/>
  <c r="H2940" i="41"/>
  <c r="C2940" i="41"/>
  <c r="D2940" i="41" s="1" a="1"/>
  <c r="D2940" i="41" s="1"/>
  <c r="H2939" i="41"/>
  <c r="C2939" i="41"/>
  <c r="D2939" i="41" s="1" a="1"/>
  <c r="D2939" i="41" s="1"/>
  <c r="H2938" i="41"/>
  <c r="C2938" i="41"/>
  <c r="D2938" i="41" s="1" a="1"/>
  <c r="D2938" i="41" s="1"/>
  <c r="C2937" i="41"/>
  <c r="C2936" i="41"/>
  <c r="C2935" i="41"/>
  <c r="C2934" i="41"/>
  <c r="D2934" i="41" s="1" a="1"/>
  <c r="D2934" i="41" s="1"/>
  <c r="H2933" i="41"/>
  <c r="C2933" i="41"/>
  <c r="D2933" i="41" s="1" a="1"/>
  <c r="D2933" i="41" s="1"/>
  <c r="H2932" i="41"/>
  <c r="C2932" i="41"/>
  <c r="D2932" i="41" s="1" a="1"/>
  <c r="D2932" i="41" s="1"/>
  <c r="H2931" i="41"/>
  <c r="C2931" i="41"/>
  <c r="D2931" i="41" s="1" a="1"/>
  <c r="D2931" i="41" s="1"/>
  <c r="H2930" i="41"/>
  <c r="C2930" i="41"/>
  <c r="D2930" i="41" s="1" a="1"/>
  <c r="D2930" i="41" s="1"/>
  <c r="C2929" i="41"/>
  <c r="C2928" i="41"/>
  <c r="C2927" i="41"/>
  <c r="C2926" i="41"/>
  <c r="D2926" i="41" s="1" a="1"/>
  <c r="D2926" i="41" s="1"/>
  <c r="H2925" i="41"/>
  <c r="C2925" i="41"/>
  <c r="D2925" i="41" s="1" a="1"/>
  <c r="D2925" i="41" s="1"/>
  <c r="H2924" i="41"/>
  <c r="C2924" i="41"/>
  <c r="D2924" i="41" s="1" a="1"/>
  <c r="D2924" i="41" s="1"/>
  <c r="H2923" i="41"/>
  <c r="C2923" i="41"/>
  <c r="D2923" i="41" s="1" a="1"/>
  <c r="D2923" i="41" s="1"/>
  <c r="H2922" i="41"/>
  <c r="C2922" i="41"/>
  <c r="D2922" i="41" s="1" a="1"/>
  <c r="D2922" i="41" s="1"/>
  <c r="C2921" i="41"/>
  <c r="C2920" i="41"/>
  <c r="C2919" i="41"/>
  <c r="C2918" i="41"/>
  <c r="D2918" i="41" s="1" a="1"/>
  <c r="D2918" i="41" s="1"/>
  <c r="H2917" i="41"/>
  <c r="C2917" i="41"/>
  <c r="D2917" i="41" s="1" a="1"/>
  <c r="D2917" i="41" s="1"/>
  <c r="H2916" i="41"/>
  <c r="C2916" i="41"/>
  <c r="D2916" i="41" s="1" a="1"/>
  <c r="D2916" i="41" s="1"/>
  <c r="H2915" i="41"/>
  <c r="C2915" i="41"/>
  <c r="D2915" i="41" s="1" a="1"/>
  <c r="D2915" i="41" s="1"/>
  <c r="H2914" i="41"/>
  <c r="C2914" i="41"/>
  <c r="D2914" i="41" s="1" a="1"/>
  <c r="D2914" i="41" s="1"/>
  <c r="C2913" i="41"/>
  <c r="C2912" i="41"/>
  <c r="C2911" i="41"/>
  <c r="C2910" i="41"/>
  <c r="D2910" i="41" s="1" a="1"/>
  <c r="D2910" i="41" s="1"/>
  <c r="H2909" i="41"/>
  <c r="C2909" i="41"/>
  <c r="D2909" i="41" s="1" a="1"/>
  <c r="D2909" i="41" s="1"/>
  <c r="H2908" i="41"/>
  <c r="C2908" i="41"/>
  <c r="D2908" i="41" s="1" a="1"/>
  <c r="D2908" i="41" s="1"/>
  <c r="H2907" i="41"/>
  <c r="D2907" i="41" a="1"/>
  <c r="D2907" i="41" s="1"/>
  <c r="C2907" i="41"/>
  <c r="H2906" i="41"/>
  <c r="D2906" i="41" a="1"/>
  <c r="D2906" i="41" s="1"/>
  <c r="C2906" i="41"/>
  <c r="C2905" i="41"/>
  <c r="C2904" i="41"/>
  <c r="C2903" i="41"/>
  <c r="D2902" i="41"/>
  <c r="C2902" i="41"/>
  <c r="D2902" i="41" s="1" a="1"/>
  <c r="H2901" i="41"/>
  <c r="D2901" i="41" a="1"/>
  <c r="D2901" i="41" s="1"/>
  <c r="C2901" i="41"/>
  <c r="H2900" i="41"/>
  <c r="C2900" i="41"/>
  <c r="D2900" i="41" s="1" a="1"/>
  <c r="D2900" i="41" s="1"/>
  <c r="H2899" i="41"/>
  <c r="C2899" i="41"/>
  <c r="D2899" i="41" s="1" a="1"/>
  <c r="D2899" i="41" s="1"/>
  <c r="H2898" i="41"/>
  <c r="C2898" i="41"/>
  <c r="D2898" i="41" s="1" a="1"/>
  <c r="D2898" i="41" s="1"/>
  <c r="C2897" i="41"/>
  <c r="C2896" i="41"/>
  <c r="C2895" i="41"/>
  <c r="C2894" i="41"/>
  <c r="D2894" i="41" s="1" a="1"/>
  <c r="D2894" i="41" s="1"/>
  <c r="H2893" i="41"/>
  <c r="C2893" i="41"/>
  <c r="D2893" i="41" s="1" a="1"/>
  <c r="D2893" i="41" s="1"/>
  <c r="H2892" i="41"/>
  <c r="C2892" i="41"/>
  <c r="D2892" i="41" s="1" a="1"/>
  <c r="D2892" i="41" s="1"/>
  <c r="H2891" i="41"/>
  <c r="C2891" i="41"/>
  <c r="D2891" i="41" s="1" a="1"/>
  <c r="D2891" i="41" s="1"/>
  <c r="H2890" i="41"/>
  <c r="C2890" i="41"/>
  <c r="D2890" i="41" s="1" a="1"/>
  <c r="D2890" i="41" s="1"/>
  <c r="C2889" i="41"/>
  <c r="C2888" i="41"/>
  <c r="C2887" i="41"/>
  <c r="D2886" i="41"/>
  <c r="C2886" i="41"/>
  <c r="D2886" i="41" s="1" a="1"/>
  <c r="H2885" i="41"/>
  <c r="C2885" i="41"/>
  <c r="D2885" i="41" s="1" a="1"/>
  <c r="D2885" i="41" s="1"/>
  <c r="H2884" i="41"/>
  <c r="C2884" i="41"/>
  <c r="D2884" i="41" s="1" a="1"/>
  <c r="D2884" i="41" s="1"/>
  <c r="H2883" i="41"/>
  <c r="C2883" i="41"/>
  <c r="D2883" i="41" s="1" a="1"/>
  <c r="D2883" i="41" s="1"/>
  <c r="H2882" i="41"/>
  <c r="C2882" i="41"/>
  <c r="D2882" i="41" s="1" a="1"/>
  <c r="D2882" i="41" s="1"/>
  <c r="C2881" i="41"/>
  <c r="C2880" i="41"/>
  <c r="C2879" i="41"/>
  <c r="C2878" i="41"/>
  <c r="D2878" i="41" s="1" a="1"/>
  <c r="D2878" i="41" s="1"/>
  <c r="H2877" i="41"/>
  <c r="C2877" i="41"/>
  <c r="D2877" i="41" s="1" a="1"/>
  <c r="D2877" i="41" s="1"/>
  <c r="H2876" i="41"/>
  <c r="C2876" i="41"/>
  <c r="D2876" i="41" s="1" a="1"/>
  <c r="D2876" i="41" s="1"/>
  <c r="H2875" i="41"/>
  <c r="C2875" i="41"/>
  <c r="D2875" i="41" s="1" a="1"/>
  <c r="D2875" i="41" s="1"/>
  <c r="H2874" i="41"/>
  <c r="C2874" i="41"/>
  <c r="D2874" i="41" s="1" a="1"/>
  <c r="D2874" i="41" s="1"/>
  <c r="C2873" i="41"/>
  <c r="C2872" i="41"/>
  <c r="C2871" i="41"/>
  <c r="C2870" i="41"/>
  <c r="D2870" i="41" s="1" a="1"/>
  <c r="D2870" i="41" s="1"/>
  <c r="H2869" i="41"/>
  <c r="C2869" i="41"/>
  <c r="D2869" i="41" s="1" a="1"/>
  <c r="D2869" i="41" s="1"/>
  <c r="H2868" i="41"/>
  <c r="C2868" i="41"/>
  <c r="D2868" i="41" s="1" a="1"/>
  <c r="D2868" i="41" s="1"/>
  <c r="H2867" i="41"/>
  <c r="C2867" i="41"/>
  <c r="D2867" i="41" s="1" a="1"/>
  <c r="D2867" i="41" s="1"/>
  <c r="H2866" i="41"/>
  <c r="D2866" i="41" a="1"/>
  <c r="D2866" i="41" s="1"/>
  <c r="C2866" i="41"/>
  <c r="C2865" i="41"/>
  <c r="C2864" i="41"/>
  <c r="C2863" i="41"/>
  <c r="C2862" i="41"/>
  <c r="D2862" i="41" s="1" a="1"/>
  <c r="D2862" i="41" s="1"/>
  <c r="H2861" i="41"/>
  <c r="C2861" i="41"/>
  <c r="D2861" i="41" s="1" a="1"/>
  <c r="D2861" i="41" s="1"/>
  <c r="H2860" i="41"/>
  <c r="C2860" i="41"/>
  <c r="D2860" i="41" s="1" a="1"/>
  <c r="D2860" i="41" s="1"/>
  <c r="H2859" i="41"/>
  <c r="C2859" i="41"/>
  <c r="D2859" i="41" s="1" a="1"/>
  <c r="D2859" i="41" s="1"/>
  <c r="C2858" i="41"/>
  <c r="D2858" i="41" s="1" a="1"/>
  <c r="D2858" i="41" s="1"/>
  <c r="C2857" i="41"/>
  <c r="H2857" i="41" s="1"/>
  <c r="H2856" i="41"/>
  <c r="C2856" i="41"/>
  <c r="D2856" i="41" s="1" a="1"/>
  <c r="D2856" i="41" s="1"/>
  <c r="H2855" i="41"/>
  <c r="D2855" i="41" a="1"/>
  <c r="D2855" i="41" s="1"/>
  <c r="C2855" i="41"/>
  <c r="C2854" i="41"/>
  <c r="D2854" i="41" s="1" a="1"/>
  <c r="D2854" i="41" s="1"/>
  <c r="H2853" i="41"/>
  <c r="C2853" i="41"/>
  <c r="D2853" i="41" s="1" a="1"/>
  <c r="D2853" i="41" s="1"/>
  <c r="H2852" i="41"/>
  <c r="C2852" i="41"/>
  <c r="D2852" i="41" s="1" a="1"/>
  <c r="D2852" i="41" s="1"/>
  <c r="H2851" i="41"/>
  <c r="C2851" i="41"/>
  <c r="D2851" i="41" s="1" a="1"/>
  <c r="D2851" i="41" s="1"/>
  <c r="C2850" i="41"/>
  <c r="C2849" i="41"/>
  <c r="H2848" i="41"/>
  <c r="C2848" i="41"/>
  <c r="D2848" i="41" s="1" a="1"/>
  <c r="D2848" i="41" s="1"/>
  <c r="C2847" i="41"/>
  <c r="H2846" i="41"/>
  <c r="C2846" i="41"/>
  <c r="D2846" i="41" s="1" a="1"/>
  <c r="D2846" i="41" s="1"/>
  <c r="H2845" i="41"/>
  <c r="C2845" i="41"/>
  <c r="D2845" i="41" s="1" a="1"/>
  <c r="D2845" i="41" s="1"/>
  <c r="H2844" i="41"/>
  <c r="C2844" i="41"/>
  <c r="D2844" i="41" s="1" a="1"/>
  <c r="D2844" i="41" s="1"/>
  <c r="H2843" i="41"/>
  <c r="C2843" i="41"/>
  <c r="D2843" i="41" s="1" a="1"/>
  <c r="D2843" i="41" s="1"/>
  <c r="H2842" i="41"/>
  <c r="C2842" i="41"/>
  <c r="D2842" i="41" s="1" a="1"/>
  <c r="D2842" i="41" s="1"/>
  <c r="H2841" i="41"/>
  <c r="C2841" i="41"/>
  <c r="D2841" i="41" s="1" a="1"/>
  <c r="D2841" i="41" s="1"/>
  <c r="C2840" i="41"/>
  <c r="C2839" i="41"/>
  <c r="C2838" i="41"/>
  <c r="H2837" i="41"/>
  <c r="C2837" i="41"/>
  <c r="D2837" i="41" s="1" a="1"/>
  <c r="D2837" i="41" s="1"/>
  <c r="C2836" i="41"/>
  <c r="H2836" i="41" s="1"/>
  <c r="H2835" i="41"/>
  <c r="C2835" i="41"/>
  <c r="D2835" i="41" s="1" a="1"/>
  <c r="D2835" i="41" s="1"/>
  <c r="C2834" i="41"/>
  <c r="H2834" i="41" s="1"/>
  <c r="H2833" i="41"/>
  <c r="C2833" i="41"/>
  <c r="D2833" i="41" s="1" a="1"/>
  <c r="D2833" i="41" s="1"/>
  <c r="H2832" i="41"/>
  <c r="C2832" i="41"/>
  <c r="D2832" i="41" s="1" a="1"/>
  <c r="D2832" i="41" s="1"/>
  <c r="C2831" i="41"/>
  <c r="C2830" i="41"/>
  <c r="C2829" i="41"/>
  <c r="H2829" i="41" s="1"/>
  <c r="H2828" i="41"/>
  <c r="C2828" i="41"/>
  <c r="D2828" i="41" s="1" a="1"/>
  <c r="D2828" i="41" s="1"/>
  <c r="H2827" i="41"/>
  <c r="C2827" i="41"/>
  <c r="D2827" i="41" s="1" a="1"/>
  <c r="D2827" i="41" s="1"/>
  <c r="H2826" i="41"/>
  <c r="C2826" i="41"/>
  <c r="D2826" i="41" s="1" a="1"/>
  <c r="D2826" i="41" s="1"/>
  <c r="H2825" i="41"/>
  <c r="C2825" i="41"/>
  <c r="D2825" i="41" s="1" a="1"/>
  <c r="D2825" i="41" s="1"/>
  <c r="H2824" i="41"/>
  <c r="C2824" i="41"/>
  <c r="D2824" i="41" s="1" a="1"/>
  <c r="D2824" i="41" s="1"/>
  <c r="H2823" i="41"/>
  <c r="C2823" i="41"/>
  <c r="D2823" i="41" s="1" a="1"/>
  <c r="D2823" i="41" s="1"/>
  <c r="C2822" i="41"/>
  <c r="H2822" i="41" s="1"/>
  <c r="H2821" i="41"/>
  <c r="D2821" i="41" a="1"/>
  <c r="D2821" i="41" s="1"/>
  <c r="C2821" i="41"/>
  <c r="C2820" i="41"/>
  <c r="H2820" i="41" s="1"/>
  <c r="C2819" i="41"/>
  <c r="H2819" i="41" s="1"/>
  <c r="C2818" i="41"/>
  <c r="D2818" i="41" s="1" a="1"/>
  <c r="D2818" i="41" s="1"/>
  <c r="H2817" i="41"/>
  <c r="D2817" i="41" a="1"/>
  <c r="D2817" i="41" s="1"/>
  <c r="H2816" i="41"/>
  <c r="D2816" i="41" a="1"/>
  <c r="D2816" i="41" s="1"/>
  <c r="H2815" i="41"/>
  <c r="D2815" i="41" a="1"/>
  <c r="D2815" i="41" s="1"/>
  <c r="H2814" i="41"/>
  <c r="D2814" i="41" a="1"/>
  <c r="D2814" i="41" s="1"/>
  <c r="H2813" i="41"/>
  <c r="D2813" i="41" a="1"/>
  <c r="D2813" i="41" s="1"/>
  <c r="H2812" i="41"/>
  <c r="D2812" i="41" a="1"/>
  <c r="D2812" i="41" s="1"/>
  <c r="H2811" i="41"/>
  <c r="D2811" i="41" a="1"/>
  <c r="D2811" i="41" s="1"/>
  <c r="H2810" i="41"/>
  <c r="D2810" i="41" a="1"/>
  <c r="D2810" i="41" s="1"/>
  <c r="H2809" i="41"/>
  <c r="D2809" i="41"/>
  <c r="D2809" i="41" a="1"/>
  <c r="H2808" i="41"/>
  <c r="D2808" i="41" a="1"/>
  <c r="D2808" i="41" s="1"/>
  <c r="H2807" i="41"/>
  <c r="D2807" i="41" a="1"/>
  <c r="D2807" i="41" s="1"/>
  <c r="H2806" i="41"/>
  <c r="D2806" i="41" a="1"/>
  <c r="D2806" i="41" s="1"/>
  <c r="H2805" i="41"/>
  <c r="D2805" i="41" a="1"/>
  <c r="D2805" i="41" s="1"/>
  <c r="H2804" i="41"/>
  <c r="D2804" i="41" a="1"/>
  <c r="D2804" i="41" s="1"/>
  <c r="H2803" i="41"/>
  <c r="D2803" i="41" a="1"/>
  <c r="D2803" i="41" s="1"/>
  <c r="H2802" i="41"/>
  <c r="D2802" i="41" a="1"/>
  <c r="D2802" i="41" s="1"/>
  <c r="H2801" i="41"/>
  <c r="D2801" i="41" a="1"/>
  <c r="D2801" i="41" s="1"/>
  <c r="H2800" i="41"/>
  <c r="D2800" i="41" a="1"/>
  <c r="D2800" i="41" s="1"/>
  <c r="H2799" i="41"/>
  <c r="D2799" i="41" a="1"/>
  <c r="D2799" i="41" s="1"/>
  <c r="H2798" i="41"/>
  <c r="D2798" i="41" a="1"/>
  <c r="D2798" i="41" s="1"/>
  <c r="H2797" i="41"/>
  <c r="D2797" i="41" a="1"/>
  <c r="D2797" i="41" s="1"/>
  <c r="H2796" i="41"/>
  <c r="D2796" i="41" a="1"/>
  <c r="D2796" i="41" s="1"/>
  <c r="H2795" i="41"/>
  <c r="D2795" i="41" a="1"/>
  <c r="D2795" i="41" s="1"/>
  <c r="H2794" i="41"/>
  <c r="D2794" i="41" a="1"/>
  <c r="D2794" i="41" s="1"/>
  <c r="H2793" i="41"/>
  <c r="D2793" i="41" a="1"/>
  <c r="D2793" i="41" s="1"/>
  <c r="H2792" i="41"/>
  <c r="D2792" i="41" a="1"/>
  <c r="D2792" i="41" s="1"/>
  <c r="H2791" i="41"/>
  <c r="D2791" i="41" a="1"/>
  <c r="D2791" i="41" s="1"/>
  <c r="H2790" i="41"/>
  <c r="D2790" i="41" a="1"/>
  <c r="D2790" i="41" s="1"/>
  <c r="H2789" i="41"/>
  <c r="D2789" i="41" a="1"/>
  <c r="D2789" i="41" s="1"/>
  <c r="H2788" i="41"/>
  <c r="D2788" i="41" a="1"/>
  <c r="D2788" i="41" s="1"/>
  <c r="H2787" i="41"/>
  <c r="D2787" i="41" a="1"/>
  <c r="D2787" i="41" s="1"/>
  <c r="H2786" i="41"/>
  <c r="D2786" i="41" a="1"/>
  <c r="D2786" i="41" s="1"/>
  <c r="H2785" i="41"/>
  <c r="D2785" i="41" a="1"/>
  <c r="D2785" i="41" s="1"/>
  <c r="H2784" i="41"/>
  <c r="D2784" i="41" a="1"/>
  <c r="D2784" i="41" s="1"/>
  <c r="H2783" i="41"/>
  <c r="D2783" i="41" a="1"/>
  <c r="D2783" i="41" s="1"/>
  <c r="H2782" i="41"/>
  <c r="D2782" i="41" a="1"/>
  <c r="D2782" i="41" s="1"/>
  <c r="H2781" i="41"/>
  <c r="D2781" i="41" a="1"/>
  <c r="D2781" i="41" s="1"/>
  <c r="H2780" i="41"/>
  <c r="D2780" i="41" a="1"/>
  <c r="D2780" i="41" s="1"/>
  <c r="H2779" i="41"/>
  <c r="D2779" i="41" a="1"/>
  <c r="D2779" i="41" s="1"/>
  <c r="H2778" i="41"/>
  <c r="D2778" i="41" a="1"/>
  <c r="D2778" i="41" s="1"/>
  <c r="H2777" i="41"/>
  <c r="D2777" i="41" a="1"/>
  <c r="D2777" i="41" s="1"/>
  <c r="H2776" i="41"/>
  <c r="D2776" i="41" a="1"/>
  <c r="D2776" i="41" s="1"/>
  <c r="H2775" i="41"/>
  <c r="D2775" i="41" a="1"/>
  <c r="D2775" i="41" s="1"/>
  <c r="H2774" i="41"/>
  <c r="D2774" i="41" a="1"/>
  <c r="D2774" i="41" s="1"/>
  <c r="H2773" i="41"/>
  <c r="D2773" i="41" a="1"/>
  <c r="D2773" i="41" s="1"/>
  <c r="H2772" i="41"/>
  <c r="D2772" i="41" a="1"/>
  <c r="D2772" i="41" s="1"/>
  <c r="H2771" i="41"/>
  <c r="D2771" i="41" a="1"/>
  <c r="D2771" i="41" s="1"/>
  <c r="H2770" i="41"/>
  <c r="D2770" i="41" a="1"/>
  <c r="D2770" i="41" s="1"/>
  <c r="H2769" i="41"/>
  <c r="D2769" i="41" a="1"/>
  <c r="D2769" i="41" s="1"/>
  <c r="H2768" i="41"/>
  <c r="D2768" i="41" a="1"/>
  <c r="D2768" i="41" s="1"/>
  <c r="H2767" i="41"/>
  <c r="D2767" i="41" a="1"/>
  <c r="D2767" i="41" s="1"/>
  <c r="H2766" i="41"/>
  <c r="D2766" i="41" a="1"/>
  <c r="D2766" i="41" s="1"/>
  <c r="H2765" i="41"/>
  <c r="D2765" i="41" a="1"/>
  <c r="D2765" i="41" s="1"/>
  <c r="H2764" i="41"/>
  <c r="D2764" i="41" a="1"/>
  <c r="D2764" i="41" s="1"/>
  <c r="H2763" i="41"/>
  <c r="D2763" i="41" a="1"/>
  <c r="D2763" i="41" s="1"/>
  <c r="H2762" i="41"/>
  <c r="D2762" i="41" a="1"/>
  <c r="D2762" i="41" s="1"/>
  <c r="H2761" i="41"/>
  <c r="D2761" i="41" a="1"/>
  <c r="D2761" i="41" s="1"/>
  <c r="H2760" i="41"/>
  <c r="D2760" i="41" a="1"/>
  <c r="D2760" i="41" s="1"/>
  <c r="H2759" i="41"/>
  <c r="D2759" i="41" a="1"/>
  <c r="D2759" i="41" s="1"/>
  <c r="H2758" i="41"/>
  <c r="D2758" i="41" a="1"/>
  <c r="D2758" i="41" s="1"/>
  <c r="H2757" i="41"/>
  <c r="D2757" i="41" a="1"/>
  <c r="D2757" i="41" s="1"/>
  <c r="H2756" i="41"/>
  <c r="D2756" i="41" a="1"/>
  <c r="D2756" i="41" s="1"/>
  <c r="H2755" i="41"/>
  <c r="D2755" i="41" a="1"/>
  <c r="D2755" i="41" s="1"/>
  <c r="H2754" i="41"/>
  <c r="D2754" i="41" a="1"/>
  <c r="D2754" i="41" s="1"/>
  <c r="H2753" i="41"/>
  <c r="D2753" i="41" a="1"/>
  <c r="D2753" i="41" s="1"/>
  <c r="H2752" i="41"/>
  <c r="D2752" i="41" a="1"/>
  <c r="D2752" i="41" s="1"/>
  <c r="H2751" i="41"/>
  <c r="D2751" i="41" a="1"/>
  <c r="D2751" i="41" s="1"/>
  <c r="H2750" i="41"/>
  <c r="D2750" i="41" a="1"/>
  <c r="D2750" i="41" s="1"/>
  <c r="H2749" i="41"/>
  <c r="D2749" i="41" a="1"/>
  <c r="D2749" i="41" s="1"/>
  <c r="H2748" i="41"/>
  <c r="D2748" i="41" a="1"/>
  <c r="D2748" i="41" s="1"/>
  <c r="H2747" i="41"/>
  <c r="D2747" i="41" a="1"/>
  <c r="D2747" i="41" s="1"/>
  <c r="H2746" i="41"/>
  <c r="D2746" i="41" a="1"/>
  <c r="D2746" i="41" s="1"/>
  <c r="H2745" i="41"/>
  <c r="D2745" i="41" a="1"/>
  <c r="D2745" i="41" s="1"/>
  <c r="H2744" i="41"/>
  <c r="D2744" i="41" a="1"/>
  <c r="D2744" i="41" s="1"/>
  <c r="H2743" i="41"/>
  <c r="D2743" i="41" a="1"/>
  <c r="D2743" i="41" s="1"/>
  <c r="H2742" i="41"/>
  <c r="D2742" i="41" a="1"/>
  <c r="D2742" i="41" s="1"/>
  <c r="H2741" i="41"/>
  <c r="D2741" i="41" a="1"/>
  <c r="D2741" i="41" s="1"/>
  <c r="H2740" i="41"/>
  <c r="D2740" i="41" a="1"/>
  <c r="D2740" i="41" s="1"/>
  <c r="H2739" i="41"/>
  <c r="D2739" i="41" a="1"/>
  <c r="D2739" i="41" s="1"/>
  <c r="H2738" i="41"/>
  <c r="D2738" i="41" a="1"/>
  <c r="D2738" i="41" s="1"/>
  <c r="H2737" i="41"/>
  <c r="D2737" i="41" a="1"/>
  <c r="D2737" i="41" s="1"/>
  <c r="H2736" i="41"/>
  <c r="D2736" i="41" a="1"/>
  <c r="D2736" i="41" s="1"/>
  <c r="H2735" i="41"/>
  <c r="D2735" i="41" a="1"/>
  <c r="D2735" i="41" s="1"/>
  <c r="H2734" i="41"/>
  <c r="D2734" i="41" a="1"/>
  <c r="D2734" i="41" s="1"/>
  <c r="H2733" i="41"/>
  <c r="D2733" i="41" a="1"/>
  <c r="D2733" i="41" s="1"/>
  <c r="H2732" i="41"/>
  <c r="D2732" i="41" a="1"/>
  <c r="D2732" i="41" s="1"/>
  <c r="H2731" i="41"/>
  <c r="D2731" i="41" a="1"/>
  <c r="D2731" i="41" s="1"/>
  <c r="H2730" i="41"/>
  <c r="D2730" i="41" a="1"/>
  <c r="D2730" i="41" s="1"/>
  <c r="C2729" i="41"/>
  <c r="H2728" i="41"/>
  <c r="D2728" i="41" a="1"/>
  <c r="D2728" i="41" s="1"/>
  <c r="C2728" i="41"/>
  <c r="H2727" i="41"/>
  <c r="C2727" i="41"/>
  <c r="D2727" i="41" s="1" a="1"/>
  <c r="D2727" i="41" s="1"/>
  <c r="C2726" i="41"/>
  <c r="C2725" i="41"/>
  <c r="H2725" i="41" s="1"/>
  <c r="C2724" i="41"/>
  <c r="C2723" i="41"/>
  <c r="H2723" i="41" s="1"/>
  <c r="C2722" i="41"/>
  <c r="H2721" i="41"/>
  <c r="C2721" i="41"/>
  <c r="D2721" i="41" s="1" a="1"/>
  <c r="D2721" i="41" s="1"/>
  <c r="C2720" i="41"/>
  <c r="H2719" i="41"/>
  <c r="C2719" i="41"/>
  <c r="D2719" i="41" s="1" a="1"/>
  <c r="D2719" i="41" s="1"/>
  <c r="C2718" i="41"/>
  <c r="C2717" i="41"/>
  <c r="C2716" i="41"/>
  <c r="H2716" i="41" s="1"/>
  <c r="C2715" i="41"/>
  <c r="H2715" i="41" s="1"/>
  <c r="C2714" i="41"/>
  <c r="D2714" i="41" s="1" a="1"/>
  <c r="D2714" i="41" s="1"/>
  <c r="D2713" i="41" a="1"/>
  <c r="D2713" i="41" s="1"/>
  <c r="C2713" i="41"/>
  <c r="H2713" i="41" s="1"/>
  <c r="H2712" i="41"/>
  <c r="C2712" i="41"/>
  <c r="D2712" i="41" s="1" a="1"/>
  <c r="D2712" i="41" s="1"/>
  <c r="H2711" i="41"/>
  <c r="C2711" i="41"/>
  <c r="D2711" i="41" s="1" a="1"/>
  <c r="D2711" i="41" s="1"/>
  <c r="C2710" i="41"/>
  <c r="H2710" i="41" s="1"/>
  <c r="H2709" i="41"/>
  <c r="C2709" i="41"/>
  <c r="D2709" i="41" s="1" a="1"/>
  <c r="D2709" i="41" s="1"/>
  <c r="C2708" i="41"/>
  <c r="C2707" i="41"/>
  <c r="H2707" i="41" s="1"/>
  <c r="C2706" i="41"/>
  <c r="H2705" i="41"/>
  <c r="C2705" i="41"/>
  <c r="D2705" i="41" s="1" a="1"/>
  <c r="D2705" i="41" s="1"/>
  <c r="H2704" i="41"/>
  <c r="C2704" i="41"/>
  <c r="D2704" i="41" s="1" a="1"/>
  <c r="D2704" i="41" s="1"/>
  <c r="H2703" i="41"/>
  <c r="C2703" i="41"/>
  <c r="D2703" i="41" s="1" a="1"/>
  <c r="D2703" i="41" s="1"/>
  <c r="C2702" i="41"/>
  <c r="D2702" i="41" s="1" a="1"/>
  <c r="D2702" i="41" s="1"/>
  <c r="C2701" i="41"/>
  <c r="C2700" i="41"/>
  <c r="D2700" i="41" s="1" a="1"/>
  <c r="D2700" i="41" s="1"/>
  <c r="H2699" i="41"/>
  <c r="C2699" i="41"/>
  <c r="D2699" i="41" s="1" a="1"/>
  <c r="D2699" i="41" s="1"/>
  <c r="C2698" i="41"/>
  <c r="H2697" i="41"/>
  <c r="C2697" i="41"/>
  <c r="D2697" i="41" s="1" a="1"/>
  <c r="D2697" i="41" s="1"/>
  <c r="C2696" i="41"/>
  <c r="H2696" i="41" s="1"/>
  <c r="H2695" i="41"/>
  <c r="D2695" i="41" a="1"/>
  <c r="D2695" i="41" s="1"/>
  <c r="C2695" i="41"/>
  <c r="H2694" i="41"/>
  <c r="C2694" i="41"/>
  <c r="D2694" i="41" s="1" a="1"/>
  <c r="D2694" i="41" s="1"/>
  <c r="C2693" i="41"/>
  <c r="H2692" i="41"/>
  <c r="C2692" i="41"/>
  <c r="D2692" i="41" s="1" a="1"/>
  <c r="D2692" i="41" s="1"/>
  <c r="H2691" i="41"/>
  <c r="D2691" i="41" a="1"/>
  <c r="D2691" i="41" s="1"/>
  <c r="C2691" i="41"/>
  <c r="C2690" i="41"/>
  <c r="H2689" i="41"/>
  <c r="C2689" i="41"/>
  <c r="D2689" i="41" s="1" a="1"/>
  <c r="D2689" i="41" s="1"/>
  <c r="H2688" i="41"/>
  <c r="C2688" i="41"/>
  <c r="D2688" i="41" s="1" a="1"/>
  <c r="D2688" i="41" s="1"/>
  <c r="H2687" i="41"/>
  <c r="C2687" i="41"/>
  <c r="D2687" i="41" s="1" a="1"/>
  <c r="D2687" i="41" s="1"/>
  <c r="C2686" i="41"/>
  <c r="D2686" i="41" s="1" a="1"/>
  <c r="D2686" i="41" s="1"/>
  <c r="C2685" i="41"/>
  <c r="C2684" i="41"/>
  <c r="D2684" i="41" s="1" a="1"/>
  <c r="D2684" i="41" s="1"/>
  <c r="C2683" i="41"/>
  <c r="H2682" i="41"/>
  <c r="C2682" i="41"/>
  <c r="D2682" i="41" s="1" a="1"/>
  <c r="D2682" i="41" s="1"/>
  <c r="H2681" i="41"/>
  <c r="C2681" i="41"/>
  <c r="D2681" i="41" s="1" a="1"/>
  <c r="D2681" i="41" s="1"/>
  <c r="C2680" i="41"/>
  <c r="H2680" i="41" s="1"/>
  <c r="H2679" i="41"/>
  <c r="C2679" i="41"/>
  <c r="D2679" i="41" s="1" a="1"/>
  <c r="D2679" i="41" s="1"/>
  <c r="C2678" i="41"/>
  <c r="D2678" i="41" s="1" a="1"/>
  <c r="D2678" i="41" s="1"/>
  <c r="C2677" i="41"/>
  <c r="C2676" i="41"/>
  <c r="H2675" i="41"/>
  <c r="C2675" i="41"/>
  <c r="D2675" i="41" s="1" a="1"/>
  <c r="D2675" i="41" s="1"/>
  <c r="C2674" i="41"/>
  <c r="H2674" i="41" s="1"/>
  <c r="H2673" i="41"/>
  <c r="C2673" i="41"/>
  <c r="D2673" i="41" s="1" a="1"/>
  <c r="D2673" i="41" s="1"/>
  <c r="H2672" i="41"/>
  <c r="C2672" i="41"/>
  <c r="D2672" i="41" s="1" a="1"/>
  <c r="D2672" i="41" s="1"/>
  <c r="H2671" i="41"/>
  <c r="C2671" i="41"/>
  <c r="D2671" i="41" s="1" a="1"/>
  <c r="D2671" i="41" s="1"/>
  <c r="H2670" i="41"/>
  <c r="C2670" i="41"/>
  <c r="D2670" i="41" s="1" a="1"/>
  <c r="D2670" i="41" s="1"/>
  <c r="C2669" i="41"/>
  <c r="C2668" i="41"/>
  <c r="D2668" i="41" s="1" a="1"/>
  <c r="D2668" i="41" s="1"/>
  <c r="H2667" i="41"/>
  <c r="C2667" i="41"/>
  <c r="D2667" i="41" s="1" a="1"/>
  <c r="D2667" i="41" s="1"/>
  <c r="C2666" i="41"/>
  <c r="D2666" i="41" s="1" a="1"/>
  <c r="D2666" i="41" s="1"/>
  <c r="H2665" i="41"/>
  <c r="C2665" i="41"/>
  <c r="D2665" i="41" s="1" a="1"/>
  <c r="D2665" i="41" s="1"/>
  <c r="C2664" i="41"/>
  <c r="H2663" i="41"/>
  <c r="C2663" i="41"/>
  <c r="D2663" i="41" s="1" a="1"/>
  <c r="D2663" i="41" s="1"/>
  <c r="C2662" i="41"/>
  <c r="C2661" i="41"/>
  <c r="C2660" i="41"/>
  <c r="H2659" i="41"/>
  <c r="C2659" i="41"/>
  <c r="D2659" i="41" s="1" a="1"/>
  <c r="D2659" i="41" s="1"/>
  <c r="C2658" i="41"/>
  <c r="H2657" i="41"/>
  <c r="C2657" i="41"/>
  <c r="D2657" i="41" s="1" a="1"/>
  <c r="D2657" i="41" s="1"/>
  <c r="H2656" i="41"/>
  <c r="C2656" i="41"/>
  <c r="D2656" i="41" s="1" a="1"/>
  <c r="D2656" i="41" s="1"/>
  <c r="C2655" i="41"/>
  <c r="D2655" i="41" s="1" a="1"/>
  <c r="D2655" i="41" s="1"/>
  <c r="H2654" i="41"/>
  <c r="D2654" i="41"/>
  <c r="C2654" i="41"/>
  <c r="D2654" i="41" s="1" a="1"/>
  <c r="C2653" i="41"/>
  <c r="H2652" i="41"/>
  <c r="C2652" i="41"/>
  <c r="D2652" i="41" s="1" a="1"/>
  <c r="D2652" i="41" s="1"/>
  <c r="H2651" i="41"/>
  <c r="C2651" i="41"/>
  <c r="D2651" i="41" s="1" a="1"/>
  <c r="D2651" i="41" s="1"/>
  <c r="H2650" i="41"/>
  <c r="D2650" i="41" a="1"/>
  <c r="D2650" i="41" s="1"/>
  <c r="C2650" i="41"/>
  <c r="H2649" i="41"/>
  <c r="C2649" i="41"/>
  <c r="D2649" i="41" s="1" a="1"/>
  <c r="D2649" i="41" s="1"/>
  <c r="C2648" i="41"/>
  <c r="H2647" i="41"/>
  <c r="C2647" i="41"/>
  <c r="D2647" i="41" s="1" a="1"/>
  <c r="D2647" i="41" s="1"/>
  <c r="C2646" i="41"/>
  <c r="H2646" i="41" s="1"/>
  <c r="C2645" i="41"/>
  <c r="C2644" i="41"/>
  <c r="D2644" i="41" s="1" a="1"/>
  <c r="D2644" i="41" s="1"/>
  <c r="H2643" i="41"/>
  <c r="C2643" i="41"/>
  <c r="D2643" i="41" s="1" a="1"/>
  <c r="D2643" i="41" s="1"/>
  <c r="C2642" i="41"/>
  <c r="H2642" i="41" s="1"/>
  <c r="H2641" i="41"/>
  <c r="D2641" i="41" a="1"/>
  <c r="D2641" i="41" s="1"/>
  <c r="H2640" i="41"/>
  <c r="D2640" i="41" a="1"/>
  <c r="D2640" i="41" s="1"/>
  <c r="H2639" i="41"/>
  <c r="D2639" i="41" a="1"/>
  <c r="D2639" i="41" s="1"/>
  <c r="H2638" i="41"/>
  <c r="D2638" i="41" a="1"/>
  <c r="D2638" i="41" s="1"/>
  <c r="H2637" i="41"/>
  <c r="D2637" i="41" a="1"/>
  <c r="D2637" i="41" s="1"/>
  <c r="H2636" i="41"/>
  <c r="D2636" i="41" a="1"/>
  <c r="D2636" i="41" s="1"/>
  <c r="H2635" i="41"/>
  <c r="D2635" i="41"/>
  <c r="D2635" i="41" a="1"/>
  <c r="H2634" i="41"/>
  <c r="D2634" i="41" a="1"/>
  <c r="D2634" i="41" s="1"/>
  <c r="H2633" i="41"/>
  <c r="D2633" i="41" a="1"/>
  <c r="D2633" i="41" s="1"/>
  <c r="H2632" i="41"/>
  <c r="D2632" i="41" a="1"/>
  <c r="D2632" i="41" s="1"/>
  <c r="H2631" i="41"/>
  <c r="D2631" i="41" a="1"/>
  <c r="D2631" i="41" s="1"/>
  <c r="H2630" i="41"/>
  <c r="D2630" i="41" a="1"/>
  <c r="D2630" i="41" s="1"/>
  <c r="H2629" i="41"/>
  <c r="D2629" i="41" a="1"/>
  <c r="D2629" i="41" s="1"/>
  <c r="H2628" i="41"/>
  <c r="D2628" i="41" a="1"/>
  <c r="D2628" i="41" s="1"/>
  <c r="H2627" i="41"/>
  <c r="D2627" i="41" a="1"/>
  <c r="D2627" i="41" s="1"/>
  <c r="H2626" i="41"/>
  <c r="D2626" i="41"/>
  <c r="D2626" i="41" a="1"/>
  <c r="H2625" i="41"/>
  <c r="D2625" i="41" a="1"/>
  <c r="D2625" i="41" s="1"/>
  <c r="H2624" i="41"/>
  <c r="D2624" i="41" a="1"/>
  <c r="D2624" i="41" s="1"/>
  <c r="H2623" i="41"/>
  <c r="D2623" i="41" a="1"/>
  <c r="D2623" i="41" s="1"/>
  <c r="H2622" i="41"/>
  <c r="D2622" i="41" a="1"/>
  <c r="D2622" i="41" s="1"/>
  <c r="H2621" i="41"/>
  <c r="D2621" i="41" a="1"/>
  <c r="D2621" i="41" s="1"/>
  <c r="H2620" i="41"/>
  <c r="D2620" i="41" a="1"/>
  <c r="D2620" i="41" s="1"/>
  <c r="H2619" i="41"/>
  <c r="D2619" i="41" a="1"/>
  <c r="D2619" i="41" s="1"/>
  <c r="H2618" i="41"/>
  <c r="D2618" i="41" a="1"/>
  <c r="D2618" i="41" s="1"/>
  <c r="H2617" i="41"/>
  <c r="D2617" i="41" a="1"/>
  <c r="D2617" i="41" s="1"/>
  <c r="H2616" i="41"/>
  <c r="D2616" i="41" a="1"/>
  <c r="D2616" i="41" s="1"/>
  <c r="H2615" i="41"/>
  <c r="D2615" i="41" a="1"/>
  <c r="D2615" i="41" s="1"/>
  <c r="H2614" i="41"/>
  <c r="D2614" i="41" a="1"/>
  <c r="D2614" i="41" s="1"/>
  <c r="H2613" i="41"/>
  <c r="D2613" i="41" a="1"/>
  <c r="D2613" i="41" s="1"/>
  <c r="H2612" i="41"/>
  <c r="D2612" i="41" a="1"/>
  <c r="D2612" i="41" s="1"/>
  <c r="H2611" i="41"/>
  <c r="D2611" i="41" a="1"/>
  <c r="D2611" i="41" s="1"/>
  <c r="H2610" i="41"/>
  <c r="D2610" i="41" a="1"/>
  <c r="D2610" i="41" s="1"/>
  <c r="H2609" i="41"/>
  <c r="D2609" i="41" a="1"/>
  <c r="D2609" i="41" s="1"/>
  <c r="H2608" i="41"/>
  <c r="D2608" i="41" a="1"/>
  <c r="D2608" i="41" s="1"/>
  <c r="H2607" i="41"/>
  <c r="D2607" i="41" a="1"/>
  <c r="D2607" i="41" s="1"/>
  <c r="H2606" i="41"/>
  <c r="D2606" i="41" a="1"/>
  <c r="D2606" i="41" s="1"/>
  <c r="H2605" i="41"/>
  <c r="D2605" i="41" a="1"/>
  <c r="D2605" i="41" s="1"/>
  <c r="H2604" i="41"/>
  <c r="D2604" i="41" a="1"/>
  <c r="D2604" i="41" s="1"/>
  <c r="H2603" i="41"/>
  <c r="D2603" i="41" a="1"/>
  <c r="D2603" i="41" s="1"/>
  <c r="H2602" i="41"/>
  <c r="D2602" i="41" a="1"/>
  <c r="D2602" i="41" s="1"/>
  <c r="H2601" i="41"/>
  <c r="D2601" i="41" a="1"/>
  <c r="D2601" i="41" s="1"/>
  <c r="H2600" i="41"/>
  <c r="D2600" i="41" a="1"/>
  <c r="D2600" i="41" s="1"/>
  <c r="H2599" i="41"/>
  <c r="D2599" i="41" a="1"/>
  <c r="D2599" i="41" s="1"/>
  <c r="H2598" i="41"/>
  <c r="D2598" i="41" a="1"/>
  <c r="D2598" i="41" s="1"/>
  <c r="H2597" i="41"/>
  <c r="D2597" i="41" a="1"/>
  <c r="D2597" i="41" s="1"/>
  <c r="H2596" i="41"/>
  <c r="D2596" i="41" a="1"/>
  <c r="D2596" i="41" s="1"/>
  <c r="H2595" i="41"/>
  <c r="D2595" i="41" a="1"/>
  <c r="D2595" i="41" s="1"/>
  <c r="H2594" i="41"/>
  <c r="D2594" i="41" a="1"/>
  <c r="D2594" i="41" s="1"/>
  <c r="H2593" i="41"/>
  <c r="D2593" i="41" a="1"/>
  <c r="D2593" i="41" s="1"/>
  <c r="H2592" i="41"/>
  <c r="D2592" i="41" a="1"/>
  <c r="D2592" i="41" s="1"/>
  <c r="H2591" i="41"/>
  <c r="D2591" i="41"/>
  <c r="D2591" i="41" a="1"/>
  <c r="H2590" i="41"/>
  <c r="D2590" i="41" a="1"/>
  <c r="D2590" i="41" s="1"/>
  <c r="H2589" i="41"/>
  <c r="D2589" i="41" a="1"/>
  <c r="D2589" i="41" s="1"/>
  <c r="H2588" i="41"/>
  <c r="D2588" i="41" a="1"/>
  <c r="D2588" i="41" s="1"/>
  <c r="H2587" i="41"/>
  <c r="D2587" i="41" a="1"/>
  <c r="D2587" i="41" s="1"/>
  <c r="H2586" i="41"/>
  <c r="D2586" i="41" a="1"/>
  <c r="D2586" i="41" s="1"/>
  <c r="H2585" i="41"/>
  <c r="D2585" i="41" a="1"/>
  <c r="D2585" i="41" s="1"/>
  <c r="H2584" i="41"/>
  <c r="D2584" i="41" a="1"/>
  <c r="D2584" i="41" s="1"/>
  <c r="H2583" i="41"/>
  <c r="D2583" i="41"/>
  <c r="D2583" i="41" a="1"/>
  <c r="H2582" i="41"/>
  <c r="D2582" i="41"/>
  <c r="D2582" i="41" a="1"/>
  <c r="H2581" i="41"/>
  <c r="D2581" i="41" a="1"/>
  <c r="D2581" i="41" s="1"/>
  <c r="H2580" i="41"/>
  <c r="D2580" i="41" a="1"/>
  <c r="D2580" i="41" s="1"/>
  <c r="H2579" i="41"/>
  <c r="D2579" i="41" a="1"/>
  <c r="D2579" i="41" s="1"/>
  <c r="H2578" i="41"/>
  <c r="D2578" i="41" a="1"/>
  <c r="D2578" i="41" s="1"/>
  <c r="H2577" i="41"/>
  <c r="D2577" i="41" a="1"/>
  <c r="D2577" i="41" s="1"/>
  <c r="H2576" i="41"/>
  <c r="D2576" i="41" a="1"/>
  <c r="D2576" i="41" s="1"/>
  <c r="H2575" i="41"/>
  <c r="D2575" i="41" a="1"/>
  <c r="D2575" i="41" s="1"/>
  <c r="H2574" i="41"/>
  <c r="D2574" i="41" a="1"/>
  <c r="D2574" i="41" s="1"/>
  <c r="H2573" i="41"/>
  <c r="D2573" i="41" a="1"/>
  <c r="D2573" i="41" s="1"/>
  <c r="H2572" i="41"/>
  <c r="D2572" i="41" a="1"/>
  <c r="D2572" i="41" s="1"/>
  <c r="H2571" i="41"/>
  <c r="D2571" i="41" a="1"/>
  <c r="D2571" i="41" s="1"/>
  <c r="H2570" i="41"/>
  <c r="D2570" i="41" a="1"/>
  <c r="D2570" i="41" s="1"/>
  <c r="H2569" i="41"/>
  <c r="D2569" i="41" a="1"/>
  <c r="D2569" i="41" s="1"/>
  <c r="H2568" i="41"/>
  <c r="D2568" i="41" a="1"/>
  <c r="D2568" i="41" s="1"/>
  <c r="H2567" i="41"/>
  <c r="D2567" i="41"/>
  <c r="D2567" i="41" a="1"/>
  <c r="H2566" i="41"/>
  <c r="D2566" i="41" a="1"/>
  <c r="D2566" i="41" s="1"/>
  <c r="H2565" i="41"/>
  <c r="D2565" i="41" a="1"/>
  <c r="D2565" i="41" s="1"/>
  <c r="H2564" i="41"/>
  <c r="D2564" i="41" a="1"/>
  <c r="D2564" i="41" s="1"/>
  <c r="H2563" i="41"/>
  <c r="D2563" i="41" a="1"/>
  <c r="D2563" i="41" s="1"/>
  <c r="H2562" i="41"/>
  <c r="D2562" i="41" a="1"/>
  <c r="D2562" i="41" s="1"/>
  <c r="H2561" i="41"/>
  <c r="D2561" i="41" a="1"/>
  <c r="D2561" i="41" s="1"/>
  <c r="H2560" i="41"/>
  <c r="D2560" i="41" a="1"/>
  <c r="D2560" i="41" s="1"/>
  <c r="H2559" i="41"/>
  <c r="D2559" i="41" a="1"/>
  <c r="D2559" i="41" s="1"/>
  <c r="H2558" i="41"/>
  <c r="D2558" i="41" a="1"/>
  <c r="D2558" i="41" s="1"/>
  <c r="H2557" i="41"/>
  <c r="D2557" i="41" a="1"/>
  <c r="D2557" i="41" s="1"/>
  <c r="H2556" i="41"/>
  <c r="D2556" i="41" a="1"/>
  <c r="D2556" i="41" s="1"/>
  <c r="H2555" i="41"/>
  <c r="D2555" i="41" a="1"/>
  <c r="D2555" i="41" s="1"/>
  <c r="H2554" i="41"/>
  <c r="D2554" i="41" a="1"/>
  <c r="D2554" i="41" s="1"/>
  <c r="H2553" i="41"/>
  <c r="C2553" i="41"/>
  <c r="D2553" i="41" s="1" a="1"/>
  <c r="D2553" i="41" s="1"/>
  <c r="H2552" i="41"/>
  <c r="C2552" i="41"/>
  <c r="D2552" i="41" s="1" a="1"/>
  <c r="D2552" i="41" s="1"/>
  <c r="C2551" i="41"/>
  <c r="D2551" i="41" s="1" a="1"/>
  <c r="D2551" i="41" s="1"/>
  <c r="H2550" i="41"/>
  <c r="C2550" i="41"/>
  <c r="D2550" i="41" s="1" a="1"/>
  <c r="D2550" i="41" s="1"/>
  <c r="C2549" i="41"/>
  <c r="C2548" i="41"/>
  <c r="D2548" i="41" s="1" a="1"/>
  <c r="D2548" i="41" s="1"/>
  <c r="H2547" i="41"/>
  <c r="C2547" i="41"/>
  <c r="D2547" i="41" s="1" a="1"/>
  <c r="D2547" i="41" s="1"/>
  <c r="C2546" i="41"/>
  <c r="D2546" i="41" s="1" a="1"/>
  <c r="D2546" i="41" s="1"/>
  <c r="H2545" i="41"/>
  <c r="D2545" i="41" a="1"/>
  <c r="D2545" i="41" s="1"/>
  <c r="C2545" i="41"/>
  <c r="C2544" i="41"/>
  <c r="H2543" i="41"/>
  <c r="C2543" i="41"/>
  <c r="D2543" i="41" s="1" a="1"/>
  <c r="D2543" i="41" s="1"/>
  <c r="C2542" i="41"/>
  <c r="H2541" i="41"/>
  <c r="C2541" i="41"/>
  <c r="D2541" i="41" s="1" a="1"/>
  <c r="D2541" i="41" s="1"/>
  <c r="C2540" i="41"/>
  <c r="C2539" i="41"/>
  <c r="D2539" i="41" s="1" a="1"/>
  <c r="D2539" i="41" s="1"/>
  <c r="H2538" i="41"/>
  <c r="C2538" i="41"/>
  <c r="D2538" i="41" s="1" a="1"/>
  <c r="D2538" i="41" s="1"/>
  <c r="C2537" i="41"/>
  <c r="H2536" i="41"/>
  <c r="C2536" i="41"/>
  <c r="D2536" i="41" s="1" a="1"/>
  <c r="D2536" i="41" s="1"/>
  <c r="C2535" i="41"/>
  <c r="D2535" i="41" s="1" a="1"/>
  <c r="D2535" i="41" s="1"/>
  <c r="H2534" i="41"/>
  <c r="C2534" i="41"/>
  <c r="D2534" i="41" s="1" a="1"/>
  <c r="D2534" i="41" s="1"/>
  <c r="C2533" i="41"/>
  <c r="C2532" i="41"/>
  <c r="H2532" i="41" s="1"/>
  <c r="H2531" i="41"/>
  <c r="C2531" i="41"/>
  <c r="D2531" i="41" s="1" a="1"/>
  <c r="D2531" i="41" s="1"/>
  <c r="C2530" i="41"/>
  <c r="H2529" i="41"/>
  <c r="D2529" i="41" a="1"/>
  <c r="D2529" i="41" s="1"/>
  <c r="C2529" i="41"/>
  <c r="H2528" i="41"/>
  <c r="C2528" i="41"/>
  <c r="D2528" i="41" s="1" a="1"/>
  <c r="D2528" i="41" s="1"/>
  <c r="H2527" i="41"/>
  <c r="C2527" i="41"/>
  <c r="D2527" i="41" s="1" a="1"/>
  <c r="D2527" i="41" s="1"/>
  <c r="C2526" i="41"/>
  <c r="H2525" i="41"/>
  <c r="C2525" i="41"/>
  <c r="D2525" i="41" s="1" a="1"/>
  <c r="D2525" i="41" s="1"/>
  <c r="C2524" i="41"/>
  <c r="H2524" i="41" s="1"/>
  <c r="C2523" i="41"/>
  <c r="D2523" i="41" s="1" a="1"/>
  <c r="D2523" i="41" s="1"/>
  <c r="H2522" i="41"/>
  <c r="C2522" i="41"/>
  <c r="D2522" i="41" s="1" a="1"/>
  <c r="D2522" i="41" s="1"/>
  <c r="C2521" i="41"/>
  <c r="H2520" i="41"/>
  <c r="C2520" i="41"/>
  <c r="D2520" i="41" s="1" a="1"/>
  <c r="D2520" i="41" s="1"/>
  <c r="H2519" i="41"/>
  <c r="C2519" i="41"/>
  <c r="D2519" i="41" s="1" a="1"/>
  <c r="D2519" i="41" s="1"/>
  <c r="H2518" i="41"/>
  <c r="C2518" i="41"/>
  <c r="D2518" i="41" s="1" a="1"/>
  <c r="D2518" i="41" s="1"/>
  <c r="C2517" i="41"/>
  <c r="H2517" i="41" s="1"/>
  <c r="C2516" i="41"/>
  <c r="H2516" i="41" s="1"/>
  <c r="H2515" i="41"/>
  <c r="C2515" i="41"/>
  <c r="D2515" i="41" s="1" a="1"/>
  <c r="D2515" i="41" s="1"/>
  <c r="C2514" i="41"/>
  <c r="H2514" i="41" s="1"/>
  <c r="C2513" i="41"/>
  <c r="H2512" i="41"/>
  <c r="C2512" i="41"/>
  <c r="D2512" i="41" s="1" a="1"/>
  <c r="D2512" i="41" s="1"/>
  <c r="H2511" i="41"/>
  <c r="C2511" i="41"/>
  <c r="D2511" i="41" s="1" a="1"/>
  <c r="D2511" i="41" s="1"/>
  <c r="H2510" i="41"/>
  <c r="C2510" i="41"/>
  <c r="D2510" i="41" s="1" a="1"/>
  <c r="D2510" i="41" s="1"/>
  <c r="C2509" i="41"/>
  <c r="D2509" i="41" s="1" a="1"/>
  <c r="D2509" i="41" s="1"/>
  <c r="H2508" i="41"/>
  <c r="C2508" i="41"/>
  <c r="D2508" i="41" s="1" a="1"/>
  <c r="D2508" i="41" s="1"/>
  <c r="C2507" i="41"/>
  <c r="C2506" i="41"/>
  <c r="H2506" i="41" s="1"/>
  <c r="C2505" i="41"/>
  <c r="H2505" i="41" s="1"/>
  <c r="H2504" i="41"/>
  <c r="D2504" i="41" a="1"/>
  <c r="D2504" i="41" s="1"/>
  <c r="C2504" i="41"/>
  <c r="C2503" i="41"/>
  <c r="C2502" i="41"/>
  <c r="D2502" i="41" s="1" a="1"/>
  <c r="D2502" i="41" s="1"/>
  <c r="C2501" i="41"/>
  <c r="H2501" i="41" s="1"/>
  <c r="C2500" i="41"/>
  <c r="H2500" i="41" s="1"/>
  <c r="H2499" i="41"/>
  <c r="C2499" i="41"/>
  <c r="D2499" i="41" s="1" a="1"/>
  <c r="D2499" i="41" s="1"/>
  <c r="H2498" i="41"/>
  <c r="C2498" i="41"/>
  <c r="D2498" i="41" s="1" a="1"/>
  <c r="D2498" i="41" s="1"/>
  <c r="C2497" i="41"/>
  <c r="H2497" i="41" s="1"/>
  <c r="H2496" i="41"/>
  <c r="C2496" i="41"/>
  <c r="D2496" i="41" s="1" a="1"/>
  <c r="D2496" i="41" s="1"/>
  <c r="H2495" i="41"/>
  <c r="C2495" i="41"/>
  <c r="D2495" i="41" s="1" a="1"/>
  <c r="D2495" i="41" s="1"/>
  <c r="C2494" i="41"/>
  <c r="C2493" i="41"/>
  <c r="H2493" i="41" s="1"/>
  <c r="C2492" i="41"/>
  <c r="H2492" i="41" s="1"/>
  <c r="H2491" i="41"/>
  <c r="C2491" i="41"/>
  <c r="D2491" i="41" s="1" a="1"/>
  <c r="D2491" i="41" s="1"/>
  <c r="H2490" i="41"/>
  <c r="C2490" i="41"/>
  <c r="D2490" i="41" s="1" a="1"/>
  <c r="D2490" i="41" s="1"/>
  <c r="C2489" i="41"/>
  <c r="H2489" i="41" s="1"/>
  <c r="H2488" i="41"/>
  <c r="C2488" i="41"/>
  <c r="D2488" i="41" s="1" a="1"/>
  <c r="D2488" i="41" s="1"/>
  <c r="C2487" i="41"/>
  <c r="D2487" i="41" s="1" a="1"/>
  <c r="D2487" i="41" s="1"/>
  <c r="C2486" i="41"/>
  <c r="D2486" i="41" s="1" a="1"/>
  <c r="D2486" i="41" s="1"/>
  <c r="H2485" i="41"/>
  <c r="C2485" i="41"/>
  <c r="D2485" i="41" s="1" a="1"/>
  <c r="D2485" i="41" s="1"/>
  <c r="C2484" i="41"/>
  <c r="H2484" i="41" s="1"/>
  <c r="C2483" i="41"/>
  <c r="D2483" i="41" s="1" a="1"/>
  <c r="D2483" i="41" s="1"/>
  <c r="H2482" i="41"/>
  <c r="C2482" i="41"/>
  <c r="D2482" i="41" s="1" a="1"/>
  <c r="D2482" i="41" s="1"/>
  <c r="C2481" i="41"/>
  <c r="H2481" i="41" s="1"/>
  <c r="H2480" i="41"/>
  <c r="C2480" i="41"/>
  <c r="D2480" i="41" s="1" a="1"/>
  <c r="D2480" i="41" s="1"/>
  <c r="C2479" i="41"/>
  <c r="D2479" i="41" s="1" a="1"/>
  <c r="D2479" i="41" s="1"/>
  <c r="H2478" i="41"/>
  <c r="C2478" i="41"/>
  <c r="D2478" i="41" s="1" a="1"/>
  <c r="D2478" i="41" s="1"/>
  <c r="H2477" i="41"/>
  <c r="C2477" i="41"/>
  <c r="D2477" i="41" s="1" a="1"/>
  <c r="D2477" i="41" s="1"/>
  <c r="C2476" i="41"/>
  <c r="H2475" i="41"/>
  <c r="C2475" i="41"/>
  <c r="D2475" i="41" s="1" a="1"/>
  <c r="D2475" i="41" s="1"/>
  <c r="C2474" i="41"/>
  <c r="C2473" i="41"/>
  <c r="H2473" i="41" s="1"/>
  <c r="C2472" i="41"/>
  <c r="C2471" i="41"/>
  <c r="H2471" i="41" s="1"/>
  <c r="H2470" i="41"/>
  <c r="C2470" i="41"/>
  <c r="D2470" i="41" s="1" a="1"/>
  <c r="D2470" i="41" s="1"/>
  <c r="H2469" i="41"/>
  <c r="C2469" i="41"/>
  <c r="D2469" i="41" s="1" a="1"/>
  <c r="D2469" i="41" s="1"/>
  <c r="H2468" i="41"/>
  <c r="C2468" i="41"/>
  <c r="D2468" i="41" s="1" a="1"/>
  <c r="D2468" i="41" s="1"/>
  <c r="C2467" i="41"/>
  <c r="H2467" i="41" s="1"/>
  <c r="H2466" i="41"/>
  <c r="C2466" i="41"/>
  <c r="D2466" i="41" s="1" a="1"/>
  <c r="D2466" i="41" s="1"/>
  <c r="C2465" i="41"/>
  <c r="C2464" i="41"/>
  <c r="D2464" i="41" s="1" a="1"/>
  <c r="D2464" i="41" s="1"/>
  <c r="H2463" i="41"/>
  <c r="C2463" i="41"/>
  <c r="D2463" i="41" s="1" a="1"/>
  <c r="D2463" i="41" s="1"/>
  <c r="H2462" i="41"/>
  <c r="C2462" i="41"/>
  <c r="D2462" i="41" s="1" a="1"/>
  <c r="D2462" i="41" s="1"/>
  <c r="H2461" i="41"/>
  <c r="C2461" i="41"/>
  <c r="D2461" i="41" s="1" a="1"/>
  <c r="D2461" i="41" s="1"/>
  <c r="C2460" i="41"/>
  <c r="H2460" i="41" s="1"/>
  <c r="H2459" i="41"/>
  <c r="C2459" i="41"/>
  <c r="D2459" i="41" s="1" a="1"/>
  <c r="D2459" i="41" s="1"/>
  <c r="C2458" i="41"/>
  <c r="C2457" i="41"/>
  <c r="H2457" i="41" s="1"/>
  <c r="C2456" i="41"/>
  <c r="C2455" i="41"/>
  <c r="H2454" i="41"/>
  <c r="C2454" i="41"/>
  <c r="D2454" i="41" s="1" a="1"/>
  <c r="D2454" i="41" s="1"/>
  <c r="H2453" i="41"/>
  <c r="D2453" i="41" a="1"/>
  <c r="D2453" i="41" s="1"/>
  <c r="C2453" i="41"/>
  <c r="H2452" i="41"/>
  <c r="C2452" i="41"/>
  <c r="D2452" i="41" s="1" a="1"/>
  <c r="D2452" i="41" s="1"/>
  <c r="H2451" i="41"/>
  <c r="C2451" i="41"/>
  <c r="D2451" i="41" s="1" a="1"/>
  <c r="D2451" i="41" s="1"/>
  <c r="H2450" i="41"/>
  <c r="C2450" i="41"/>
  <c r="D2450" i="41" s="1" a="1"/>
  <c r="D2450" i="41" s="1"/>
  <c r="C2449" i="41"/>
  <c r="C2448" i="41"/>
  <c r="D2448" i="41" s="1" a="1"/>
  <c r="D2448" i="41" s="1"/>
  <c r="H2447" i="41"/>
  <c r="D2447" i="41" a="1"/>
  <c r="D2447" i="41" s="1"/>
  <c r="C2447" i="41"/>
  <c r="H2446" i="41"/>
  <c r="C2446" i="41"/>
  <c r="D2446" i="41" s="1" a="1"/>
  <c r="D2446" i="41" s="1"/>
  <c r="H2445" i="41"/>
  <c r="C2445" i="41"/>
  <c r="D2445" i="41" s="1" a="1"/>
  <c r="D2445" i="41" s="1"/>
  <c r="C2444" i="41"/>
  <c r="H2444" i="41" s="1"/>
  <c r="H2443" i="41"/>
  <c r="D2443" i="41" a="1"/>
  <c r="D2443" i="41" s="1"/>
  <c r="C2443" i="41"/>
  <c r="C2442" i="41"/>
  <c r="C2441" i="41"/>
  <c r="H2441" i="41" s="1"/>
  <c r="C2440" i="41"/>
  <c r="C2439" i="41"/>
  <c r="C2438" i="41"/>
  <c r="H2438" i="41" s="1"/>
  <c r="H2437" i="41"/>
  <c r="C2437" i="41"/>
  <c r="D2437" i="41" s="1" a="1"/>
  <c r="D2437" i="41" s="1"/>
  <c r="H2436" i="41"/>
  <c r="C2436" i="41"/>
  <c r="D2436" i="41" s="1" a="1"/>
  <c r="D2436" i="41" s="1"/>
  <c r="H2435" i="41"/>
  <c r="C2435" i="41"/>
  <c r="D2435" i="41" s="1" a="1"/>
  <c r="D2435" i="41" s="1"/>
  <c r="H2434" i="41"/>
  <c r="C2434" i="41"/>
  <c r="D2434" i="41" s="1" a="1"/>
  <c r="D2434" i="41" s="1"/>
  <c r="C2433" i="41"/>
  <c r="C2432" i="41"/>
  <c r="D2432" i="41" s="1" a="1"/>
  <c r="D2432" i="41" s="1"/>
  <c r="H2431" i="41"/>
  <c r="C2431" i="41"/>
  <c r="D2431" i="41" s="1" a="1"/>
  <c r="D2431" i="41" s="1"/>
  <c r="H2430" i="41"/>
  <c r="C2430" i="41"/>
  <c r="D2430" i="41" s="1" a="1"/>
  <c r="D2430" i="41" s="1"/>
  <c r="H2429" i="41"/>
  <c r="C2429" i="41"/>
  <c r="D2429" i="41" s="1" a="1"/>
  <c r="D2429" i="41" s="1"/>
  <c r="C2428" i="41"/>
  <c r="H2428" i="41" s="1"/>
  <c r="H2427" i="41"/>
  <c r="C2427" i="41"/>
  <c r="D2427" i="41" s="1" a="1"/>
  <c r="D2427" i="41" s="1"/>
  <c r="C2426" i="41"/>
  <c r="C2425" i="41"/>
  <c r="H2425" i="41" s="1"/>
  <c r="C2424" i="41"/>
  <c r="D2424" i="41" s="1" a="1"/>
  <c r="D2424" i="41" s="1"/>
  <c r="C2423" i="41"/>
  <c r="H2423" i="41" s="1"/>
  <c r="H2422" i="41"/>
  <c r="C2422" i="41"/>
  <c r="D2422" i="41" s="1" a="1"/>
  <c r="D2422" i="41" s="1"/>
  <c r="H2421" i="41"/>
  <c r="C2421" i="41"/>
  <c r="D2421" i="41" s="1" a="1"/>
  <c r="D2421" i="41" s="1"/>
  <c r="H2420" i="41"/>
  <c r="C2420" i="41"/>
  <c r="D2420" i="41" s="1" a="1"/>
  <c r="D2420" i="41" s="1"/>
  <c r="H2419" i="41"/>
  <c r="C2419" i="41"/>
  <c r="D2419" i="41" s="1" a="1"/>
  <c r="D2419" i="41" s="1"/>
  <c r="C2418" i="41"/>
  <c r="D2417" i="41" a="1"/>
  <c r="D2417" i="41" s="1"/>
  <c r="C2417" i="41"/>
  <c r="H2417" i="41" s="1"/>
  <c r="C2416" i="41"/>
  <c r="D2416" i="41" s="1" a="1"/>
  <c r="D2416" i="41" s="1"/>
  <c r="C2415" i="41"/>
  <c r="H2415" i="41" s="1"/>
  <c r="H2414" i="41"/>
  <c r="C2414" i="41"/>
  <c r="D2414" i="41" s="1" a="1"/>
  <c r="D2414" i="41" s="1"/>
  <c r="H2413" i="41"/>
  <c r="C2413" i="41"/>
  <c r="D2413" i="41" s="1" a="1"/>
  <c r="D2413" i="41" s="1"/>
  <c r="H2412" i="41"/>
  <c r="C2412" i="41"/>
  <c r="D2412" i="41" s="1" a="1"/>
  <c r="D2412" i="41" s="1"/>
  <c r="H2411" i="41"/>
  <c r="C2411" i="41"/>
  <c r="D2411" i="41" s="1" a="1"/>
  <c r="D2411" i="41" s="1"/>
  <c r="C2410" i="41"/>
  <c r="C2409" i="41"/>
  <c r="H2409" i="41" s="1"/>
  <c r="C2408" i="41"/>
  <c r="D2408" i="41" s="1" a="1"/>
  <c r="D2408" i="41" s="1"/>
  <c r="C2407" i="41"/>
  <c r="H2407" i="41" s="1"/>
  <c r="H2406" i="41"/>
  <c r="C2406" i="41"/>
  <c r="D2406" i="41" s="1" a="1"/>
  <c r="D2406" i="41" s="1"/>
  <c r="H2405" i="41"/>
  <c r="D2405" i="41" a="1"/>
  <c r="D2405" i="41" s="1"/>
  <c r="C2405" i="41"/>
  <c r="H2404" i="41"/>
  <c r="C2404" i="41"/>
  <c r="D2404" i="41" s="1" a="1"/>
  <c r="D2404" i="41" s="1"/>
  <c r="H2403" i="41"/>
  <c r="C2403" i="41"/>
  <c r="D2403" i="41" s="1" a="1"/>
  <c r="D2403" i="41" s="1"/>
  <c r="C2402" i="41"/>
  <c r="C2401" i="41"/>
  <c r="C2400" i="41"/>
  <c r="D2400" i="41" s="1" a="1"/>
  <c r="D2400" i="41" s="1"/>
  <c r="C2399" i="41"/>
  <c r="H2399" i="41" s="1"/>
  <c r="H2398" i="41"/>
  <c r="C2398" i="41"/>
  <c r="D2398" i="41" s="1" a="1"/>
  <c r="D2398" i="41" s="1"/>
  <c r="H2397" i="41"/>
  <c r="C2397" i="41"/>
  <c r="D2397" i="41" s="1" a="1"/>
  <c r="D2397" i="41" s="1"/>
  <c r="H2396" i="41"/>
  <c r="C2396" i="41"/>
  <c r="D2396" i="41" s="1" a="1"/>
  <c r="D2396" i="41" s="1"/>
  <c r="H2395" i="41"/>
  <c r="D2395" i="41" a="1"/>
  <c r="D2395" i="41" s="1"/>
  <c r="C2395" i="41"/>
  <c r="C2394" i="41"/>
  <c r="C2393" i="41"/>
  <c r="H2393" i="41" s="1"/>
  <c r="C2392" i="41"/>
  <c r="D2392" i="41" s="1" a="1"/>
  <c r="D2392" i="41" s="1"/>
  <c r="C2391" i="41"/>
  <c r="H2391" i="41" s="1"/>
  <c r="H2390" i="41"/>
  <c r="C2390" i="41"/>
  <c r="D2390" i="41" s="1" a="1"/>
  <c r="D2390" i="41" s="1"/>
  <c r="H2389" i="41"/>
  <c r="D2389" i="41" a="1"/>
  <c r="D2389" i="41" s="1"/>
  <c r="C2389" i="41"/>
  <c r="H2388" i="41"/>
  <c r="C2388" i="41"/>
  <c r="D2388" i="41" s="1" a="1"/>
  <c r="D2388" i="41" s="1"/>
  <c r="H2387" i="41"/>
  <c r="C2387" i="41"/>
  <c r="D2387" i="41" s="1" a="1"/>
  <c r="D2387" i="41" s="1"/>
  <c r="C2386" i="41"/>
  <c r="C2385" i="41"/>
  <c r="D2384" i="41"/>
  <c r="C2384" i="41"/>
  <c r="D2384" i="41" s="1" a="1"/>
  <c r="C2383" i="41"/>
  <c r="H2383" i="41" s="1"/>
  <c r="H2382" i="41"/>
  <c r="C2382" i="41"/>
  <c r="D2382" i="41" s="1" a="1"/>
  <c r="D2382" i="41" s="1"/>
  <c r="H2381" i="41"/>
  <c r="C2381" i="41"/>
  <c r="D2381" i="41" s="1" a="1"/>
  <c r="D2381" i="41" s="1"/>
  <c r="H2380" i="41"/>
  <c r="C2380" i="41"/>
  <c r="D2380" i="41" s="1" a="1"/>
  <c r="D2380" i="41" s="1"/>
  <c r="H2379" i="41"/>
  <c r="C2379" i="41"/>
  <c r="D2379" i="41" s="1" a="1"/>
  <c r="D2379" i="41" s="1"/>
  <c r="C2378" i="41"/>
  <c r="C2377" i="41"/>
  <c r="H2377" i="41" s="1"/>
  <c r="C2376" i="41"/>
  <c r="D2376" i="41" s="1" a="1"/>
  <c r="D2376" i="41" s="1"/>
  <c r="C2375" i="41"/>
  <c r="H2375" i="41" s="1"/>
  <c r="H2374" i="41"/>
  <c r="C2374" i="41"/>
  <c r="D2374" i="41" s="1" a="1"/>
  <c r="D2374" i="41" s="1"/>
  <c r="H2373" i="41"/>
  <c r="C2373" i="41"/>
  <c r="D2373" i="41" s="1" a="1"/>
  <c r="D2373" i="41" s="1"/>
  <c r="H2372" i="41"/>
  <c r="C2372" i="41"/>
  <c r="D2372" i="41" s="1" a="1"/>
  <c r="D2372" i="41" s="1"/>
  <c r="H2371" i="41"/>
  <c r="C2371" i="41"/>
  <c r="D2371" i="41" s="1" a="1"/>
  <c r="D2371" i="41" s="1"/>
  <c r="C2370" i="41"/>
  <c r="C2369" i="41"/>
  <c r="H2369" i="41" s="1"/>
  <c r="C2368" i="41"/>
  <c r="D2368" i="41" s="1" a="1"/>
  <c r="D2368" i="41" s="1"/>
  <c r="C2367" i="41"/>
  <c r="H2367" i="41" s="1"/>
  <c r="H2366" i="41"/>
  <c r="C2366" i="41"/>
  <c r="D2366" i="41" s="1" a="1"/>
  <c r="D2366" i="41" s="1"/>
  <c r="H2365" i="41"/>
  <c r="C2365" i="41"/>
  <c r="D2365" i="41" s="1" a="1"/>
  <c r="D2365" i="41" s="1"/>
  <c r="H2364" i="41"/>
  <c r="C2364" i="41"/>
  <c r="D2364" i="41" s="1" a="1"/>
  <c r="D2364" i="41" s="1"/>
  <c r="H2363" i="41"/>
  <c r="D2363" i="41" a="1"/>
  <c r="D2363" i="41" s="1"/>
  <c r="C2363" i="41"/>
  <c r="H2362" i="41"/>
  <c r="C2362" i="41"/>
  <c r="D2362" i="41" s="1" a="1"/>
  <c r="D2362" i="41" s="1"/>
  <c r="C2361" i="41"/>
  <c r="H2361" i="41" s="1"/>
  <c r="C2360" i="41"/>
  <c r="D2360" i="41" s="1" a="1"/>
  <c r="D2360" i="41" s="1"/>
  <c r="C2359" i="41"/>
  <c r="H2359" i="41" s="1"/>
  <c r="C2358" i="41"/>
  <c r="D2358" i="41" s="1" a="1"/>
  <c r="D2358" i="41" s="1"/>
  <c r="H2357" i="41"/>
  <c r="C2357" i="41"/>
  <c r="D2357" i="41" s="1" a="1"/>
  <c r="D2357" i="41" s="1"/>
  <c r="H2356" i="41"/>
  <c r="C2356" i="41"/>
  <c r="D2356" i="41" s="1" a="1"/>
  <c r="D2356" i="41" s="1"/>
  <c r="H2355" i="41"/>
  <c r="C2355" i="41"/>
  <c r="D2355" i="41" s="1" a="1"/>
  <c r="D2355" i="41" s="1"/>
  <c r="C2354" i="41"/>
  <c r="D2354" i="41" s="1" a="1"/>
  <c r="D2354" i="41" s="1"/>
  <c r="C2353" i="41"/>
  <c r="H2353" i="41" s="1"/>
  <c r="C2352" i="41"/>
  <c r="C2351" i="41"/>
  <c r="H2351" i="41" s="1"/>
  <c r="H2350" i="41"/>
  <c r="C2350" i="41"/>
  <c r="D2350" i="41" s="1" a="1"/>
  <c r="D2350" i="41" s="1"/>
  <c r="H2349" i="41"/>
  <c r="C2349" i="41"/>
  <c r="D2349" i="41" s="1" a="1"/>
  <c r="D2349" i="41" s="1"/>
  <c r="H2348" i="41"/>
  <c r="C2348" i="41"/>
  <c r="D2348" i="41" s="1" a="1"/>
  <c r="D2348" i="41" s="1"/>
  <c r="H2347" i="41"/>
  <c r="C2347" i="41"/>
  <c r="D2347" i="41" s="1" a="1"/>
  <c r="D2347" i="41" s="1"/>
  <c r="C2346" i="41"/>
  <c r="D2346" i="41" s="1" a="1"/>
  <c r="D2346" i="41" s="1"/>
  <c r="C2345" i="41"/>
  <c r="C2344" i="41"/>
  <c r="C2343" i="41"/>
  <c r="H2343" i="41" s="1"/>
  <c r="C2342" i="41"/>
  <c r="D2342" i="41" s="1" a="1"/>
  <c r="D2342" i="41" s="1"/>
  <c r="H2341" i="41"/>
  <c r="C2341" i="41"/>
  <c r="D2341" i="41" s="1" a="1"/>
  <c r="D2341" i="41" s="1"/>
  <c r="H2340" i="41"/>
  <c r="C2340" i="41"/>
  <c r="D2340" i="41" s="1" a="1"/>
  <c r="D2340" i="41" s="1"/>
  <c r="H2339" i="41"/>
  <c r="C2339" i="41"/>
  <c r="D2339" i="41" s="1" a="1"/>
  <c r="D2339" i="41" s="1"/>
  <c r="C2338" i="41"/>
  <c r="C2337" i="41"/>
  <c r="H2337" i="41" s="1"/>
  <c r="C2336" i="41"/>
  <c r="C2335" i="41"/>
  <c r="H2335" i="41" s="1"/>
  <c r="C2334" i="41"/>
  <c r="D2334" i="41" s="1" a="1"/>
  <c r="D2334" i="41" s="1"/>
  <c r="H2333" i="41"/>
  <c r="C2333" i="41"/>
  <c r="D2333" i="41" s="1" a="1"/>
  <c r="D2333" i="41" s="1"/>
  <c r="H2332" i="41"/>
  <c r="C2332" i="41"/>
  <c r="D2332" i="41" s="1" a="1"/>
  <c r="D2332" i="41" s="1"/>
  <c r="H2331" i="41"/>
  <c r="C2331" i="41"/>
  <c r="D2331" i="41" s="1" a="1"/>
  <c r="D2331" i="41" s="1"/>
  <c r="H2330" i="41"/>
  <c r="C2330" i="41"/>
  <c r="D2330" i="41" s="1" a="1"/>
  <c r="D2330" i="41" s="1"/>
  <c r="C2329" i="41"/>
  <c r="C2328" i="41"/>
  <c r="C2327" i="41"/>
  <c r="H2327" i="41" s="1"/>
  <c r="H2326" i="41"/>
  <c r="C2326" i="41"/>
  <c r="D2326" i="41" s="1" a="1"/>
  <c r="D2326" i="41" s="1"/>
  <c r="H2325" i="41"/>
  <c r="C2325" i="41"/>
  <c r="D2325" i="41" s="1" a="1"/>
  <c r="D2325" i="41" s="1"/>
  <c r="H2324" i="41"/>
  <c r="C2324" i="41"/>
  <c r="D2324" i="41" s="1" a="1"/>
  <c r="D2324" i="41" s="1"/>
  <c r="H2323" i="41"/>
  <c r="C2323" i="41"/>
  <c r="D2323" i="41" s="1" a="1"/>
  <c r="D2323" i="41" s="1"/>
  <c r="C2322" i="41"/>
  <c r="C2321" i="41"/>
  <c r="C2320" i="41"/>
  <c r="C2319" i="41"/>
  <c r="H2319" i="41" s="1"/>
  <c r="H2318" i="41"/>
  <c r="C2318" i="41"/>
  <c r="D2318" i="41" s="1" a="1"/>
  <c r="D2318" i="41" s="1"/>
  <c r="H2317" i="41"/>
  <c r="C2317" i="41"/>
  <c r="D2317" i="41" s="1" a="1"/>
  <c r="D2317" i="41" s="1"/>
  <c r="H2316" i="41"/>
  <c r="C2316" i="41"/>
  <c r="D2316" i="41" s="1" a="1"/>
  <c r="D2316" i="41" s="1"/>
  <c r="H2315" i="41"/>
  <c r="D2315" i="41" a="1"/>
  <c r="D2315" i="41" s="1"/>
  <c r="C2315" i="41"/>
  <c r="C2314" i="41"/>
  <c r="D2314" i="41" s="1" a="1"/>
  <c r="D2314" i="41" s="1"/>
  <c r="C2313" i="41"/>
  <c r="H2313" i="41" s="1"/>
  <c r="C2312" i="41"/>
  <c r="C2311" i="41"/>
  <c r="H2311" i="41" s="1"/>
  <c r="H2310" i="41"/>
  <c r="C2310" i="41"/>
  <c r="D2310" i="41" s="1" a="1"/>
  <c r="D2310" i="41" s="1"/>
  <c r="H2309" i="41"/>
  <c r="C2309" i="41"/>
  <c r="D2309" i="41" s="1" a="1"/>
  <c r="D2309" i="41" s="1"/>
  <c r="H2308" i="41"/>
  <c r="C2308" i="41"/>
  <c r="D2308" i="41" s="1" a="1"/>
  <c r="D2308" i="41" s="1"/>
  <c r="H2307" i="41"/>
  <c r="C2307" i="41"/>
  <c r="D2307" i="41" s="1" a="1"/>
  <c r="D2307" i="41" s="1"/>
  <c r="H2306" i="41"/>
  <c r="C2306" i="41"/>
  <c r="D2306" i="41" s="1" a="1"/>
  <c r="D2306" i="41" s="1"/>
  <c r="C2305" i="41"/>
  <c r="H2305" i="41" s="1"/>
  <c r="C2304" i="41"/>
  <c r="C2303" i="41"/>
  <c r="H2303" i="41" s="1"/>
  <c r="C2302" i="41"/>
  <c r="D2302" i="41" s="1" a="1"/>
  <c r="D2302" i="41" s="1"/>
  <c r="H2301" i="41"/>
  <c r="C2301" i="41"/>
  <c r="D2301" i="41" s="1" a="1"/>
  <c r="D2301" i="41" s="1"/>
  <c r="H2300" i="41"/>
  <c r="C2300" i="41"/>
  <c r="D2300" i="41" s="1" a="1"/>
  <c r="D2300" i="41" s="1"/>
  <c r="H2299" i="41"/>
  <c r="C2299" i="41"/>
  <c r="D2299" i="41" s="1" a="1"/>
  <c r="D2299" i="41" s="1"/>
  <c r="H2298" i="41"/>
  <c r="C2298" i="41"/>
  <c r="D2298" i="41" s="1" a="1"/>
  <c r="D2298" i="41" s="1"/>
  <c r="C2297" i="41"/>
  <c r="C2296" i="41"/>
  <c r="C2295" i="41"/>
  <c r="H2295" i="41" s="1"/>
  <c r="C2294" i="41"/>
  <c r="H2293" i="41"/>
  <c r="C2293" i="41"/>
  <c r="D2293" i="41" s="1" a="1"/>
  <c r="D2293" i="41" s="1"/>
  <c r="H2292" i="41"/>
  <c r="C2292" i="41"/>
  <c r="D2292" i="41" s="1" a="1"/>
  <c r="D2292" i="41" s="1"/>
  <c r="H2291" i="41"/>
  <c r="C2291" i="41"/>
  <c r="D2291" i="41" s="1" a="1"/>
  <c r="D2291" i="41" s="1"/>
  <c r="H2290" i="41"/>
  <c r="C2290" i="41"/>
  <c r="D2290" i="41" s="1" a="1"/>
  <c r="D2290" i="41" s="1"/>
  <c r="D2289" i="41" a="1"/>
  <c r="D2289" i="41" s="1"/>
  <c r="C2289" i="41"/>
  <c r="H2289" i="41" s="1"/>
  <c r="C2288" i="41"/>
  <c r="C2287" i="41"/>
  <c r="H2287" i="41" s="1"/>
  <c r="H2286" i="41"/>
  <c r="D2286" i="41"/>
  <c r="C2286" i="41"/>
  <c r="D2286" i="41" s="1" a="1"/>
  <c r="H2285" i="41"/>
  <c r="D2285" i="41" a="1"/>
  <c r="D2285" i="41" s="1"/>
  <c r="C2285" i="41"/>
  <c r="H2284" i="41"/>
  <c r="C2284" i="41"/>
  <c r="D2284" i="41" s="1" a="1"/>
  <c r="D2284" i="41" s="1"/>
  <c r="H2283" i="41"/>
  <c r="C2283" i="41"/>
  <c r="D2283" i="41" s="1" a="1"/>
  <c r="D2283" i="41" s="1"/>
  <c r="C2282" i="41"/>
  <c r="D2282" i="41" s="1" a="1"/>
  <c r="D2282" i="41" s="1"/>
  <c r="C2281" i="41"/>
  <c r="C2280" i="41"/>
  <c r="C2279" i="41"/>
  <c r="H2279" i="41" s="1"/>
  <c r="H2278" i="41"/>
  <c r="C2278" i="41"/>
  <c r="D2278" i="41" s="1" a="1"/>
  <c r="D2278" i="41" s="1"/>
  <c r="H2277" i="41"/>
  <c r="D2277" i="41" a="1"/>
  <c r="D2277" i="41" s="1"/>
  <c r="C2277" i="41"/>
  <c r="H2276" i="41"/>
  <c r="C2276" i="41"/>
  <c r="D2276" i="41" s="1" a="1"/>
  <c r="D2276" i="41" s="1"/>
  <c r="H2275" i="41"/>
  <c r="C2275" i="41"/>
  <c r="D2275" i="41" s="1" a="1"/>
  <c r="D2275" i="41" s="1"/>
  <c r="C2274" i="41"/>
  <c r="C2273" i="41"/>
  <c r="H2273" i="41" s="1"/>
  <c r="C2272" i="41"/>
  <c r="C2271" i="41"/>
  <c r="H2270" i="41"/>
  <c r="C2270" i="41"/>
  <c r="D2270" i="41" s="1" a="1"/>
  <c r="D2270" i="41" s="1"/>
  <c r="H2269" i="41"/>
  <c r="C2269" i="41"/>
  <c r="D2269" i="41" s="1" a="1"/>
  <c r="D2269" i="41" s="1"/>
  <c r="H2268" i="41"/>
  <c r="C2268" i="41"/>
  <c r="D2268" i="41" s="1" a="1"/>
  <c r="D2268" i="41" s="1"/>
  <c r="H2267" i="41"/>
  <c r="C2267" i="41"/>
  <c r="D2267" i="41" s="1" a="1"/>
  <c r="D2267" i="41" s="1"/>
  <c r="H2266" i="41"/>
  <c r="C2266" i="41"/>
  <c r="D2266" i="41" s="1" a="1"/>
  <c r="D2266" i="41" s="1"/>
  <c r="C2265" i="41"/>
  <c r="H2265" i="41" s="1"/>
  <c r="C2264" i="41"/>
  <c r="C2263" i="41"/>
  <c r="H2262" i="41"/>
  <c r="C2262" i="41"/>
  <c r="D2262" i="41" s="1" a="1"/>
  <c r="D2262" i="41" s="1"/>
  <c r="H2261" i="41"/>
  <c r="C2261" i="41"/>
  <c r="D2261" i="41" s="1" a="1"/>
  <c r="D2261" i="41" s="1"/>
  <c r="H2260" i="41"/>
  <c r="C2260" i="41"/>
  <c r="D2260" i="41" s="1" a="1"/>
  <c r="D2260" i="41" s="1"/>
  <c r="H2259" i="41"/>
  <c r="C2259" i="41"/>
  <c r="D2259" i="41" s="1" a="1"/>
  <c r="D2259" i="41" s="1"/>
  <c r="C2258" i="41"/>
  <c r="C2257" i="41"/>
  <c r="C2256" i="41"/>
  <c r="C2255" i="41"/>
  <c r="H2254" i="41"/>
  <c r="C2254" i="41"/>
  <c r="D2254" i="41" s="1" a="1"/>
  <c r="D2254" i="41" s="1"/>
  <c r="H2253" i="41"/>
  <c r="C2253" i="41"/>
  <c r="D2253" i="41" s="1" a="1"/>
  <c r="D2253" i="41" s="1"/>
  <c r="H2252" i="41"/>
  <c r="C2252" i="41"/>
  <c r="D2252" i="41" s="1" a="1"/>
  <c r="D2252" i="41" s="1"/>
  <c r="H2251" i="41"/>
  <c r="C2251" i="41"/>
  <c r="D2251" i="41" s="1" a="1"/>
  <c r="D2251" i="41" s="1"/>
  <c r="H2250" i="41"/>
  <c r="C2250" i="41"/>
  <c r="D2250" i="41" s="1" a="1"/>
  <c r="D2250" i="41" s="1"/>
  <c r="C2249" i="41"/>
  <c r="H2249" i="41" s="1"/>
  <c r="C2248" i="41"/>
  <c r="C2247" i="41"/>
  <c r="C2246" i="41"/>
  <c r="H2245" i="41"/>
  <c r="C2245" i="41"/>
  <c r="D2245" i="41" s="1" a="1"/>
  <c r="D2245" i="41" s="1"/>
  <c r="H2244" i="41"/>
  <c r="C2244" i="41"/>
  <c r="D2244" i="41" s="1" a="1"/>
  <c r="D2244" i="41" s="1"/>
  <c r="H2243" i="41"/>
  <c r="C2243" i="41"/>
  <c r="D2243" i="41" s="1" a="1"/>
  <c r="D2243" i="41" s="1"/>
  <c r="C2242" i="41"/>
  <c r="D2241" i="41" a="1"/>
  <c r="D2241" i="41" s="1"/>
  <c r="C2241" i="41"/>
  <c r="H2241" i="41" s="1"/>
  <c r="C2240" i="41"/>
  <c r="C2239" i="41"/>
  <c r="H2238" i="41"/>
  <c r="C2238" i="41"/>
  <c r="D2238" i="41" s="1" a="1"/>
  <c r="D2238" i="41" s="1"/>
  <c r="H2237" i="41"/>
  <c r="C2237" i="41"/>
  <c r="D2237" i="41" s="1" a="1"/>
  <c r="D2237" i="41" s="1"/>
  <c r="H2236" i="41"/>
  <c r="C2236" i="41"/>
  <c r="D2236" i="41" s="1" a="1"/>
  <c r="D2236" i="41" s="1"/>
  <c r="H2235" i="41"/>
  <c r="C2235" i="41"/>
  <c r="D2235" i="41" s="1" a="1"/>
  <c r="D2235" i="41" s="1"/>
  <c r="H2234" i="41"/>
  <c r="C2234" i="41"/>
  <c r="D2234" i="41" s="1" a="1"/>
  <c r="D2234" i="41" s="1"/>
  <c r="C2233" i="41"/>
  <c r="H2233" i="41" s="1"/>
  <c r="C2232" i="41"/>
  <c r="C2231" i="41"/>
  <c r="C2230" i="41"/>
  <c r="D2230" i="41" s="1" a="1"/>
  <c r="D2230" i="41" s="1"/>
  <c r="H2229" i="41"/>
  <c r="C2229" i="41"/>
  <c r="D2229" i="41" s="1" a="1"/>
  <c r="D2229" i="41" s="1"/>
  <c r="H2228" i="41"/>
  <c r="C2228" i="41"/>
  <c r="D2228" i="41" s="1" a="1"/>
  <c r="D2228" i="41" s="1"/>
  <c r="H2227" i="41"/>
  <c r="C2227" i="41"/>
  <c r="D2227" i="41" s="1" a="1"/>
  <c r="D2227" i="41" s="1"/>
  <c r="C2226" i="41"/>
  <c r="C2225" i="41"/>
  <c r="H2225" i="41" s="1"/>
  <c r="C2224" i="41"/>
  <c r="C2223" i="41"/>
  <c r="H2222" i="41"/>
  <c r="C2222" i="41"/>
  <c r="D2222" i="41" s="1" a="1"/>
  <c r="D2222" i="41" s="1"/>
  <c r="H2221" i="41"/>
  <c r="C2221" i="41"/>
  <c r="D2221" i="41" s="1" a="1"/>
  <c r="D2221" i="41" s="1"/>
  <c r="H2220" i="41"/>
  <c r="C2220" i="41"/>
  <c r="D2220" i="41" s="1" a="1"/>
  <c r="D2220" i="41" s="1"/>
  <c r="H2219" i="41"/>
  <c r="C2219" i="41"/>
  <c r="D2219" i="41" s="1" a="1"/>
  <c r="D2219" i="41" s="1"/>
  <c r="H2218" i="41"/>
  <c r="C2218" i="41"/>
  <c r="D2218" i="41" s="1" a="1"/>
  <c r="D2218" i="41" s="1"/>
  <c r="C2217" i="41"/>
  <c r="H2217" i="41" s="1"/>
  <c r="C2216" i="41"/>
  <c r="C2215" i="41"/>
  <c r="C2214" i="41"/>
  <c r="D2214" i="41" s="1" a="1"/>
  <c r="D2214" i="41" s="1"/>
  <c r="H2213" i="41"/>
  <c r="C2213" i="41"/>
  <c r="D2213" i="41" s="1" a="1"/>
  <c r="D2213" i="41" s="1"/>
  <c r="H2212" i="41"/>
  <c r="C2212" i="41"/>
  <c r="D2212" i="41" s="1" a="1"/>
  <c r="D2212" i="41" s="1"/>
  <c r="H2211" i="41"/>
  <c r="C2211" i="41"/>
  <c r="D2211" i="41" s="1" a="1"/>
  <c r="D2211" i="41" s="1"/>
  <c r="C2210" i="41"/>
  <c r="C2209" i="41"/>
  <c r="C2208" i="41"/>
  <c r="C2207" i="41"/>
  <c r="H2206" i="41"/>
  <c r="C2206" i="41"/>
  <c r="D2206" i="41" s="1" a="1"/>
  <c r="D2206" i="41" s="1"/>
  <c r="H2205" i="41"/>
  <c r="C2205" i="41"/>
  <c r="D2205" i="41" s="1" a="1"/>
  <c r="D2205" i="41" s="1"/>
  <c r="H2204" i="41"/>
  <c r="C2204" i="41"/>
  <c r="D2204" i="41" s="1" a="1"/>
  <c r="D2204" i="41" s="1"/>
  <c r="H2203" i="41"/>
  <c r="C2203" i="41"/>
  <c r="D2203" i="41" s="1" a="1"/>
  <c r="D2203" i="41" s="1"/>
  <c r="H2202" i="41"/>
  <c r="D2202" i="41" a="1"/>
  <c r="D2202" i="41" s="1"/>
  <c r="C2202" i="41"/>
  <c r="C2201" i="41"/>
  <c r="H2201" i="41" s="1"/>
  <c r="C2200" i="41"/>
  <c r="C2199" i="41"/>
  <c r="H2198" i="41"/>
  <c r="C2198" i="41"/>
  <c r="D2198" i="41" s="1" a="1"/>
  <c r="D2198" i="41" s="1"/>
  <c r="H2197" i="41"/>
  <c r="C2197" i="41"/>
  <c r="D2197" i="41" s="1" a="1"/>
  <c r="D2197" i="41" s="1"/>
  <c r="H2196" i="41"/>
  <c r="C2196" i="41"/>
  <c r="D2196" i="41" s="1" a="1"/>
  <c r="D2196" i="41" s="1"/>
  <c r="H2195" i="41"/>
  <c r="C2195" i="41"/>
  <c r="D2195" i="41" s="1" a="1"/>
  <c r="D2195" i="41" s="1"/>
  <c r="C2194" i="41"/>
  <c r="C2193" i="41"/>
  <c r="C2192" i="41"/>
  <c r="C2191" i="41"/>
  <c r="H2190" i="41"/>
  <c r="C2190" i="41"/>
  <c r="D2190" i="41" s="1" a="1"/>
  <c r="D2190" i="41" s="1"/>
  <c r="H2189" i="41"/>
  <c r="C2189" i="41"/>
  <c r="D2189" i="41" s="1" a="1"/>
  <c r="D2189" i="41" s="1"/>
  <c r="H2188" i="41"/>
  <c r="C2188" i="41"/>
  <c r="D2188" i="41" s="1" a="1"/>
  <c r="D2188" i="41" s="1"/>
  <c r="H2187" i="41"/>
  <c r="C2187" i="41"/>
  <c r="D2187" i="41" s="1" a="1"/>
  <c r="D2187" i="41" s="1"/>
  <c r="H2186" i="41"/>
  <c r="C2186" i="41"/>
  <c r="D2186" i="41" s="1" a="1"/>
  <c r="D2186" i="41" s="1"/>
  <c r="C2185" i="41"/>
  <c r="H2185" i="41" s="1"/>
  <c r="C2184" i="41"/>
  <c r="C2183" i="41"/>
  <c r="C2182" i="41"/>
  <c r="D2182" i="41" s="1" a="1"/>
  <c r="D2182" i="41" s="1"/>
  <c r="H2181" i="41"/>
  <c r="C2181" i="41"/>
  <c r="D2181" i="41" s="1" a="1"/>
  <c r="D2181" i="41" s="1"/>
  <c r="H2180" i="41"/>
  <c r="C2180" i="41"/>
  <c r="D2180" i="41" s="1" a="1"/>
  <c r="D2180" i="41" s="1"/>
  <c r="H2179" i="41"/>
  <c r="C2179" i="41"/>
  <c r="D2179" i="41" s="1" a="1"/>
  <c r="D2179" i="41" s="1"/>
  <c r="C2178" i="41"/>
  <c r="C2177" i="41"/>
  <c r="H2177" i="41" s="1"/>
  <c r="C2176" i="41"/>
  <c r="C2175" i="41"/>
  <c r="H2174" i="41"/>
  <c r="C2174" i="41"/>
  <c r="D2174" i="41" s="1" a="1"/>
  <c r="D2174" i="41" s="1"/>
  <c r="H2173" i="41"/>
  <c r="C2173" i="41"/>
  <c r="D2173" i="41" s="1" a="1"/>
  <c r="D2173" i="41" s="1"/>
  <c r="H2172" i="41"/>
  <c r="C2172" i="41"/>
  <c r="D2172" i="41" s="1" a="1"/>
  <c r="D2172" i="41" s="1"/>
  <c r="H2171" i="41"/>
  <c r="C2171" i="41"/>
  <c r="D2171" i="41" s="1" a="1"/>
  <c r="D2171" i="41" s="1"/>
  <c r="C2170" i="41"/>
  <c r="H2170" i="41" s="1"/>
  <c r="H2169" i="41"/>
  <c r="C2169" i="41"/>
  <c r="D2169" i="41" s="1" a="1"/>
  <c r="D2169" i="41" s="1"/>
  <c r="C2168" i="41"/>
  <c r="H2168" i="41" s="1"/>
  <c r="C2167" i="41"/>
  <c r="H2166" i="41"/>
  <c r="C2166" i="41"/>
  <c r="D2166" i="41" s="1" a="1"/>
  <c r="D2166" i="41" s="1"/>
  <c r="C2165" i="41"/>
  <c r="H2164" i="41"/>
  <c r="C2164" i="41"/>
  <c r="D2164" i="41" s="1" a="1"/>
  <c r="D2164" i="41" s="1"/>
  <c r="H2163" i="41"/>
  <c r="C2163" i="41"/>
  <c r="D2163" i="41" s="1" a="1"/>
  <c r="D2163" i="41" s="1"/>
  <c r="C2162" i="41"/>
  <c r="H2161" i="41"/>
  <c r="C2161" i="41"/>
  <c r="D2161" i="41" s="1" a="1"/>
  <c r="D2161" i="41" s="1"/>
  <c r="C2160" i="41"/>
  <c r="C2159" i="41"/>
  <c r="H2158" i="41"/>
  <c r="C2158" i="41"/>
  <c r="D2158" i="41" s="1" a="1"/>
  <c r="D2158" i="41" s="1"/>
  <c r="H2157" i="41"/>
  <c r="C2157" i="41"/>
  <c r="D2157" i="41" s="1" a="1"/>
  <c r="D2157" i="41" s="1"/>
  <c r="C2156" i="41"/>
  <c r="H2155" i="41"/>
  <c r="C2155" i="41"/>
  <c r="D2155" i="41" s="1" a="1"/>
  <c r="D2155" i="41" s="1"/>
  <c r="C2154" i="41"/>
  <c r="H2153" i="41"/>
  <c r="C2153" i="41"/>
  <c r="D2153" i="41" s="1" a="1"/>
  <c r="D2153" i="41" s="1"/>
  <c r="C2152" i="41"/>
  <c r="C2151" i="41"/>
  <c r="H2150" i="41"/>
  <c r="C2150" i="41"/>
  <c r="D2150" i="41" s="1" a="1"/>
  <c r="D2150" i="41" s="1"/>
  <c r="C2149" i="41"/>
  <c r="H2149" i="41" s="1"/>
  <c r="H2148" i="41"/>
  <c r="C2148" i="41"/>
  <c r="D2148" i="41" s="1" a="1"/>
  <c r="D2148" i="41" s="1"/>
  <c r="C2147" i="41"/>
  <c r="C2146" i="41"/>
  <c r="H2145" i="41"/>
  <c r="C2145" i="41"/>
  <c r="D2145" i="41" s="1" a="1"/>
  <c r="D2145" i="41" s="1"/>
  <c r="C2144" i="41"/>
  <c r="H2143" i="41"/>
  <c r="C2143" i="41"/>
  <c r="D2143" i="41" s="1" a="1"/>
  <c r="D2143" i="41" s="1"/>
  <c r="H2142" i="41"/>
  <c r="C2142" i="41"/>
  <c r="D2142" i="41" s="1" a="1"/>
  <c r="D2142" i="41" s="1"/>
  <c r="C2141" i="41"/>
  <c r="H2141" i="41" s="1"/>
  <c r="H2140" i="41"/>
  <c r="C2140" i="41"/>
  <c r="D2140" i="41" s="1" a="1"/>
  <c r="D2140" i="41" s="1"/>
  <c r="C2139" i="41"/>
  <c r="C2138" i="41"/>
  <c r="D2138" i="41" s="1" a="1"/>
  <c r="D2138" i="41" s="1"/>
  <c r="H2137" i="41"/>
  <c r="C2137" i="41"/>
  <c r="D2137" i="41" s="1" a="1"/>
  <c r="D2137" i="41" s="1"/>
  <c r="C2136" i="41"/>
  <c r="H2135" i="41"/>
  <c r="C2135" i="41"/>
  <c r="D2135" i="41" s="1" a="1"/>
  <c r="D2135" i="41" s="1"/>
  <c r="H2134" i="41"/>
  <c r="C2134" i="41"/>
  <c r="D2134" i="41" s="1" a="1"/>
  <c r="D2134" i="41" s="1"/>
  <c r="C2133" i="41"/>
  <c r="H2132" i="41"/>
  <c r="D2132" i="41" a="1"/>
  <c r="D2132" i="41" s="1"/>
  <c r="C2132" i="41"/>
  <c r="C2131" i="41"/>
  <c r="C2130" i="41"/>
  <c r="D2130" i="41" s="1" a="1"/>
  <c r="D2130" i="41" s="1"/>
  <c r="H2129" i="41"/>
  <c r="C2129" i="41"/>
  <c r="D2129" i="41" s="1" a="1"/>
  <c r="D2129" i="41" s="1"/>
  <c r="C2128" i="41"/>
  <c r="H2128" i="41" s="1"/>
  <c r="H2127" i="41"/>
  <c r="C2127" i="41"/>
  <c r="D2127" i="41" s="1" a="1"/>
  <c r="D2127" i="41" s="1"/>
  <c r="H2126" i="41"/>
  <c r="C2126" i="41"/>
  <c r="D2126" i="41" s="1" a="1"/>
  <c r="D2126" i="41" s="1"/>
  <c r="C2125" i="41"/>
  <c r="H2124" i="41"/>
  <c r="C2124" i="41"/>
  <c r="D2124" i="41" s="1" a="1"/>
  <c r="D2124" i="41" s="1"/>
  <c r="C2123" i="41"/>
  <c r="C2122" i="41"/>
  <c r="D2122" i="41" s="1" a="1"/>
  <c r="D2122" i="41" s="1"/>
  <c r="H2121" i="41"/>
  <c r="D2121" i="41" a="1"/>
  <c r="D2121" i="41" s="1"/>
  <c r="C2121" i="41"/>
  <c r="C2120" i="41"/>
  <c r="H2119" i="41"/>
  <c r="C2119" i="41"/>
  <c r="D2119" i="41" s="1" a="1"/>
  <c r="D2119" i="41" s="1"/>
  <c r="H2118" i="41"/>
  <c r="C2118" i="41"/>
  <c r="D2118" i="41" s="1" a="1"/>
  <c r="D2118" i="41" s="1"/>
  <c r="C2117" i="41"/>
  <c r="H2116" i="41"/>
  <c r="C2116" i="41"/>
  <c r="D2116" i="41" s="1" a="1"/>
  <c r="D2116" i="41" s="1"/>
  <c r="C2115" i="41"/>
  <c r="H2115" i="41" s="1"/>
  <c r="C2114" i="41"/>
  <c r="H2113" i="41"/>
  <c r="C2113" i="41"/>
  <c r="D2113" i="41" s="1" a="1"/>
  <c r="D2113" i="41" s="1"/>
  <c r="C2112" i="41"/>
  <c r="H2111" i="41"/>
  <c r="C2111" i="41"/>
  <c r="D2111" i="41" s="1" a="1"/>
  <c r="D2111" i="41" s="1"/>
  <c r="H2110" i="41"/>
  <c r="C2110" i="41"/>
  <c r="D2110" i="41" s="1" a="1"/>
  <c r="D2110" i="41" s="1"/>
  <c r="C2109" i="41"/>
  <c r="H2109" i="41" s="1"/>
  <c r="H2108" i="41"/>
  <c r="D2108" i="41" a="1"/>
  <c r="D2108" i="41" s="1"/>
  <c r="C2108" i="41"/>
  <c r="C2107" i="41"/>
  <c r="H2107" i="41" s="1"/>
  <c r="C2106" i="41"/>
  <c r="D2106" i="41" s="1" a="1"/>
  <c r="D2106" i="41" s="1"/>
  <c r="H2105" i="41"/>
  <c r="C2105" i="41"/>
  <c r="D2105" i="41" s="1" a="1"/>
  <c r="D2105" i="41" s="1"/>
  <c r="C2104" i="41"/>
  <c r="H2104" i="41" s="1"/>
  <c r="H2103" i="41"/>
  <c r="C2103" i="41"/>
  <c r="D2103" i="41" s="1" a="1"/>
  <c r="D2103" i="41" s="1"/>
  <c r="C2102" i="41"/>
  <c r="H2102" i="41" s="1"/>
  <c r="C2101" i="41"/>
  <c r="H2101" i="41" s="1"/>
  <c r="H2100" i="41"/>
  <c r="C2100" i="41"/>
  <c r="D2100" i="41" s="1" a="1"/>
  <c r="D2100" i="41" s="1"/>
  <c r="C2099" i="41"/>
  <c r="H2099" i="41" s="1"/>
  <c r="C2098" i="41"/>
  <c r="H2097" i="41"/>
  <c r="C2097" i="41"/>
  <c r="D2097" i="41" s="1" a="1"/>
  <c r="D2097" i="41" s="1"/>
  <c r="C2096" i="41"/>
  <c r="H2095" i="41"/>
  <c r="C2095" i="41"/>
  <c r="D2095" i="41" s="1" a="1"/>
  <c r="D2095" i="41" s="1"/>
  <c r="H2094" i="41"/>
  <c r="C2094" i="41"/>
  <c r="D2094" i="41" s="1" a="1"/>
  <c r="D2094" i="41" s="1"/>
  <c r="C2093" i="41"/>
  <c r="H2093" i="41" s="1"/>
  <c r="H2092" i="41"/>
  <c r="C2092" i="41"/>
  <c r="D2092" i="41" s="1" a="1"/>
  <c r="D2092" i="41" s="1"/>
  <c r="C2091" i="41"/>
  <c r="H2091" i="41" s="1"/>
  <c r="H2090" i="41"/>
  <c r="C2090" i="41"/>
  <c r="D2090" i="41" s="1" a="1"/>
  <c r="D2090" i="41" s="1"/>
  <c r="C2089" i="41"/>
  <c r="H2089" i="41" s="1"/>
  <c r="H2088" i="41"/>
  <c r="C2088" i="41"/>
  <c r="D2088" i="41" s="1" a="1"/>
  <c r="D2088" i="41" s="1"/>
  <c r="H2087" i="41"/>
  <c r="C2087" i="41"/>
  <c r="D2087" i="41" s="1" a="1"/>
  <c r="D2087" i="41" s="1"/>
  <c r="H2086" i="41"/>
  <c r="C2086" i="41"/>
  <c r="D2086" i="41" s="1" a="1"/>
  <c r="D2086" i="41" s="1"/>
  <c r="C2085" i="41"/>
  <c r="H2085" i="41" s="1"/>
  <c r="D2084" i="41" a="1"/>
  <c r="D2084" i="41" s="1"/>
  <c r="C2084" i="41"/>
  <c r="H2084" i="41" s="1"/>
  <c r="C2083" i="41"/>
  <c r="C2082" i="41"/>
  <c r="D2082" i="41" s="1" a="1"/>
  <c r="D2082" i="41" s="1"/>
  <c r="H2081" i="41"/>
  <c r="D2081" i="41"/>
  <c r="C2081" i="41"/>
  <c r="D2081" i="41" s="1" a="1"/>
  <c r="H2080" i="41"/>
  <c r="C2080" i="41"/>
  <c r="D2080" i="41" s="1" a="1"/>
  <c r="D2080" i="41" s="1"/>
  <c r="H2079" i="41"/>
  <c r="C2079" i="41"/>
  <c r="D2079" i="41" s="1" a="1"/>
  <c r="D2079" i="41" s="1"/>
  <c r="C2078" i="41"/>
  <c r="H2078" i="41" s="1"/>
  <c r="C2077" i="41"/>
  <c r="H2077" i="41" s="1"/>
  <c r="H2076" i="41"/>
  <c r="C2076" i="41"/>
  <c r="D2076" i="41" s="1" a="1"/>
  <c r="D2076" i="41" s="1"/>
  <c r="D2075" i="41" a="1"/>
  <c r="D2075" i="41" s="1"/>
  <c r="C2075" i="41"/>
  <c r="H2075" i="41" s="1"/>
  <c r="H2074" i="41"/>
  <c r="C2074" i="41"/>
  <c r="D2074" i="41" s="1" a="1"/>
  <c r="D2074" i="41" s="1"/>
  <c r="C2073" i="41"/>
  <c r="H2073" i="41" s="1"/>
  <c r="H2072" i="41"/>
  <c r="C2072" i="41"/>
  <c r="D2072" i="41" s="1" a="1"/>
  <c r="D2072" i="41" s="1"/>
  <c r="H2071" i="41"/>
  <c r="C2071" i="41"/>
  <c r="D2071" i="41" s="1" a="1"/>
  <c r="D2071" i="41" s="1"/>
  <c r="H2070" i="41"/>
  <c r="C2070" i="41"/>
  <c r="D2070" i="41" s="1" a="1"/>
  <c r="D2070" i="41" s="1"/>
  <c r="C2069" i="41"/>
  <c r="C2068" i="41"/>
  <c r="C2067" i="41"/>
  <c r="C2066" i="41"/>
  <c r="D2066" i="41" s="1" a="1"/>
  <c r="D2066" i="41" s="1"/>
  <c r="H2065" i="41"/>
  <c r="C2065" i="41"/>
  <c r="D2065" i="41" s="1" a="1"/>
  <c r="D2065" i="41" s="1"/>
  <c r="H2064" i="41"/>
  <c r="C2064" i="41"/>
  <c r="D2064" i="41" s="1" a="1"/>
  <c r="D2064" i="41" s="1"/>
  <c r="H2063" i="41"/>
  <c r="C2063" i="41"/>
  <c r="D2063" i="41" s="1" a="1"/>
  <c r="D2063" i="41" s="1"/>
  <c r="C2062" i="41"/>
  <c r="H2062" i="41" s="1"/>
  <c r="D2061" i="41" a="1"/>
  <c r="D2061" i="41" s="1"/>
  <c r="C2061" i="41"/>
  <c r="H2061" i="41" s="1"/>
  <c r="H2060" i="41"/>
  <c r="C2060" i="41"/>
  <c r="D2060" i="41" s="1" a="1"/>
  <c r="D2060" i="41" s="1"/>
  <c r="C2059" i="41"/>
  <c r="H2058" i="41"/>
  <c r="C2058" i="41"/>
  <c r="D2058" i="41" s="1" a="1"/>
  <c r="D2058" i="41" s="1"/>
  <c r="C2057" i="41"/>
  <c r="H2057" i="41" s="1"/>
  <c r="H2056" i="41"/>
  <c r="C2056" i="41"/>
  <c r="D2056" i="41" s="1" a="1"/>
  <c r="D2056" i="41" s="1"/>
  <c r="C2055" i="41"/>
  <c r="H2055" i="41" s="1"/>
  <c r="C2054" i="41"/>
  <c r="H2053" i="41"/>
  <c r="C2053" i="41"/>
  <c r="D2053" i="41" s="1" a="1"/>
  <c r="D2053" i="41" s="1"/>
  <c r="C2052" i="41"/>
  <c r="H2051" i="41"/>
  <c r="C2051" i="41"/>
  <c r="D2051" i="41" s="1" a="1"/>
  <c r="D2051" i="41" s="1"/>
  <c r="H2050" i="41"/>
  <c r="C2050" i="41"/>
  <c r="D2050" i="41" s="1" a="1"/>
  <c r="D2050" i="41" s="1"/>
  <c r="C2049" i="41"/>
  <c r="H2049" i="41" s="1"/>
  <c r="H2048" i="41"/>
  <c r="C2048" i="41"/>
  <c r="D2048" i="41" s="1" a="1"/>
  <c r="D2048" i="41" s="1"/>
  <c r="C2047" i="41"/>
  <c r="C2046" i="41"/>
  <c r="H2045" i="41"/>
  <c r="C2045" i="41"/>
  <c r="D2045" i="41" s="1" a="1"/>
  <c r="D2045" i="41" s="1"/>
  <c r="C2044" i="41"/>
  <c r="H2043" i="41"/>
  <c r="C2043" i="41"/>
  <c r="D2043" i="41" s="1" a="1"/>
  <c r="D2043" i="41" s="1"/>
  <c r="H2042" i="41"/>
  <c r="C2042" i="41"/>
  <c r="D2042" i="41" s="1" a="1"/>
  <c r="D2042" i="41" s="1"/>
  <c r="C2041" i="41"/>
  <c r="H2041" i="41" s="1"/>
  <c r="H2040" i="41"/>
  <c r="C2040" i="41"/>
  <c r="D2040" i="41" s="1" a="1"/>
  <c r="D2040" i="41" s="1"/>
  <c r="C2039" i="41"/>
  <c r="C2038" i="41"/>
  <c r="H2038" i="41" s="1"/>
  <c r="H2037" i="41"/>
  <c r="C2037" i="41"/>
  <c r="D2037" i="41" s="1" a="1"/>
  <c r="D2037" i="41" s="1"/>
  <c r="C2036" i="41"/>
  <c r="H2035" i="41"/>
  <c r="D2035" i="41" a="1"/>
  <c r="D2035" i="41" s="1"/>
  <c r="C2035" i="41"/>
  <c r="H2034" i="41"/>
  <c r="D2034" i="41" a="1"/>
  <c r="D2034" i="41" s="1"/>
  <c r="C2034" i="41"/>
  <c r="C2033" i="41"/>
  <c r="H2033" i="41" s="1"/>
  <c r="H2032" i="41"/>
  <c r="C2032" i="41"/>
  <c r="D2032" i="41" s="1" a="1"/>
  <c r="D2032" i="41" s="1"/>
  <c r="C2031" i="41"/>
  <c r="C2030" i="41"/>
  <c r="H2030" i="41" s="1"/>
  <c r="H2029" i="41"/>
  <c r="C2029" i="41"/>
  <c r="D2029" i="41" s="1" a="1"/>
  <c r="D2029" i="41" s="1"/>
  <c r="C2028" i="41"/>
  <c r="H2027" i="41"/>
  <c r="C2027" i="41"/>
  <c r="D2027" i="41" s="1" a="1"/>
  <c r="D2027" i="41" s="1"/>
  <c r="H2026" i="41"/>
  <c r="C2026" i="41"/>
  <c r="D2026" i="41" s="1" a="1"/>
  <c r="D2026" i="41" s="1"/>
  <c r="C2025" i="41"/>
  <c r="H2025" i="41" s="1"/>
  <c r="H2024" i="41"/>
  <c r="C2024" i="41"/>
  <c r="D2024" i="41" s="1" a="1"/>
  <c r="D2024" i="41" s="1"/>
  <c r="D2023" i="41" a="1"/>
  <c r="D2023" i="41" s="1"/>
  <c r="C2023" i="41"/>
  <c r="H2023" i="41" s="1"/>
  <c r="C2022" i="41"/>
  <c r="H2022" i="41" s="1"/>
  <c r="H2021" i="41"/>
  <c r="C2021" i="41"/>
  <c r="D2021" i="41" s="1" a="1"/>
  <c r="D2021" i="41" s="1"/>
  <c r="C2020" i="41"/>
  <c r="H2019" i="41"/>
  <c r="C2019" i="41"/>
  <c r="D2019" i="41" s="1" a="1"/>
  <c r="D2019" i="41" s="1"/>
  <c r="H2018" i="41"/>
  <c r="C2018" i="41"/>
  <c r="D2018" i="41" s="1" a="1"/>
  <c r="D2018" i="41" s="1"/>
  <c r="C2017" i="41"/>
  <c r="H2017" i="41" s="1"/>
  <c r="H2016" i="41"/>
  <c r="C2016" i="41"/>
  <c r="D2016" i="41" s="1" a="1"/>
  <c r="D2016" i="41" s="1"/>
  <c r="C2015" i="41"/>
  <c r="C2014" i="41"/>
  <c r="H2013" i="41"/>
  <c r="C2013" i="41"/>
  <c r="D2013" i="41" s="1" a="1"/>
  <c r="D2013" i="41" s="1"/>
  <c r="C2012" i="41"/>
  <c r="H2011" i="41"/>
  <c r="C2011" i="41"/>
  <c r="D2011" i="41" s="1" a="1"/>
  <c r="D2011" i="41" s="1"/>
  <c r="H2010" i="41"/>
  <c r="C2010" i="41"/>
  <c r="D2010" i="41" s="1" a="1"/>
  <c r="D2010" i="41" s="1"/>
  <c r="C2009" i="41"/>
  <c r="H2009" i="41" s="1"/>
  <c r="H2008" i="41"/>
  <c r="C2008" i="41"/>
  <c r="D2008" i="41" s="1" a="1"/>
  <c r="D2008" i="41" s="1"/>
  <c r="C2007" i="41"/>
  <c r="H2007" i="41" s="1"/>
  <c r="C2006" i="41"/>
  <c r="H2005" i="41"/>
  <c r="C2005" i="41"/>
  <c r="D2005" i="41" s="1" a="1"/>
  <c r="D2005" i="41" s="1"/>
  <c r="C2004" i="41"/>
  <c r="H2003" i="41"/>
  <c r="C2003" i="41"/>
  <c r="D2003" i="41" s="1" a="1"/>
  <c r="D2003" i="41" s="1"/>
  <c r="H2002" i="41"/>
  <c r="C2002" i="41"/>
  <c r="D2002" i="41" s="1" a="1"/>
  <c r="D2002" i="41" s="1"/>
  <c r="C2001" i="41"/>
  <c r="H2001" i="41" s="1"/>
  <c r="H2000" i="41"/>
  <c r="C2000" i="41"/>
  <c r="D2000" i="41" s="1" a="1"/>
  <c r="D2000" i="41" s="1"/>
  <c r="C1999" i="41"/>
  <c r="H1999" i="41" s="1"/>
  <c r="C1998" i="41"/>
  <c r="H1998" i="41" s="1"/>
  <c r="H1997" i="41"/>
  <c r="C1997" i="41"/>
  <c r="D1997" i="41" s="1" a="1"/>
  <c r="D1997" i="41" s="1"/>
  <c r="C1996" i="41"/>
  <c r="H1995" i="41"/>
  <c r="C1995" i="41"/>
  <c r="D1995" i="41" s="1" a="1"/>
  <c r="D1995" i="41" s="1"/>
  <c r="H1994" i="41"/>
  <c r="C1994" i="41"/>
  <c r="D1994" i="41" s="1" a="1"/>
  <c r="D1994" i="41" s="1"/>
  <c r="C1993" i="41"/>
  <c r="H1993" i="41" s="1"/>
  <c r="H1992" i="41"/>
  <c r="C1992" i="41"/>
  <c r="D1992" i="41" s="1" a="1"/>
  <c r="D1992" i="41" s="1"/>
  <c r="C1991" i="41"/>
  <c r="C1990" i="41"/>
  <c r="H1990" i="41" s="1"/>
  <c r="H1989" i="41"/>
  <c r="C1989" i="41"/>
  <c r="D1989" i="41" s="1" a="1"/>
  <c r="D1989" i="41" s="1"/>
  <c r="C1988" i="41"/>
  <c r="H1987" i="41"/>
  <c r="C1987" i="41"/>
  <c r="D1987" i="41" s="1" a="1"/>
  <c r="D1987" i="41" s="1"/>
  <c r="H1986" i="41"/>
  <c r="C1986" i="41"/>
  <c r="D1986" i="41" s="1" a="1"/>
  <c r="D1986" i="41" s="1"/>
  <c r="C1985" i="41"/>
  <c r="H1985" i="41" s="1"/>
  <c r="H1984" i="41"/>
  <c r="C1984" i="41"/>
  <c r="D1984" i="41" s="1" a="1"/>
  <c r="D1984" i="41" s="1"/>
  <c r="C1983" i="41"/>
  <c r="C1982" i="41"/>
  <c r="H1981" i="41"/>
  <c r="C1981" i="41"/>
  <c r="D1981" i="41" s="1" a="1"/>
  <c r="D1981" i="41" s="1"/>
  <c r="C1980" i="41"/>
  <c r="H1979" i="41"/>
  <c r="C1979" i="41"/>
  <c r="D1979" i="41" s="1" a="1"/>
  <c r="D1979" i="41" s="1"/>
  <c r="H1978" i="41"/>
  <c r="C1978" i="41"/>
  <c r="D1978" i="41" s="1" a="1"/>
  <c r="D1978" i="41" s="1"/>
  <c r="C1977" i="41"/>
  <c r="H1977" i="41" s="1"/>
  <c r="H1976" i="41"/>
  <c r="C1976" i="41"/>
  <c r="D1976" i="41" s="1" a="1"/>
  <c r="D1976" i="41" s="1"/>
  <c r="C1975" i="41"/>
  <c r="H1975" i="41" s="1"/>
  <c r="C1974" i="41"/>
  <c r="H1974" i="41" s="1"/>
  <c r="H1973" i="41"/>
  <c r="D1973" i="41"/>
  <c r="C1973" i="41"/>
  <c r="D1973" i="41" s="1" a="1"/>
  <c r="C1972" i="41"/>
  <c r="H1971" i="41"/>
  <c r="C1971" i="41"/>
  <c r="D1971" i="41" s="1" a="1"/>
  <c r="D1971" i="41" s="1"/>
  <c r="H1970" i="41"/>
  <c r="C1970" i="41"/>
  <c r="D1970" i="41" s="1" a="1"/>
  <c r="D1970" i="41" s="1"/>
  <c r="C1969" i="41"/>
  <c r="H1969" i="41" s="1"/>
  <c r="H1968" i="41"/>
  <c r="C1968" i="41"/>
  <c r="D1968" i="41" s="1" a="1"/>
  <c r="D1968" i="41" s="1"/>
  <c r="C1967" i="41"/>
  <c r="H1967" i="41" s="1"/>
  <c r="C1966" i="41"/>
  <c r="H1966" i="41" s="1"/>
  <c r="H1965" i="41"/>
  <c r="C1965" i="41"/>
  <c r="D1965" i="41" s="1" a="1"/>
  <c r="D1965" i="41" s="1"/>
  <c r="C1964" i="41"/>
  <c r="H1963" i="41"/>
  <c r="C1963" i="41"/>
  <c r="D1963" i="41" s="1" a="1"/>
  <c r="D1963" i="41" s="1"/>
  <c r="H1962" i="41"/>
  <c r="C1962" i="41"/>
  <c r="D1962" i="41" s="1" a="1"/>
  <c r="D1962" i="41" s="1"/>
  <c r="C1961" i="41"/>
  <c r="H1960" i="41"/>
  <c r="C1960" i="41"/>
  <c r="D1960" i="41" s="1" a="1"/>
  <c r="D1960" i="41" s="1"/>
  <c r="C1959" i="41"/>
  <c r="H1959" i="41" s="1"/>
  <c r="C1958" i="41"/>
  <c r="H1957" i="41"/>
  <c r="C1957" i="41"/>
  <c r="D1957" i="41" s="1" a="1"/>
  <c r="D1957" i="41" s="1"/>
  <c r="C1956" i="41"/>
  <c r="H1955" i="41"/>
  <c r="C1955" i="41"/>
  <c r="D1955" i="41" s="1" a="1"/>
  <c r="D1955" i="41" s="1"/>
  <c r="H1954" i="41"/>
  <c r="C1954" i="41"/>
  <c r="D1954" i="41" s="1" a="1"/>
  <c r="D1954" i="41" s="1"/>
  <c r="C1953" i="41"/>
  <c r="H1952" i="41"/>
  <c r="C1952" i="41"/>
  <c r="D1952" i="41" s="1" a="1"/>
  <c r="D1952" i="41" s="1"/>
  <c r="C1951" i="41"/>
  <c r="C1950" i="41"/>
  <c r="H1949" i="41"/>
  <c r="C1949" i="41"/>
  <c r="D1949" i="41" s="1" a="1"/>
  <c r="D1949" i="41" s="1"/>
  <c r="C1948" i="41"/>
  <c r="H1947" i="41"/>
  <c r="C1947" i="41"/>
  <c r="D1947" i="41" s="1" a="1"/>
  <c r="D1947" i="41" s="1"/>
  <c r="H1946" i="41"/>
  <c r="C1946" i="41"/>
  <c r="D1946" i="41" s="1" a="1"/>
  <c r="D1946" i="41" s="1"/>
  <c r="D1945" i="41" a="1"/>
  <c r="D1945" i="41" s="1"/>
  <c r="C1945" i="41"/>
  <c r="H1945" i="41" s="1"/>
  <c r="H1944" i="41"/>
  <c r="C1944" i="41"/>
  <c r="D1944" i="41" s="1" a="1"/>
  <c r="D1944" i="41" s="1"/>
  <c r="C1943" i="41"/>
  <c r="H1943" i="41" s="1"/>
  <c r="C1942" i="41"/>
  <c r="H1941" i="41"/>
  <c r="C1941" i="41"/>
  <c r="D1941" i="41" s="1" a="1"/>
  <c r="D1941" i="41" s="1"/>
  <c r="C1940" i="41"/>
  <c r="H1939" i="41"/>
  <c r="D1939" i="41" a="1"/>
  <c r="D1939" i="41" s="1"/>
  <c r="C1939" i="41"/>
  <c r="H1938" i="41"/>
  <c r="C1938" i="41"/>
  <c r="D1938" i="41" s="1" a="1"/>
  <c r="D1938" i="41" s="1"/>
  <c r="C1937" i="41"/>
  <c r="H1937" i="41" s="1"/>
  <c r="C1936" i="41"/>
  <c r="D1936" i="41" s="1" a="1"/>
  <c r="D1936" i="41" s="1"/>
  <c r="C1935" i="41"/>
  <c r="H1935" i="41" s="1"/>
  <c r="C1934" i="41"/>
  <c r="H1934" i="41" s="1"/>
  <c r="H1933" i="41"/>
  <c r="C1933" i="41"/>
  <c r="D1933" i="41" s="1" a="1"/>
  <c r="D1933" i="41" s="1"/>
  <c r="C1932" i="41"/>
  <c r="D1932" i="41" s="1" a="1"/>
  <c r="D1932" i="41" s="1"/>
  <c r="H1931" i="41"/>
  <c r="C1931" i="41"/>
  <c r="D1931" i="41" s="1" a="1"/>
  <c r="D1931" i="41" s="1"/>
  <c r="H1930" i="41"/>
  <c r="C1930" i="41"/>
  <c r="D1930" i="41" s="1" a="1"/>
  <c r="D1930" i="41" s="1"/>
  <c r="C1929" i="41"/>
  <c r="H1928" i="41"/>
  <c r="C1928" i="41"/>
  <c r="D1928" i="41" s="1" a="1"/>
  <c r="D1928" i="41" s="1"/>
  <c r="C1927" i="41"/>
  <c r="H1927" i="41" s="1"/>
  <c r="C1926" i="41"/>
  <c r="H1926" i="41" s="1"/>
  <c r="H1925" i="41"/>
  <c r="C1925" i="41"/>
  <c r="D1925" i="41" s="1" a="1"/>
  <c r="D1925" i="41" s="1"/>
  <c r="C1924" i="41"/>
  <c r="H1923" i="41"/>
  <c r="C1923" i="41"/>
  <c r="D1923" i="41" s="1" a="1"/>
  <c r="D1923" i="41" s="1"/>
  <c r="H1922" i="41"/>
  <c r="D1922" i="41" a="1"/>
  <c r="D1922" i="41" s="1"/>
  <c r="C1922" i="41"/>
  <c r="C1921" i="41"/>
  <c r="H1920" i="41"/>
  <c r="C1920" i="41"/>
  <c r="D1920" i="41" s="1" a="1"/>
  <c r="D1920" i="41" s="1"/>
  <c r="C1919" i="41"/>
  <c r="C1918" i="41"/>
  <c r="H1918" i="41" s="1"/>
  <c r="H1917" i="41"/>
  <c r="D1917" i="41"/>
  <c r="C1917" i="41"/>
  <c r="D1917" i="41" s="1" a="1"/>
  <c r="C1916" i="41"/>
  <c r="H1915" i="41"/>
  <c r="C1915" i="41"/>
  <c r="D1915" i="41" s="1" a="1"/>
  <c r="D1915" i="41" s="1"/>
  <c r="H1914" i="41"/>
  <c r="C1914" i="41"/>
  <c r="D1914" i="41" s="1" a="1"/>
  <c r="D1914" i="41" s="1"/>
  <c r="H1913" i="41"/>
  <c r="C1913" i="41"/>
  <c r="D1913" i="41" s="1" a="1"/>
  <c r="D1913" i="41" s="1"/>
  <c r="H1912" i="41"/>
  <c r="C1912" i="41"/>
  <c r="D1912" i="41" s="1" a="1"/>
  <c r="D1912" i="41" s="1"/>
  <c r="C1911" i="41"/>
  <c r="D1911" i="41" s="1" a="1"/>
  <c r="D1911" i="41" s="1"/>
  <c r="C1910" i="41"/>
  <c r="H1909" i="41"/>
  <c r="C1909" i="41"/>
  <c r="D1909" i="41" s="1" a="1"/>
  <c r="D1909" i="41" s="1"/>
  <c r="H1908" i="41"/>
  <c r="C1908" i="41"/>
  <c r="D1908" i="41" s="1" a="1"/>
  <c r="D1908" i="41" s="1"/>
  <c r="C1907" i="41"/>
  <c r="H1906" i="41"/>
  <c r="C1906" i="41"/>
  <c r="D1906" i="41" s="1" a="1"/>
  <c r="D1906" i="41" s="1"/>
  <c r="C1905" i="41"/>
  <c r="H1905" i="41" s="1"/>
  <c r="C1904" i="41"/>
  <c r="D1904" i="41" s="1" a="1"/>
  <c r="D1904" i="41" s="1"/>
  <c r="C1903" i="41"/>
  <c r="C1902" i="41"/>
  <c r="H1901" i="41"/>
  <c r="C1901" i="41"/>
  <c r="D1901" i="41" s="1" a="1"/>
  <c r="D1901" i="41" s="1"/>
  <c r="H1900" i="41"/>
  <c r="C1900" i="41"/>
  <c r="D1900" i="41" s="1" a="1"/>
  <c r="D1900" i="41" s="1"/>
  <c r="C1899" i="41"/>
  <c r="H1899" i="41" s="1"/>
  <c r="H1898" i="41"/>
  <c r="C1898" i="41"/>
  <c r="D1898" i="41" s="1" a="1"/>
  <c r="D1898" i="41" s="1"/>
  <c r="C1897" i="41"/>
  <c r="H1897" i="41" s="1"/>
  <c r="C1896" i="41"/>
  <c r="C1895" i="41"/>
  <c r="D1895" i="41" s="1" a="1"/>
  <c r="D1895" i="41" s="1"/>
  <c r="C1894" i="41"/>
  <c r="H1893" i="41"/>
  <c r="C1893" i="41"/>
  <c r="D1893" i="41" s="1" a="1"/>
  <c r="D1893" i="41" s="1"/>
  <c r="C1892" i="41"/>
  <c r="C1891" i="41"/>
  <c r="D1891" i="41" s="1" a="1"/>
  <c r="D1891" i="41" s="1"/>
  <c r="H1890" i="41"/>
  <c r="C1890" i="41"/>
  <c r="D1890" i="41" s="1" a="1"/>
  <c r="D1890" i="41" s="1"/>
  <c r="C1889" i="41"/>
  <c r="H1889" i="41" s="1"/>
  <c r="C1888" i="41"/>
  <c r="D1888" i="41" s="1" a="1"/>
  <c r="D1888" i="41" s="1"/>
  <c r="H1887" i="41"/>
  <c r="C1887" i="41"/>
  <c r="D1887" i="41" s="1" a="1"/>
  <c r="D1887" i="41" s="1"/>
  <c r="C1886" i="41"/>
  <c r="H1886" i="41" s="1"/>
  <c r="H1885" i="41"/>
  <c r="C1885" i="41"/>
  <c r="D1885" i="41" s="1" a="1"/>
  <c r="D1885" i="41" s="1"/>
  <c r="C1884" i="41"/>
  <c r="D1884" i="41" s="1" a="1"/>
  <c r="D1884" i="41" s="1"/>
  <c r="C1883" i="41"/>
  <c r="H1882" i="41"/>
  <c r="C1882" i="41"/>
  <c r="D1882" i="41" s="1" a="1"/>
  <c r="D1882" i="41" s="1"/>
  <c r="C1881" i="41"/>
  <c r="H1881" i="41" s="1"/>
  <c r="H1880" i="41"/>
  <c r="C1880" i="41"/>
  <c r="D1880" i="41" s="1" a="1"/>
  <c r="D1880" i="41" s="1"/>
  <c r="H1879" i="41"/>
  <c r="C1879" i="41"/>
  <c r="D1879" i="41" s="1" a="1"/>
  <c r="D1879" i="41" s="1"/>
  <c r="C1878" i="41"/>
  <c r="H1878" i="41" s="1"/>
  <c r="H1877" i="41"/>
  <c r="C1877" i="41"/>
  <c r="D1877" i="41" s="1" a="1"/>
  <c r="D1877" i="41" s="1"/>
  <c r="H1876" i="41"/>
  <c r="C1876" i="41"/>
  <c r="D1876" i="41" s="1" a="1"/>
  <c r="D1876" i="41" s="1"/>
  <c r="H1875" i="41"/>
  <c r="C1875" i="41"/>
  <c r="D1875" i="41" s="1" a="1"/>
  <c r="D1875" i="41" s="1"/>
  <c r="H1874" i="41"/>
  <c r="C1874" i="41"/>
  <c r="D1874" i="41" s="1" a="1"/>
  <c r="D1874" i="41" s="1"/>
  <c r="C1873" i="41"/>
  <c r="H1873" i="41" s="1"/>
  <c r="C1872" i="41"/>
  <c r="H1871" i="41"/>
  <c r="C1871" i="41"/>
  <c r="D1871" i="41" s="1" a="1"/>
  <c r="D1871" i="41" s="1"/>
  <c r="C1870" i="41"/>
  <c r="H1870" i="41" s="1"/>
  <c r="H1869" i="41"/>
  <c r="C1869" i="41"/>
  <c r="D1869" i="41" s="1" a="1"/>
  <c r="D1869" i="41" s="1"/>
  <c r="H1868" i="41"/>
  <c r="C1868" i="41"/>
  <c r="D1868" i="41" s="1" a="1"/>
  <c r="D1868" i="41" s="1"/>
  <c r="H1867" i="41"/>
  <c r="C1867" i="41"/>
  <c r="D1867" i="41" s="1" a="1"/>
  <c r="D1867" i="41" s="1"/>
  <c r="H1866" i="41"/>
  <c r="C1866" i="41"/>
  <c r="D1866" i="41" s="1" a="1"/>
  <c r="D1866" i="41" s="1"/>
  <c r="H1865" i="41"/>
  <c r="C1865" i="41"/>
  <c r="D1865" i="41" s="1" a="1"/>
  <c r="D1865" i="41" s="1"/>
  <c r="H1864" i="41"/>
  <c r="C1864" i="41"/>
  <c r="D1864" i="41" s="1" a="1"/>
  <c r="D1864" i="41" s="1"/>
  <c r="C1863" i="41"/>
  <c r="H1863" i="41" s="1"/>
  <c r="D1862" i="41" a="1"/>
  <c r="D1862" i="41" s="1"/>
  <c r="C1862" i="41"/>
  <c r="H1862" i="41" s="1"/>
  <c r="H1861" i="41"/>
  <c r="C1861" i="41"/>
  <c r="D1861" i="41" s="1" a="1"/>
  <c r="D1861" i="41" s="1"/>
  <c r="H1860" i="41"/>
  <c r="C1860" i="41"/>
  <c r="D1860" i="41" s="1" a="1"/>
  <c r="D1860" i="41" s="1"/>
  <c r="H1859" i="41"/>
  <c r="C1859" i="41"/>
  <c r="D1859" i="41" s="1" a="1"/>
  <c r="D1859" i="41" s="1"/>
  <c r="H1858" i="41"/>
  <c r="C1858" i="41"/>
  <c r="D1858" i="41" s="1" a="1"/>
  <c r="D1858" i="41" s="1"/>
  <c r="H1857" i="41"/>
  <c r="C1857" i="41"/>
  <c r="D1857" i="41" s="1" a="1"/>
  <c r="D1857" i="41" s="1"/>
  <c r="H1856" i="41"/>
  <c r="C1856" i="41"/>
  <c r="D1856" i="41" s="1" a="1"/>
  <c r="D1856" i="41" s="1"/>
  <c r="H1855" i="41"/>
  <c r="C1855" i="41"/>
  <c r="D1855" i="41" s="1" a="1"/>
  <c r="D1855" i="41" s="1"/>
  <c r="C1854" i="41"/>
  <c r="H1854" i="41" s="1"/>
  <c r="H1853" i="41"/>
  <c r="C1853" i="41"/>
  <c r="D1853" i="41" s="1" a="1"/>
  <c r="D1853" i="41" s="1"/>
  <c r="C1852" i="41"/>
  <c r="C1851" i="41"/>
  <c r="H1851" i="41" s="1"/>
  <c r="H1850" i="41"/>
  <c r="C1850" i="41"/>
  <c r="D1850" i="41" s="1" a="1"/>
  <c r="D1850" i="41" s="1"/>
  <c r="C1849" i="41"/>
  <c r="H1849" i="41" s="1"/>
  <c r="H1848" i="41"/>
  <c r="C1848" i="41"/>
  <c r="D1848" i="41" s="1" a="1"/>
  <c r="D1848" i="41" s="1"/>
  <c r="H1847" i="41"/>
  <c r="C1847" i="41"/>
  <c r="D1847" i="41" s="1" a="1"/>
  <c r="D1847" i="41" s="1"/>
  <c r="C1846" i="41"/>
  <c r="H1846" i="41" s="1"/>
  <c r="H1845" i="41"/>
  <c r="C1845" i="41"/>
  <c r="D1845" i="41" s="1" a="1"/>
  <c r="D1845" i="41" s="1"/>
  <c r="C1844" i="41"/>
  <c r="C1843" i="41"/>
  <c r="H1843" i="41" s="1"/>
  <c r="H1842" i="41"/>
  <c r="C1842" i="41"/>
  <c r="D1842" i="41" s="1" a="1"/>
  <c r="D1842" i="41" s="1"/>
  <c r="C1841" i="41"/>
  <c r="H1841" i="41" s="1"/>
  <c r="H1840" i="41"/>
  <c r="C1840" i="41"/>
  <c r="D1840" i="41" s="1" a="1"/>
  <c r="D1840" i="41" s="1"/>
  <c r="H1839" i="41"/>
  <c r="C1839" i="41"/>
  <c r="D1839" i="41" s="1" a="1"/>
  <c r="D1839" i="41" s="1"/>
  <c r="C1838" i="41"/>
  <c r="H1838" i="41" s="1"/>
  <c r="H1837" i="41"/>
  <c r="C1837" i="41"/>
  <c r="D1837" i="41" s="1" a="1"/>
  <c r="D1837" i="41" s="1"/>
  <c r="C1836" i="41"/>
  <c r="C1835" i="41"/>
  <c r="H1835" i="41" s="1"/>
  <c r="H1834" i="41"/>
  <c r="C1834" i="41"/>
  <c r="D1834" i="41" s="1" a="1"/>
  <c r="D1834" i="41" s="1"/>
  <c r="C1833" i="41"/>
  <c r="H1833" i="41" s="1"/>
  <c r="H1832" i="41"/>
  <c r="C1832" i="41"/>
  <c r="D1832" i="41" s="1" a="1"/>
  <c r="D1832" i="41" s="1"/>
  <c r="H1831" i="41"/>
  <c r="C1831" i="41"/>
  <c r="D1831" i="41" s="1" a="1"/>
  <c r="D1831" i="41" s="1"/>
  <c r="C1830" i="41"/>
  <c r="H1830" i="41" s="1"/>
  <c r="H1829" i="41"/>
  <c r="C1829" i="41"/>
  <c r="D1829" i="41" s="1" a="1"/>
  <c r="D1829" i="41" s="1"/>
  <c r="C1828" i="41"/>
  <c r="C1827" i="41"/>
  <c r="H1827" i="41" s="1"/>
  <c r="H1826" i="41"/>
  <c r="C1826" i="41"/>
  <c r="D1826" i="41" s="1" a="1"/>
  <c r="D1826" i="41" s="1"/>
  <c r="C1825" i="41"/>
  <c r="H1825" i="41" s="1"/>
  <c r="H1824" i="41"/>
  <c r="C1824" i="41"/>
  <c r="D1824" i="41" s="1" a="1"/>
  <c r="D1824" i="41" s="1"/>
  <c r="H1823" i="41"/>
  <c r="C1823" i="41"/>
  <c r="D1823" i="41" s="1" a="1"/>
  <c r="D1823" i="41" s="1"/>
  <c r="C1822" i="41"/>
  <c r="H1822" i="41" s="1"/>
  <c r="H1821" i="41"/>
  <c r="C1821" i="41"/>
  <c r="D1821" i="41" s="1" a="1"/>
  <c r="D1821" i="41" s="1"/>
  <c r="C1820" i="41"/>
  <c r="C1819" i="41"/>
  <c r="H1819" i="41" s="1"/>
  <c r="H1818" i="41"/>
  <c r="D1818" i="41" a="1"/>
  <c r="D1818" i="41" s="1"/>
  <c r="C1818" i="41"/>
  <c r="C1817" i="41"/>
  <c r="H1816" i="41"/>
  <c r="C1816" i="41"/>
  <c r="D1816" i="41" s="1" a="1"/>
  <c r="D1816" i="41" s="1"/>
  <c r="H1815" i="41"/>
  <c r="C1815" i="41"/>
  <c r="D1815" i="41" s="1" a="1"/>
  <c r="D1815" i="41" s="1"/>
  <c r="C1814" i="41"/>
  <c r="H1813" i="41"/>
  <c r="C1813" i="41"/>
  <c r="D1813" i="41" s="1" a="1"/>
  <c r="D1813" i="41" s="1"/>
  <c r="C1812" i="41"/>
  <c r="C1811" i="41"/>
  <c r="H1811" i="41" s="1"/>
  <c r="H1810" i="41"/>
  <c r="D1810" i="41" a="1"/>
  <c r="D1810" i="41" s="1"/>
  <c r="C1810" i="41"/>
  <c r="C1809" i="41"/>
  <c r="H1809" i="41" s="1"/>
  <c r="H1808" i="41"/>
  <c r="C1808" i="41"/>
  <c r="D1808" i="41" s="1" a="1"/>
  <c r="D1808" i="41" s="1"/>
  <c r="H1807" i="41"/>
  <c r="C1807" i="41"/>
  <c r="D1807" i="41" s="1" a="1"/>
  <c r="D1807" i="41" s="1"/>
  <c r="C1806" i="41"/>
  <c r="H1805" i="41"/>
  <c r="C1805" i="41"/>
  <c r="D1805" i="41" s="1" a="1"/>
  <c r="D1805" i="41" s="1"/>
  <c r="C1804" i="41"/>
  <c r="C1803" i="41"/>
  <c r="H1803" i="41" s="1"/>
  <c r="H1802" i="41"/>
  <c r="C1802" i="41"/>
  <c r="D1802" i="41" s="1" a="1"/>
  <c r="D1802" i="41" s="1"/>
  <c r="C1801" i="41"/>
  <c r="H1800" i="41"/>
  <c r="C1800" i="41"/>
  <c r="D1800" i="41" s="1" a="1"/>
  <c r="D1800" i="41" s="1"/>
  <c r="H1799" i="41"/>
  <c r="C1799" i="41"/>
  <c r="D1799" i="41" s="1" a="1"/>
  <c r="D1799" i="41" s="1"/>
  <c r="C1798" i="41"/>
  <c r="H1798" i="41" s="1"/>
  <c r="H1797" i="41"/>
  <c r="C1797" i="41"/>
  <c r="D1797" i="41" s="1" a="1"/>
  <c r="D1797" i="41" s="1"/>
  <c r="C1796" i="41"/>
  <c r="C1795" i="41"/>
  <c r="H1794" i="41"/>
  <c r="C1794" i="41"/>
  <c r="D1794" i="41" s="1" a="1"/>
  <c r="D1794" i="41" s="1"/>
  <c r="D1793" i="41" a="1"/>
  <c r="D1793" i="41" s="1"/>
  <c r="C1793" i="41"/>
  <c r="H1793" i="41" s="1"/>
  <c r="H1792" i="41"/>
  <c r="C1792" i="41"/>
  <c r="D1792" i="41" s="1" a="1"/>
  <c r="D1792" i="41" s="1"/>
  <c r="H1791" i="41"/>
  <c r="C1791" i="41"/>
  <c r="D1791" i="41" s="1" a="1"/>
  <c r="D1791" i="41" s="1"/>
  <c r="C1790" i="41"/>
  <c r="H1789" i="41"/>
  <c r="C1789" i="41"/>
  <c r="D1789" i="41" s="1" a="1"/>
  <c r="D1789" i="41" s="1"/>
  <c r="C1788" i="41"/>
  <c r="H1788" i="41" s="1"/>
  <c r="C1787" i="41"/>
  <c r="H1786" i="41"/>
  <c r="C1786" i="41"/>
  <c r="D1786" i="41" s="1" a="1"/>
  <c r="D1786" i="41" s="1"/>
  <c r="C1785" i="41"/>
  <c r="H1785" i="41" s="1"/>
  <c r="H1784" i="41"/>
  <c r="C1784" i="41"/>
  <c r="D1784" i="41" s="1" a="1"/>
  <c r="D1784" i="41" s="1"/>
  <c r="H1783" i="41"/>
  <c r="C1783" i="41"/>
  <c r="D1783" i="41" s="1" a="1"/>
  <c r="D1783" i="41" s="1"/>
  <c r="C1782" i="41"/>
  <c r="H1781" i="41"/>
  <c r="C1781" i="41"/>
  <c r="D1781" i="41" s="1" a="1"/>
  <c r="D1781" i="41" s="1"/>
  <c r="C1780" i="41"/>
  <c r="H1780" i="41" s="1"/>
  <c r="C1779" i="41"/>
  <c r="H1778" i="41"/>
  <c r="C1778" i="41"/>
  <c r="D1778" i="41" s="1" a="1"/>
  <c r="D1778" i="41" s="1"/>
  <c r="C1777" i="41"/>
  <c r="H1777" i="41" s="1"/>
  <c r="C1776" i="41"/>
  <c r="C1775" i="41"/>
  <c r="H1774" i="41"/>
  <c r="C1774" i="41"/>
  <c r="D1774" i="41" s="1" a="1"/>
  <c r="D1774" i="41" s="1"/>
  <c r="C1773" i="41"/>
  <c r="H1772" i="41"/>
  <c r="C1772" i="41"/>
  <c r="D1772" i="41" s="1" a="1"/>
  <c r="D1772" i="41" s="1"/>
  <c r="C1771" i="41"/>
  <c r="C1770" i="41"/>
  <c r="H1769" i="41"/>
  <c r="C1769" i="41"/>
  <c r="D1769" i="41" s="1" a="1"/>
  <c r="D1769" i="41" s="1"/>
  <c r="H1768" i="41"/>
  <c r="C1768" i="41"/>
  <c r="D1768" i="41" s="1" a="1"/>
  <c r="D1768" i="41" s="1"/>
  <c r="H1767" i="41"/>
  <c r="C1767" i="41"/>
  <c r="D1767" i="41" s="1" a="1"/>
  <c r="D1767" i="41" s="1"/>
  <c r="H1766" i="41"/>
  <c r="C1766" i="41"/>
  <c r="D1766" i="41" s="1" a="1"/>
  <c r="D1766" i="41" s="1"/>
  <c r="D1765" i="41" a="1"/>
  <c r="D1765" i="41" s="1"/>
  <c r="C1765" i="41"/>
  <c r="H1765" i="41" s="1"/>
  <c r="C1764" i="41"/>
  <c r="D1764" i="41" s="1" a="1"/>
  <c r="D1764" i="41" s="1"/>
  <c r="C1763" i="41"/>
  <c r="H1763" i="41" s="1"/>
  <c r="C1762" i="41"/>
  <c r="H1761" i="41"/>
  <c r="C1761" i="41"/>
  <c r="D1761" i="41" s="1" a="1"/>
  <c r="D1761" i="41" s="1"/>
  <c r="C1760" i="41"/>
  <c r="H1759" i="41"/>
  <c r="C1759" i="41"/>
  <c r="D1759" i="41" s="1" a="1"/>
  <c r="D1759" i="41" s="1"/>
  <c r="H1758" i="41"/>
  <c r="C1758" i="41"/>
  <c r="D1758" i="41" s="1" a="1"/>
  <c r="D1758" i="41" s="1"/>
  <c r="D1757" i="41" a="1"/>
  <c r="D1757" i="41" s="1"/>
  <c r="C1757" i="41"/>
  <c r="H1757" i="41" s="1"/>
  <c r="H1756" i="41"/>
  <c r="C1756" i="41"/>
  <c r="D1756" i="41" s="1" a="1"/>
  <c r="D1756" i="41" s="1"/>
  <c r="C1755" i="41"/>
  <c r="H1755" i="41" s="1"/>
  <c r="C1754" i="41"/>
  <c r="H1753" i="41"/>
  <c r="C1753" i="41"/>
  <c r="D1753" i="41" s="1" a="1"/>
  <c r="D1753" i="41" s="1"/>
  <c r="H1752" i="41"/>
  <c r="C1752" i="41"/>
  <c r="D1752" i="41" s="1" a="1"/>
  <c r="D1752" i="41" s="1"/>
  <c r="H1751" i="41"/>
  <c r="C1751" i="41"/>
  <c r="D1751" i="41" s="1" a="1"/>
  <c r="D1751" i="41" s="1"/>
  <c r="H1750" i="41"/>
  <c r="C1750" i="41"/>
  <c r="D1750" i="41" s="1" a="1"/>
  <c r="D1750" i="41" s="1"/>
  <c r="C1749" i="41"/>
  <c r="H1749" i="41" s="1"/>
  <c r="H1748" i="41"/>
  <c r="C1748" i="41"/>
  <c r="D1748" i="41" s="1" a="1"/>
  <c r="D1748" i="41" s="1"/>
  <c r="C1747" i="41"/>
  <c r="H1747" i="41" s="1"/>
  <c r="C1746" i="41"/>
  <c r="H1745" i="41"/>
  <c r="C1745" i="41"/>
  <c r="D1745" i="41" s="1" a="1"/>
  <c r="D1745" i="41" s="1"/>
  <c r="C1744" i="41"/>
  <c r="H1743" i="41"/>
  <c r="C1743" i="41"/>
  <c r="D1743" i="41" s="1" a="1"/>
  <c r="D1743" i="41" s="1"/>
  <c r="H1742" i="41"/>
  <c r="C1742" i="41"/>
  <c r="D1742" i="41" s="1" a="1"/>
  <c r="D1742" i="41" s="1"/>
  <c r="C1741" i="41"/>
  <c r="H1741" i="41" s="1"/>
  <c r="H1740" i="41"/>
  <c r="C1740" i="41"/>
  <c r="D1740" i="41" s="1" a="1"/>
  <c r="D1740" i="41" s="1"/>
  <c r="C1739" i="41"/>
  <c r="H1739" i="41" s="1"/>
  <c r="C1738" i="41"/>
  <c r="H1737" i="41"/>
  <c r="C1737" i="41"/>
  <c r="D1737" i="41" s="1" a="1"/>
  <c r="D1737" i="41" s="1"/>
  <c r="H1736" i="41"/>
  <c r="C1736" i="41"/>
  <c r="D1736" i="41" s="1" a="1"/>
  <c r="D1736" i="41" s="1"/>
  <c r="H1735" i="41"/>
  <c r="C1735" i="41"/>
  <c r="D1735" i="41" s="1" a="1"/>
  <c r="D1735" i="41" s="1"/>
  <c r="H1734" i="41"/>
  <c r="C1734" i="41"/>
  <c r="D1734" i="41" s="1" a="1"/>
  <c r="D1734" i="41" s="1"/>
  <c r="C1733" i="41"/>
  <c r="H1733" i="41" s="1"/>
  <c r="C1732" i="41"/>
  <c r="C1731" i="41"/>
  <c r="H1731" i="41" s="1"/>
  <c r="C1730" i="41"/>
  <c r="H1729" i="41"/>
  <c r="C1729" i="41"/>
  <c r="D1729" i="41" s="1" a="1"/>
  <c r="D1729" i="41" s="1"/>
  <c r="C1728" i="41"/>
  <c r="H1727" i="41"/>
  <c r="C1727" i="41"/>
  <c r="D1727" i="41" s="1" a="1"/>
  <c r="D1727" i="41" s="1"/>
  <c r="H1726" i="41"/>
  <c r="C1726" i="41"/>
  <c r="D1726" i="41" s="1" a="1"/>
  <c r="D1726" i="41" s="1"/>
  <c r="H1725" i="41"/>
  <c r="C1725" i="41"/>
  <c r="D1725" i="41" s="1" a="1"/>
  <c r="D1725" i="41" s="1"/>
  <c r="H1724" i="41"/>
  <c r="C1724" i="41"/>
  <c r="D1724" i="41" s="1" a="1"/>
  <c r="D1724" i="41" s="1"/>
  <c r="C1723" i="41"/>
  <c r="H1723" i="41" s="1"/>
  <c r="C1722" i="41"/>
  <c r="H1721" i="41"/>
  <c r="C1721" i="41"/>
  <c r="D1721" i="41" s="1" a="1"/>
  <c r="D1721" i="41" s="1"/>
  <c r="H1720" i="41"/>
  <c r="C1720" i="41"/>
  <c r="D1720" i="41" s="1" a="1"/>
  <c r="D1720" i="41" s="1"/>
  <c r="H1719" i="41"/>
  <c r="C1719" i="41"/>
  <c r="D1719" i="41" s="1" a="1"/>
  <c r="D1719" i="41" s="1"/>
  <c r="H1718" i="41"/>
  <c r="C1718" i="41"/>
  <c r="D1718" i="41" s="1" a="1"/>
  <c r="D1718" i="41" s="1"/>
  <c r="C1717" i="41"/>
  <c r="H1716" i="41"/>
  <c r="C1716" i="41"/>
  <c r="D1716" i="41" s="1" a="1"/>
  <c r="D1716" i="41" s="1"/>
  <c r="C1715" i="41"/>
  <c r="C1714" i="41"/>
  <c r="H1714" i="41" s="1"/>
  <c r="H1713" i="41"/>
  <c r="C1713" i="41"/>
  <c r="D1713" i="41" s="1" a="1"/>
  <c r="D1713" i="41" s="1"/>
  <c r="H1712" i="41"/>
  <c r="D1712" i="41"/>
  <c r="C1712" i="41"/>
  <c r="D1712" i="41" s="1" a="1"/>
  <c r="C1711" i="41"/>
  <c r="H1711" i="41" s="1"/>
  <c r="H1710" i="41"/>
  <c r="C1710" i="41"/>
  <c r="D1710" i="41" s="1" a="1"/>
  <c r="D1710" i="41" s="1"/>
  <c r="C1709" i="41"/>
  <c r="H1708" i="41"/>
  <c r="C1708" i="41"/>
  <c r="D1708" i="41" s="1" a="1"/>
  <c r="D1708" i="41" s="1"/>
  <c r="C1707" i="41"/>
  <c r="C1706" i="41"/>
  <c r="H1706" i="41" s="1"/>
  <c r="H1705" i="41"/>
  <c r="C1705" i="41"/>
  <c r="D1705" i="41" s="1" a="1"/>
  <c r="D1705" i="41" s="1"/>
  <c r="H1704" i="41"/>
  <c r="D1704" i="41"/>
  <c r="C1704" i="41"/>
  <c r="D1704" i="41" s="1" a="1"/>
  <c r="C1703" i="41"/>
  <c r="H1703" i="41" s="1"/>
  <c r="H1702" i="41"/>
  <c r="C1702" i="41"/>
  <c r="D1702" i="41" s="1" a="1"/>
  <c r="D1702" i="41" s="1"/>
  <c r="C1701" i="41"/>
  <c r="H1700" i="41"/>
  <c r="C1700" i="41"/>
  <c r="D1700" i="41" s="1" a="1"/>
  <c r="D1700" i="41" s="1"/>
  <c r="C1699" i="41"/>
  <c r="C1698" i="41"/>
  <c r="H1698" i="41" s="1"/>
  <c r="H1697" i="41"/>
  <c r="C1697" i="41"/>
  <c r="D1697" i="41" s="1" a="1"/>
  <c r="D1697" i="41" s="1"/>
  <c r="H1696" i="41"/>
  <c r="C1696" i="41"/>
  <c r="D1696" i="41" s="1" a="1"/>
  <c r="D1696" i="41" s="1"/>
  <c r="C1695" i="41"/>
  <c r="H1694" i="41"/>
  <c r="C1694" i="41"/>
  <c r="D1694" i="41" s="1" a="1"/>
  <c r="D1694" i="41" s="1"/>
  <c r="C1693" i="41"/>
  <c r="H1692" i="41"/>
  <c r="C1692" i="41"/>
  <c r="D1692" i="41" s="1" a="1"/>
  <c r="D1692" i="41" s="1"/>
  <c r="C1691" i="41"/>
  <c r="C1690" i="41"/>
  <c r="H1690" i="41" s="1"/>
  <c r="H1689" i="41"/>
  <c r="C1689" i="41"/>
  <c r="D1689" i="41" s="1" a="1"/>
  <c r="D1689" i="41" s="1"/>
  <c r="H1688" i="41"/>
  <c r="C1688" i="41"/>
  <c r="D1688" i="41" s="1" a="1"/>
  <c r="D1688" i="41" s="1"/>
  <c r="C1687" i="41"/>
  <c r="H1687" i="41" s="1"/>
  <c r="H1686" i="41"/>
  <c r="C1686" i="41"/>
  <c r="D1686" i="41" s="1" a="1"/>
  <c r="D1686" i="41" s="1"/>
  <c r="C1685" i="41"/>
  <c r="H1684" i="41"/>
  <c r="C1684" i="41"/>
  <c r="D1684" i="41" s="1" a="1"/>
  <c r="D1684" i="41" s="1"/>
  <c r="C1683" i="41"/>
  <c r="C1682" i="41"/>
  <c r="H1682" i="41" s="1"/>
  <c r="H1681" i="41"/>
  <c r="C1681" i="41"/>
  <c r="D1681" i="41" s="1" a="1"/>
  <c r="D1681" i="41" s="1"/>
  <c r="H1680" i="41"/>
  <c r="C1680" i="41"/>
  <c r="D1680" i="41" s="1" a="1"/>
  <c r="D1680" i="41" s="1"/>
  <c r="C1679" i="41"/>
  <c r="H1679" i="41" s="1"/>
  <c r="H1678" i="41"/>
  <c r="C1678" i="41"/>
  <c r="D1678" i="41" s="1" a="1"/>
  <c r="D1678" i="41" s="1"/>
  <c r="C1677" i="41"/>
  <c r="H1676" i="41"/>
  <c r="C1676" i="41"/>
  <c r="D1676" i="41" s="1" a="1"/>
  <c r="D1676" i="41" s="1"/>
  <c r="C1675" i="41"/>
  <c r="C1674" i="41"/>
  <c r="H1674" i="41" s="1"/>
  <c r="H1673" i="41"/>
  <c r="C1673" i="41"/>
  <c r="D1673" i="41" s="1" a="1"/>
  <c r="D1673" i="41" s="1"/>
  <c r="H1672" i="41"/>
  <c r="C1672" i="41"/>
  <c r="D1672" i="41" s="1" a="1"/>
  <c r="D1672" i="41" s="1"/>
  <c r="C1671" i="41"/>
  <c r="H1671" i="41" s="1"/>
  <c r="H1670" i="41"/>
  <c r="C1670" i="41"/>
  <c r="D1670" i="41" s="1" a="1"/>
  <c r="D1670" i="41" s="1"/>
  <c r="C1669" i="41"/>
  <c r="H1668" i="41"/>
  <c r="C1668" i="41"/>
  <c r="D1668" i="41" s="1" a="1"/>
  <c r="D1668" i="41" s="1"/>
  <c r="C1667" i="41"/>
  <c r="C1666" i="41"/>
  <c r="H1666" i="41" s="1"/>
  <c r="H1665" i="41"/>
  <c r="C1665" i="41"/>
  <c r="D1665" i="41" s="1" a="1"/>
  <c r="D1665" i="41" s="1"/>
  <c r="H1664" i="41"/>
  <c r="C1664" i="41"/>
  <c r="D1664" i="41" s="1" a="1"/>
  <c r="D1664" i="41" s="1"/>
  <c r="D1663" i="41" a="1"/>
  <c r="D1663" i="41" s="1"/>
  <c r="C1663" i="41"/>
  <c r="H1663" i="41" s="1"/>
  <c r="H1662" i="41"/>
  <c r="C1662" i="41"/>
  <c r="D1662" i="41" s="1" a="1"/>
  <c r="D1662" i="41" s="1"/>
  <c r="C1661" i="41"/>
  <c r="H1660" i="41"/>
  <c r="C1660" i="41"/>
  <c r="D1660" i="41" s="1" a="1"/>
  <c r="D1660" i="41" s="1"/>
  <c r="C1659" i="41"/>
  <c r="D1658" i="41" a="1"/>
  <c r="D1658" i="41" s="1"/>
  <c r="C1658" i="41"/>
  <c r="H1658" i="41" s="1"/>
  <c r="H1657" i="41"/>
  <c r="C1657" i="41"/>
  <c r="D1657" i="41" s="1" a="1"/>
  <c r="D1657" i="41" s="1"/>
  <c r="H1656" i="41"/>
  <c r="C1656" i="41"/>
  <c r="D1656" i="41" s="1" a="1"/>
  <c r="D1656" i="41" s="1"/>
  <c r="C1655" i="41"/>
  <c r="H1655" i="41" s="1"/>
  <c r="H1654" i="41"/>
  <c r="D1654" i="41" a="1"/>
  <c r="D1654" i="41" s="1"/>
  <c r="C1654" i="41"/>
  <c r="C1653" i="41"/>
  <c r="H1652" i="41"/>
  <c r="C1652" i="41"/>
  <c r="D1652" i="41" s="1" a="1"/>
  <c r="D1652" i="41" s="1"/>
  <c r="C1651" i="41"/>
  <c r="C1650" i="41"/>
  <c r="H1649" i="41"/>
  <c r="C1649" i="41"/>
  <c r="D1649" i="41" s="1" a="1"/>
  <c r="D1649" i="41" s="1"/>
  <c r="H1648" i="41"/>
  <c r="C1648" i="41"/>
  <c r="D1648" i="41" s="1" a="1"/>
  <c r="D1648" i="41" s="1"/>
  <c r="C1647" i="41"/>
  <c r="H1647" i="41" s="1"/>
  <c r="H1646" i="41"/>
  <c r="C1646" i="41"/>
  <c r="D1646" i="41" s="1" a="1"/>
  <c r="D1646" i="41" s="1"/>
  <c r="C1645" i="41"/>
  <c r="H1644" i="41"/>
  <c r="C1644" i="41"/>
  <c r="D1644" i="41" s="1" a="1"/>
  <c r="D1644" i="41" s="1"/>
  <c r="C1643" i="41"/>
  <c r="C1642" i="41"/>
  <c r="H1642" i="41" s="1"/>
  <c r="H1641" i="41"/>
  <c r="C1641" i="41"/>
  <c r="D1641" i="41" s="1" a="1"/>
  <c r="D1641" i="41" s="1"/>
  <c r="H1640" i="41"/>
  <c r="C1640" i="41"/>
  <c r="D1640" i="41" s="1" a="1"/>
  <c r="D1640" i="41" s="1"/>
  <c r="C1639" i="41"/>
  <c r="H1639" i="41" s="1"/>
  <c r="H1638" i="41"/>
  <c r="C1638" i="41"/>
  <c r="D1638" i="41" s="1" a="1"/>
  <c r="D1638" i="41" s="1"/>
  <c r="C1637" i="41"/>
  <c r="C1636" i="41"/>
  <c r="D1636" i="41" s="1" a="1"/>
  <c r="D1636" i="41" s="1"/>
  <c r="C1635" i="41"/>
  <c r="C1634" i="41"/>
  <c r="H1634" i="41" s="1"/>
  <c r="H1633" i="41"/>
  <c r="C1633" i="41"/>
  <c r="D1633" i="41" s="1" a="1"/>
  <c r="D1633" i="41" s="1"/>
  <c r="H1632" i="41"/>
  <c r="C1632" i="41"/>
  <c r="D1632" i="41" s="1" a="1"/>
  <c r="D1632" i="41" s="1"/>
  <c r="C1631" i="41"/>
  <c r="H1631" i="41" s="1"/>
  <c r="H1630" i="41"/>
  <c r="C1630" i="41"/>
  <c r="D1630" i="41" s="1" a="1"/>
  <c r="D1630" i="41" s="1"/>
  <c r="C1629" i="41"/>
  <c r="C1628" i="41"/>
  <c r="C1627" i="41"/>
  <c r="C1626" i="41"/>
  <c r="H1625" i="41"/>
  <c r="C1625" i="41"/>
  <c r="D1625" i="41" s="1" a="1"/>
  <c r="D1625" i="41" s="1"/>
  <c r="H1624" i="41"/>
  <c r="C1624" i="41"/>
  <c r="D1624" i="41" s="1" a="1"/>
  <c r="D1624" i="41" s="1"/>
  <c r="C1623" i="41"/>
  <c r="H1623" i="41" s="1"/>
  <c r="H1622" i="41"/>
  <c r="C1622" i="41"/>
  <c r="D1622" i="41" s="1" a="1"/>
  <c r="D1622" i="41" s="1"/>
  <c r="C1621" i="41"/>
  <c r="H1620" i="41"/>
  <c r="C1620" i="41"/>
  <c r="D1620" i="41" s="1" a="1"/>
  <c r="D1620" i="41" s="1"/>
  <c r="C1619" i="41"/>
  <c r="C1618" i="41"/>
  <c r="H1618" i="41" s="1"/>
  <c r="H1617" i="41"/>
  <c r="C1617" i="41"/>
  <c r="D1617" i="41" s="1" a="1"/>
  <c r="D1617" i="41" s="1"/>
  <c r="H1616" i="41"/>
  <c r="C1616" i="41"/>
  <c r="D1616" i="41" s="1" a="1"/>
  <c r="D1616" i="41" s="1"/>
  <c r="C1615" i="41"/>
  <c r="H1615" i="41" s="1"/>
  <c r="H1614" i="41"/>
  <c r="C1614" i="41"/>
  <c r="D1614" i="41" s="1" a="1"/>
  <c r="D1614" i="41" s="1"/>
  <c r="C1613" i="41"/>
  <c r="H1612" i="41"/>
  <c r="C1612" i="41"/>
  <c r="D1612" i="41" s="1" a="1"/>
  <c r="D1612" i="41" s="1"/>
  <c r="C1611" i="41"/>
  <c r="C1610" i="41"/>
  <c r="H1609" i="41"/>
  <c r="C1609" i="41"/>
  <c r="D1609" i="41" s="1" a="1"/>
  <c r="D1609" i="41" s="1"/>
  <c r="H1608" i="41"/>
  <c r="C1608" i="41"/>
  <c r="D1608" i="41" s="1" a="1"/>
  <c r="D1608" i="41" s="1"/>
  <c r="C1607" i="41"/>
  <c r="H1607" i="41" s="1"/>
  <c r="H1606" i="41"/>
  <c r="D1606" i="41" a="1"/>
  <c r="D1606" i="41" s="1"/>
  <c r="C1606" i="41"/>
  <c r="C1605" i="41"/>
  <c r="C1604" i="41"/>
  <c r="D1604" i="41" s="1" a="1"/>
  <c r="D1604" i="41" s="1"/>
  <c r="C1603" i="41"/>
  <c r="C1602" i="41"/>
  <c r="H1602" i="41" s="1"/>
  <c r="H1601" i="41"/>
  <c r="C1601" i="41"/>
  <c r="D1601" i="41" s="1" a="1"/>
  <c r="D1601" i="41" s="1"/>
  <c r="H1600" i="41"/>
  <c r="C1600" i="41"/>
  <c r="D1600" i="41" s="1" a="1"/>
  <c r="D1600" i="41" s="1"/>
  <c r="C1599" i="41"/>
  <c r="H1599" i="41" s="1"/>
  <c r="H1598" i="41"/>
  <c r="C1598" i="41"/>
  <c r="D1598" i="41" s="1" a="1"/>
  <c r="D1598" i="41" s="1"/>
  <c r="C1597" i="41"/>
  <c r="H1596" i="41"/>
  <c r="C1596" i="41"/>
  <c r="D1596" i="41" s="1" a="1"/>
  <c r="D1596" i="41" s="1"/>
  <c r="C1595" i="41"/>
  <c r="C1594" i="41"/>
  <c r="H1593" i="41"/>
  <c r="C1593" i="41"/>
  <c r="D1593" i="41" s="1" a="1"/>
  <c r="D1593" i="41" s="1"/>
  <c r="H1592" i="41"/>
  <c r="D1592" i="41" a="1"/>
  <c r="D1592" i="41" s="1"/>
  <c r="C1592" i="41"/>
  <c r="C1591" i="41"/>
  <c r="H1591" i="41" s="1"/>
  <c r="H1590" i="41"/>
  <c r="C1590" i="41"/>
  <c r="D1590" i="41" s="1" a="1"/>
  <c r="D1590" i="41" s="1"/>
  <c r="C1589" i="41"/>
  <c r="H1588" i="41"/>
  <c r="C1588" i="41"/>
  <c r="D1588" i="41" s="1" a="1"/>
  <c r="D1588" i="41" s="1"/>
  <c r="C1587" i="41"/>
  <c r="C1586" i="41"/>
  <c r="H1586" i="41" s="1"/>
  <c r="H1585" i="41"/>
  <c r="C1585" i="41"/>
  <c r="D1585" i="41" s="1" a="1"/>
  <c r="D1585" i="41" s="1"/>
  <c r="H1584" i="41"/>
  <c r="C1584" i="41"/>
  <c r="D1584" i="41" s="1" a="1"/>
  <c r="D1584" i="41" s="1"/>
  <c r="C1583" i="41"/>
  <c r="H1583" i="41" s="1"/>
  <c r="H1582" i="41"/>
  <c r="D1582" i="41" a="1"/>
  <c r="D1582" i="41" s="1"/>
  <c r="C1582" i="41"/>
  <c r="C1581" i="41"/>
  <c r="C1580" i="41"/>
  <c r="C1579" i="41"/>
  <c r="C1578" i="41"/>
  <c r="H1578" i="41" s="1"/>
  <c r="H1577" i="41"/>
  <c r="C1577" i="41"/>
  <c r="D1577" i="41" s="1" a="1"/>
  <c r="D1577" i="41" s="1"/>
  <c r="H1576" i="41"/>
  <c r="C1576" i="41"/>
  <c r="D1576" i="41" s="1" a="1"/>
  <c r="D1576" i="41" s="1"/>
  <c r="C1575" i="41"/>
  <c r="H1575" i="41" s="1"/>
  <c r="H1574" i="41"/>
  <c r="C1574" i="41"/>
  <c r="D1574" i="41" s="1" a="1"/>
  <c r="D1574" i="41" s="1"/>
  <c r="C1573" i="41"/>
  <c r="C1572" i="41"/>
  <c r="D1572" i="41" s="1" a="1"/>
  <c r="D1572" i="41" s="1"/>
  <c r="C1571" i="41"/>
  <c r="C1570" i="41"/>
  <c r="H1570" i="41" s="1"/>
  <c r="H1569" i="41"/>
  <c r="C1569" i="41"/>
  <c r="D1569" i="41" s="1" a="1"/>
  <c r="D1569" i="41" s="1"/>
  <c r="H1568" i="41"/>
  <c r="D1568" i="41" a="1"/>
  <c r="D1568" i="41" s="1"/>
  <c r="C1568" i="41"/>
  <c r="C1567" i="41"/>
  <c r="H1567" i="41" s="1"/>
  <c r="H1566" i="41"/>
  <c r="C1566" i="41"/>
  <c r="D1566" i="41" s="1" a="1"/>
  <c r="D1566" i="41" s="1"/>
  <c r="C1565" i="41"/>
  <c r="C1564" i="41"/>
  <c r="D1564" i="41" s="1" a="1"/>
  <c r="D1564" i="41" s="1"/>
  <c r="C1563" i="41"/>
  <c r="C1562" i="41"/>
  <c r="H1562" i="41" s="1"/>
  <c r="H1561" i="41"/>
  <c r="C1561" i="41"/>
  <c r="D1561" i="41" s="1" a="1"/>
  <c r="D1561" i="41" s="1"/>
  <c r="H1560" i="41"/>
  <c r="C1560" i="41"/>
  <c r="D1560" i="41" s="1" a="1"/>
  <c r="D1560" i="41" s="1"/>
  <c r="C1559" i="41"/>
  <c r="H1558" i="41"/>
  <c r="C1558" i="41"/>
  <c r="D1558" i="41" s="1" a="1"/>
  <c r="D1558" i="41" s="1"/>
  <c r="C1557" i="41"/>
  <c r="H1557" i="41" s="1"/>
  <c r="C1556" i="41"/>
  <c r="C1555" i="41"/>
  <c r="C1554" i="41"/>
  <c r="H1554" i="41" s="1"/>
  <c r="H1553" i="41"/>
  <c r="C1553" i="41"/>
  <c r="D1553" i="41" s="1" a="1"/>
  <c r="D1553" i="41" s="1"/>
  <c r="H1552" i="41"/>
  <c r="C1552" i="41"/>
  <c r="D1552" i="41" s="1" a="1"/>
  <c r="D1552" i="41" s="1"/>
  <c r="C1551" i="41"/>
  <c r="H1550" i="41"/>
  <c r="C1550" i="41"/>
  <c r="D1550" i="41" s="1" a="1"/>
  <c r="D1550" i="41" s="1"/>
  <c r="H1549" i="41"/>
  <c r="C1549" i="41"/>
  <c r="D1549" i="41" s="1" a="1"/>
  <c r="D1549" i="41" s="1"/>
  <c r="C1548" i="41"/>
  <c r="H1548" i="41" s="1"/>
  <c r="H1547" i="41"/>
  <c r="D1547" i="41" a="1"/>
  <c r="D1547" i="41" s="1"/>
  <c r="C1547" i="41"/>
  <c r="H1546" i="41"/>
  <c r="D1546" i="41" a="1"/>
  <c r="D1546" i="41" s="1"/>
  <c r="C1546" i="41"/>
  <c r="C1545" i="41"/>
  <c r="H1545" i="41" s="1"/>
  <c r="H1544" i="41"/>
  <c r="D1544" i="41" a="1"/>
  <c r="D1544" i="41" s="1"/>
  <c r="C1544" i="41"/>
  <c r="C1543" i="41"/>
  <c r="C1542" i="41"/>
  <c r="D1542" i="41" s="1" a="1"/>
  <c r="D1542" i="41" s="1"/>
  <c r="C1541" i="41"/>
  <c r="C1540" i="41"/>
  <c r="H1540" i="41" s="1"/>
  <c r="H1539" i="41"/>
  <c r="D1539" i="41" a="1"/>
  <c r="D1539" i="41" s="1"/>
  <c r="C1539" i="41"/>
  <c r="C1538" i="41"/>
  <c r="H1538" i="41" s="1"/>
  <c r="C1537" i="41"/>
  <c r="H1536" i="41"/>
  <c r="C1536" i="41"/>
  <c r="D1536" i="41" s="1" a="1"/>
  <c r="D1536" i="41" s="1"/>
  <c r="H1535" i="41"/>
  <c r="C1535" i="41"/>
  <c r="D1535" i="41" s="1" a="1"/>
  <c r="D1535" i="41" s="1"/>
  <c r="H1534" i="41"/>
  <c r="C1534" i="41"/>
  <c r="D1534" i="41" s="1" a="1"/>
  <c r="D1534" i="41" s="1"/>
  <c r="H1533" i="41"/>
  <c r="C1533" i="41"/>
  <c r="D1533" i="41" s="1" a="1"/>
  <c r="D1533" i="41" s="1"/>
  <c r="C1532" i="41"/>
  <c r="H1532" i="41" s="1"/>
  <c r="H1531" i="41"/>
  <c r="C1531" i="41"/>
  <c r="D1531" i="41" s="1" a="1"/>
  <c r="D1531" i="41" s="1"/>
  <c r="C1530" i="41"/>
  <c r="H1529" i="41"/>
  <c r="D1529" i="41" a="1"/>
  <c r="D1529" i="41" s="1"/>
  <c r="C1529" i="41"/>
  <c r="H1528" i="41"/>
  <c r="C1528" i="41"/>
  <c r="D1528" i="41" s="1" a="1"/>
  <c r="D1528" i="41" s="1"/>
  <c r="C1527" i="41"/>
  <c r="H1527" i="41" s="1"/>
  <c r="H1526" i="41"/>
  <c r="C1526" i="41"/>
  <c r="D1526" i="41" s="1" a="1"/>
  <c r="D1526" i="41" s="1"/>
  <c r="H1525" i="41"/>
  <c r="C1525" i="41"/>
  <c r="D1525" i="41" s="1" a="1"/>
  <c r="D1525" i="41" s="1"/>
  <c r="C1524" i="41"/>
  <c r="H1524" i="41" s="1"/>
  <c r="H1523" i="41"/>
  <c r="C1523" i="41"/>
  <c r="D1523" i="41" s="1" a="1"/>
  <c r="D1523" i="41" s="1"/>
  <c r="H1522" i="41"/>
  <c r="C1522" i="41"/>
  <c r="D1522" i="41" s="1" a="1"/>
  <c r="D1522" i="41" s="1"/>
  <c r="H1521" i="41"/>
  <c r="C1521" i="41"/>
  <c r="D1521" i="41" s="1" a="1"/>
  <c r="D1521" i="41" s="1"/>
  <c r="H1520" i="41"/>
  <c r="C1520" i="41"/>
  <c r="D1520" i="41" s="1" a="1"/>
  <c r="D1520" i="41" s="1"/>
  <c r="C1519" i="41"/>
  <c r="H1519" i="41" s="1"/>
  <c r="C1518" i="41"/>
  <c r="C1517" i="41"/>
  <c r="D1517" i="41" s="1" a="1"/>
  <c r="D1517" i="41" s="1"/>
  <c r="C1516" i="41"/>
  <c r="H1515" i="41"/>
  <c r="C1515" i="41"/>
  <c r="D1515" i="41" s="1" a="1"/>
  <c r="D1515" i="41" s="1"/>
  <c r="C1514" i="41"/>
  <c r="C1513" i="41"/>
  <c r="H1513" i="41" s="1"/>
  <c r="H1512" i="41"/>
  <c r="C1512" i="41"/>
  <c r="D1512" i="41" s="1" a="1"/>
  <c r="D1512" i="41" s="1"/>
  <c r="C1511" i="41"/>
  <c r="H1511" i="41" s="1"/>
  <c r="C1510" i="41"/>
  <c r="D1510" i="41" s="1" a="1"/>
  <c r="D1510" i="41" s="1"/>
  <c r="H1509" i="41"/>
  <c r="C1509" i="41"/>
  <c r="D1509" i="41" s="1" a="1"/>
  <c r="D1509" i="41" s="1"/>
  <c r="D1508" i="41" a="1"/>
  <c r="D1508" i="41" s="1"/>
  <c r="C1508" i="41"/>
  <c r="H1508" i="41" s="1"/>
  <c r="H1507" i="41"/>
  <c r="C1507" i="41"/>
  <c r="D1507" i="41" s="1" a="1"/>
  <c r="D1507" i="41" s="1"/>
  <c r="H1506" i="41"/>
  <c r="C1506" i="41"/>
  <c r="D1506" i="41" s="1" a="1"/>
  <c r="D1506" i="41" s="1"/>
  <c r="C1505" i="41"/>
  <c r="H1504" i="41"/>
  <c r="C1504" i="41"/>
  <c r="D1504" i="41" s="1" a="1"/>
  <c r="D1504" i="41" s="1"/>
  <c r="C1503" i="41"/>
  <c r="H1503" i="41" s="1"/>
  <c r="H1502" i="41"/>
  <c r="C1502" i="41"/>
  <c r="D1502" i="41" s="1" a="1"/>
  <c r="D1502" i="41" s="1"/>
  <c r="C1501" i="41"/>
  <c r="H1501" i="41" s="1"/>
  <c r="C1500" i="41"/>
  <c r="H1499" i="41"/>
  <c r="C1499" i="41"/>
  <c r="D1499" i="41" s="1" a="1"/>
  <c r="D1499" i="41" s="1"/>
  <c r="H1498" i="41"/>
  <c r="C1498" i="41"/>
  <c r="D1498" i="41" s="1" a="1"/>
  <c r="D1498" i="41" s="1"/>
  <c r="H1497" i="41"/>
  <c r="C1497" i="41"/>
  <c r="D1497" i="41" s="1" a="1"/>
  <c r="D1497" i="41" s="1"/>
  <c r="H1496" i="41"/>
  <c r="C1496" i="41"/>
  <c r="D1496" i="41" s="1" a="1"/>
  <c r="D1496" i="41" s="1"/>
  <c r="C1495" i="41"/>
  <c r="H1494" i="41"/>
  <c r="C1494" i="41"/>
  <c r="D1494" i="41" s="1" a="1"/>
  <c r="D1494" i="41" s="1"/>
  <c r="C1493" i="41"/>
  <c r="C1492" i="41"/>
  <c r="H1491" i="41"/>
  <c r="C1491" i="41"/>
  <c r="D1491" i="41" s="1" a="1"/>
  <c r="D1491" i="41" s="1"/>
  <c r="C1490" i="41"/>
  <c r="D1489" i="41" a="1"/>
  <c r="D1489" i="41" s="1"/>
  <c r="C1489" i="41"/>
  <c r="H1489" i="41" s="1"/>
  <c r="H1488" i="41"/>
  <c r="C1488" i="41"/>
  <c r="D1488" i="41" s="1" a="1"/>
  <c r="D1488" i="41" s="1"/>
  <c r="C1487" i="41"/>
  <c r="C1486" i="41"/>
  <c r="D1486" i="41" s="1" a="1"/>
  <c r="D1486" i="41" s="1"/>
  <c r="H1485" i="41"/>
  <c r="D1485" i="41" a="1"/>
  <c r="D1485" i="41" s="1"/>
  <c r="C1485" i="41"/>
  <c r="C1484" i="41"/>
  <c r="H1484" i="41" s="1"/>
  <c r="H1483" i="41"/>
  <c r="C1483" i="41"/>
  <c r="D1483" i="41" s="1" a="1"/>
  <c r="D1483" i="41" s="1"/>
  <c r="H1482" i="41"/>
  <c r="C1482" i="41"/>
  <c r="D1482" i="41" s="1" a="1"/>
  <c r="D1482" i="41" s="1"/>
  <c r="H1481" i="41"/>
  <c r="C1481" i="41"/>
  <c r="D1481" i="41" s="1" a="1"/>
  <c r="D1481" i="41" s="1"/>
  <c r="C1480" i="41"/>
  <c r="D1479" i="41" a="1"/>
  <c r="D1479" i="41" s="1"/>
  <c r="C1479" i="41"/>
  <c r="H1479" i="41" s="1"/>
  <c r="C1478" i="41"/>
  <c r="C1477" i="41"/>
  <c r="H1477" i="41" s="1"/>
  <c r="H1476" i="41"/>
  <c r="C1476" i="41"/>
  <c r="D1476" i="41" s="1" a="1"/>
  <c r="D1476" i="41" s="1"/>
  <c r="H1475" i="41"/>
  <c r="C1475" i="41"/>
  <c r="D1475" i="41" s="1" a="1"/>
  <c r="D1475" i="41" s="1"/>
  <c r="C1474" i="41"/>
  <c r="C1473" i="41"/>
  <c r="H1473" i="41" s="1"/>
  <c r="H1472" i="41"/>
  <c r="C1472" i="41"/>
  <c r="D1472" i="41" s="1" a="1"/>
  <c r="D1472" i="41" s="1"/>
  <c r="C1471" i="41"/>
  <c r="C1470" i="41"/>
  <c r="D1470" i="41" s="1" a="1"/>
  <c r="D1470" i="41" s="1"/>
  <c r="H1469" i="41"/>
  <c r="C1469" i="41"/>
  <c r="D1469" i="41" s="1" a="1"/>
  <c r="D1469" i="41" s="1"/>
  <c r="C1468" i="41"/>
  <c r="H1468" i="41" s="1"/>
  <c r="H1467" i="41"/>
  <c r="C1467" i="41"/>
  <c r="D1467" i="41" s="1" a="1"/>
  <c r="D1467" i="41" s="1"/>
  <c r="H1466" i="41"/>
  <c r="C1466" i="41"/>
  <c r="D1466" i="41" s="1" a="1"/>
  <c r="D1466" i="41" s="1"/>
  <c r="C1465" i="41"/>
  <c r="C1464" i="41"/>
  <c r="C1463" i="41"/>
  <c r="C1462" i="41"/>
  <c r="C1461" i="41"/>
  <c r="H1460" i="41"/>
  <c r="C1460" i="41"/>
  <c r="D1460" i="41" s="1" a="1"/>
  <c r="D1460" i="41" s="1"/>
  <c r="H1459" i="41"/>
  <c r="C1459" i="41"/>
  <c r="D1459" i="41" s="1" a="1"/>
  <c r="D1459" i="41" s="1"/>
  <c r="C1458" i="41"/>
  <c r="H1457" i="41"/>
  <c r="C1457" i="41"/>
  <c r="D1457" i="41" s="1" a="1"/>
  <c r="D1457" i="41" s="1"/>
  <c r="H1456" i="41"/>
  <c r="C1456" i="41"/>
  <c r="D1456" i="41" s="1" a="1"/>
  <c r="D1456" i="41" s="1"/>
  <c r="C1455" i="41"/>
  <c r="C1454" i="41"/>
  <c r="D1454" i="41" s="1" a="1"/>
  <c r="D1454" i="41" s="1"/>
  <c r="H1453" i="41"/>
  <c r="C1453" i="41"/>
  <c r="D1453" i="41" s="1" a="1"/>
  <c r="D1453" i="41" s="1"/>
  <c r="C1452" i="41"/>
  <c r="H1452" i="41" s="1"/>
  <c r="H1451" i="41"/>
  <c r="C1451" i="41"/>
  <c r="D1451" i="41" s="1" a="1"/>
  <c r="D1451" i="41" s="1"/>
  <c r="H1450" i="41"/>
  <c r="C1450" i="41"/>
  <c r="D1450" i="41" s="1" a="1"/>
  <c r="D1450" i="41" s="1"/>
  <c r="C1449" i="41"/>
  <c r="C1448" i="41"/>
  <c r="D1448" i="41" s="1" a="1"/>
  <c r="D1448" i="41" s="1"/>
  <c r="C1447" i="41"/>
  <c r="H1447" i="41" s="1"/>
  <c r="C1446" i="41"/>
  <c r="C1445" i="41"/>
  <c r="H1445" i="41" s="1"/>
  <c r="H1444" i="41"/>
  <c r="C1444" i="41"/>
  <c r="D1444" i="41" s="1" a="1"/>
  <c r="D1444" i="41" s="1"/>
  <c r="H1443" i="41"/>
  <c r="C1443" i="41"/>
  <c r="D1443" i="41" s="1" a="1"/>
  <c r="D1443" i="41" s="1"/>
  <c r="C1442" i="41"/>
  <c r="H1441" i="41"/>
  <c r="C1441" i="41"/>
  <c r="D1441" i="41" s="1" a="1"/>
  <c r="D1441" i="41" s="1"/>
  <c r="H1440" i="41"/>
  <c r="C1440" i="41"/>
  <c r="D1440" i="41" s="1" a="1"/>
  <c r="D1440" i="41" s="1"/>
  <c r="C1439" i="41"/>
  <c r="C1438" i="41"/>
  <c r="H1437" i="41"/>
  <c r="C1437" i="41"/>
  <c r="D1437" i="41" s="1" a="1"/>
  <c r="D1437" i="41" s="1"/>
  <c r="C1436" i="41"/>
  <c r="H1436" i="41" s="1"/>
  <c r="H1435" i="41"/>
  <c r="C1435" i="41"/>
  <c r="D1435" i="41" s="1" a="1"/>
  <c r="D1435" i="41" s="1"/>
  <c r="H1434" i="41"/>
  <c r="C1434" i="41"/>
  <c r="D1434" i="41" s="1" a="1"/>
  <c r="D1434" i="41" s="1"/>
  <c r="H1433" i="41"/>
  <c r="C1433" i="41"/>
  <c r="D1433" i="41" s="1" a="1"/>
  <c r="D1433" i="41" s="1"/>
  <c r="C1432" i="41"/>
  <c r="C1431" i="41"/>
  <c r="H1431" i="41" s="1"/>
  <c r="C1430" i="41"/>
  <c r="C1429" i="41"/>
  <c r="H1429" i="41" s="1"/>
  <c r="H1428" i="41"/>
  <c r="C1428" i="41"/>
  <c r="D1428" i="41" s="1" a="1"/>
  <c r="D1428" i="41" s="1"/>
  <c r="H1427" i="41"/>
  <c r="C1427" i="41"/>
  <c r="D1427" i="41" s="1" a="1"/>
  <c r="D1427" i="41" s="1"/>
  <c r="C1426" i="41"/>
  <c r="H1425" i="41"/>
  <c r="D1425" i="41" a="1"/>
  <c r="D1425" i="41" s="1"/>
  <c r="C1425" i="41"/>
  <c r="C1424" i="41"/>
  <c r="H1424" i="41" s="1"/>
  <c r="C1423" i="41"/>
  <c r="C1422" i="41"/>
  <c r="H1421" i="41"/>
  <c r="C1421" i="41"/>
  <c r="D1421" i="41" s="1" a="1"/>
  <c r="D1421" i="41" s="1"/>
  <c r="D1420" i="41" a="1"/>
  <c r="D1420" i="41" s="1"/>
  <c r="C1420" i="41"/>
  <c r="H1420" i="41" s="1"/>
  <c r="H1419" i="41"/>
  <c r="C1419" i="41"/>
  <c r="D1419" i="41" s="1" a="1"/>
  <c r="D1419" i="41" s="1"/>
  <c r="H1418" i="41"/>
  <c r="C1418" i="41"/>
  <c r="D1418" i="41" s="1" a="1"/>
  <c r="D1418" i="41" s="1"/>
  <c r="H1417" i="41"/>
  <c r="C1417" i="41"/>
  <c r="D1417" i="41" s="1" a="1"/>
  <c r="D1417" i="41" s="1"/>
  <c r="C1416" i="41"/>
  <c r="D1416" i="41" s="1" a="1"/>
  <c r="D1416" i="41" s="1"/>
  <c r="C1415" i="41"/>
  <c r="C1414" i="41"/>
  <c r="C1413" i="41"/>
  <c r="H1412" i="41"/>
  <c r="C1412" i="41"/>
  <c r="D1412" i="41" s="1" a="1"/>
  <c r="D1412" i="41" s="1"/>
  <c r="H1411" i="41"/>
  <c r="C1411" i="41"/>
  <c r="D1411" i="41" s="1" a="1"/>
  <c r="D1411" i="41" s="1"/>
  <c r="C1410" i="41"/>
  <c r="H1409" i="41"/>
  <c r="C1409" i="41"/>
  <c r="D1409" i="41" s="1" a="1"/>
  <c r="D1409" i="41" s="1"/>
  <c r="C1408" i="41"/>
  <c r="C1407" i="41"/>
  <c r="C1406" i="41"/>
  <c r="H1405" i="41"/>
  <c r="C1405" i="41"/>
  <c r="D1405" i="41" s="1" a="1"/>
  <c r="D1405" i="41" s="1"/>
  <c r="C1404" i="41"/>
  <c r="H1404" i="41" s="1"/>
  <c r="H1403" i="41"/>
  <c r="C1403" i="41"/>
  <c r="D1403" i="41" s="1" a="1"/>
  <c r="D1403" i="41" s="1"/>
  <c r="H1402" i="41"/>
  <c r="D1402" i="41" a="1"/>
  <c r="D1402" i="41" s="1"/>
  <c r="C1402" i="41"/>
  <c r="C1401" i="41"/>
  <c r="D1401" i="41" s="1" a="1"/>
  <c r="D1401" i="41" s="1"/>
  <c r="C1400" i="41"/>
  <c r="C1399" i="41"/>
  <c r="C1398" i="41"/>
  <c r="C1397" i="41"/>
  <c r="H1397" i="41" s="1"/>
  <c r="H1396" i="41"/>
  <c r="C1396" i="41"/>
  <c r="D1396" i="41" s="1" a="1"/>
  <c r="D1396" i="41" s="1"/>
  <c r="H1395" i="41"/>
  <c r="C1395" i="41"/>
  <c r="D1395" i="41" s="1" a="1"/>
  <c r="D1395" i="41" s="1"/>
  <c r="C1394" i="41"/>
  <c r="D1394" i="41" s="1" a="1"/>
  <c r="D1394" i="41" s="1"/>
  <c r="H1393" i="41"/>
  <c r="C1393" i="41"/>
  <c r="D1393" i="41" s="1" a="1"/>
  <c r="D1393" i="41" s="1"/>
  <c r="C1392" i="41"/>
  <c r="D1392" i="41" s="1" a="1"/>
  <c r="D1392" i="41" s="1"/>
  <c r="H1391" i="41"/>
  <c r="C1391" i="41"/>
  <c r="D1391" i="41" s="1" a="1"/>
  <c r="D1391" i="41" s="1"/>
  <c r="C1390" i="41"/>
  <c r="H1389" i="41"/>
  <c r="C1389" i="41"/>
  <c r="D1389" i="41" s="1" a="1"/>
  <c r="D1389" i="41" s="1"/>
  <c r="C1388" i="41"/>
  <c r="H1387" i="41"/>
  <c r="C1387" i="41"/>
  <c r="D1387" i="41" s="1" a="1"/>
  <c r="D1387" i="41" s="1"/>
  <c r="C1386" i="41"/>
  <c r="H1385" i="41"/>
  <c r="C1385" i="41"/>
  <c r="D1385" i="41" s="1" a="1"/>
  <c r="D1385" i="41" s="1"/>
  <c r="H1384" i="41"/>
  <c r="C1384" i="41"/>
  <c r="D1384" i="41" s="1" a="1"/>
  <c r="D1384" i="41" s="1"/>
  <c r="C1383" i="41"/>
  <c r="H1383" i="41" s="1"/>
  <c r="H1382" i="41"/>
  <c r="D1382" i="41"/>
  <c r="C1382" i="41"/>
  <c r="D1382" i="41" s="1" a="1"/>
  <c r="C1381" i="41"/>
  <c r="H1380" i="41"/>
  <c r="C1380" i="41"/>
  <c r="D1380" i="41" s="1" a="1"/>
  <c r="D1380" i="41" s="1"/>
  <c r="H1379" i="41"/>
  <c r="C1379" i="41"/>
  <c r="D1379" i="41" s="1" a="1"/>
  <c r="D1379" i="41" s="1"/>
  <c r="H1378" i="41"/>
  <c r="C1378" i="41"/>
  <c r="D1378" i="41" s="1" a="1"/>
  <c r="D1378" i="41" s="1"/>
  <c r="H1377" i="41"/>
  <c r="C1377" i="41"/>
  <c r="D1377" i="41" s="1" a="1"/>
  <c r="D1377" i="41" s="1"/>
  <c r="H1376" i="41"/>
  <c r="C1376" i="41"/>
  <c r="D1376" i="41" s="1" a="1"/>
  <c r="D1376" i="41" s="1"/>
  <c r="C1375" i="41"/>
  <c r="H1374" i="41"/>
  <c r="C1374" i="41"/>
  <c r="D1374" i="41" s="1" a="1"/>
  <c r="D1374" i="41" s="1"/>
  <c r="H1373" i="41"/>
  <c r="C1373" i="41"/>
  <c r="D1373" i="41" s="1" a="1"/>
  <c r="D1373" i="41" s="1"/>
  <c r="C1372" i="41"/>
  <c r="H1372" i="41" s="1"/>
  <c r="H1371" i="41"/>
  <c r="C1371" i="41"/>
  <c r="D1371" i="41" s="1" a="1"/>
  <c r="D1371" i="41" s="1"/>
  <c r="C1370" i="41"/>
  <c r="C1369" i="41"/>
  <c r="H1369" i="41" s="1"/>
  <c r="H1368" i="41"/>
  <c r="C1368" i="41"/>
  <c r="D1368" i="41" s="1" a="1"/>
  <c r="D1368" i="41" s="1"/>
  <c r="C1367" i="41"/>
  <c r="H1367" i="41" s="1"/>
  <c r="H1366" i="41"/>
  <c r="C1366" i="41"/>
  <c r="D1366" i="41" s="1" a="1"/>
  <c r="D1366" i="41" s="1"/>
  <c r="H1365" i="41"/>
  <c r="C1365" i="41"/>
  <c r="D1365" i="41" s="1" a="1"/>
  <c r="D1365" i="41" s="1"/>
  <c r="C1364" i="41"/>
  <c r="H1363" i="41"/>
  <c r="D1363" i="41" a="1"/>
  <c r="D1363" i="41" s="1"/>
  <c r="C1363" i="41"/>
  <c r="H1362" i="41"/>
  <c r="C1362" i="41"/>
  <c r="D1362" i="41" s="1" a="1"/>
  <c r="D1362" i="41" s="1"/>
  <c r="C1361" i="41"/>
  <c r="C1360" i="41"/>
  <c r="D1360" i="41" s="1" a="1"/>
  <c r="D1360" i="41" s="1"/>
  <c r="C1359" i="41"/>
  <c r="H1359" i="41" s="1"/>
  <c r="H1358" i="41"/>
  <c r="C1358" i="41"/>
  <c r="D1358" i="41" s="1" a="1"/>
  <c r="D1358" i="41" s="1"/>
  <c r="C1357" i="41"/>
  <c r="H1356" i="41"/>
  <c r="C1356" i="41"/>
  <c r="D1356" i="41" s="1" a="1"/>
  <c r="D1356" i="41" s="1"/>
  <c r="H1355" i="41"/>
  <c r="C1355" i="41"/>
  <c r="D1355" i="41" s="1" a="1"/>
  <c r="D1355" i="41" s="1"/>
  <c r="C1354" i="41"/>
  <c r="C1353" i="41"/>
  <c r="H1353" i="41" s="1"/>
  <c r="H1352" i="41"/>
  <c r="C1352" i="41"/>
  <c r="D1352" i="41" s="1" a="1"/>
  <c r="D1352" i="41" s="1"/>
  <c r="C1351" i="41"/>
  <c r="H1351" i="41" s="1"/>
  <c r="H1350" i="41"/>
  <c r="C1350" i="41"/>
  <c r="D1350" i="41" s="1" a="1"/>
  <c r="D1350" i="41" s="1"/>
  <c r="H1349" i="41"/>
  <c r="C1349" i="41"/>
  <c r="D1349" i="41" s="1" a="1"/>
  <c r="D1349" i="41" s="1"/>
  <c r="C1348" i="41"/>
  <c r="H1347" i="41"/>
  <c r="D1347" i="41" a="1"/>
  <c r="D1347" i="41" s="1"/>
  <c r="C1347" i="41"/>
  <c r="H1346" i="41"/>
  <c r="C1346" i="41"/>
  <c r="D1346" i="41" s="1" a="1"/>
  <c r="D1346" i="41" s="1"/>
  <c r="C1345" i="41"/>
  <c r="C1344" i="41"/>
  <c r="D1344" i="41" s="1" a="1"/>
  <c r="D1344" i="41" s="1"/>
  <c r="C1343" i="41"/>
  <c r="H1343" i="41" s="1"/>
  <c r="H1342" i="41"/>
  <c r="C1342" i="41"/>
  <c r="D1342" i="41" s="1" a="1"/>
  <c r="D1342" i="41" s="1"/>
  <c r="C1341" i="41"/>
  <c r="H1340" i="41"/>
  <c r="C1340" i="41"/>
  <c r="D1340" i="41" s="1" a="1"/>
  <c r="D1340" i="41" s="1"/>
  <c r="H1339" i="41"/>
  <c r="C1339" i="41"/>
  <c r="D1339" i="41" s="1" a="1"/>
  <c r="D1339" i="41" s="1"/>
  <c r="C1338" i="41"/>
  <c r="C1337" i="41"/>
  <c r="H1337" i="41" s="1"/>
  <c r="H1336" i="41"/>
  <c r="C1336" i="41"/>
  <c r="D1336" i="41" s="1" a="1"/>
  <c r="D1336" i="41" s="1"/>
  <c r="C1335" i="41"/>
  <c r="H1335" i="41" s="1"/>
  <c r="H1334" i="41"/>
  <c r="C1334" i="41"/>
  <c r="D1334" i="41" s="1" a="1"/>
  <c r="D1334" i="41" s="1"/>
  <c r="H1333" i="41"/>
  <c r="C1333" i="41"/>
  <c r="D1333" i="41" s="1" a="1"/>
  <c r="D1333" i="41" s="1"/>
  <c r="C1332" i="41"/>
  <c r="H1331" i="41"/>
  <c r="C1331" i="41"/>
  <c r="D1331" i="41" s="1" a="1"/>
  <c r="D1331" i="41" s="1"/>
  <c r="H1330" i="41"/>
  <c r="C1330" i="41"/>
  <c r="D1330" i="41" s="1" a="1"/>
  <c r="D1330" i="41" s="1"/>
  <c r="C1329" i="41"/>
  <c r="C1328" i="41"/>
  <c r="D1328" i="41" s="1" a="1"/>
  <c r="D1328" i="41" s="1"/>
  <c r="H1327" i="41"/>
  <c r="C1327" i="41"/>
  <c r="D1327" i="41" s="1" a="1"/>
  <c r="D1327" i="41" s="1"/>
  <c r="H1326" i="41"/>
  <c r="C1326" i="41"/>
  <c r="D1326" i="41" s="1" a="1"/>
  <c r="D1326" i="41" s="1"/>
  <c r="C1325" i="41"/>
  <c r="H1324" i="41"/>
  <c r="C1324" i="41"/>
  <c r="D1324" i="41" s="1" a="1"/>
  <c r="D1324" i="41" s="1"/>
  <c r="H1323" i="41"/>
  <c r="C1323" i="41"/>
  <c r="D1323" i="41" s="1" a="1"/>
  <c r="D1323" i="41" s="1"/>
  <c r="C1322" i="41"/>
  <c r="D1321" i="41" a="1"/>
  <c r="D1321" i="41" s="1"/>
  <c r="C1321" i="41"/>
  <c r="H1321" i="41" s="1"/>
  <c r="H1320" i="41"/>
  <c r="C1320" i="41"/>
  <c r="D1320" i="41" s="1" a="1"/>
  <c r="D1320" i="41" s="1"/>
  <c r="H1319" i="41"/>
  <c r="C1319" i="41"/>
  <c r="C1318" i="41"/>
  <c r="D1318" i="41" s="1" a="1"/>
  <c r="D1318" i="41" s="1"/>
  <c r="H1317" i="41"/>
  <c r="D1317" i="41" a="1"/>
  <c r="D1317" i="41" s="1"/>
  <c r="C1317" i="41"/>
  <c r="C1316" i="41"/>
  <c r="H1315" i="41"/>
  <c r="C1315" i="41"/>
  <c r="D1315" i="41" s="1" a="1"/>
  <c r="D1315" i="41" s="1"/>
  <c r="H1314" i="41"/>
  <c r="C1314" i="41"/>
  <c r="D1314" i="41" s="1" a="1"/>
  <c r="D1314" i="41" s="1"/>
  <c r="C1313" i="41"/>
  <c r="C1312" i="41"/>
  <c r="D1312" i="41" s="1" a="1"/>
  <c r="D1312" i="41" s="1"/>
  <c r="C1311" i="41"/>
  <c r="H1310" i="41"/>
  <c r="C1310" i="41"/>
  <c r="D1310" i="41" s="1" a="1"/>
  <c r="D1310" i="41" s="1"/>
  <c r="C1309" i="41"/>
  <c r="H1308" i="41"/>
  <c r="D1308" i="41" a="1"/>
  <c r="D1308" i="41" s="1"/>
  <c r="C1308" i="41"/>
  <c r="H1307" i="41"/>
  <c r="C1307" i="41"/>
  <c r="D1307" i="41" s="1" a="1"/>
  <c r="D1307" i="41" s="1"/>
  <c r="C1306" i="41"/>
  <c r="H1305" i="41"/>
  <c r="C1305" i="41"/>
  <c r="D1305" i="41" s="1" a="1"/>
  <c r="D1305" i="41" s="1"/>
  <c r="H1304" i="41"/>
  <c r="C1304" i="41"/>
  <c r="D1304" i="41" s="1" a="1"/>
  <c r="D1304" i="41" s="1"/>
  <c r="C1303" i="41"/>
  <c r="C1302" i="41"/>
  <c r="D1302" i="41" s="1" a="1"/>
  <c r="D1302" i="41" s="1"/>
  <c r="H1301" i="41"/>
  <c r="C1301" i="41"/>
  <c r="D1301" i="41" s="1" a="1"/>
  <c r="D1301" i="41" s="1"/>
  <c r="C1300" i="41"/>
  <c r="H1299" i="41"/>
  <c r="C1299" i="41"/>
  <c r="D1299" i="41" s="1" a="1"/>
  <c r="D1299" i="41" s="1"/>
  <c r="H1298" i="41"/>
  <c r="C1298" i="41"/>
  <c r="D1298" i="41" s="1" a="1"/>
  <c r="D1298" i="41" s="1"/>
  <c r="C1297" i="41"/>
  <c r="D1297" i="41" s="1" a="1"/>
  <c r="D1297" i="41" s="1"/>
  <c r="C1296" i="41"/>
  <c r="C1295" i="41"/>
  <c r="C1294" i="41"/>
  <c r="C1293" i="41"/>
  <c r="H1292" i="41"/>
  <c r="C1292" i="41"/>
  <c r="D1292" i="41" s="1" a="1"/>
  <c r="D1292" i="41" s="1"/>
  <c r="H1291" i="41"/>
  <c r="D1291" i="41" a="1"/>
  <c r="D1291" i="41" s="1"/>
  <c r="C1291" i="41"/>
  <c r="C1290" i="41"/>
  <c r="H1289" i="41"/>
  <c r="C1289" i="41"/>
  <c r="D1289" i="41" s="1" a="1"/>
  <c r="D1289" i="41" s="1"/>
  <c r="H1288" i="41"/>
  <c r="C1288" i="41"/>
  <c r="D1288" i="41" s="1" a="1"/>
  <c r="D1288" i="41" s="1"/>
  <c r="C1287" i="41"/>
  <c r="D1286" i="41"/>
  <c r="C1286" i="41"/>
  <c r="D1286" i="41" s="1" a="1"/>
  <c r="H1285" i="41"/>
  <c r="C1285" i="41"/>
  <c r="D1285" i="41" s="1" a="1"/>
  <c r="D1285" i="41" s="1"/>
  <c r="C1284" i="41"/>
  <c r="H1283" i="41"/>
  <c r="C1283" i="41"/>
  <c r="D1283" i="41" s="1" a="1"/>
  <c r="D1283" i="41" s="1"/>
  <c r="H1282" i="41"/>
  <c r="C1282" i="41"/>
  <c r="D1282" i="41" s="1" a="1"/>
  <c r="D1282" i="41" s="1"/>
  <c r="C1281" i="41"/>
  <c r="D1281" i="41" s="1" a="1"/>
  <c r="D1281" i="41" s="1"/>
  <c r="C1280" i="41"/>
  <c r="C1279" i="41"/>
  <c r="C1278" i="41"/>
  <c r="D1278" i="41" s="1" a="1"/>
  <c r="D1278" i="41" s="1"/>
  <c r="C1277" i="41"/>
  <c r="H1276" i="41"/>
  <c r="C1276" i="41"/>
  <c r="D1276" i="41" s="1" a="1"/>
  <c r="D1276" i="41" s="1"/>
  <c r="H1275" i="41"/>
  <c r="C1275" i="41"/>
  <c r="D1275" i="41" s="1" a="1"/>
  <c r="D1275" i="41" s="1"/>
  <c r="C1274" i="41"/>
  <c r="H1273" i="41"/>
  <c r="C1273" i="41"/>
  <c r="D1273" i="41" s="1" a="1"/>
  <c r="D1273" i="41" s="1"/>
  <c r="H1272" i="41"/>
  <c r="C1272" i="41"/>
  <c r="D1272" i="41" s="1" a="1"/>
  <c r="D1272" i="41" s="1"/>
  <c r="C1271" i="41"/>
  <c r="C1270" i="41"/>
  <c r="D1270" i="41" s="1" a="1"/>
  <c r="D1270" i="41" s="1"/>
  <c r="H1269" i="41"/>
  <c r="C1269" i="41"/>
  <c r="D1269" i="41" s="1" a="1"/>
  <c r="D1269" i="41" s="1"/>
  <c r="C1268" i="41"/>
  <c r="H1267" i="41"/>
  <c r="C1267" i="41"/>
  <c r="D1267" i="41" s="1" a="1"/>
  <c r="D1267" i="41" s="1"/>
  <c r="H1266" i="41"/>
  <c r="C1266" i="41"/>
  <c r="D1266" i="41" s="1" a="1"/>
  <c r="D1266" i="41" s="1"/>
  <c r="H1265" i="41"/>
  <c r="C1265" i="41"/>
  <c r="D1265" i="41" s="1" a="1"/>
  <c r="D1265" i="41" s="1"/>
  <c r="H1264" i="41"/>
  <c r="C1264" i="41"/>
  <c r="D1264" i="41" s="1" a="1"/>
  <c r="D1264" i="41" s="1"/>
  <c r="H1263" i="41"/>
  <c r="C1263" i="41"/>
  <c r="D1263" i="41" s="1" a="1"/>
  <c r="D1263" i="41" s="1"/>
  <c r="C1262" i="41"/>
  <c r="C1261" i="41"/>
  <c r="C1260" i="41"/>
  <c r="H1259" i="41"/>
  <c r="C1259" i="41"/>
  <c r="D1259" i="41" s="1" a="1"/>
  <c r="D1259" i="41" s="1"/>
  <c r="H1258" i="41"/>
  <c r="D1258" i="41"/>
  <c r="C1258" i="41"/>
  <c r="D1258" i="41" s="1" a="1"/>
  <c r="H1257" i="41"/>
  <c r="C1257" i="41"/>
  <c r="D1257" i="41" s="1" a="1"/>
  <c r="D1257" i="41" s="1"/>
  <c r="H1256" i="41"/>
  <c r="C1256" i="41"/>
  <c r="D1256" i="41" s="1" a="1"/>
  <c r="D1256" i="41" s="1"/>
  <c r="C1255" i="41"/>
  <c r="H1255" i="41" s="1"/>
  <c r="C1254" i="41"/>
  <c r="C1253" i="41"/>
  <c r="C1252" i="41"/>
  <c r="H1251" i="41"/>
  <c r="C1251" i="41"/>
  <c r="D1251" i="41" s="1" a="1"/>
  <c r="D1251" i="41" s="1"/>
  <c r="H1250" i="41"/>
  <c r="C1250" i="41"/>
  <c r="D1250" i="41" s="1" a="1"/>
  <c r="D1250" i="41" s="1"/>
  <c r="H1249" i="41"/>
  <c r="C1249" i="41"/>
  <c r="D1249" i="41" s="1" a="1"/>
  <c r="D1249" i="41" s="1"/>
  <c r="H1248" i="41"/>
  <c r="C1248" i="41"/>
  <c r="D1248" i="41" s="1" a="1"/>
  <c r="D1248" i="41" s="1"/>
  <c r="C1247" i="41"/>
  <c r="H1247" i="41" s="1"/>
  <c r="C1246" i="41"/>
  <c r="C1245" i="41"/>
  <c r="C1244" i="41"/>
  <c r="H1243" i="41"/>
  <c r="D1243" i="41" a="1"/>
  <c r="D1243" i="41" s="1"/>
  <c r="C1243" i="41"/>
  <c r="H1242" i="41"/>
  <c r="C1242" i="41"/>
  <c r="D1242" i="41" s="1" a="1"/>
  <c r="D1242" i="41" s="1"/>
  <c r="H1241" i="41"/>
  <c r="C1241" i="41"/>
  <c r="D1241" i="41" s="1" a="1"/>
  <c r="D1241" i="41" s="1"/>
  <c r="H1240" i="41"/>
  <c r="C1240" i="41"/>
  <c r="D1240" i="41" s="1" a="1"/>
  <c r="D1240" i="41" s="1"/>
  <c r="C1239" i="41"/>
  <c r="C1238" i="41"/>
  <c r="C1237" i="41"/>
  <c r="C1236" i="41"/>
  <c r="H1235" i="41"/>
  <c r="C1235" i="41"/>
  <c r="D1235" i="41" s="1" a="1"/>
  <c r="D1235" i="41" s="1"/>
  <c r="H1234" i="41"/>
  <c r="C1234" i="41"/>
  <c r="D1234" i="41" s="1" a="1"/>
  <c r="D1234" i="41" s="1"/>
  <c r="H1233" i="41"/>
  <c r="C1233" i="41"/>
  <c r="D1233" i="41" s="1" a="1"/>
  <c r="D1233" i="41" s="1"/>
  <c r="H1232" i="41"/>
  <c r="C1232" i="41"/>
  <c r="D1232" i="41" s="1" a="1"/>
  <c r="D1232" i="41" s="1"/>
  <c r="C1231" i="41"/>
  <c r="C1230" i="41"/>
  <c r="C1229" i="41"/>
  <c r="D1229" i="41" s="1" a="1"/>
  <c r="D1229" i="41" s="1"/>
  <c r="C1228" i="41"/>
  <c r="H1228" i="41" s="1"/>
  <c r="H1227" i="41"/>
  <c r="D1227" i="41"/>
  <c r="C1227" i="41"/>
  <c r="D1227" i="41" s="1" a="1"/>
  <c r="H1226" i="41"/>
  <c r="C1226" i="41"/>
  <c r="D1226" i="41" s="1" a="1"/>
  <c r="D1226" i="41" s="1"/>
  <c r="C1225" i="41"/>
  <c r="H1225" i="41" s="1"/>
  <c r="H1224" i="41"/>
  <c r="C1224" i="41"/>
  <c r="D1224" i="41" s="1" a="1"/>
  <c r="D1224" i="41" s="1"/>
  <c r="H1223" i="41"/>
  <c r="C1223" i="41"/>
  <c r="C1222" i="41"/>
  <c r="H1221" i="41"/>
  <c r="C1221" i="41"/>
  <c r="D1221" i="41" s="1" a="1"/>
  <c r="D1221" i="41" s="1"/>
  <c r="C1220" i="41"/>
  <c r="H1220" i="41" s="1"/>
  <c r="H1219" i="41"/>
  <c r="C1219" i="41"/>
  <c r="D1219" i="41" s="1" a="1"/>
  <c r="D1219" i="41" s="1"/>
  <c r="H1218" i="41"/>
  <c r="C1218" i="41"/>
  <c r="D1218" i="41" s="1" a="1"/>
  <c r="D1218" i="41" s="1"/>
  <c r="C1217" i="41"/>
  <c r="D1217" i="41" s="1" a="1"/>
  <c r="D1217" i="41" s="1"/>
  <c r="H1216" i="41"/>
  <c r="C1216" i="41"/>
  <c r="D1216" i="41" s="1" a="1"/>
  <c r="D1216" i="41" s="1"/>
  <c r="C1215" i="41"/>
  <c r="C1214" i="41"/>
  <c r="C1213" i="41"/>
  <c r="C1212" i="41"/>
  <c r="H1211" i="41"/>
  <c r="C1211" i="41"/>
  <c r="D1211" i="41" s="1" a="1"/>
  <c r="D1211" i="41" s="1"/>
  <c r="H1210" i="41"/>
  <c r="C1210" i="41"/>
  <c r="D1210" i="41" s="1" a="1"/>
  <c r="D1210" i="41" s="1"/>
  <c r="C1209" i="41"/>
  <c r="H1208" i="41"/>
  <c r="C1208" i="41"/>
  <c r="D1208" i="41" s="1" a="1"/>
  <c r="D1208" i="41" s="1"/>
  <c r="C1207" i="41"/>
  <c r="H1207" i="41" s="1"/>
  <c r="C1206" i="41"/>
  <c r="H1205" i="41"/>
  <c r="C1205" i="41"/>
  <c r="D1205" i="41" s="1" a="1"/>
  <c r="D1205" i="41" s="1"/>
  <c r="C1204" i="41"/>
  <c r="H1203" i="41"/>
  <c r="C1203" i="41"/>
  <c r="D1203" i="41" s="1" a="1"/>
  <c r="D1203" i="41" s="1"/>
  <c r="H1202" i="41"/>
  <c r="C1202" i="41"/>
  <c r="D1202" i="41" s="1" a="1"/>
  <c r="D1202" i="41" s="1"/>
  <c r="H1201" i="41"/>
  <c r="C1201" i="41"/>
  <c r="D1201" i="41" s="1" a="1"/>
  <c r="D1201" i="41" s="1"/>
  <c r="H1200" i="41"/>
  <c r="C1200" i="41"/>
  <c r="D1200" i="41" s="1" a="1"/>
  <c r="D1200" i="41" s="1"/>
  <c r="C1199" i="41"/>
  <c r="H1199" i="41" s="1"/>
  <c r="C1198" i="41"/>
  <c r="H1197" i="41"/>
  <c r="C1197" i="41"/>
  <c r="D1197" i="41" s="1" a="1"/>
  <c r="D1197" i="41" s="1"/>
  <c r="C1196" i="41"/>
  <c r="H1195" i="41"/>
  <c r="D1195" i="41" a="1"/>
  <c r="D1195" i="41" s="1"/>
  <c r="C1195" i="41"/>
  <c r="H1194" i="41"/>
  <c r="C1194" i="41"/>
  <c r="D1194" i="41" s="1" a="1"/>
  <c r="D1194" i="41" s="1"/>
  <c r="H1193" i="41"/>
  <c r="C1193" i="41"/>
  <c r="D1193" i="41" s="1" a="1"/>
  <c r="D1193" i="41" s="1"/>
  <c r="H1192" i="41"/>
  <c r="C1192" i="41"/>
  <c r="D1192" i="41" s="1" a="1"/>
  <c r="D1192" i="41" s="1"/>
  <c r="H1191" i="41"/>
  <c r="C1191" i="41"/>
  <c r="C1190" i="41"/>
  <c r="H1189" i="41"/>
  <c r="C1189" i="41"/>
  <c r="D1189" i="41" s="1" a="1"/>
  <c r="D1189" i="41" s="1"/>
  <c r="C1188" i="41"/>
  <c r="H1187" i="41"/>
  <c r="C1187" i="41"/>
  <c r="D1187" i="41" s="1" a="1"/>
  <c r="D1187" i="41" s="1"/>
  <c r="H1186" i="41"/>
  <c r="D1186" i="41" a="1"/>
  <c r="D1186" i="41" s="1"/>
  <c r="C1186" i="41"/>
  <c r="H1185" i="41"/>
  <c r="C1185" i="41"/>
  <c r="D1185" i="41" s="1" a="1"/>
  <c r="D1185" i="41" s="1"/>
  <c r="H1184" i="41"/>
  <c r="C1184" i="41"/>
  <c r="D1184" i="41" s="1" a="1"/>
  <c r="D1184" i="41" s="1"/>
  <c r="C1183" i="41"/>
  <c r="H1183" i="41" s="1"/>
  <c r="C1182" i="41"/>
  <c r="H1181" i="41"/>
  <c r="C1181" i="41"/>
  <c r="D1181" i="41" s="1" a="1"/>
  <c r="D1181" i="41" s="1"/>
  <c r="C1180" i="41"/>
  <c r="H1179" i="41"/>
  <c r="C1179" i="41"/>
  <c r="D1179" i="41" s="1" a="1"/>
  <c r="D1179" i="41" s="1"/>
  <c r="H1178" i="41"/>
  <c r="C1178" i="41"/>
  <c r="D1178" i="41" s="1" a="1"/>
  <c r="D1178" i="41" s="1"/>
  <c r="H1177" i="41"/>
  <c r="C1177" i="41"/>
  <c r="D1177" i="41" s="1" a="1"/>
  <c r="D1177" i="41" s="1"/>
  <c r="H1176" i="41"/>
  <c r="C1176" i="41"/>
  <c r="D1176" i="41" s="1" a="1"/>
  <c r="D1176" i="41" s="1"/>
  <c r="H1175" i="41"/>
  <c r="C1175" i="41"/>
  <c r="C1174" i="41"/>
  <c r="H1173" i="41"/>
  <c r="C1173" i="41"/>
  <c r="D1173" i="41" s="1" a="1"/>
  <c r="D1173" i="41" s="1"/>
  <c r="C1172" i="41"/>
  <c r="H1171" i="41"/>
  <c r="C1171" i="41"/>
  <c r="D1171" i="41" s="1" a="1"/>
  <c r="D1171" i="41" s="1"/>
  <c r="H1170" i="41"/>
  <c r="C1170" i="41"/>
  <c r="D1170" i="41" s="1" a="1"/>
  <c r="D1170" i="41" s="1"/>
  <c r="H1169" i="41"/>
  <c r="C1169" i="41"/>
  <c r="D1169" i="41" s="1" a="1"/>
  <c r="D1169" i="41" s="1"/>
  <c r="H1168" i="41"/>
  <c r="C1168" i="41"/>
  <c r="D1168" i="41" s="1" a="1"/>
  <c r="D1168" i="41" s="1"/>
  <c r="H1167" i="41"/>
  <c r="C1167" i="41"/>
  <c r="C1166" i="41"/>
  <c r="H1165" i="41"/>
  <c r="C1165" i="41"/>
  <c r="D1165" i="41" s="1" a="1"/>
  <c r="D1165" i="41" s="1"/>
  <c r="C1164" i="41"/>
  <c r="H1163" i="41"/>
  <c r="D1163" i="41" a="1"/>
  <c r="D1163" i="41" s="1"/>
  <c r="C1163" i="41"/>
  <c r="H1162" i="41"/>
  <c r="D1162" i="41" a="1"/>
  <c r="D1162" i="41" s="1"/>
  <c r="C1162" i="41"/>
  <c r="H1161" i="41"/>
  <c r="C1161" i="41"/>
  <c r="D1161" i="41" s="1" a="1"/>
  <c r="D1161" i="41" s="1"/>
  <c r="H1160" i="41"/>
  <c r="D1160" i="41" a="1"/>
  <c r="D1160" i="41" s="1"/>
  <c r="C1160" i="41"/>
  <c r="C1159" i="41"/>
  <c r="H1159" i="41" s="1"/>
  <c r="C1158" i="41"/>
  <c r="H1157" i="41"/>
  <c r="C1157" i="41"/>
  <c r="D1157" i="41" s="1" a="1"/>
  <c r="D1157" i="41" s="1"/>
  <c r="C1156" i="41"/>
  <c r="H1155" i="41"/>
  <c r="D1155" i="41"/>
  <c r="C1155" i="41"/>
  <c r="D1155" i="41" s="1" a="1"/>
  <c r="H1154" i="41"/>
  <c r="C1154" i="41"/>
  <c r="D1154" i="41" s="1" a="1"/>
  <c r="D1154" i="41" s="1"/>
  <c r="H1153" i="41"/>
  <c r="C1153" i="41"/>
  <c r="D1153" i="41" s="1" a="1"/>
  <c r="D1153" i="41" s="1"/>
  <c r="H1152" i="41"/>
  <c r="C1152" i="41"/>
  <c r="D1152" i="41" s="1" a="1"/>
  <c r="D1152" i="41" s="1"/>
  <c r="C1151" i="41"/>
  <c r="H1151" i="41" s="1"/>
  <c r="C1150" i="41"/>
  <c r="H1149" i="41"/>
  <c r="C1149" i="41"/>
  <c r="D1149" i="41" s="1" a="1"/>
  <c r="D1149" i="41" s="1"/>
  <c r="C1148" i="41"/>
  <c r="H1147" i="41"/>
  <c r="D1147" i="41" a="1"/>
  <c r="D1147" i="41" s="1"/>
  <c r="C1147" i="41"/>
  <c r="H1146" i="41"/>
  <c r="C1146" i="41"/>
  <c r="D1146" i="41" s="1" a="1"/>
  <c r="D1146" i="41" s="1"/>
  <c r="H1145" i="41"/>
  <c r="C1145" i="41"/>
  <c r="D1145" i="41" s="1" a="1"/>
  <c r="D1145" i="41" s="1"/>
  <c r="C1144" i="41"/>
  <c r="C1143" i="41"/>
  <c r="H1143" i="41" s="1"/>
  <c r="C1142" i="41"/>
  <c r="H1141" i="41"/>
  <c r="C1141" i="41"/>
  <c r="D1141" i="41" s="1" a="1"/>
  <c r="D1141" i="41" s="1"/>
  <c r="C1140" i="41"/>
  <c r="H1139" i="41"/>
  <c r="C1139" i="41"/>
  <c r="D1139" i="41" s="1" a="1"/>
  <c r="D1139" i="41" s="1"/>
  <c r="H1138" i="41"/>
  <c r="C1138" i="41"/>
  <c r="D1138" i="41" s="1" a="1"/>
  <c r="D1138" i="41" s="1"/>
  <c r="H1137" i="41"/>
  <c r="C1137" i="41"/>
  <c r="D1137" i="41" s="1" a="1"/>
  <c r="D1137" i="41" s="1"/>
  <c r="C1136" i="41"/>
  <c r="C1135" i="41"/>
  <c r="H1135" i="41" s="1"/>
  <c r="C1134" i="41"/>
  <c r="C1133" i="41"/>
  <c r="H1132" i="41"/>
  <c r="C1132" i="41"/>
  <c r="D1132" i="41" s="1" a="1"/>
  <c r="D1132" i="41" s="1"/>
  <c r="H1131" i="41"/>
  <c r="D1131" i="41" a="1"/>
  <c r="D1131" i="41" s="1"/>
  <c r="C1131" i="41"/>
  <c r="C1130" i="41"/>
  <c r="D1130" i="41" s="1" a="1"/>
  <c r="D1130" i="41" s="1"/>
  <c r="C1129" i="41"/>
  <c r="H1128" i="41"/>
  <c r="C1128" i="41"/>
  <c r="D1128" i="41" s="1" a="1"/>
  <c r="D1128" i="41" s="1"/>
  <c r="C1127" i="41"/>
  <c r="C1126" i="41"/>
  <c r="D1126" i="41" s="1" a="1"/>
  <c r="D1126" i="41" s="1"/>
  <c r="H1125" i="41"/>
  <c r="C1125" i="41"/>
  <c r="D1125" i="41" s="1" a="1"/>
  <c r="D1125" i="41" s="1"/>
  <c r="C1124" i="41"/>
  <c r="H1124" i="41" s="1"/>
  <c r="H1123" i="41"/>
  <c r="C1123" i="41"/>
  <c r="D1123" i="41" s="1" a="1"/>
  <c r="D1123" i="41" s="1"/>
  <c r="H1122" i="41"/>
  <c r="C1122" i="41"/>
  <c r="D1122" i="41" s="1" a="1"/>
  <c r="D1122" i="41" s="1"/>
  <c r="H1121" i="41"/>
  <c r="C1121" i="41"/>
  <c r="D1121" i="41" s="1" a="1"/>
  <c r="D1121" i="41" s="1"/>
  <c r="C1120" i="41"/>
  <c r="C1119" i="41"/>
  <c r="C1118" i="41"/>
  <c r="C1117" i="41"/>
  <c r="H1117" i="41" s="1"/>
  <c r="H1116" i="41"/>
  <c r="C1116" i="41"/>
  <c r="D1116" i="41" s="1" a="1"/>
  <c r="D1116" i="41" s="1"/>
  <c r="H1115" i="41"/>
  <c r="C1115" i="41"/>
  <c r="D1115" i="41" s="1" a="1"/>
  <c r="D1115" i="41" s="1"/>
  <c r="C1114" i="41"/>
  <c r="D1114" i="41" s="1" a="1"/>
  <c r="D1114" i="41" s="1"/>
  <c r="H1113" i="41"/>
  <c r="C1113" i="41"/>
  <c r="D1113" i="41" s="1" a="1"/>
  <c r="D1113" i="41" s="1"/>
  <c r="H1112" i="41"/>
  <c r="D1112" i="41" a="1"/>
  <c r="D1112" i="41" s="1"/>
  <c r="C1112" i="41"/>
  <c r="C1111" i="41"/>
  <c r="C1110" i="41"/>
  <c r="D1110" i="41" s="1" a="1"/>
  <c r="D1110" i="41" s="1"/>
  <c r="H1109" i="41"/>
  <c r="C1109" i="41"/>
  <c r="D1109" i="41" s="1" a="1"/>
  <c r="D1109" i="41" s="1"/>
  <c r="C1108" i="41"/>
  <c r="H1107" i="41"/>
  <c r="C1107" i="41"/>
  <c r="D1107" i="41" s="1" a="1"/>
  <c r="D1107" i="41" s="1"/>
  <c r="H1106" i="41"/>
  <c r="C1106" i="41"/>
  <c r="D1106" i="41" s="1" a="1"/>
  <c r="D1106" i="41" s="1"/>
  <c r="H1105" i="41"/>
  <c r="C1105" i="41"/>
  <c r="D1105" i="41" s="1" a="1"/>
  <c r="D1105" i="41" s="1"/>
  <c r="C1104" i="41"/>
  <c r="C1103" i="41"/>
  <c r="H1103" i="41" s="1"/>
  <c r="C1102" i="41"/>
  <c r="D1101" i="41" a="1"/>
  <c r="D1101" i="41" s="1"/>
  <c r="C1101" i="41"/>
  <c r="H1101" i="41" s="1"/>
  <c r="H1100" i="41"/>
  <c r="C1100" i="41"/>
  <c r="D1100" i="41" s="1" a="1"/>
  <c r="D1100" i="41" s="1"/>
  <c r="H1099" i="41"/>
  <c r="C1099" i="41"/>
  <c r="D1099" i="41" s="1" a="1"/>
  <c r="D1099" i="41" s="1"/>
  <c r="C1098" i="41"/>
  <c r="D1098" i="41" s="1" a="1"/>
  <c r="D1098" i="41" s="1"/>
  <c r="H1097" i="41"/>
  <c r="C1097" i="41"/>
  <c r="D1097" i="41" s="1" a="1"/>
  <c r="D1097" i="41" s="1"/>
  <c r="H1096" i="41"/>
  <c r="C1096" i="41"/>
  <c r="D1096" i="41" s="1" a="1"/>
  <c r="D1096" i="41" s="1"/>
  <c r="C1095" i="41"/>
  <c r="C1094" i="41"/>
  <c r="D1094" i="41" s="1" a="1"/>
  <c r="D1094" i="41" s="1"/>
  <c r="H1093" i="41"/>
  <c r="D1093" i="41" a="1"/>
  <c r="D1093" i="41" s="1"/>
  <c r="C1093" i="41"/>
  <c r="C1092" i="41"/>
  <c r="H1092" i="41" s="1"/>
  <c r="H1091" i="41"/>
  <c r="C1091" i="41"/>
  <c r="D1091" i="41" s="1" a="1"/>
  <c r="D1091" i="41" s="1"/>
  <c r="H1090" i="41"/>
  <c r="C1090" i="41"/>
  <c r="D1090" i="41" s="1" a="1"/>
  <c r="D1090" i="41" s="1"/>
  <c r="H1089" i="41"/>
  <c r="C1089" i="41"/>
  <c r="D1089" i="41" s="1" a="1"/>
  <c r="D1089" i="41" s="1"/>
  <c r="C1088" i="41"/>
  <c r="C1087" i="41"/>
  <c r="C1086" i="41"/>
  <c r="C1085" i="41"/>
  <c r="H1084" i="41"/>
  <c r="C1084" i="41"/>
  <c r="D1084" i="41" s="1" a="1"/>
  <c r="D1084" i="41" s="1"/>
  <c r="H1083" i="41"/>
  <c r="C1083" i="41"/>
  <c r="D1083" i="41" s="1" a="1"/>
  <c r="D1083" i="41" s="1"/>
  <c r="C1082" i="41"/>
  <c r="D1082" i="41" s="1" a="1"/>
  <c r="D1082" i="41" s="1"/>
  <c r="H1081" i="41"/>
  <c r="C1081" i="41"/>
  <c r="D1081" i="41" s="1" a="1"/>
  <c r="D1081" i="41" s="1"/>
  <c r="H1080" i="41"/>
  <c r="C1080" i="41"/>
  <c r="D1080" i="41" s="1" a="1"/>
  <c r="D1080" i="41" s="1"/>
  <c r="C1079" i="41"/>
  <c r="C1078" i="41"/>
  <c r="D1078" i="41" s="1" a="1"/>
  <c r="D1078" i="41" s="1"/>
  <c r="H1077" i="41"/>
  <c r="C1077" i="41"/>
  <c r="D1077" i="41" s="1" a="1"/>
  <c r="D1077" i="41" s="1"/>
  <c r="C1076" i="41"/>
  <c r="H1076" i="41" s="1"/>
  <c r="H1075" i="41"/>
  <c r="C1075" i="41"/>
  <c r="D1075" i="41" s="1" a="1"/>
  <c r="D1075" i="41" s="1"/>
  <c r="H1074" i="41"/>
  <c r="D1074" i="41" a="1"/>
  <c r="D1074" i="41" s="1"/>
  <c r="C1074" i="41"/>
  <c r="H1073" i="41"/>
  <c r="C1073" i="41"/>
  <c r="D1073" i="41" s="1" a="1"/>
  <c r="D1073" i="41" s="1"/>
  <c r="C1072" i="41"/>
  <c r="C1071" i="41"/>
  <c r="C1070" i="41"/>
  <c r="C1069" i="41"/>
  <c r="H1068" i="41"/>
  <c r="C1068" i="41"/>
  <c r="D1068" i="41" s="1" a="1"/>
  <c r="D1068" i="41" s="1"/>
  <c r="H1067" i="41"/>
  <c r="C1067" i="41"/>
  <c r="D1067" i="41" s="1" a="1"/>
  <c r="D1067" i="41" s="1"/>
  <c r="C1066" i="41"/>
  <c r="D1066" i="41" s="1" a="1"/>
  <c r="D1066" i="41" s="1"/>
  <c r="H1065" i="41"/>
  <c r="C1065" i="41"/>
  <c r="D1065" i="41" s="1" a="1"/>
  <c r="D1065" i="41" s="1"/>
  <c r="H1064" i="41"/>
  <c r="C1064" i="41"/>
  <c r="D1064" i="41" s="1" a="1"/>
  <c r="D1064" i="41" s="1"/>
  <c r="C1063" i="41"/>
  <c r="C1062" i="41"/>
  <c r="D1062" i="41" s="1" a="1"/>
  <c r="D1062" i="41" s="1"/>
  <c r="H1061" i="41"/>
  <c r="C1061" i="41"/>
  <c r="D1061" i="41" s="1" a="1"/>
  <c r="D1061" i="41" s="1"/>
  <c r="D1060" i="41" a="1"/>
  <c r="D1060" i="41" s="1"/>
  <c r="C1060" i="41"/>
  <c r="H1060" i="41" s="1"/>
  <c r="H1059" i="41"/>
  <c r="C1059" i="41"/>
  <c r="D1059" i="41" s="1" a="1"/>
  <c r="D1059" i="41" s="1"/>
  <c r="H1058" i="41"/>
  <c r="C1058" i="41"/>
  <c r="D1058" i="41" s="1" a="1"/>
  <c r="D1058" i="41" s="1"/>
  <c r="H1057" i="41"/>
  <c r="C1057" i="41"/>
  <c r="D1057" i="41" s="1" a="1"/>
  <c r="D1057" i="41" s="1"/>
  <c r="H1056" i="41"/>
  <c r="D1056" i="41" a="1"/>
  <c r="D1056" i="41" s="1"/>
  <c r="C1056" i="41"/>
  <c r="C1055" i="41"/>
  <c r="C1054" i="41"/>
  <c r="D1054" i="41" s="1" a="1"/>
  <c r="D1054" i="41" s="1"/>
  <c r="C1053" i="41"/>
  <c r="C1052" i="41"/>
  <c r="H1051" i="41"/>
  <c r="C1051" i="41"/>
  <c r="D1051" i="41" s="1" a="1"/>
  <c r="D1051" i="41" s="1"/>
  <c r="H1050" i="41"/>
  <c r="C1050" i="41"/>
  <c r="D1050" i="41" s="1" a="1"/>
  <c r="D1050" i="41" s="1"/>
  <c r="H1049" i="41"/>
  <c r="D1049" i="41" a="1"/>
  <c r="D1049" i="41" s="1"/>
  <c r="C1049" i="41"/>
  <c r="H1048" i="41"/>
  <c r="D1048" i="41" a="1"/>
  <c r="D1048" i="41" s="1"/>
  <c r="C1048" i="41"/>
  <c r="C1047" i="41"/>
  <c r="C1046" i="41"/>
  <c r="D1046" i="41" s="1" a="1"/>
  <c r="D1046" i="41" s="1"/>
  <c r="C1045" i="41"/>
  <c r="C1044" i="41"/>
  <c r="H1043" i="41"/>
  <c r="C1043" i="41"/>
  <c r="D1043" i="41" s="1" a="1"/>
  <c r="D1043" i="41" s="1"/>
  <c r="H1042" i="41"/>
  <c r="D1042" i="41" a="1"/>
  <c r="D1042" i="41" s="1"/>
  <c r="C1042" i="41"/>
  <c r="H1041" i="41"/>
  <c r="C1041" i="41"/>
  <c r="D1041" i="41" s="1" a="1"/>
  <c r="D1041" i="41" s="1"/>
  <c r="H1040" i="41"/>
  <c r="C1040" i="41"/>
  <c r="D1040" i="41" s="1" a="1"/>
  <c r="D1040" i="41" s="1"/>
  <c r="C1039" i="41"/>
  <c r="C1038" i="41"/>
  <c r="C1037" i="41"/>
  <c r="C1036" i="41"/>
  <c r="H1036" i="41" s="1"/>
  <c r="H1035" i="41"/>
  <c r="C1035" i="41"/>
  <c r="D1035" i="41" s="1" a="1"/>
  <c r="D1035" i="41" s="1"/>
  <c r="H1034" i="41"/>
  <c r="C1034" i="41"/>
  <c r="D1034" i="41" s="1" a="1"/>
  <c r="D1034" i="41" s="1"/>
  <c r="H1033" i="41"/>
  <c r="C1033" i="41"/>
  <c r="D1033" i="41" s="1" a="1"/>
  <c r="D1033" i="41" s="1"/>
  <c r="H1032" i="41"/>
  <c r="C1032" i="41"/>
  <c r="D1032" i="41" s="1" a="1"/>
  <c r="D1032" i="41" s="1"/>
  <c r="C1031" i="41"/>
  <c r="C1030" i="41"/>
  <c r="C1029" i="41"/>
  <c r="C1028" i="41"/>
  <c r="H1028" i="41" s="1"/>
  <c r="H1027" i="41"/>
  <c r="C1027" i="41"/>
  <c r="D1027" i="41" s="1" a="1"/>
  <c r="D1027" i="41" s="1"/>
  <c r="H1026" i="41"/>
  <c r="C1026" i="41"/>
  <c r="D1026" i="41" s="1" a="1"/>
  <c r="D1026" i="41" s="1"/>
  <c r="H1025" i="41"/>
  <c r="C1025" i="41"/>
  <c r="D1025" i="41" s="1" a="1"/>
  <c r="D1025" i="41" s="1"/>
  <c r="H1024" i="41"/>
  <c r="C1024" i="41"/>
  <c r="D1024" i="41" s="1" a="1"/>
  <c r="D1024" i="41" s="1"/>
  <c r="C1023" i="41"/>
  <c r="C1022" i="41"/>
  <c r="H1021" i="41"/>
  <c r="C1021" i="41"/>
  <c r="D1021" i="41" s="1" a="1"/>
  <c r="D1021" i="41" s="1"/>
  <c r="C1020" i="41"/>
  <c r="H1019" i="41"/>
  <c r="C1019" i="41"/>
  <c r="D1019" i="41" s="1" a="1"/>
  <c r="D1019" i="41" s="1"/>
  <c r="H1018" i="41"/>
  <c r="D1018" i="41" a="1"/>
  <c r="D1018" i="41" s="1"/>
  <c r="C1018" i="41"/>
  <c r="C1017" i="41"/>
  <c r="H1016" i="41"/>
  <c r="C1016" i="41"/>
  <c r="D1016" i="41" s="1" a="1"/>
  <c r="D1016" i="41" s="1"/>
  <c r="C1015" i="41"/>
  <c r="C1014" i="41"/>
  <c r="H1013" i="41"/>
  <c r="C1013" i="41"/>
  <c r="D1013" i="41" s="1" a="1"/>
  <c r="D1013" i="41" s="1"/>
  <c r="D1012" i="41" a="1"/>
  <c r="D1012" i="41" s="1"/>
  <c r="C1012" i="41"/>
  <c r="H1012" i="41" s="1"/>
  <c r="H1011" i="41"/>
  <c r="C1011" i="41"/>
  <c r="D1011" i="41" s="1" a="1"/>
  <c r="D1011" i="41" s="1"/>
  <c r="H1010" i="41"/>
  <c r="C1010" i="41"/>
  <c r="D1010" i="41" s="1" a="1"/>
  <c r="D1010" i="41" s="1"/>
  <c r="H1009" i="41"/>
  <c r="C1009" i="41"/>
  <c r="D1009" i="41" s="1" a="1"/>
  <c r="D1009" i="41" s="1"/>
  <c r="H1008" i="41"/>
  <c r="C1008" i="41"/>
  <c r="D1008" i="41" s="1" a="1"/>
  <c r="D1008" i="41" s="1"/>
  <c r="C1007" i="41"/>
  <c r="C1006" i="41"/>
  <c r="C1005" i="41"/>
  <c r="D1005" i="41" s="1" a="1"/>
  <c r="D1005" i="41" s="1"/>
  <c r="C1004" i="41"/>
  <c r="H1003" i="41"/>
  <c r="C1003" i="41"/>
  <c r="D1003" i="41" s="1" a="1"/>
  <c r="D1003" i="41" s="1"/>
  <c r="H1002" i="41"/>
  <c r="C1002" i="41"/>
  <c r="D1002" i="41" s="1" a="1"/>
  <c r="D1002" i="41" s="1"/>
  <c r="H1001" i="41"/>
  <c r="D1001" i="41" a="1"/>
  <c r="D1001" i="41" s="1"/>
  <c r="C1001" i="41"/>
  <c r="H1000" i="41"/>
  <c r="C1000" i="41"/>
  <c r="D1000" i="41" s="1" a="1"/>
  <c r="D1000" i="41" s="1"/>
  <c r="C999" i="41"/>
  <c r="C998" i="41"/>
  <c r="C997" i="41"/>
  <c r="C996" i="41"/>
  <c r="H995" i="41"/>
  <c r="D995" i="41" a="1"/>
  <c r="D995" i="41" s="1"/>
  <c r="C995" i="41"/>
  <c r="H994" i="41"/>
  <c r="C994" i="41"/>
  <c r="D994" i="41" s="1" a="1"/>
  <c r="D994" i="41" s="1"/>
  <c r="C993" i="41"/>
  <c r="H993" i="41" s="1"/>
  <c r="H992" i="41"/>
  <c r="C992" i="41"/>
  <c r="D992" i="41" s="1" a="1"/>
  <c r="D992" i="41" s="1"/>
  <c r="C991" i="41"/>
  <c r="C990" i="41"/>
  <c r="H989" i="41"/>
  <c r="C989" i="41"/>
  <c r="D989" i="41" s="1" a="1"/>
  <c r="D989" i="41" s="1"/>
  <c r="C988" i="41"/>
  <c r="H988" i="41" s="1"/>
  <c r="H987" i="41"/>
  <c r="C987" i="41"/>
  <c r="D987" i="41" s="1" a="1"/>
  <c r="D987" i="41" s="1"/>
  <c r="H986" i="41"/>
  <c r="C986" i="41"/>
  <c r="D986" i="41" s="1" a="1"/>
  <c r="D986" i="41" s="1"/>
  <c r="C985" i="41"/>
  <c r="H984" i="41"/>
  <c r="C984" i="41"/>
  <c r="D984" i="41" s="1" a="1"/>
  <c r="D984" i="41" s="1"/>
  <c r="C983" i="41"/>
  <c r="C982" i="41"/>
  <c r="H981" i="41"/>
  <c r="D981" i="41"/>
  <c r="C981" i="41"/>
  <c r="D981" i="41" s="1" a="1"/>
  <c r="D980" i="41" a="1"/>
  <c r="D980" i="41" s="1"/>
  <c r="C980" i="41"/>
  <c r="H980" i="41" s="1"/>
  <c r="H979" i="41"/>
  <c r="C979" i="41"/>
  <c r="D979" i="41" s="1" a="1"/>
  <c r="D979" i="41" s="1"/>
  <c r="H978" i="41"/>
  <c r="C978" i="41"/>
  <c r="D978" i="41" s="1" a="1"/>
  <c r="D978" i="41" s="1"/>
  <c r="H977" i="41"/>
  <c r="C977" i="41"/>
  <c r="D977" i="41" s="1" a="1"/>
  <c r="D977" i="41" s="1"/>
  <c r="H976" i="41"/>
  <c r="C976" i="41"/>
  <c r="D976" i="41" s="1" a="1"/>
  <c r="D976" i="41" s="1"/>
  <c r="C975" i="41"/>
  <c r="C974" i="41"/>
  <c r="C973" i="41"/>
  <c r="D973" i="41" s="1" a="1"/>
  <c r="D973" i="41" s="1"/>
  <c r="C972" i="41"/>
  <c r="H972" i="41" s="1"/>
  <c r="H971" i="41"/>
  <c r="D971" i="41" a="1"/>
  <c r="D971" i="41" s="1"/>
  <c r="C971" i="41"/>
  <c r="H970" i="41"/>
  <c r="C970" i="41"/>
  <c r="D970" i="41" s="1" a="1"/>
  <c r="D970" i="41" s="1"/>
  <c r="H969" i="41"/>
  <c r="C969" i="41"/>
  <c r="D969" i="41" s="1" a="1"/>
  <c r="D969" i="41" s="1"/>
  <c r="H968" i="41"/>
  <c r="C968" i="41"/>
  <c r="D968" i="41" s="1" a="1"/>
  <c r="D968" i="41" s="1"/>
  <c r="C967" i="41"/>
  <c r="C966" i="41"/>
  <c r="C965" i="41"/>
  <c r="C964" i="41"/>
  <c r="H964" i="41" s="1"/>
  <c r="H963" i="41"/>
  <c r="C963" i="41"/>
  <c r="D963" i="41" s="1" a="1"/>
  <c r="D963" i="41" s="1"/>
  <c r="H962" i="41"/>
  <c r="C962" i="41"/>
  <c r="D962" i="41" s="1" a="1"/>
  <c r="D962" i="41" s="1"/>
  <c r="C961" i="41"/>
  <c r="H961" i="41" s="1"/>
  <c r="H960" i="41"/>
  <c r="C960" i="41"/>
  <c r="D960" i="41" s="1" a="1"/>
  <c r="D960" i="41" s="1"/>
  <c r="C959" i="41"/>
  <c r="C958" i="41"/>
  <c r="H957" i="41"/>
  <c r="C957" i="41"/>
  <c r="D957" i="41" s="1" a="1"/>
  <c r="D957" i="41" s="1"/>
  <c r="D956" i="41" a="1"/>
  <c r="D956" i="41" s="1"/>
  <c r="C956" i="41"/>
  <c r="H956" i="41" s="1"/>
  <c r="H955" i="41"/>
  <c r="C955" i="41"/>
  <c r="D955" i="41" s="1" a="1"/>
  <c r="D955" i="41" s="1"/>
  <c r="H954" i="41"/>
  <c r="C954" i="41"/>
  <c r="D954" i="41" s="1" a="1"/>
  <c r="D954" i="41" s="1"/>
  <c r="C953" i="41"/>
  <c r="H952" i="41"/>
  <c r="C952" i="41"/>
  <c r="D952" i="41" s="1" a="1"/>
  <c r="D952" i="41" s="1"/>
  <c r="C951" i="41"/>
  <c r="C950" i="41"/>
  <c r="H949" i="41"/>
  <c r="C949" i="41"/>
  <c r="D949" i="41" s="1" a="1"/>
  <c r="D949" i="41" s="1"/>
  <c r="C948" i="41"/>
  <c r="H947" i="41"/>
  <c r="C947" i="41"/>
  <c r="D947" i="41" s="1" a="1"/>
  <c r="D947" i="41" s="1"/>
  <c r="H946" i="41"/>
  <c r="C946" i="41"/>
  <c r="D946" i="41" s="1" a="1"/>
  <c r="D946" i="41" s="1"/>
  <c r="H945" i="41"/>
  <c r="C945" i="41"/>
  <c r="D945" i="41" s="1" a="1"/>
  <c r="D945" i="41" s="1"/>
  <c r="H944" i="41"/>
  <c r="D944" i="41" a="1"/>
  <c r="D944" i="41" s="1"/>
  <c r="C944" i="41"/>
  <c r="C943" i="41"/>
  <c r="C942" i="41"/>
  <c r="C941" i="41"/>
  <c r="D941" i="41" s="1" a="1"/>
  <c r="D941" i="41" s="1"/>
  <c r="C940" i="41"/>
  <c r="H939" i="41"/>
  <c r="C939" i="41"/>
  <c r="D939" i="41" s="1" a="1"/>
  <c r="D939" i="41" s="1"/>
  <c r="H938" i="41"/>
  <c r="C938" i="41"/>
  <c r="D938" i="41" s="1" a="1"/>
  <c r="D938" i="41" s="1"/>
  <c r="H937" i="41"/>
  <c r="C937" i="41"/>
  <c r="D937" i="41" s="1" a="1"/>
  <c r="D937" i="41" s="1"/>
  <c r="H936" i="41"/>
  <c r="C936" i="41"/>
  <c r="D936" i="41" s="1" a="1"/>
  <c r="D936" i="41" s="1"/>
  <c r="C935" i="41"/>
  <c r="C934" i="41"/>
  <c r="C933" i="41"/>
  <c r="C932" i="41"/>
  <c r="H932" i="41" s="1"/>
  <c r="H931" i="41"/>
  <c r="C931" i="41"/>
  <c r="D931" i="41" s="1" a="1"/>
  <c r="D931" i="41" s="1"/>
  <c r="H930" i="41"/>
  <c r="C930" i="41"/>
  <c r="D930" i="41" s="1" a="1"/>
  <c r="D930" i="41" s="1"/>
  <c r="C929" i="41"/>
  <c r="H929" i="41" s="1"/>
  <c r="D928" i="41" a="1"/>
  <c r="D928" i="41" s="1"/>
  <c r="C928" i="41"/>
  <c r="H928" i="41" s="1"/>
  <c r="C927" i="41"/>
  <c r="C926" i="41"/>
  <c r="C925" i="41"/>
  <c r="D925" i="41" s="1" a="1"/>
  <c r="D925" i="41" s="1"/>
  <c r="C924" i="41"/>
  <c r="H924" i="41" s="1"/>
  <c r="H923" i="41"/>
  <c r="D923" i="41"/>
  <c r="C923" i="41"/>
  <c r="D923" i="41" s="1" a="1"/>
  <c r="H922" i="41"/>
  <c r="C922" i="41"/>
  <c r="D922" i="41" s="1" a="1"/>
  <c r="D922" i="41" s="1"/>
  <c r="C921" i="41"/>
  <c r="H921" i="41" s="1"/>
  <c r="C920" i="41"/>
  <c r="H920" i="41" s="1"/>
  <c r="C919" i="41"/>
  <c r="C918" i="41"/>
  <c r="H917" i="41"/>
  <c r="C917" i="41"/>
  <c r="D917" i="41" s="1" a="1"/>
  <c r="D917" i="41" s="1"/>
  <c r="C916" i="41"/>
  <c r="H915" i="41"/>
  <c r="C915" i="41"/>
  <c r="D915" i="41" s="1" a="1"/>
  <c r="D915" i="41" s="1"/>
  <c r="H914" i="41"/>
  <c r="C914" i="41"/>
  <c r="D914" i="41" s="1" a="1"/>
  <c r="D914" i="41" s="1"/>
  <c r="C913" i="41"/>
  <c r="C912" i="41"/>
  <c r="H912" i="41" s="1"/>
  <c r="C911" i="41"/>
  <c r="C910" i="41"/>
  <c r="C909" i="41"/>
  <c r="D909" i="41" s="1" a="1"/>
  <c r="D909" i="41" s="1"/>
  <c r="H908" i="41"/>
  <c r="C908" i="41"/>
  <c r="D908" i="41" s="1" a="1"/>
  <c r="D908" i="41" s="1"/>
  <c r="H907" i="41"/>
  <c r="C907" i="41"/>
  <c r="D907" i="41" s="1" a="1"/>
  <c r="D907" i="41" s="1"/>
  <c r="H906" i="41"/>
  <c r="C906" i="41"/>
  <c r="D906" i="41" s="1" a="1"/>
  <c r="D906" i="41" s="1"/>
  <c r="H905" i="41"/>
  <c r="C905" i="41"/>
  <c r="D905" i="41" s="1" a="1"/>
  <c r="D905" i="41" s="1"/>
  <c r="C904" i="41"/>
  <c r="H904" i="41" s="1"/>
  <c r="C903" i="41"/>
  <c r="C902" i="41"/>
  <c r="C901" i="41"/>
  <c r="D901" i="41" s="1" a="1"/>
  <c r="D901" i="41" s="1"/>
  <c r="H900" i="41"/>
  <c r="C900" i="41"/>
  <c r="D900" i="41" s="1" a="1"/>
  <c r="D900" i="41" s="1"/>
  <c r="H899" i="41"/>
  <c r="C899" i="41"/>
  <c r="D899" i="41" s="1" a="1"/>
  <c r="D899" i="41" s="1"/>
  <c r="H898" i="41"/>
  <c r="C898" i="41"/>
  <c r="D898" i="41" s="1" a="1"/>
  <c r="D898" i="41" s="1"/>
  <c r="H897" i="41"/>
  <c r="C897" i="41"/>
  <c r="D897" i="41" s="1" a="1"/>
  <c r="D897" i="41" s="1"/>
  <c r="H896" i="41"/>
  <c r="C896" i="41"/>
  <c r="D896" i="41" s="1" a="1"/>
  <c r="D896" i="41" s="1"/>
  <c r="C895" i="41"/>
  <c r="C894" i="41"/>
  <c r="C893" i="41"/>
  <c r="D893" i="41" s="1" a="1"/>
  <c r="D893" i="41" s="1"/>
  <c r="C892" i="41"/>
  <c r="D892" i="41" s="1" a="1"/>
  <c r="D892" i="41" s="1"/>
  <c r="H891" i="41"/>
  <c r="C891" i="41"/>
  <c r="D891" i="41" s="1" a="1"/>
  <c r="D891" i="41" s="1"/>
  <c r="H890" i="41"/>
  <c r="C890" i="41"/>
  <c r="D890" i="41" s="1" a="1"/>
  <c r="D890" i="41" s="1"/>
  <c r="H889" i="41"/>
  <c r="C889" i="41"/>
  <c r="D889" i="41" s="1" a="1"/>
  <c r="D889" i="41" s="1"/>
  <c r="H888" i="41"/>
  <c r="C888" i="41"/>
  <c r="D888" i="41" s="1" a="1"/>
  <c r="D888" i="41" s="1"/>
  <c r="C887" i="41"/>
  <c r="H887" i="41" s="1"/>
  <c r="C886" i="41"/>
  <c r="C885" i="41"/>
  <c r="D885" i="41" s="1" a="1"/>
  <c r="D885" i="41" s="1"/>
  <c r="C884" i="41"/>
  <c r="D884" i="41" s="1" a="1"/>
  <c r="D884" i="41" s="1"/>
  <c r="H883" i="41"/>
  <c r="C883" i="41"/>
  <c r="D883" i="41" s="1" a="1"/>
  <c r="D883" i="41" s="1"/>
  <c r="H882" i="41"/>
  <c r="C882" i="41"/>
  <c r="D882" i="41" s="1" a="1"/>
  <c r="D882" i="41" s="1"/>
  <c r="C881" i="41"/>
  <c r="H881" i="41" s="1"/>
  <c r="H880" i="41"/>
  <c r="C880" i="41"/>
  <c r="D880" i="41" s="1" a="1"/>
  <c r="D880" i="41" s="1"/>
  <c r="C879" i="41"/>
  <c r="H879" i="41" s="1"/>
  <c r="C878" i="41"/>
  <c r="C877" i="41"/>
  <c r="D877" i="41" s="1" a="1"/>
  <c r="D877" i="41" s="1"/>
  <c r="C876" i="41"/>
  <c r="D876" i="41" s="1" a="1"/>
  <c r="D876" i="41" s="1"/>
  <c r="H875" i="41"/>
  <c r="C875" i="41"/>
  <c r="D875" i="41" s="1" a="1"/>
  <c r="D875" i="41" s="1"/>
  <c r="H874" i="41"/>
  <c r="C874" i="41"/>
  <c r="D874" i="41" s="1" a="1"/>
  <c r="D874" i="41" s="1"/>
  <c r="D873" i="41" a="1"/>
  <c r="D873" i="41" s="1"/>
  <c r="C873" i="41"/>
  <c r="H873" i="41" s="1"/>
  <c r="H872" i="41"/>
  <c r="C872" i="41"/>
  <c r="D872" i="41" s="1" a="1"/>
  <c r="D872" i="41" s="1"/>
  <c r="C871" i="41"/>
  <c r="H871" i="41" s="1"/>
  <c r="C870" i="41"/>
  <c r="C869" i="41"/>
  <c r="D869" i="41" s="1" a="1"/>
  <c r="D869" i="41" s="1"/>
  <c r="C868" i="41"/>
  <c r="D868" i="41" s="1" a="1"/>
  <c r="D868" i="41" s="1"/>
  <c r="H867" i="41"/>
  <c r="C867" i="41"/>
  <c r="D867" i="41" s="1" a="1"/>
  <c r="D867" i="41" s="1"/>
  <c r="H866" i="41"/>
  <c r="C866" i="41"/>
  <c r="D866" i="41" s="1" a="1"/>
  <c r="D866" i="41" s="1"/>
  <c r="C865" i="41"/>
  <c r="H865" i="41" s="1"/>
  <c r="H864" i="41"/>
  <c r="C864" i="41"/>
  <c r="D864" i="41" s="1" a="1"/>
  <c r="D864" i="41" s="1"/>
  <c r="C863" i="41"/>
  <c r="H863" i="41" s="1"/>
  <c r="C862" i="41"/>
  <c r="C861" i="41"/>
  <c r="D861" i="41" s="1" a="1"/>
  <c r="D861" i="41" s="1"/>
  <c r="C860" i="41"/>
  <c r="D860" i="41" s="1" a="1"/>
  <c r="D860" i="41" s="1"/>
  <c r="H859" i="41"/>
  <c r="D859" i="41" a="1"/>
  <c r="D859" i="41" s="1"/>
  <c r="C859" i="41"/>
  <c r="H858" i="41"/>
  <c r="C858" i="41"/>
  <c r="D858" i="41" s="1" a="1"/>
  <c r="D858" i="41" s="1"/>
  <c r="C857" i="41"/>
  <c r="H857" i="41" s="1"/>
  <c r="H856" i="41"/>
  <c r="D856" i="41" a="1"/>
  <c r="D856" i="41" s="1"/>
  <c r="C856" i="41"/>
  <c r="D855" i="41" a="1"/>
  <c r="D855" i="41" s="1"/>
  <c r="C855" i="41"/>
  <c r="H855" i="41" s="1"/>
  <c r="C854" i="41"/>
  <c r="C853" i="41"/>
  <c r="D853" i="41" s="1" a="1"/>
  <c r="D853" i="41" s="1"/>
  <c r="C852" i="41"/>
  <c r="D852" i="41" s="1" a="1"/>
  <c r="D852" i="41" s="1"/>
  <c r="H851" i="41"/>
  <c r="D851" i="41" a="1"/>
  <c r="D851" i="41" s="1"/>
  <c r="C851" i="41"/>
  <c r="H850" i="41"/>
  <c r="C850" i="41"/>
  <c r="D850" i="41" s="1" a="1"/>
  <c r="D850" i="41" s="1"/>
  <c r="C849" i="41"/>
  <c r="H849" i="41" s="1"/>
  <c r="H848" i="41"/>
  <c r="D848" i="41" a="1"/>
  <c r="D848" i="41" s="1"/>
  <c r="C848" i="41"/>
  <c r="D847" i="41" a="1"/>
  <c r="D847" i="41" s="1"/>
  <c r="C847" i="41"/>
  <c r="H847" i="41" s="1"/>
  <c r="C846" i="41"/>
  <c r="C845" i="41"/>
  <c r="D845" i="41" s="1" a="1"/>
  <c r="D845" i="41" s="1"/>
  <c r="C844" i="41"/>
  <c r="D844" i="41" s="1" a="1"/>
  <c r="D844" i="41" s="1"/>
  <c r="H843" i="41"/>
  <c r="C843" i="41"/>
  <c r="D843" i="41" s="1" a="1"/>
  <c r="D843" i="41" s="1"/>
  <c r="H842" i="41"/>
  <c r="D842" i="41" a="1"/>
  <c r="D842" i="41" s="1"/>
  <c r="C842" i="41"/>
  <c r="C841" i="41"/>
  <c r="H841" i="41" s="1"/>
  <c r="H840" i="41"/>
  <c r="C840" i="41"/>
  <c r="D840" i="41" s="1" a="1"/>
  <c r="D840" i="41" s="1"/>
  <c r="C839" i="41"/>
  <c r="H839" i="41" s="1"/>
  <c r="C838" i="41"/>
  <c r="C837" i="41"/>
  <c r="D837" i="41" s="1" a="1"/>
  <c r="D837" i="41" s="1"/>
  <c r="C836" i="41"/>
  <c r="D836" i="41" s="1" a="1"/>
  <c r="D836" i="41" s="1"/>
  <c r="H835" i="41"/>
  <c r="D835" i="41" a="1"/>
  <c r="D835" i="41" s="1"/>
  <c r="C835" i="41"/>
  <c r="H834" i="41"/>
  <c r="C834" i="41"/>
  <c r="D834" i="41" s="1" a="1"/>
  <c r="D834" i="41" s="1"/>
  <c r="C833" i="41"/>
  <c r="H833" i="41" s="1"/>
  <c r="H832" i="41"/>
  <c r="D832" i="41" a="1"/>
  <c r="D832" i="41" s="1"/>
  <c r="C832" i="41"/>
  <c r="D831" i="41" a="1"/>
  <c r="D831" i="41" s="1"/>
  <c r="C831" i="41"/>
  <c r="H831" i="41" s="1"/>
  <c r="C830" i="41"/>
  <c r="C829" i="41"/>
  <c r="D829" i="41" s="1" a="1"/>
  <c r="D829" i="41" s="1"/>
  <c r="C828" i="41"/>
  <c r="D828" i="41" s="1" a="1"/>
  <c r="D828" i="41" s="1"/>
  <c r="H827" i="41"/>
  <c r="C827" i="41"/>
  <c r="D827" i="41" s="1" a="1"/>
  <c r="D827" i="41" s="1"/>
  <c r="H826" i="41"/>
  <c r="C826" i="41"/>
  <c r="D826" i="41" s="1" a="1"/>
  <c r="D826" i="41" s="1"/>
  <c r="C825" i="41"/>
  <c r="H825" i="41" s="1"/>
  <c r="H824" i="41"/>
  <c r="C824" i="41"/>
  <c r="D824" i="41" s="1" a="1"/>
  <c r="D824" i="41" s="1"/>
  <c r="C823" i="41"/>
  <c r="C822" i="41"/>
  <c r="D822" i="41" s="1" a="1"/>
  <c r="D822" i="41" s="1"/>
  <c r="H821" i="41"/>
  <c r="C821" i="41"/>
  <c r="D821" i="41" s="1" a="1"/>
  <c r="D821" i="41" s="1"/>
  <c r="H820" i="41"/>
  <c r="C820" i="41"/>
  <c r="D820" i="41" s="1" a="1"/>
  <c r="D820" i="41" s="1"/>
  <c r="H819" i="41"/>
  <c r="D819" i="41" a="1"/>
  <c r="D819" i="41" s="1"/>
  <c r="C819" i="41"/>
  <c r="C818" i="41"/>
  <c r="H818" i="41" s="1"/>
  <c r="H817" i="41"/>
  <c r="C817" i="41"/>
  <c r="D817" i="41" s="1" a="1"/>
  <c r="D817" i="41" s="1"/>
  <c r="C816" i="41"/>
  <c r="C815" i="41"/>
  <c r="C814" i="41"/>
  <c r="C813" i="41"/>
  <c r="H813" i="41" s="1"/>
  <c r="H812" i="41"/>
  <c r="C812" i="41"/>
  <c r="D812" i="41" s="1" a="1"/>
  <c r="D812" i="41" s="1"/>
  <c r="H811" i="41"/>
  <c r="C811" i="41"/>
  <c r="D811" i="41" s="1" a="1"/>
  <c r="D811" i="41" s="1"/>
  <c r="H810" i="41"/>
  <c r="C810" i="41"/>
  <c r="D810" i="41" s="1" a="1"/>
  <c r="D810" i="41" s="1"/>
  <c r="C809" i="41"/>
  <c r="H808" i="41"/>
  <c r="C808" i="41"/>
  <c r="D808" i="41" s="1" a="1"/>
  <c r="D808" i="41" s="1"/>
  <c r="C807" i="41"/>
  <c r="C806" i="41"/>
  <c r="D806" i="41" s="1" a="1"/>
  <c r="D806" i="41" s="1"/>
  <c r="H805" i="41"/>
  <c r="C805" i="41"/>
  <c r="D805" i="41" s="1" a="1"/>
  <c r="D805" i="41" s="1"/>
  <c r="H804" i="41"/>
  <c r="C804" i="41"/>
  <c r="D804" i="41" s="1" a="1"/>
  <c r="D804" i="41" s="1"/>
  <c r="H803" i="41"/>
  <c r="C803" i="41"/>
  <c r="D803" i="41" s="1" a="1"/>
  <c r="D803" i="41" s="1"/>
  <c r="C802" i="41"/>
  <c r="H802" i="41" s="1"/>
  <c r="H801" i="41"/>
  <c r="C801" i="41"/>
  <c r="D801" i="41" s="1" a="1"/>
  <c r="D801" i="41" s="1"/>
  <c r="C800" i="41"/>
  <c r="D799" i="41" a="1"/>
  <c r="D799" i="41" s="1"/>
  <c r="C799" i="41"/>
  <c r="H799" i="41" s="1"/>
  <c r="C798" i="41"/>
  <c r="C797" i="41"/>
  <c r="H797" i="41" s="1"/>
  <c r="H796" i="41"/>
  <c r="C796" i="41"/>
  <c r="D796" i="41" s="1" a="1"/>
  <c r="D796" i="41" s="1"/>
  <c r="H795" i="41"/>
  <c r="C795" i="41"/>
  <c r="D795" i="41" s="1" a="1"/>
  <c r="D795" i="41" s="1"/>
  <c r="H794" i="41"/>
  <c r="C794" i="41"/>
  <c r="D794" i="41" s="1" a="1"/>
  <c r="D794" i="41" s="1"/>
  <c r="C793" i="41"/>
  <c r="H793" i="41" s="1"/>
  <c r="H792" i="41"/>
  <c r="C792" i="41"/>
  <c r="D792" i="41" s="1" a="1"/>
  <c r="D792" i="41" s="1"/>
  <c r="C791" i="41"/>
  <c r="C790" i="41"/>
  <c r="D790" i="41" s="1" a="1"/>
  <c r="D790" i="41" s="1"/>
  <c r="H789" i="41"/>
  <c r="D789" i="41" a="1"/>
  <c r="D789" i="41" s="1"/>
  <c r="C789" i="41"/>
  <c r="H788" i="41"/>
  <c r="C788" i="41"/>
  <c r="D788" i="41" s="1" a="1"/>
  <c r="D788" i="41" s="1"/>
  <c r="H787" i="41"/>
  <c r="D787" i="41" a="1"/>
  <c r="D787" i="41" s="1"/>
  <c r="C787" i="41"/>
  <c r="C786" i="41"/>
  <c r="H786" i="41" s="1"/>
  <c r="H785" i="41"/>
  <c r="C785" i="41"/>
  <c r="D785" i="41" s="1" a="1"/>
  <c r="D785" i="41" s="1"/>
  <c r="C784" i="41"/>
  <c r="C783" i="41"/>
  <c r="H783" i="41" s="1"/>
  <c r="C782" i="41"/>
  <c r="C781" i="41"/>
  <c r="H781" i="41" s="1"/>
  <c r="H780" i="41"/>
  <c r="C780" i="41"/>
  <c r="D780" i="41" s="1" a="1"/>
  <c r="D780" i="41" s="1"/>
  <c r="H779" i="41"/>
  <c r="C779" i="41"/>
  <c r="D779" i="41" s="1" a="1"/>
  <c r="D779" i="41" s="1"/>
  <c r="H778" i="41"/>
  <c r="C778" i="41"/>
  <c r="D778" i="41" s="1" a="1"/>
  <c r="D778" i="41" s="1"/>
  <c r="C777" i="41"/>
  <c r="C776" i="41"/>
  <c r="C775" i="41"/>
  <c r="D775" i="41" s="1" a="1"/>
  <c r="D775" i="41" s="1"/>
  <c r="C774" i="41"/>
  <c r="H774" i="41" s="1"/>
  <c r="H773" i="41"/>
  <c r="C773" i="41"/>
  <c r="D773" i="41" s="1" a="1"/>
  <c r="D773" i="41" s="1"/>
  <c r="H772" i="41"/>
  <c r="C772" i="41"/>
  <c r="D772" i="41" s="1" a="1"/>
  <c r="D772" i="41" s="1"/>
  <c r="H771" i="41"/>
  <c r="C771" i="41"/>
  <c r="D771" i="41" s="1" a="1"/>
  <c r="D771" i="41" s="1"/>
  <c r="H770" i="41"/>
  <c r="C770" i="41"/>
  <c r="D770" i="41" s="1" a="1"/>
  <c r="D770" i="41" s="1"/>
  <c r="C769" i="41"/>
  <c r="C768" i="41"/>
  <c r="H768" i="41" s="1"/>
  <c r="C767" i="41"/>
  <c r="D767" i="41" s="1" a="1"/>
  <c r="D767" i="41" s="1"/>
  <c r="C766" i="41"/>
  <c r="H765" i="41"/>
  <c r="C765" i="41"/>
  <c r="D765" i="41" s="1" a="1"/>
  <c r="D765" i="41" s="1"/>
  <c r="H764" i="41"/>
  <c r="C764" i="41"/>
  <c r="D764" i="41" s="1" a="1"/>
  <c r="D764" i="41" s="1"/>
  <c r="H763" i="41"/>
  <c r="C763" i="41"/>
  <c r="D763" i="41" s="1" a="1"/>
  <c r="D763" i="41" s="1"/>
  <c r="H762" i="41"/>
  <c r="C762" i="41"/>
  <c r="D762" i="41" s="1" a="1"/>
  <c r="D762" i="41" s="1"/>
  <c r="C761" i="41"/>
  <c r="C760" i="41"/>
  <c r="C759" i="41"/>
  <c r="D759" i="41" s="1" a="1"/>
  <c r="D759" i="41" s="1"/>
  <c r="C758" i="41"/>
  <c r="H758" i="41" s="1"/>
  <c r="H757" i="41"/>
  <c r="C757" i="41"/>
  <c r="D757" i="41" s="1" a="1"/>
  <c r="D757" i="41" s="1"/>
  <c r="H756" i="41"/>
  <c r="C756" i="41"/>
  <c r="D756" i="41" s="1" a="1"/>
  <c r="D756" i="41" s="1"/>
  <c r="H755" i="41"/>
  <c r="C755" i="41"/>
  <c r="D755" i="41" s="1" a="1"/>
  <c r="D755" i="41" s="1"/>
  <c r="H754" i="41"/>
  <c r="C754" i="41"/>
  <c r="D754" i="41" s="1" a="1"/>
  <c r="D754" i="41" s="1"/>
  <c r="C753" i="41"/>
  <c r="D752" i="41" a="1"/>
  <c r="D752" i="41" s="1"/>
  <c r="C752" i="41"/>
  <c r="H752" i="41" s="1"/>
  <c r="C751" i="41"/>
  <c r="D751" i="41" s="1" a="1"/>
  <c r="D751" i="41" s="1"/>
  <c r="C750" i="41"/>
  <c r="H750" i="41" s="1"/>
  <c r="H749" i="41"/>
  <c r="C749" i="41"/>
  <c r="D749" i="41" s="1" a="1"/>
  <c r="D749" i="41" s="1"/>
  <c r="H748" i="41"/>
  <c r="C748" i="41"/>
  <c r="D748" i="41" s="1" a="1"/>
  <c r="D748" i="41" s="1"/>
  <c r="H747" i="41"/>
  <c r="C747" i="41"/>
  <c r="D747" i="41" s="1" a="1"/>
  <c r="D747" i="41" s="1"/>
  <c r="H746" i="41"/>
  <c r="C746" i="41"/>
  <c r="D746" i="41" s="1" a="1"/>
  <c r="D746" i="41" s="1"/>
  <c r="C745" i="41"/>
  <c r="C744" i="41"/>
  <c r="H744" i="41" s="1"/>
  <c r="C743" i="41"/>
  <c r="D743" i="41" s="1" a="1"/>
  <c r="D743" i="41" s="1"/>
  <c r="C742" i="41"/>
  <c r="H742" i="41" s="1"/>
  <c r="H741" i="41"/>
  <c r="C741" i="41"/>
  <c r="D741" i="41" s="1" a="1"/>
  <c r="D741" i="41" s="1"/>
  <c r="H740" i="41"/>
  <c r="C740" i="41"/>
  <c r="D740" i="41" s="1" a="1"/>
  <c r="D740" i="41" s="1"/>
  <c r="H739" i="41"/>
  <c r="C739" i="41"/>
  <c r="D739" i="41" s="1" a="1"/>
  <c r="D739" i="41" s="1"/>
  <c r="H738" i="41"/>
  <c r="C738" i="41"/>
  <c r="D738" i="41" s="1" a="1"/>
  <c r="D738" i="41" s="1"/>
  <c r="C737" i="41"/>
  <c r="D736" i="41" a="1"/>
  <c r="D736" i="41" s="1"/>
  <c r="C736" i="41"/>
  <c r="H736" i="41" s="1"/>
  <c r="C735" i="41"/>
  <c r="D735" i="41" s="1" a="1"/>
  <c r="D735" i="41" s="1"/>
  <c r="D734" i="41" a="1"/>
  <c r="D734" i="41" s="1"/>
  <c r="C734" i="41"/>
  <c r="H734" i="41" s="1"/>
  <c r="H733" i="41"/>
  <c r="C733" i="41"/>
  <c r="D733" i="41" s="1" a="1"/>
  <c r="D733" i="41" s="1"/>
  <c r="H732" i="41"/>
  <c r="C732" i="41"/>
  <c r="D732" i="41" s="1" a="1"/>
  <c r="D732" i="41" s="1"/>
  <c r="H731" i="41"/>
  <c r="C731" i="41"/>
  <c r="D731" i="41" s="1" a="1"/>
  <c r="D731" i="41" s="1"/>
  <c r="H730" i="41"/>
  <c r="C730" i="41"/>
  <c r="D730" i="41" s="1" a="1"/>
  <c r="D730" i="41" s="1"/>
  <c r="C729" i="41"/>
  <c r="C728" i="41"/>
  <c r="H728" i="41" s="1"/>
  <c r="C727" i="41"/>
  <c r="D727" i="41" s="1" a="1"/>
  <c r="D727" i="41" s="1"/>
  <c r="C726" i="41"/>
  <c r="H725" i="41"/>
  <c r="D725" i="41"/>
  <c r="C725" i="41"/>
  <c r="D725" i="41" s="1" a="1"/>
  <c r="H724" i="41"/>
  <c r="C724" i="41"/>
  <c r="D724" i="41" s="1" a="1"/>
  <c r="D724" i="41" s="1"/>
  <c r="H723" i="41"/>
  <c r="C723" i="41"/>
  <c r="D723" i="41" s="1" a="1"/>
  <c r="D723" i="41" s="1"/>
  <c r="H722" i="41"/>
  <c r="C722" i="41"/>
  <c r="D722" i="41" s="1" a="1"/>
  <c r="D722" i="41" s="1"/>
  <c r="C721" i="41"/>
  <c r="C720" i="41"/>
  <c r="C719" i="41"/>
  <c r="D719" i="41" s="1" a="1"/>
  <c r="D719" i="41" s="1"/>
  <c r="C718" i="41"/>
  <c r="H718" i="41" s="1"/>
  <c r="H717" i="41"/>
  <c r="C717" i="41"/>
  <c r="D717" i="41" s="1" a="1"/>
  <c r="D717" i="41" s="1"/>
  <c r="H716" i="41"/>
  <c r="D716" i="41" a="1"/>
  <c r="D716" i="41" s="1"/>
  <c r="C716" i="41"/>
  <c r="H715" i="41"/>
  <c r="C715" i="41"/>
  <c r="D715" i="41" s="1" a="1"/>
  <c r="D715" i="41" s="1"/>
  <c r="H714" i="41"/>
  <c r="C714" i="41"/>
  <c r="D714" i="41" s="1" a="1"/>
  <c r="D714" i="41" s="1"/>
  <c r="C713" i="41"/>
  <c r="C712" i="41"/>
  <c r="H712" i="41" s="1"/>
  <c r="C711" i="41"/>
  <c r="D711" i="41" s="1" a="1"/>
  <c r="D711" i="41" s="1"/>
  <c r="C710" i="41"/>
  <c r="H709" i="41"/>
  <c r="C709" i="41"/>
  <c r="D709" i="41" s="1" a="1"/>
  <c r="D709" i="41" s="1"/>
  <c r="H708" i="41"/>
  <c r="C708" i="41"/>
  <c r="D708" i="41" s="1" a="1"/>
  <c r="D708" i="41" s="1"/>
  <c r="H707" i="41"/>
  <c r="C707" i="41"/>
  <c r="D707" i="41" s="1" a="1"/>
  <c r="D707" i="41" s="1"/>
  <c r="H706" i="41"/>
  <c r="C706" i="41"/>
  <c r="D706" i="41" s="1" a="1"/>
  <c r="D706" i="41" s="1"/>
  <c r="C705" i="41"/>
  <c r="C704" i="41"/>
  <c r="C703" i="41"/>
  <c r="D703" i="41" s="1" a="1"/>
  <c r="D703" i="41" s="1"/>
  <c r="C702" i="41"/>
  <c r="H702" i="41" s="1"/>
  <c r="H701" i="41"/>
  <c r="C701" i="41"/>
  <c r="D701" i="41" s="1" a="1"/>
  <c r="D701" i="41" s="1"/>
  <c r="H700" i="41"/>
  <c r="C700" i="41"/>
  <c r="D700" i="41" s="1" a="1"/>
  <c r="D700" i="41" s="1"/>
  <c r="H699" i="41"/>
  <c r="C699" i="41"/>
  <c r="D699" i="41" s="1" a="1"/>
  <c r="D699" i="41" s="1"/>
  <c r="H698" i="41"/>
  <c r="C698" i="41"/>
  <c r="D698" i="41" s="1" a="1"/>
  <c r="D698" i="41" s="1"/>
  <c r="C697" i="41"/>
  <c r="C696" i="41"/>
  <c r="H696" i="41" s="1"/>
  <c r="C695" i="41"/>
  <c r="D695" i="41" s="1" a="1"/>
  <c r="D695" i="41" s="1"/>
  <c r="C694" i="41"/>
  <c r="H694" i="41" s="1"/>
  <c r="H693" i="41"/>
  <c r="C693" i="41"/>
  <c r="D693" i="41" s="1" a="1"/>
  <c r="D693" i="41" s="1"/>
  <c r="H692" i="41"/>
  <c r="C692" i="41"/>
  <c r="D692" i="41" s="1" a="1"/>
  <c r="D692" i="41" s="1"/>
  <c r="H691" i="41"/>
  <c r="C691" i="41"/>
  <c r="D691" i="41" s="1" a="1"/>
  <c r="D691" i="41" s="1"/>
  <c r="H690" i="41"/>
  <c r="D690" i="41" a="1"/>
  <c r="D690" i="41" s="1"/>
  <c r="C690" i="41"/>
  <c r="C689" i="41"/>
  <c r="C688" i="41"/>
  <c r="H688" i="41" s="1"/>
  <c r="C687" i="41"/>
  <c r="D687" i="41" s="1" a="1"/>
  <c r="D687" i="41" s="1"/>
  <c r="C686" i="41"/>
  <c r="H686" i="41" s="1"/>
  <c r="H685" i="41"/>
  <c r="C685" i="41"/>
  <c r="D685" i="41" s="1" a="1"/>
  <c r="D685" i="41" s="1"/>
  <c r="H684" i="41"/>
  <c r="C684" i="41"/>
  <c r="D684" i="41" s="1" a="1"/>
  <c r="D684" i="41" s="1"/>
  <c r="H683" i="41"/>
  <c r="C683" i="41"/>
  <c r="D683" i="41" s="1" a="1"/>
  <c r="D683" i="41" s="1"/>
  <c r="H682" i="41"/>
  <c r="C682" i="41"/>
  <c r="D682" i="41" s="1" a="1"/>
  <c r="D682" i="41" s="1"/>
  <c r="C681" i="41"/>
  <c r="D680" i="41" a="1"/>
  <c r="D680" i="41" s="1"/>
  <c r="C680" i="41"/>
  <c r="H680" i="41" s="1"/>
  <c r="C679" i="41"/>
  <c r="C678" i="41"/>
  <c r="H677" i="41"/>
  <c r="C677" i="41"/>
  <c r="D677" i="41" s="1" a="1"/>
  <c r="D677" i="41" s="1"/>
  <c r="H676" i="41"/>
  <c r="C676" i="41"/>
  <c r="D676" i="41" s="1" a="1"/>
  <c r="D676" i="41" s="1"/>
  <c r="H675" i="41"/>
  <c r="C675" i="41"/>
  <c r="D675" i="41" s="1" a="1"/>
  <c r="D675" i="41" s="1"/>
  <c r="H674" i="41"/>
  <c r="C674" i="41"/>
  <c r="D674" i="41" s="1" a="1"/>
  <c r="D674" i="41" s="1"/>
  <c r="C673" i="41"/>
  <c r="C672" i="41"/>
  <c r="C671" i="41"/>
  <c r="C670" i="41"/>
  <c r="H670" i="41" s="1"/>
  <c r="H669" i="41"/>
  <c r="C669" i="41"/>
  <c r="D669" i="41" s="1" a="1"/>
  <c r="D669" i="41" s="1"/>
  <c r="H668" i="41"/>
  <c r="C668" i="41"/>
  <c r="D668" i="41" s="1" a="1"/>
  <c r="D668" i="41" s="1"/>
  <c r="H667" i="41"/>
  <c r="C667" i="41"/>
  <c r="D667" i="41" s="1" a="1"/>
  <c r="D667" i="41" s="1"/>
  <c r="H666" i="41"/>
  <c r="D666" i="41" a="1"/>
  <c r="D666" i="41" s="1"/>
  <c r="C666" i="41"/>
  <c r="C665" i="41"/>
  <c r="C664" i="41"/>
  <c r="H664" i="41" s="1"/>
  <c r="C663" i="41"/>
  <c r="C662" i="41"/>
  <c r="H661" i="41"/>
  <c r="C661" i="41"/>
  <c r="D661" i="41" s="1" a="1"/>
  <c r="D661" i="41" s="1"/>
  <c r="H660" i="41"/>
  <c r="C660" i="41"/>
  <c r="D660" i="41" s="1" a="1"/>
  <c r="D660" i="41" s="1"/>
  <c r="H659" i="41"/>
  <c r="C659" i="41"/>
  <c r="D659" i="41" s="1" a="1"/>
  <c r="D659" i="41" s="1"/>
  <c r="H658" i="41"/>
  <c r="C658" i="41"/>
  <c r="D658" i="41" s="1" a="1"/>
  <c r="D658" i="41" s="1"/>
  <c r="C657" i="41"/>
  <c r="H656" i="41"/>
  <c r="C656" i="41"/>
  <c r="D656" i="41" s="1" a="1"/>
  <c r="D656" i="41" s="1"/>
  <c r="C655" i="41"/>
  <c r="C654" i="41"/>
  <c r="H653" i="41"/>
  <c r="C653" i="41"/>
  <c r="D653" i="41" s="1" a="1"/>
  <c r="D653" i="41" s="1"/>
  <c r="H652" i="41"/>
  <c r="C652" i="41"/>
  <c r="D652" i="41" s="1" a="1"/>
  <c r="D652" i="41" s="1"/>
  <c r="H651" i="41"/>
  <c r="C651" i="41"/>
  <c r="D651" i="41" s="1" a="1"/>
  <c r="D651" i="41" s="1"/>
  <c r="H650" i="41"/>
  <c r="C650" i="41"/>
  <c r="D650" i="41" s="1" a="1"/>
  <c r="D650" i="41" s="1"/>
  <c r="C649" i="41"/>
  <c r="C648" i="41"/>
  <c r="C647" i="41"/>
  <c r="D646" i="41" a="1"/>
  <c r="D646" i="41" s="1"/>
  <c r="C646" i="41"/>
  <c r="H646" i="41" s="1"/>
  <c r="H645" i="41"/>
  <c r="C645" i="41"/>
  <c r="D645" i="41" s="1" a="1"/>
  <c r="D645" i="41" s="1"/>
  <c r="H644" i="41"/>
  <c r="C644" i="41"/>
  <c r="D644" i="41" s="1" a="1"/>
  <c r="D644" i="41" s="1"/>
  <c r="H643" i="41"/>
  <c r="C643" i="41"/>
  <c r="D643" i="41" s="1" a="1"/>
  <c r="D643" i="41" s="1"/>
  <c r="H642" i="41"/>
  <c r="C642" i="41"/>
  <c r="D642" i="41" s="1" a="1"/>
  <c r="D642" i="41" s="1"/>
  <c r="C641" i="41"/>
  <c r="C640" i="41"/>
  <c r="H640" i="41" s="1"/>
  <c r="C639" i="41"/>
  <c r="C638" i="41"/>
  <c r="H637" i="41"/>
  <c r="C637" i="41"/>
  <c r="D637" i="41" s="1" a="1"/>
  <c r="D637" i="41" s="1"/>
  <c r="H636" i="41"/>
  <c r="D636" i="41" a="1"/>
  <c r="D636" i="41" s="1"/>
  <c r="C636" i="41"/>
  <c r="H635" i="41"/>
  <c r="C635" i="41"/>
  <c r="D635" i="41" s="1" a="1"/>
  <c r="D635" i="41" s="1"/>
  <c r="H634" i="41"/>
  <c r="C634" i="41"/>
  <c r="D634" i="41" s="1" a="1"/>
  <c r="D634" i="41" s="1"/>
  <c r="C633" i="41"/>
  <c r="C632" i="41"/>
  <c r="C631" i="41"/>
  <c r="C630" i="41"/>
  <c r="H630" i="41" s="1"/>
  <c r="H629" i="41"/>
  <c r="C629" i="41"/>
  <c r="D629" i="41" s="1" a="1"/>
  <c r="D629" i="41" s="1"/>
  <c r="H628" i="41"/>
  <c r="C628" i="41"/>
  <c r="D628" i="41" s="1" a="1"/>
  <c r="D628" i="41" s="1"/>
  <c r="H627" i="41"/>
  <c r="C627" i="41"/>
  <c r="D627" i="41" s="1" a="1"/>
  <c r="D627" i="41" s="1"/>
  <c r="H626" i="41"/>
  <c r="C626" i="41"/>
  <c r="D626" i="41" s="1" a="1"/>
  <c r="D626" i="41" s="1"/>
  <c r="C625" i="41"/>
  <c r="H624" i="41"/>
  <c r="C624" i="41"/>
  <c r="D624" i="41" s="1" a="1"/>
  <c r="D624" i="41" s="1"/>
  <c r="C623" i="41"/>
  <c r="C622" i="41"/>
  <c r="H621" i="41"/>
  <c r="C621" i="41"/>
  <c r="D621" i="41" s="1" a="1"/>
  <c r="D621" i="41" s="1"/>
  <c r="H620" i="41"/>
  <c r="C620" i="41"/>
  <c r="D620" i="41" s="1" a="1"/>
  <c r="D620" i="41" s="1"/>
  <c r="H619" i="41"/>
  <c r="C619" i="41"/>
  <c r="D619" i="41" s="1" a="1"/>
  <c r="D619" i="41" s="1"/>
  <c r="H618" i="41"/>
  <c r="D618" i="41" a="1"/>
  <c r="D618" i="41" s="1"/>
  <c r="C618" i="41"/>
  <c r="C617" i="41"/>
  <c r="C616" i="41"/>
  <c r="H616" i="41" s="1"/>
  <c r="C615" i="41"/>
  <c r="C614" i="41"/>
  <c r="H613" i="41"/>
  <c r="C613" i="41"/>
  <c r="D613" i="41" s="1" a="1"/>
  <c r="D613" i="41" s="1"/>
  <c r="H612" i="41"/>
  <c r="D612" i="41" a="1"/>
  <c r="D612" i="41" s="1"/>
  <c r="C612" i="41"/>
  <c r="H611" i="41"/>
  <c r="C611" i="41"/>
  <c r="D611" i="41" s="1" a="1"/>
  <c r="D611" i="41" s="1"/>
  <c r="H610" i="41"/>
  <c r="C610" i="41"/>
  <c r="D610" i="41" s="1" a="1"/>
  <c r="D610" i="41" s="1"/>
  <c r="C609" i="41"/>
  <c r="C608" i="41"/>
  <c r="H607" i="41"/>
  <c r="C607" i="41"/>
  <c r="D607" i="41" s="1" a="1"/>
  <c r="D607" i="41" s="1"/>
  <c r="C606" i="41"/>
  <c r="H606" i="41" s="1"/>
  <c r="H605" i="41"/>
  <c r="C605" i="41"/>
  <c r="D605" i="41" s="1" a="1"/>
  <c r="D605" i="41" s="1"/>
  <c r="H604" i="41"/>
  <c r="C604" i="41"/>
  <c r="D604" i="41" s="1" a="1"/>
  <c r="D604" i="41" s="1"/>
  <c r="H603" i="41"/>
  <c r="C603" i="41"/>
  <c r="D603" i="41" s="1" a="1"/>
  <c r="D603" i="41" s="1"/>
  <c r="H602" i="41"/>
  <c r="C602" i="41"/>
  <c r="D602" i="41" s="1" a="1"/>
  <c r="D602" i="41" s="1"/>
  <c r="C601" i="41"/>
  <c r="C600" i="41"/>
  <c r="H600" i="41" s="1"/>
  <c r="H599" i="41"/>
  <c r="C599" i="41"/>
  <c r="D599" i="41" s="1" a="1"/>
  <c r="D599" i="41" s="1"/>
  <c r="C598" i="41"/>
  <c r="H597" i="41"/>
  <c r="C597" i="41"/>
  <c r="D597" i="41" s="1" a="1"/>
  <c r="D597" i="41" s="1"/>
  <c r="H596" i="41"/>
  <c r="C596" i="41"/>
  <c r="D596" i="41" s="1" a="1"/>
  <c r="D596" i="41" s="1"/>
  <c r="C595" i="41"/>
  <c r="D595" i="41" s="1" a="1"/>
  <c r="D595" i="41" s="1"/>
  <c r="H594" i="41"/>
  <c r="C594" i="41"/>
  <c r="D594" i="41" s="1" a="1"/>
  <c r="D594" i="41" s="1"/>
  <c r="C593" i="41"/>
  <c r="D592" i="41" a="1"/>
  <c r="D592" i="41" s="1"/>
  <c r="C592" i="41"/>
  <c r="H592" i="41" s="1"/>
  <c r="C591" i="41"/>
  <c r="D591" i="41" s="1" a="1"/>
  <c r="D591" i="41" s="1"/>
  <c r="C590" i="41"/>
  <c r="H589" i="41"/>
  <c r="C589" i="41"/>
  <c r="D589" i="41" s="1" a="1"/>
  <c r="D589" i="41" s="1"/>
  <c r="H588" i="41"/>
  <c r="C588" i="41"/>
  <c r="D588" i="41" s="1" a="1"/>
  <c r="D588" i="41" s="1"/>
  <c r="H587" i="41"/>
  <c r="C587" i="41"/>
  <c r="D587" i="41" s="1" a="1"/>
  <c r="D587" i="41" s="1"/>
  <c r="H586" i="41"/>
  <c r="C586" i="41"/>
  <c r="D586" i="41" s="1" a="1"/>
  <c r="D586" i="41" s="1"/>
  <c r="C585" i="41"/>
  <c r="C584" i="41"/>
  <c r="C583" i="41"/>
  <c r="D583" i="41" s="1" a="1"/>
  <c r="D583" i="41" s="1"/>
  <c r="C582" i="41"/>
  <c r="H581" i="41"/>
  <c r="C581" i="41"/>
  <c r="D581" i="41" s="1" a="1"/>
  <c r="D581" i="41" s="1"/>
  <c r="H580" i="41"/>
  <c r="C580" i="41"/>
  <c r="D580" i="41" s="1" a="1"/>
  <c r="D580" i="41" s="1"/>
  <c r="C579" i="41"/>
  <c r="D579" i="41" s="1" a="1"/>
  <c r="D579" i="41" s="1"/>
  <c r="H578" i="41"/>
  <c r="C578" i="41"/>
  <c r="D578" i="41" s="1" a="1"/>
  <c r="D578" i="41" s="1"/>
  <c r="C577" i="41"/>
  <c r="C576" i="41"/>
  <c r="H576" i="41" s="1"/>
  <c r="H575" i="41"/>
  <c r="C575" i="41"/>
  <c r="D575" i="41" s="1" a="1"/>
  <c r="D575" i="41" s="1"/>
  <c r="C574" i="41"/>
  <c r="H574" i="41" s="1"/>
  <c r="H573" i="41"/>
  <c r="D573" i="41" a="1"/>
  <c r="D573" i="41" s="1"/>
  <c r="C573" i="41"/>
  <c r="H572" i="41"/>
  <c r="C572" i="41"/>
  <c r="D572" i="41" s="1" a="1"/>
  <c r="D572" i="41" s="1"/>
  <c r="H571" i="41"/>
  <c r="C571" i="41"/>
  <c r="D571" i="41" s="1" a="1"/>
  <c r="D571" i="41" s="1"/>
  <c r="H570" i="41"/>
  <c r="C570" i="41"/>
  <c r="D570" i="41" s="1" a="1"/>
  <c r="D570" i="41" s="1"/>
  <c r="C569" i="41"/>
  <c r="C568" i="41"/>
  <c r="C567" i="41"/>
  <c r="D567" i="41" s="1" a="1"/>
  <c r="D567" i="41" s="1"/>
  <c r="C566" i="41"/>
  <c r="H566" i="41" s="1"/>
  <c r="H565" i="41"/>
  <c r="C565" i="41"/>
  <c r="D565" i="41" s="1" a="1"/>
  <c r="D565" i="41" s="1"/>
  <c r="H564" i="41"/>
  <c r="C564" i="41"/>
  <c r="D564" i="41" s="1" a="1"/>
  <c r="D564" i="41" s="1"/>
  <c r="H563" i="41"/>
  <c r="C563" i="41"/>
  <c r="D563" i="41" s="1" a="1"/>
  <c r="D563" i="41" s="1"/>
  <c r="H562" i="41"/>
  <c r="C562" i="41"/>
  <c r="D562" i="41" s="1" a="1"/>
  <c r="D562" i="41" s="1"/>
  <c r="C561" i="41"/>
  <c r="C560" i="41"/>
  <c r="H560" i="41" s="1"/>
  <c r="C559" i="41"/>
  <c r="D559" i="41" s="1" a="1"/>
  <c r="D559" i="41" s="1"/>
  <c r="C558" i="41"/>
  <c r="H558" i="41" s="1"/>
  <c r="H557" i="41"/>
  <c r="C557" i="41"/>
  <c r="D557" i="41" s="1" a="1"/>
  <c r="D557" i="41" s="1"/>
  <c r="H556" i="41"/>
  <c r="C556" i="41"/>
  <c r="D556" i="41" s="1" a="1"/>
  <c r="D556" i="41" s="1"/>
  <c r="C555" i="41"/>
  <c r="D555" i="41" s="1" a="1"/>
  <c r="D555" i="41" s="1"/>
  <c r="H554" i="41"/>
  <c r="C554" i="41"/>
  <c r="D554" i="41" s="1" a="1"/>
  <c r="D554" i="41" s="1"/>
  <c r="C553" i="41"/>
  <c r="C552" i="41"/>
  <c r="H552" i="41" s="1"/>
  <c r="H551" i="41"/>
  <c r="C551" i="41"/>
  <c r="D551" i="41" s="1" a="1"/>
  <c r="D551" i="41" s="1"/>
  <c r="C550" i="41"/>
  <c r="H550" i="41" s="1"/>
  <c r="H549" i="41"/>
  <c r="C549" i="41"/>
  <c r="D549" i="41" s="1" a="1"/>
  <c r="D549" i="41" s="1"/>
  <c r="H548" i="41"/>
  <c r="C548" i="41"/>
  <c r="D548" i="41" s="1" a="1"/>
  <c r="D548" i="41" s="1"/>
  <c r="C547" i="41"/>
  <c r="D547" i="41" s="1" a="1"/>
  <c r="D547" i="41" s="1"/>
  <c r="H546" i="41"/>
  <c r="C546" i="41"/>
  <c r="D546" i="41" s="1" a="1"/>
  <c r="D546" i="41" s="1"/>
  <c r="C545" i="41"/>
  <c r="C544" i="41"/>
  <c r="H543" i="41"/>
  <c r="C543" i="41"/>
  <c r="D543" i="41" s="1" a="1"/>
  <c r="D543" i="41" s="1"/>
  <c r="C542" i="41"/>
  <c r="H541" i="41"/>
  <c r="C541" i="41"/>
  <c r="D541" i="41" s="1" a="1"/>
  <c r="D541" i="41" s="1"/>
  <c r="H540" i="41"/>
  <c r="C540" i="41"/>
  <c r="D540" i="41" s="1" a="1"/>
  <c r="D540" i="41" s="1"/>
  <c r="H539" i="41"/>
  <c r="C539" i="41"/>
  <c r="D539" i="41" s="1" a="1"/>
  <c r="D539" i="41" s="1"/>
  <c r="H538" i="41"/>
  <c r="C538" i="41"/>
  <c r="D538" i="41" s="1" a="1"/>
  <c r="D538" i="41" s="1"/>
  <c r="C537" i="41"/>
  <c r="C536" i="41"/>
  <c r="H536" i="41" s="1"/>
  <c r="H535" i="41"/>
  <c r="C535" i="41"/>
  <c r="D535" i="41" s="1" a="1"/>
  <c r="D535" i="41" s="1"/>
  <c r="C534" i="41"/>
  <c r="H534" i="41" s="1"/>
  <c r="H533" i="41"/>
  <c r="C533" i="41"/>
  <c r="D533" i="41" s="1" a="1"/>
  <c r="D533" i="41" s="1"/>
  <c r="H532" i="41"/>
  <c r="C532" i="41"/>
  <c r="D532" i="41" s="1" a="1"/>
  <c r="D532" i="41" s="1"/>
  <c r="C531" i="41"/>
  <c r="D531" i="41" s="1" a="1"/>
  <c r="D531" i="41" s="1"/>
  <c r="H530" i="41"/>
  <c r="C530" i="41"/>
  <c r="D530" i="41" s="1" a="1"/>
  <c r="D530" i="41" s="1"/>
  <c r="C529" i="41"/>
  <c r="C528" i="41"/>
  <c r="H528" i="41" s="1"/>
  <c r="C527" i="41"/>
  <c r="D527" i="41" s="1" a="1"/>
  <c r="D527" i="41" s="1"/>
  <c r="C526" i="41"/>
  <c r="H526" i="41" s="1"/>
  <c r="H525" i="41"/>
  <c r="C525" i="41"/>
  <c r="D525" i="41" s="1" a="1"/>
  <c r="D525" i="41" s="1"/>
  <c r="H524" i="41"/>
  <c r="C524" i="41"/>
  <c r="D524" i="41" s="1" a="1"/>
  <c r="D524" i="41" s="1"/>
  <c r="C523" i="41"/>
  <c r="D523" i="41" s="1" a="1"/>
  <c r="D523" i="41" s="1"/>
  <c r="H522" i="41"/>
  <c r="C522" i="41"/>
  <c r="D522" i="41" s="1" a="1"/>
  <c r="D522" i="41" s="1"/>
  <c r="C521" i="41"/>
  <c r="H521" i="41" s="1"/>
  <c r="H520" i="41"/>
  <c r="D520" i="41" a="1"/>
  <c r="D520" i="41" s="1"/>
  <c r="C520" i="41"/>
  <c r="H519" i="41"/>
  <c r="C519" i="41"/>
  <c r="D519" i="41" s="1" a="1"/>
  <c r="D519" i="41" s="1"/>
  <c r="C518" i="41"/>
  <c r="H518" i="41" s="1"/>
  <c r="H517" i="41"/>
  <c r="C517" i="41"/>
  <c r="D517" i="41" s="1" a="1"/>
  <c r="D517" i="41" s="1"/>
  <c r="H516" i="41"/>
  <c r="C516" i="41"/>
  <c r="D516" i="41" s="1" a="1"/>
  <c r="D516" i="41" s="1"/>
  <c r="H515" i="41"/>
  <c r="C515" i="41"/>
  <c r="D515" i="41" s="1" a="1"/>
  <c r="D515" i="41" s="1"/>
  <c r="H514" i="41"/>
  <c r="C514" i="41"/>
  <c r="D514" i="41" s="1" a="1"/>
  <c r="D514" i="41" s="1"/>
  <c r="C513" i="41"/>
  <c r="H513" i="41" s="1"/>
  <c r="C512" i="41"/>
  <c r="H512" i="41" s="1"/>
  <c r="C511" i="41"/>
  <c r="D511" i="41" s="1" a="1"/>
  <c r="D511" i="41" s="1"/>
  <c r="D510" i="41" a="1"/>
  <c r="D510" i="41" s="1"/>
  <c r="C510" i="41"/>
  <c r="H510" i="41" s="1"/>
  <c r="H509" i="41"/>
  <c r="C509" i="41"/>
  <c r="D509" i="41" s="1" a="1"/>
  <c r="D509" i="41" s="1"/>
  <c r="H508" i="41"/>
  <c r="C508" i="41"/>
  <c r="D508" i="41" s="1" a="1"/>
  <c r="D508" i="41" s="1"/>
  <c r="C507" i="41"/>
  <c r="D507" i="41" s="1" a="1"/>
  <c r="D507" i="41" s="1"/>
  <c r="C506" i="41"/>
  <c r="D506" i="41" s="1" a="1"/>
  <c r="D506" i="41" s="1"/>
  <c r="C505" i="41"/>
  <c r="H505" i="41" s="1"/>
  <c r="C504" i="41"/>
  <c r="H504" i="41" s="1"/>
  <c r="C503" i="41"/>
  <c r="D503" i="41" s="1" a="1"/>
  <c r="D503" i="41" s="1"/>
  <c r="C502" i="41"/>
  <c r="D502" i="41" s="1" a="1"/>
  <c r="D502" i="41" s="1"/>
  <c r="C501" i="41"/>
  <c r="H501" i="41" s="1"/>
  <c r="H500" i="41"/>
  <c r="C500" i="41"/>
  <c r="D500" i="41" s="1" a="1"/>
  <c r="D500" i="41" s="1"/>
  <c r="C499" i="41"/>
  <c r="D499" i="41" s="1" a="1"/>
  <c r="D499" i="41" s="1"/>
  <c r="H498" i="41"/>
  <c r="C498" i="41"/>
  <c r="D498" i="41" s="1" a="1"/>
  <c r="D498" i="41" s="1"/>
  <c r="C497" i="41"/>
  <c r="H497" i="41" s="1"/>
  <c r="C496" i="41"/>
  <c r="H496" i="41" s="1"/>
  <c r="C495" i="41"/>
  <c r="D495" i="41" s="1" a="1"/>
  <c r="D495" i="41" s="1"/>
  <c r="H494" i="41"/>
  <c r="C494" i="41"/>
  <c r="D494" i="41" s="1" a="1"/>
  <c r="D494" i="41" s="1"/>
  <c r="C493" i="41"/>
  <c r="H493" i="41" s="1"/>
  <c r="H492" i="41"/>
  <c r="D492" i="41" a="1"/>
  <c r="D492" i="41" s="1"/>
  <c r="C492" i="41"/>
  <c r="C491" i="41"/>
  <c r="D491" i="41" s="1" a="1"/>
  <c r="D491" i="41" s="1"/>
  <c r="H490" i="41"/>
  <c r="C490" i="41"/>
  <c r="D490" i="41" s="1" a="1"/>
  <c r="D490" i="41" s="1"/>
  <c r="C489" i="41"/>
  <c r="H489" i="41" s="1"/>
  <c r="H488" i="41"/>
  <c r="C488" i="41"/>
  <c r="D488" i="41" s="1" a="1"/>
  <c r="D488" i="41" s="1"/>
  <c r="C487" i="41"/>
  <c r="D487" i="41" s="1" a="1"/>
  <c r="D487" i="41" s="1"/>
  <c r="H486" i="41"/>
  <c r="C486" i="41"/>
  <c r="D486" i="41" s="1" a="1"/>
  <c r="D486" i="41" s="1"/>
  <c r="C485" i="41"/>
  <c r="H485" i="41" s="1"/>
  <c r="H484" i="41"/>
  <c r="C484" i="41"/>
  <c r="D484" i="41" s="1" a="1"/>
  <c r="D484" i="41" s="1"/>
  <c r="H483" i="41"/>
  <c r="C483" i="41"/>
  <c r="D483" i="41" s="1" a="1"/>
  <c r="D483" i="41" s="1"/>
  <c r="H482" i="41"/>
  <c r="C482" i="41"/>
  <c r="D482" i="41" s="1" a="1"/>
  <c r="D482" i="41" s="1"/>
  <c r="H481" i="41"/>
  <c r="C481" i="41"/>
  <c r="D481" i="41" s="1" a="1"/>
  <c r="D481" i="41" s="1"/>
  <c r="H480" i="41"/>
  <c r="C480" i="41"/>
  <c r="D480" i="41" s="1" a="1"/>
  <c r="D480" i="41" s="1"/>
  <c r="H479" i="41"/>
  <c r="C479" i="41"/>
  <c r="D479" i="41" s="1" a="1"/>
  <c r="D479" i="41" s="1"/>
  <c r="H478" i="41"/>
  <c r="C478" i="41"/>
  <c r="D478" i="41" s="1" a="1"/>
  <c r="D478" i="41" s="1"/>
  <c r="H477" i="41"/>
  <c r="C477" i="41"/>
  <c r="D477" i="41" s="1" a="1"/>
  <c r="D477" i="41" s="1"/>
  <c r="H476" i="41"/>
  <c r="C476" i="41"/>
  <c r="D476" i="41" s="1" a="1"/>
  <c r="D476" i="41" s="1"/>
  <c r="C475" i="41"/>
  <c r="D475" i="41" s="1" a="1"/>
  <c r="D475" i="41" s="1"/>
  <c r="C474" i="41"/>
  <c r="H474" i="41" s="1"/>
  <c r="C473" i="41"/>
  <c r="D473" i="41" s="1" a="1"/>
  <c r="D473" i="41" s="1"/>
  <c r="C472" i="41"/>
  <c r="H472" i="41" s="1"/>
  <c r="C471" i="41"/>
  <c r="D471" i="41" s="1" a="1"/>
  <c r="D471" i="41" s="1"/>
  <c r="C470" i="41"/>
  <c r="H470" i="41" s="1"/>
  <c r="C469" i="41"/>
  <c r="D469" i="41" s="1" a="1"/>
  <c r="D469" i="41" s="1"/>
  <c r="H468" i="41"/>
  <c r="C468" i="41"/>
  <c r="D468" i="41" s="1" a="1"/>
  <c r="D468" i="41" s="1"/>
  <c r="H467" i="41"/>
  <c r="D467" i="41"/>
  <c r="C467" i="41"/>
  <c r="D467" i="41" s="1" a="1"/>
  <c r="C466" i="41"/>
  <c r="H465" i="41"/>
  <c r="C465" i="41"/>
  <c r="D465" i="41" s="1" a="1"/>
  <c r="D465" i="41" s="1"/>
  <c r="C464" i="41"/>
  <c r="H463" i="41"/>
  <c r="C463" i="41"/>
  <c r="D463" i="41" s="1" a="1"/>
  <c r="D463" i="41" s="1"/>
  <c r="C462" i="41"/>
  <c r="H462" i="41" s="1"/>
  <c r="H461" i="41"/>
  <c r="C461" i="41"/>
  <c r="D461" i="41" s="1" a="1"/>
  <c r="D461" i="41" s="1"/>
  <c r="H460" i="41"/>
  <c r="C460" i="41"/>
  <c r="D460" i="41" s="1" a="1"/>
  <c r="D460" i="41" s="1"/>
  <c r="H459" i="41"/>
  <c r="C459" i="41"/>
  <c r="D459" i="41" s="1" a="1"/>
  <c r="D459" i="41" s="1"/>
  <c r="C458" i="41"/>
  <c r="H458" i="41" s="1"/>
  <c r="H457" i="41"/>
  <c r="C457" i="41"/>
  <c r="D457" i="41" s="1" a="1"/>
  <c r="D457" i="41" s="1"/>
  <c r="C456" i="41"/>
  <c r="H456" i="41" s="1"/>
  <c r="H455" i="41"/>
  <c r="C455" i="41"/>
  <c r="D455" i="41" s="1" a="1"/>
  <c r="D455" i="41" s="1"/>
  <c r="C454" i="41"/>
  <c r="H454" i="41" s="1"/>
  <c r="H453" i="41"/>
  <c r="C453" i="41"/>
  <c r="D453" i="41" s="1" a="1"/>
  <c r="D453" i="41" s="1"/>
  <c r="H452" i="41"/>
  <c r="C452" i="41"/>
  <c r="D452" i="41" s="1" a="1"/>
  <c r="D452" i="41" s="1"/>
  <c r="H451" i="41"/>
  <c r="C451" i="41"/>
  <c r="D451" i="41" s="1" a="1"/>
  <c r="D451" i="41" s="1"/>
  <c r="H450" i="41"/>
  <c r="C450" i="41"/>
  <c r="D450" i="41" s="1" a="1"/>
  <c r="D450" i="41" s="1"/>
  <c r="H449" i="41"/>
  <c r="C449" i="41"/>
  <c r="D449" i="41" s="1" a="1"/>
  <c r="D449" i="41" s="1"/>
  <c r="H448" i="41"/>
  <c r="C448" i="41"/>
  <c r="D448" i="41" s="1" a="1"/>
  <c r="D448" i="41" s="1"/>
  <c r="H447" i="41"/>
  <c r="C447" i="41"/>
  <c r="D447" i="41" s="1" a="1"/>
  <c r="D447" i="41" s="1"/>
  <c r="H446" i="41"/>
  <c r="C446" i="41"/>
  <c r="D446" i="41" s="1" a="1"/>
  <c r="D446" i="41" s="1"/>
  <c r="H445" i="41"/>
  <c r="C445" i="41"/>
  <c r="D445" i="41" s="1" a="1"/>
  <c r="D445" i="41" s="1"/>
  <c r="H444" i="41"/>
  <c r="C444" i="41"/>
  <c r="D444" i="41" s="1" a="1"/>
  <c r="D444" i="41" s="1"/>
  <c r="C443" i="41"/>
  <c r="D443" i="41" s="1" a="1"/>
  <c r="D443" i="41" s="1"/>
  <c r="C442" i="41"/>
  <c r="D442" i="41" s="1" a="1"/>
  <c r="D442" i="41" s="1"/>
  <c r="C441" i="41"/>
  <c r="H441" i="41" s="1"/>
  <c r="C440" i="41"/>
  <c r="H440" i="41" s="1"/>
  <c r="C439" i="41"/>
  <c r="D439" i="41" s="1" a="1"/>
  <c r="D439" i="41" s="1"/>
  <c r="C438" i="41"/>
  <c r="D438" i="41" s="1" a="1"/>
  <c r="D438" i="41" s="1"/>
  <c r="C437" i="41"/>
  <c r="H437" i="41" s="1"/>
  <c r="H436" i="41"/>
  <c r="C436" i="41"/>
  <c r="D436" i="41" s="1" a="1"/>
  <c r="D436" i="41" s="1"/>
  <c r="C435" i="41"/>
  <c r="D435" i="41" s="1" a="1"/>
  <c r="D435" i="41" s="1"/>
  <c r="H434" i="41"/>
  <c r="C434" i="41"/>
  <c r="D434" i="41" s="1" a="1"/>
  <c r="D434" i="41" s="1"/>
  <c r="C433" i="41"/>
  <c r="H433" i="41" s="1"/>
  <c r="C432" i="41"/>
  <c r="H432" i="41" s="1"/>
  <c r="C431" i="41"/>
  <c r="D431" i="41" s="1" a="1"/>
  <c r="D431" i="41" s="1"/>
  <c r="H430" i="41"/>
  <c r="C430" i="41"/>
  <c r="D430" i="41" s="1" a="1"/>
  <c r="D430" i="41" s="1"/>
  <c r="C429" i="41"/>
  <c r="H429" i="41" s="1"/>
  <c r="H428" i="41"/>
  <c r="C428" i="41"/>
  <c r="D428" i="41" s="1" a="1"/>
  <c r="D428" i="41" s="1"/>
  <c r="C427" i="41"/>
  <c r="D427" i="41" s="1" a="1"/>
  <c r="D427" i="41" s="1"/>
  <c r="H426" i="41"/>
  <c r="C426" i="41"/>
  <c r="D426" i="41" s="1" a="1"/>
  <c r="D426" i="41" s="1"/>
  <c r="C425" i="41"/>
  <c r="H425" i="41" s="1"/>
  <c r="H424" i="41"/>
  <c r="C424" i="41"/>
  <c r="D424" i="41" s="1" a="1"/>
  <c r="D424" i="41" s="1"/>
  <c r="C423" i="41"/>
  <c r="D423" i="41" s="1" a="1"/>
  <c r="D423" i="41" s="1"/>
  <c r="H422" i="41"/>
  <c r="C422" i="41"/>
  <c r="D422" i="41" s="1" a="1"/>
  <c r="D422" i="41" s="1"/>
  <c r="C421" i="41"/>
  <c r="H421" i="41" s="1"/>
  <c r="H420" i="41"/>
  <c r="C420" i="41"/>
  <c r="D420" i="41" s="1" a="1"/>
  <c r="D420" i="41" s="1"/>
  <c r="H419" i="41"/>
  <c r="C419" i="41"/>
  <c r="D419" i="41" s="1" a="1"/>
  <c r="D419" i="41" s="1"/>
  <c r="H418" i="41"/>
  <c r="C418" i="41"/>
  <c r="D418" i="41" s="1" a="1"/>
  <c r="D418" i="41" s="1"/>
  <c r="H417" i="41"/>
  <c r="C417" i="41"/>
  <c r="D417" i="41" s="1" a="1"/>
  <c r="D417" i="41" s="1"/>
  <c r="H416" i="41"/>
  <c r="C416" i="41"/>
  <c r="D416" i="41" s="1" a="1"/>
  <c r="D416" i="41" s="1"/>
  <c r="H415" i="41"/>
  <c r="D415" i="41"/>
  <c r="C415" i="41"/>
  <c r="D415" i="41" s="1" a="1"/>
  <c r="H414" i="41"/>
  <c r="C414" i="41"/>
  <c r="D414" i="41" s="1" a="1"/>
  <c r="D414" i="41" s="1"/>
  <c r="H413" i="41"/>
  <c r="C413" i="41"/>
  <c r="D413" i="41" s="1" a="1"/>
  <c r="D413" i="41" s="1"/>
  <c r="H412" i="41"/>
  <c r="C412" i="41"/>
  <c r="D412" i="41" s="1" a="1"/>
  <c r="D412" i="41" s="1"/>
  <c r="C411" i="41"/>
  <c r="D411" i="41" s="1" a="1"/>
  <c r="D411" i="41" s="1"/>
  <c r="C410" i="41"/>
  <c r="H410" i="41" s="1"/>
  <c r="C409" i="41"/>
  <c r="D409" i="41" s="1" a="1"/>
  <c r="D409" i="41" s="1"/>
  <c r="C408" i="41"/>
  <c r="H408" i="41" s="1"/>
  <c r="C407" i="41"/>
  <c r="D407" i="41" s="1" a="1"/>
  <c r="D407" i="41" s="1"/>
  <c r="C406" i="41"/>
  <c r="H406" i="41" s="1"/>
  <c r="C405" i="41"/>
  <c r="D405" i="41" s="1" a="1"/>
  <c r="D405" i="41" s="1"/>
  <c r="H404" i="41"/>
  <c r="C404" i="41"/>
  <c r="D404" i="41" s="1" a="1"/>
  <c r="D404" i="41" s="1"/>
  <c r="H403" i="41"/>
  <c r="C403" i="41"/>
  <c r="D403" i="41" s="1" a="1"/>
  <c r="D403" i="41" s="1"/>
  <c r="C402" i="41"/>
  <c r="H402" i="41" s="1"/>
  <c r="H401" i="41"/>
  <c r="C401" i="41"/>
  <c r="D401" i="41" s="1" a="1"/>
  <c r="D401" i="41" s="1"/>
  <c r="C400" i="41"/>
  <c r="H400" i="41" s="1"/>
  <c r="H399" i="41"/>
  <c r="C399" i="41"/>
  <c r="D399" i="41" s="1" a="1"/>
  <c r="D399" i="41" s="1"/>
  <c r="C398" i="41"/>
  <c r="H398" i="41" s="1"/>
  <c r="H397" i="41"/>
  <c r="C397" i="41"/>
  <c r="D397" i="41" s="1" a="1"/>
  <c r="D397" i="41" s="1"/>
  <c r="H396" i="41"/>
  <c r="C396" i="41"/>
  <c r="D396" i="41" s="1" a="1"/>
  <c r="D396" i="41" s="1"/>
  <c r="H395" i="41"/>
  <c r="C395" i="41"/>
  <c r="D395" i="41" s="1" a="1"/>
  <c r="D395" i="41" s="1"/>
  <c r="C394" i="41"/>
  <c r="H393" i="41"/>
  <c r="D393" i="41" a="1"/>
  <c r="D393" i="41" s="1"/>
  <c r="C393" i="41"/>
  <c r="C392" i="41"/>
  <c r="H392" i="41" s="1"/>
  <c r="H391" i="41"/>
  <c r="C391" i="41"/>
  <c r="D391" i="41" s="1" a="1"/>
  <c r="D391" i="41" s="1"/>
  <c r="C390" i="41"/>
  <c r="H389" i="41"/>
  <c r="C389" i="41"/>
  <c r="D389" i="41" s="1" a="1"/>
  <c r="D389" i="41" s="1"/>
  <c r="H388" i="41"/>
  <c r="C388" i="41"/>
  <c r="D388" i="41" s="1" a="1"/>
  <c r="D388" i="41" s="1"/>
  <c r="H387" i="41"/>
  <c r="C387" i="41"/>
  <c r="D387" i="41" s="1" a="1"/>
  <c r="D387" i="41" s="1"/>
  <c r="H386" i="41"/>
  <c r="C386" i="41"/>
  <c r="D386" i="41" s="1" a="1"/>
  <c r="D386" i="41" s="1"/>
  <c r="H385" i="41"/>
  <c r="C385" i="41"/>
  <c r="D385" i="41" s="1" a="1"/>
  <c r="D385" i="41" s="1"/>
  <c r="C384" i="41"/>
  <c r="H384" i="41" s="1"/>
  <c r="H383" i="41"/>
  <c r="C383" i="41"/>
  <c r="D383" i="41" s="1" a="1"/>
  <c r="D383" i="41" s="1"/>
  <c r="H382" i="41"/>
  <c r="D382" i="41" a="1"/>
  <c r="D382" i="41" s="1"/>
  <c r="C382" i="41"/>
  <c r="H381" i="41"/>
  <c r="C381" i="41"/>
  <c r="D381" i="41" s="1" a="1"/>
  <c r="D381" i="41" s="1"/>
  <c r="H380" i="41"/>
  <c r="C380" i="41"/>
  <c r="D380" i="41" s="1" a="1"/>
  <c r="D380" i="41" s="1"/>
  <c r="C379" i="41"/>
  <c r="D379" i="41" s="1" a="1"/>
  <c r="D379" i="41" s="1"/>
  <c r="C378" i="41"/>
  <c r="D378" i="41" s="1" a="1"/>
  <c r="D378" i="41" s="1"/>
  <c r="C377" i="41"/>
  <c r="H377" i="41" s="1"/>
  <c r="C376" i="41"/>
  <c r="C375" i="41"/>
  <c r="D375" i="41" s="1" a="1"/>
  <c r="D375" i="41" s="1"/>
  <c r="C374" i="41"/>
  <c r="D374" i="41" s="1" a="1"/>
  <c r="D374" i="41" s="1"/>
  <c r="C373" i="41"/>
  <c r="H373" i="41" s="1"/>
  <c r="H372" i="41"/>
  <c r="D372" i="41" a="1"/>
  <c r="D372" i="41" s="1"/>
  <c r="C372" i="41"/>
  <c r="C371" i="41"/>
  <c r="D371" i="41" s="1" a="1"/>
  <c r="D371" i="41" s="1"/>
  <c r="H370" i="41"/>
  <c r="C370" i="41"/>
  <c r="D370" i="41" s="1" a="1"/>
  <c r="D370" i="41" s="1"/>
  <c r="C369" i="41"/>
  <c r="H369" i="41" s="1"/>
  <c r="C368" i="41"/>
  <c r="H368" i="41" s="1"/>
  <c r="C367" i="41"/>
  <c r="D367" i="41" s="1" a="1"/>
  <c r="D367" i="41" s="1"/>
  <c r="H366" i="41"/>
  <c r="C366" i="41"/>
  <c r="D366" i="41" s="1" a="1"/>
  <c r="D366" i="41" s="1"/>
  <c r="D365" i="41" a="1"/>
  <c r="D365" i="41" s="1"/>
  <c r="C365" i="41"/>
  <c r="H365" i="41" s="1"/>
  <c r="H364" i="41"/>
  <c r="C364" i="41"/>
  <c r="D364" i="41" s="1" a="1"/>
  <c r="D364" i="41" s="1"/>
  <c r="C363" i="41"/>
  <c r="H362" i="41"/>
  <c r="C362" i="41"/>
  <c r="D362" i="41" s="1" a="1"/>
  <c r="D362" i="41" s="1"/>
  <c r="C361" i="41"/>
  <c r="D360" i="41" a="1"/>
  <c r="D360" i="41" s="1"/>
  <c r="C360" i="41"/>
  <c r="H360" i="41" s="1"/>
  <c r="C359" i="41"/>
  <c r="H358" i="41"/>
  <c r="D358" i="41" a="1"/>
  <c r="D358" i="41" s="1"/>
  <c r="C358" i="41"/>
  <c r="C357" i="41"/>
  <c r="H356" i="41"/>
  <c r="C356" i="41"/>
  <c r="D356" i="41" s="1" a="1"/>
  <c r="D356" i="41" s="1"/>
  <c r="H355" i="41"/>
  <c r="C355" i="41"/>
  <c r="D355" i="41" s="1" a="1"/>
  <c r="D355" i="41" s="1"/>
  <c r="C354" i="41"/>
  <c r="H354" i="41" s="1"/>
  <c r="D353" i="41" a="1"/>
  <c r="D353" i="41" s="1"/>
  <c r="C353" i="41"/>
  <c r="H353" i="41" s="1"/>
  <c r="C352" i="41"/>
  <c r="H351" i="41"/>
  <c r="C351" i="41"/>
  <c r="D351" i="41" s="1" a="1"/>
  <c r="D351" i="41" s="1"/>
  <c r="C350" i="41"/>
  <c r="H349" i="41"/>
  <c r="D349" i="41" a="1"/>
  <c r="D349" i="41" s="1"/>
  <c r="C349" i="41"/>
  <c r="H348" i="41"/>
  <c r="C348" i="41"/>
  <c r="D348" i="41" s="1" a="1"/>
  <c r="D348" i="41" s="1"/>
  <c r="C347" i="41"/>
  <c r="H347" i="41" s="1"/>
  <c r="C346" i="41"/>
  <c r="D346" i="41" s="1" a="1"/>
  <c r="D346" i="41" s="1"/>
  <c r="H345" i="41"/>
  <c r="C345" i="41"/>
  <c r="D345" i="41" s="1" a="1"/>
  <c r="D345" i="41" s="1"/>
  <c r="C344" i="41"/>
  <c r="H344" i="41" s="1"/>
  <c r="C343" i="41"/>
  <c r="D343" i="41" s="1" a="1"/>
  <c r="D343" i="41" s="1"/>
  <c r="H342" i="41"/>
  <c r="D342" i="41" a="1"/>
  <c r="D342" i="41" s="1"/>
  <c r="C342" i="41"/>
  <c r="C341" i="41"/>
  <c r="H340" i="41"/>
  <c r="C340" i="41"/>
  <c r="D340" i="41" s="1" a="1"/>
  <c r="D340" i="41" s="1"/>
  <c r="H339" i="41"/>
  <c r="C339" i="41"/>
  <c r="D339" i="41" s="1" a="1"/>
  <c r="D339" i="41" s="1"/>
  <c r="C338" i="41"/>
  <c r="H338" i="41" s="1"/>
  <c r="D337" i="41" a="1"/>
  <c r="D337" i="41" s="1"/>
  <c r="C337" i="41"/>
  <c r="H337" i="41" s="1"/>
  <c r="C336" i="41"/>
  <c r="H335" i="41"/>
  <c r="C335" i="41"/>
  <c r="D335" i="41" s="1" a="1"/>
  <c r="D335" i="41" s="1"/>
  <c r="C334" i="41"/>
  <c r="H333" i="41"/>
  <c r="C333" i="41"/>
  <c r="D333" i="41" s="1" a="1"/>
  <c r="D333" i="41" s="1"/>
  <c r="H332" i="41"/>
  <c r="C332" i="41"/>
  <c r="D332" i="41" s="1" a="1"/>
  <c r="D332" i="41" s="1"/>
  <c r="C331" i="41"/>
  <c r="H331" i="41" s="1"/>
  <c r="C330" i="41"/>
  <c r="D330" i="41" s="1" a="1"/>
  <c r="D330" i="41" s="1"/>
  <c r="H329" i="41"/>
  <c r="C329" i="41"/>
  <c r="D329" i="41" s="1" a="1"/>
  <c r="D329" i="41" s="1"/>
  <c r="C328" i="41"/>
  <c r="H328" i="41" s="1"/>
  <c r="C327" i="41"/>
  <c r="D327" i="41" s="1" a="1"/>
  <c r="D327" i="41" s="1"/>
  <c r="H326" i="41"/>
  <c r="D326" i="41" a="1"/>
  <c r="D326" i="41" s="1"/>
  <c r="C326" i="41"/>
  <c r="C325" i="41"/>
  <c r="H324" i="41"/>
  <c r="C324" i="41"/>
  <c r="D324" i="41" s="1" a="1"/>
  <c r="D324" i="41" s="1"/>
  <c r="H323" i="41"/>
  <c r="C323" i="41"/>
  <c r="D323" i="41" s="1" a="1"/>
  <c r="D323" i="41" s="1"/>
  <c r="C322" i="41"/>
  <c r="H322" i="41" s="1"/>
  <c r="H321" i="41"/>
  <c r="C321" i="41"/>
  <c r="D321" i="41" s="1" a="1"/>
  <c r="D321" i="41" s="1"/>
  <c r="C320" i="41"/>
  <c r="H320" i="41" s="1"/>
  <c r="H319" i="41"/>
  <c r="D319" i="41"/>
  <c r="C319" i="41"/>
  <c r="D319" i="41" s="1" a="1"/>
  <c r="C318" i="41"/>
  <c r="H317" i="41"/>
  <c r="C317" i="41"/>
  <c r="D317" i="41" s="1" a="1"/>
  <c r="D317" i="41" s="1"/>
  <c r="H316" i="41"/>
  <c r="D316" i="41" a="1"/>
  <c r="D316" i="41" s="1"/>
  <c r="C316" i="41"/>
  <c r="C315" i="41"/>
  <c r="H315" i="41" s="1"/>
  <c r="C314" i="41"/>
  <c r="D314" i="41" s="1" a="1"/>
  <c r="D314" i="41" s="1"/>
  <c r="H313" i="41"/>
  <c r="C313" i="41"/>
  <c r="D313" i="41" s="1" a="1"/>
  <c r="D313" i="41" s="1"/>
  <c r="C312" i="41"/>
  <c r="H312" i="41" s="1"/>
  <c r="C311" i="41"/>
  <c r="D311" i="41" s="1" a="1"/>
  <c r="D311" i="41" s="1"/>
  <c r="H310" i="41"/>
  <c r="C310" i="41"/>
  <c r="D310" i="41" s="1" a="1"/>
  <c r="D310" i="41" s="1"/>
  <c r="C309" i="41"/>
  <c r="H308" i="41"/>
  <c r="D308" i="41" a="1"/>
  <c r="D308" i="41" s="1"/>
  <c r="C308" i="41"/>
  <c r="H307" i="41"/>
  <c r="C307" i="41"/>
  <c r="D307" i="41" s="1" a="1"/>
  <c r="D307" i="41" s="1"/>
  <c r="C306" i="41"/>
  <c r="H306" i="41" s="1"/>
  <c r="H305" i="41"/>
  <c r="D305" i="41" a="1"/>
  <c r="D305" i="41" s="1"/>
  <c r="C305" i="41"/>
  <c r="D304" i="41" a="1"/>
  <c r="D304" i="41" s="1"/>
  <c r="C304" i="41"/>
  <c r="H304" i="41" s="1"/>
  <c r="H303" i="41"/>
  <c r="C303" i="41"/>
  <c r="D303" i="41" s="1" a="1"/>
  <c r="D303" i="41" s="1"/>
  <c r="C302" i="41"/>
  <c r="H301" i="41"/>
  <c r="D301" i="41" a="1"/>
  <c r="D301" i="41" s="1"/>
  <c r="C301" i="41"/>
  <c r="H300" i="41"/>
  <c r="C300" i="41"/>
  <c r="D300" i="41" s="1" a="1"/>
  <c r="D300" i="41" s="1"/>
  <c r="C299" i="41"/>
  <c r="H299" i="41" s="1"/>
  <c r="C298" i="41"/>
  <c r="D298" i="41" s="1" a="1"/>
  <c r="D298" i="41" s="1"/>
  <c r="H297" i="41"/>
  <c r="C297" i="41"/>
  <c r="D297" i="41" s="1" a="1"/>
  <c r="D297" i="41" s="1"/>
  <c r="C296" i="41"/>
  <c r="H296" i="41" s="1"/>
  <c r="C295" i="41"/>
  <c r="D295" i="41" s="1" a="1"/>
  <c r="D295" i="41" s="1"/>
  <c r="H294" i="41"/>
  <c r="C294" i="41"/>
  <c r="D294" i="41" s="1" a="1"/>
  <c r="D294" i="41" s="1"/>
  <c r="C293" i="41"/>
  <c r="H292" i="41"/>
  <c r="C292" i="41"/>
  <c r="D292" i="41" s="1" a="1"/>
  <c r="D292" i="41" s="1"/>
  <c r="H291" i="41"/>
  <c r="C291" i="41"/>
  <c r="D291" i="41" s="1" a="1"/>
  <c r="D291" i="41" s="1"/>
  <c r="C290" i="41"/>
  <c r="H290" i="41" s="1"/>
  <c r="C289" i="41"/>
  <c r="H289" i="41" s="1"/>
  <c r="C288" i="41"/>
  <c r="H287" i="41"/>
  <c r="C287" i="41"/>
  <c r="D287" i="41" s="1" a="1"/>
  <c r="D287" i="41" s="1"/>
  <c r="C286" i="41"/>
  <c r="H285" i="41"/>
  <c r="C285" i="41"/>
  <c r="D285" i="41" s="1" a="1"/>
  <c r="D285" i="41" s="1"/>
  <c r="H284" i="41"/>
  <c r="C284" i="41"/>
  <c r="D284" i="41" s="1" a="1"/>
  <c r="D284" i="41" s="1"/>
  <c r="C283" i="41"/>
  <c r="H283" i="41" s="1"/>
  <c r="C282" i="41"/>
  <c r="D282" i="41" s="1" a="1"/>
  <c r="D282" i="41" s="1"/>
  <c r="H281" i="41"/>
  <c r="C281" i="41"/>
  <c r="D281" i="41" s="1" a="1"/>
  <c r="D281" i="41" s="1"/>
  <c r="C280" i="41"/>
  <c r="H280" i="41" s="1"/>
  <c r="C279" i="41"/>
  <c r="D279" i="41" s="1" a="1"/>
  <c r="D279" i="41" s="1"/>
  <c r="H278" i="41"/>
  <c r="C278" i="41"/>
  <c r="D278" i="41" s="1" a="1"/>
  <c r="D278" i="41" s="1"/>
  <c r="C277" i="41"/>
  <c r="H276" i="41"/>
  <c r="C276" i="41"/>
  <c r="D276" i="41" s="1" a="1"/>
  <c r="D276" i="41" s="1"/>
  <c r="H275" i="41"/>
  <c r="C275" i="41"/>
  <c r="D275" i="41" s="1" a="1"/>
  <c r="D275" i="41" s="1"/>
  <c r="C274" i="41"/>
  <c r="H274" i="41" s="1"/>
  <c r="C273" i="41"/>
  <c r="D273" i="41" s="1" a="1"/>
  <c r="D273" i="41" s="1"/>
  <c r="C272" i="41"/>
  <c r="H272" i="41" s="1"/>
  <c r="H271" i="41"/>
  <c r="C271" i="41"/>
  <c r="D271" i="41" s="1" a="1"/>
  <c r="D271" i="41" s="1"/>
  <c r="C270" i="41"/>
  <c r="H269" i="41"/>
  <c r="C269" i="41"/>
  <c r="D269" i="41" s="1" a="1"/>
  <c r="D269" i="41" s="1"/>
  <c r="H268" i="41"/>
  <c r="C268" i="41"/>
  <c r="D268" i="41" s="1" a="1"/>
  <c r="D268" i="41" s="1"/>
  <c r="H267" i="41"/>
  <c r="C267" i="41"/>
  <c r="D267" i="41" s="1" a="1"/>
  <c r="D267" i="41" s="1"/>
  <c r="H266" i="41"/>
  <c r="C266" i="41"/>
  <c r="D266" i="41" s="1" a="1"/>
  <c r="D266" i="41" s="1"/>
  <c r="C265" i="41"/>
  <c r="H265" i="41" s="1"/>
  <c r="C264" i="41"/>
  <c r="H264" i="41" s="1"/>
  <c r="C263" i="41"/>
  <c r="D263" i="41" s="1" a="1"/>
  <c r="D263" i="41" s="1"/>
  <c r="C262" i="41"/>
  <c r="H261" i="41"/>
  <c r="D261" i="41" a="1"/>
  <c r="D261" i="41" s="1"/>
  <c r="C261" i="41"/>
  <c r="H260" i="41"/>
  <c r="C260" i="41"/>
  <c r="D260" i="41" s="1" a="1"/>
  <c r="D260" i="41" s="1"/>
  <c r="H259" i="41"/>
  <c r="C259" i="41"/>
  <c r="D259" i="41" s="1" a="1"/>
  <c r="D259" i="41" s="1"/>
  <c r="H258" i="41"/>
  <c r="C258" i="41"/>
  <c r="D258" i="41" s="1" a="1"/>
  <c r="D258" i="41" s="1"/>
  <c r="C257" i="41"/>
  <c r="H257" i="41" s="1"/>
  <c r="C256" i="41"/>
  <c r="H256" i="41" s="1"/>
  <c r="C255" i="41"/>
  <c r="D255" i="41" s="1" a="1"/>
  <c r="D255" i="41" s="1"/>
  <c r="C254" i="41"/>
  <c r="H253" i="41"/>
  <c r="C253" i="41"/>
  <c r="D253" i="41" s="1" a="1"/>
  <c r="D253" i="41" s="1"/>
  <c r="H252" i="41"/>
  <c r="C252" i="41"/>
  <c r="D252" i="41" s="1" a="1"/>
  <c r="D252" i="41" s="1"/>
  <c r="H251" i="41"/>
  <c r="C251" i="41"/>
  <c r="D251" i="41" s="1" a="1"/>
  <c r="D251" i="41" s="1"/>
  <c r="H250" i="41"/>
  <c r="C250" i="41"/>
  <c r="D250" i="41" s="1" a="1"/>
  <c r="D250" i="41" s="1"/>
  <c r="C249" i="41"/>
  <c r="H249" i="41" s="1"/>
  <c r="C248" i="41"/>
  <c r="H248" i="41" s="1"/>
  <c r="C247" i="41"/>
  <c r="D247" i="41" s="1" a="1"/>
  <c r="D247" i="41" s="1"/>
  <c r="C246" i="41"/>
  <c r="H245" i="41"/>
  <c r="C245" i="41"/>
  <c r="D245" i="41" s="1" a="1"/>
  <c r="D245" i="41" s="1"/>
  <c r="H244" i="41"/>
  <c r="C244" i="41"/>
  <c r="D244" i="41" s="1" a="1"/>
  <c r="D244" i="41" s="1"/>
  <c r="H243" i="41"/>
  <c r="C243" i="41"/>
  <c r="D243" i="41" s="1" a="1"/>
  <c r="D243" i="41" s="1"/>
  <c r="H242" i="41"/>
  <c r="C242" i="41"/>
  <c r="D242" i="41" s="1" a="1"/>
  <c r="D242" i="41" s="1"/>
  <c r="C241" i="41"/>
  <c r="H241" i="41" s="1"/>
  <c r="C240" i="41"/>
  <c r="H240" i="41" s="1"/>
  <c r="C239" i="41"/>
  <c r="D239" i="41" s="1" a="1"/>
  <c r="D239" i="41" s="1"/>
  <c r="C238" i="41"/>
  <c r="H237" i="41"/>
  <c r="C237" i="41"/>
  <c r="D237" i="41" s="1" a="1"/>
  <c r="D237" i="41" s="1"/>
  <c r="H236" i="41"/>
  <c r="C236" i="41"/>
  <c r="D236" i="41" s="1" a="1"/>
  <c r="D236" i="41" s="1"/>
  <c r="H235" i="41"/>
  <c r="D235" i="41" a="1"/>
  <c r="D235" i="41" s="1"/>
  <c r="C235" i="41"/>
  <c r="H234" i="41"/>
  <c r="C234" i="41"/>
  <c r="D234" i="41" s="1" a="1"/>
  <c r="D234" i="41" s="1"/>
  <c r="C233" i="41"/>
  <c r="H233" i="41" s="1"/>
  <c r="C232" i="41"/>
  <c r="H232" i="41" s="1"/>
  <c r="C231" i="41"/>
  <c r="D231" i="41" s="1" a="1"/>
  <c r="D231" i="41" s="1"/>
  <c r="C230" i="41"/>
  <c r="H229" i="41"/>
  <c r="C229" i="41"/>
  <c r="D229" i="41" s="1" a="1"/>
  <c r="D229" i="41" s="1"/>
  <c r="H228" i="41"/>
  <c r="C228" i="41"/>
  <c r="D228" i="41" s="1" a="1"/>
  <c r="D228" i="41" s="1"/>
  <c r="H227" i="41"/>
  <c r="C227" i="41"/>
  <c r="D227" i="41" s="1" a="1"/>
  <c r="D227" i="41" s="1"/>
  <c r="H226" i="41"/>
  <c r="C226" i="41"/>
  <c r="D226" i="41" s="1" a="1"/>
  <c r="D226" i="41" s="1"/>
  <c r="C225" i="41"/>
  <c r="H225" i="41" s="1"/>
  <c r="C224" i="41"/>
  <c r="H224" i="41" s="1"/>
  <c r="C223" i="41"/>
  <c r="D223" i="41" s="1" a="1"/>
  <c r="D223" i="41" s="1"/>
  <c r="C222" i="41"/>
  <c r="H221" i="41"/>
  <c r="C221" i="41"/>
  <c r="D221" i="41" s="1" a="1"/>
  <c r="D221" i="41" s="1"/>
  <c r="H220" i="41"/>
  <c r="C220" i="41"/>
  <c r="D220" i="41" s="1" a="1"/>
  <c r="D220" i="41" s="1"/>
  <c r="H219" i="41"/>
  <c r="C219" i="41"/>
  <c r="D219" i="41" s="1" a="1"/>
  <c r="D219" i="41" s="1"/>
  <c r="H218" i="41"/>
  <c r="C218" i="41"/>
  <c r="D218" i="41" s="1" a="1"/>
  <c r="D218" i="41" s="1"/>
  <c r="C217" i="41"/>
  <c r="H217" i="41" s="1"/>
  <c r="C216" i="41"/>
  <c r="H216" i="41" s="1"/>
  <c r="C215" i="41"/>
  <c r="D215" i="41" s="1" a="1"/>
  <c r="D215" i="41" s="1"/>
  <c r="C214" i="41"/>
  <c r="H213" i="41"/>
  <c r="C213" i="41"/>
  <c r="D213" i="41" s="1" a="1"/>
  <c r="D213" i="41" s="1"/>
  <c r="H212" i="41"/>
  <c r="C212" i="41"/>
  <c r="D212" i="41" s="1" a="1"/>
  <c r="D212" i="41" s="1"/>
  <c r="H211" i="41"/>
  <c r="C211" i="41"/>
  <c r="D211" i="41" s="1" a="1"/>
  <c r="D211" i="41" s="1"/>
  <c r="H210" i="41"/>
  <c r="C210" i="41"/>
  <c r="D210" i="41" s="1" a="1"/>
  <c r="D210" i="41" s="1"/>
  <c r="C209" i="41"/>
  <c r="H209" i="41" s="1"/>
  <c r="C208" i="41"/>
  <c r="H208" i="41" s="1"/>
  <c r="C207" i="41"/>
  <c r="D207" i="41" s="1" a="1"/>
  <c r="D207" i="41" s="1"/>
  <c r="C206" i="41"/>
  <c r="H205" i="41"/>
  <c r="D205" i="41" a="1"/>
  <c r="D205" i="41" s="1"/>
  <c r="C205" i="41"/>
  <c r="H204" i="41"/>
  <c r="C204" i="41"/>
  <c r="D204" i="41" s="1" a="1"/>
  <c r="D204" i="41" s="1"/>
  <c r="H203" i="41"/>
  <c r="C203" i="41"/>
  <c r="D203" i="41" s="1" a="1"/>
  <c r="D203" i="41" s="1"/>
  <c r="H202" i="41"/>
  <c r="C202" i="41"/>
  <c r="D202" i="41" s="1" a="1"/>
  <c r="D202" i="41" s="1"/>
  <c r="C201" i="41"/>
  <c r="H201" i="41" s="1"/>
  <c r="C200" i="41"/>
  <c r="H200" i="41" s="1"/>
  <c r="C199" i="41"/>
  <c r="D199" i="41" s="1" a="1"/>
  <c r="D199" i="41" s="1"/>
  <c r="C198" i="41"/>
  <c r="H197" i="41"/>
  <c r="D197" i="41" a="1"/>
  <c r="D197" i="41" s="1"/>
  <c r="C197" i="41"/>
  <c r="H196" i="41"/>
  <c r="C196" i="41"/>
  <c r="D196" i="41" s="1" a="1"/>
  <c r="D196" i="41" s="1"/>
  <c r="H195" i="41"/>
  <c r="C195" i="41"/>
  <c r="D195" i="41" s="1" a="1"/>
  <c r="D195" i="41" s="1"/>
  <c r="H194" i="41"/>
  <c r="C194" i="41"/>
  <c r="D194" i="41" s="1" a="1"/>
  <c r="D194" i="41" s="1"/>
  <c r="C193" i="41"/>
  <c r="H193" i="41" s="1"/>
  <c r="C192" i="41"/>
  <c r="H192" i="41" s="1"/>
  <c r="C191" i="41"/>
  <c r="D191" i="41" s="1" a="1"/>
  <c r="D191" i="41" s="1"/>
  <c r="C190" i="41"/>
  <c r="H189" i="41"/>
  <c r="C189" i="41"/>
  <c r="D189" i="41" s="1" a="1"/>
  <c r="D189" i="41" s="1"/>
  <c r="H188" i="41"/>
  <c r="C188" i="41"/>
  <c r="D188" i="41" s="1" a="1"/>
  <c r="D188" i="41" s="1"/>
  <c r="H187" i="41"/>
  <c r="C187" i="41"/>
  <c r="D187" i="41" s="1" a="1"/>
  <c r="D187" i="41" s="1"/>
  <c r="H186" i="41"/>
  <c r="D186" i="41" a="1"/>
  <c r="D186" i="41" s="1"/>
  <c r="C186" i="41"/>
  <c r="C185" i="41"/>
  <c r="H185" i="41" s="1"/>
  <c r="C184" i="41"/>
  <c r="H184" i="41" s="1"/>
  <c r="C183" i="41"/>
  <c r="D183" i="41" s="1" a="1"/>
  <c r="D183" i="41" s="1"/>
  <c r="C182" i="41"/>
  <c r="H181" i="41"/>
  <c r="C181" i="41"/>
  <c r="D181" i="41" s="1" a="1"/>
  <c r="D181" i="41" s="1"/>
  <c r="H180" i="41"/>
  <c r="C180" i="41"/>
  <c r="D180" i="41" s="1" a="1"/>
  <c r="D180" i="41" s="1"/>
  <c r="H179" i="41"/>
  <c r="D179" i="41" a="1"/>
  <c r="D179" i="41" s="1"/>
  <c r="C179" i="41"/>
  <c r="H178" i="41"/>
  <c r="C178" i="41"/>
  <c r="D178" i="41" s="1" a="1"/>
  <c r="D178" i="41" s="1"/>
  <c r="C177" i="41"/>
  <c r="D177" i="41" s="1" a="1"/>
  <c r="D177" i="41" s="1"/>
  <c r="F177" i="41" s="1"/>
  <c r="C176" i="41"/>
  <c r="C175" i="41"/>
  <c r="C174" i="41"/>
  <c r="D174" i="41" s="1" a="1"/>
  <c r="D174" i="41" s="1"/>
  <c r="F174" i="41" s="1"/>
  <c r="H174" i="41" s="1"/>
  <c r="C173" i="41"/>
  <c r="D173" i="41" s="1" a="1"/>
  <c r="D173" i="41" s="1"/>
  <c r="F173" i="41" s="1"/>
  <c r="C172" i="41"/>
  <c r="C171" i="41"/>
  <c r="C170" i="41"/>
  <c r="D170" i="41" s="1" a="1"/>
  <c r="D170" i="41" s="1"/>
  <c r="F170" i="41" s="1"/>
  <c r="H170" i="41" s="1"/>
  <c r="C169" i="41"/>
  <c r="D169" i="41" s="1" a="1"/>
  <c r="D169" i="41" s="1"/>
  <c r="F169" i="41" s="1"/>
  <c r="C168" i="41"/>
  <c r="C167" i="41"/>
  <c r="C166" i="41"/>
  <c r="D166" i="41" s="1" a="1"/>
  <c r="D166" i="41" s="1"/>
  <c r="F166" i="41" s="1"/>
  <c r="H166" i="41" s="1"/>
  <c r="C165" i="41"/>
  <c r="D165" i="41" s="1" a="1"/>
  <c r="D165" i="41" s="1"/>
  <c r="F165" i="41" s="1"/>
  <c r="C164" i="41"/>
  <c r="C163" i="41"/>
  <c r="C162" i="41"/>
  <c r="D162" i="41" s="1" a="1"/>
  <c r="D162" i="41" s="1"/>
  <c r="F162" i="41" s="1"/>
  <c r="H162" i="41" s="1"/>
  <c r="C161" i="41"/>
  <c r="D161" i="41" s="1" a="1"/>
  <c r="D161" i="41" s="1"/>
  <c r="F161" i="41" s="1"/>
  <c r="C160" i="41"/>
  <c r="C159" i="41"/>
  <c r="C158" i="41"/>
  <c r="D158" i="41" s="1" a="1"/>
  <c r="D158" i="41" s="1"/>
  <c r="F158" i="41" s="1"/>
  <c r="H158" i="41" s="1"/>
  <c r="C157" i="41"/>
  <c r="D157" i="41" s="1" a="1"/>
  <c r="D157" i="41" s="1"/>
  <c r="F157" i="41" s="1"/>
  <c r="C156" i="41"/>
  <c r="C155" i="41"/>
  <c r="C154" i="41"/>
  <c r="D154" i="41" s="1" a="1"/>
  <c r="D154" i="41" s="1"/>
  <c r="F154" i="41" s="1"/>
  <c r="C153" i="41"/>
  <c r="D153" i="41" s="1" a="1"/>
  <c r="D153" i="41" s="1"/>
  <c r="F153" i="41" s="1"/>
  <c r="C152" i="41"/>
  <c r="C151" i="41"/>
  <c r="C150" i="41"/>
  <c r="D150" i="41" s="1" a="1"/>
  <c r="D150" i="41" s="1"/>
  <c r="F150" i="41" s="1"/>
  <c r="H150" i="41" s="1"/>
  <c r="C149" i="41"/>
  <c r="D149" i="41" s="1" a="1"/>
  <c r="D149" i="41" s="1"/>
  <c r="F149" i="41" s="1"/>
  <c r="C148" i="41"/>
  <c r="C147" i="41"/>
  <c r="C146" i="41"/>
  <c r="D146" i="41" s="1" a="1"/>
  <c r="D146" i="41" s="1"/>
  <c r="F146" i="41" s="1"/>
  <c r="H146" i="41" s="1"/>
  <c r="C145" i="41"/>
  <c r="D145" i="41" s="1" a="1"/>
  <c r="D145" i="41" s="1"/>
  <c r="F145" i="41" s="1"/>
  <c r="C144" i="41"/>
  <c r="C143" i="41"/>
  <c r="C142" i="41"/>
  <c r="C141" i="41"/>
  <c r="D141" i="41" s="1" a="1"/>
  <c r="D141" i="41" s="1"/>
  <c r="F141" i="41" s="1"/>
  <c r="C140" i="41"/>
  <c r="C139" i="41"/>
  <c r="C138" i="41"/>
  <c r="D138" i="41" s="1" a="1"/>
  <c r="D138" i="41" s="1"/>
  <c r="F138" i="41" s="1"/>
  <c r="C137" i="41"/>
  <c r="D137" i="41" s="1" a="1"/>
  <c r="D137" i="41" s="1"/>
  <c r="F137" i="41" s="1"/>
  <c r="C136" i="41"/>
  <c r="C135" i="41"/>
  <c r="C134" i="41"/>
  <c r="D134" i="41" s="1" a="1"/>
  <c r="D134" i="41" s="1"/>
  <c r="F134" i="41" s="1"/>
  <c r="C133" i="41"/>
  <c r="D133" i="41" s="1" a="1"/>
  <c r="D133" i="41" s="1"/>
  <c r="F133" i="41" s="1"/>
  <c r="C132" i="41"/>
  <c r="C131" i="41"/>
  <c r="C130" i="41"/>
  <c r="C129" i="41"/>
  <c r="D129" i="41" s="1" a="1"/>
  <c r="D129" i="41" s="1"/>
  <c r="F129" i="41" s="1"/>
  <c r="C128" i="41"/>
  <c r="C127" i="41"/>
  <c r="C126" i="41"/>
  <c r="D126" i="41" s="1" a="1"/>
  <c r="D126" i="41" s="1"/>
  <c r="F126" i="41" s="1"/>
  <c r="H126" i="41" s="1"/>
  <c r="C125" i="41"/>
  <c r="D125" i="41" s="1" a="1"/>
  <c r="D125" i="41" s="1"/>
  <c r="F125" i="41" s="1"/>
  <c r="C124" i="41"/>
  <c r="C123" i="41"/>
  <c r="C122" i="41"/>
  <c r="D122" i="41" s="1" a="1"/>
  <c r="D122" i="41" s="1"/>
  <c r="F122" i="41" s="1"/>
  <c r="C121" i="41"/>
  <c r="D121" i="41" s="1" a="1"/>
  <c r="D121" i="41" s="1"/>
  <c r="F121" i="41" s="1"/>
  <c r="C120" i="41"/>
  <c r="C119" i="41"/>
  <c r="C118" i="41"/>
  <c r="D118" i="41" s="1" a="1"/>
  <c r="D118" i="41" s="1"/>
  <c r="F118" i="41" s="1"/>
  <c r="H118" i="41" s="1"/>
  <c r="C117" i="41"/>
  <c r="D117" i="41" s="1" a="1"/>
  <c r="D117" i="41" s="1"/>
  <c r="F117" i="41" s="1"/>
  <c r="C116" i="41"/>
  <c r="C115" i="41"/>
  <c r="C114" i="41"/>
  <c r="D114" i="41" s="1" a="1"/>
  <c r="D114" i="41" s="1"/>
  <c r="F114" i="41" s="1"/>
  <c r="C113" i="41"/>
  <c r="D113" i="41" s="1" a="1"/>
  <c r="D113" i="41" s="1"/>
  <c r="F113" i="41" s="1"/>
  <c r="C112" i="41"/>
  <c r="C111" i="41"/>
  <c r="C110" i="41"/>
  <c r="C109" i="41"/>
  <c r="D109" i="41" s="1" a="1"/>
  <c r="D109" i="41" s="1"/>
  <c r="F109" i="41" s="1"/>
  <c r="C108" i="41"/>
  <c r="C107" i="41"/>
  <c r="C106" i="41"/>
  <c r="D106" i="41" s="1" a="1"/>
  <c r="D106" i="41" s="1"/>
  <c r="F106" i="41" s="1"/>
  <c r="C105" i="41"/>
  <c r="D105" i="41" s="1" a="1"/>
  <c r="D105" i="41" s="1"/>
  <c r="F105" i="41" s="1"/>
  <c r="C104" i="41"/>
  <c r="C103" i="41"/>
  <c r="C102" i="41"/>
  <c r="D102" i="41" s="1" a="1"/>
  <c r="D102" i="41" s="1"/>
  <c r="F102" i="41" s="1"/>
  <c r="C101" i="41"/>
  <c r="D101" i="41" s="1" a="1"/>
  <c r="D101" i="41" s="1"/>
  <c r="F101" i="41" s="1"/>
  <c r="C100" i="41"/>
  <c r="C99" i="41"/>
  <c r="C98" i="41"/>
  <c r="D98" i="41" s="1" a="1"/>
  <c r="D98" i="41" s="1"/>
  <c r="F98" i="41" s="1"/>
  <c r="H98" i="41" s="1"/>
  <c r="C97" i="41"/>
  <c r="D97" i="41" s="1" a="1"/>
  <c r="D97" i="41" s="1"/>
  <c r="F97" i="41" s="1"/>
  <c r="C96" i="41"/>
  <c r="C95" i="41"/>
  <c r="C94" i="41"/>
  <c r="C93" i="41"/>
  <c r="D93" i="41" s="1" a="1"/>
  <c r="D93" i="41" s="1"/>
  <c r="F93" i="41" s="1"/>
  <c r="C92" i="41"/>
  <c r="C91" i="41"/>
  <c r="D90" i="41" a="1"/>
  <c r="D90" i="41" s="1"/>
  <c r="F90" i="41" s="1"/>
  <c r="C90" i="41"/>
  <c r="D89" i="41"/>
  <c r="F89" i="41" s="1"/>
  <c r="C89" i="41"/>
  <c r="D89" i="41" s="1" a="1"/>
  <c r="C88" i="41"/>
  <c r="C87" i="41"/>
  <c r="C86" i="41"/>
  <c r="D86" i="41" s="1" a="1"/>
  <c r="D86" i="41" s="1"/>
  <c r="F86" i="41" s="1"/>
  <c r="D85" i="41"/>
  <c r="F85" i="41" s="1"/>
  <c r="C85" i="41"/>
  <c r="D85" i="41" s="1" a="1"/>
  <c r="C84" i="41"/>
  <c r="C83" i="41"/>
  <c r="D82" i="41" a="1"/>
  <c r="D82" i="41" s="1"/>
  <c r="F82" i="41" s="1"/>
  <c r="C82" i="41"/>
  <c r="C81" i="41"/>
  <c r="D81" i="41" s="1" a="1"/>
  <c r="D81" i="41" s="1"/>
  <c r="F81" i="41" s="1"/>
  <c r="C80" i="41"/>
  <c r="C79" i="41"/>
  <c r="D78" i="41" a="1"/>
  <c r="D78" i="41" s="1"/>
  <c r="F78" i="41" s="1"/>
  <c r="C78" i="41"/>
  <c r="C77" i="41"/>
  <c r="D77" i="41" s="1" a="1"/>
  <c r="D77" i="41" s="1"/>
  <c r="F77" i="41" s="1"/>
  <c r="C76" i="41"/>
  <c r="C75" i="41"/>
  <c r="C74" i="41"/>
  <c r="C73" i="41"/>
  <c r="D73" i="41" s="1" a="1"/>
  <c r="D73" i="41" s="1"/>
  <c r="F73" i="41" s="1"/>
  <c r="C72" i="41"/>
  <c r="C71" i="41"/>
  <c r="C70" i="41"/>
  <c r="C69" i="41"/>
  <c r="D69" i="41" s="1" a="1"/>
  <c r="D69" i="41" s="1"/>
  <c r="F69" i="41" s="1"/>
  <c r="C68" i="41"/>
  <c r="C67" i="41"/>
  <c r="C66" i="41"/>
  <c r="D66" i="41" s="1" a="1"/>
  <c r="D66" i="41" s="1"/>
  <c r="F66" i="41" s="1"/>
  <c r="C65" i="41"/>
  <c r="D65" i="41" s="1" a="1"/>
  <c r="D65" i="41" s="1"/>
  <c r="F65" i="41" s="1"/>
  <c r="C64" i="41"/>
  <c r="C63" i="41"/>
  <c r="C62" i="41"/>
  <c r="D62" i="41" s="1" a="1"/>
  <c r="D62" i="41" s="1"/>
  <c r="F62" i="41" s="1"/>
  <c r="H62" i="41" s="1"/>
  <c r="C61" i="41"/>
  <c r="D61" i="41" s="1" a="1"/>
  <c r="D61" i="41" s="1"/>
  <c r="F61" i="41" s="1"/>
  <c r="C60" i="41"/>
  <c r="C59" i="41"/>
  <c r="C58" i="41"/>
  <c r="C57" i="41"/>
  <c r="D57" i="41" s="1" a="1"/>
  <c r="D57" i="41" s="1"/>
  <c r="F57" i="41" s="1"/>
  <c r="C56" i="41"/>
  <c r="C55" i="41"/>
  <c r="C54" i="41"/>
  <c r="C53" i="41"/>
  <c r="D53" i="41" s="1" a="1"/>
  <c r="D53" i="41" s="1"/>
  <c r="F53" i="41" s="1"/>
  <c r="C52" i="41"/>
  <c r="C51" i="41"/>
  <c r="C50" i="41"/>
  <c r="D50" i="41" s="1" a="1"/>
  <c r="D50" i="41" s="1"/>
  <c r="F50" i="41" s="1"/>
  <c r="C49" i="41"/>
  <c r="D49" i="41" s="1" a="1"/>
  <c r="D49" i="41" s="1"/>
  <c r="F49" i="41" s="1"/>
  <c r="C48" i="41"/>
  <c r="C47" i="41"/>
  <c r="C46" i="41"/>
  <c r="C45" i="41"/>
  <c r="D45" i="41" s="1" a="1"/>
  <c r="D45" i="41" s="1"/>
  <c r="F45" i="41" s="1"/>
  <c r="C44" i="41"/>
  <c r="C43" i="41"/>
  <c r="C42" i="41"/>
  <c r="D42" i="41" s="1" a="1"/>
  <c r="D42" i="41" s="1"/>
  <c r="F42" i="41" s="1"/>
  <c r="C41" i="41"/>
  <c r="D41" i="41" s="1" a="1"/>
  <c r="D41" i="41" s="1"/>
  <c r="F41" i="41" s="1"/>
  <c r="C40" i="41"/>
  <c r="C39" i="41"/>
  <c r="C38" i="41"/>
  <c r="D38" i="41" s="1" a="1"/>
  <c r="D38" i="41" s="1"/>
  <c r="F38" i="41" s="1"/>
  <c r="C37" i="41"/>
  <c r="D37" i="41" s="1" a="1"/>
  <c r="D37" i="41" s="1"/>
  <c r="F37" i="41" s="1"/>
  <c r="C36" i="41"/>
  <c r="C35" i="41"/>
  <c r="C34" i="41"/>
  <c r="C33" i="41"/>
  <c r="D33" i="41" s="1" a="1"/>
  <c r="D33" i="41" s="1"/>
  <c r="F33" i="41" s="1"/>
  <c r="C32" i="41"/>
  <c r="C31" i="41"/>
  <c r="C30" i="41"/>
  <c r="D30" i="41" s="1" a="1"/>
  <c r="D30" i="41" s="1"/>
  <c r="F30" i="41" s="1"/>
  <c r="H30" i="41" s="1"/>
  <c r="C29" i="41"/>
  <c r="D29" i="41" s="1" a="1"/>
  <c r="D29" i="41" s="1"/>
  <c r="F29" i="41" s="1"/>
  <c r="C28" i="41"/>
  <c r="C27" i="41"/>
  <c r="D26" i="41" a="1"/>
  <c r="D26" i="41" s="1"/>
  <c r="F26" i="41" s="1"/>
  <c r="C26" i="41"/>
  <c r="D25" i="41"/>
  <c r="F25" i="41" s="1"/>
  <c r="C25" i="41"/>
  <c r="D25" i="41" s="1" a="1"/>
  <c r="C24" i="41"/>
  <c r="C23" i="41"/>
  <c r="C22" i="41"/>
  <c r="D22" i="41" s="1" a="1"/>
  <c r="D22" i="41" s="1"/>
  <c r="F22" i="41" s="1"/>
  <c r="D21" i="41"/>
  <c r="F21" i="41" s="1"/>
  <c r="C21" i="41"/>
  <c r="D21" i="41" s="1" a="1"/>
  <c r="C20" i="41"/>
  <c r="C19" i="41"/>
  <c r="D18" i="41" a="1"/>
  <c r="D18" i="41" s="1"/>
  <c r="F18" i="41" s="1"/>
  <c r="C18" i="41"/>
  <c r="C17" i="41"/>
  <c r="D17" i="41" s="1" a="1"/>
  <c r="D17" i="41" s="1"/>
  <c r="F17" i="41" s="1"/>
  <c r="C16" i="41"/>
  <c r="C15" i="41"/>
  <c r="D14" i="41" a="1"/>
  <c r="D14" i="41" s="1"/>
  <c r="F14" i="41" s="1"/>
  <c r="C14" i="41"/>
  <c r="C13" i="41"/>
  <c r="D13" i="41" s="1" a="1"/>
  <c r="D13" i="41" s="1"/>
  <c r="F13" i="41" s="1"/>
  <c r="C12" i="41"/>
  <c r="C11" i="41"/>
  <c r="C10" i="41"/>
  <c r="D10" i="41" s="1" a="1"/>
  <c r="D10" i="41" s="1"/>
  <c r="F10" i="41" s="1"/>
  <c r="C9" i="41"/>
  <c r="D9" i="41" s="1" a="1"/>
  <c r="D9" i="41" s="1"/>
  <c r="F9" i="41" s="1"/>
  <c r="C8" i="41"/>
  <c r="C7" i="41"/>
  <c r="C6" i="41"/>
  <c r="C5" i="41"/>
  <c r="D5" i="41" s="1" a="1"/>
  <c r="D5" i="41" s="1"/>
  <c r="F5" i="41" s="1"/>
  <c r="C4" i="41"/>
  <c r="C3" i="41"/>
  <c r="C2" i="41"/>
  <c r="CR11" i="14" s="1" a="1"/>
  <c r="CR11" i="14" s="1"/>
  <c r="D10" i="7" l="1" a="1"/>
  <c r="D10" i="7" s="1"/>
  <c r="AK10" i="7" a="1"/>
  <c r="AK10" i="7" s="1"/>
  <c r="CM10" i="7" a="1"/>
  <c r="CM10" i="7" s="1"/>
  <c r="AC10" i="7" a="1"/>
  <c r="AC10" i="7" s="1"/>
  <c r="CE10" i="7" a="1"/>
  <c r="CE10" i="7" s="1"/>
  <c r="U10" i="7" a="1"/>
  <c r="U10" i="7" s="1"/>
  <c r="BF7" i="11" a="1"/>
  <c r="BF7" i="11" s="1"/>
  <c r="H542" i="41"/>
  <c r="D542" i="41" a="1"/>
  <c r="D542" i="41" s="1"/>
  <c r="H2068" i="41"/>
  <c r="D2068" i="41" a="1"/>
  <c r="D2068" i="41" s="1"/>
  <c r="D185" i="41" a="1"/>
  <c r="D185" i="41" s="1"/>
  <c r="H336" i="41"/>
  <c r="D336" i="41" a="1"/>
  <c r="D336" i="41" s="1"/>
  <c r="H996" i="41"/>
  <c r="D996" i="41" a="1"/>
  <c r="D996" i="41" s="1"/>
  <c r="AR7" i="11" a="1"/>
  <c r="AR7" i="11" s="1"/>
  <c r="D225" i="41" a="1"/>
  <c r="D225" i="41" s="1"/>
  <c r="D249" i="41" a="1"/>
  <c r="D249" i="41" s="1"/>
  <c r="D289" i="41" a="1"/>
  <c r="D289" i="41" s="1"/>
  <c r="H1071" i="41"/>
  <c r="D1071" i="41" a="1"/>
  <c r="D1071" i="41" s="1"/>
  <c r="H2059" i="41"/>
  <c r="D2059" i="41" a="1"/>
  <c r="D2059" i="41" s="1"/>
  <c r="H13" i="11" a="1"/>
  <c r="H13" i="11" s="1"/>
  <c r="B7" i="11" a="1"/>
  <c r="B7" i="11" s="1"/>
  <c r="AJ7" i="11" a="1"/>
  <c r="AJ7" i="11" s="1"/>
  <c r="BW10" i="7" a="1"/>
  <c r="BW10" i="7" s="1"/>
  <c r="M10" i="7" a="1"/>
  <c r="M10" i="7" s="1"/>
  <c r="AB7" i="11" a="1"/>
  <c r="AB7" i="11" s="1"/>
  <c r="BO10" i="7" a="1"/>
  <c r="BO10" i="7" s="1"/>
  <c r="C11" i="14" a="1"/>
  <c r="C11" i="14" s="1"/>
  <c r="I11" i="14" a="1"/>
  <c r="I11" i="14" s="1"/>
  <c r="O11" i="14" a="1"/>
  <c r="O11" i="14" s="1"/>
  <c r="U11" i="14" a="1"/>
  <c r="U11" i="14" s="1"/>
  <c r="Z11" i="14" a="1"/>
  <c r="Z11" i="14" s="1"/>
  <c r="AF11" i="14" a="1"/>
  <c r="AF11" i="14" s="1"/>
  <c r="AK11" i="14" a="1"/>
  <c r="AK11" i="14" s="1"/>
  <c r="AQ11" i="14" a="1"/>
  <c r="AQ11" i="14" s="1"/>
  <c r="BB11" i="14" a="1"/>
  <c r="BB11" i="14" s="1"/>
  <c r="BH11" i="14" a="1"/>
  <c r="BH11" i="14" s="1"/>
  <c r="BN11" i="14" a="1"/>
  <c r="BN11" i="14" s="1"/>
  <c r="BS11" i="14" a="1"/>
  <c r="BS11" i="14" s="1"/>
  <c r="CF11" i="14" a="1"/>
  <c r="CF11" i="14" s="1"/>
  <c r="CK11" i="14" a="1"/>
  <c r="CK11" i="14" s="1"/>
  <c r="K10" i="7" a="1"/>
  <c r="K10" i="7" s="1"/>
  <c r="S10" i="7" a="1"/>
  <c r="S10" i="7" s="1"/>
  <c r="AA10" i="7" a="1"/>
  <c r="AA10" i="7" s="1"/>
  <c r="AI10" i="7" a="1"/>
  <c r="AI10" i="7" s="1"/>
  <c r="AQ10" i="7" a="1"/>
  <c r="AQ10" i="7" s="1"/>
  <c r="AY10" i="7" a="1"/>
  <c r="AY10" i="7" s="1"/>
  <c r="BF10" i="7" a="1"/>
  <c r="BF10" i="7" s="1"/>
  <c r="BM10" i="7" a="1"/>
  <c r="BM10" i="7" s="1"/>
  <c r="BU10" i="7" a="1"/>
  <c r="BU10" i="7" s="1"/>
  <c r="CC10" i="7" a="1"/>
  <c r="CC10" i="7" s="1"/>
  <c r="CK10" i="7" a="1"/>
  <c r="CK10" i="7" s="1"/>
  <c r="CS10" i="7" a="1"/>
  <c r="CS10" i="7" s="1"/>
  <c r="E7" i="11" a="1"/>
  <c r="E7" i="11" s="1"/>
  <c r="M7" i="11" a="1"/>
  <c r="M7" i="11" s="1"/>
  <c r="T7" i="11" a="1"/>
  <c r="T7" i="11" s="1"/>
  <c r="Z7" i="11" a="1"/>
  <c r="Z7" i="11" s="1"/>
  <c r="AH7" i="11" a="1"/>
  <c r="AH7" i="11" s="1"/>
  <c r="AP7" i="11" a="1"/>
  <c r="AP7" i="11" s="1"/>
  <c r="AW7" i="11" a="1"/>
  <c r="AW7" i="11" s="1"/>
  <c r="BD7" i="11" a="1"/>
  <c r="BD7" i="11" s="1"/>
  <c r="BL7" i="11" a="1"/>
  <c r="BL7" i="11" s="1"/>
  <c r="BT7" i="11" a="1"/>
  <c r="BT7" i="11" s="1"/>
  <c r="CB7" i="11" a="1"/>
  <c r="CB7" i="11" s="1"/>
  <c r="CJ7" i="11" a="1"/>
  <c r="CJ7" i="11" s="1"/>
  <c r="CR7" i="11" a="1"/>
  <c r="CR7" i="11" s="1"/>
  <c r="D11" i="14" a="1"/>
  <c r="D11" i="14" s="1"/>
  <c r="J11" i="14" a="1"/>
  <c r="J11" i="14" s="1"/>
  <c r="P11" i="14" a="1"/>
  <c r="P11" i="14" s="1"/>
  <c r="AA11" i="14" a="1"/>
  <c r="AA11" i="14" s="1"/>
  <c r="AG11" i="14" a="1"/>
  <c r="AG11" i="14" s="1"/>
  <c r="AL11" i="14" a="1"/>
  <c r="AL11" i="14" s="1"/>
  <c r="AR11" i="14" a="1"/>
  <c r="AR11" i="14" s="1"/>
  <c r="AW11" i="14" a="1"/>
  <c r="AW11" i="14" s="1"/>
  <c r="BI11" i="14" a="1"/>
  <c r="BI11" i="14" s="1"/>
  <c r="BT11" i="14" a="1"/>
  <c r="BT11" i="14" s="1"/>
  <c r="BZ11" i="14" a="1"/>
  <c r="BZ11" i="14" s="1"/>
  <c r="CQ11" i="14" a="1"/>
  <c r="CQ11" i="14" s="1"/>
  <c r="L10" i="7" a="1"/>
  <c r="L10" i="7" s="1"/>
  <c r="T10" i="7" a="1"/>
  <c r="T10" i="7" s="1"/>
  <c r="AB10" i="7" a="1"/>
  <c r="AB10" i="7" s="1"/>
  <c r="AJ10" i="7" a="1"/>
  <c r="AJ10" i="7" s="1"/>
  <c r="AR10" i="7" a="1"/>
  <c r="AR10" i="7" s="1"/>
  <c r="AZ10" i="7" a="1"/>
  <c r="AZ10" i="7" s="1"/>
  <c r="BN10" i="7" a="1"/>
  <c r="BN10" i="7" s="1"/>
  <c r="BV10" i="7" a="1"/>
  <c r="BV10" i="7" s="1"/>
  <c r="CD10" i="7" a="1"/>
  <c r="CD10" i="7" s="1"/>
  <c r="CL10" i="7" a="1"/>
  <c r="CL10" i="7" s="1"/>
  <c r="C10" i="7" a="1"/>
  <c r="C10" i="7" s="1"/>
  <c r="F7" i="11" a="1"/>
  <c r="F7" i="11" s="1"/>
  <c r="U7" i="11" a="1"/>
  <c r="U7" i="11" s="1"/>
  <c r="AA7" i="11" a="1"/>
  <c r="AA7" i="11" s="1"/>
  <c r="AI7" i="11" a="1"/>
  <c r="AI7" i="11" s="1"/>
  <c r="AQ7" i="11" a="1"/>
  <c r="AQ7" i="11" s="1"/>
  <c r="AX7" i="11" a="1"/>
  <c r="AX7" i="11" s="1"/>
  <c r="BE7" i="11" a="1"/>
  <c r="BE7" i="11" s="1"/>
  <c r="BM7" i="11" a="1"/>
  <c r="BM7" i="11" s="1"/>
  <c r="BU7" i="11" a="1"/>
  <c r="BU7" i="11" s="1"/>
  <c r="CC7" i="11" a="1"/>
  <c r="CC7" i="11" s="1"/>
  <c r="CK7" i="11" a="1"/>
  <c r="CK7" i="11" s="1"/>
  <c r="CS7" i="11" a="1"/>
  <c r="CS7" i="11" s="1"/>
  <c r="K11" i="14" a="1"/>
  <c r="K11" i="14" s="1"/>
  <c r="V11" i="14" a="1"/>
  <c r="V11" i="14" s="1"/>
  <c r="AB11" i="14" a="1"/>
  <c r="AB11" i="14" s="1"/>
  <c r="AX11" i="14" a="1"/>
  <c r="AX11" i="14" s="1"/>
  <c r="BC11" i="14" a="1"/>
  <c r="BC11" i="14" s="1"/>
  <c r="BO11" i="14" a="1"/>
  <c r="BO11" i="14" s="1"/>
  <c r="BU11" i="14" a="1"/>
  <c r="BU11" i="14" s="1"/>
  <c r="E11" i="14" a="1"/>
  <c r="E11" i="14" s="1"/>
  <c r="L11" i="14" a="1"/>
  <c r="L11" i="14" s="1"/>
  <c r="Q11" i="14" a="1"/>
  <c r="Q11" i="14" s="1"/>
  <c r="AC11" i="14" a="1"/>
  <c r="AC11" i="14" s="1"/>
  <c r="AH11" i="14" a="1"/>
  <c r="AH11" i="14" s="1"/>
  <c r="AM11" i="14" a="1"/>
  <c r="AM11" i="14" s="1"/>
  <c r="AS11" i="14" a="1"/>
  <c r="AS11" i="14" s="1"/>
  <c r="AY11" i="14" a="1"/>
  <c r="AY11" i="14" s="1"/>
  <c r="BD11" i="14" a="1"/>
  <c r="BD11" i="14" s="1"/>
  <c r="BJ11" i="14" a="1"/>
  <c r="BJ11" i="14" s="1"/>
  <c r="BP11" i="14" a="1"/>
  <c r="BP11" i="14" s="1"/>
  <c r="BV11" i="14" a="1"/>
  <c r="BV11" i="14" s="1"/>
  <c r="CB11" i="14" a="1"/>
  <c r="CB11" i="14" s="1"/>
  <c r="CM11" i="14" a="1"/>
  <c r="CM11" i="14" s="1"/>
  <c r="CS11" i="14" a="1"/>
  <c r="CS11" i="14" s="1"/>
  <c r="N10" i="7" a="1"/>
  <c r="N10" i="7" s="1"/>
  <c r="V10" i="7" a="1"/>
  <c r="V10" i="7" s="1"/>
  <c r="AD10" i="7" a="1"/>
  <c r="AD10" i="7" s="1"/>
  <c r="AL10" i="7" a="1"/>
  <c r="AL10" i="7" s="1"/>
  <c r="AT10" i="7" a="1"/>
  <c r="AT10" i="7" s="1"/>
  <c r="BB10" i="7" a="1"/>
  <c r="BB10" i="7" s="1"/>
  <c r="BH10" i="7" a="1"/>
  <c r="BH10" i="7" s="1"/>
  <c r="BP10" i="7" a="1"/>
  <c r="BP10" i="7" s="1"/>
  <c r="BX10" i="7" a="1"/>
  <c r="BX10" i="7" s="1"/>
  <c r="CF10" i="7" a="1"/>
  <c r="CF10" i="7" s="1"/>
  <c r="CN10" i="7" a="1"/>
  <c r="CN10" i="7" s="1"/>
  <c r="E10" i="7" a="1"/>
  <c r="E10" i="7" s="1"/>
  <c r="H7" i="11" a="1"/>
  <c r="H7" i="11" s="1"/>
  <c r="O7" i="11" a="1"/>
  <c r="O7" i="11" s="1"/>
  <c r="V7" i="11" a="1"/>
  <c r="V7" i="11" s="1"/>
  <c r="AC7" i="11" a="1"/>
  <c r="AC7" i="11" s="1"/>
  <c r="AK7" i="11" a="1"/>
  <c r="AK7" i="11" s="1"/>
  <c r="AS7" i="11" a="1"/>
  <c r="AS7" i="11" s="1"/>
  <c r="AZ7" i="11" a="1"/>
  <c r="AZ7" i="11" s="1"/>
  <c r="BG7" i="11" a="1"/>
  <c r="BG7" i="11" s="1"/>
  <c r="BO7" i="11" a="1"/>
  <c r="BO7" i="11" s="1"/>
  <c r="BW7" i="11" a="1"/>
  <c r="BW7" i="11" s="1"/>
  <c r="CE7" i="11" a="1"/>
  <c r="CE7" i="11" s="1"/>
  <c r="CM7" i="11" a="1"/>
  <c r="CM7" i="11" s="1"/>
  <c r="F11" i="14" a="1"/>
  <c r="F11" i="14" s="1"/>
  <c r="R11" i="14" a="1"/>
  <c r="R11" i="14" s="1"/>
  <c r="W11" i="14" a="1"/>
  <c r="W11" i="14" s="1"/>
  <c r="AN11" i="14" a="1"/>
  <c r="AN11" i="14" s="1"/>
  <c r="AZ11" i="14" a="1"/>
  <c r="AZ11" i="14" s="1"/>
  <c r="BE11" i="14" a="1"/>
  <c r="BE11" i="14" s="1"/>
  <c r="BW11" i="14" a="1"/>
  <c r="BW11" i="14" s="1"/>
  <c r="CH11" i="14" a="1"/>
  <c r="CH11" i="14" s="1"/>
  <c r="CN11" i="14" a="1"/>
  <c r="CN11" i="14" s="1"/>
  <c r="G10" i="7" a="1"/>
  <c r="G10" i="7" s="1"/>
  <c r="O10" i="7" a="1"/>
  <c r="O10" i="7" s="1"/>
  <c r="W10" i="7" a="1"/>
  <c r="W10" i="7" s="1"/>
  <c r="AE10" i="7" a="1"/>
  <c r="AE10" i="7" s="1"/>
  <c r="AM10" i="7" a="1"/>
  <c r="AM10" i="7" s="1"/>
  <c r="AU10" i="7" a="1"/>
  <c r="AU10" i="7" s="1"/>
  <c r="BI10" i="7" a="1"/>
  <c r="BI10" i="7" s="1"/>
  <c r="BQ10" i="7" a="1"/>
  <c r="BQ10" i="7" s="1"/>
  <c r="BY10" i="7" a="1"/>
  <c r="BY10" i="7" s="1"/>
  <c r="CG10" i="7" a="1"/>
  <c r="CG10" i="7" s="1"/>
  <c r="CO10" i="7" a="1"/>
  <c r="CO10" i="7" s="1"/>
  <c r="F10" i="7" a="1"/>
  <c r="F10" i="7" s="1"/>
  <c r="I7" i="11" a="1"/>
  <c r="I7" i="11" s="1"/>
  <c r="P7" i="11" a="1"/>
  <c r="P7" i="11" s="1"/>
  <c r="W7" i="11" a="1"/>
  <c r="W7" i="11" s="1"/>
  <c r="AD7" i="11" a="1"/>
  <c r="AD7" i="11" s="1"/>
  <c r="AL7" i="11" a="1"/>
  <c r="AL7" i="11" s="1"/>
  <c r="BA7" i="11" a="1"/>
  <c r="BA7" i="11" s="1"/>
  <c r="BH7" i="11" a="1"/>
  <c r="BH7" i="11" s="1"/>
  <c r="BP7" i="11" a="1"/>
  <c r="BP7" i="11" s="1"/>
  <c r="BX7" i="11" a="1"/>
  <c r="BX7" i="11" s="1"/>
  <c r="CF7" i="11" a="1"/>
  <c r="CF7" i="11" s="1"/>
  <c r="CN7" i="11" a="1"/>
  <c r="CN7" i="11" s="1"/>
  <c r="M11" i="14" a="1"/>
  <c r="M11" i="14" s="1"/>
  <c r="S11" i="14" a="1"/>
  <c r="S11" i="14" s="1"/>
  <c r="X11" i="14" a="1"/>
  <c r="X11" i="14" s="1"/>
  <c r="AD11" i="14" a="1"/>
  <c r="AD11" i="14" s="1"/>
  <c r="AI11" i="14" a="1"/>
  <c r="AI11" i="14" s="1"/>
  <c r="AO11" i="14" a="1"/>
  <c r="AO11" i="14" s="1"/>
  <c r="AT11" i="14" a="1"/>
  <c r="AT11" i="14" s="1"/>
  <c r="BK11" i="14" a="1"/>
  <c r="BK11" i="14" s="1"/>
  <c r="BQ11" i="14" a="1"/>
  <c r="BQ11" i="14" s="1"/>
  <c r="BX11" i="14" a="1"/>
  <c r="BX11" i="14" s="1"/>
  <c r="CC11" i="14" a="1"/>
  <c r="CC11" i="14" s="1"/>
  <c r="CO11" i="14" a="1"/>
  <c r="CO11" i="14" s="1"/>
  <c r="H10" i="7" a="1"/>
  <c r="H10" i="7" s="1"/>
  <c r="P10" i="7" a="1"/>
  <c r="P10" i="7" s="1"/>
  <c r="X10" i="7" a="1"/>
  <c r="X10" i="7" s="1"/>
  <c r="AF10" i="7" a="1"/>
  <c r="AF10" i="7" s="1"/>
  <c r="AN10" i="7" a="1"/>
  <c r="AN10" i="7" s="1"/>
  <c r="AV10" i="7" a="1"/>
  <c r="AV10" i="7" s="1"/>
  <c r="BC10" i="7" a="1"/>
  <c r="BC10" i="7" s="1"/>
  <c r="BJ10" i="7" a="1"/>
  <c r="BJ10" i="7" s="1"/>
  <c r="BR10" i="7" a="1"/>
  <c r="BR10" i="7" s="1"/>
  <c r="BZ10" i="7" a="1"/>
  <c r="BZ10" i="7" s="1"/>
  <c r="CH10" i="7" a="1"/>
  <c r="CH10" i="7" s="1"/>
  <c r="CP10" i="7" a="1"/>
  <c r="CP10" i="7" s="1"/>
  <c r="B10" i="7" a="1"/>
  <c r="B10" i="7" s="1"/>
  <c r="J7" i="11" a="1"/>
  <c r="J7" i="11" s="1"/>
  <c r="Q7" i="11" a="1"/>
  <c r="Q7" i="11" s="1"/>
  <c r="X7" i="11" a="1"/>
  <c r="X7" i="11" s="1"/>
  <c r="AE7" i="11" a="1"/>
  <c r="AE7" i="11" s="1"/>
  <c r="AM7" i="11" a="1"/>
  <c r="AM7" i="11" s="1"/>
  <c r="AT7" i="11" a="1"/>
  <c r="AT7" i="11" s="1"/>
  <c r="BI7" i="11" a="1"/>
  <c r="BI7" i="11" s="1"/>
  <c r="BQ7" i="11" a="1"/>
  <c r="BQ7" i="11" s="1"/>
  <c r="BY7" i="11" a="1"/>
  <c r="BY7" i="11" s="1"/>
  <c r="CG7" i="11" a="1"/>
  <c r="CG7" i="11" s="1"/>
  <c r="CO7" i="11" a="1"/>
  <c r="CO7" i="11" s="1"/>
  <c r="G11" i="14" a="1"/>
  <c r="G11" i="14" s="1"/>
  <c r="T11" i="14" a="1"/>
  <c r="T11" i="14" s="1"/>
  <c r="Y11" i="14" a="1"/>
  <c r="Y11" i="14" s="1"/>
  <c r="AJ11" i="14" a="1"/>
  <c r="AJ11" i="14" s="1"/>
  <c r="AP11" i="14" a="1"/>
  <c r="AP11" i="14" s="1"/>
  <c r="AU11" i="14" a="1"/>
  <c r="AU11" i="14" s="1"/>
  <c r="BA11" i="14" a="1"/>
  <c r="BA11" i="14" s="1"/>
  <c r="BF11" i="14" a="1"/>
  <c r="BF11" i="14" s="1"/>
  <c r="BL11" i="14" a="1"/>
  <c r="BL11" i="14" s="1"/>
  <c r="BR11" i="14" a="1"/>
  <c r="BR11" i="14" s="1"/>
  <c r="CD11" i="14" a="1"/>
  <c r="CD11" i="14" s="1"/>
  <c r="CI11" i="14" a="1"/>
  <c r="CI11" i="14" s="1"/>
  <c r="I10" i="7" a="1"/>
  <c r="I10" i="7" s="1"/>
  <c r="Q10" i="7" a="1"/>
  <c r="Q10" i="7" s="1"/>
  <c r="Y10" i="7" a="1"/>
  <c r="Y10" i="7" s="1"/>
  <c r="AG10" i="7" a="1"/>
  <c r="AG10" i="7" s="1"/>
  <c r="AO10" i="7" a="1"/>
  <c r="AO10" i="7" s="1"/>
  <c r="AW10" i="7" a="1"/>
  <c r="AW10" i="7" s="1"/>
  <c r="BD10" i="7" a="1"/>
  <c r="BD10" i="7" s="1"/>
  <c r="BK10" i="7" a="1"/>
  <c r="BK10" i="7" s="1"/>
  <c r="BS10" i="7" a="1"/>
  <c r="BS10" i="7" s="1"/>
  <c r="CA10" i="7" a="1"/>
  <c r="CA10" i="7" s="1"/>
  <c r="CI10" i="7" a="1"/>
  <c r="CI10" i="7" s="1"/>
  <c r="CQ10" i="7" a="1"/>
  <c r="CQ10" i="7" s="1"/>
  <c r="C7" i="11" a="1"/>
  <c r="C7" i="11" s="1"/>
  <c r="K7" i="11" a="1"/>
  <c r="K7" i="11" s="1"/>
  <c r="R7" i="11" a="1"/>
  <c r="R7" i="11" s="1"/>
  <c r="Y7" i="11" a="1"/>
  <c r="Y7" i="11" s="1"/>
  <c r="AF7" i="11" a="1"/>
  <c r="AF7" i="11" s="1"/>
  <c r="AN7" i="11" a="1"/>
  <c r="AN7" i="11" s="1"/>
  <c r="AU7" i="11" a="1"/>
  <c r="AU7" i="11" s="1"/>
  <c r="BB7" i="11" a="1"/>
  <c r="BB7" i="11" s="1"/>
  <c r="BJ7" i="11" a="1"/>
  <c r="BJ7" i="11" s="1"/>
  <c r="BR7" i="11" a="1"/>
  <c r="BR7" i="11" s="1"/>
  <c r="BZ7" i="11" a="1"/>
  <c r="BZ7" i="11" s="1"/>
  <c r="CH7" i="11" a="1"/>
  <c r="CH7" i="11" s="1"/>
  <c r="CP7" i="11" a="1"/>
  <c r="CP7" i="11" s="1"/>
  <c r="H11" i="14" a="1"/>
  <c r="H11" i="14" s="1"/>
  <c r="N11" i="14" a="1"/>
  <c r="N11" i="14" s="1"/>
  <c r="AE11" i="14" a="1"/>
  <c r="AE11" i="14" s="1"/>
  <c r="AV11" i="14" a="1"/>
  <c r="AV11" i="14" s="1"/>
  <c r="BG11" i="14" a="1"/>
  <c r="BG11" i="14" s="1"/>
  <c r="BM11" i="14" a="1"/>
  <c r="BM11" i="14" s="1"/>
  <c r="BY11" i="14" a="1"/>
  <c r="BY11" i="14" s="1"/>
  <c r="CE11" i="14" a="1"/>
  <c r="CE11" i="14" s="1"/>
  <c r="CJ11" i="14" a="1"/>
  <c r="CJ11" i="14" s="1"/>
  <c r="CP11" i="14" a="1"/>
  <c r="CP11" i="14" s="1"/>
  <c r="J10" i="7" a="1"/>
  <c r="J10" i="7" s="1"/>
  <c r="R10" i="7" a="1"/>
  <c r="R10" i="7" s="1"/>
  <c r="Z10" i="7" a="1"/>
  <c r="Z10" i="7" s="1"/>
  <c r="AH10" i="7" a="1"/>
  <c r="AH10" i="7" s="1"/>
  <c r="AP10" i="7" a="1"/>
  <c r="AP10" i="7" s="1"/>
  <c r="AX10" i="7" a="1"/>
  <c r="AX10" i="7" s="1"/>
  <c r="BE10" i="7" a="1"/>
  <c r="BE10" i="7" s="1"/>
  <c r="BL10" i="7" a="1"/>
  <c r="BL10" i="7" s="1"/>
  <c r="BT10" i="7" a="1"/>
  <c r="BT10" i="7" s="1"/>
  <c r="CB10" i="7" a="1"/>
  <c r="CB10" i="7" s="1"/>
  <c r="CJ10" i="7" a="1"/>
  <c r="CJ10" i="7" s="1"/>
  <c r="CR10" i="7" a="1"/>
  <c r="CR10" i="7" s="1"/>
  <c r="D7" i="11" a="1"/>
  <c r="D7" i="11" s="1"/>
  <c r="L7" i="11" a="1"/>
  <c r="L7" i="11" s="1"/>
  <c r="S7" i="11" a="1"/>
  <c r="S7" i="11" s="1"/>
  <c r="AG7" i="11" a="1"/>
  <c r="AG7" i="11" s="1"/>
  <c r="AO7" i="11" a="1"/>
  <c r="AO7" i="11" s="1"/>
  <c r="AV7" i="11" a="1"/>
  <c r="AV7" i="11" s="1"/>
  <c r="BC7" i="11" a="1"/>
  <c r="BC7" i="11" s="1"/>
  <c r="BK7" i="11" a="1"/>
  <c r="BK7" i="11" s="1"/>
  <c r="BS7" i="11" a="1"/>
  <c r="BS7" i="11" s="1"/>
  <c r="CA7" i="11" a="1"/>
  <c r="CA7" i="11" s="1"/>
  <c r="CI7" i="11" a="1"/>
  <c r="CI7" i="11" s="1"/>
  <c r="CQ7" i="11" a="1"/>
  <c r="CQ7" i="11" s="1"/>
  <c r="H2698" i="41"/>
  <c r="D2698" i="41" a="1"/>
  <c r="D2698" i="41" s="1"/>
  <c r="CL7" i="11" a="1"/>
  <c r="CL7" i="11" s="1"/>
  <c r="H1052" i="41"/>
  <c r="D1052" i="41" a="1"/>
  <c r="D1052" i="41" s="1"/>
  <c r="CD7" i="11" a="1"/>
  <c r="CD7" i="11" s="1"/>
  <c r="BG10" i="7" a="1"/>
  <c r="BG10" i="7" s="1"/>
  <c r="CL11" i="14" a="1"/>
  <c r="CL11" i="14" s="1"/>
  <c r="AY7" i="11" a="1"/>
  <c r="AY7" i="11" s="1"/>
  <c r="H352" i="41"/>
  <c r="D352" i="41" a="1"/>
  <c r="D352" i="41" s="1"/>
  <c r="H464" i="41"/>
  <c r="D464" i="41" a="1"/>
  <c r="D464" i="41" s="1"/>
  <c r="H1129" i="41"/>
  <c r="D1129" i="41" a="1"/>
  <c r="D1129" i="41" s="1"/>
  <c r="BV7" i="11" a="1"/>
  <c r="BV7" i="11" s="1"/>
  <c r="N7" i="11" a="1"/>
  <c r="N7" i="11" s="1"/>
  <c r="BA10" i="7" a="1"/>
  <c r="BA10" i="7" s="1"/>
  <c r="CG11" i="14" a="1"/>
  <c r="CG11" i="14" s="1"/>
  <c r="H568" i="41"/>
  <c r="D568" i="41" a="1"/>
  <c r="D568" i="41" s="1"/>
  <c r="H288" i="41"/>
  <c r="D288" i="41" a="1"/>
  <c r="D288" i="41" s="1"/>
  <c r="H376" i="41"/>
  <c r="D376" i="41" a="1"/>
  <c r="D376" i="41" s="1"/>
  <c r="D526" i="41" a="1"/>
  <c r="D526" i="41" s="1"/>
  <c r="H582" i="41"/>
  <c r="D582" i="41" a="1"/>
  <c r="D582" i="41" s="1"/>
  <c r="H622" i="41"/>
  <c r="D622" i="41" a="1"/>
  <c r="D622" i="41" s="1"/>
  <c r="H1119" i="41"/>
  <c r="D1119" i="41" a="1"/>
  <c r="D1119" i="41" s="1"/>
  <c r="H2401" i="41"/>
  <c r="D2401" i="41" a="1"/>
  <c r="D2401" i="41" s="1"/>
  <c r="BN7" i="11" a="1"/>
  <c r="BN7" i="11" s="1"/>
  <c r="G7" i="11" a="1"/>
  <c r="G7" i="11" s="1"/>
  <c r="AS10" i="7" a="1"/>
  <c r="AS10" i="7" s="1"/>
  <c r="CA11" i="14" a="1"/>
  <c r="CA11" i="14" s="1"/>
  <c r="D1383" i="41" a="1"/>
  <c r="D1383" i="41" s="1"/>
  <c r="D670" i="41" a="1"/>
  <c r="D670" i="41" s="1"/>
  <c r="D694" i="41" a="1"/>
  <c r="D694" i="41" s="1"/>
  <c r="D786" i="41" a="1"/>
  <c r="D786" i="41" s="1"/>
  <c r="D818" i="41" a="1"/>
  <c r="D818" i="41" s="1"/>
  <c r="D1934" i="41" a="1"/>
  <c r="D1934" i="41" s="1"/>
  <c r="D2646" i="41" a="1"/>
  <c r="D2646" i="41" s="1"/>
  <c r="D1822" i="41" a="1"/>
  <c r="D1822" i="41" s="1"/>
  <c r="D1998" i="41" a="1"/>
  <c r="D1998" i="41" s="1"/>
  <c r="D2062" i="41" a="1"/>
  <c r="D2062" i="41" s="1"/>
  <c r="D2099" i="41" a="1"/>
  <c r="D2099" i="41" s="1"/>
  <c r="D2128" i="41" a="1"/>
  <c r="D2128" i="41" s="1"/>
  <c r="D2836" i="41" a="1"/>
  <c r="D2836" i="41" s="1"/>
  <c r="BX12" i="11" a="1"/>
  <c r="BX12" i="11" s="1"/>
  <c r="D750" i="41" a="1"/>
  <c r="D750" i="41" s="1"/>
  <c r="D793" i="41" a="1"/>
  <c r="D793" i="41" s="1"/>
  <c r="D988" i="41" a="1"/>
  <c r="D988" i="41" s="1"/>
  <c r="D993" i="41" a="1"/>
  <c r="D993" i="41" s="1"/>
  <c r="D1076" i="41" a="1"/>
  <c r="D1076" i="41" s="1"/>
  <c r="D1359" i="41" a="1"/>
  <c r="D1359" i="41" s="1"/>
  <c r="D1397" i="41" a="1"/>
  <c r="D1397" i="41" s="1"/>
  <c r="D1905" i="41" a="1"/>
  <c r="D1905" i="41" s="1"/>
  <c r="D1966" i="41" a="1"/>
  <c r="D1966" i="41" s="1"/>
  <c r="D1990" i="41" a="1"/>
  <c r="D1990" i="41" s="1"/>
  <c r="D2030" i="41" a="1"/>
  <c r="D2030" i="41" s="1"/>
  <c r="D2091" i="41" a="1"/>
  <c r="D2091" i="41" s="1"/>
  <c r="D2185" i="41" a="1"/>
  <c r="D2185" i="41" s="1"/>
  <c r="D2393" i="41" a="1"/>
  <c r="D2393" i="41" s="1"/>
  <c r="D2481" i="41" a="1"/>
  <c r="D2481" i="41" s="1"/>
  <c r="D2819" i="41" a="1"/>
  <c r="D2819" i="41" s="1"/>
  <c r="AY13" i="11" a="1"/>
  <c r="AY13" i="11" s="1"/>
  <c r="T13" i="11" a="1"/>
  <c r="T13" i="11" s="1"/>
  <c r="CC13" i="11" a="1"/>
  <c r="CC13" i="11" s="1"/>
  <c r="CB13" i="11" a="1"/>
  <c r="CB13" i="11" s="1"/>
  <c r="AV13" i="11" a="1"/>
  <c r="AV13" i="11" s="1"/>
  <c r="S13" i="11" a="1"/>
  <c r="S13" i="11" s="1"/>
  <c r="CN12" i="11" a="1"/>
  <c r="CN12" i="11" s="1"/>
  <c r="BX13" i="11" a="1"/>
  <c r="BX13" i="11" s="1"/>
  <c r="AT13" i="11" a="1"/>
  <c r="AT13" i="11" s="1"/>
  <c r="P13" i="11" a="1"/>
  <c r="P13" i="11" s="1"/>
  <c r="BJ12" i="11" a="1"/>
  <c r="BJ12" i="11" s="1"/>
  <c r="BN13" i="11" a="1"/>
  <c r="BN13" i="11" s="1"/>
  <c r="AI13" i="11" a="1"/>
  <c r="AI13" i="11" s="1"/>
  <c r="CS13" i="11" a="1"/>
  <c r="CS13" i="11" s="1"/>
  <c r="BM13" i="11" a="1"/>
  <c r="BM13" i="11" s="1"/>
  <c r="AH13" i="11" a="1"/>
  <c r="AH13" i="11" s="1"/>
  <c r="CR13" i="11" a="1"/>
  <c r="CR13" i="11" s="1"/>
  <c r="BL13" i="11" a="1"/>
  <c r="BL13" i="11" s="1"/>
  <c r="AG13" i="11" a="1"/>
  <c r="AG13" i="11" s="1"/>
  <c r="CN13" i="11" a="1"/>
  <c r="CN13" i="11" s="1"/>
  <c r="BI13" i="11" a="1"/>
  <c r="BI13" i="11" s="1"/>
  <c r="AF13" i="11" a="1"/>
  <c r="AF13" i="11" s="1"/>
  <c r="CD13" i="11" a="1"/>
  <c r="CD13" i="11" s="1"/>
  <c r="AZ13" i="11" a="1"/>
  <c r="AZ13" i="11" s="1"/>
  <c r="U13" i="11" a="1"/>
  <c r="U13" i="11" s="1"/>
  <c r="BK12" i="11" a="1"/>
  <c r="BK12" i="11" s="1"/>
  <c r="BL12" i="11" a="1"/>
  <c r="BL12" i="11" s="1"/>
  <c r="BZ12" i="11" a="1"/>
  <c r="BZ12" i="11" s="1"/>
  <c r="CP12" i="11" a="1"/>
  <c r="CP12" i="11" s="1"/>
  <c r="BO12" i="11" a="1"/>
  <c r="BO12" i="11" s="1"/>
  <c r="CD12" i="11" a="1"/>
  <c r="CD12" i="11" s="1"/>
  <c r="BR12" i="11" a="1"/>
  <c r="BR12" i="11" s="1"/>
  <c r="CH12" i="11" a="1"/>
  <c r="CH12" i="11" s="1"/>
  <c r="BP12" i="11" a="1"/>
  <c r="BP12" i="11" s="1"/>
  <c r="CE12" i="11" a="1"/>
  <c r="CE12" i="11" s="1"/>
  <c r="BQ12" i="11" a="1"/>
  <c r="BQ12" i="11" s="1"/>
  <c r="CF12" i="11" a="1"/>
  <c r="CF12" i="11" s="1"/>
  <c r="BV12" i="11" a="1"/>
  <c r="BV12" i="11" s="1"/>
  <c r="CL12" i="11" a="1"/>
  <c r="CL12" i="11" s="1"/>
  <c r="CM12" i="11" a="1"/>
  <c r="CM12" i="11" s="1"/>
  <c r="BW12" i="11" a="1"/>
  <c r="BW12" i="11" s="1"/>
  <c r="CL13" i="11" a="1"/>
  <c r="CL13" i="11" s="1"/>
  <c r="BV13" i="11" a="1"/>
  <c r="BV13" i="11" s="1"/>
  <c r="BG13" i="11" a="1"/>
  <c r="BG13" i="11" s="1"/>
  <c r="AS13" i="11" a="1"/>
  <c r="AS13" i="11" s="1"/>
  <c r="AC13" i="11" a="1"/>
  <c r="AC13" i="11" s="1"/>
  <c r="N13" i="11" a="1"/>
  <c r="N13" i="11" s="1"/>
  <c r="CK13" i="11" a="1"/>
  <c r="CK13" i="11" s="1"/>
  <c r="BU13" i="11" a="1"/>
  <c r="BU13" i="11" s="1"/>
  <c r="AP13" i="11" a="1"/>
  <c r="AP13" i="11" s="1"/>
  <c r="AA13" i="11" a="1"/>
  <c r="AA13" i="11" s="1"/>
  <c r="M13" i="11" a="1"/>
  <c r="M13" i="11" s="1"/>
  <c r="CJ13" i="11" a="1"/>
  <c r="CJ13" i="11" s="1"/>
  <c r="BT13" i="11" a="1"/>
  <c r="BT13" i="11" s="1"/>
  <c r="BF13" i="11" a="1"/>
  <c r="BF13" i="11" s="1"/>
  <c r="AN13" i="11" a="1"/>
  <c r="AN13" i="11" s="1"/>
  <c r="J13" i="11" a="1"/>
  <c r="J13" i="11" s="1"/>
  <c r="CF13" i="11" a="1"/>
  <c r="CF13" i="11" s="1"/>
  <c r="BP13" i="11" a="1"/>
  <c r="BP13" i="11" s="1"/>
  <c r="BA13" i="11" a="1"/>
  <c r="BA13" i="11" s="1"/>
  <c r="AM13" i="11" a="1"/>
  <c r="AM13" i="11" s="1"/>
  <c r="Z13" i="11" a="1"/>
  <c r="Z13" i="11" s="1"/>
  <c r="G13" i="11" a="1"/>
  <c r="G13" i="11" s="1"/>
  <c r="CS12" i="11" a="1"/>
  <c r="CS12" i="11" s="1"/>
  <c r="CK12" i="11" a="1"/>
  <c r="CK12" i="11" s="1"/>
  <c r="CC12" i="11" a="1"/>
  <c r="CC12" i="11" s="1"/>
  <c r="BU12" i="11" a="1"/>
  <c r="BU12" i="11" s="1"/>
  <c r="BN12" i="11" a="1"/>
  <c r="BN12" i="11" s="1"/>
  <c r="CQ13" i="11" a="1"/>
  <c r="CQ13" i="11" s="1"/>
  <c r="CI13" i="11" a="1"/>
  <c r="CI13" i="11" s="1"/>
  <c r="CA13" i="11" a="1"/>
  <c r="CA13" i="11" s="1"/>
  <c r="BS13" i="11" a="1"/>
  <c r="BS13" i="11" s="1"/>
  <c r="BK13" i="11" a="1"/>
  <c r="BK13" i="11" s="1"/>
  <c r="BE13" i="11" a="1"/>
  <c r="BE13" i="11" s="1"/>
  <c r="AR13" i="11" a="1"/>
  <c r="AR13" i="11" s="1"/>
  <c r="AL13" i="11" a="1"/>
  <c r="AL13" i="11" s="1"/>
  <c r="AE13" i="11" a="1"/>
  <c r="AE13" i="11" s="1"/>
  <c r="Y13" i="11" a="1"/>
  <c r="Y13" i="11" s="1"/>
  <c r="L13" i="11" a="1"/>
  <c r="L13" i="11" s="1"/>
  <c r="F13" i="11" a="1"/>
  <c r="F13" i="11" s="1"/>
  <c r="CR12" i="11" a="1"/>
  <c r="CR12" i="11" s="1"/>
  <c r="CJ12" i="11" a="1"/>
  <c r="CJ12" i="11" s="1"/>
  <c r="CB12" i="11" a="1"/>
  <c r="CB12" i="11" s="1"/>
  <c r="BT12" i="11" a="1"/>
  <c r="BT12" i="11" s="1"/>
  <c r="CP13" i="11" a="1"/>
  <c r="CP13" i="11" s="1"/>
  <c r="CH13" i="11" a="1"/>
  <c r="CH13" i="11" s="1"/>
  <c r="BZ13" i="11" a="1"/>
  <c r="BZ13" i="11" s="1"/>
  <c r="BR13" i="11" a="1"/>
  <c r="BR13" i="11" s="1"/>
  <c r="BD13" i="11" a="1"/>
  <c r="BD13" i="11" s="1"/>
  <c r="AX13" i="11" a="1"/>
  <c r="AX13" i="11" s="1"/>
  <c r="AQ13" i="11" a="1"/>
  <c r="AQ13" i="11" s="1"/>
  <c r="AK13" i="11" a="1"/>
  <c r="AK13" i="11" s="1"/>
  <c r="X13" i="11" a="1"/>
  <c r="X13" i="11" s="1"/>
  <c r="R13" i="11" a="1"/>
  <c r="R13" i="11" s="1"/>
  <c r="K13" i="11" a="1"/>
  <c r="K13" i="11" s="1"/>
  <c r="E13" i="11" a="1"/>
  <c r="E13" i="11" s="1"/>
  <c r="CQ12" i="11" a="1"/>
  <c r="CQ12" i="11" s="1"/>
  <c r="CI12" i="11" a="1"/>
  <c r="CI12" i="11" s="1"/>
  <c r="CA12" i="11" a="1"/>
  <c r="CA12" i="11" s="1"/>
  <c r="BS12" i="11" a="1"/>
  <c r="BS12" i="11" s="1"/>
  <c r="BM12" i="11" a="1"/>
  <c r="BM12" i="11" s="1"/>
  <c r="CO13" i="11" a="1"/>
  <c r="CO13" i="11" s="1"/>
  <c r="CG13" i="11" a="1"/>
  <c r="CG13" i="11" s="1"/>
  <c r="BY13" i="11" a="1"/>
  <c r="BY13" i="11" s="1"/>
  <c r="BQ13" i="11" a="1"/>
  <c r="BQ13" i="11" s="1"/>
  <c r="BJ13" i="11" a="1"/>
  <c r="BJ13" i="11" s="1"/>
  <c r="BC13" i="11" a="1"/>
  <c r="BC13" i="11" s="1"/>
  <c r="AW13" i="11" a="1"/>
  <c r="AW13" i="11" s="1"/>
  <c r="AJ13" i="11" a="1"/>
  <c r="AJ13" i="11" s="1"/>
  <c r="AD13" i="11" a="1"/>
  <c r="AD13" i="11" s="1"/>
  <c r="W13" i="11" a="1"/>
  <c r="W13" i="11" s="1"/>
  <c r="Q13" i="11" a="1"/>
  <c r="Q13" i="11" s="1"/>
  <c r="D13" i="11" a="1"/>
  <c r="D13" i="11" s="1"/>
  <c r="C13" i="11" a="1"/>
  <c r="C13" i="11" s="1"/>
  <c r="CO12" i="11" a="1"/>
  <c r="CO12" i="11" s="1"/>
  <c r="CG12" i="11" a="1"/>
  <c r="CG12" i="11" s="1"/>
  <c r="BY12" i="11" a="1"/>
  <c r="BY12" i="11" s="1"/>
  <c r="CM13" i="11" a="1"/>
  <c r="CM13" i="11" s="1"/>
  <c r="CE13" i="11" a="1"/>
  <c r="CE13" i="11" s="1"/>
  <c r="BW13" i="11" a="1"/>
  <c r="BW13" i="11" s="1"/>
  <c r="BO13" i="11" a="1"/>
  <c r="BO13" i="11" s="1"/>
  <c r="BH13" i="11" a="1"/>
  <c r="BH13" i="11" s="1"/>
  <c r="BB13" i="11" a="1"/>
  <c r="BB13" i="11" s="1"/>
  <c r="AU13" i="11" a="1"/>
  <c r="AU13" i="11" s="1"/>
  <c r="AO13" i="11" a="1"/>
  <c r="AO13" i="11" s="1"/>
  <c r="AB13" i="11" a="1"/>
  <c r="AB13" i="11" s="1"/>
  <c r="V13" i="11" a="1"/>
  <c r="V13" i="11" s="1"/>
  <c r="O13" i="11" a="1"/>
  <c r="O13" i="11" s="1"/>
  <c r="I13" i="11" a="1"/>
  <c r="I13" i="11" s="1"/>
  <c r="H1929" i="41"/>
  <c r="D1929" i="41" a="1"/>
  <c r="D1929" i="41" s="1"/>
  <c r="H2006" i="41"/>
  <c r="D2006" i="41" a="1"/>
  <c r="D2006" i="41" s="1"/>
  <c r="D193" i="41" a="1"/>
  <c r="D193" i="41" s="1"/>
  <c r="D296" i="41" a="1"/>
  <c r="D296" i="41" s="1"/>
  <c r="D344" i="41" a="1"/>
  <c r="D344" i="41" s="1"/>
  <c r="D400" i="41" a="1"/>
  <c r="D400" i="41" s="1"/>
  <c r="D497" i="41" a="1"/>
  <c r="D497" i="41" s="1"/>
  <c r="D574" i="41" a="1"/>
  <c r="D574" i="41" s="1"/>
  <c r="D664" i="41" a="1"/>
  <c r="D664" i="41" s="1"/>
  <c r="D881" i="41" a="1"/>
  <c r="D881" i="41" s="1"/>
  <c r="H1004" i="41"/>
  <c r="D1004" i="41" a="1"/>
  <c r="D1004" i="41" s="1"/>
  <c r="H1085" i="41"/>
  <c r="D1085" i="41" a="1"/>
  <c r="D1085" i="41" s="1"/>
  <c r="H1212" i="41"/>
  <c r="D1212" i="41" a="1"/>
  <c r="D1212" i="41" s="1"/>
  <c r="D1841" i="41" a="1"/>
  <c r="D1841" i="41" s="1"/>
  <c r="H2117" i="41"/>
  <c r="D2117" i="41" a="1"/>
  <c r="D2117" i="41" s="1"/>
  <c r="D217" i="41" a="1"/>
  <c r="D217" i="41" s="1"/>
  <c r="D257" i="41" a="1"/>
  <c r="D257" i="41" s="1"/>
  <c r="D328" i="41" a="1"/>
  <c r="D328" i="41" s="1"/>
  <c r="D432" i="41" a="1"/>
  <c r="D432" i="41" s="1"/>
  <c r="D550" i="41" a="1"/>
  <c r="D550" i="41" s="1"/>
  <c r="D606" i="41" a="1"/>
  <c r="D606" i="41" s="1"/>
  <c r="D630" i="41" a="1"/>
  <c r="D630" i="41" s="1"/>
  <c r="D640" i="41" a="1"/>
  <c r="D640" i="41" s="1"/>
  <c r="D686" i="41" a="1"/>
  <c r="D686" i="41" s="1"/>
  <c r="D742" i="41" a="1"/>
  <c r="D742" i="41" s="1"/>
  <c r="D797" i="41" a="1"/>
  <c r="D797" i="41" s="1"/>
  <c r="D841" i="41" a="1"/>
  <c r="D841" i="41" s="1"/>
  <c r="D863" i="41" a="1"/>
  <c r="D863" i="41" s="1"/>
  <c r="D887" i="41" a="1"/>
  <c r="D887" i="41" s="1"/>
  <c r="D932" i="41" a="1"/>
  <c r="D932" i="41" s="1"/>
  <c r="H1239" i="41"/>
  <c r="D1239" i="41" a="1"/>
  <c r="D1239" i="41" s="1"/>
  <c r="H1375" i="41"/>
  <c r="D1375" i="41" a="1"/>
  <c r="D1375" i="41" s="1"/>
  <c r="D1424" i="41" a="1"/>
  <c r="D1424" i="41" s="1"/>
  <c r="H1295" i="41"/>
  <c r="D1295" i="41" a="1"/>
  <c r="D1295" i="41" s="1"/>
  <c r="H2067" i="41"/>
  <c r="D2067" i="41" a="1"/>
  <c r="D2067" i="41" s="1"/>
  <c r="D433" i="41" a="1"/>
  <c r="D433" i="41" s="1"/>
  <c r="D504" i="41" a="1"/>
  <c r="D504" i="41" s="1"/>
  <c r="D521" i="41" a="1"/>
  <c r="D521" i="41" s="1"/>
  <c r="D616" i="41" a="1"/>
  <c r="D616" i="41" s="1"/>
  <c r="D728" i="41" a="1"/>
  <c r="D728" i="41" s="1"/>
  <c r="D758" i="41" a="1"/>
  <c r="D758" i="41" s="1"/>
  <c r="D920" i="41" a="1"/>
  <c r="D920" i="41" s="1"/>
  <c r="H1626" i="41"/>
  <c r="D1626" i="41" a="1"/>
  <c r="D1626" i="41" s="1"/>
  <c r="D1809" i="41" a="1"/>
  <c r="D1809" i="41" s="1"/>
  <c r="H1814" i="41"/>
  <c r="D1814" i="41" a="1"/>
  <c r="D1814" i="41" s="1"/>
  <c r="H1942" i="41"/>
  <c r="D1942" i="41" a="1"/>
  <c r="D1942" i="41" s="1"/>
  <c r="H2014" i="41"/>
  <c r="D2014" i="41" a="1"/>
  <c r="D2014" i="41" s="1"/>
  <c r="H2047" i="41"/>
  <c r="D2047" i="41" a="1"/>
  <c r="D2047" i="41" s="1"/>
  <c r="H948" i="41"/>
  <c r="D948" i="41" a="1"/>
  <c r="D948" i="41" s="1"/>
  <c r="H1020" i="41"/>
  <c r="D1020" i="41" a="1"/>
  <c r="D1020" i="41" s="1"/>
  <c r="H1108" i="41"/>
  <c r="D1108" i="41" a="1"/>
  <c r="D1108" i="41" s="1"/>
  <c r="H1695" i="41"/>
  <c r="D1695" i="41" a="1"/>
  <c r="D1695" i="41" s="1"/>
  <c r="H2120" i="41"/>
  <c r="D2120" i="41" a="1"/>
  <c r="D2120" i="41" s="1"/>
  <c r="H2193" i="41"/>
  <c r="D2193" i="41" a="1"/>
  <c r="D2193" i="41" s="1"/>
  <c r="D496" i="41" a="1"/>
  <c r="D496" i="41" s="1"/>
  <c r="D552" i="41" a="1"/>
  <c r="D552" i="41" s="1"/>
  <c r="D688" i="41" a="1"/>
  <c r="D688" i="41" s="1"/>
  <c r="D744" i="41" a="1"/>
  <c r="D744" i="41" s="1"/>
  <c r="D825" i="41" a="1"/>
  <c r="D825" i="41" s="1"/>
  <c r="D921" i="41" a="1"/>
  <c r="D921" i="41" s="1"/>
  <c r="D1343" i="41" a="1"/>
  <c r="D1343" i="41" s="1"/>
  <c r="H1492" i="41"/>
  <c r="D1492" i="41" a="1"/>
  <c r="D1492" i="41" s="1"/>
  <c r="D1863" i="41" a="1"/>
  <c r="D1863" i="41" s="1"/>
  <c r="D2085" i="41" a="1"/>
  <c r="D2085" i="41" s="1"/>
  <c r="D2093" i="41" a="1"/>
  <c r="D2093" i="41" s="1"/>
  <c r="D2141" i="41" a="1"/>
  <c r="D2141" i="41" s="1"/>
  <c r="D2710" i="41" a="1"/>
  <c r="D2710" i="41" s="1"/>
  <c r="D2834" i="41" a="1"/>
  <c r="D2834" i="41" s="1"/>
  <c r="D1372" i="41" a="1"/>
  <c r="D1372" i="41" s="1"/>
  <c r="D1429" i="41" a="1"/>
  <c r="D1429" i="41" s="1"/>
  <c r="D1452" i="41" a="1"/>
  <c r="D1452" i="41" s="1"/>
  <c r="D1682" i="41" a="1"/>
  <c r="D1682" i="41" s="1"/>
  <c r="D1687" i="41" a="1"/>
  <c r="D1687" i="41" s="1"/>
  <c r="D1733" i="41" a="1"/>
  <c r="D1733" i="41" s="1"/>
  <c r="D1741" i="41" a="1"/>
  <c r="D1741" i="41" s="1"/>
  <c r="D1755" i="41" a="1"/>
  <c r="D1755" i="41" s="1"/>
  <c r="D1833" i="41" a="1"/>
  <c r="D1833" i="41" s="1"/>
  <c r="D1889" i="41" a="1"/>
  <c r="D1889" i="41" s="1"/>
  <c r="D1926" i="41" a="1"/>
  <c r="D1926" i="41" s="1"/>
  <c r="D1975" i="41" a="1"/>
  <c r="D1975" i="41" s="1"/>
  <c r="D2077" i="41" a="1"/>
  <c r="D2077" i="41" s="1"/>
  <c r="D2107" i="41" a="1"/>
  <c r="D2107" i="41" s="1"/>
  <c r="D2217" i="41" a="1"/>
  <c r="D2217" i="41" s="1"/>
  <c r="D2353" i="41" a="1"/>
  <c r="D2353" i="41" s="1"/>
  <c r="D2265" i="41" a="1"/>
  <c r="D2265" i="41" s="1"/>
  <c r="D2409" i="41" a="1"/>
  <c r="D2409" i="41" s="1"/>
  <c r="D2438" i="41" a="1"/>
  <c r="D2438" i="41" s="1"/>
  <c r="D2642" i="41" a="1"/>
  <c r="D2642" i="41" s="1"/>
  <c r="D2707" i="41" a="1"/>
  <c r="D2707" i="41" s="1"/>
  <c r="D2716" i="41" a="1"/>
  <c r="D2716" i="41" s="1"/>
  <c r="D1468" i="41" a="1"/>
  <c r="D1468" i="41" s="1"/>
  <c r="D1473" i="41" a="1"/>
  <c r="D1473" i="41" s="1"/>
  <c r="D1545" i="41" a="1"/>
  <c r="D1545" i="41" s="1"/>
  <c r="D1798" i="41" a="1"/>
  <c r="D1798" i="41" s="1"/>
  <c r="D1825" i="41" a="1"/>
  <c r="D1825" i="41" s="1"/>
  <c r="D1854" i="41" a="1"/>
  <c r="D1854" i="41" s="1"/>
  <c r="D1881" i="41" a="1"/>
  <c r="D1881" i="41" s="1"/>
  <c r="D1103" i="41" a="1"/>
  <c r="D1103" i="41" s="1"/>
  <c r="D1135" i="41" a="1"/>
  <c r="D1135" i="41" s="1"/>
  <c r="D1337" i="41" a="1"/>
  <c r="D1337" i="41" s="1"/>
  <c r="D1431" i="41" a="1"/>
  <c r="D1431" i="41" s="1"/>
  <c r="D1532" i="41" a="1"/>
  <c r="D1532" i="41" s="1"/>
  <c r="D1562" i="41" a="1"/>
  <c r="D1562" i="41" s="1"/>
  <c r="D1937" i="41" a="1"/>
  <c r="D1937" i="41" s="1"/>
  <c r="D2055" i="41" a="1"/>
  <c r="D2055" i="41" s="1"/>
  <c r="D2177" i="41" a="1"/>
  <c r="D2177" i="41" s="1"/>
  <c r="D2273" i="41" a="1"/>
  <c r="D2273" i="41" s="1"/>
  <c r="H22" i="41"/>
  <c r="H90" i="41"/>
  <c r="H102" i="41"/>
  <c r="D233" i="41" a="1"/>
  <c r="D233" i="41" s="1"/>
  <c r="D272" i="41" a="1"/>
  <c r="D272" i="41" s="1"/>
  <c r="D312" i="41" a="1"/>
  <c r="D312" i="41" s="1"/>
  <c r="D369" i="41" a="1"/>
  <c r="D369" i="41" s="1"/>
  <c r="D456" i="41" a="1"/>
  <c r="D456" i="41" s="1"/>
  <c r="D534" i="41" a="1"/>
  <c r="D534" i="41" s="1"/>
  <c r="D558" i="41" a="1"/>
  <c r="D558" i="41" s="1"/>
  <c r="H895" i="41"/>
  <c r="D895" i="41" a="1"/>
  <c r="D895" i="41" s="1"/>
  <c r="H1953" i="41"/>
  <c r="D1953" i="41" a="1"/>
  <c r="D1953" i="41" s="1"/>
  <c r="H632" i="41"/>
  <c r="D632" i="41" a="1"/>
  <c r="D632" i="41" s="1"/>
  <c r="H726" i="41"/>
  <c r="D726" i="41" a="1"/>
  <c r="D726" i="41" s="1"/>
  <c r="H766" i="41"/>
  <c r="D766" i="41" a="1"/>
  <c r="D766" i="41" s="1"/>
  <c r="H710" i="41"/>
  <c r="D710" i="41" a="1"/>
  <c r="D710" i="41" s="1"/>
  <c r="H815" i="41"/>
  <c r="D815" i="41" a="1"/>
  <c r="D815" i="41" s="1"/>
  <c r="D6" i="41" a="1"/>
  <c r="D6" i="41" s="1"/>
  <c r="F6" i="41" s="1"/>
  <c r="H6" i="41" s="1"/>
  <c r="D34" i="41" a="1"/>
  <c r="D34" i="41" s="1"/>
  <c r="F34" i="41" s="1"/>
  <c r="H34" i="41" s="1"/>
  <c r="D46" i="41" a="1"/>
  <c r="D46" i="41" s="1"/>
  <c r="F46" i="41" s="1"/>
  <c r="H46" i="41" s="1"/>
  <c r="D74" i="41" a="1"/>
  <c r="D74" i="41" s="1"/>
  <c r="F74" i="41" s="1"/>
  <c r="H74" i="41" s="1"/>
  <c r="H86" i="41"/>
  <c r="D130" i="41" a="1"/>
  <c r="D130" i="41" s="1"/>
  <c r="F130" i="41" s="1"/>
  <c r="H130" i="41" s="1"/>
  <c r="D142" i="41" a="1"/>
  <c r="D142" i="41" s="1"/>
  <c r="F142" i="41" s="1"/>
  <c r="H142" i="41" s="1"/>
  <c r="D201" i="41" a="1"/>
  <c r="D201" i="41" s="1"/>
  <c r="D241" i="41" a="1"/>
  <c r="D241" i="41" s="1"/>
  <c r="D320" i="41" a="1"/>
  <c r="D320" i="41" s="1"/>
  <c r="D392" i="41" a="1"/>
  <c r="D392" i="41" s="1"/>
  <c r="D408" i="41" a="1"/>
  <c r="D408" i="41" s="1"/>
  <c r="D440" i="41" a="1"/>
  <c r="D440" i="41" s="1"/>
  <c r="D462" i="41" a="1"/>
  <c r="D462" i="41" s="1"/>
  <c r="D512" i="41" a="1"/>
  <c r="D512" i="41" s="1"/>
  <c r="D518" i="41" a="1"/>
  <c r="D518" i="41" s="1"/>
  <c r="D528" i="41" a="1"/>
  <c r="D528" i="41" s="1"/>
  <c r="H590" i="41"/>
  <c r="D590" i="41" a="1"/>
  <c r="D590" i="41" s="1"/>
  <c r="H598" i="41"/>
  <c r="D598" i="41" a="1"/>
  <c r="D598" i="41" s="1"/>
  <c r="H678" i="41"/>
  <c r="D678" i="41" a="1"/>
  <c r="D678" i="41" s="1"/>
  <c r="H720" i="41"/>
  <c r="D720" i="41" a="1"/>
  <c r="D720" i="41" s="1"/>
  <c r="H1069" i="41"/>
  <c r="D1069" i="41" a="1"/>
  <c r="D1069" i="41" s="1"/>
  <c r="H1650" i="41"/>
  <c r="D1650" i="41" a="1"/>
  <c r="D1650" i="41" s="1"/>
  <c r="H1910" i="41"/>
  <c r="D1910" i="41" a="1"/>
  <c r="D1910" i="41" s="1"/>
  <c r="C10" i="11" a="1"/>
  <c r="C10" i="11" s="1"/>
  <c r="K10" i="11" a="1"/>
  <c r="K10" i="11" s="1"/>
  <c r="S10" i="11" a="1"/>
  <c r="S10" i="11" s="1"/>
  <c r="AA10" i="11" a="1"/>
  <c r="AA10" i="11" s="1"/>
  <c r="AI10" i="11" a="1"/>
  <c r="AI10" i="11" s="1"/>
  <c r="AQ10" i="11" a="1"/>
  <c r="AQ10" i="11" s="1"/>
  <c r="AY10" i="11" a="1"/>
  <c r="AY10" i="11" s="1"/>
  <c r="BG10" i="11" a="1"/>
  <c r="BG10" i="11" s="1"/>
  <c r="BO10" i="11" a="1"/>
  <c r="BO10" i="11" s="1"/>
  <c r="BW10" i="11" a="1"/>
  <c r="BW10" i="11" s="1"/>
  <c r="CE10" i="11" a="1"/>
  <c r="CE10" i="11" s="1"/>
  <c r="CM10" i="11" a="1"/>
  <c r="CM10" i="11" s="1"/>
  <c r="D10" i="11" a="1"/>
  <c r="D10" i="11" s="1"/>
  <c r="L10" i="11" a="1"/>
  <c r="L10" i="11" s="1"/>
  <c r="T10" i="11" a="1"/>
  <c r="T10" i="11" s="1"/>
  <c r="AB10" i="11" a="1"/>
  <c r="AB10" i="11" s="1"/>
  <c r="AJ10" i="11" a="1"/>
  <c r="AJ10" i="11" s="1"/>
  <c r="AR10" i="11" a="1"/>
  <c r="AR10" i="11" s="1"/>
  <c r="AZ10" i="11" a="1"/>
  <c r="AZ10" i="11" s="1"/>
  <c r="BH10" i="11" a="1"/>
  <c r="BH10" i="11" s="1"/>
  <c r="BP10" i="11" a="1"/>
  <c r="BP10" i="11" s="1"/>
  <c r="BX10" i="11" a="1"/>
  <c r="BX10" i="11" s="1"/>
  <c r="CF10" i="11" a="1"/>
  <c r="CF10" i="11" s="1"/>
  <c r="CN10" i="11" a="1"/>
  <c r="CN10" i="11" s="1"/>
  <c r="E10" i="11" a="1"/>
  <c r="E10" i="11" s="1"/>
  <c r="M10" i="11" a="1"/>
  <c r="M10" i="11" s="1"/>
  <c r="U10" i="11" a="1"/>
  <c r="U10" i="11" s="1"/>
  <c r="AC10" i="11" a="1"/>
  <c r="AC10" i="11" s="1"/>
  <c r="AK10" i="11" a="1"/>
  <c r="AK10" i="11" s="1"/>
  <c r="AS10" i="11" a="1"/>
  <c r="AS10" i="11" s="1"/>
  <c r="BA10" i="11" a="1"/>
  <c r="BA10" i="11" s="1"/>
  <c r="BI10" i="11" a="1"/>
  <c r="BI10" i="11" s="1"/>
  <c r="BQ10" i="11" a="1"/>
  <c r="BQ10" i="11" s="1"/>
  <c r="BY10" i="11" a="1"/>
  <c r="BY10" i="11" s="1"/>
  <c r="CG10" i="11" a="1"/>
  <c r="CG10" i="11" s="1"/>
  <c r="CO10" i="11" a="1"/>
  <c r="CO10" i="11" s="1"/>
  <c r="F10" i="11" a="1"/>
  <c r="F10" i="11" s="1"/>
  <c r="N10" i="11" a="1"/>
  <c r="N10" i="11" s="1"/>
  <c r="V10" i="11" a="1"/>
  <c r="V10" i="11" s="1"/>
  <c r="AD10" i="11" a="1"/>
  <c r="AD10" i="11" s="1"/>
  <c r="AL10" i="11" a="1"/>
  <c r="AL10" i="11" s="1"/>
  <c r="AT10" i="11" a="1"/>
  <c r="AT10" i="11" s="1"/>
  <c r="BB10" i="11" a="1"/>
  <c r="BB10" i="11" s="1"/>
  <c r="BJ10" i="11" a="1"/>
  <c r="BJ10" i="11" s="1"/>
  <c r="BR10" i="11" a="1"/>
  <c r="BR10" i="11" s="1"/>
  <c r="BZ10" i="11" a="1"/>
  <c r="BZ10" i="11" s="1"/>
  <c r="CH10" i="11" a="1"/>
  <c r="CH10" i="11" s="1"/>
  <c r="CP10" i="11" a="1"/>
  <c r="CP10" i="11" s="1"/>
  <c r="G10" i="11" a="1"/>
  <c r="G10" i="11" s="1"/>
  <c r="O10" i="11" a="1"/>
  <c r="O10" i="11" s="1"/>
  <c r="W10" i="11" a="1"/>
  <c r="W10" i="11" s="1"/>
  <c r="AE10" i="11" a="1"/>
  <c r="AE10" i="11" s="1"/>
  <c r="AM10" i="11" a="1"/>
  <c r="AM10" i="11" s="1"/>
  <c r="AU10" i="11" a="1"/>
  <c r="AU10" i="11" s="1"/>
  <c r="BC10" i="11" a="1"/>
  <c r="BC10" i="11" s="1"/>
  <c r="BK10" i="11" a="1"/>
  <c r="BK10" i="11" s="1"/>
  <c r="BS10" i="11" a="1"/>
  <c r="BS10" i="11" s="1"/>
  <c r="CA10" i="11" a="1"/>
  <c r="CA10" i="11" s="1"/>
  <c r="CI10" i="11" a="1"/>
  <c r="CI10" i="11" s="1"/>
  <c r="CQ10" i="11" a="1"/>
  <c r="CQ10" i="11" s="1"/>
  <c r="H10" i="11" a="1"/>
  <c r="H10" i="11" s="1"/>
  <c r="P10" i="11" a="1"/>
  <c r="P10" i="11" s="1"/>
  <c r="X10" i="11" a="1"/>
  <c r="X10" i="11" s="1"/>
  <c r="AF10" i="11" a="1"/>
  <c r="AF10" i="11" s="1"/>
  <c r="AN10" i="11" a="1"/>
  <c r="AN10" i="11" s="1"/>
  <c r="AV10" i="11" a="1"/>
  <c r="AV10" i="11" s="1"/>
  <c r="BD10" i="11" a="1"/>
  <c r="BD10" i="11" s="1"/>
  <c r="BL10" i="11" a="1"/>
  <c r="BL10" i="11" s="1"/>
  <c r="BT10" i="11" a="1"/>
  <c r="BT10" i="11" s="1"/>
  <c r="CB10" i="11" a="1"/>
  <c r="CB10" i="11" s="1"/>
  <c r="CJ10" i="11" a="1"/>
  <c r="CJ10" i="11" s="1"/>
  <c r="CR10" i="11" a="1"/>
  <c r="CR10" i="11" s="1"/>
  <c r="I10" i="11" a="1"/>
  <c r="I10" i="11" s="1"/>
  <c r="Q10" i="11" a="1"/>
  <c r="Q10" i="11" s="1"/>
  <c r="Y10" i="11" a="1"/>
  <c r="Y10" i="11" s="1"/>
  <c r="AG10" i="11" a="1"/>
  <c r="AG10" i="11" s="1"/>
  <c r="AO10" i="11" a="1"/>
  <c r="AO10" i="11" s="1"/>
  <c r="AW10" i="11" a="1"/>
  <c r="AW10" i="11" s="1"/>
  <c r="BE10" i="11" a="1"/>
  <c r="BE10" i="11" s="1"/>
  <c r="BM10" i="11" a="1"/>
  <c r="BM10" i="11" s="1"/>
  <c r="BU10" i="11" a="1"/>
  <c r="BU10" i="11" s="1"/>
  <c r="CC10" i="11" a="1"/>
  <c r="CC10" i="11" s="1"/>
  <c r="J10" i="11" a="1"/>
  <c r="J10" i="11" s="1"/>
  <c r="BV10" i="11" a="1"/>
  <c r="BV10" i="11" s="1"/>
  <c r="R10" i="11" a="1"/>
  <c r="R10" i="11" s="1"/>
  <c r="CD10" i="11" a="1"/>
  <c r="CD10" i="11" s="1"/>
  <c r="Z10" i="11" a="1"/>
  <c r="Z10" i="11" s="1"/>
  <c r="CK10" i="11" a="1"/>
  <c r="CK10" i="11" s="1"/>
  <c r="AH10" i="11" a="1"/>
  <c r="AH10" i="11" s="1"/>
  <c r="CL10" i="11" a="1"/>
  <c r="CL10" i="11" s="1"/>
  <c r="AP10" i="11" a="1"/>
  <c r="AP10" i="11" s="1"/>
  <c r="CS10" i="11" a="1"/>
  <c r="CS10" i="11" s="1"/>
  <c r="AX10" i="11" a="1"/>
  <c r="AX10" i="11" s="1"/>
  <c r="B10" i="11" a="1"/>
  <c r="B10" i="11" s="1"/>
  <c r="BF10" i="11" a="1"/>
  <c r="BF10" i="11" s="1"/>
  <c r="BN10" i="11" a="1"/>
  <c r="BN10" i="11" s="1"/>
  <c r="H58" i="41"/>
  <c r="H466" i="41"/>
  <c r="D466" i="41" a="1"/>
  <c r="D466" i="41" s="1"/>
  <c r="H654" i="41"/>
  <c r="D654" i="41" a="1"/>
  <c r="D654" i="41" s="1"/>
  <c r="H662" i="41"/>
  <c r="D662" i="41" a="1"/>
  <c r="D662" i="41" s="1"/>
  <c r="H608" i="41"/>
  <c r="D608" i="41" a="1"/>
  <c r="D608" i="41" s="1"/>
  <c r="D2" i="41" a="1"/>
  <c r="D2" i="41" s="1"/>
  <c r="F2" i="41" s="1"/>
  <c r="H2" i="41" s="1"/>
  <c r="H14" i="41"/>
  <c r="H42" i="41"/>
  <c r="D58" i="41" a="1"/>
  <c r="D58" i="41" s="1"/>
  <c r="F58" i="41" s="1"/>
  <c r="D70" i="41" a="1"/>
  <c r="D70" i="41" s="1"/>
  <c r="F70" i="41" s="1"/>
  <c r="H70" i="41" s="1"/>
  <c r="D110" i="41" a="1"/>
  <c r="D110" i="41" s="1"/>
  <c r="F110" i="41" s="1"/>
  <c r="H110" i="41" s="1"/>
  <c r="H138" i="41"/>
  <c r="H154" i="41"/>
  <c r="D209" i="41" a="1"/>
  <c r="D209" i="41" s="1"/>
  <c r="D398" i="41" a="1"/>
  <c r="D398" i="41" s="1"/>
  <c r="D429" i="41" a="1"/>
  <c r="D429" i="41" s="1"/>
  <c r="D493" i="41" a="1"/>
  <c r="D493" i="41" s="1"/>
  <c r="D536" i="41" a="1"/>
  <c r="D536" i="41" s="1"/>
  <c r="D560" i="41" a="1"/>
  <c r="D560" i="41" s="1"/>
  <c r="D566" i="41" a="1"/>
  <c r="D566" i="41" s="1"/>
  <c r="D576" i="41" a="1"/>
  <c r="D576" i="41" s="1"/>
  <c r="H614" i="41"/>
  <c r="D614" i="41" a="1"/>
  <c r="D614" i="41" s="1"/>
  <c r="H638" i="41"/>
  <c r="D638" i="41" a="1"/>
  <c r="D638" i="41" s="1"/>
  <c r="H704" i="41"/>
  <c r="D704" i="41" a="1"/>
  <c r="D704" i="41" s="1"/>
  <c r="H760" i="41"/>
  <c r="D760" i="41" a="1"/>
  <c r="D760" i="41" s="1"/>
  <c r="H544" i="41"/>
  <c r="D544" i="41" a="1"/>
  <c r="D544" i="41" s="1"/>
  <c r="H584" i="41"/>
  <c r="D584" i="41" a="1"/>
  <c r="D584" i="41" s="1"/>
  <c r="H672" i="41"/>
  <c r="D672" i="41" a="1"/>
  <c r="D672" i="41" s="1"/>
  <c r="H1279" i="41"/>
  <c r="D1279" i="41" a="1"/>
  <c r="D1279" i="41" s="1"/>
  <c r="H1415" i="41"/>
  <c r="D1415" i="41" a="1"/>
  <c r="D1415" i="41" s="1"/>
  <c r="H10" i="41"/>
  <c r="H26" i="41"/>
  <c r="H38" i="41"/>
  <c r="D54" i="41" a="1"/>
  <c r="D54" i="41" s="1"/>
  <c r="F54" i="41" s="1"/>
  <c r="H54" i="41" s="1"/>
  <c r="H66" i="41"/>
  <c r="H78" i="41"/>
  <c r="D94" i="41" a="1"/>
  <c r="D94" i="41" s="1"/>
  <c r="F94" i="41" s="1"/>
  <c r="H94" i="41" s="1"/>
  <c r="H106" i="41"/>
  <c r="H122" i="41"/>
  <c r="H134" i="41"/>
  <c r="D265" i="41" a="1"/>
  <c r="D265" i="41" s="1"/>
  <c r="D368" i="41" a="1"/>
  <c r="D368" i="41" s="1"/>
  <c r="D384" i="41" a="1"/>
  <c r="D384" i="41" s="1"/>
  <c r="D402" i="41" a="1"/>
  <c r="D402" i="41" s="1"/>
  <c r="D472" i="41" a="1"/>
  <c r="D472" i="41" s="1"/>
  <c r="D600" i="41" a="1"/>
  <c r="D600" i="41" s="1"/>
  <c r="H648" i="41"/>
  <c r="D648" i="41" a="1"/>
  <c r="D648" i="41" s="1"/>
  <c r="H776" i="41"/>
  <c r="D776" i="41" a="1"/>
  <c r="D776" i="41" s="1"/>
  <c r="H809" i="41"/>
  <c r="D809" i="41" a="1"/>
  <c r="D809" i="41" s="1"/>
  <c r="H916" i="41"/>
  <c r="D916" i="41" a="1"/>
  <c r="D916" i="41" s="1"/>
  <c r="H1044" i="41"/>
  <c r="D1044" i="41" a="1"/>
  <c r="D1044" i="41" s="1"/>
  <c r="H1087" i="41"/>
  <c r="D1087" i="41" a="1"/>
  <c r="D1087" i="41" s="1"/>
  <c r="H1461" i="41"/>
  <c r="D1461" i="41" a="1"/>
  <c r="D1461" i="41" s="1"/>
  <c r="H2154" i="41"/>
  <c r="D2154" i="41" a="1"/>
  <c r="D2154" i="41" s="1"/>
  <c r="H2658" i="41"/>
  <c r="D2658" i="41" a="1"/>
  <c r="D2658" i="41" s="1"/>
  <c r="D696" i="41" a="1"/>
  <c r="D696" i="41" s="1"/>
  <c r="D702" i="41" a="1"/>
  <c r="D702" i="41" s="1"/>
  <c r="D712" i="41" a="1"/>
  <c r="D712" i="41" s="1"/>
  <c r="D718" i="41" a="1"/>
  <c r="D718" i="41" s="1"/>
  <c r="D783" i="41" a="1"/>
  <c r="D783" i="41" s="1"/>
  <c r="D833" i="41" a="1"/>
  <c r="D833" i="41" s="1"/>
  <c r="D871" i="41" a="1"/>
  <c r="D871" i="41" s="1"/>
  <c r="D924" i="41" a="1"/>
  <c r="D924" i="41" s="1"/>
  <c r="D1092" i="41" a="1"/>
  <c r="D1092" i="41" s="1"/>
  <c r="H1133" i="41"/>
  <c r="D1133" i="41" a="1"/>
  <c r="D1133" i="41" s="1"/>
  <c r="H1463" i="41"/>
  <c r="D1463" i="41" a="1"/>
  <c r="D1463" i="41" s="1"/>
  <c r="D1511" i="41" a="1"/>
  <c r="D1511" i="41" s="1"/>
  <c r="D1777" i="41" a="1"/>
  <c r="D1777" i="41" s="1"/>
  <c r="H1311" i="41"/>
  <c r="D1311" i="41" a="1"/>
  <c r="D1311" i="41" s="1"/>
  <c r="D768" i="41" a="1"/>
  <c r="D768" i="41" s="1"/>
  <c r="D774" i="41" a="1"/>
  <c r="D774" i="41" s="1"/>
  <c r="D802" i="41" a="1"/>
  <c r="D802" i="41" s="1"/>
  <c r="D813" i="41" a="1"/>
  <c r="D813" i="41" s="1"/>
  <c r="D849" i="41" a="1"/>
  <c r="D849" i="41" s="1"/>
  <c r="D857" i="41" a="1"/>
  <c r="D857" i="41" s="1"/>
  <c r="D879" i="41" a="1"/>
  <c r="D879" i="41" s="1"/>
  <c r="H940" i="41"/>
  <c r="D940" i="41" a="1"/>
  <c r="D940" i="41" s="1"/>
  <c r="D964" i="41" a="1"/>
  <c r="D964" i="41" s="1"/>
  <c r="D972" i="41" a="1"/>
  <c r="D972" i="41" s="1"/>
  <c r="H1144" i="41"/>
  <c r="D1144" i="41" a="1"/>
  <c r="D1144" i="41" s="1"/>
  <c r="D1666" i="41" a="1"/>
  <c r="D1666" i="41" s="1"/>
  <c r="H2439" i="41"/>
  <c r="D2439" i="41" a="1"/>
  <c r="D2439" i="41" s="1"/>
  <c r="H2540" i="41"/>
  <c r="D2540" i="41" a="1"/>
  <c r="D2540" i="41" s="1"/>
  <c r="H1209" i="41"/>
  <c r="D1209" i="41" a="1"/>
  <c r="D1209" i="41" s="1"/>
  <c r="H1413" i="41"/>
  <c r="D1413" i="41" a="1"/>
  <c r="D1413" i="41" s="1"/>
  <c r="H1505" i="41"/>
  <c r="D1505" i="41" a="1"/>
  <c r="D1505" i="41" s="1"/>
  <c r="H1551" i="41"/>
  <c r="D1551" i="41" a="1"/>
  <c r="D1551" i="41" s="1"/>
  <c r="H2717" i="41"/>
  <c r="D2717" i="41" a="1"/>
  <c r="D2717" i="41" s="1"/>
  <c r="D781" i="41" a="1"/>
  <c r="D781" i="41" s="1"/>
  <c r="D839" i="41" a="1"/>
  <c r="D839" i="41" s="1"/>
  <c r="D865" i="41" a="1"/>
  <c r="D865" i="41" s="1"/>
  <c r="D912" i="41" a="1"/>
  <c r="D912" i="41" s="1"/>
  <c r="D1036" i="41" a="1"/>
  <c r="D1036" i="41" s="1"/>
  <c r="D1698" i="41" a="1"/>
  <c r="D1698" i="41" s="1"/>
  <c r="H1961" i="41"/>
  <c r="D1961" i="41" a="1"/>
  <c r="D1961" i="41" s="1"/>
  <c r="H2046" i="41"/>
  <c r="D2046" i="41" a="1"/>
  <c r="D2046" i="41" s="1"/>
  <c r="H2054" i="41"/>
  <c r="D2054" i="41" a="1"/>
  <c r="D2054" i="41" s="1"/>
  <c r="H2476" i="41"/>
  <c r="D2476" i="41" a="1"/>
  <c r="D2476" i="41" s="1"/>
  <c r="H2718" i="41"/>
  <c r="D2718" i="41" a="1"/>
  <c r="D2718" i="41" s="1"/>
  <c r="H2729" i="41"/>
  <c r="D2729" i="41" a="1"/>
  <c r="D2729" i="41" s="1"/>
  <c r="D2532" i="41" a="1"/>
  <c r="D2532" i="41" s="1"/>
  <c r="D1634" i="41" a="1"/>
  <c r="D1634" i="41" s="1"/>
  <c r="D1671" i="41" a="1"/>
  <c r="D1671" i="41" s="1"/>
  <c r="D1674" i="41" a="1"/>
  <c r="D1674" i="41" s="1"/>
  <c r="D1703" i="41" a="1"/>
  <c r="D1703" i="41" s="1"/>
  <c r="D1706" i="41" a="1"/>
  <c r="D1706" i="41" s="1"/>
  <c r="H1773" i="41"/>
  <c r="D1773" i="41" a="1"/>
  <c r="D1773" i="41" s="1"/>
  <c r="H1817" i="41"/>
  <c r="D1817" i="41" a="1"/>
  <c r="D1817" i="41" s="1"/>
  <c r="H1950" i="41"/>
  <c r="D1950" i="41" a="1"/>
  <c r="D1950" i="41" s="1"/>
  <c r="D2516" i="41" a="1"/>
  <c r="D2516" i="41" s="1"/>
  <c r="D1028" i="41" a="1"/>
  <c r="D1028" i="41" s="1"/>
  <c r="D1117" i="41" a="1"/>
  <c r="D1117" i="41" s="1"/>
  <c r="D1124" i="41" a="1"/>
  <c r="D1124" i="41" s="1"/>
  <c r="D1228" i="41" a="1"/>
  <c r="D1228" i="41" s="1"/>
  <c r="D1247" i="41" a="1"/>
  <c r="D1247" i="41" s="1"/>
  <c r="D1353" i="41" a="1"/>
  <c r="D1353" i="41" s="1"/>
  <c r="D1445" i="41" a="1"/>
  <c r="D1445" i="41" s="1"/>
  <c r="D1655" i="41" a="1"/>
  <c r="D1655" i="41" s="1"/>
  <c r="D1749" i="41" a="1"/>
  <c r="D1749" i="41" s="1"/>
  <c r="H1801" i="41"/>
  <c r="D1801" i="41" a="1"/>
  <c r="D1801" i="41" s="1"/>
  <c r="H1806" i="41"/>
  <c r="D1806" i="41" a="1"/>
  <c r="D1806" i="41" s="1"/>
  <c r="D1849" i="41" a="1"/>
  <c r="D1849" i="41" s="1"/>
  <c r="H1958" i="41"/>
  <c r="D1958" i="41" a="1"/>
  <c r="D1958" i="41" s="1"/>
  <c r="D2022" i="41" a="1"/>
  <c r="D2022" i="41" s="1"/>
  <c r="D2038" i="41" a="1"/>
  <c r="D2038" i="41" s="1"/>
  <c r="D2249" i="41" a="1"/>
  <c r="D2249" i="41" s="1"/>
  <c r="H2257" i="41"/>
  <c r="D2257" i="41" a="1"/>
  <c r="D2257" i="41" s="1"/>
  <c r="D2425" i="41" a="1"/>
  <c r="D2425" i="41" s="1"/>
  <c r="H2993" i="41"/>
  <c r="D2993" i="41" a="1"/>
  <c r="D2993" i="41" s="1"/>
  <c r="H2039" i="41"/>
  <c r="D2039" i="41" a="1"/>
  <c r="D2039" i="41" s="1"/>
  <c r="C36" i="11" a="1"/>
  <c r="C36" i="11" s="1"/>
  <c r="D1570" i="41" a="1"/>
  <c r="D1570" i="41" s="1"/>
  <c r="D1618" i="41" a="1"/>
  <c r="D1618" i="41" s="1"/>
  <c r="D1679" i="41" a="1"/>
  <c r="D1679" i="41" s="1"/>
  <c r="D1711" i="41" a="1"/>
  <c r="D1711" i="41" s="1"/>
  <c r="D1714" i="41" a="1"/>
  <c r="D1714" i="41" s="1"/>
  <c r="D1830" i="41" a="1"/>
  <c r="D1830" i="41" s="1"/>
  <c r="D1846" i="41" a="1"/>
  <c r="D1846" i="41" s="1"/>
  <c r="D1870" i="41" a="1"/>
  <c r="D1870" i="41" s="1"/>
  <c r="H1921" i="41"/>
  <c r="D1921" i="41" a="1"/>
  <c r="D1921" i="41" s="1"/>
  <c r="D1974" i="41" a="1"/>
  <c r="D1974" i="41" s="1"/>
  <c r="H1982" i="41"/>
  <c r="D1982" i="41" a="1"/>
  <c r="D1982" i="41" s="1"/>
  <c r="D1999" i="41" a="1"/>
  <c r="D1999" i="41" s="1"/>
  <c r="H2136" i="41"/>
  <c r="D2136" i="41" a="1"/>
  <c r="D2136" i="41" s="1"/>
  <c r="D2361" i="41" a="1"/>
  <c r="D2361" i="41" s="1"/>
  <c r="D1255" i="41" a="1"/>
  <c r="D1255" i="41" s="1"/>
  <c r="D1369" i="41" a="1"/>
  <c r="D1369" i="41" s="1"/>
  <c r="D1404" i="41" a="1"/>
  <c r="D1404" i="41" s="1"/>
  <c r="D1436" i="41" a="1"/>
  <c r="D1436" i="41" s="1"/>
  <c r="D1477" i="41" a="1"/>
  <c r="D1477" i="41" s="1"/>
  <c r="D1690" i="41" a="1"/>
  <c r="D1690" i="41" s="1"/>
  <c r="D1785" i="41" a="1"/>
  <c r="D1785" i="41" s="1"/>
  <c r="H1790" i="41"/>
  <c r="D1790" i="41" a="1"/>
  <c r="D1790" i="41" s="1"/>
  <c r="D1838" i="41" a="1"/>
  <c r="D1838" i="41" s="1"/>
  <c r="D1878" i="41" a="1"/>
  <c r="D1878" i="41" s="1"/>
  <c r="D1897" i="41" a="1"/>
  <c r="D1897" i="41" s="1"/>
  <c r="D1967" i="41" a="1"/>
  <c r="D1967" i="41" s="1"/>
  <c r="H2015" i="41"/>
  <c r="D2015" i="41" a="1"/>
  <c r="D2015" i="41" s="1"/>
  <c r="H2083" i="41"/>
  <c r="D2083" i="41" a="1"/>
  <c r="D2083" i="41" s="1"/>
  <c r="H2133" i="41"/>
  <c r="D2133" i="41" a="1"/>
  <c r="D2133" i="41" s="1"/>
  <c r="H2455" i="41"/>
  <c r="D2455" i="41" a="1"/>
  <c r="D2455" i="41" s="1"/>
  <c r="H2708" i="41"/>
  <c r="D2708" i="41" a="1"/>
  <c r="D2708" i="41" s="1"/>
  <c r="H2849" i="41"/>
  <c r="D2849" i="41" a="1"/>
  <c r="D2849" i="41" s="1"/>
  <c r="E35" i="11" a="1"/>
  <c r="E35" i="11" s="1"/>
  <c r="AH27" i="11" a="1"/>
  <c r="AH27" i="11" s="1"/>
  <c r="R11" i="11" a="1"/>
  <c r="R11" i="11" s="1"/>
  <c r="H2151" i="41"/>
  <c r="D2151" i="41" a="1"/>
  <c r="D2151" i="41" s="1"/>
  <c r="H2329" i="41"/>
  <c r="D2329" i="41" a="1"/>
  <c r="D2329" i="41" s="1"/>
  <c r="H2513" i="41"/>
  <c r="D2513" i="41" a="1"/>
  <c r="D2513" i="41" s="1"/>
  <c r="D2822" i="41" a="1"/>
  <c r="D2822" i="41" s="1"/>
  <c r="F34" i="11" a="1"/>
  <c r="F34" i="11" s="1"/>
  <c r="G26" i="11" a="1"/>
  <c r="G26" i="11" s="1"/>
  <c r="D2201" i="41" a="1"/>
  <c r="D2201" i="41" s="1"/>
  <c r="D2225" i="41" a="1"/>
  <c r="D2225" i="41" s="1"/>
  <c r="D2233" i="41" a="1"/>
  <c r="D2233" i="41" s="1"/>
  <c r="H2321" i="41"/>
  <c r="D2321" i="41" a="1"/>
  <c r="D2321" i="41" s="1"/>
  <c r="D2337" i="41" a="1"/>
  <c r="D2337" i="41" s="1"/>
  <c r="D2369" i="41" a="1"/>
  <c r="D2369" i="41" s="1"/>
  <c r="D2377" i="41" a="1"/>
  <c r="D2377" i="41" s="1"/>
  <c r="H2385" i="41"/>
  <c r="D2385" i="41" a="1"/>
  <c r="D2385" i="41" s="1"/>
  <c r="D2473" i="41" a="1"/>
  <c r="D2473" i="41" s="1"/>
  <c r="D2489" i="41" a="1"/>
  <c r="D2489" i="41" s="1"/>
  <c r="D2497" i="41" a="1"/>
  <c r="D2497" i="41" s="1"/>
  <c r="D2715" i="41" a="1"/>
  <c r="D2715" i="41" s="1"/>
  <c r="D2857" i="41" a="1"/>
  <c r="D2857" i="41" s="1"/>
  <c r="H2144" i="41"/>
  <c r="D2144" i="41" a="1"/>
  <c r="D2144" i="41" s="1"/>
  <c r="H2690" i="41"/>
  <c r="D2690" i="41" a="1"/>
  <c r="D2690" i="41" s="1"/>
  <c r="D1873" i="41" a="1"/>
  <c r="D1873" i="41" s="1"/>
  <c r="D1935" i="41" a="1"/>
  <c r="D1935" i="41" s="1"/>
  <c r="H2209" i="41"/>
  <c r="D2209" i="41" a="1"/>
  <c r="D2209" i="41" s="1"/>
  <c r="H2683" i="41"/>
  <c r="D2683" i="41" a="1"/>
  <c r="D2683" i="41" s="1"/>
  <c r="AS30" i="11" a="1"/>
  <c r="AS30" i="11" s="1"/>
  <c r="H33" i="11" a="1"/>
  <c r="H33" i="11" s="1"/>
  <c r="M25" i="11" a="1"/>
  <c r="M25" i="11" s="1"/>
  <c r="F32" i="11" a="1"/>
  <c r="F32" i="11" s="1"/>
  <c r="AQ24" i="11" a="1"/>
  <c r="AQ24" i="11" s="1"/>
  <c r="Y31" i="11" a="1"/>
  <c r="Y31" i="11" s="1"/>
  <c r="CB23" i="11" a="1"/>
  <c r="CB23" i="11" s="1"/>
  <c r="D6" i="11" a="1"/>
  <c r="D6" i="11" s="1"/>
  <c r="BJ22" i="11" a="1"/>
  <c r="BJ22" i="11" s="1"/>
  <c r="B14" i="11" a="1"/>
  <c r="B14" i="11" s="1"/>
  <c r="C5" i="11" a="1"/>
  <c r="C5" i="11" s="1"/>
  <c r="AQ29" i="11" a="1"/>
  <c r="AQ29" i="11" s="1"/>
  <c r="L21" i="11" a="1"/>
  <c r="L21" i="11" s="1"/>
  <c r="M4" i="11" a="1"/>
  <c r="M4" i="11" s="1"/>
  <c r="AK28" i="11" a="1"/>
  <c r="AK28" i="11" s="1"/>
  <c r="BF20" i="11" a="1"/>
  <c r="BF20" i="11" s="1"/>
  <c r="AN23" i="11" a="1"/>
  <c r="AN23" i="11" s="1"/>
  <c r="CN36" i="11" a="1"/>
  <c r="CN36" i="11" s="1"/>
  <c r="CH36" i="11" a="1"/>
  <c r="CH36" i="11" s="1"/>
  <c r="CA36" i="11" a="1"/>
  <c r="CA36" i="11" s="1"/>
  <c r="BU36" i="11" a="1"/>
  <c r="BU36" i="11" s="1"/>
  <c r="BH36" i="11" a="1"/>
  <c r="BH36" i="11" s="1"/>
  <c r="BB36" i="11" a="1"/>
  <c r="BB36" i="11" s="1"/>
  <c r="AU36" i="11" a="1"/>
  <c r="AU36" i="11" s="1"/>
  <c r="AO36" i="11" a="1"/>
  <c r="AO36" i="11" s="1"/>
  <c r="AB36" i="11" a="1"/>
  <c r="AB36" i="11" s="1"/>
  <c r="V36" i="11" a="1"/>
  <c r="V36" i="11" s="1"/>
  <c r="O36" i="11" a="1"/>
  <c r="O36" i="11" s="1"/>
  <c r="I36" i="11" a="1"/>
  <c r="I36" i="11" s="1"/>
  <c r="CM35" i="11" a="1"/>
  <c r="CM35" i="11" s="1"/>
  <c r="CG35" i="11" a="1"/>
  <c r="CG35" i="11" s="1"/>
  <c r="BZ35" i="11" a="1"/>
  <c r="BZ35" i="11" s="1"/>
  <c r="BT35" i="11" a="1"/>
  <c r="BT35" i="11" s="1"/>
  <c r="BG35" i="11" a="1"/>
  <c r="BG35" i="11" s="1"/>
  <c r="AV35" i="11" a="1"/>
  <c r="AV35" i="11" s="1"/>
  <c r="AL35" i="11" a="1"/>
  <c r="AL35" i="11" s="1"/>
  <c r="AG35" i="11" a="1"/>
  <c r="AG35" i="11" s="1"/>
  <c r="AB35" i="11" a="1"/>
  <c r="AB35" i="11" s="1"/>
  <c r="V35" i="11" a="1"/>
  <c r="V35" i="11" s="1"/>
  <c r="P35" i="11" a="1"/>
  <c r="P35" i="11" s="1"/>
  <c r="J35" i="11" a="1"/>
  <c r="J35" i="11" s="1"/>
  <c r="CO34" i="11" a="1"/>
  <c r="CO34" i="11" s="1"/>
  <c r="CJ34" i="11" a="1"/>
  <c r="CJ34" i="11" s="1"/>
  <c r="CD34" i="11" a="1"/>
  <c r="CD34" i="11" s="1"/>
  <c r="BM34" i="11" a="1"/>
  <c r="BM34" i="11" s="1"/>
  <c r="BG34" i="11" a="1"/>
  <c r="BG34" i="11" s="1"/>
  <c r="BA34" i="11" a="1"/>
  <c r="BA34" i="11" s="1"/>
  <c r="AU34" i="11" a="1"/>
  <c r="AU34" i="11" s="1"/>
  <c r="AO34" i="11" a="1"/>
  <c r="AO34" i="11" s="1"/>
  <c r="AC34" i="11" a="1"/>
  <c r="AC34" i="11" s="1"/>
  <c r="X34" i="11" a="1"/>
  <c r="X34" i="11" s="1"/>
  <c r="R34" i="11" a="1"/>
  <c r="R34" i="11" s="1"/>
  <c r="CR33" i="11" a="1"/>
  <c r="CR33" i="11" s="1"/>
  <c r="CL33" i="11" a="1"/>
  <c r="CL33" i="11" s="1"/>
  <c r="CF33" i="11" a="1"/>
  <c r="CF33" i="11" s="1"/>
  <c r="BZ33" i="11" a="1"/>
  <c r="BZ33" i="11" s="1"/>
  <c r="BT33" i="11" a="1"/>
  <c r="BT33" i="11" s="1"/>
  <c r="BH33" i="11" a="1"/>
  <c r="BH33" i="11" s="1"/>
  <c r="BC33" i="11" a="1"/>
  <c r="BC33" i="11" s="1"/>
  <c r="AW33" i="11" a="1"/>
  <c r="AW33" i="11" s="1"/>
  <c r="AF33" i="11" a="1"/>
  <c r="AF33" i="11" s="1"/>
  <c r="Y33" i="11" a="1"/>
  <c r="Y33" i="11" s="1"/>
  <c r="S33" i="11" a="1"/>
  <c r="S33" i="11" s="1"/>
  <c r="M33" i="11" a="1"/>
  <c r="M33" i="11" s="1"/>
  <c r="G33" i="11" a="1"/>
  <c r="G33" i="11" s="1"/>
  <c r="CS32" i="11" a="1"/>
  <c r="CS32" i="11" s="1"/>
  <c r="CG32" i="11" a="1"/>
  <c r="CG32" i="11" s="1"/>
  <c r="CA32" i="11" a="1"/>
  <c r="CA32" i="11" s="1"/>
  <c r="BT32" i="11" a="1"/>
  <c r="BT32" i="11" s="1"/>
  <c r="BN32" i="11" a="1"/>
  <c r="BN32" i="11" s="1"/>
  <c r="BG32" i="11" a="1"/>
  <c r="BG32" i="11" s="1"/>
  <c r="AZ32" i="11" a="1"/>
  <c r="AZ32" i="11" s="1"/>
  <c r="M32" i="11" a="1"/>
  <c r="M32" i="11" s="1"/>
  <c r="BG31" i="11" a="1"/>
  <c r="BG31" i="11" s="1"/>
  <c r="BI30" i="11" a="1"/>
  <c r="BI30" i="11" s="1"/>
  <c r="BC29" i="11" a="1"/>
  <c r="BC29" i="11" s="1"/>
  <c r="H29" i="11" a="1"/>
  <c r="H29" i="11" s="1"/>
  <c r="BC28" i="11" a="1"/>
  <c r="BC28" i="11" s="1"/>
  <c r="H28" i="11" a="1"/>
  <c r="H28" i="11" s="1"/>
  <c r="BA27" i="11" a="1"/>
  <c r="BA27" i="11" s="1"/>
  <c r="AZ21" i="11" a="1"/>
  <c r="AZ21" i="11" s="1"/>
  <c r="CM36" i="11" a="1"/>
  <c r="CM36" i="11" s="1"/>
  <c r="CG36" i="11" a="1"/>
  <c r="CG36" i="11" s="1"/>
  <c r="BT36" i="11" a="1"/>
  <c r="BT36" i="11" s="1"/>
  <c r="BN36" i="11" a="1"/>
  <c r="BN36" i="11" s="1"/>
  <c r="BG36" i="11" a="1"/>
  <c r="BG36" i="11" s="1"/>
  <c r="BA36" i="11" a="1"/>
  <c r="BA36" i="11" s="1"/>
  <c r="AN36" i="11" a="1"/>
  <c r="AN36" i="11" s="1"/>
  <c r="AH36" i="11" a="1"/>
  <c r="AH36" i="11" s="1"/>
  <c r="AA36" i="11" a="1"/>
  <c r="AA36" i="11" s="1"/>
  <c r="U36" i="11" a="1"/>
  <c r="U36" i="11" s="1"/>
  <c r="H36" i="11" a="1"/>
  <c r="H36" i="11" s="1"/>
  <c r="CS35" i="11" a="1"/>
  <c r="CS35" i="11" s="1"/>
  <c r="CL35" i="11" a="1"/>
  <c r="CL35" i="11" s="1"/>
  <c r="CF35" i="11" a="1"/>
  <c r="CF35" i="11" s="1"/>
  <c r="BS35" i="11" a="1"/>
  <c r="BS35" i="11" s="1"/>
  <c r="BM35" i="11" a="1"/>
  <c r="BM35" i="11" s="1"/>
  <c r="BF35" i="11" a="1"/>
  <c r="BF35" i="11" s="1"/>
  <c r="BA35" i="11" a="1"/>
  <c r="BA35" i="11" s="1"/>
  <c r="AU35" i="11" a="1"/>
  <c r="AU35" i="11" s="1"/>
  <c r="AP35" i="11" a="1"/>
  <c r="AP35" i="11" s="1"/>
  <c r="AA35" i="11" a="1"/>
  <c r="AA35" i="11" s="1"/>
  <c r="U35" i="11" a="1"/>
  <c r="U35" i="11" s="1"/>
  <c r="O35" i="11" a="1"/>
  <c r="O35" i="11" s="1"/>
  <c r="I35" i="11" a="1"/>
  <c r="I35" i="11" s="1"/>
  <c r="D35" i="11" a="1"/>
  <c r="D35" i="11" s="1"/>
  <c r="CI34" i="11" a="1"/>
  <c r="CI34" i="11" s="1"/>
  <c r="CC34" i="11" a="1"/>
  <c r="CC34" i="11" s="1"/>
  <c r="BX34" i="11" a="1"/>
  <c r="BX34" i="11" s="1"/>
  <c r="BQ34" i="11" a="1"/>
  <c r="BQ34" i="11" s="1"/>
  <c r="BL34" i="11" a="1"/>
  <c r="BL34" i="11" s="1"/>
  <c r="BF34" i="11" a="1"/>
  <c r="BF34" i="11" s="1"/>
  <c r="AZ34" i="11" a="1"/>
  <c r="AZ34" i="11" s="1"/>
  <c r="AT34" i="11" a="1"/>
  <c r="AT34" i="11" s="1"/>
  <c r="AN34" i="11" a="1"/>
  <c r="AN34" i="11" s="1"/>
  <c r="AI34" i="11" a="1"/>
  <c r="AI34" i="11" s="1"/>
  <c r="W34" i="11" a="1"/>
  <c r="W34" i="11" s="1"/>
  <c r="Q34" i="11" a="1"/>
  <c r="Q34" i="11" s="1"/>
  <c r="L34" i="11" a="1"/>
  <c r="L34" i="11" s="1"/>
  <c r="E34" i="11" a="1"/>
  <c r="E34" i="11" s="1"/>
  <c r="CQ33" i="11" a="1"/>
  <c r="CQ33" i="11" s="1"/>
  <c r="CK33" i="11" a="1"/>
  <c r="CK33" i="11" s="1"/>
  <c r="CE33" i="11" a="1"/>
  <c r="CE33" i="11" s="1"/>
  <c r="BY33" i="11" a="1"/>
  <c r="BY33" i="11" s="1"/>
  <c r="BS33" i="11" a="1"/>
  <c r="BS33" i="11" s="1"/>
  <c r="BN33" i="11" a="1"/>
  <c r="BN33" i="11" s="1"/>
  <c r="BB33" i="11" a="1"/>
  <c r="BB33" i="11" s="1"/>
  <c r="AV33" i="11" a="1"/>
  <c r="AV33" i="11" s="1"/>
  <c r="AQ33" i="11" a="1"/>
  <c r="AQ33" i="11" s="1"/>
  <c r="AJ33" i="11" a="1"/>
  <c r="AJ33" i="11" s="1"/>
  <c r="AE33" i="11" a="1"/>
  <c r="AE33" i="11" s="1"/>
  <c r="X33" i="11" a="1"/>
  <c r="X33" i="11" s="1"/>
  <c r="F33" i="11" a="1"/>
  <c r="F33" i="11" s="1"/>
  <c r="CR32" i="11" a="1"/>
  <c r="CR32" i="11" s="1"/>
  <c r="CL32" i="11" a="1"/>
  <c r="CL32" i="11" s="1"/>
  <c r="CF32" i="11" a="1"/>
  <c r="CF32" i="11" s="1"/>
  <c r="BZ32" i="11" a="1"/>
  <c r="BZ32" i="11" s="1"/>
  <c r="BS32" i="11" a="1"/>
  <c r="BS32" i="11" s="1"/>
  <c r="BM32" i="11" a="1"/>
  <c r="BM32" i="11" s="1"/>
  <c r="AY32" i="11" a="1"/>
  <c r="AY32" i="11" s="1"/>
  <c r="AT32" i="11" a="1"/>
  <c r="AT32" i="11" s="1"/>
  <c r="BB31" i="11" a="1"/>
  <c r="BB31" i="11" s="1"/>
  <c r="G31" i="11" a="1"/>
  <c r="G31" i="11" s="1"/>
  <c r="BD30" i="11" a="1"/>
  <c r="BD30" i="11" s="1"/>
  <c r="G30" i="11" a="1"/>
  <c r="G30" i="11" s="1"/>
  <c r="AW29" i="11" a="1"/>
  <c r="AW29" i="11" s="1"/>
  <c r="CS28" i="11" a="1"/>
  <c r="CS28" i="11" s="1"/>
  <c r="CS27" i="11" a="1"/>
  <c r="CS27" i="11" s="1"/>
  <c r="AT27" i="11" a="1"/>
  <c r="AT27" i="11" s="1"/>
  <c r="G32" i="11" a="1"/>
  <c r="G32" i="11" s="1"/>
  <c r="N32" i="11" a="1"/>
  <c r="N32" i="11" s="1"/>
  <c r="S32" i="11" a="1"/>
  <c r="S32" i="11" s="1"/>
  <c r="Z32" i="11" a="1"/>
  <c r="Z32" i="11" s="1"/>
  <c r="AF32" i="11" a="1"/>
  <c r="AF32" i="11" s="1"/>
  <c r="AL32" i="11" a="1"/>
  <c r="AL32" i="11" s="1"/>
  <c r="H32" i="11" a="1"/>
  <c r="H32" i="11" s="1"/>
  <c r="T32" i="11" a="1"/>
  <c r="T32" i="11" s="1"/>
  <c r="AG32" i="11" a="1"/>
  <c r="AG32" i="11" s="1"/>
  <c r="AM32" i="11" a="1"/>
  <c r="AM32" i="11" s="1"/>
  <c r="C32" i="11" a="1"/>
  <c r="C32" i="11" s="1"/>
  <c r="I32" i="11" a="1"/>
  <c r="I32" i="11" s="1"/>
  <c r="O32" i="11" a="1"/>
  <c r="O32" i="11" s="1"/>
  <c r="U32" i="11" a="1"/>
  <c r="U32" i="11" s="1"/>
  <c r="AA32" i="11" a="1"/>
  <c r="AA32" i="11" s="1"/>
  <c r="AH32" i="11" a="1"/>
  <c r="AH32" i="11" s="1"/>
  <c r="AN32" i="11" a="1"/>
  <c r="AN32" i="11" s="1"/>
  <c r="P32" i="11" a="1"/>
  <c r="P32" i="11" s="1"/>
  <c r="V32" i="11" a="1"/>
  <c r="V32" i="11" s="1"/>
  <c r="AI32" i="11" a="1"/>
  <c r="AI32" i="11" s="1"/>
  <c r="AO32" i="11" a="1"/>
  <c r="AO32" i="11" s="1"/>
  <c r="D32" i="11" a="1"/>
  <c r="D32" i="11" s="1"/>
  <c r="J32" i="11" a="1"/>
  <c r="J32" i="11" s="1"/>
  <c r="Q32" i="11" a="1"/>
  <c r="Q32" i="11" s="1"/>
  <c r="W32" i="11" a="1"/>
  <c r="W32" i="11" s="1"/>
  <c r="AB32" i="11" a="1"/>
  <c r="AB32" i="11" s="1"/>
  <c r="E32" i="11" a="1"/>
  <c r="E32" i="11" s="1"/>
  <c r="K32" i="11" a="1"/>
  <c r="K32" i="11" s="1"/>
  <c r="AC32" i="11" a="1"/>
  <c r="AC32" i="11" s="1"/>
  <c r="AJ32" i="11" a="1"/>
  <c r="AJ32" i="11" s="1"/>
  <c r="AP32" i="11" a="1"/>
  <c r="AP32" i="11" s="1"/>
  <c r="L32" i="11" a="1"/>
  <c r="L32" i="11" s="1"/>
  <c r="R32" i="11" a="1"/>
  <c r="R32" i="11" s="1"/>
  <c r="X32" i="11" a="1"/>
  <c r="X32" i="11" s="1"/>
  <c r="AD32" i="11" a="1"/>
  <c r="AD32" i="11" s="1"/>
  <c r="AK32" i="11" a="1"/>
  <c r="AK32" i="11" s="1"/>
  <c r="AQ32" i="11" a="1"/>
  <c r="AQ32" i="11" s="1"/>
  <c r="CS36" i="11" a="1"/>
  <c r="CS36" i="11" s="1"/>
  <c r="CF36" i="11" a="1"/>
  <c r="CF36" i="11" s="1"/>
  <c r="BZ36" i="11" a="1"/>
  <c r="BZ36" i="11" s="1"/>
  <c r="BS36" i="11" a="1"/>
  <c r="BS36" i="11" s="1"/>
  <c r="BM36" i="11" a="1"/>
  <c r="BM36" i="11" s="1"/>
  <c r="AZ36" i="11" a="1"/>
  <c r="AZ36" i="11" s="1"/>
  <c r="AT36" i="11" a="1"/>
  <c r="AT36" i="11" s="1"/>
  <c r="AM36" i="11" a="1"/>
  <c r="AM36" i="11" s="1"/>
  <c r="AG36" i="11" a="1"/>
  <c r="AG36" i="11" s="1"/>
  <c r="T36" i="11" a="1"/>
  <c r="T36" i="11" s="1"/>
  <c r="N36" i="11" a="1"/>
  <c r="N36" i="11" s="1"/>
  <c r="G36" i="11" a="1"/>
  <c r="G36" i="11" s="1"/>
  <c r="CR35" i="11" a="1"/>
  <c r="CR35" i="11" s="1"/>
  <c r="CE35" i="11" a="1"/>
  <c r="CE35" i="11" s="1"/>
  <c r="BY35" i="11" a="1"/>
  <c r="BY35" i="11" s="1"/>
  <c r="BR35" i="11" a="1"/>
  <c r="BR35" i="11" s="1"/>
  <c r="BL35" i="11" a="1"/>
  <c r="BL35" i="11" s="1"/>
  <c r="AZ35" i="11" a="1"/>
  <c r="AZ35" i="11" s="1"/>
  <c r="AK35" i="11" a="1"/>
  <c r="AK35" i="11" s="1"/>
  <c r="AF35" i="11" a="1"/>
  <c r="AF35" i="11" s="1"/>
  <c r="Z35" i="11" a="1"/>
  <c r="Z35" i="11" s="1"/>
  <c r="H35" i="11" a="1"/>
  <c r="H35" i="11" s="1"/>
  <c r="C35" i="11" a="1"/>
  <c r="C35" i="11" s="1"/>
  <c r="CN34" i="11" a="1"/>
  <c r="CN34" i="11" s="1"/>
  <c r="CH34" i="11" a="1"/>
  <c r="CH34" i="11" s="1"/>
  <c r="CB34" i="11" a="1"/>
  <c r="CB34" i="11" s="1"/>
  <c r="BW34" i="11" a="1"/>
  <c r="BW34" i="11" s="1"/>
  <c r="BK34" i="11" a="1"/>
  <c r="BK34" i="11" s="1"/>
  <c r="BE34" i="11" a="1"/>
  <c r="BE34" i="11" s="1"/>
  <c r="AM34" i="11" a="1"/>
  <c r="AM34" i="11" s="1"/>
  <c r="AH34" i="11" a="1"/>
  <c r="AH34" i="11" s="1"/>
  <c r="AB34" i="11" a="1"/>
  <c r="AB34" i="11" s="1"/>
  <c r="V34" i="11" a="1"/>
  <c r="V34" i="11" s="1"/>
  <c r="P34" i="11" a="1"/>
  <c r="P34" i="11" s="1"/>
  <c r="K34" i="11" a="1"/>
  <c r="K34" i="11" s="1"/>
  <c r="CP33" i="11" a="1"/>
  <c r="CP33" i="11" s="1"/>
  <c r="CJ33" i="11" a="1"/>
  <c r="CJ33" i="11" s="1"/>
  <c r="BR33" i="11" a="1"/>
  <c r="BR33" i="11" s="1"/>
  <c r="BM33" i="11" a="1"/>
  <c r="BM33" i="11" s="1"/>
  <c r="BG33" i="11" a="1"/>
  <c r="BG33" i="11" s="1"/>
  <c r="BA33" i="11" a="1"/>
  <c r="BA33" i="11" s="1"/>
  <c r="AU33" i="11" a="1"/>
  <c r="AU33" i="11" s="1"/>
  <c r="AP33" i="11" a="1"/>
  <c r="AP33" i="11" s="1"/>
  <c r="AD33" i="11" a="1"/>
  <c r="AD33" i="11" s="1"/>
  <c r="R33" i="11" a="1"/>
  <c r="R33" i="11" s="1"/>
  <c r="L33" i="11" a="1"/>
  <c r="L33" i="11" s="1"/>
  <c r="E33" i="11" a="1"/>
  <c r="E33" i="11" s="1"/>
  <c r="BR32" i="11" a="1"/>
  <c r="BR32" i="11" s="1"/>
  <c r="BL32" i="11" a="1"/>
  <c r="BL32" i="11" s="1"/>
  <c r="BF32" i="11" a="1"/>
  <c r="BF32" i="11" s="1"/>
  <c r="AS32" i="11" a="1"/>
  <c r="AS32" i="11" s="1"/>
  <c r="CQ31" i="11" a="1"/>
  <c r="CQ31" i="11" s="1"/>
  <c r="CS30" i="11" a="1"/>
  <c r="CS30" i="11" s="1"/>
  <c r="AX30" i="11" a="1"/>
  <c r="AX30" i="11" s="1"/>
  <c r="CM28" i="11" a="1"/>
  <c r="CM28" i="11" s="1"/>
  <c r="CM27" i="11" a="1"/>
  <c r="CM27" i="11" s="1"/>
  <c r="AN27" i="11" a="1"/>
  <c r="AN27" i="11" s="1"/>
  <c r="C29" i="11" a="1"/>
  <c r="C29" i="11" s="1"/>
  <c r="N29" i="11" a="1"/>
  <c r="N29" i="11" s="1"/>
  <c r="T29" i="11" a="1"/>
  <c r="T29" i="11" s="1"/>
  <c r="Z29" i="11" a="1"/>
  <c r="Z29" i="11" s="1"/>
  <c r="AF29" i="11" a="1"/>
  <c r="AF29" i="11" s="1"/>
  <c r="AK29" i="11" a="1"/>
  <c r="AK29" i="11" s="1"/>
  <c r="AR29" i="11" a="1"/>
  <c r="AR29" i="11" s="1"/>
  <c r="BD29" i="11" a="1"/>
  <c r="BD29" i="11" s="1"/>
  <c r="BR29" i="11" a="1"/>
  <c r="BR29" i="11" s="1"/>
  <c r="CE29" i="11" a="1"/>
  <c r="CE29" i="11" s="1"/>
  <c r="CK29" i="11" a="1"/>
  <c r="CK29" i="11" s="1"/>
  <c r="CR29" i="11" a="1"/>
  <c r="CR29" i="11" s="1"/>
  <c r="I29" i="11" a="1"/>
  <c r="I29" i="11" s="1"/>
  <c r="O29" i="11" a="1"/>
  <c r="O29" i="11" s="1"/>
  <c r="U29" i="11" a="1"/>
  <c r="U29" i="11" s="1"/>
  <c r="AA29" i="11" a="1"/>
  <c r="AA29" i="11" s="1"/>
  <c r="AG29" i="11" a="1"/>
  <c r="AG29" i="11" s="1"/>
  <c r="AL29" i="11" a="1"/>
  <c r="AL29" i="11" s="1"/>
  <c r="AX29" i="11" a="1"/>
  <c r="AX29" i="11" s="1"/>
  <c r="BE29" i="11" a="1"/>
  <c r="BE29" i="11" s="1"/>
  <c r="BL29" i="11" a="1"/>
  <c r="BL29" i="11" s="1"/>
  <c r="BS29" i="11" a="1"/>
  <c r="BS29" i="11" s="1"/>
  <c r="BY29" i="11" a="1"/>
  <c r="BY29" i="11" s="1"/>
  <c r="CF29" i="11" a="1"/>
  <c r="CF29" i="11" s="1"/>
  <c r="CL29" i="11" a="1"/>
  <c r="CL29" i="11" s="1"/>
  <c r="CS29" i="11" a="1"/>
  <c r="CS29" i="11" s="1"/>
  <c r="D29" i="11" a="1"/>
  <c r="D29" i="11" s="1"/>
  <c r="J29" i="11" a="1"/>
  <c r="J29" i="11" s="1"/>
  <c r="AM29" i="11" a="1"/>
  <c r="AM29" i="11" s="1"/>
  <c r="AS29" i="11" a="1"/>
  <c r="AS29" i="11" s="1"/>
  <c r="AY29" i="11" a="1"/>
  <c r="AY29" i="11" s="1"/>
  <c r="BF29" i="11" a="1"/>
  <c r="BF29" i="11" s="1"/>
  <c r="BM29" i="11" a="1"/>
  <c r="BM29" i="11" s="1"/>
  <c r="BT29" i="11" a="1"/>
  <c r="BT29" i="11" s="1"/>
  <c r="BZ29" i="11" a="1"/>
  <c r="BZ29" i="11" s="1"/>
  <c r="CG29" i="11" a="1"/>
  <c r="CG29" i="11" s="1"/>
  <c r="CM29" i="11" a="1"/>
  <c r="CM29" i="11" s="1"/>
  <c r="K29" i="11" a="1"/>
  <c r="K29" i="11" s="1"/>
  <c r="P29" i="11" a="1"/>
  <c r="P29" i="11" s="1"/>
  <c r="V29" i="11" a="1"/>
  <c r="V29" i="11" s="1"/>
  <c r="AB29" i="11" a="1"/>
  <c r="AB29" i="11" s="1"/>
  <c r="AH29" i="11" a="1"/>
  <c r="AH29" i="11" s="1"/>
  <c r="AN29" i="11" a="1"/>
  <c r="AN29" i="11" s="1"/>
  <c r="AZ29" i="11" a="1"/>
  <c r="AZ29" i="11" s="1"/>
  <c r="BG29" i="11" a="1"/>
  <c r="BG29" i="11" s="1"/>
  <c r="BN29" i="11" a="1"/>
  <c r="BN29" i="11" s="1"/>
  <c r="CA29" i="11" a="1"/>
  <c r="CA29" i="11" s="1"/>
  <c r="CN29" i="11" a="1"/>
  <c r="CN29" i="11" s="1"/>
  <c r="E29" i="11" a="1"/>
  <c r="E29" i="11" s="1"/>
  <c r="L29" i="11" a="1"/>
  <c r="L29" i="11" s="1"/>
  <c r="Q29" i="11" a="1"/>
  <c r="Q29" i="11" s="1"/>
  <c r="W29" i="11" a="1"/>
  <c r="W29" i="11" s="1"/>
  <c r="AC29" i="11" a="1"/>
  <c r="AC29" i="11" s="1"/>
  <c r="AI29" i="11" a="1"/>
  <c r="AI29" i="11" s="1"/>
  <c r="AT29" i="11" a="1"/>
  <c r="AT29" i="11" s="1"/>
  <c r="BA29" i="11" a="1"/>
  <c r="BA29" i="11" s="1"/>
  <c r="BH29" i="11" a="1"/>
  <c r="BH29" i="11" s="1"/>
  <c r="BO29" i="11" a="1"/>
  <c r="BO29" i="11" s="1"/>
  <c r="BU29" i="11" a="1"/>
  <c r="BU29" i="11" s="1"/>
  <c r="CB29" i="11" a="1"/>
  <c r="CB29" i="11" s="1"/>
  <c r="CH29" i="11" a="1"/>
  <c r="CH29" i="11" s="1"/>
  <c r="CO29" i="11" a="1"/>
  <c r="CO29" i="11" s="1"/>
  <c r="F29" i="11" a="1"/>
  <c r="F29" i="11" s="1"/>
  <c r="X29" i="11" a="1"/>
  <c r="X29" i="11" s="1"/>
  <c r="AD29" i="11" a="1"/>
  <c r="AD29" i="11" s="1"/>
  <c r="AO29" i="11" a="1"/>
  <c r="AO29" i="11" s="1"/>
  <c r="AU29" i="11" a="1"/>
  <c r="AU29" i="11" s="1"/>
  <c r="BI29" i="11" a="1"/>
  <c r="BI29" i="11" s="1"/>
  <c r="BV29" i="11" a="1"/>
  <c r="BV29" i="11" s="1"/>
  <c r="CC29" i="11" a="1"/>
  <c r="CC29" i="11" s="1"/>
  <c r="CI29" i="11" a="1"/>
  <c r="CI29" i="11" s="1"/>
  <c r="CP29" i="11" a="1"/>
  <c r="CP29" i="11" s="1"/>
  <c r="G29" i="11" a="1"/>
  <c r="G29" i="11" s="1"/>
  <c r="M29" i="11" a="1"/>
  <c r="M29" i="11" s="1"/>
  <c r="R29" i="11" a="1"/>
  <c r="R29" i="11" s="1"/>
  <c r="AE29" i="11" a="1"/>
  <c r="AE29" i="11" s="1"/>
  <c r="AJ29" i="11" a="1"/>
  <c r="AJ29" i="11" s="1"/>
  <c r="AP29" i="11" a="1"/>
  <c r="AP29" i="11" s="1"/>
  <c r="AV29" i="11" a="1"/>
  <c r="AV29" i="11" s="1"/>
  <c r="BB29" i="11" a="1"/>
  <c r="BB29" i="11" s="1"/>
  <c r="BJ29" i="11" a="1"/>
  <c r="BJ29" i="11" s="1"/>
  <c r="BP29" i="11" a="1"/>
  <c r="BP29" i="11" s="1"/>
  <c r="BW29" i="11" a="1"/>
  <c r="BW29" i="11" s="1"/>
  <c r="CJ29" i="11" a="1"/>
  <c r="CJ29" i="11" s="1"/>
  <c r="CQ29" i="11" a="1"/>
  <c r="CQ29" i="11" s="1"/>
  <c r="CR36" i="11" a="1"/>
  <c r="CR36" i="11" s="1"/>
  <c r="CL36" i="11" a="1"/>
  <c r="CL36" i="11" s="1"/>
  <c r="CE36" i="11" a="1"/>
  <c r="CE36" i="11" s="1"/>
  <c r="BY36" i="11" a="1"/>
  <c r="BY36" i="11" s="1"/>
  <c r="BL36" i="11" a="1"/>
  <c r="BL36" i="11" s="1"/>
  <c r="BF36" i="11" a="1"/>
  <c r="BF36" i="11" s="1"/>
  <c r="AY36" i="11" a="1"/>
  <c r="AY36" i="11" s="1"/>
  <c r="AS36" i="11" a="1"/>
  <c r="AS36" i="11" s="1"/>
  <c r="AF36" i="11" a="1"/>
  <c r="AF36" i="11" s="1"/>
  <c r="Z36" i="11" a="1"/>
  <c r="Z36" i="11" s="1"/>
  <c r="S36" i="11" a="1"/>
  <c r="S36" i="11" s="1"/>
  <c r="M36" i="11" a="1"/>
  <c r="M36" i="11" s="1"/>
  <c r="CQ35" i="11" a="1"/>
  <c r="CQ35" i="11" s="1"/>
  <c r="CK35" i="11" a="1"/>
  <c r="CK35" i="11" s="1"/>
  <c r="CD35" i="11" a="1"/>
  <c r="CD35" i="11" s="1"/>
  <c r="BX35" i="11" a="1"/>
  <c r="BX35" i="11" s="1"/>
  <c r="BK35" i="11" a="1"/>
  <c r="BK35" i="11" s="1"/>
  <c r="BE35" i="11" a="1"/>
  <c r="BE35" i="11" s="1"/>
  <c r="AY35" i="11" a="1"/>
  <c r="AY35" i="11" s="1"/>
  <c r="AT35" i="11" a="1"/>
  <c r="AT35" i="11" s="1"/>
  <c r="AO35" i="11" a="1"/>
  <c r="AO35" i="11" s="1"/>
  <c r="AE35" i="11" a="1"/>
  <c r="AE35" i="11" s="1"/>
  <c r="T35" i="11" a="1"/>
  <c r="T35" i="11" s="1"/>
  <c r="N35" i="11" a="1"/>
  <c r="N35" i="11" s="1"/>
  <c r="G35" i="11" a="1"/>
  <c r="G35" i="11" s="1"/>
  <c r="BV34" i="11" a="1"/>
  <c r="BV34" i="11" s="1"/>
  <c r="BP34" i="11" a="1"/>
  <c r="BP34" i="11" s="1"/>
  <c r="BJ34" i="11" a="1"/>
  <c r="BJ34" i="11" s="1"/>
  <c r="AY34" i="11" a="1"/>
  <c r="AY34" i="11" s="1"/>
  <c r="AS34" i="11" a="1"/>
  <c r="AS34" i="11" s="1"/>
  <c r="AL34" i="11" a="1"/>
  <c r="AL34" i="11" s="1"/>
  <c r="J34" i="11" a="1"/>
  <c r="J34" i="11" s="1"/>
  <c r="D34" i="11" a="1"/>
  <c r="D34" i="11" s="1"/>
  <c r="CO33" i="11" a="1"/>
  <c r="CO33" i="11" s="1"/>
  <c r="CD33" i="11" a="1"/>
  <c r="CD33" i="11" s="1"/>
  <c r="BX33" i="11" a="1"/>
  <c r="BX33" i="11" s="1"/>
  <c r="BQ33" i="11" a="1"/>
  <c r="BQ33" i="11" s="1"/>
  <c r="AO33" i="11" a="1"/>
  <c r="AO33" i="11" s="1"/>
  <c r="AI33" i="11" a="1"/>
  <c r="AI33" i="11" s="1"/>
  <c r="AC33" i="11" a="1"/>
  <c r="AC33" i="11" s="1"/>
  <c r="W33" i="11" a="1"/>
  <c r="W33" i="11" s="1"/>
  <c r="Q33" i="11" a="1"/>
  <c r="Q33" i="11" s="1"/>
  <c r="CQ32" i="11" a="1"/>
  <c r="CQ32" i="11" s="1"/>
  <c r="CK32" i="11" a="1"/>
  <c r="CK32" i="11" s="1"/>
  <c r="CE32" i="11" a="1"/>
  <c r="CE32" i="11" s="1"/>
  <c r="BY32" i="11" a="1"/>
  <c r="BY32" i="11" s="1"/>
  <c r="BK32" i="11" a="1"/>
  <c r="BK32" i="11" s="1"/>
  <c r="BE32" i="11" a="1"/>
  <c r="BE32" i="11" s="1"/>
  <c r="AX32" i="11" a="1"/>
  <c r="AX32" i="11" s="1"/>
  <c r="AR32" i="11" a="1"/>
  <c r="AR32" i="11" s="1"/>
  <c r="CK31" i="11" a="1"/>
  <c r="CK31" i="11" s="1"/>
  <c r="AP31" i="11" a="1"/>
  <c r="AP31" i="11" s="1"/>
  <c r="CL30" i="11" a="1"/>
  <c r="CL30" i="11" s="1"/>
  <c r="CG28" i="11" a="1"/>
  <c r="CG28" i="11" s="1"/>
  <c r="CG27" i="11" a="1"/>
  <c r="CG27" i="11" s="1"/>
  <c r="H30" i="11" a="1"/>
  <c r="H30" i="11" s="1"/>
  <c r="N30" i="11" a="1"/>
  <c r="N30" i="11" s="1"/>
  <c r="T30" i="11" a="1"/>
  <c r="T30" i="11" s="1"/>
  <c r="Z30" i="11" a="1"/>
  <c r="Z30" i="11" s="1"/>
  <c r="AY30" i="11" a="1"/>
  <c r="AY30" i="11" s="1"/>
  <c r="BJ30" i="11" a="1"/>
  <c r="BJ30" i="11" s="1"/>
  <c r="BP30" i="11" a="1"/>
  <c r="BP30" i="11" s="1"/>
  <c r="BV30" i="11" a="1"/>
  <c r="BV30" i="11" s="1"/>
  <c r="CB30" i="11" a="1"/>
  <c r="CB30" i="11" s="1"/>
  <c r="CM30" i="11" a="1"/>
  <c r="CM30" i="11" s="1"/>
  <c r="I30" i="11" a="1"/>
  <c r="I30" i="11" s="1"/>
  <c r="U30" i="11" a="1"/>
  <c r="U30" i="11" s="1"/>
  <c r="AA30" i="11" a="1"/>
  <c r="AA30" i="11" s="1"/>
  <c r="AG30" i="11" a="1"/>
  <c r="AG30" i="11" s="1"/>
  <c r="AM30" i="11" a="1"/>
  <c r="AM30" i="11" s="1"/>
  <c r="AT30" i="11" a="1"/>
  <c r="AT30" i="11" s="1"/>
  <c r="AZ30" i="11" a="1"/>
  <c r="AZ30" i="11" s="1"/>
  <c r="BE30" i="11" a="1"/>
  <c r="BE30" i="11" s="1"/>
  <c r="BK30" i="11" a="1"/>
  <c r="BK30" i="11" s="1"/>
  <c r="BQ30" i="11" a="1"/>
  <c r="BQ30" i="11" s="1"/>
  <c r="BW30" i="11" a="1"/>
  <c r="BW30" i="11" s="1"/>
  <c r="CH30" i="11" a="1"/>
  <c r="CH30" i="11" s="1"/>
  <c r="CN30" i="11" a="1"/>
  <c r="CN30" i="11" s="1"/>
  <c r="C30" i="11" a="1"/>
  <c r="C30" i="11" s="1"/>
  <c r="O30" i="11" a="1"/>
  <c r="O30" i="11" s="1"/>
  <c r="V30" i="11" a="1"/>
  <c r="V30" i="11" s="1"/>
  <c r="AB30" i="11" a="1"/>
  <c r="AB30" i="11" s="1"/>
  <c r="AH30" i="11" a="1"/>
  <c r="AH30" i="11" s="1"/>
  <c r="AN30" i="11" a="1"/>
  <c r="AN30" i="11" s="1"/>
  <c r="BA30" i="11" a="1"/>
  <c r="BA30" i="11" s="1"/>
  <c r="BL30" i="11" a="1"/>
  <c r="BL30" i="11" s="1"/>
  <c r="BX30" i="11" a="1"/>
  <c r="BX30" i="11" s="1"/>
  <c r="CC30" i="11" a="1"/>
  <c r="CC30" i="11" s="1"/>
  <c r="CI30" i="11" a="1"/>
  <c r="CI30" i="11" s="1"/>
  <c r="D30" i="11" a="1"/>
  <c r="D30" i="11" s="1"/>
  <c r="J30" i="11" a="1"/>
  <c r="J30" i="11" s="1"/>
  <c r="P30" i="11" a="1"/>
  <c r="P30" i="11" s="1"/>
  <c r="AC30" i="11" a="1"/>
  <c r="AC30" i="11" s="1"/>
  <c r="AI30" i="11" a="1"/>
  <c r="AI30" i="11" s="1"/>
  <c r="AO30" i="11" a="1"/>
  <c r="AO30" i="11" s="1"/>
  <c r="AU30" i="11" a="1"/>
  <c r="AU30" i="11" s="1"/>
  <c r="BF30" i="11" a="1"/>
  <c r="BF30" i="11" s="1"/>
  <c r="BM30" i="11" a="1"/>
  <c r="BM30" i="11" s="1"/>
  <c r="BR30" i="11" a="1"/>
  <c r="BR30" i="11" s="1"/>
  <c r="CD30" i="11" a="1"/>
  <c r="CD30" i="11" s="1"/>
  <c r="CJ30" i="11" a="1"/>
  <c r="CJ30" i="11" s="1"/>
  <c r="CO30" i="11" a="1"/>
  <c r="CO30" i="11" s="1"/>
  <c r="K30" i="11" a="1"/>
  <c r="K30" i="11" s="1"/>
  <c r="Q30" i="11" a="1"/>
  <c r="Q30" i="11" s="1"/>
  <c r="W30" i="11" a="1"/>
  <c r="W30" i="11" s="1"/>
  <c r="AJ30" i="11" a="1"/>
  <c r="AJ30" i="11" s="1"/>
  <c r="AP30" i="11" a="1"/>
  <c r="AP30" i="11" s="1"/>
  <c r="AV30" i="11" a="1"/>
  <c r="AV30" i="11" s="1"/>
  <c r="BB30" i="11" a="1"/>
  <c r="BB30" i="11" s="1"/>
  <c r="BG30" i="11" a="1"/>
  <c r="BG30" i="11" s="1"/>
  <c r="BS30" i="11" a="1"/>
  <c r="BS30" i="11" s="1"/>
  <c r="BY30" i="11" a="1"/>
  <c r="BY30" i="11" s="1"/>
  <c r="CE30" i="11" a="1"/>
  <c r="CE30" i="11" s="1"/>
  <c r="CP30" i="11" a="1"/>
  <c r="CP30" i="11" s="1"/>
  <c r="E30" i="11" a="1"/>
  <c r="E30" i="11" s="1"/>
  <c r="L30" i="11" a="1"/>
  <c r="L30" i="11" s="1"/>
  <c r="R30" i="11" a="1"/>
  <c r="R30" i="11" s="1"/>
  <c r="X30" i="11" a="1"/>
  <c r="X30" i="11" s="1"/>
  <c r="AD30" i="11" a="1"/>
  <c r="AD30" i="11" s="1"/>
  <c r="AQ30" i="11" a="1"/>
  <c r="AQ30" i="11" s="1"/>
  <c r="BH30" i="11" a="1"/>
  <c r="BH30" i="11" s="1"/>
  <c r="BN30" i="11" a="1"/>
  <c r="BN30" i="11" s="1"/>
  <c r="BZ30" i="11" a="1"/>
  <c r="BZ30" i="11" s="1"/>
  <c r="CK30" i="11" a="1"/>
  <c r="CK30" i="11" s="1"/>
  <c r="CQ30" i="11" a="1"/>
  <c r="CQ30" i="11" s="1"/>
  <c r="F30" i="11" a="1"/>
  <c r="F30" i="11" s="1"/>
  <c r="M30" i="11" a="1"/>
  <c r="M30" i="11" s="1"/>
  <c r="AE30" i="11" a="1"/>
  <c r="AE30" i="11" s="1"/>
  <c r="AK30" i="11" a="1"/>
  <c r="AK30" i="11" s="1"/>
  <c r="AR30" i="11" a="1"/>
  <c r="AR30" i="11" s="1"/>
  <c r="AW30" i="11" a="1"/>
  <c r="AW30" i="11" s="1"/>
  <c r="BC30" i="11" a="1"/>
  <c r="BC30" i="11" s="1"/>
  <c r="BO30" i="11" a="1"/>
  <c r="BO30" i="11" s="1"/>
  <c r="BT30" i="11" a="1"/>
  <c r="BT30" i="11" s="1"/>
  <c r="CA30" i="11" a="1"/>
  <c r="CA30" i="11" s="1"/>
  <c r="CF30" i="11" a="1"/>
  <c r="CF30" i="11" s="1"/>
  <c r="CR30" i="11" a="1"/>
  <c r="CR30" i="11" s="1"/>
  <c r="C28" i="11" a="1"/>
  <c r="C28" i="11" s="1"/>
  <c r="I28" i="11" a="1"/>
  <c r="I28" i="11" s="1"/>
  <c r="AL28" i="11" a="1"/>
  <c r="AL28" i="11" s="1"/>
  <c r="AR28" i="11" a="1"/>
  <c r="AR28" i="11" s="1"/>
  <c r="AW28" i="11" a="1"/>
  <c r="AW28" i="11" s="1"/>
  <c r="BD28" i="11" a="1"/>
  <c r="BD28" i="11" s="1"/>
  <c r="BP28" i="11" a="1"/>
  <c r="BP28" i="11" s="1"/>
  <c r="BW28" i="11" a="1"/>
  <c r="BW28" i="11" s="1"/>
  <c r="CB28" i="11" a="1"/>
  <c r="CB28" i="11" s="1"/>
  <c r="CH28" i="11" a="1"/>
  <c r="CH28" i="11" s="1"/>
  <c r="CN28" i="11" a="1"/>
  <c r="CN28" i="11" s="1"/>
  <c r="J28" i="11" a="1"/>
  <c r="J28" i="11" s="1"/>
  <c r="O28" i="11" a="1"/>
  <c r="O28" i="11" s="1"/>
  <c r="U28" i="11" a="1"/>
  <c r="U28" i="11" s="1"/>
  <c r="AA28" i="11" a="1"/>
  <c r="AA28" i="11" s="1"/>
  <c r="AG28" i="11" a="1"/>
  <c r="AG28" i="11" s="1"/>
  <c r="AM28" i="11" a="1"/>
  <c r="AM28" i="11" s="1"/>
  <c r="AX28" i="11" a="1"/>
  <c r="AX28" i="11" s="1"/>
  <c r="BE28" i="11" a="1"/>
  <c r="BE28" i="11" s="1"/>
  <c r="BK28" i="11" a="1"/>
  <c r="BK28" i="11" s="1"/>
  <c r="BQ28" i="11" a="1"/>
  <c r="BQ28" i="11" s="1"/>
  <c r="CI28" i="11" a="1"/>
  <c r="CI28" i="11" s="1"/>
  <c r="CO28" i="11" a="1"/>
  <c r="CO28" i="11" s="1"/>
  <c r="D28" i="11" a="1"/>
  <c r="D28" i="11" s="1"/>
  <c r="K28" i="11" a="1"/>
  <c r="K28" i="11" s="1"/>
  <c r="P28" i="11" a="1"/>
  <c r="P28" i="11" s="1"/>
  <c r="V28" i="11" a="1"/>
  <c r="V28" i="11" s="1"/>
  <c r="AB28" i="11" a="1"/>
  <c r="AB28" i="11" s="1"/>
  <c r="AH28" i="11" a="1"/>
  <c r="AH28" i="11" s="1"/>
  <c r="AS28" i="11" a="1"/>
  <c r="AS28" i="11" s="1"/>
  <c r="AY28" i="11" a="1"/>
  <c r="AY28" i="11" s="1"/>
  <c r="BF28" i="11" a="1"/>
  <c r="BF28" i="11" s="1"/>
  <c r="BL28" i="11" a="1"/>
  <c r="BL28" i="11" s="1"/>
  <c r="BR28" i="11" a="1"/>
  <c r="BR28" i="11" s="1"/>
  <c r="BX28" i="11" a="1"/>
  <c r="BX28" i="11" s="1"/>
  <c r="CC28" i="11" a="1"/>
  <c r="CC28" i="11" s="1"/>
  <c r="CP28" i="11" a="1"/>
  <c r="CP28" i="11" s="1"/>
  <c r="E28" i="11" a="1"/>
  <c r="E28" i="11" s="1"/>
  <c r="W28" i="11" a="1"/>
  <c r="W28" i="11" s="1"/>
  <c r="AC28" i="11" a="1"/>
  <c r="AC28" i="11" s="1"/>
  <c r="AN28" i="11" a="1"/>
  <c r="AN28" i="11" s="1"/>
  <c r="AT28" i="11" a="1"/>
  <c r="AT28" i="11" s="1"/>
  <c r="AZ28" i="11" a="1"/>
  <c r="AZ28" i="11" s="1"/>
  <c r="BM28" i="11" a="1"/>
  <c r="BM28" i="11" s="1"/>
  <c r="BS28" i="11" a="1"/>
  <c r="BS28" i="11" s="1"/>
  <c r="CD28" i="11" a="1"/>
  <c r="CD28" i="11" s="1"/>
  <c r="CJ28" i="11" a="1"/>
  <c r="CJ28" i="11" s="1"/>
  <c r="F28" i="11" a="1"/>
  <c r="F28" i="11" s="1"/>
  <c r="L28" i="11" a="1"/>
  <c r="L28" i="11" s="1"/>
  <c r="Q28" i="11" a="1"/>
  <c r="Q28" i="11" s="1"/>
  <c r="AD28" i="11" a="1"/>
  <c r="AD28" i="11" s="1"/>
  <c r="AI28" i="11" a="1"/>
  <c r="AI28" i="11" s="1"/>
  <c r="AO28" i="11" a="1"/>
  <c r="AO28" i="11" s="1"/>
  <c r="BG28" i="11" a="1"/>
  <c r="BG28" i="11" s="1"/>
  <c r="BN28" i="11" a="1"/>
  <c r="BN28" i="11" s="1"/>
  <c r="BY28" i="11" a="1"/>
  <c r="BY28" i="11" s="1"/>
  <c r="CE28" i="11" a="1"/>
  <c r="CE28" i="11" s="1"/>
  <c r="CK28" i="11" a="1"/>
  <c r="CK28" i="11" s="1"/>
  <c r="CQ28" i="11" a="1"/>
  <c r="CQ28" i="11" s="1"/>
  <c r="G28" i="11" a="1"/>
  <c r="G28" i="11" s="1"/>
  <c r="R28" i="11" a="1"/>
  <c r="R28" i="11" s="1"/>
  <c r="X28" i="11" a="1"/>
  <c r="X28" i="11" s="1"/>
  <c r="AP28" i="11" a="1"/>
  <c r="AP28" i="11" s="1"/>
  <c r="AU28" i="11" a="1"/>
  <c r="AU28" i="11" s="1"/>
  <c r="BA28" i="11" a="1"/>
  <c r="BA28" i="11" s="1"/>
  <c r="BH28" i="11" a="1"/>
  <c r="BH28" i="11" s="1"/>
  <c r="BT28" i="11" a="1"/>
  <c r="BT28" i="11" s="1"/>
  <c r="BZ28" i="11" a="1"/>
  <c r="BZ28" i="11" s="1"/>
  <c r="CF28" i="11" a="1"/>
  <c r="CF28" i="11" s="1"/>
  <c r="CL28" i="11" a="1"/>
  <c r="CL28" i="11" s="1"/>
  <c r="CR28" i="11" a="1"/>
  <c r="CR28" i="11" s="1"/>
  <c r="M28" i="11" a="1"/>
  <c r="M28" i="11" s="1"/>
  <c r="S28" i="11" a="1"/>
  <c r="S28" i="11" s="1"/>
  <c r="Y28" i="11" a="1"/>
  <c r="Y28" i="11" s="1"/>
  <c r="AE28" i="11" a="1"/>
  <c r="AE28" i="11" s="1"/>
  <c r="AJ28" i="11" a="1"/>
  <c r="AJ28" i="11" s="1"/>
  <c r="AQ28" i="11" a="1"/>
  <c r="AQ28" i="11" s="1"/>
  <c r="AV28" i="11" a="1"/>
  <c r="AV28" i="11" s="1"/>
  <c r="BB28" i="11" a="1"/>
  <c r="BB28" i="11" s="1"/>
  <c r="BI28" i="11" a="1"/>
  <c r="BI28" i="11" s="1"/>
  <c r="BO28" i="11" a="1"/>
  <c r="BO28" i="11" s="1"/>
  <c r="BU28" i="11" a="1"/>
  <c r="BU28" i="11" s="1"/>
  <c r="C27" i="11" a="1"/>
  <c r="C27" i="11" s="1"/>
  <c r="I27" i="11" a="1"/>
  <c r="I27" i="11" s="1"/>
  <c r="O27" i="11" a="1"/>
  <c r="O27" i="11" s="1"/>
  <c r="V27" i="11" a="1"/>
  <c r="V27" i="11" s="1"/>
  <c r="AB27" i="11" a="1"/>
  <c r="AB27" i="11" s="1"/>
  <c r="AO27" i="11" a="1"/>
  <c r="AO27" i="11" s="1"/>
  <c r="AU27" i="11" a="1"/>
  <c r="AU27" i="11" s="1"/>
  <c r="BB27" i="11" a="1"/>
  <c r="BB27" i="11" s="1"/>
  <c r="BI27" i="11" a="1"/>
  <c r="BI27" i="11" s="1"/>
  <c r="BU27" i="11" a="1"/>
  <c r="BU27" i="11" s="1"/>
  <c r="CA27" i="11" a="1"/>
  <c r="CA27" i="11" s="1"/>
  <c r="CH27" i="11" a="1"/>
  <c r="CH27" i="11" s="1"/>
  <c r="CN27" i="11" a="1"/>
  <c r="CN27" i="11" s="1"/>
  <c r="D27" i="11" a="1"/>
  <c r="D27" i="11" s="1"/>
  <c r="J27" i="11" a="1"/>
  <c r="J27" i="11" s="1"/>
  <c r="AC27" i="11" a="1"/>
  <c r="AC27" i="11" s="1"/>
  <c r="AI27" i="11" a="1"/>
  <c r="AI27" i="11" s="1"/>
  <c r="AP27" i="11" a="1"/>
  <c r="AP27" i="11" s="1"/>
  <c r="BC27" i="11" a="1"/>
  <c r="BC27" i="11" s="1"/>
  <c r="BO27" i="11" a="1"/>
  <c r="BO27" i="11" s="1"/>
  <c r="BV27" i="11" a="1"/>
  <c r="BV27" i="11" s="1"/>
  <c r="CO27" i="11" a="1"/>
  <c r="CO27" i="11" s="1"/>
  <c r="E27" i="11" a="1"/>
  <c r="E27" i="11" s="1"/>
  <c r="K27" i="11" a="1"/>
  <c r="K27" i="11" s="1"/>
  <c r="P27" i="11" a="1"/>
  <c r="P27" i="11" s="1"/>
  <c r="W27" i="11" a="1"/>
  <c r="W27" i="11" s="1"/>
  <c r="AJ27" i="11" a="1"/>
  <c r="AJ27" i="11" s="1"/>
  <c r="AQ27" i="11" a="1"/>
  <c r="AQ27" i="11" s="1"/>
  <c r="AV27" i="11" a="1"/>
  <c r="AV27" i="11" s="1"/>
  <c r="BD27" i="11" a="1"/>
  <c r="BD27" i="11" s="1"/>
  <c r="BJ27" i="11" a="1"/>
  <c r="BJ27" i="11" s="1"/>
  <c r="BP27" i="11" a="1"/>
  <c r="BP27" i="11" s="1"/>
  <c r="BW27" i="11" a="1"/>
  <c r="BW27" i="11" s="1"/>
  <c r="CB27" i="11" a="1"/>
  <c r="CB27" i="11" s="1"/>
  <c r="CI27" i="11" a="1"/>
  <c r="CI27" i="11" s="1"/>
  <c r="Q27" i="11" a="1"/>
  <c r="Q27" i="11" s="1"/>
  <c r="X27" i="11" a="1"/>
  <c r="X27" i="11" s="1"/>
  <c r="AD27" i="11" a="1"/>
  <c r="AD27" i="11" s="1"/>
  <c r="AK27" i="11" a="1"/>
  <c r="AK27" i="11" s="1"/>
  <c r="AW27" i="11" a="1"/>
  <c r="AW27" i="11" s="1"/>
  <c r="BE27" i="11" a="1"/>
  <c r="BE27" i="11" s="1"/>
  <c r="BK27" i="11" a="1"/>
  <c r="BK27" i="11" s="1"/>
  <c r="BQ27" i="11" a="1"/>
  <c r="BQ27" i="11" s="1"/>
  <c r="CC27" i="11" a="1"/>
  <c r="CC27" i="11" s="1"/>
  <c r="CJ27" i="11" a="1"/>
  <c r="CJ27" i="11" s="1"/>
  <c r="CP27" i="11" a="1"/>
  <c r="CP27" i="11" s="1"/>
  <c r="F27" i="11" a="1"/>
  <c r="F27" i="11" s="1"/>
  <c r="L27" i="11" a="1"/>
  <c r="L27" i="11" s="1"/>
  <c r="R27" i="11" a="1"/>
  <c r="R27" i="11" s="1"/>
  <c r="Y27" i="11" a="1"/>
  <c r="Y27" i="11" s="1"/>
  <c r="AE27" i="11" a="1"/>
  <c r="AE27" i="11" s="1"/>
  <c r="AL27" i="11" a="1"/>
  <c r="AL27" i="11" s="1"/>
  <c r="AR27" i="11" a="1"/>
  <c r="AR27" i="11" s="1"/>
  <c r="AX27" i="11" a="1"/>
  <c r="AX27" i="11" s="1"/>
  <c r="BR27" i="11" a="1"/>
  <c r="BR27" i="11" s="1"/>
  <c r="BX27" i="11" a="1"/>
  <c r="BX27" i="11" s="1"/>
  <c r="CD27" i="11" a="1"/>
  <c r="CD27" i="11" s="1"/>
  <c r="CK27" i="11" a="1"/>
  <c r="CK27" i="11" s="1"/>
  <c r="CQ27" i="11" a="1"/>
  <c r="CQ27" i="11" s="1"/>
  <c r="M27" i="11" a="1"/>
  <c r="M27" i="11" s="1"/>
  <c r="S27" i="11" a="1"/>
  <c r="S27" i="11" s="1"/>
  <c r="AF27" i="11" a="1"/>
  <c r="AF27" i="11" s="1"/>
  <c r="AS27" i="11" a="1"/>
  <c r="AS27" i="11" s="1"/>
  <c r="AY27" i="11" a="1"/>
  <c r="AY27" i="11" s="1"/>
  <c r="BF27" i="11" a="1"/>
  <c r="BF27" i="11" s="1"/>
  <c r="BL27" i="11" a="1"/>
  <c r="BL27" i="11" s="1"/>
  <c r="BY27" i="11" a="1"/>
  <c r="BY27" i="11" s="1"/>
  <c r="CE27" i="11" a="1"/>
  <c r="CE27" i="11" s="1"/>
  <c r="G27" i="11" a="1"/>
  <c r="G27" i="11" s="1"/>
  <c r="T27" i="11" a="1"/>
  <c r="T27" i="11" s="1"/>
  <c r="Z27" i="11" a="1"/>
  <c r="Z27" i="11" s="1"/>
  <c r="AG27" i="11" a="1"/>
  <c r="AG27" i="11" s="1"/>
  <c r="AM27" i="11" a="1"/>
  <c r="AM27" i="11" s="1"/>
  <c r="AZ27" i="11" a="1"/>
  <c r="AZ27" i="11" s="1"/>
  <c r="BG27" i="11" a="1"/>
  <c r="BG27" i="11" s="1"/>
  <c r="BM27" i="11" a="1"/>
  <c r="BM27" i="11" s="1"/>
  <c r="BS27" i="11" a="1"/>
  <c r="BS27" i="11" s="1"/>
  <c r="CF27" i="11" a="1"/>
  <c r="CF27" i="11" s="1"/>
  <c r="CL27" i="11" a="1"/>
  <c r="CL27" i="11" s="1"/>
  <c r="CR27" i="11" a="1"/>
  <c r="CR27" i="11" s="1"/>
  <c r="B13" i="11" a="1"/>
  <c r="B13" i="11" s="1"/>
  <c r="CQ36" i="11" a="1"/>
  <c r="CQ36" i="11" s="1"/>
  <c r="CK36" i="11" a="1"/>
  <c r="CK36" i="11" s="1"/>
  <c r="BX36" i="11" a="1"/>
  <c r="BX36" i="11" s="1"/>
  <c r="BR36" i="11" a="1"/>
  <c r="BR36" i="11" s="1"/>
  <c r="BK36" i="11" a="1"/>
  <c r="BK36" i="11" s="1"/>
  <c r="BE36" i="11" a="1"/>
  <c r="BE36" i="11" s="1"/>
  <c r="AR36" i="11" a="1"/>
  <c r="AR36" i="11" s="1"/>
  <c r="AL36" i="11" a="1"/>
  <c r="AL36" i="11" s="1"/>
  <c r="AE36" i="11" a="1"/>
  <c r="AE36" i="11" s="1"/>
  <c r="Y36" i="11" a="1"/>
  <c r="Y36" i="11" s="1"/>
  <c r="L36" i="11" a="1"/>
  <c r="L36" i="11" s="1"/>
  <c r="F36" i="11" a="1"/>
  <c r="F36" i="11" s="1"/>
  <c r="CP35" i="11" a="1"/>
  <c r="CP35" i="11" s="1"/>
  <c r="CJ35" i="11" a="1"/>
  <c r="CJ35" i="11" s="1"/>
  <c r="BW35" i="11" a="1"/>
  <c r="BW35" i="11" s="1"/>
  <c r="BQ35" i="11" a="1"/>
  <c r="BQ35" i="11" s="1"/>
  <c r="BJ35" i="11" a="1"/>
  <c r="BJ35" i="11" s="1"/>
  <c r="BD35" i="11" a="1"/>
  <c r="BD35" i="11" s="1"/>
  <c r="AJ35" i="11" a="1"/>
  <c r="AJ35" i="11" s="1"/>
  <c r="AD35" i="11" a="1"/>
  <c r="AD35" i="11" s="1"/>
  <c r="Y35" i="11" a="1"/>
  <c r="Y35" i="11" s="1"/>
  <c r="S35" i="11" a="1"/>
  <c r="S35" i="11" s="1"/>
  <c r="CS34" i="11" a="1"/>
  <c r="CS34" i="11" s="1"/>
  <c r="CM34" i="11" a="1"/>
  <c r="CM34" i="11" s="1"/>
  <c r="CG34" i="11" a="1"/>
  <c r="CG34" i="11" s="1"/>
  <c r="CA34" i="11" a="1"/>
  <c r="CA34" i="11" s="1"/>
  <c r="BU34" i="11" a="1"/>
  <c r="BU34" i="11" s="1"/>
  <c r="BI34" i="11" a="1"/>
  <c r="BI34" i="11" s="1"/>
  <c r="BD34" i="11" a="1"/>
  <c r="BD34" i="11" s="1"/>
  <c r="AX34" i="11" a="1"/>
  <c r="AX34" i="11" s="1"/>
  <c r="AG34" i="11" a="1"/>
  <c r="AG34" i="11" s="1"/>
  <c r="AA34" i="11" a="1"/>
  <c r="AA34" i="11" s="1"/>
  <c r="U34" i="11" a="1"/>
  <c r="U34" i="11" s="1"/>
  <c r="O34" i="11" a="1"/>
  <c r="O34" i="11" s="1"/>
  <c r="I34" i="11" a="1"/>
  <c r="I34" i="11" s="1"/>
  <c r="CN33" i="11" a="1"/>
  <c r="CN33" i="11" s="1"/>
  <c r="CI33" i="11" a="1"/>
  <c r="CI33" i="11" s="1"/>
  <c r="CC33" i="11" a="1"/>
  <c r="CC33" i="11" s="1"/>
  <c r="BL33" i="11" a="1"/>
  <c r="BL33" i="11" s="1"/>
  <c r="BF33" i="11" a="1"/>
  <c r="BF33" i="11" s="1"/>
  <c r="AZ33" i="11" a="1"/>
  <c r="AZ33" i="11" s="1"/>
  <c r="AT33" i="11" a="1"/>
  <c r="AT33" i="11" s="1"/>
  <c r="AN33" i="11" a="1"/>
  <c r="AN33" i="11" s="1"/>
  <c r="AB33" i="11" a="1"/>
  <c r="AB33" i="11" s="1"/>
  <c r="V33" i="11" a="1"/>
  <c r="V33" i="11" s="1"/>
  <c r="P33" i="11" a="1"/>
  <c r="P33" i="11" s="1"/>
  <c r="K33" i="11" a="1"/>
  <c r="K33" i="11" s="1"/>
  <c r="D33" i="11" a="1"/>
  <c r="D33" i="11" s="1"/>
  <c r="CP32" i="11" a="1"/>
  <c r="CP32" i="11" s="1"/>
  <c r="CJ32" i="11" a="1"/>
  <c r="CJ32" i="11" s="1"/>
  <c r="CD32" i="11" a="1"/>
  <c r="CD32" i="11" s="1"/>
  <c r="BX32" i="11" a="1"/>
  <c r="BX32" i="11" s="1"/>
  <c r="BQ32" i="11" a="1"/>
  <c r="BQ32" i="11" s="1"/>
  <c r="BJ32" i="11" a="1"/>
  <c r="BJ32" i="11" s="1"/>
  <c r="BD32" i="11" a="1"/>
  <c r="BD32" i="11" s="1"/>
  <c r="CE31" i="11" a="1"/>
  <c r="CE31" i="11" s="1"/>
  <c r="CG30" i="11" a="1"/>
  <c r="CG30" i="11" s="1"/>
  <c r="AL30" i="11" a="1"/>
  <c r="AL30" i="11" s="1"/>
  <c r="CD29" i="11" a="1"/>
  <c r="CD29" i="11" s="1"/>
  <c r="CA28" i="11" a="1"/>
  <c r="CA28" i="11" s="1"/>
  <c r="AF28" i="11" a="1"/>
  <c r="AF28" i="11" s="1"/>
  <c r="BZ27" i="11" a="1"/>
  <c r="BZ27" i="11" s="1"/>
  <c r="AA27" i="11" a="1"/>
  <c r="AA27" i="11" s="1"/>
  <c r="CF24" i="11" a="1"/>
  <c r="CF24" i="11" s="1"/>
  <c r="CJ36" i="11" a="1"/>
  <c r="CJ36" i="11" s="1"/>
  <c r="CD36" i="11" a="1"/>
  <c r="CD36" i="11" s="1"/>
  <c r="BW36" i="11" a="1"/>
  <c r="BW36" i="11" s="1"/>
  <c r="BQ36" i="11" a="1"/>
  <c r="BQ36" i="11" s="1"/>
  <c r="BD36" i="11" a="1"/>
  <c r="BD36" i="11" s="1"/>
  <c r="AX36" i="11" a="1"/>
  <c r="AX36" i="11" s="1"/>
  <c r="AQ36" i="11" a="1"/>
  <c r="AQ36" i="11" s="1"/>
  <c r="AK36" i="11" a="1"/>
  <c r="AK36" i="11" s="1"/>
  <c r="X36" i="11" a="1"/>
  <c r="X36" i="11" s="1"/>
  <c r="R36" i="11" a="1"/>
  <c r="R36" i="11" s="1"/>
  <c r="K36" i="11" a="1"/>
  <c r="K36" i="11" s="1"/>
  <c r="E36" i="11" a="1"/>
  <c r="E36" i="11" s="1"/>
  <c r="CI35" i="11" a="1"/>
  <c r="CI35" i="11" s="1"/>
  <c r="CC35" i="11" a="1"/>
  <c r="CC35" i="11" s="1"/>
  <c r="BV35" i="11" a="1"/>
  <c r="BV35" i="11" s="1"/>
  <c r="BP35" i="11" a="1"/>
  <c r="BP35" i="11" s="1"/>
  <c r="BC35" i="11" a="1"/>
  <c r="BC35" i="11" s="1"/>
  <c r="AX35" i="11" a="1"/>
  <c r="AX35" i="11" s="1"/>
  <c r="AS35" i="11" a="1"/>
  <c r="AS35" i="11" s="1"/>
  <c r="AN35" i="11" a="1"/>
  <c r="AN35" i="11" s="1"/>
  <c r="AI35" i="11" a="1"/>
  <c r="AI35" i="11" s="1"/>
  <c r="X35" i="11" a="1"/>
  <c r="X35" i="11" s="1"/>
  <c r="R35" i="11" a="1"/>
  <c r="R35" i="11" s="1"/>
  <c r="M35" i="11" a="1"/>
  <c r="M35" i="11" s="1"/>
  <c r="F35" i="11" a="1"/>
  <c r="F35" i="11" s="1"/>
  <c r="CR34" i="11" a="1"/>
  <c r="CR34" i="11" s="1"/>
  <c r="CL34" i="11" a="1"/>
  <c r="CL34" i="11" s="1"/>
  <c r="CF34" i="11" a="1"/>
  <c r="CF34" i="11" s="1"/>
  <c r="BZ34" i="11" a="1"/>
  <c r="BZ34" i="11" s="1"/>
  <c r="BT34" i="11" a="1"/>
  <c r="BT34" i="11" s="1"/>
  <c r="BO34" i="11" a="1"/>
  <c r="BO34" i="11" s="1"/>
  <c r="BC34" i="11" a="1"/>
  <c r="BC34" i="11" s="1"/>
  <c r="AW34" i="11" a="1"/>
  <c r="AW34" i="11" s="1"/>
  <c r="AR34" i="11" a="1"/>
  <c r="AR34" i="11" s="1"/>
  <c r="AK34" i="11" a="1"/>
  <c r="AK34" i="11" s="1"/>
  <c r="AF34" i="11" a="1"/>
  <c r="AF34" i="11" s="1"/>
  <c r="Z34" i="11" a="1"/>
  <c r="Z34" i="11" s="1"/>
  <c r="T34" i="11" a="1"/>
  <c r="T34" i="11" s="1"/>
  <c r="N34" i="11" a="1"/>
  <c r="N34" i="11" s="1"/>
  <c r="H34" i="11" a="1"/>
  <c r="H34" i="11" s="1"/>
  <c r="C34" i="11" a="1"/>
  <c r="C34" i="11" s="1"/>
  <c r="CH33" i="11" a="1"/>
  <c r="CH33" i="11" s="1"/>
  <c r="CB33" i="11" a="1"/>
  <c r="CB33" i="11" s="1"/>
  <c r="BW33" i="11" a="1"/>
  <c r="BW33" i="11" s="1"/>
  <c r="BP33" i="11" a="1"/>
  <c r="BP33" i="11" s="1"/>
  <c r="BK33" i="11" a="1"/>
  <c r="BK33" i="11" s="1"/>
  <c r="BE33" i="11" a="1"/>
  <c r="BE33" i="11" s="1"/>
  <c r="AY33" i="11" a="1"/>
  <c r="AY33" i="11" s="1"/>
  <c r="AS33" i="11" a="1"/>
  <c r="AS33" i="11" s="1"/>
  <c r="AM33" i="11" a="1"/>
  <c r="AM33" i="11" s="1"/>
  <c r="AH33" i="11" a="1"/>
  <c r="AH33" i="11" s="1"/>
  <c r="U33" i="11" a="1"/>
  <c r="U33" i="11" s="1"/>
  <c r="O33" i="11" a="1"/>
  <c r="O33" i="11" s="1"/>
  <c r="J33" i="11" a="1"/>
  <c r="J33" i="11" s="1"/>
  <c r="CO32" i="11" a="1"/>
  <c r="CO32" i="11" s="1"/>
  <c r="CI32" i="11" a="1"/>
  <c r="CI32" i="11" s="1"/>
  <c r="BW32" i="11" a="1"/>
  <c r="BW32" i="11" s="1"/>
  <c r="BP32" i="11" a="1"/>
  <c r="BP32" i="11" s="1"/>
  <c r="BI32" i="11" a="1"/>
  <c r="BI32" i="11" s="1"/>
  <c r="BC32" i="11" a="1"/>
  <c r="BC32" i="11" s="1"/>
  <c r="AW32" i="11" a="1"/>
  <c r="AW32" i="11" s="1"/>
  <c r="AE32" i="11" a="1"/>
  <c r="AE32" i="11" s="1"/>
  <c r="AD31" i="11" a="1"/>
  <c r="AD31" i="11" s="1"/>
  <c r="AF30" i="11" a="1"/>
  <c r="AF30" i="11" s="1"/>
  <c r="BX29" i="11" a="1"/>
  <c r="BX29" i="11" s="1"/>
  <c r="Y29" i="11" a="1"/>
  <c r="Y29" i="11" s="1"/>
  <c r="BV28" i="11" a="1"/>
  <c r="BV28" i="11" s="1"/>
  <c r="Z28" i="11" a="1"/>
  <c r="Z28" i="11" s="1"/>
  <c r="BT27" i="11" a="1"/>
  <c r="BT27" i="11" s="1"/>
  <c r="U27" i="11" a="1"/>
  <c r="U27" i="11" s="1"/>
  <c r="AK24" i="11" a="1"/>
  <c r="AK24" i="11" s="1"/>
  <c r="CP36" i="11" a="1"/>
  <c r="CP36" i="11" s="1"/>
  <c r="CI36" i="11" a="1"/>
  <c r="CI36" i="11" s="1"/>
  <c r="CC36" i="11" a="1"/>
  <c r="CC36" i="11" s="1"/>
  <c r="BP36" i="11" a="1"/>
  <c r="BP36" i="11" s="1"/>
  <c r="BJ36" i="11" a="1"/>
  <c r="BJ36" i="11" s="1"/>
  <c r="BC36" i="11" a="1"/>
  <c r="BC36" i="11" s="1"/>
  <c r="AW36" i="11" a="1"/>
  <c r="AW36" i="11" s="1"/>
  <c r="AJ36" i="11" a="1"/>
  <c r="AJ36" i="11" s="1"/>
  <c r="AD36" i="11" a="1"/>
  <c r="AD36" i="11" s="1"/>
  <c r="W36" i="11" a="1"/>
  <c r="W36" i="11" s="1"/>
  <c r="Q36" i="11" a="1"/>
  <c r="Q36" i="11" s="1"/>
  <c r="D36" i="11" a="1"/>
  <c r="D36" i="11" s="1"/>
  <c r="CO35" i="11" a="1"/>
  <c r="CO35" i="11" s="1"/>
  <c r="CH35" i="11" a="1"/>
  <c r="CH35" i="11" s="1"/>
  <c r="CB35" i="11" a="1"/>
  <c r="CB35" i="11" s="1"/>
  <c r="BO35" i="11" a="1"/>
  <c r="BO35" i="11" s="1"/>
  <c r="BI35" i="11" a="1"/>
  <c r="BI35" i="11" s="1"/>
  <c r="AR35" i="11" a="1"/>
  <c r="AR35" i="11" s="1"/>
  <c r="AM35" i="11" a="1"/>
  <c r="AM35" i="11" s="1"/>
  <c r="AC35" i="11" a="1"/>
  <c r="AC35" i="11" s="1"/>
  <c r="W35" i="11" a="1"/>
  <c r="W35" i="11" s="1"/>
  <c r="Q35" i="11" a="1"/>
  <c r="Q35" i="11" s="1"/>
  <c r="L35" i="11" a="1"/>
  <c r="L35" i="11" s="1"/>
  <c r="CQ34" i="11" a="1"/>
  <c r="CQ34" i="11" s="1"/>
  <c r="CK34" i="11" a="1"/>
  <c r="CK34" i="11" s="1"/>
  <c r="BS34" i="11" a="1"/>
  <c r="BS34" i="11" s="1"/>
  <c r="BN34" i="11" a="1"/>
  <c r="BN34" i="11" s="1"/>
  <c r="BH34" i="11" a="1"/>
  <c r="BH34" i="11" s="1"/>
  <c r="BB34" i="11" a="1"/>
  <c r="BB34" i="11" s="1"/>
  <c r="AV34" i="11" a="1"/>
  <c r="AV34" i="11" s="1"/>
  <c r="AQ34" i="11" a="1"/>
  <c r="AQ34" i="11" s="1"/>
  <c r="AE34" i="11" a="1"/>
  <c r="AE34" i="11" s="1"/>
  <c r="Y34" i="11" a="1"/>
  <c r="Y34" i="11" s="1"/>
  <c r="G34" i="11" a="1"/>
  <c r="G34" i="11" s="1"/>
  <c r="CS33" i="11" a="1"/>
  <c r="CS33" i="11" s="1"/>
  <c r="CM33" i="11" a="1"/>
  <c r="CM33" i="11" s="1"/>
  <c r="CG33" i="11" a="1"/>
  <c r="CG33" i="11" s="1"/>
  <c r="CA33" i="11" a="1"/>
  <c r="CA33" i="11" s="1"/>
  <c r="BV33" i="11" a="1"/>
  <c r="BV33" i="11" s="1"/>
  <c r="BJ33" i="11" a="1"/>
  <c r="BJ33" i="11" s="1"/>
  <c r="BD33" i="11" a="1"/>
  <c r="BD33" i="11" s="1"/>
  <c r="AL33" i="11" a="1"/>
  <c r="AL33" i="11" s="1"/>
  <c r="AG33" i="11" a="1"/>
  <c r="AG33" i="11" s="1"/>
  <c r="AA33" i="11" a="1"/>
  <c r="AA33" i="11" s="1"/>
  <c r="I33" i="11" a="1"/>
  <c r="I33" i="11" s="1"/>
  <c r="C33" i="11" a="1"/>
  <c r="C33" i="11" s="1"/>
  <c r="CN32" i="11" a="1"/>
  <c r="CN32" i="11" s="1"/>
  <c r="CC32" i="11" a="1"/>
  <c r="CC32" i="11" s="1"/>
  <c r="BV32" i="11" a="1"/>
  <c r="BV32" i="11" s="1"/>
  <c r="BH32" i="11" a="1"/>
  <c r="BH32" i="11" s="1"/>
  <c r="BB32" i="11" a="1"/>
  <c r="BB32" i="11" s="1"/>
  <c r="AV32" i="11" a="1"/>
  <c r="AV32" i="11" s="1"/>
  <c r="Y32" i="11" a="1"/>
  <c r="Y32" i="11" s="1"/>
  <c r="BS31" i="11" a="1"/>
  <c r="BS31" i="11" s="1"/>
  <c r="BU30" i="11" a="1"/>
  <c r="BU30" i="11" s="1"/>
  <c r="Y30" i="11" a="1"/>
  <c r="Y30" i="11" s="1"/>
  <c r="BQ29" i="11" a="1"/>
  <c r="BQ29" i="11" s="1"/>
  <c r="S29" i="11" a="1"/>
  <c r="S29" i="11" s="1"/>
  <c r="T28" i="11" a="1"/>
  <c r="T28" i="11" s="1"/>
  <c r="BN27" i="11" a="1"/>
  <c r="BN27" i="11" s="1"/>
  <c r="N27" i="11" a="1"/>
  <c r="N27" i="11" s="1"/>
  <c r="H31" i="11" a="1"/>
  <c r="H31" i="11" s="1"/>
  <c r="N31" i="11" a="1"/>
  <c r="N31" i="11" s="1"/>
  <c r="T31" i="11" a="1"/>
  <c r="T31" i="11" s="1"/>
  <c r="AE31" i="11" a="1"/>
  <c r="AE31" i="11" s="1"/>
  <c r="AK31" i="11" a="1"/>
  <c r="AK31" i="11" s="1"/>
  <c r="AQ31" i="11" a="1"/>
  <c r="AQ31" i="11" s="1"/>
  <c r="AW31" i="11" a="1"/>
  <c r="AW31" i="11" s="1"/>
  <c r="BH31" i="11" a="1"/>
  <c r="BH31" i="11" s="1"/>
  <c r="BT31" i="11" a="1"/>
  <c r="BT31" i="11" s="1"/>
  <c r="BZ31" i="11" a="1"/>
  <c r="BZ31" i="11" s="1"/>
  <c r="CF31" i="11" a="1"/>
  <c r="CF31" i="11" s="1"/>
  <c r="CR31" i="11" a="1"/>
  <c r="CR31" i="11" s="1"/>
  <c r="C31" i="11" a="1"/>
  <c r="C31" i="11" s="1"/>
  <c r="O31" i="11" a="1"/>
  <c r="O31" i="11" s="1"/>
  <c r="Z31" i="11" a="1"/>
  <c r="Z31" i="11" s="1"/>
  <c r="AF31" i="11" a="1"/>
  <c r="AF31" i="11" s="1"/>
  <c r="AL31" i="11" a="1"/>
  <c r="AL31" i="11" s="1"/>
  <c r="AR31" i="11" a="1"/>
  <c r="AR31" i="11" s="1"/>
  <c r="BC31" i="11" a="1"/>
  <c r="BC31" i="11" s="1"/>
  <c r="BI31" i="11" a="1"/>
  <c r="BI31" i="11" s="1"/>
  <c r="BO31" i="11" a="1"/>
  <c r="BO31" i="11" s="1"/>
  <c r="CA31" i="11" a="1"/>
  <c r="CA31" i="11" s="1"/>
  <c r="CL31" i="11" a="1"/>
  <c r="CL31" i="11" s="1"/>
  <c r="CS31" i="11" a="1"/>
  <c r="CS31" i="11" s="1"/>
  <c r="D31" i="11" a="1"/>
  <c r="D31" i="11" s="1"/>
  <c r="I31" i="11" a="1"/>
  <c r="I31" i="11" s="1"/>
  <c r="P31" i="11" a="1"/>
  <c r="P31" i="11" s="1"/>
  <c r="U31" i="11" a="1"/>
  <c r="U31" i="11" s="1"/>
  <c r="AG31" i="11" a="1"/>
  <c r="AG31" i="11" s="1"/>
  <c r="AS31" i="11" a="1"/>
  <c r="AS31" i="11" s="1"/>
  <c r="AX31" i="11" a="1"/>
  <c r="AX31" i="11" s="1"/>
  <c r="BD31" i="11" a="1"/>
  <c r="BD31" i="11" s="1"/>
  <c r="BP31" i="11" a="1"/>
  <c r="BP31" i="11" s="1"/>
  <c r="BU31" i="11" a="1"/>
  <c r="BU31" i="11" s="1"/>
  <c r="CB31" i="11" a="1"/>
  <c r="CB31" i="11" s="1"/>
  <c r="CG31" i="11" a="1"/>
  <c r="CG31" i="11" s="1"/>
  <c r="J31" i="11" a="1"/>
  <c r="J31" i="11" s="1"/>
  <c r="V31" i="11" a="1"/>
  <c r="V31" i="11" s="1"/>
  <c r="AA31" i="11" a="1"/>
  <c r="AA31" i="11" s="1"/>
  <c r="AH31" i="11" a="1"/>
  <c r="AH31" i="11" s="1"/>
  <c r="AM31" i="11" a="1"/>
  <c r="AM31" i="11" s="1"/>
  <c r="AY31" i="11" a="1"/>
  <c r="AY31" i="11" s="1"/>
  <c r="BE31" i="11" a="1"/>
  <c r="BE31" i="11" s="1"/>
  <c r="BJ31" i="11" a="1"/>
  <c r="BJ31" i="11" s="1"/>
  <c r="BV31" i="11" a="1"/>
  <c r="BV31" i="11" s="1"/>
  <c r="CH31" i="11" a="1"/>
  <c r="CH31" i="11" s="1"/>
  <c r="CM31" i="11" a="1"/>
  <c r="CM31" i="11" s="1"/>
  <c r="E31" i="11" a="1"/>
  <c r="E31" i="11" s="1"/>
  <c r="K31" i="11" a="1"/>
  <c r="K31" i="11" s="1"/>
  <c r="Q31" i="11" a="1"/>
  <c r="Q31" i="11" s="1"/>
  <c r="AB31" i="11" a="1"/>
  <c r="AB31" i="11" s="1"/>
  <c r="AN31" i="11" a="1"/>
  <c r="AN31" i="11" s="1"/>
  <c r="AT31" i="11" a="1"/>
  <c r="AT31" i="11" s="1"/>
  <c r="AZ31" i="11" a="1"/>
  <c r="AZ31" i="11" s="1"/>
  <c r="BK31" i="11" a="1"/>
  <c r="BK31" i="11" s="1"/>
  <c r="BQ31" i="11" a="1"/>
  <c r="BQ31" i="11" s="1"/>
  <c r="BW31" i="11" a="1"/>
  <c r="BW31" i="11" s="1"/>
  <c r="CC31" i="11" a="1"/>
  <c r="CC31" i="11" s="1"/>
  <c r="CN31" i="11" a="1"/>
  <c r="CN31" i="11" s="1"/>
  <c r="F31" i="11" a="1"/>
  <c r="F31" i="11" s="1"/>
  <c r="L31" i="11" a="1"/>
  <c r="L31" i="11" s="1"/>
  <c r="W31" i="11" a="1"/>
  <c r="W31" i="11" s="1"/>
  <c r="AC31" i="11" a="1"/>
  <c r="AC31" i="11" s="1"/>
  <c r="AI31" i="11" a="1"/>
  <c r="AI31" i="11" s="1"/>
  <c r="AU31" i="11" a="1"/>
  <c r="AU31" i="11" s="1"/>
  <c r="BF31" i="11" a="1"/>
  <c r="BF31" i="11" s="1"/>
  <c r="BL31" i="11" a="1"/>
  <c r="BL31" i="11" s="1"/>
  <c r="BR31" i="11" a="1"/>
  <c r="BR31" i="11" s="1"/>
  <c r="BX31" i="11" a="1"/>
  <c r="BX31" i="11" s="1"/>
  <c r="CI31" i="11" a="1"/>
  <c r="CI31" i="11" s="1"/>
  <c r="CO31" i="11" a="1"/>
  <c r="CO31" i="11" s="1"/>
  <c r="M31" i="11" a="1"/>
  <c r="M31" i="11" s="1"/>
  <c r="R31" i="11" a="1"/>
  <c r="R31" i="11" s="1"/>
  <c r="X31" i="11" a="1"/>
  <c r="X31" i="11" s="1"/>
  <c r="AJ31" i="11" a="1"/>
  <c r="AJ31" i="11" s="1"/>
  <c r="AO31" i="11" a="1"/>
  <c r="AO31" i="11" s="1"/>
  <c r="AV31" i="11" a="1"/>
  <c r="AV31" i="11" s="1"/>
  <c r="BA31" i="11" a="1"/>
  <c r="BA31" i="11" s="1"/>
  <c r="BM31" i="11" a="1"/>
  <c r="BM31" i="11" s="1"/>
  <c r="BY31" i="11" a="1"/>
  <c r="BY31" i="11" s="1"/>
  <c r="CD31" i="11" a="1"/>
  <c r="CD31" i="11" s="1"/>
  <c r="CJ31" i="11" a="1"/>
  <c r="CJ31" i="11" s="1"/>
  <c r="CP31" i="11" a="1"/>
  <c r="CP31" i="11" s="1"/>
  <c r="CH23" i="11" a="1"/>
  <c r="CH23" i="11" s="1"/>
  <c r="CO36" i="11" a="1"/>
  <c r="CO36" i="11" s="1"/>
  <c r="CB36" i="11" a="1"/>
  <c r="CB36" i="11" s="1"/>
  <c r="BV36" i="11" a="1"/>
  <c r="BV36" i="11" s="1"/>
  <c r="BO36" i="11" a="1"/>
  <c r="BO36" i="11" s="1"/>
  <c r="BI36" i="11" a="1"/>
  <c r="BI36" i="11" s="1"/>
  <c r="AV36" i="11" a="1"/>
  <c r="AV36" i="11" s="1"/>
  <c r="AP36" i="11" a="1"/>
  <c r="AP36" i="11" s="1"/>
  <c r="AI36" i="11" a="1"/>
  <c r="AI36" i="11" s="1"/>
  <c r="AC36" i="11" a="1"/>
  <c r="AC36" i="11" s="1"/>
  <c r="P36" i="11" a="1"/>
  <c r="P36" i="11" s="1"/>
  <c r="J36" i="11" a="1"/>
  <c r="J36" i="11" s="1"/>
  <c r="CN35" i="11" a="1"/>
  <c r="CN35" i="11" s="1"/>
  <c r="CA35" i="11" a="1"/>
  <c r="CA35" i="11" s="1"/>
  <c r="BU35" i="11" a="1"/>
  <c r="BU35" i="11" s="1"/>
  <c r="BN35" i="11" a="1"/>
  <c r="BN35" i="11" s="1"/>
  <c r="BH35" i="11" a="1"/>
  <c r="BH35" i="11" s="1"/>
  <c r="BB35" i="11" a="1"/>
  <c r="BB35" i="11" s="1"/>
  <c r="AW35" i="11" a="1"/>
  <c r="AW35" i="11" s="1"/>
  <c r="AQ35" i="11" a="1"/>
  <c r="AQ35" i="11" s="1"/>
  <c r="AH35" i="11" a="1"/>
  <c r="AH35" i="11" s="1"/>
  <c r="K35" i="11" a="1"/>
  <c r="K35" i="11" s="1"/>
  <c r="CP34" i="11" a="1"/>
  <c r="CP34" i="11" s="1"/>
  <c r="CE34" i="11" a="1"/>
  <c r="CE34" i="11" s="1"/>
  <c r="BY34" i="11" a="1"/>
  <c r="BY34" i="11" s="1"/>
  <c r="BR34" i="11" a="1"/>
  <c r="BR34" i="11" s="1"/>
  <c r="AP34" i="11" a="1"/>
  <c r="AP34" i="11" s="1"/>
  <c r="AJ34" i="11" a="1"/>
  <c r="AJ34" i="11" s="1"/>
  <c r="AD34" i="11" a="1"/>
  <c r="AD34" i="11" s="1"/>
  <c r="S34" i="11" a="1"/>
  <c r="S34" i="11" s="1"/>
  <c r="M34" i="11" a="1"/>
  <c r="M34" i="11" s="1"/>
  <c r="BU33" i="11" a="1"/>
  <c r="BU33" i="11" s="1"/>
  <c r="BO33" i="11" a="1"/>
  <c r="BO33" i="11" s="1"/>
  <c r="BI33" i="11" a="1"/>
  <c r="BI33" i="11" s="1"/>
  <c r="AX33" i="11" a="1"/>
  <c r="AX33" i="11" s="1"/>
  <c r="AR33" i="11" a="1"/>
  <c r="AR33" i="11" s="1"/>
  <c r="AK33" i="11" a="1"/>
  <c r="AK33" i="11" s="1"/>
  <c r="Z33" i="11" a="1"/>
  <c r="Z33" i="11" s="1"/>
  <c r="T33" i="11" a="1"/>
  <c r="T33" i="11" s="1"/>
  <c r="N33" i="11" a="1"/>
  <c r="N33" i="11" s="1"/>
  <c r="CM32" i="11" a="1"/>
  <c r="CM32" i="11" s="1"/>
  <c r="CH32" i="11" a="1"/>
  <c r="CH32" i="11" s="1"/>
  <c r="CB32" i="11" a="1"/>
  <c r="CB32" i="11" s="1"/>
  <c r="BU32" i="11" a="1"/>
  <c r="BU32" i="11" s="1"/>
  <c r="BO32" i="11" a="1"/>
  <c r="BO32" i="11" s="1"/>
  <c r="BA32" i="11" a="1"/>
  <c r="BA32" i="11" s="1"/>
  <c r="AU32" i="11" a="1"/>
  <c r="AU32" i="11" s="1"/>
  <c r="BN31" i="11" a="1"/>
  <c r="BN31" i="11" s="1"/>
  <c r="S31" i="11" a="1"/>
  <c r="S31" i="11" s="1"/>
  <c r="S30" i="11" a="1"/>
  <c r="S30" i="11" s="1"/>
  <c r="BK29" i="11" a="1"/>
  <c r="BK29" i="11" s="1"/>
  <c r="BJ28" i="11" a="1"/>
  <c r="BJ28" i="11" s="1"/>
  <c r="N28" i="11" a="1"/>
  <c r="N28" i="11" s="1"/>
  <c r="BH27" i="11" a="1"/>
  <c r="BH27" i="11" s="1"/>
  <c r="H27" i="11" a="1"/>
  <c r="H27" i="11" s="1"/>
  <c r="CP26" i="11" a="1"/>
  <c r="CP26" i="11" s="1"/>
  <c r="CE26" i="11" a="1"/>
  <c r="CE26" i="11" s="1"/>
  <c r="BZ26" i="11" a="1"/>
  <c r="BZ26" i="11" s="1"/>
  <c r="BO26" i="11" a="1"/>
  <c r="BO26" i="11" s="1"/>
  <c r="BH26" i="11" a="1"/>
  <c r="BH26" i="11" s="1"/>
  <c r="AI26" i="11" a="1"/>
  <c r="AI26" i="11" s="1"/>
  <c r="V26" i="11" a="1"/>
  <c r="V26" i="11" s="1"/>
  <c r="CJ25" i="11" a="1"/>
  <c r="CJ25" i="11" s="1"/>
  <c r="BS25" i="11" a="1"/>
  <c r="BS25" i="11" s="1"/>
  <c r="BD25" i="11" a="1"/>
  <c r="BD25" i="11" s="1"/>
  <c r="AP25" i="11" a="1"/>
  <c r="AP25" i="11" s="1"/>
  <c r="R25" i="11" a="1"/>
  <c r="R25" i="11" s="1"/>
  <c r="AW24" i="11" a="1"/>
  <c r="AW24" i="11" s="1"/>
  <c r="AY23" i="11" a="1"/>
  <c r="AY23" i="11" s="1"/>
  <c r="CC21" i="11" a="1"/>
  <c r="CC21" i="11" s="1"/>
  <c r="K20" i="11" a="1"/>
  <c r="K20" i="11" s="1"/>
  <c r="F26" i="11" a="1"/>
  <c r="F26" i="11" s="1"/>
  <c r="L26" i="11" a="1"/>
  <c r="L26" i="11" s="1"/>
  <c r="R26" i="11" a="1"/>
  <c r="R26" i="11" s="1"/>
  <c r="AA26" i="11" a="1"/>
  <c r="AA26" i="11" s="1"/>
  <c r="AF26" i="11" a="1"/>
  <c r="AF26" i="11" s="1"/>
  <c r="AO26" i="11" a="1"/>
  <c r="AO26" i="11" s="1"/>
  <c r="AX26" i="11" a="1"/>
  <c r="AX26" i="11" s="1"/>
  <c r="BC26" i="11" a="1"/>
  <c r="BC26" i="11" s="1"/>
  <c r="W26" i="11" a="1"/>
  <c r="W26" i="11" s="1"/>
  <c r="AB26" i="11" a="1"/>
  <c r="AB26" i="11" s="1"/>
  <c r="AK26" i="11" a="1"/>
  <c r="AK26" i="11" s="1"/>
  <c r="AT26" i="11" a="1"/>
  <c r="AT26" i="11" s="1"/>
  <c r="BD26" i="11" a="1"/>
  <c r="BD26" i="11" s="1"/>
  <c r="BI26" i="11" a="1"/>
  <c r="BI26" i="11" s="1"/>
  <c r="C26" i="11" a="1"/>
  <c r="C26" i="11" s="1"/>
  <c r="H26" i="11" a="1"/>
  <c r="H26" i="11" s="1"/>
  <c r="N26" i="11" a="1"/>
  <c r="N26" i="11" s="1"/>
  <c r="T26" i="11" a="1"/>
  <c r="T26" i="11" s="1"/>
  <c r="AC26" i="11" a="1"/>
  <c r="AC26" i="11" s="1"/>
  <c r="AL26" i="11" a="1"/>
  <c r="AL26" i="11" s="1"/>
  <c r="AU26" i="11" a="1"/>
  <c r="AU26" i="11" s="1"/>
  <c r="AZ26" i="11" a="1"/>
  <c r="AZ26" i="11" s="1"/>
  <c r="BE26" i="11" a="1"/>
  <c r="BE26" i="11" s="1"/>
  <c r="I26" i="11" a="1"/>
  <c r="I26" i="11" s="1"/>
  <c r="O26" i="11" a="1"/>
  <c r="O26" i="11" s="1"/>
  <c r="Y26" i="11" a="1"/>
  <c r="Y26" i="11" s="1"/>
  <c r="AH26" i="11" a="1"/>
  <c r="AH26" i="11" s="1"/>
  <c r="AQ26" i="11" a="1"/>
  <c r="AQ26" i="11" s="1"/>
  <c r="AV26" i="11" a="1"/>
  <c r="AV26" i="11" s="1"/>
  <c r="BF26" i="11" a="1"/>
  <c r="BF26" i="11" s="1"/>
  <c r="D26" i="11" a="1"/>
  <c r="D26" i="11" s="1"/>
  <c r="J26" i="11" a="1"/>
  <c r="J26" i="11" s="1"/>
  <c r="U26" i="11" a="1"/>
  <c r="U26" i="11" s="1"/>
  <c r="AD26" i="11" a="1"/>
  <c r="AD26" i="11" s="1"/>
  <c r="AM26" i="11" a="1"/>
  <c r="AM26" i="11" s="1"/>
  <c r="AR26" i="11" a="1"/>
  <c r="AR26" i="11" s="1"/>
  <c r="BA26" i="11" a="1"/>
  <c r="BA26" i="11" s="1"/>
  <c r="BL26" i="11" a="1"/>
  <c r="BL26" i="11" s="1"/>
  <c r="E18" i="11" a="1"/>
  <c r="E18" i="11" s="1"/>
  <c r="K18" i="11" a="1"/>
  <c r="K18" i="11" s="1"/>
  <c r="W18" i="11" a="1"/>
  <c r="W18" i="11" s="1"/>
  <c r="AB18" i="11" a="1"/>
  <c r="AB18" i="11" s="1"/>
  <c r="AO18" i="11" a="1"/>
  <c r="AO18" i="11" s="1"/>
  <c r="AT18" i="11" a="1"/>
  <c r="AT18" i="11" s="1"/>
  <c r="AZ18" i="11" a="1"/>
  <c r="AZ18" i="11" s="1"/>
  <c r="BF18" i="11" a="1"/>
  <c r="BF18" i="11" s="1"/>
  <c r="BL18" i="11" a="1"/>
  <c r="BL18" i="11" s="1"/>
  <c r="CN18" i="11" a="1"/>
  <c r="CN18" i="11" s="1"/>
  <c r="F18" i="11" a="1"/>
  <c r="F18" i="11" s="1"/>
  <c r="R18" i="11" a="1"/>
  <c r="R18" i="11" s="1"/>
  <c r="X18" i="11" a="1"/>
  <c r="X18" i="11" s="1"/>
  <c r="AC18" i="11" a="1"/>
  <c r="AC18" i="11" s="1"/>
  <c r="AI18" i="11" a="1"/>
  <c r="AI18" i="11" s="1"/>
  <c r="AU18" i="11" a="1"/>
  <c r="AU18" i="11" s="1"/>
  <c r="BA18" i="11" a="1"/>
  <c r="BA18" i="11" s="1"/>
  <c r="BM18" i="11" a="1"/>
  <c r="BM18" i="11" s="1"/>
  <c r="BR18" i="11" a="1"/>
  <c r="BR18" i="11" s="1"/>
  <c r="BX18" i="11" a="1"/>
  <c r="BX18" i="11" s="1"/>
  <c r="CD18" i="11" a="1"/>
  <c r="CD18" i="11" s="1"/>
  <c r="CJ18" i="11" a="1"/>
  <c r="CJ18" i="11" s="1"/>
  <c r="CO18" i="11" a="1"/>
  <c r="CO18" i="11" s="1"/>
  <c r="G18" i="11" a="1"/>
  <c r="G18" i="11" s="1"/>
  <c r="L18" i="11" a="1"/>
  <c r="L18" i="11" s="1"/>
  <c r="Y18" i="11" a="1"/>
  <c r="Y18" i="11" s="1"/>
  <c r="AD18" i="11" a="1"/>
  <c r="AD18" i="11" s="1"/>
  <c r="AP18" i="11" a="1"/>
  <c r="AP18" i="11" s="1"/>
  <c r="AV18" i="11" a="1"/>
  <c r="AV18" i="11" s="1"/>
  <c r="BB18" i="11" a="1"/>
  <c r="BB18" i="11" s="1"/>
  <c r="BG18" i="11" a="1"/>
  <c r="BG18" i="11" s="1"/>
  <c r="BN18" i="11" a="1"/>
  <c r="BN18" i="11" s="1"/>
  <c r="BS18" i="11" a="1"/>
  <c r="BS18" i="11" s="1"/>
  <c r="BY18" i="11" a="1"/>
  <c r="BY18" i="11" s="1"/>
  <c r="CK18" i="11" a="1"/>
  <c r="CK18" i="11" s="1"/>
  <c r="CP18" i="11" a="1"/>
  <c r="CP18" i="11" s="1"/>
  <c r="I18" i="11" a="1"/>
  <c r="I18" i="11" s="1"/>
  <c r="N18" i="11" a="1"/>
  <c r="N18" i="11" s="1"/>
  <c r="Z18" i="11" a="1"/>
  <c r="Z18" i="11" s="1"/>
  <c r="AF18" i="11" a="1"/>
  <c r="AF18" i="11" s="1"/>
  <c r="AK18" i="11" a="1"/>
  <c r="AK18" i="11" s="1"/>
  <c r="AQ18" i="11" a="1"/>
  <c r="AQ18" i="11" s="1"/>
  <c r="BH18" i="11" a="1"/>
  <c r="BH18" i="11" s="1"/>
  <c r="BO18" i="11" a="1"/>
  <c r="BO18" i="11" s="1"/>
  <c r="BU18" i="11" a="1"/>
  <c r="BU18" i="11" s="1"/>
  <c r="CF18" i="11" a="1"/>
  <c r="CF18" i="11" s="1"/>
  <c r="CL18" i="11" a="1"/>
  <c r="CL18" i="11" s="1"/>
  <c r="CR18" i="11" a="1"/>
  <c r="CR18" i="11" s="1"/>
  <c r="M18" i="11" a="1"/>
  <c r="M18" i="11" s="1"/>
  <c r="AJ18" i="11" a="1"/>
  <c r="AJ18" i="11" s="1"/>
  <c r="AW18" i="11" a="1"/>
  <c r="AW18" i="11" s="1"/>
  <c r="BT18" i="11" a="1"/>
  <c r="BT18" i="11" s="1"/>
  <c r="CE18" i="11" a="1"/>
  <c r="CE18" i="11" s="1"/>
  <c r="CQ18" i="11" a="1"/>
  <c r="CQ18" i="11" s="1"/>
  <c r="C18" i="11" a="1"/>
  <c r="C18" i="11" s="1"/>
  <c r="O18" i="11" a="1"/>
  <c r="O18" i="11" s="1"/>
  <c r="AL18" i="11" a="1"/>
  <c r="AL18" i="11" s="1"/>
  <c r="AX18" i="11" a="1"/>
  <c r="AX18" i="11" s="1"/>
  <c r="BI18" i="11" a="1"/>
  <c r="BI18" i="11" s="1"/>
  <c r="CG18" i="11" a="1"/>
  <c r="CG18" i="11" s="1"/>
  <c r="CS18" i="11" a="1"/>
  <c r="CS18" i="11" s="1"/>
  <c r="P18" i="11" a="1"/>
  <c r="P18" i="11" s="1"/>
  <c r="AA18" i="11" a="1"/>
  <c r="AA18" i="11" s="1"/>
  <c r="AM18" i="11" a="1"/>
  <c r="AM18" i="11" s="1"/>
  <c r="BJ18" i="11" a="1"/>
  <c r="BJ18" i="11" s="1"/>
  <c r="BV18" i="11" a="1"/>
  <c r="BV18" i="11" s="1"/>
  <c r="CH18" i="11" a="1"/>
  <c r="CH18" i="11" s="1"/>
  <c r="D18" i="11" a="1"/>
  <c r="D18" i="11" s="1"/>
  <c r="Q18" i="11" a="1"/>
  <c r="Q18" i="11" s="1"/>
  <c r="AN18" i="11" a="1"/>
  <c r="AN18" i="11" s="1"/>
  <c r="AY18" i="11" a="1"/>
  <c r="AY18" i="11" s="1"/>
  <c r="BK18" i="11" a="1"/>
  <c r="BK18" i="11" s="1"/>
  <c r="BW18" i="11" a="1"/>
  <c r="BW18" i="11" s="1"/>
  <c r="CI18" i="11" a="1"/>
  <c r="CI18" i="11" s="1"/>
  <c r="H18" i="11" a="1"/>
  <c r="H18" i="11" s="1"/>
  <c r="S18" i="11" a="1"/>
  <c r="S18" i="11" s="1"/>
  <c r="AE18" i="11" a="1"/>
  <c r="AE18" i="11" s="1"/>
  <c r="BC18" i="11" a="1"/>
  <c r="BC18" i="11" s="1"/>
  <c r="BZ18" i="11" a="1"/>
  <c r="BZ18" i="11" s="1"/>
  <c r="J18" i="11" a="1"/>
  <c r="J18" i="11" s="1"/>
  <c r="U18" i="11" a="1"/>
  <c r="U18" i="11" s="1"/>
  <c r="AR18" i="11" a="1"/>
  <c r="AR18" i="11" s="1"/>
  <c r="BE18" i="11" a="1"/>
  <c r="BE18" i="11" s="1"/>
  <c r="BP18" i="11" a="1"/>
  <c r="BP18" i="11" s="1"/>
  <c r="CB18" i="11" a="1"/>
  <c r="CB18" i="11" s="1"/>
  <c r="CM18" i="11" a="1"/>
  <c r="CM18" i="11" s="1"/>
  <c r="AH18" i="11" a="1"/>
  <c r="AH18" i="11" s="1"/>
  <c r="CC18" i="11" a="1"/>
  <c r="CC18" i="11" s="1"/>
  <c r="AS18" i="11" a="1"/>
  <c r="AS18" i="11" s="1"/>
  <c r="BD18" i="11" a="1"/>
  <c r="BD18" i="11" s="1"/>
  <c r="T18" i="11" a="1"/>
  <c r="T18" i="11" s="1"/>
  <c r="V18" i="11" a="1"/>
  <c r="V18" i="11" s="1"/>
  <c r="BQ18" i="11" a="1"/>
  <c r="BQ18" i="11" s="1"/>
  <c r="CO26" i="11" a="1"/>
  <c r="CO26" i="11" s="1"/>
  <c r="CJ26" i="11" a="1"/>
  <c r="CJ26" i="11" s="1"/>
  <c r="BY26" i="11" a="1"/>
  <c r="BY26" i="11" s="1"/>
  <c r="BT26" i="11" a="1"/>
  <c r="BT26" i="11" s="1"/>
  <c r="BG26" i="11" a="1"/>
  <c r="BG26" i="11" s="1"/>
  <c r="AS26" i="11" a="1"/>
  <c r="AS26" i="11" s="1"/>
  <c r="AG26" i="11" a="1"/>
  <c r="AG26" i="11" s="1"/>
  <c r="E26" i="11" a="1"/>
  <c r="E26" i="11" s="1"/>
  <c r="CG25" i="11" a="1"/>
  <c r="CG25" i="11" s="1"/>
  <c r="BR25" i="11" a="1"/>
  <c r="BR25" i="11" s="1"/>
  <c r="BB25" i="11" a="1"/>
  <c r="BB25" i="11" s="1"/>
  <c r="AJ25" i="11" a="1"/>
  <c r="AJ25" i="11" s="1"/>
  <c r="CG24" i="11" a="1"/>
  <c r="CG24" i="11" s="1"/>
  <c r="CN23" i="11" a="1"/>
  <c r="CN23" i="11" s="1"/>
  <c r="AS23" i="11" a="1"/>
  <c r="AS23" i="11" s="1"/>
  <c r="CJ22" i="11" a="1"/>
  <c r="CJ22" i="11" s="1"/>
  <c r="BP21" i="11" a="1"/>
  <c r="BP21" i="11" s="1"/>
  <c r="D19" i="11" a="1"/>
  <c r="D19" i="11" s="1"/>
  <c r="Q19" i="11" a="1"/>
  <c r="Q19" i="11" s="1"/>
  <c r="W19" i="11" a="1"/>
  <c r="W19" i="11" s="1"/>
  <c r="AN19" i="11" a="1"/>
  <c r="AN19" i="11" s="1"/>
  <c r="AS19" i="11" a="1"/>
  <c r="AS19" i="11" s="1"/>
  <c r="AX19" i="11" a="1"/>
  <c r="AX19" i="11" s="1"/>
  <c r="BD19" i="11" a="1"/>
  <c r="BD19" i="11" s="1"/>
  <c r="BI19" i="11" a="1"/>
  <c r="BI19" i="11" s="1"/>
  <c r="BT19" i="11" a="1"/>
  <c r="BT19" i="11" s="1"/>
  <c r="BZ19" i="11" a="1"/>
  <c r="BZ19" i="11" s="1"/>
  <c r="CF19" i="11" a="1"/>
  <c r="CF19" i="11" s="1"/>
  <c r="K19" i="11" a="1"/>
  <c r="K19" i="11" s="1"/>
  <c r="R19" i="11" a="1"/>
  <c r="R19" i="11" s="1"/>
  <c r="X19" i="11" a="1"/>
  <c r="X19" i="11" s="1"/>
  <c r="AC19" i="11" a="1"/>
  <c r="AC19" i="11" s="1"/>
  <c r="AJ19" i="11" a="1"/>
  <c r="AJ19" i="11" s="1"/>
  <c r="AY19" i="11" a="1"/>
  <c r="AY19" i="11" s="1"/>
  <c r="BE19" i="11" a="1"/>
  <c r="BE19" i="11" s="1"/>
  <c r="BP19" i="11" a="1"/>
  <c r="BP19" i="11" s="1"/>
  <c r="BU19" i="11" a="1"/>
  <c r="BU19" i="11" s="1"/>
  <c r="CA19" i="11" a="1"/>
  <c r="CA19" i="11" s="1"/>
  <c r="CG19" i="11" a="1"/>
  <c r="CG19" i="11" s="1"/>
  <c r="E19" i="11" a="1"/>
  <c r="E19" i="11" s="1"/>
  <c r="L19" i="11" a="1"/>
  <c r="L19" i="11" s="1"/>
  <c r="Y19" i="11" a="1"/>
  <c r="Y19" i="11" s="1"/>
  <c r="AD19" i="11" a="1"/>
  <c r="AD19" i="11" s="1"/>
  <c r="AO19" i="11" a="1"/>
  <c r="AO19" i="11" s="1"/>
  <c r="AT19" i="11" a="1"/>
  <c r="AT19" i="11" s="1"/>
  <c r="BJ19" i="11" a="1"/>
  <c r="BJ19" i="11" s="1"/>
  <c r="BV19" i="11" a="1"/>
  <c r="BV19" i="11" s="1"/>
  <c r="CB19" i="11" a="1"/>
  <c r="CB19" i="11" s="1"/>
  <c r="G19" i="11" a="1"/>
  <c r="G19" i="11" s="1"/>
  <c r="M19" i="11" a="1"/>
  <c r="M19" i="11" s="1"/>
  <c r="AF19" i="11" a="1"/>
  <c r="AF19" i="11" s="1"/>
  <c r="AP19" i="11" a="1"/>
  <c r="AP19" i="11" s="1"/>
  <c r="AV19" i="11" a="1"/>
  <c r="AV19" i="11" s="1"/>
  <c r="BA19" i="11" a="1"/>
  <c r="BA19" i="11" s="1"/>
  <c r="BG19" i="11" a="1"/>
  <c r="BG19" i="11" s="1"/>
  <c r="BL19" i="11" a="1"/>
  <c r="BL19" i="11" s="1"/>
  <c r="BX19" i="11" a="1"/>
  <c r="BX19" i="11" s="1"/>
  <c r="CC19" i="11" a="1"/>
  <c r="CC19" i="11" s="1"/>
  <c r="CI19" i="11" a="1"/>
  <c r="CI19" i="11" s="1"/>
  <c r="Z19" i="11" a="1"/>
  <c r="Z19" i="11" s="1"/>
  <c r="AK19" i="11" a="1"/>
  <c r="AK19" i="11" s="1"/>
  <c r="AU19" i="11" a="1"/>
  <c r="AU19" i="11" s="1"/>
  <c r="BF19" i="11" a="1"/>
  <c r="BF19" i="11" s="1"/>
  <c r="BQ19" i="11" a="1"/>
  <c r="BQ19" i="11" s="1"/>
  <c r="CL19" i="11" a="1"/>
  <c r="CL19" i="11" s="1"/>
  <c r="CS19" i="11" a="1"/>
  <c r="CS19" i="11" s="1"/>
  <c r="N19" i="11" a="1"/>
  <c r="N19" i="11" s="1"/>
  <c r="AA19" i="11" a="1"/>
  <c r="AA19" i="11" s="1"/>
  <c r="AL19" i="11" a="1"/>
  <c r="AL19" i="11" s="1"/>
  <c r="BR19" i="11" a="1"/>
  <c r="BR19" i="11" s="1"/>
  <c r="CD19" i="11" a="1"/>
  <c r="CD19" i="11" s="1"/>
  <c r="CM19" i="11" a="1"/>
  <c r="CM19" i="11" s="1"/>
  <c r="C19" i="11" a="1"/>
  <c r="C19" i="11" s="1"/>
  <c r="O19" i="11" a="1"/>
  <c r="O19" i="11" s="1"/>
  <c r="AM19" i="11" a="1"/>
  <c r="AM19" i="11" s="1"/>
  <c r="AW19" i="11" a="1"/>
  <c r="AW19" i="11" s="1"/>
  <c r="BH19" i="11" a="1"/>
  <c r="BH19" i="11" s="1"/>
  <c r="BS19" i="11" a="1"/>
  <c r="BS19" i="11" s="1"/>
  <c r="CE19" i="11" a="1"/>
  <c r="CE19" i="11" s="1"/>
  <c r="CN19" i="11" a="1"/>
  <c r="CN19" i="11" s="1"/>
  <c r="P19" i="11" a="1"/>
  <c r="P19" i="11" s="1"/>
  <c r="AB19" i="11" a="1"/>
  <c r="AB19" i="11" s="1"/>
  <c r="F19" i="11" a="1"/>
  <c r="F19" i="11" s="1"/>
  <c r="S19" i="11" a="1"/>
  <c r="S19" i="11" s="1"/>
  <c r="AE19" i="11" a="1"/>
  <c r="AE19" i="11" s="1"/>
  <c r="AZ19" i="11" a="1"/>
  <c r="AZ19" i="11" s="1"/>
  <c r="BK19" i="11" a="1"/>
  <c r="BK19" i="11" s="1"/>
  <c r="BW19" i="11" a="1"/>
  <c r="BW19" i="11" s="1"/>
  <c r="CH19" i="11" a="1"/>
  <c r="CH19" i="11" s="1"/>
  <c r="CO19" i="11" a="1"/>
  <c r="CO19" i="11" s="1"/>
  <c r="I19" i="11" a="1"/>
  <c r="I19" i="11" s="1"/>
  <c r="U19" i="11" a="1"/>
  <c r="U19" i="11" s="1"/>
  <c r="AH19" i="11" a="1"/>
  <c r="AH19" i="11" s="1"/>
  <c r="AR19" i="11" a="1"/>
  <c r="AR19" i="11" s="1"/>
  <c r="BB19" i="11" a="1"/>
  <c r="BB19" i="11" s="1"/>
  <c r="BN19" i="11" a="1"/>
  <c r="BN19" i="11" s="1"/>
  <c r="BY19" i="11" a="1"/>
  <c r="BY19" i="11" s="1"/>
  <c r="CK19" i="11" a="1"/>
  <c r="CK19" i="11" s="1"/>
  <c r="CQ19" i="11" a="1"/>
  <c r="CQ19" i="11" s="1"/>
  <c r="AI19" i="11" a="1"/>
  <c r="AI19" i="11" s="1"/>
  <c r="AQ19" i="11" a="1"/>
  <c r="AQ19" i="11" s="1"/>
  <c r="CJ19" i="11" a="1"/>
  <c r="CJ19" i="11" s="1"/>
  <c r="H19" i="11" a="1"/>
  <c r="H19" i="11" s="1"/>
  <c r="CP19" i="11" a="1"/>
  <c r="CP19" i="11" s="1"/>
  <c r="J19" i="11" a="1"/>
  <c r="J19" i="11" s="1"/>
  <c r="BC19" i="11" a="1"/>
  <c r="BC19" i="11" s="1"/>
  <c r="CR19" i="11" a="1"/>
  <c r="CR19" i="11" s="1"/>
  <c r="T19" i="11" a="1"/>
  <c r="T19" i="11" s="1"/>
  <c r="BM19" i="11" a="1"/>
  <c r="BM19" i="11" s="1"/>
  <c r="V19" i="11" a="1"/>
  <c r="V19" i="11" s="1"/>
  <c r="BO19" i="11" a="1"/>
  <c r="BO19" i="11" s="1"/>
  <c r="H25" i="11" a="1"/>
  <c r="H25" i="11" s="1"/>
  <c r="N25" i="11" a="1"/>
  <c r="N25" i="11" s="1"/>
  <c r="AF25" i="11" a="1"/>
  <c r="AF25" i="11" s="1"/>
  <c r="AK25" i="11" a="1"/>
  <c r="AK25" i="11" s="1"/>
  <c r="AQ25" i="11" a="1"/>
  <c r="AQ25" i="11" s="1"/>
  <c r="AW25" i="11" a="1"/>
  <c r="AW25" i="11" s="1"/>
  <c r="BC25" i="11" a="1"/>
  <c r="BC25" i="11" s="1"/>
  <c r="BH25" i="11" a="1"/>
  <c r="BH25" i="11" s="1"/>
  <c r="BT25" i="11" a="1"/>
  <c r="BT25" i="11" s="1"/>
  <c r="BZ25" i="11" a="1"/>
  <c r="BZ25" i="11" s="1"/>
  <c r="CR25" i="11" a="1"/>
  <c r="CR25" i="11" s="1"/>
  <c r="C25" i="11" a="1"/>
  <c r="C25" i="11" s="1"/>
  <c r="I25" i="11" a="1"/>
  <c r="I25" i="11" s="1"/>
  <c r="T25" i="11" a="1"/>
  <c r="T25" i="11" s="1"/>
  <c r="Z25" i="11" a="1"/>
  <c r="Z25" i="11" s="1"/>
  <c r="AG25" i="11" a="1"/>
  <c r="AG25" i="11" s="1"/>
  <c r="BI25" i="11" a="1"/>
  <c r="BI25" i="11" s="1"/>
  <c r="BO25" i="11" a="1"/>
  <c r="BO25" i="11" s="1"/>
  <c r="BU25" i="11" a="1"/>
  <c r="BU25" i="11" s="1"/>
  <c r="CF25" i="11" a="1"/>
  <c r="CF25" i="11" s="1"/>
  <c r="CL25" i="11" a="1"/>
  <c r="CL25" i="11" s="1"/>
  <c r="CS25" i="11" a="1"/>
  <c r="CS25" i="11" s="1"/>
  <c r="J25" i="11" a="1"/>
  <c r="J25" i="11" s="1"/>
  <c r="O25" i="11" a="1"/>
  <c r="O25" i="11" s="1"/>
  <c r="U25" i="11" a="1"/>
  <c r="U25" i="11" s="1"/>
  <c r="AL25" i="11" a="1"/>
  <c r="AL25" i="11" s="1"/>
  <c r="D25" i="11" a="1"/>
  <c r="D25" i="11" s="1"/>
  <c r="P25" i="11" a="1"/>
  <c r="P25" i="11" s="1"/>
  <c r="V25" i="11" a="1"/>
  <c r="V25" i="11" s="1"/>
  <c r="AA25" i="11" a="1"/>
  <c r="AA25" i="11" s="1"/>
  <c r="AH25" i="11" a="1"/>
  <c r="AH25" i="11" s="1"/>
  <c r="AM25" i="11" a="1"/>
  <c r="AM25" i="11" s="1"/>
  <c r="AS25" i="11" a="1"/>
  <c r="AS25" i="11" s="1"/>
  <c r="AY25" i="11" a="1"/>
  <c r="AY25" i="11" s="1"/>
  <c r="BE25" i="11" a="1"/>
  <c r="BE25" i="11" s="1"/>
  <c r="BK25" i="11" a="1"/>
  <c r="BK25" i="11" s="1"/>
  <c r="BP25" i="11" a="1"/>
  <c r="BP25" i="11" s="1"/>
  <c r="CB25" i="11" a="1"/>
  <c r="CB25" i="11" s="1"/>
  <c r="CH25" i="11" a="1"/>
  <c r="CH25" i="11" s="1"/>
  <c r="CM25" i="11" a="1"/>
  <c r="CM25" i="11" s="1"/>
  <c r="E25" i="11" a="1"/>
  <c r="E25" i="11" s="1"/>
  <c r="K25" i="11" a="1"/>
  <c r="K25" i="11" s="1"/>
  <c r="Q25" i="11" a="1"/>
  <c r="Q25" i="11" s="1"/>
  <c r="W25" i="11" a="1"/>
  <c r="W25" i="11" s="1"/>
  <c r="AB25" i="11" a="1"/>
  <c r="AB25" i="11" s="1"/>
  <c r="AN25" i="11" a="1"/>
  <c r="AN25" i="11" s="1"/>
  <c r="AT25" i="11" a="1"/>
  <c r="AT25" i="11" s="1"/>
  <c r="BL25" i="11" a="1"/>
  <c r="BL25" i="11" s="1"/>
  <c r="BQ25" i="11" a="1"/>
  <c r="BQ25" i="11" s="1"/>
  <c r="BW25" i="11" a="1"/>
  <c r="BW25" i="11" s="1"/>
  <c r="CC25" i="11" a="1"/>
  <c r="CC25" i="11" s="1"/>
  <c r="CI25" i="11" a="1"/>
  <c r="CI25" i="11" s="1"/>
  <c r="CN25" i="11" a="1"/>
  <c r="CN25" i="11" s="1"/>
  <c r="AC25" i="11" a="1"/>
  <c r="AC25" i="11" s="1"/>
  <c r="AI25" i="11" a="1"/>
  <c r="AI25" i="11" s="1"/>
  <c r="AO25" i="11" a="1"/>
  <c r="AO25" i="11" s="1"/>
  <c r="AZ25" i="11" a="1"/>
  <c r="AZ25" i="11" s="1"/>
  <c r="BF25" i="11" a="1"/>
  <c r="BF25" i="11" s="1"/>
  <c r="BM25" i="11" a="1"/>
  <c r="BM25" i="11" s="1"/>
  <c r="CO25" i="11" a="1"/>
  <c r="CO25" i="11" s="1"/>
  <c r="I17" i="11" a="1"/>
  <c r="I17" i="11" s="1"/>
  <c r="N17" i="11" a="1"/>
  <c r="N17" i="11" s="1"/>
  <c r="U17" i="11" a="1"/>
  <c r="U17" i="11" s="1"/>
  <c r="AA17" i="11" a="1"/>
  <c r="AA17" i="11" s="1"/>
  <c r="AG17" i="11" a="1"/>
  <c r="AG17" i="11" s="1"/>
  <c r="AO17" i="11" a="1"/>
  <c r="AO17" i="11" s="1"/>
  <c r="AT17" i="11" a="1"/>
  <c r="AT17" i="11" s="1"/>
  <c r="BA17" i="11" a="1"/>
  <c r="BA17" i="11" s="1"/>
  <c r="BG17" i="11" a="1"/>
  <c r="BG17" i="11" s="1"/>
  <c r="BT17" i="11" a="1"/>
  <c r="BT17" i="11" s="1"/>
  <c r="BY17" i="11" a="1"/>
  <c r="BY17" i="11" s="1"/>
  <c r="CK17" i="11" a="1"/>
  <c r="CK17" i="11" s="1"/>
  <c r="CQ17" i="11" a="1"/>
  <c r="CQ17" i="11" s="1"/>
  <c r="V17" i="11" a="1"/>
  <c r="V17" i="11" s="1"/>
  <c r="AB17" i="11" a="1"/>
  <c r="AB17" i="11" s="1"/>
  <c r="AH17" i="11" a="1"/>
  <c r="AH17" i="11" s="1"/>
  <c r="BB17" i="11" a="1"/>
  <c r="BB17" i="11" s="1"/>
  <c r="BH17" i="11" a="1"/>
  <c r="BH17" i="11" s="1"/>
  <c r="BN17" i="11" a="1"/>
  <c r="BN17" i="11" s="1"/>
  <c r="BZ17" i="11" a="1"/>
  <c r="BZ17" i="11" s="1"/>
  <c r="CE17" i="11" a="1"/>
  <c r="CE17" i="11" s="1"/>
  <c r="CR17" i="11" a="1"/>
  <c r="CR17" i="11" s="1"/>
  <c r="C17" i="11" a="1"/>
  <c r="C17" i="11" s="1"/>
  <c r="J17" i="11" a="1"/>
  <c r="J17" i="11" s="1"/>
  <c r="O17" i="11" a="1"/>
  <c r="O17" i="11" s="1"/>
  <c r="W17" i="11" a="1"/>
  <c r="W17" i="11" s="1"/>
  <c r="AC17" i="11" a="1"/>
  <c r="AC17" i="11" s="1"/>
  <c r="AI17" i="11" a="1"/>
  <c r="AI17" i="11" s="1"/>
  <c r="AP17" i="11" a="1"/>
  <c r="AP17" i="11" s="1"/>
  <c r="AU17" i="11" a="1"/>
  <c r="AU17" i="11" s="1"/>
  <c r="BC17" i="11" a="1"/>
  <c r="BC17" i="11" s="1"/>
  <c r="BI17" i="11" a="1"/>
  <c r="BI17" i="11" s="1"/>
  <c r="BU17" i="11" a="1"/>
  <c r="BU17" i="11" s="1"/>
  <c r="CA17" i="11" a="1"/>
  <c r="CA17" i="11" s="1"/>
  <c r="CF17" i="11" a="1"/>
  <c r="CF17" i="11" s="1"/>
  <c r="CL17" i="11" a="1"/>
  <c r="CL17" i="11" s="1"/>
  <c r="D17" i="11" a="1"/>
  <c r="D17" i="11" s="1"/>
  <c r="P17" i="11" a="1"/>
  <c r="P17" i="11" s="1"/>
  <c r="X17" i="11" a="1"/>
  <c r="X17" i="11" s="1"/>
  <c r="AJ17" i="11" a="1"/>
  <c r="AJ17" i="11" s="1"/>
  <c r="E17" i="11" a="1"/>
  <c r="E17" i="11" s="1"/>
  <c r="K17" i="11" a="1"/>
  <c r="K17" i="11" s="1"/>
  <c r="Q17" i="11" a="1"/>
  <c r="Q17" i="11" s="1"/>
  <c r="Y17" i="11" a="1"/>
  <c r="Y17" i="11" s="1"/>
  <c r="AD17" i="11" a="1"/>
  <c r="AD17" i="11" s="1"/>
  <c r="AK17" i="11" a="1"/>
  <c r="AK17" i="11" s="1"/>
  <c r="AQ17" i="11" a="1"/>
  <c r="AQ17" i="11" s="1"/>
  <c r="AW17" i="11" a="1"/>
  <c r="AW17" i="11" s="1"/>
  <c r="BE17" i="11" a="1"/>
  <c r="BE17" i="11" s="1"/>
  <c r="BK17" i="11" a="1"/>
  <c r="BK17" i="11" s="1"/>
  <c r="BP17" i="11" a="1"/>
  <c r="BP17" i="11" s="1"/>
  <c r="BV17" i="11" a="1"/>
  <c r="BV17" i="11" s="1"/>
  <c r="CH17" i="11" a="1"/>
  <c r="CH17" i="11" s="1"/>
  <c r="CM17" i="11" a="1"/>
  <c r="CM17" i="11" s="1"/>
  <c r="R17" i="11" a="1"/>
  <c r="R17" i="11" s="1"/>
  <c r="AF17" i="11" a="1"/>
  <c r="AF17" i="11" s="1"/>
  <c r="AV17" i="11" a="1"/>
  <c r="AV17" i="11" s="1"/>
  <c r="BJ17" i="11" a="1"/>
  <c r="BJ17" i="11" s="1"/>
  <c r="CG17" i="11" a="1"/>
  <c r="CG17" i="11" s="1"/>
  <c r="CS17" i="11" a="1"/>
  <c r="CS17" i="11" s="1"/>
  <c r="S17" i="11" a="1"/>
  <c r="S17" i="11" s="1"/>
  <c r="AL17" i="11" a="1"/>
  <c r="AL17" i="11" s="1"/>
  <c r="AX17" i="11" a="1"/>
  <c r="AX17" i="11" s="1"/>
  <c r="BL17" i="11" a="1"/>
  <c r="BL17" i="11" s="1"/>
  <c r="CI17" i="11" a="1"/>
  <c r="CI17" i="11" s="1"/>
  <c r="F17" i="11" a="1"/>
  <c r="F17" i="11" s="1"/>
  <c r="T17" i="11" a="1"/>
  <c r="T17" i="11" s="1"/>
  <c r="AM17" i="11" a="1"/>
  <c r="AM17" i="11" s="1"/>
  <c r="AY17" i="11" a="1"/>
  <c r="AY17" i="11" s="1"/>
  <c r="BW17" i="11" a="1"/>
  <c r="BW17" i="11" s="1"/>
  <c r="CJ17" i="11" a="1"/>
  <c r="CJ17" i="11" s="1"/>
  <c r="G17" i="11" a="1"/>
  <c r="G17" i="11" s="1"/>
  <c r="AN17" i="11" a="1"/>
  <c r="AN17" i="11" s="1"/>
  <c r="AZ17" i="11" a="1"/>
  <c r="AZ17" i="11" s="1"/>
  <c r="BM17" i="11" a="1"/>
  <c r="BM17" i="11" s="1"/>
  <c r="BX17" i="11" a="1"/>
  <c r="BX17" i="11" s="1"/>
  <c r="H17" i="11" a="1"/>
  <c r="H17" i="11" s="1"/>
  <c r="Z17" i="11" a="1"/>
  <c r="Z17" i="11" s="1"/>
  <c r="BD17" i="11" a="1"/>
  <c r="BD17" i="11" s="1"/>
  <c r="BO17" i="11" a="1"/>
  <c r="BO17" i="11" s="1"/>
  <c r="CB17" i="11" a="1"/>
  <c r="CB17" i="11" s="1"/>
  <c r="M17" i="11" a="1"/>
  <c r="M17" i="11" s="1"/>
  <c r="AS17" i="11" a="1"/>
  <c r="AS17" i="11" s="1"/>
  <c r="BF17" i="11" a="1"/>
  <c r="BF17" i="11" s="1"/>
  <c r="BR17" i="11" a="1"/>
  <c r="BR17" i="11" s="1"/>
  <c r="CO17" i="11" a="1"/>
  <c r="CO17" i="11" s="1"/>
  <c r="AE17" i="11" a="1"/>
  <c r="AE17" i="11" s="1"/>
  <c r="CD17" i="11" a="1"/>
  <c r="CD17" i="11" s="1"/>
  <c r="AR17" i="11" a="1"/>
  <c r="AR17" i="11" s="1"/>
  <c r="CN17" i="11" a="1"/>
  <c r="CN17" i="11" s="1"/>
  <c r="CP17" i="11" a="1"/>
  <c r="CP17" i="11" s="1"/>
  <c r="L17" i="11" a="1"/>
  <c r="L17" i="11" s="1"/>
  <c r="BQ17" i="11" a="1"/>
  <c r="BQ17" i="11" s="1"/>
  <c r="BS17" i="11" a="1"/>
  <c r="BS17" i="11" s="1"/>
  <c r="CI26" i="11" a="1"/>
  <c r="CI26" i="11" s="1"/>
  <c r="CD26" i="11" a="1"/>
  <c r="CD26" i="11" s="1"/>
  <c r="BS26" i="11" a="1"/>
  <c r="BS26" i="11" s="1"/>
  <c r="BN26" i="11" a="1"/>
  <c r="BN26" i="11" s="1"/>
  <c r="AE26" i="11" a="1"/>
  <c r="AE26" i="11" s="1"/>
  <c r="S26" i="11" a="1"/>
  <c r="S26" i="11" s="1"/>
  <c r="CE25" i="11" a="1"/>
  <c r="CE25" i="11" s="1"/>
  <c r="BA25" i="11" a="1"/>
  <c r="BA25" i="11" s="1"/>
  <c r="L25" i="11" a="1"/>
  <c r="L25" i="11" s="1"/>
  <c r="AG19" i="11" a="1"/>
  <c r="AG19" i="11" s="1"/>
  <c r="C24" i="11" a="1"/>
  <c r="C24" i="11" s="1"/>
  <c r="O24" i="11" a="1"/>
  <c r="O24" i="11" s="1"/>
  <c r="U24" i="11" a="1"/>
  <c r="U24" i="11" s="1"/>
  <c r="Z24" i="11" a="1"/>
  <c r="Z24" i="11" s="1"/>
  <c r="AG24" i="11" a="1"/>
  <c r="AG24" i="11" s="1"/>
  <c r="AL24" i="11" a="1"/>
  <c r="AL24" i="11" s="1"/>
  <c r="AR24" i="11" a="1"/>
  <c r="AR24" i="11" s="1"/>
  <c r="AX24" i="11" a="1"/>
  <c r="AX24" i="11" s="1"/>
  <c r="BD24" i="11" a="1"/>
  <c r="BD24" i="11" s="1"/>
  <c r="BJ24" i="11" a="1"/>
  <c r="BJ24" i="11" s="1"/>
  <c r="BO24" i="11" a="1"/>
  <c r="BO24" i="11" s="1"/>
  <c r="CA24" i="11" a="1"/>
  <c r="CA24" i="11" s="1"/>
  <c r="D24" i="11" a="1"/>
  <c r="D24" i="11" s="1"/>
  <c r="J24" i="11" a="1"/>
  <c r="J24" i="11" s="1"/>
  <c r="P24" i="11" a="1"/>
  <c r="P24" i="11" s="1"/>
  <c r="V24" i="11" a="1"/>
  <c r="V24" i="11" s="1"/>
  <c r="AA24" i="11" a="1"/>
  <c r="AA24" i="11" s="1"/>
  <c r="AM24" i="11" a="1"/>
  <c r="AM24" i="11" s="1"/>
  <c r="AS24" i="11" a="1"/>
  <c r="AS24" i="11" s="1"/>
  <c r="BK24" i="11" a="1"/>
  <c r="BK24" i="11" s="1"/>
  <c r="BP24" i="11" a="1"/>
  <c r="BP24" i="11" s="1"/>
  <c r="BV24" i="11" a="1"/>
  <c r="BV24" i="11" s="1"/>
  <c r="CB24" i="11" a="1"/>
  <c r="CB24" i="11" s="1"/>
  <c r="CH24" i="11" a="1"/>
  <c r="CH24" i="11" s="1"/>
  <c r="CM24" i="11" a="1"/>
  <c r="CM24" i="11" s="1"/>
  <c r="AB24" i="11" a="1"/>
  <c r="AB24" i="11" s="1"/>
  <c r="AH24" i="11" a="1"/>
  <c r="AH24" i="11" s="1"/>
  <c r="AN24" i="11" a="1"/>
  <c r="AN24" i="11" s="1"/>
  <c r="AY24" i="11" a="1"/>
  <c r="AY24" i="11" s="1"/>
  <c r="BE24" i="11" a="1"/>
  <c r="BE24" i="11" s="1"/>
  <c r="BL24" i="11" a="1"/>
  <c r="BL24" i="11" s="1"/>
  <c r="CN24" i="11" a="1"/>
  <c r="CN24" i="11" s="1"/>
  <c r="E24" i="11" a="1"/>
  <c r="E24" i="11" s="1"/>
  <c r="K24" i="11" a="1"/>
  <c r="K24" i="11" s="1"/>
  <c r="Q24" i="11" a="1"/>
  <c r="Q24" i="11" s="1"/>
  <c r="W24" i="11" a="1"/>
  <c r="W24" i="11" s="1"/>
  <c r="AC24" i="11" a="1"/>
  <c r="AC24" i="11" s="1"/>
  <c r="AO24" i="11" a="1"/>
  <c r="AO24" i="11" s="1"/>
  <c r="AT24" i="11" a="1"/>
  <c r="AT24" i="11" s="1"/>
  <c r="AZ24" i="11" a="1"/>
  <c r="AZ24" i="11" s="1"/>
  <c r="BQ24" i="11" a="1"/>
  <c r="BQ24" i="11" s="1"/>
  <c r="BW24" i="11" a="1"/>
  <c r="BW24" i="11" s="1"/>
  <c r="CC24" i="11" a="1"/>
  <c r="CC24" i="11" s="1"/>
  <c r="CI24" i="11" a="1"/>
  <c r="CI24" i="11" s="1"/>
  <c r="CO24" i="11" a="1"/>
  <c r="CO24" i="11" s="1"/>
  <c r="F24" i="11" a="1"/>
  <c r="F24" i="11" s="1"/>
  <c r="L24" i="11" a="1"/>
  <c r="L24" i="11" s="1"/>
  <c r="R24" i="11" a="1"/>
  <c r="R24" i="11" s="1"/>
  <c r="X24" i="11" a="1"/>
  <c r="X24" i="11" s="1"/>
  <c r="AD24" i="11" a="1"/>
  <c r="AD24" i="11" s="1"/>
  <c r="AI24" i="11" a="1"/>
  <c r="AI24" i="11" s="1"/>
  <c r="AU24" i="11" a="1"/>
  <c r="AU24" i="11" s="1"/>
  <c r="BA24" i="11" a="1"/>
  <c r="BA24" i="11" s="1"/>
  <c r="BF24" i="11" a="1"/>
  <c r="BF24" i="11" s="1"/>
  <c r="BM24" i="11" a="1"/>
  <c r="BM24" i="11" s="1"/>
  <c r="BR24" i="11" a="1"/>
  <c r="BR24" i="11" s="1"/>
  <c r="BX24" i="11" a="1"/>
  <c r="BX24" i="11" s="1"/>
  <c r="CD24" i="11" a="1"/>
  <c r="CD24" i="11" s="1"/>
  <c r="CJ24" i="11" a="1"/>
  <c r="CJ24" i="11" s="1"/>
  <c r="CP24" i="11" a="1"/>
  <c r="CP24" i="11" s="1"/>
  <c r="G24" i="11" a="1"/>
  <c r="G24" i="11" s="1"/>
  <c r="M24" i="11" a="1"/>
  <c r="M24" i="11" s="1"/>
  <c r="AE24" i="11" a="1"/>
  <c r="AE24" i="11" s="1"/>
  <c r="AJ24" i="11" a="1"/>
  <c r="AJ24" i="11" s="1"/>
  <c r="AP24" i="11" a="1"/>
  <c r="AP24" i="11" s="1"/>
  <c r="AV24" i="11" a="1"/>
  <c r="AV24" i="11" s="1"/>
  <c r="BB24" i="11" a="1"/>
  <c r="BB24" i="11" s="1"/>
  <c r="BG24" i="11" a="1"/>
  <c r="BG24" i="11" s="1"/>
  <c r="BS24" i="11" a="1"/>
  <c r="BS24" i="11" s="1"/>
  <c r="BY24" i="11" a="1"/>
  <c r="BY24" i="11" s="1"/>
  <c r="CQ24" i="11" a="1"/>
  <c r="CQ24" i="11" s="1"/>
  <c r="H24" i="11" a="1"/>
  <c r="H24" i="11" s="1"/>
  <c r="S24" i="11" a="1"/>
  <c r="S24" i="11" s="1"/>
  <c r="Y24" i="11" a="1"/>
  <c r="Y24" i="11" s="1"/>
  <c r="AF24" i="11" a="1"/>
  <c r="AF24" i="11" s="1"/>
  <c r="BH24" i="11" a="1"/>
  <c r="BH24" i="11" s="1"/>
  <c r="BN24" i="11" a="1"/>
  <c r="BN24" i="11" s="1"/>
  <c r="BT24" i="11" a="1"/>
  <c r="BT24" i="11" s="1"/>
  <c r="CE24" i="11" a="1"/>
  <c r="CE24" i="11" s="1"/>
  <c r="CK24" i="11" a="1"/>
  <c r="CK24" i="11" s="1"/>
  <c r="CR24" i="11" a="1"/>
  <c r="CR24" i="11" s="1"/>
  <c r="H16" i="11" a="1"/>
  <c r="H16" i="11" s="1"/>
  <c r="P16" i="11" a="1"/>
  <c r="P16" i="11" s="1"/>
  <c r="X16" i="11" a="1"/>
  <c r="X16" i="11" s="1"/>
  <c r="AF16" i="11" a="1"/>
  <c r="AF16" i="11" s="1"/>
  <c r="AN16" i="11" a="1"/>
  <c r="AN16" i="11" s="1"/>
  <c r="AV16" i="11" a="1"/>
  <c r="AV16" i="11" s="1"/>
  <c r="BD16" i="11" a="1"/>
  <c r="BD16" i="11" s="1"/>
  <c r="BL16" i="11" a="1"/>
  <c r="BL16" i="11" s="1"/>
  <c r="BT16" i="11" a="1"/>
  <c r="BT16" i="11" s="1"/>
  <c r="CB16" i="11" a="1"/>
  <c r="CB16" i="11" s="1"/>
  <c r="CJ16" i="11" a="1"/>
  <c r="CJ16" i="11" s="1"/>
  <c r="CR16" i="11" a="1"/>
  <c r="CR16" i="11" s="1"/>
  <c r="I16" i="11" a="1"/>
  <c r="I16" i="11" s="1"/>
  <c r="Q16" i="11" a="1"/>
  <c r="Q16" i="11" s="1"/>
  <c r="Y16" i="11" a="1"/>
  <c r="Y16" i="11" s="1"/>
  <c r="AG16" i="11" a="1"/>
  <c r="AG16" i="11" s="1"/>
  <c r="AO16" i="11" a="1"/>
  <c r="AO16" i="11" s="1"/>
  <c r="AW16" i="11" a="1"/>
  <c r="AW16" i="11" s="1"/>
  <c r="BE16" i="11" a="1"/>
  <c r="BE16" i="11" s="1"/>
  <c r="BM16" i="11" a="1"/>
  <c r="BM16" i="11" s="1"/>
  <c r="BU16" i="11" a="1"/>
  <c r="BU16" i="11" s="1"/>
  <c r="CC16" i="11" a="1"/>
  <c r="CC16" i="11" s="1"/>
  <c r="CK16" i="11" a="1"/>
  <c r="CK16" i="11" s="1"/>
  <c r="CS16" i="11" a="1"/>
  <c r="CS16" i="11" s="1"/>
  <c r="J16" i="11" a="1"/>
  <c r="J16" i="11" s="1"/>
  <c r="R16" i="11" a="1"/>
  <c r="R16" i="11" s="1"/>
  <c r="Z16" i="11" a="1"/>
  <c r="Z16" i="11" s="1"/>
  <c r="AH16" i="11" a="1"/>
  <c r="AH16" i="11" s="1"/>
  <c r="AP16" i="11" a="1"/>
  <c r="AP16" i="11" s="1"/>
  <c r="AX16" i="11" a="1"/>
  <c r="AX16" i="11" s="1"/>
  <c r="BF16" i="11" a="1"/>
  <c r="BF16" i="11" s="1"/>
  <c r="BN16" i="11" a="1"/>
  <c r="BN16" i="11" s="1"/>
  <c r="BV16" i="11" a="1"/>
  <c r="BV16" i="11" s="1"/>
  <c r="CD16" i="11" a="1"/>
  <c r="CD16" i="11" s="1"/>
  <c r="CL16" i="11" a="1"/>
  <c r="CL16" i="11" s="1"/>
  <c r="C16" i="11" a="1"/>
  <c r="C16" i="11" s="1"/>
  <c r="K16" i="11" a="1"/>
  <c r="K16" i="11" s="1"/>
  <c r="S16" i="11" a="1"/>
  <c r="S16" i="11" s="1"/>
  <c r="AA16" i="11" a="1"/>
  <c r="AA16" i="11" s="1"/>
  <c r="AI16" i="11" a="1"/>
  <c r="AI16" i="11" s="1"/>
  <c r="AQ16" i="11" a="1"/>
  <c r="AQ16" i="11" s="1"/>
  <c r="AY16" i="11" a="1"/>
  <c r="AY16" i="11" s="1"/>
  <c r="BG16" i="11" a="1"/>
  <c r="BG16" i="11" s="1"/>
  <c r="BO16" i="11" a="1"/>
  <c r="BO16" i="11" s="1"/>
  <c r="BW16" i="11" a="1"/>
  <c r="BW16" i="11" s="1"/>
  <c r="CE16" i="11" a="1"/>
  <c r="CE16" i="11" s="1"/>
  <c r="CM16" i="11" a="1"/>
  <c r="CM16" i="11" s="1"/>
  <c r="D16" i="11" a="1"/>
  <c r="D16" i="11" s="1"/>
  <c r="L16" i="11" a="1"/>
  <c r="L16" i="11" s="1"/>
  <c r="T16" i="11" a="1"/>
  <c r="T16" i="11" s="1"/>
  <c r="AB16" i="11" a="1"/>
  <c r="AB16" i="11" s="1"/>
  <c r="AJ16" i="11" a="1"/>
  <c r="AJ16" i="11" s="1"/>
  <c r="AR16" i="11" a="1"/>
  <c r="AR16" i="11" s="1"/>
  <c r="AZ16" i="11" a="1"/>
  <c r="AZ16" i="11" s="1"/>
  <c r="BH16" i="11" a="1"/>
  <c r="BH16" i="11" s="1"/>
  <c r="BP16" i="11" a="1"/>
  <c r="BP16" i="11" s="1"/>
  <c r="BX16" i="11" a="1"/>
  <c r="BX16" i="11" s="1"/>
  <c r="CF16" i="11" a="1"/>
  <c r="CF16" i="11" s="1"/>
  <c r="CN16" i="11" a="1"/>
  <c r="CN16" i="11" s="1"/>
  <c r="G16" i="11" a="1"/>
  <c r="G16" i="11" s="1"/>
  <c r="AD16" i="11" a="1"/>
  <c r="AD16" i="11" s="1"/>
  <c r="BA16" i="11" a="1"/>
  <c r="BA16" i="11" s="1"/>
  <c r="BS16" i="11" a="1"/>
  <c r="BS16" i="11" s="1"/>
  <c r="CP16" i="11" a="1"/>
  <c r="CP16" i="11" s="1"/>
  <c r="M16" i="11" a="1"/>
  <c r="M16" i="11" s="1"/>
  <c r="AE16" i="11" a="1"/>
  <c r="AE16" i="11" s="1"/>
  <c r="BB16" i="11" a="1"/>
  <c r="BB16" i="11" s="1"/>
  <c r="BY16" i="11" a="1"/>
  <c r="BY16" i="11" s="1"/>
  <c r="CQ16" i="11" a="1"/>
  <c r="CQ16" i="11" s="1"/>
  <c r="N16" i="11" a="1"/>
  <c r="N16" i="11" s="1"/>
  <c r="AK16" i="11" a="1"/>
  <c r="AK16" i="11" s="1"/>
  <c r="BC16" i="11" a="1"/>
  <c r="BC16" i="11" s="1"/>
  <c r="BZ16" i="11" a="1"/>
  <c r="BZ16" i="11" s="1"/>
  <c r="O16" i="11" a="1"/>
  <c r="O16" i="11" s="1"/>
  <c r="AL16" i="11" a="1"/>
  <c r="AL16" i="11" s="1"/>
  <c r="BI16" i="11" a="1"/>
  <c r="BI16" i="11" s="1"/>
  <c r="CA16" i="11" a="1"/>
  <c r="CA16" i="11" s="1"/>
  <c r="U16" i="11" a="1"/>
  <c r="U16" i="11" s="1"/>
  <c r="AM16" i="11" a="1"/>
  <c r="AM16" i="11" s="1"/>
  <c r="BJ16" i="11" a="1"/>
  <c r="BJ16" i="11" s="1"/>
  <c r="CG16" i="11" a="1"/>
  <c r="CG16" i="11" s="1"/>
  <c r="V16" i="11" a="1"/>
  <c r="V16" i="11" s="1"/>
  <c r="AS16" i="11" a="1"/>
  <c r="AS16" i="11" s="1"/>
  <c r="E16" i="11" a="1"/>
  <c r="E16" i="11" s="1"/>
  <c r="W16" i="11" a="1"/>
  <c r="W16" i="11" s="1"/>
  <c r="AT16" i="11" a="1"/>
  <c r="AT16" i="11" s="1"/>
  <c r="BQ16" i="11" a="1"/>
  <c r="BQ16" i="11" s="1"/>
  <c r="CI16" i="11" a="1"/>
  <c r="CI16" i="11" s="1"/>
  <c r="AU16" i="11" a="1"/>
  <c r="AU16" i="11" s="1"/>
  <c r="BK16" i="11" a="1"/>
  <c r="BK16" i="11" s="1"/>
  <c r="BR16" i="11" a="1"/>
  <c r="BR16" i="11" s="1"/>
  <c r="CH16" i="11" a="1"/>
  <c r="CH16" i="11" s="1"/>
  <c r="CO16" i="11" a="1"/>
  <c r="CO16" i="11" s="1"/>
  <c r="F16" i="11" a="1"/>
  <c r="F16" i="11" s="1"/>
  <c r="CS26" i="11" a="1"/>
  <c r="CS26" i="11" s="1"/>
  <c r="CN26" i="11" a="1"/>
  <c r="CN26" i="11" s="1"/>
  <c r="CC26" i="11" a="1"/>
  <c r="CC26" i="11" s="1"/>
  <c r="BX26" i="11" a="1"/>
  <c r="BX26" i="11" s="1"/>
  <c r="BM26" i="11" a="1"/>
  <c r="BM26" i="11" s="1"/>
  <c r="AP26" i="11" a="1"/>
  <c r="AP26" i="11" s="1"/>
  <c r="Q26" i="11" a="1"/>
  <c r="Q26" i="11" s="1"/>
  <c r="CD25" i="11" a="1"/>
  <c r="CD25" i="11" s="1"/>
  <c r="BN25" i="11" a="1"/>
  <c r="BN25" i="11" s="1"/>
  <c r="AX25" i="11" a="1"/>
  <c r="AX25" i="11" s="1"/>
  <c r="AE25" i="11" a="1"/>
  <c r="AE25" i="11" s="1"/>
  <c r="G25" i="11" a="1"/>
  <c r="G25" i="11" s="1"/>
  <c r="BZ24" i="11" a="1"/>
  <c r="BZ24" i="11" s="1"/>
  <c r="AG21" i="11" a="1"/>
  <c r="AG21" i="11" s="1"/>
  <c r="CA18" i="11" a="1"/>
  <c r="CA18" i="11" s="1"/>
  <c r="C23" i="11" a="1"/>
  <c r="C23" i="11" s="1"/>
  <c r="E23" i="11" a="1"/>
  <c r="E23" i="11" s="1"/>
  <c r="D23" i="11" a="1"/>
  <c r="D23" i="11" s="1"/>
  <c r="K23" i="11" a="1"/>
  <c r="K23" i="11" s="1"/>
  <c r="Q23" i="11" a="1"/>
  <c r="Q23" i="11" s="1"/>
  <c r="W23" i="11" a="1"/>
  <c r="W23" i="11" s="1"/>
  <c r="AC23" i="11" a="1"/>
  <c r="AC23" i="11" s="1"/>
  <c r="AH23" i="11" a="1"/>
  <c r="AH23" i="11" s="1"/>
  <c r="AT23" i="11" a="1"/>
  <c r="AT23" i="11" s="1"/>
  <c r="AZ23" i="11" a="1"/>
  <c r="AZ23" i="11" s="1"/>
  <c r="BE23" i="11" a="1"/>
  <c r="BE23" i="11" s="1"/>
  <c r="BL23" i="11" a="1"/>
  <c r="BL23" i="11" s="1"/>
  <c r="BQ23" i="11" a="1"/>
  <c r="BQ23" i="11" s="1"/>
  <c r="BW23" i="11" a="1"/>
  <c r="BW23" i="11" s="1"/>
  <c r="CC23" i="11" a="1"/>
  <c r="CC23" i="11" s="1"/>
  <c r="CI23" i="11" a="1"/>
  <c r="CI23" i="11" s="1"/>
  <c r="CO23" i="11" a="1"/>
  <c r="CO23" i="11" s="1"/>
  <c r="F23" i="11" a="1"/>
  <c r="F23" i="11" s="1"/>
  <c r="L23" i="11" a="1"/>
  <c r="L23" i="11" s="1"/>
  <c r="AD23" i="11" a="1"/>
  <c r="AD23" i="11" s="1"/>
  <c r="AI23" i="11" a="1"/>
  <c r="AI23" i="11" s="1"/>
  <c r="AO23" i="11" a="1"/>
  <c r="AO23" i="11" s="1"/>
  <c r="AU23" i="11" a="1"/>
  <c r="AU23" i="11" s="1"/>
  <c r="BA23" i="11" a="1"/>
  <c r="BA23" i="11" s="1"/>
  <c r="BF23" i="11" a="1"/>
  <c r="BF23" i="11" s="1"/>
  <c r="BR23" i="11" a="1"/>
  <c r="BR23" i="11" s="1"/>
  <c r="BX23" i="11" a="1"/>
  <c r="BX23" i="11" s="1"/>
  <c r="CP23" i="11" a="1"/>
  <c r="CP23" i="11" s="1"/>
  <c r="G23" i="11" a="1"/>
  <c r="G23" i="11" s="1"/>
  <c r="R23" i="11" a="1"/>
  <c r="R23" i="11" s="1"/>
  <c r="X23" i="11" a="1"/>
  <c r="X23" i="11" s="1"/>
  <c r="AE23" i="11" a="1"/>
  <c r="AE23" i="11" s="1"/>
  <c r="BG23" i="11" a="1"/>
  <c r="BG23" i="11" s="1"/>
  <c r="BM23" i="11" a="1"/>
  <c r="BM23" i="11" s="1"/>
  <c r="BS23" i="11" a="1"/>
  <c r="BS23" i="11" s="1"/>
  <c r="CD23" i="11" a="1"/>
  <c r="CD23" i="11" s="1"/>
  <c r="CJ23" i="11" a="1"/>
  <c r="CJ23" i="11" s="1"/>
  <c r="CQ23" i="11" a="1"/>
  <c r="CQ23" i="11" s="1"/>
  <c r="H23" i="11" a="1"/>
  <c r="H23" i="11" s="1"/>
  <c r="M23" i="11" a="1"/>
  <c r="M23" i="11" s="1"/>
  <c r="S23" i="11" a="1"/>
  <c r="S23" i="11" s="1"/>
  <c r="AJ23" i="11" a="1"/>
  <c r="AJ23" i="11" s="1"/>
  <c r="AP23" i="11" a="1"/>
  <c r="AP23" i="11" s="1"/>
  <c r="AV23" i="11" a="1"/>
  <c r="AV23" i="11" s="1"/>
  <c r="BB23" i="11" a="1"/>
  <c r="BB23" i="11" s="1"/>
  <c r="BH23" i="11" a="1"/>
  <c r="BH23" i="11" s="1"/>
  <c r="BT23" i="11" a="1"/>
  <c r="BT23" i="11" s="1"/>
  <c r="BY23" i="11" a="1"/>
  <c r="BY23" i="11" s="1"/>
  <c r="CE23" i="11" a="1"/>
  <c r="CE23" i="11" s="1"/>
  <c r="N23" i="11" a="1"/>
  <c r="N23" i="11" s="1"/>
  <c r="T23" i="11" a="1"/>
  <c r="T23" i="11" s="1"/>
  <c r="Y23" i="11" a="1"/>
  <c r="Y23" i="11" s="1"/>
  <c r="AF23" i="11" a="1"/>
  <c r="AF23" i="11" s="1"/>
  <c r="AK23" i="11" a="1"/>
  <c r="AK23" i="11" s="1"/>
  <c r="AQ23" i="11" a="1"/>
  <c r="AQ23" i="11" s="1"/>
  <c r="AW23" i="11" a="1"/>
  <c r="AW23" i="11" s="1"/>
  <c r="BC23" i="11" a="1"/>
  <c r="BC23" i="11" s="1"/>
  <c r="BI23" i="11" a="1"/>
  <c r="BI23" i="11" s="1"/>
  <c r="BN23" i="11" a="1"/>
  <c r="BN23" i="11" s="1"/>
  <c r="BZ23" i="11" a="1"/>
  <c r="BZ23" i="11" s="1"/>
  <c r="CF23" i="11" a="1"/>
  <c r="CF23" i="11" s="1"/>
  <c r="CK23" i="11" a="1"/>
  <c r="CK23" i="11" s="1"/>
  <c r="CR23" i="11" a="1"/>
  <c r="CR23" i="11" s="1"/>
  <c r="I23" i="11" a="1"/>
  <c r="I23" i="11" s="1"/>
  <c r="O23" i="11" a="1"/>
  <c r="O23" i="11" s="1"/>
  <c r="U23" i="11" a="1"/>
  <c r="U23" i="11" s="1"/>
  <c r="Z23" i="11" a="1"/>
  <c r="Z23" i="11" s="1"/>
  <c r="AL23" i="11" a="1"/>
  <c r="AL23" i="11" s="1"/>
  <c r="AR23" i="11" a="1"/>
  <c r="AR23" i="11" s="1"/>
  <c r="BJ23" i="11" a="1"/>
  <c r="BJ23" i="11" s="1"/>
  <c r="BO23" i="11" a="1"/>
  <c r="BO23" i="11" s="1"/>
  <c r="BU23" i="11" a="1"/>
  <c r="BU23" i="11" s="1"/>
  <c r="CA23" i="11" a="1"/>
  <c r="CA23" i="11" s="1"/>
  <c r="CG23" i="11" a="1"/>
  <c r="CG23" i="11" s="1"/>
  <c r="CL23" i="11" a="1"/>
  <c r="CL23" i="11" s="1"/>
  <c r="AA23" i="11" a="1"/>
  <c r="AA23" i="11" s="1"/>
  <c r="AG23" i="11" a="1"/>
  <c r="AG23" i="11" s="1"/>
  <c r="AM23" i="11" a="1"/>
  <c r="AM23" i="11" s="1"/>
  <c r="AX23" i="11" a="1"/>
  <c r="AX23" i="11" s="1"/>
  <c r="BD23" i="11" a="1"/>
  <c r="BD23" i="11" s="1"/>
  <c r="BK23" i="11" a="1"/>
  <c r="BK23" i="11" s="1"/>
  <c r="CM23" i="11" a="1"/>
  <c r="CM23" i="11" s="1"/>
  <c r="CS23" i="11" a="1"/>
  <c r="CS23" i="11" s="1"/>
  <c r="K15" i="11" a="1"/>
  <c r="K15" i="11" s="1"/>
  <c r="S15" i="11" a="1"/>
  <c r="S15" i="11" s="1"/>
  <c r="Y15" i="11" a="1"/>
  <c r="Y15" i="11" s="1"/>
  <c r="AG15" i="11" a="1"/>
  <c r="AG15" i="11" s="1"/>
  <c r="AV15" i="11" a="1"/>
  <c r="AV15" i="11" s="1"/>
  <c r="BD15" i="11" a="1"/>
  <c r="BD15" i="11" s="1"/>
  <c r="BL15" i="11" a="1"/>
  <c r="BL15" i="11" s="1"/>
  <c r="BS15" i="11" a="1"/>
  <c r="BS15" i="11" s="1"/>
  <c r="D15" i="11" a="1"/>
  <c r="D15" i="11" s="1"/>
  <c r="L15" i="11" a="1"/>
  <c r="L15" i="11" s="1"/>
  <c r="Z15" i="11" a="1"/>
  <c r="Z15" i="11" s="1"/>
  <c r="AH15" i="11" a="1"/>
  <c r="AH15" i="11" s="1"/>
  <c r="AO15" i="11" a="1"/>
  <c r="AO15" i="11" s="1"/>
  <c r="AW15" i="11" a="1"/>
  <c r="AW15" i="11" s="1"/>
  <c r="BE15" i="11" a="1"/>
  <c r="BE15" i="11" s="1"/>
  <c r="BM15" i="11" a="1"/>
  <c r="BM15" i="11" s="1"/>
  <c r="BT15" i="11" a="1"/>
  <c r="BT15" i="11" s="1"/>
  <c r="CB15" i="11" a="1"/>
  <c r="CB15" i="11" s="1"/>
  <c r="CI15" i="11" a="1"/>
  <c r="CI15" i="11" s="1"/>
  <c r="CQ15" i="11" a="1"/>
  <c r="CQ15" i="11" s="1"/>
  <c r="E15" i="11" a="1"/>
  <c r="E15" i="11" s="1"/>
  <c r="M15" i="11" a="1"/>
  <c r="M15" i="11" s="1"/>
  <c r="T15" i="11" a="1"/>
  <c r="T15" i="11" s="1"/>
  <c r="AA15" i="11" a="1"/>
  <c r="AA15" i="11" s="1"/>
  <c r="AI15" i="11" a="1"/>
  <c r="AI15" i="11" s="1"/>
  <c r="AP15" i="11" a="1"/>
  <c r="AP15" i="11" s="1"/>
  <c r="AX15" i="11" a="1"/>
  <c r="AX15" i="11" s="1"/>
  <c r="BF15" i="11" a="1"/>
  <c r="BF15" i="11" s="1"/>
  <c r="BN15" i="11" a="1"/>
  <c r="BN15" i="11" s="1"/>
  <c r="BU15" i="11" a="1"/>
  <c r="BU15" i="11" s="1"/>
  <c r="CC15" i="11" a="1"/>
  <c r="CC15" i="11" s="1"/>
  <c r="CJ15" i="11" a="1"/>
  <c r="CJ15" i="11" s="1"/>
  <c r="CR15" i="11" a="1"/>
  <c r="CR15" i="11" s="1"/>
  <c r="F15" i="11" a="1"/>
  <c r="F15" i="11" s="1"/>
  <c r="N15" i="11" a="1"/>
  <c r="N15" i="11" s="1"/>
  <c r="U15" i="11" a="1"/>
  <c r="U15" i="11" s="1"/>
  <c r="AB15" i="11" a="1"/>
  <c r="AB15" i="11" s="1"/>
  <c r="AJ15" i="11" a="1"/>
  <c r="AJ15" i="11" s="1"/>
  <c r="AQ15" i="11" a="1"/>
  <c r="AQ15" i="11" s="1"/>
  <c r="AY15" i="11" a="1"/>
  <c r="AY15" i="11" s="1"/>
  <c r="BG15" i="11" a="1"/>
  <c r="BG15" i="11" s="1"/>
  <c r="BO15" i="11" a="1"/>
  <c r="BO15" i="11" s="1"/>
  <c r="BV15" i="11" a="1"/>
  <c r="BV15" i="11" s="1"/>
  <c r="CD15" i="11" a="1"/>
  <c r="CD15" i="11" s="1"/>
  <c r="CK15" i="11" a="1"/>
  <c r="CK15" i="11" s="1"/>
  <c r="CS15" i="11" a="1"/>
  <c r="CS15" i="11" s="1"/>
  <c r="G15" i="11" a="1"/>
  <c r="G15" i="11" s="1"/>
  <c r="O15" i="11" a="1"/>
  <c r="O15" i="11" s="1"/>
  <c r="V15" i="11" a="1"/>
  <c r="V15" i="11" s="1"/>
  <c r="AC15" i="11" a="1"/>
  <c r="AC15" i="11" s="1"/>
  <c r="AK15" i="11" a="1"/>
  <c r="AK15" i="11" s="1"/>
  <c r="AR15" i="11" a="1"/>
  <c r="AR15" i="11" s="1"/>
  <c r="AZ15" i="11" a="1"/>
  <c r="AZ15" i="11" s="1"/>
  <c r="BH15" i="11" a="1"/>
  <c r="BH15" i="11" s="1"/>
  <c r="BW15" i="11" a="1"/>
  <c r="BW15" i="11" s="1"/>
  <c r="CE15" i="11" a="1"/>
  <c r="CE15" i="11" s="1"/>
  <c r="CL15" i="11" a="1"/>
  <c r="CL15" i="11" s="1"/>
  <c r="H15" i="11" a="1"/>
  <c r="H15" i="11" s="1"/>
  <c r="P15" i="11" a="1"/>
  <c r="P15" i="11" s="1"/>
  <c r="W15" i="11" a="1"/>
  <c r="W15" i="11" s="1"/>
  <c r="AD15" i="11" a="1"/>
  <c r="AD15" i="11" s="1"/>
  <c r="AL15" i="11" a="1"/>
  <c r="AL15" i="11" s="1"/>
  <c r="AS15" i="11" a="1"/>
  <c r="AS15" i="11" s="1"/>
  <c r="BA15" i="11" a="1"/>
  <c r="BA15" i="11" s="1"/>
  <c r="BI15" i="11" a="1"/>
  <c r="BI15" i="11" s="1"/>
  <c r="BP15" i="11" a="1"/>
  <c r="BP15" i="11" s="1"/>
  <c r="BX15" i="11" a="1"/>
  <c r="BX15" i="11" s="1"/>
  <c r="CM15" i="11" a="1"/>
  <c r="CM15" i="11" s="1"/>
  <c r="BC15" i="11" a="1"/>
  <c r="BC15" i="11" s="1"/>
  <c r="CF15" i="11" a="1"/>
  <c r="CF15" i="11" s="1"/>
  <c r="AE15" i="11" a="1"/>
  <c r="AE15" i="11" s="1"/>
  <c r="BJ15" i="11" a="1"/>
  <c r="BJ15" i="11" s="1"/>
  <c r="CG15" i="11" a="1"/>
  <c r="CG15" i="11" s="1"/>
  <c r="C15" i="11" a="1"/>
  <c r="C15" i="11" s="1"/>
  <c r="AF15" i="11" a="1"/>
  <c r="AF15" i="11" s="1"/>
  <c r="BK15" i="11" a="1"/>
  <c r="BK15" i="11" s="1"/>
  <c r="CH15" i="11" a="1"/>
  <c r="CH15" i="11" s="1"/>
  <c r="I15" i="11" a="1"/>
  <c r="I15" i="11" s="1"/>
  <c r="AM15" i="11" a="1"/>
  <c r="AM15" i="11" s="1"/>
  <c r="BQ15" i="11" a="1"/>
  <c r="BQ15" i="11" s="1"/>
  <c r="CN15" i="11" a="1"/>
  <c r="CN15" i="11" s="1"/>
  <c r="J15" i="11" a="1"/>
  <c r="J15" i="11" s="1"/>
  <c r="AN15" i="11" a="1"/>
  <c r="AN15" i="11" s="1"/>
  <c r="BR15" i="11" a="1"/>
  <c r="BR15" i="11" s="1"/>
  <c r="CO15" i="11" a="1"/>
  <c r="CO15" i="11" s="1"/>
  <c r="Q15" i="11" a="1"/>
  <c r="Q15" i="11" s="1"/>
  <c r="AT15" i="11" a="1"/>
  <c r="AT15" i="11" s="1"/>
  <c r="BY15" i="11" a="1"/>
  <c r="BY15" i="11" s="1"/>
  <c r="CP15" i="11" a="1"/>
  <c r="CP15" i="11" s="1"/>
  <c r="R15" i="11" a="1"/>
  <c r="R15" i="11" s="1"/>
  <c r="AU15" i="11" a="1"/>
  <c r="AU15" i="11" s="1"/>
  <c r="BZ15" i="11" a="1"/>
  <c r="BZ15" i="11" s="1"/>
  <c r="X15" i="11" a="1"/>
  <c r="X15" i="11" s="1"/>
  <c r="BB15" i="11" a="1"/>
  <c r="BB15" i="11" s="1"/>
  <c r="CA15" i="11" a="1"/>
  <c r="CA15" i="11" s="1"/>
  <c r="CM26" i="11" a="1"/>
  <c r="CM26" i="11" s="1"/>
  <c r="CH26" i="11" a="1"/>
  <c r="CH26" i="11" s="1"/>
  <c r="BW26" i="11" a="1"/>
  <c r="BW26" i="11" s="1"/>
  <c r="BR26" i="11" a="1"/>
  <c r="BR26" i="11" s="1"/>
  <c r="BB26" i="11" a="1"/>
  <c r="BB26" i="11" s="1"/>
  <c r="P26" i="11" a="1"/>
  <c r="P26" i="11" s="1"/>
  <c r="CQ25" i="11" a="1"/>
  <c r="CQ25" i="11" s="1"/>
  <c r="CA25" i="11" a="1"/>
  <c r="CA25" i="11" s="1"/>
  <c r="AV25" i="11" a="1"/>
  <c r="AV25" i="11" s="1"/>
  <c r="AD25" i="11" a="1"/>
  <c r="AD25" i="11" s="1"/>
  <c r="F25" i="11" a="1"/>
  <c r="F25" i="11" s="1"/>
  <c r="BU24" i="11" a="1"/>
  <c r="BU24" i="11" s="1"/>
  <c r="BV23" i="11" a="1"/>
  <c r="BV23" i="11" s="1"/>
  <c r="AB23" i="11" a="1"/>
  <c r="AB23" i="11" s="1"/>
  <c r="AG18" i="11" a="1"/>
  <c r="AG18" i="11" s="1"/>
  <c r="D22" i="11" a="1"/>
  <c r="D22" i="11" s="1"/>
  <c r="J22" i="11" a="1"/>
  <c r="J22" i="11" s="1"/>
  <c r="O22" i="11" a="1"/>
  <c r="O22" i="11" s="1"/>
  <c r="Z22" i="11" a="1"/>
  <c r="Z22" i="11" s="1"/>
  <c r="AK22" i="11" a="1"/>
  <c r="AK22" i="11" s="1"/>
  <c r="AV22" i="11" a="1"/>
  <c r="AV22" i="11" s="1"/>
  <c r="BA22" i="11" a="1"/>
  <c r="BA22" i="11" s="1"/>
  <c r="BG22" i="11" a="1"/>
  <c r="BG22" i="11" s="1"/>
  <c r="BL22" i="11" a="1"/>
  <c r="BL22" i="11" s="1"/>
  <c r="BR22" i="11" a="1"/>
  <c r="BR22" i="11" s="1"/>
  <c r="BW22" i="11" a="1"/>
  <c r="BW22" i="11" s="1"/>
  <c r="CH22" i="11" a="1"/>
  <c r="CH22" i="11" s="1"/>
  <c r="CN22" i="11" a="1"/>
  <c r="CN22" i="11" s="1"/>
  <c r="E22" i="11" a="1"/>
  <c r="E22" i="11" s="1"/>
  <c r="P22" i="11" a="1"/>
  <c r="P22" i="11" s="1"/>
  <c r="U22" i="11" a="1"/>
  <c r="U22" i="11" s="1"/>
  <c r="AA22" i="11" a="1"/>
  <c r="AA22" i="11" s="1"/>
  <c r="AF22" i="11" a="1"/>
  <c r="AF22" i="11" s="1"/>
  <c r="AL22" i="11" a="1"/>
  <c r="AL22" i="11" s="1"/>
  <c r="AQ22" i="11" a="1"/>
  <c r="AQ22" i="11" s="1"/>
  <c r="BB22" i="11" a="1"/>
  <c r="BB22" i="11" s="1"/>
  <c r="BH22" i="11" a="1"/>
  <c r="BH22" i="11" s="1"/>
  <c r="BS22" i="11" a="1"/>
  <c r="BS22" i="11" s="1"/>
  <c r="CC22" i="11" a="1"/>
  <c r="CC22" i="11" s="1"/>
  <c r="CS22" i="11" a="1"/>
  <c r="CS22" i="11" s="1"/>
  <c r="F22" i="11" a="1"/>
  <c r="F22" i="11" s="1"/>
  <c r="K22" i="11" a="1"/>
  <c r="K22" i="11" s="1"/>
  <c r="V22" i="11" a="1"/>
  <c r="V22" i="11" s="1"/>
  <c r="AB22" i="11" a="1"/>
  <c r="AB22" i="11" s="1"/>
  <c r="AM22" i="11" a="1"/>
  <c r="AM22" i="11" s="1"/>
  <c r="AW22" i="11" a="1"/>
  <c r="AW22" i="11" s="1"/>
  <c r="BM22" i="11" a="1"/>
  <c r="BM22" i="11" s="1"/>
  <c r="BX22" i="11" a="1"/>
  <c r="BX22" i="11" s="1"/>
  <c r="CD22" i="11" a="1"/>
  <c r="CD22" i="11" s="1"/>
  <c r="CI22" i="11" a="1"/>
  <c r="CI22" i="11" s="1"/>
  <c r="CO22" i="11" a="1"/>
  <c r="CO22" i="11" s="1"/>
  <c r="G22" i="11" a="1"/>
  <c r="G22" i="11" s="1"/>
  <c r="Q22" i="11" a="1"/>
  <c r="Q22" i="11" s="1"/>
  <c r="AG22" i="11" a="1"/>
  <c r="AG22" i="11" s="1"/>
  <c r="AR22" i="11" a="1"/>
  <c r="AR22" i="11" s="1"/>
  <c r="AX22" i="11" a="1"/>
  <c r="AX22" i="11" s="1"/>
  <c r="BC22" i="11" a="1"/>
  <c r="BC22" i="11" s="1"/>
  <c r="BI22" i="11" a="1"/>
  <c r="BI22" i="11" s="1"/>
  <c r="BN22" i="11" a="1"/>
  <c r="BN22" i="11" s="1"/>
  <c r="BT22" i="11" a="1"/>
  <c r="BT22" i="11" s="1"/>
  <c r="BY22" i="11" a="1"/>
  <c r="BY22" i="11" s="1"/>
  <c r="CE22" i="11" a="1"/>
  <c r="CE22" i="11" s="1"/>
  <c r="H22" i="11" a="1"/>
  <c r="H22" i="11" s="1"/>
  <c r="M22" i="11" a="1"/>
  <c r="M22" i="11" s="1"/>
  <c r="S22" i="11" a="1"/>
  <c r="S22" i="11" s="1"/>
  <c r="AD22" i="11" a="1"/>
  <c r="AD22" i="11" s="1"/>
  <c r="AT22" i="11" a="1"/>
  <c r="AT22" i="11" s="1"/>
  <c r="BD22" i="11" a="1"/>
  <c r="BD22" i="11" s="1"/>
  <c r="BO22" i="11" a="1"/>
  <c r="BO22" i="11" s="1"/>
  <c r="BU22" i="11" a="1"/>
  <c r="BU22" i="11" s="1"/>
  <c r="CF22" i="11" a="1"/>
  <c r="CF22" i="11" s="1"/>
  <c r="CK22" i="11" a="1"/>
  <c r="CK22" i="11" s="1"/>
  <c r="CQ22" i="11" a="1"/>
  <c r="CQ22" i="11" s="1"/>
  <c r="C22" i="11" a="1"/>
  <c r="C22" i="11" s="1"/>
  <c r="AH22" i="11" a="1"/>
  <c r="AH22" i="11" s="1"/>
  <c r="AU22" i="11" a="1"/>
  <c r="AU22" i="11" s="1"/>
  <c r="BK22" i="11" a="1"/>
  <c r="BK22" i="11" s="1"/>
  <c r="BZ22" i="11" a="1"/>
  <c r="BZ22" i="11" s="1"/>
  <c r="CL22" i="11" a="1"/>
  <c r="CL22" i="11" s="1"/>
  <c r="T22" i="11" a="1"/>
  <c r="T22" i="11" s="1"/>
  <c r="AI22" i="11" a="1"/>
  <c r="AI22" i="11" s="1"/>
  <c r="AY22" i="11" a="1"/>
  <c r="AY22" i="11" s="1"/>
  <c r="CA22" i="11" a="1"/>
  <c r="CA22" i="11" s="1"/>
  <c r="CM22" i="11" a="1"/>
  <c r="CM22" i="11" s="1"/>
  <c r="W22" i="11" a="1"/>
  <c r="W22" i="11" s="1"/>
  <c r="AJ22" i="11" a="1"/>
  <c r="AJ22" i="11" s="1"/>
  <c r="AZ22" i="11" a="1"/>
  <c r="AZ22" i="11" s="1"/>
  <c r="CB22" i="11" a="1"/>
  <c r="CB22" i="11" s="1"/>
  <c r="CP22" i="11" a="1"/>
  <c r="CP22" i="11" s="1"/>
  <c r="I22" i="11" a="1"/>
  <c r="I22" i="11" s="1"/>
  <c r="X22" i="11" a="1"/>
  <c r="X22" i="11" s="1"/>
  <c r="AN22" i="11" a="1"/>
  <c r="AN22" i="11" s="1"/>
  <c r="BP22" i="11" a="1"/>
  <c r="BP22" i="11" s="1"/>
  <c r="L22" i="11" a="1"/>
  <c r="L22" i="11" s="1"/>
  <c r="Y22" i="11" a="1"/>
  <c r="Y22" i="11" s="1"/>
  <c r="AO22" i="11" a="1"/>
  <c r="AO22" i="11" s="1"/>
  <c r="BQ22" i="11" a="1"/>
  <c r="BQ22" i="11" s="1"/>
  <c r="N22" i="11" a="1"/>
  <c r="N22" i="11" s="1"/>
  <c r="AC22" i="11" a="1"/>
  <c r="AC22" i="11" s="1"/>
  <c r="AP22" i="11" a="1"/>
  <c r="AP22" i="11" s="1"/>
  <c r="BE22" i="11" a="1"/>
  <c r="BE22" i="11" s="1"/>
  <c r="CG22" i="11" a="1"/>
  <c r="CG22" i="11" s="1"/>
  <c r="CR22" i="11" a="1"/>
  <c r="CR22" i="11" s="1"/>
  <c r="AS22" i="11" a="1"/>
  <c r="AS22" i="11" s="1"/>
  <c r="BF22" i="11" a="1"/>
  <c r="BF22" i="11" s="1"/>
  <c r="BV22" i="11" a="1"/>
  <c r="BV22" i="11" s="1"/>
  <c r="D14" i="11" a="1"/>
  <c r="D14" i="11" s="1"/>
  <c r="J14" i="11" a="1"/>
  <c r="J14" i="11" s="1"/>
  <c r="R14" i="11" a="1"/>
  <c r="R14" i="11" s="1"/>
  <c r="X14" i="11" a="1"/>
  <c r="X14" i="11" s="1"/>
  <c r="AF14" i="11" a="1"/>
  <c r="AF14" i="11" s="1"/>
  <c r="AM14" i="11" a="1"/>
  <c r="AM14" i="11" s="1"/>
  <c r="AT14" i="11" a="1"/>
  <c r="AT14" i="11" s="1"/>
  <c r="BA14" i="11" a="1"/>
  <c r="BA14" i="11" s="1"/>
  <c r="BH14" i="11" a="1"/>
  <c r="BH14" i="11" s="1"/>
  <c r="BP14" i="11" a="1"/>
  <c r="BP14" i="11" s="1"/>
  <c r="BW14" i="11" a="1"/>
  <c r="BW14" i="11" s="1"/>
  <c r="CE14" i="11" a="1"/>
  <c r="CE14" i="11" s="1"/>
  <c r="CM14" i="11" a="1"/>
  <c r="CM14" i="11" s="1"/>
  <c r="E14" i="11" a="1"/>
  <c r="E14" i="11" s="1"/>
  <c r="K14" i="11" a="1"/>
  <c r="K14" i="11" s="1"/>
  <c r="Y14" i="11" a="1"/>
  <c r="Y14" i="11" s="1"/>
  <c r="AG14" i="11" a="1"/>
  <c r="AG14" i="11" s="1"/>
  <c r="AU14" i="11" a="1"/>
  <c r="AU14" i="11" s="1"/>
  <c r="BB14" i="11" a="1"/>
  <c r="BB14" i="11" s="1"/>
  <c r="BI14" i="11" a="1"/>
  <c r="BI14" i="11" s="1"/>
  <c r="BQ14" i="11" a="1"/>
  <c r="BQ14" i="11" s="1"/>
  <c r="BX14" i="11" a="1"/>
  <c r="BX14" i="11" s="1"/>
  <c r="CF14" i="11" a="1"/>
  <c r="CF14" i="11" s="1"/>
  <c r="CN14" i="11" a="1"/>
  <c r="CN14" i="11" s="1"/>
  <c r="F14" i="11" a="1"/>
  <c r="F14" i="11" s="1"/>
  <c r="L14" i="11" a="1"/>
  <c r="L14" i="11" s="1"/>
  <c r="S14" i="11" a="1"/>
  <c r="S14" i="11" s="1"/>
  <c r="Z14" i="11" a="1"/>
  <c r="Z14" i="11" s="1"/>
  <c r="AH14" i="11" a="1"/>
  <c r="AH14" i="11" s="1"/>
  <c r="AN14" i="11" a="1"/>
  <c r="AN14" i="11" s="1"/>
  <c r="AV14" i="11" a="1"/>
  <c r="AV14" i="11" s="1"/>
  <c r="BC14" i="11" a="1"/>
  <c r="BC14" i="11" s="1"/>
  <c r="BJ14" i="11" a="1"/>
  <c r="BJ14" i="11" s="1"/>
  <c r="BR14" i="11" a="1"/>
  <c r="BR14" i="11" s="1"/>
  <c r="BY14" i="11" a="1"/>
  <c r="BY14" i="11" s="1"/>
  <c r="CG14" i="11" a="1"/>
  <c r="CG14" i="11" s="1"/>
  <c r="CO14" i="11" a="1"/>
  <c r="CO14" i="11" s="1"/>
  <c r="M14" i="11" a="1"/>
  <c r="M14" i="11" s="1"/>
  <c r="T14" i="11" a="1"/>
  <c r="T14" i="11" s="1"/>
  <c r="AA14" i="11" a="1"/>
  <c r="AA14" i="11" s="1"/>
  <c r="AO14" i="11" a="1"/>
  <c r="AO14" i="11" s="1"/>
  <c r="AW14" i="11" a="1"/>
  <c r="AW14" i="11" s="1"/>
  <c r="BK14" i="11" a="1"/>
  <c r="BK14" i="11" s="1"/>
  <c r="BS14" i="11" a="1"/>
  <c r="BS14" i="11" s="1"/>
  <c r="BZ14" i="11" a="1"/>
  <c r="BZ14" i="11" s="1"/>
  <c r="CH14" i="11" a="1"/>
  <c r="CH14" i="11" s="1"/>
  <c r="CP14" i="11" a="1"/>
  <c r="CP14" i="11" s="1"/>
  <c r="G14" i="11" a="1"/>
  <c r="G14" i="11" s="1"/>
  <c r="N14" i="11" a="1"/>
  <c r="N14" i="11" s="1"/>
  <c r="U14" i="11" a="1"/>
  <c r="U14" i="11" s="1"/>
  <c r="AB14" i="11" a="1"/>
  <c r="AB14" i="11" s="1"/>
  <c r="AI14" i="11" a="1"/>
  <c r="AI14" i="11" s="1"/>
  <c r="AP14" i="11" a="1"/>
  <c r="AP14" i="11" s="1"/>
  <c r="AX14" i="11" a="1"/>
  <c r="AX14" i="11" s="1"/>
  <c r="BD14" i="11" a="1"/>
  <c r="BD14" i="11" s="1"/>
  <c r="BL14" i="11" a="1"/>
  <c r="BL14" i="11" s="1"/>
  <c r="CA14" i="11" a="1"/>
  <c r="CA14" i="11" s="1"/>
  <c r="CI14" i="11" a="1"/>
  <c r="CI14" i="11" s="1"/>
  <c r="CQ14" i="11" a="1"/>
  <c r="CQ14" i="11" s="1"/>
  <c r="O14" i="11" a="1"/>
  <c r="O14" i="11" s="1"/>
  <c r="V14" i="11" a="1"/>
  <c r="V14" i="11" s="1"/>
  <c r="AC14" i="11" a="1"/>
  <c r="AC14" i="11" s="1"/>
  <c r="AJ14" i="11" a="1"/>
  <c r="AJ14" i="11" s="1"/>
  <c r="AQ14" i="11" a="1"/>
  <c r="AQ14" i="11" s="1"/>
  <c r="BE14" i="11" a="1"/>
  <c r="BE14" i="11" s="1"/>
  <c r="BM14" i="11" a="1"/>
  <c r="BM14" i="11" s="1"/>
  <c r="BT14" i="11" a="1"/>
  <c r="BT14" i="11" s="1"/>
  <c r="CB14" i="11" a="1"/>
  <c r="CB14" i="11" s="1"/>
  <c r="CJ14" i="11" a="1"/>
  <c r="CJ14" i="11" s="1"/>
  <c r="CR14" i="11" a="1"/>
  <c r="CR14" i="11" s="1"/>
  <c r="C14" i="11" a="1"/>
  <c r="C14" i="11" s="1"/>
  <c r="AE14" i="11" a="1"/>
  <c r="AE14" i="11" s="1"/>
  <c r="BG14" i="11" a="1"/>
  <c r="BG14" i="11" s="1"/>
  <c r="CL14" i="11" a="1"/>
  <c r="CL14" i="11" s="1"/>
  <c r="H14" i="11" a="1"/>
  <c r="H14" i="11" s="1"/>
  <c r="AK14" i="11" a="1"/>
  <c r="AK14" i="11" s="1"/>
  <c r="BN14" i="11" a="1"/>
  <c r="BN14" i="11" s="1"/>
  <c r="CS14" i="11" a="1"/>
  <c r="CS14" i="11" s="1"/>
  <c r="I14" i="11" a="1"/>
  <c r="I14" i="11" s="1"/>
  <c r="AL14" i="11" a="1"/>
  <c r="AL14" i="11" s="1"/>
  <c r="BO14" i="11" a="1"/>
  <c r="BO14" i="11" s="1"/>
  <c r="P14" i="11" a="1"/>
  <c r="P14" i="11" s="1"/>
  <c r="AR14" i="11" a="1"/>
  <c r="AR14" i="11" s="1"/>
  <c r="BU14" i="11" a="1"/>
  <c r="BU14" i="11" s="1"/>
  <c r="Q14" i="11" a="1"/>
  <c r="Q14" i="11" s="1"/>
  <c r="AS14" i="11" a="1"/>
  <c r="AS14" i="11" s="1"/>
  <c r="BV14" i="11" a="1"/>
  <c r="BV14" i="11" s="1"/>
  <c r="W14" i="11" a="1"/>
  <c r="W14" i="11" s="1"/>
  <c r="AY14" i="11" a="1"/>
  <c r="AY14" i="11" s="1"/>
  <c r="CC14" i="11" a="1"/>
  <c r="CC14" i="11" s="1"/>
  <c r="AZ14" i="11" a="1"/>
  <c r="AZ14" i="11" s="1"/>
  <c r="CD14" i="11" a="1"/>
  <c r="CD14" i="11" s="1"/>
  <c r="AD14" i="11" a="1"/>
  <c r="AD14" i="11" s="1"/>
  <c r="BF14" i="11" a="1"/>
  <c r="BF14" i="11" s="1"/>
  <c r="CK14" i="11" a="1"/>
  <c r="CK14" i="11" s="1"/>
  <c r="CR26" i="11" a="1"/>
  <c r="CR26" i="11" s="1"/>
  <c r="CG26" i="11" a="1"/>
  <c r="CG26" i="11" s="1"/>
  <c r="CB26" i="11" a="1"/>
  <c r="CB26" i="11" s="1"/>
  <c r="BQ26" i="11" a="1"/>
  <c r="BQ26" i="11" s="1"/>
  <c r="BK26" i="11" a="1"/>
  <c r="BK26" i="11" s="1"/>
  <c r="AY26" i="11" a="1"/>
  <c r="AY26" i="11" s="1"/>
  <c r="AN26" i="11" a="1"/>
  <c r="AN26" i="11" s="1"/>
  <c r="M26" i="11" a="1"/>
  <c r="M26" i="11" s="1"/>
  <c r="CP25" i="11" a="1"/>
  <c r="CP25" i="11" s="1"/>
  <c r="BY25" i="11" a="1"/>
  <c r="BY25" i="11" s="1"/>
  <c r="BJ25" i="11" a="1"/>
  <c r="BJ25" i="11" s="1"/>
  <c r="AU25" i="11" a="1"/>
  <c r="AU25" i="11" s="1"/>
  <c r="Y25" i="11" a="1"/>
  <c r="Y25" i="11" s="1"/>
  <c r="CS24" i="11" a="1"/>
  <c r="CS24" i="11" s="1"/>
  <c r="T24" i="11" a="1"/>
  <c r="T24" i="11" s="1"/>
  <c r="BP23" i="11" a="1"/>
  <c r="BP23" i="11" s="1"/>
  <c r="V23" i="11" a="1"/>
  <c r="V23" i="11" s="1"/>
  <c r="AE22" i="11" a="1"/>
  <c r="AE22" i="11" s="1"/>
  <c r="CD20" i="11" a="1"/>
  <c r="CD20" i="11" s="1"/>
  <c r="CC17" i="11" a="1"/>
  <c r="CC17" i="11" s="1"/>
  <c r="H21" i="11" a="1"/>
  <c r="H21" i="11" s="1"/>
  <c r="O21" i="11" a="1"/>
  <c r="O21" i="11" s="1"/>
  <c r="U21" i="11" a="1"/>
  <c r="U21" i="11" s="1"/>
  <c r="C21" i="11" a="1"/>
  <c r="C21" i="11" s="1"/>
  <c r="I21" i="11" a="1"/>
  <c r="I21" i="11" s="1"/>
  <c r="AB21" i="11" a="1"/>
  <c r="AB21" i="11" s="1"/>
  <c r="AH21" i="11" a="1"/>
  <c r="AH21" i="11" s="1"/>
  <c r="AN21" i="11" a="1"/>
  <c r="AN21" i="11" s="1"/>
  <c r="AU21" i="11" a="1"/>
  <c r="AU21" i="11" s="1"/>
  <c r="BH21" i="11" a="1"/>
  <c r="BH21" i="11" s="1"/>
  <c r="BM21" i="11" a="1"/>
  <c r="BM21" i="11" s="1"/>
  <c r="BS21" i="11" a="1"/>
  <c r="BS21" i="11" s="1"/>
  <c r="BX21" i="11" a="1"/>
  <c r="BX21" i="11" s="1"/>
  <c r="CD21" i="11" a="1"/>
  <c r="CD21" i="11" s="1"/>
  <c r="CI21" i="11" a="1"/>
  <c r="CI21" i="11" s="1"/>
  <c r="CP21" i="11" a="1"/>
  <c r="CP21" i="11" s="1"/>
  <c r="D21" i="11" a="1"/>
  <c r="D21" i="11" s="1"/>
  <c r="P21" i="11" a="1"/>
  <c r="P21" i="11" s="1"/>
  <c r="V21" i="11" a="1"/>
  <c r="V21" i="11" s="1"/>
  <c r="AC21" i="11" a="1"/>
  <c r="AC21" i="11" s="1"/>
  <c r="AI21" i="11" a="1"/>
  <c r="AI21" i="11" s="1"/>
  <c r="AO21" i="11" a="1"/>
  <c r="AO21" i="11" s="1"/>
  <c r="BB21" i="11" a="1"/>
  <c r="BB21" i="11" s="1"/>
  <c r="BI21" i="11" a="1"/>
  <c r="BI21" i="11" s="1"/>
  <c r="BY21" i="11" a="1"/>
  <c r="BY21" i="11" s="1"/>
  <c r="CE21" i="11" a="1"/>
  <c r="CE21" i="11" s="1"/>
  <c r="CJ21" i="11" a="1"/>
  <c r="CJ21" i="11" s="1"/>
  <c r="E21" i="11" a="1"/>
  <c r="E21" i="11" s="1"/>
  <c r="J21" i="11" a="1"/>
  <c r="J21" i="11" s="1"/>
  <c r="Q21" i="11" a="1"/>
  <c r="Q21" i="11" s="1"/>
  <c r="W21" i="11" a="1"/>
  <c r="W21" i="11" s="1"/>
  <c r="AJ21" i="11" a="1"/>
  <c r="AJ21" i="11" s="1"/>
  <c r="AV21" i="11" a="1"/>
  <c r="AV21" i="11" s="1"/>
  <c r="BC21" i="11" a="1"/>
  <c r="BC21" i="11" s="1"/>
  <c r="BN21" i="11" a="1"/>
  <c r="BN21" i="11" s="1"/>
  <c r="BT21" i="11" a="1"/>
  <c r="BT21" i="11" s="1"/>
  <c r="CK21" i="11" a="1"/>
  <c r="CK21" i="11" s="1"/>
  <c r="CQ21" i="11" a="1"/>
  <c r="CQ21" i="11" s="1"/>
  <c r="F21" i="11" a="1"/>
  <c r="F21" i="11" s="1"/>
  <c r="K21" i="11" a="1"/>
  <c r="K21" i="11" s="1"/>
  <c r="R21" i="11" a="1"/>
  <c r="R21" i="11" s="1"/>
  <c r="X21" i="11" a="1"/>
  <c r="X21" i="11" s="1"/>
  <c r="AD21" i="11" a="1"/>
  <c r="AD21" i="11" s="1"/>
  <c r="AK21" i="11" a="1"/>
  <c r="AK21" i="11" s="1"/>
  <c r="AP21" i="11" a="1"/>
  <c r="AP21" i="11" s="1"/>
  <c r="AW21" i="11" a="1"/>
  <c r="AW21" i="11" s="1"/>
  <c r="BD21" i="11" a="1"/>
  <c r="BD21" i="11" s="1"/>
  <c r="BJ21" i="11" a="1"/>
  <c r="BJ21" i="11" s="1"/>
  <c r="BO21" i="11" a="1"/>
  <c r="BO21" i="11" s="1"/>
  <c r="BU21" i="11" a="1"/>
  <c r="BU21" i="11" s="1"/>
  <c r="BZ21" i="11" a="1"/>
  <c r="BZ21" i="11" s="1"/>
  <c r="CF21" i="11" a="1"/>
  <c r="CF21" i="11" s="1"/>
  <c r="CL21" i="11" a="1"/>
  <c r="CL21" i="11" s="1"/>
  <c r="G21" i="11" a="1"/>
  <c r="G21" i="11" s="1"/>
  <c r="M21" i="11" a="1"/>
  <c r="M21" i="11" s="1"/>
  <c r="S21" i="11" a="1"/>
  <c r="S21" i="11" s="1"/>
  <c r="Z21" i="11" a="1"/>
  <c r="Z21" i="11" s="1"/>
  <c r="AE21" i="11" a="1"/>
  <c r="AE21" i="11" s="1"/>
  <c r="AR21" i="11" a="1"/>
  <c r="AR21" i="11" s="1"/>
  <c r="AY21" i="11" a="1"/>
  <c r="AY21" i="11" s="1"/>
  <c r="BF21" i="11" a="1"/>
  <c r="BF21" i="11" s="1"/>
  <c r="BK21" i="11" a="1"/>
  <c r="BK21" i="11" s="1"/>
  <c r="BQ21" i="11" a="1"/>
  <c r="BQ21" i="11" s="1"/>
  <c r="BV21" i="11" a="1"/>
  <c r="BV21" i="11" s="1"/>
  <c r="CN21" i="11" a="1"/>
  <c r="CN21" i="11" s="1"/>
  <c r="CS21" i="11" a="1"/>
  <c r="CS21" i="11" s="1"/>
  <c r="N21" i="11" a="1"/>
  <c r="N21" i="11" s="1"/>
  <c r="AL21" i="11" a="1"/>
  <c r="AL21" i="11" s="1"/>
  <c r="BA21" i="11" a="1"/>
  <c r="BA21" i="11" s="1"/>
  <c r="BR21" i="11" a="1"/>
  <c r="BR21" i="11" s="1"/>
  <c r="CG21" i="11" a="1"/>
  <c r="CG21" i="11" s="1"/>
  <c r="AM21" i="11" a="1"/>
  <c r="AM21" i="11" s="1"/>
  <c r="BE21" i="11" a="1"/>
  <c r="BE21" i="11" s="1"/>
  <c r="CH21" i="11" a="1"/>
  <c r="CH21" i="11" s="1"/>
  <c r="T21" i="11" a="1"/>
  <c r="T21" i="11" s="1"/>
  <c r="BG21" i="11" a="1"/>
  <c r="BG21" i="11" s="1"/>
  <c r="Y21" i="11" a="1"/>
  <c r="Y21" i="11" s="1"/>
  <c r="AQ21" i="11" a="1"/>
  <c r="AQ21" i="11" s="1"/>
  <c r="CM21" i="11" a="1"/>
  <c r="CM21" i="11" s="1"/>
  <c r="AA21" i="11" a="1"/>
  <c r="AA21" i="11" s="1"/>
  <c r="AS21" i="11" a="1"/>
  <c r="AS21" i="11" s="1"/>
  <c r="BW21" i="11" a="1"/>
  <c r="BW21" i="11" s="1"/>
  <c r="CO21" i="11" a="1"/>
  <c r="CO21" i="11" s="1"/>
  <c r="AT21" i="11" a="1"/>
  <c r="AT21" i="11" s="1"/>
  <c r="CA21" i="11" a="1"/>
  <c r="CA21" i="11" s="1"/>
  <c r="AF21" i="11" a="1"/>
  <c r="AF21" i="11" s="1"/>
  <c r="AX21" i="11" a="1"/>
  <c r="AX21" i="11" s="1"/>
  <c r="BL21" i="11" a="1"/>
  <c r="BL21" i="11" s="1"/>
  <c r="CB21" i="11" a="1"/>
  <c r="CB21" i="11" s="1"/>
  <c r="CR21" i="11" a="1"/>
  <c r="CR21" i="11" s="1"/>
  <c r="CQ26" i="11" a="1"/>
  <c r="CQ26" i="11" s="1"/>
  <c r="CL26" i="11" a="1"/>
  <c r="CL26" i="11" s="1"/>
  <c r="CA26" i="11" a="1"/>
  <c r="CA26" i="11" s="1"/>
  <c r="BV26" i="11" a="1"/>
  <c r="BV26" i="11" s="1"/>
  <c r="Z26" i="11" a="1"/>
  <c r="Z26" i="11" s="1"/>
  <c r="BX25" i="11" a="1"/>
  <c r="BX25" i="11" s="1"/>
  <c r="BG25" i="11" a="1"/>
  <c r="BG25" i="11" s="1"/>
  <c r="AR25" i="11" a="1"/>
  <c r="AR25" i="11" s="1"/>
  <c r="X25" i="11" a="1"/>
  <c r="X25" i="11" s="1"/>
  <c r="BI24" i="11" a="1"/>
  <c r="BI24" i="11" s="1"/>
  <c r="N24" i="11" a="1"/>
  <c r="N24" i="11" s="1"/>
  <c r="P23" i="11" a="1"/>
  <c r="P23" i="11" s="1"/>
  <c r="R22" i="11" a="1"/>
  <c r="R22" i="11" s="1"/>
  <c r="G20" i="11" a="1"/>
  <c r="G20" i="11" s="1"/>
  <c r="S20" i="11" a="1"/>
  <c r="S20" i="11" s="1"/>
  <c r="Y20" i="11" a="1"/>
  <c r="Y20" i="11" s="1"/>
  <c r="AD20" i="11" a="1"/>
  <c r="AD20" i="11" s="1"/>
  <c r="AK20" i="11" a="1"/>
  <c r="AK20" i="11" s="1"/>
  <c r="AP20" i="11" a="1"/>
  <c r="AP20" i="11" s="1"/>
  <c r="AV20" i="11" a="1"/>
  <c r="AV20" i="11" s="1"/>
  <c r="BB20" i="11" a="1"/>
  <c r="BB20" i="11" s="1"/>
  <c r="BH20" i="11" a="1"/>
  <c r="BH20" i="11" s="1"/>
  <c r="BN20" i="11" a="1"/>
  <c r="BN20" i="11" s="1"/>
  <c r="BT20" i="11" a="1"/>
  <c r="BT20" i="11" s="1"/>
  <c r="CM20" i="11" a="1"/>
  <c r="CM20" i="11" s="1"/>
  <c r="CS20" i="11" a="1"/>
  <c r="CS20" i="11" s="1"/>
  <c r="C20" i="11" a="1"/>
  <c r="C20" i="11" s="1"/>
  <c r="H20" i="11" a="1"/>
  <c r="H20" i="11" s="1"/>
  <c r="N20" i="11" a="1"/>
  <c r="N20" i="11" s="1"/>
  <c r="T20" i="11" a="1"/>
  <c r="T20" i="11" s="1"/>
  <c r="Z20" i="11" a="1"/>
  <c r="Z20" i="11" s="1"/>
  <c r="AE20" i="11" a="1"/>
  <c r="AE20" i="11" s="1"/>
  <c r="AQ20" i="11" a="1"/>
  <c r="AQ20" i="11" s="1"/>
  <c r="AW20" i="11" a="1"/>
  <c r="AW20" i="11" s="1"/>
  <c r="BO20" i="11" a="1"/>
  <c r="BO20" i="11" s="1"/>
  <c r="CA20" i="11" a="1"/>
  <c r="CA20" i="11" s="1"/>
  <c r="CG20" i="11" a="1"/>
  <c r="CG20" i="11" s="1"/>
  <c r="CN20" i="11" a="1"/>
  <c r="CN20" i="11" s="1"/>
  <c r="D20" i="11" a="1"/>
  <c r="D20" i="11" s="1"/>
  <c r="AF20" i="11" a="1"/>
  <c r="AF20" i="11" s="1"/>
  <c r="AL20" i="11" a="1"/>
  <c r="AL20" i="11" s="1"/>
  <c r="AR20" i="11" a="1"/>
  <c r="AR20" i="11" s="1"/>
  <c r="BC20" i="11" a="1"/>
  <c r="BC20" i="11" s="1"/>
  <c r="BI20" i="11" a="1"/>
  <c r="BI20" i="11" s="1"/>
  <c r="BP20" i="11" a="1"/>
  <c r="BP20" i="11" s="1"/>
  <c r="BU20" i="11" a="1"/>
  <c r="BU20" i="11" s="1"/>
  <c r="CB20" i="11" a="1"/>
  <c r="CB20" i="11" s="1"/>
  <c r="CH20" i="11" a="1"/>
  <c r="CH20" i="11" s="1"/>
  <c r="I20" i="11" a="1"/>
  <c r="I20" i="11" s="1"/>
  <c r="O20" i="11" a="1"/>
  <c r="O20" i="11" s="1"/>
  <c r="U20" i="11" a="1"/>
  <c r="U20" i="11" s="1"/>
  <c r="AA20" i="11" a="1"/>
  <c r="AA20" i="11" s="1"/>
  <c r="AG20" i="11" a="1"/>
  <c r="AG20" i="11" s="1"/>
  <c r="AS20" i="11" a="1"/>
  <c r="AS20" i="11" s="1"/>
  <c r="AX20" i="11" a="1"/>
  <c r="AX20" i="11" s="1"/>
  <c r="BD20" i="11" a="1"/>
  <c r="BD20" i="11" s="1"/>
  <c r="BQ20" i="11" a="1"/>
  <c r="BQ20" i="11" s="1"/>
  <c r="BV20" i="11" a="1"/>
  <c r="BV20" i="11" s="1"/>
  <c r="CC20" i="11" a="1"/>
  <c r="CC20" i="11" s="1"/>
  <c r="CI20" i="11" a="1"/>
  <c r="CI20" i="11" s="1"/>
  <c r="CO20" i="11" a="1"/>
  <c r="CO20" i="11" s="1"/>
  <c r="E20" i="11" a="1"/>
  <c r="E20" i="11" s="1"/>
  <c r="J20" i="11" a="1"/>
  <c r="J20" i="11" s="1"/>
  <c r="P20" i="11" a="1"/>
  <c r="P20" i="11" s="1"/>
  <c r="V20" i="11" a="1"/>
  <c r="V20" i="11" s="1"/>
  <c r="AB20" i="11" a="1"/>
  <c r="AB20" i="11" s="1"/>
  <c r="AH20" i="11" a="1"/>
  <c r="AH20" i="11" s="1"/>
  <c r="AM20" i="11" a="1"/>
  <c r="AM20" i="11" s="1"/>
  <c r="AY20" i="11" a="1"/>
  <c r="AY20" i="11" s="1"/>
  <c r="BE20" i="11" a="1"/>
  <c r="BE20" i="11" s="1"/>
  <c r="BJ20" i="11" a="1"/>
  <c r="BJ20" i="11" s="1"/>
  <c r="BW20" i="11" a="1"/>
  <c r="BW20" i="11" s="1"/>
  <c r="CJ20" i="11" a="1"/>
  <c r="CJ20" i="11" s="1"/>
  <c r="F20" i="11" a="1"/>
  <c r="F20" i="11" s="1"/>
  <c r="L20" i="11" a="1"/>
  <c r="L20" i="11" s="1"/>
  <c r="W20" i="11" a="1"/>
  <c r="W20" i="11" s="1"/>
  <c r="AC20" i="11" a="1"/>
  <c r="AC20" i="11" s="1"/>
  <c r="AJ20" i="11" a="1"/>
  <c r="AJ20" i="11" s="1"/>
  <c r="BL20" i="11" a="1"/>
  <c r="BL20" i="11" s="1"/>
  <c r="BY20" i="11" a="1"/>
  <c r="BY20" i="11" s="1"/>
  <c r="CE20" i="11" a="1"/>
  <c r="CE20" i="11" s="1"/>
  <c r="CL20" i="11" a="1"/>
  <c r="CL20" i="11" s="1"/>
  <c r="CQ20" i="11" a="1"/>
  <c r="CQ20" i="11" s="1"/>
  <c r="M20" i="11" a="1"/>
  <c r="M20" i="11" s="1"/>
  <c r="BG20" i="11" a="1"/>
  <c r="BG20" i="11" s="1"/>
  <c r="CF20" i="11" a="1"/>
  <c r="CF20" i="11" s="1"/>
  <c r="Q20" i="11" a="1"/>
  <c r="Q20" i="11" s="1"/>
  <c r="AN20" i="11" a="1"/>
  <c r="AN20" i="11" s="1"/>
  <c r="BK20" i="11" a="1"/>
  <c r="BK20" i="11" s="1"/>
  <c r="CK20" i="11" a="1"/>
  <c r="CK20" i="11" s="1"/>
  <c r="R20" i="11" a="1"/>
  <c r="R20" i="11" s="1"/>
  <c r="AO20" i="11" a="1"/>
  <c r="AO20" i="11" s="1"/>
  <c r="BM20" i="11" a="1"/>
  <c r="BM20" i="11" s="1"/>
  <c r="AT20" i="11" a="1"/>
  <c r="AT20" i="11" s="1"/>
  <c r="BR20" i="11" a="1"/>
  <c r="BR20" i="11" s="1"/>
  <c r="CP20" i="11" a="1"/>
  <c r="CP20" i="11" s="1"/>
  <c r="X20" i="11" a="1"/>
  <c r="X20" i="11" s="1"/>
  <c r="AU20" i="11" a="1"/>
  <c r="AU20" i="11" s="1"/>
  <c r="BS20" i="11" a="1"/>
  <c r="BS20" i="11" s="1"/>
  <c r="CR20" i="11" a="1"/>
  <c r="CR20" i="11" s="1"/>
  <c r="AZ20" i="11" a="1"/>
  <c r="AZ20" i="11" s="1"/>
  <c r="BX20" i="11" a="1"/>
  <c r="BX20" i="11" s="1"/>
  <c r="BA20" i="11" a="1"/>
  <c r="BA20" i="11" s="1"/>
  <c r="BZ20" i="11" a="1"/>
  <c r="BZ20" i="11" s="1"/>
  <c r="CK26" i="11" a="1"/>
  <c r="CK26" i="11" s="1"/>
  <c r="CF26" i="11" a="1"/>
  <c r="CF26" i="11" s="1"/>
  <c r="BU26" i="11" a="1"/>
  <c r="BU26" i="11" s="1"/>
  <c r="BP26" i="11" a="1"/>
  <c r="BP26" i="11" s="1"/>
  <c r="BJ26" i="11" a="1"/>
  <c r="BJ26" i="11" s="1"/>
  <c r="AW26" i="11" a="1"/>
  <c r="AW26" i="11" s="1"/>
  <c r="AJ26" i="11" a="1"/>
  <c r="AJ26" i="11" s="1"/>
  <c r="X26" i="11" a="1"/>
  <c r="X26" i="11" s="1"/>
  <c r="K26" i="11" a="1"/>
  <c r="K26" i="11" s="1"/>
  <c r="CK25" i="11" a="1"/>
  <c r="CK25" i="11" s="1"/>
  <c r="BV25" i="11" a="1"/>
  <c r="BV25" i="11" s="1"/>
  <c r="S25" i="11" a="1"/>
  <c r="S25" i="11" s="1"/>
  <c r="CL24" i="11" a="1"/>
  <c r="CL24" i="11" s="1"/>
  <c r="BC24" i="11" a="1"/>
  <c r="BC24" i="11" s="1"/>
  <c r="I24" i="11" a="1"/>
  <c r="I24" i="11" s="1"/>
  <c r="J23" i="11" a="1"/>
  <c r="J23" i="11" s="1"/>
  <c r="AI20" i="11" a="1"/>
  <c r="AI20" i="11" s="1"/>
  <c r="AC16" i="11" a="1"/>
  <c r="AC16" i="11" s="1"/>
  <c r="CO6" i="11" a="1"/>
  <c r="CO6" i="11" s="1"/>
  <c r="CI6" i="11" a="1"/>
  <c r="CI6" i="11" s="1"/>
  <c r="CB6" i="11" a="1"/>
  <c r="CB6" i="11" s="1"/>
  <c r="BV6" i="11" a="1"/>
  <c r="BV6" i="11" s="1"/>
  <c r="BI6" i="11" a="1"/>
  <c r="BI6" i="11" s="1"/>
  <c r="BC6" i="11" a="1"/>
  <c r="BC6" i="11" s="1"/>
  <c r="AV6" i="11" a="1"/>
  <c r="AV6" i="11" s="1"/>
  <c r="AP6" i="11" a="1"/>
  <c r="AP6" i="11" s="1"/>
  <c r="AC6" i="11" a="1"/>
  <c r="AC6" i="11" s="1"/>
  <c r="W6" i="11" a="1"/>
  <c r="W6" i="11" s="1"/>
  <c r="P6" i="11" a="1"/>
  <c r="P6" i="11" s="1"/>
  <c r="J6" i="11" a="1"/>
  <c r="J6" i="11" s="1"/>
  <c r="CN5" i="11" a="1"/>
  <c r="CN5" i="11" s="1"/>
  <c r="CH5" i="11" a="1"/>
  <c r="CH5" i="11" s="1"/>
  <c r="CA5" i="11" a="1"/>
  <c r="CA5" i="11" s="1"/>
  <c r="BU5" i="11" a="1"/>
  <c r="BU5" i="11" s="1"/>
  <c r="BH5" i="11" a="1"/>
  <c r="BH5" i="11" s="1"/>
  <c r="BB5" i="11" a="1"/>
  <c r="BB5" i="11" s="1"/>
  <c r="AU5" i="11" a="1"/>
  <c r="AU5" i="11" s="1"/>
  <c r="AO5" i="11" a="1"/>
  <c r="AO5" i="11" s="1"/>
  <c r="AB5" i="11" a="1"/>
  <c r="AB5" i="11" s="1"/>
  <c r="V5" i="11" a="1"/>
  <c r="V5" i="11" s="1"/>
  <c r="O5" i="11" a="1"/>
  <c r="O5" i="11" s="1"/>
  <c r="I5" i="11" a="1"/>
  <c r="I5" i="11" s="1"/>
  <c r="CN6" i="11" a="1"/>
  <c r="CN6" i="11" s="1"/>
  <c r="CH6" i="11" a="1"/>
  <c r="CH6" i="11" s="1"/>
  <c r="BU6" i="11" a="1"/>
  <c r="BU6" i="11" s="1"/>
  <c r="BO6" i="11" a="1"/>
  <c r="BO6" i="11" s="1"/>
  <c r="BH6" i="11" a="1"/>
  <c r="BH6" i="11" s="1"/>
  <c r="BB6" i="11" a="1"/>
  <c r="BB6" i="11" s="1"/>
  <c r="AO6" i="11" a="1"/>
  <c r="AO6" i="11" s="1"/>
  <c r="AI6" i="11" a="1"/>
  <c r="AI6" i="11" s="1"/>
  <c r="AB6" i="11" a="1"/>
  <c r="AB6" i="11" s="1"/>
  <c r="V6" i="11" a="1"/>
  <c r="V6" i="11" s="1"/>
  <c r="I6" i="11" a="1"/>
  <c r="I6" i="11" s="1"/>
  <c r="C6" i="11" a="1"/>
  <c r="C6" i="11" s="1"/>
  <c r="CM5" i="11" a="1"/>
  <c r="CM5" i="11" s="1"/>
  <c r="CG5" i="11" a="1"/>
  <c r="CG5" i="11" s="1"/>
  <c r="BT5" i="11" a="1"/>
  <c r="BT5" i="11" s="1"/>
  <c r="BN5" i="11" a="1"/>
  <c r="BN5" i="11" s="1"/>
  <c r="BG5" i="11" a="1"/>
  <c r="BG5" i="11" s="1"/>
  <c r="BA5" i="11" a="1"/>
  <c r="BA5" i="11" s="1"/>
  <c r="AN5" i="11" a="1"/>
  <c r="AN5" i="11" s="1"/>
  <c r="AH5" i="11" a="1"/>
  <c r="AH5" i="11" s="1"/>
  <c r="AA5" i="11" a="1"/>
  <c r="AA5" i="11" s="1"/>
  <c r="U5" i="11" a="1"/>
  <c r="U5" i="11" s="1"/>
  <c r="H5" i="11" a="1"/>
  <c r="H5" i="11" s="1"/>
  <c r="CG6" i="11" a="1"/>
  <c r="CG6" i="11" s="1"/>
  <c r="CA6" i="11" a="1"/>
  <c r="CA6" i="11" s="1"/>
  <c r="BT6" i="11" a="1"/>
  <c r="BT6" i="11" s="1"/>
  <c r="BN6" i="11" a="1"/>
  <c r="BN6" i="11" s="1"/>
  <c r="BA6" i="11" a="1"/>
  <c r="BA6" i="11" s="1"/>
  <c r="AU6" i="11" a="1"/>
  <c r="AU6" i="11" s="1"/>
  <c r="AN6" i="11" a="1"/>
  <c r="AN6" i="11" s="1"/>
  <c r="AH6" i="11" a="1"/>
  <c r="AH6" i="11" s="1"/>
  <c r="U6" i="11" a="1"/>
  <c r="U6" i="11" s="1"/>
  <c r="O6" i="11" a="1"/>
  <c r="O6" i="11" s="1"/>
  <c r="H6" i="11" a="1"/>
  <c r="H6" i="11" s="1"/>
  <c r="CS5" i="11" a="1"/>
  <c r="CS5" i="11" s="1"/>
  <c r="CF5" i="11" a="1"/>
  <c r="CF5" i="11" s="1"/>
  <c r="BZ5" i="11" a="1"/>
  <c r="BZ5" i="11" s="1"/>
  <c r="BS5" i="11" a="1"/>
  <c r="BS5" i="11" s="1"/>
  <c r="BM5" i="11" a="1"/>
  <c r="BM5" i="11" s="1"/>
  <c r="AZ5" i="11" a="1"/>
  <c r="AZ5" i="11" s="1"/>
  <c r="AT5" i="11" a="1"/>
  <c r="AT5" i="11" s="1"/>
  <c r="AM5" i="11" a="1"/>
  <c r="AM5" i="11" s="1"/>
  <c r="AG5" i="11" a="1"/>
  <c r="AG5" i="11" s="1"/>
  <c r="T5" i="11" a="1"/>
  <c r="T5" i="11" s="1"/>
  <c r="N5" i="11" a="1"/>
  <c r="N5" i="11" s="1"/>
  <c r="G5" i="11" a="1"/>
  <c r="G5" i="11" s="1"/>
  <c r="CM6" i="11" a="1"/>
  <c r="CM6" i="11" s="1"/>
  <c r="CF6" i="11" a="1"/>
  <c r="CF6" i="11" s="1"/>
  <c r="BZ6" i="11" a="1"/>
  <c r="BZ6" i="11" s="1"/>
  <c r="BM6" i="11" a="1"/>
  <c r="BM6" i="11" s="1"/>
  <c r="BG6" i="11" a="1"/>
  <c r="BG6" i="11" s="1"/>
  <c r="AZ6" i="11" a="1"/>
  <c r="AZ6" i="11" s="1"/>
  <c r="AT6" i="11" a="1"/>
  <c r="AT6" i="11" s="1"/>
  <c r="AG6" i="11" a="1"/>
  <c r="AG6" i="11" s="1"/>
  <c r="AA6" i="11" a="1"/>
  <c r="AA6" i="11" s="1"/>
  <c r="T6" i="11" a="1"/>
  <c r="T6" i="11" s="1"/>
  <c r="N6" i="11" a="1"/>
  <c r="N6" i="11" s="1"/>
  <c r="CR5" i="11" a="1"/>
  <c r="CR5" i="11" s="1"/>
  <c r="CL5" i="11" a="1"/>
  <c r="CL5" i="11" s="1"/>
  <c r="CE5" i="11" a="1"/>
  <c r="CE5" i="11" s="1"/>
  <c r="BY5" i="11" a="1"/>
  <c r="BY5" i="11" s="1"/>
  <c r="BL5" i="11" a="1"/>
  <c r="BL5" i="11" s="1"/>
  <c r="BF5" i="11" a="1"/>
  <c r="BF5" i="11" s="1"/>
  <c r="AY5" i="11" a="1"/>
  <c r="AY5" i="11" s="1"/>
  <c r="AS5" i="11" a="1"/>
  <c r="AS5" i="11" s="1"/>
  <c r="AF5" i="11" a="1"/>
  <c r="AF5" i="11" s="1"/>
  <c r="Z5" i="11" a="1"/>
  <c r="Z5" i="11" s="1"/>
  <c r="S5" i="11" a="1"/>
  <c r="S5" i="11" s="1"/>
  <c r="M5" i="11" a="1"/>
  <c r="M5" i="11" s="1"/>
  <c r="D11" i="11" a="1"/>
  <c r="D11" i="11" s="1"/>
  <c r="CS6" i="11" a="1"/>
  <c r="CS6" i="11" s="1"/>
  <c r="CL6" i="11" a="1"/>
  <c r="CL6" i="11" s="1"/>
  <c r="BY6" i="11" a="1"/>
  <c r="BY6" i="11" s="1"/>
  <c r="BS6" i="11" a="1"/>
  <c r="BS6" i="11" s="1"/>
  <c r="BL6" i="11" a="1"/>
  <c r="BL6" i="11" s="1"/>
  <c r="BF6" i="11" a="1"/>
  <c r="BF6" i="11" s="1"/>
  <c r="AS6" i="11" a="1"/>
  <c r="AS6" i="11" s="1"/>
  <c r="AM6" i="11" a="1"/>
  <c r="AM6" i="11" s="1"/>
  <c r="AF6" i="11" a="1"/>
  <c r="AF6" i="11" s="1"/>
  <c r="Z6" i="11" a="1"/>
  <c r="Z6" i="11" s="1"/>
  <c r="M6" i="11" a="1"/>
  <c r="M6" i="11" s="1"/>
  <c r="G6" i="11" a="1"/>
  <c r="G6" i="11" s="1"/>
  <c r="CQ5" i="11" a="1"/>
  <c r="CQ5" i="11" s="1"/>
  <c r="CK5" i="11" a="1"/>
  <c r="CK5" i="11" s="1"/>
  <c r="BX5" i="11" a="1"/>
  <c r="BX5" i="11" s="1"/>
  <c r="BR5" i="11" a="1"/>
  <c r="BR5" i="11" s="1"/>
  <c r="BK5" i="11" a="1"/>
  <c r="BK5" i="11" s="1"/>
  <c r="BE5" i="11" a="1"/>
  <c r="BE5" i="11" s="1"/>
  <c r="AR5" i="11" a="1"/>
  <c r="AR5" i="11" s="1"/>
  <c r="AL5" i="11" a="1"/>
  <c r="AL5" i="11" s="1"/>
  <c r="AE5" i="11" a="1"/>
  <c r="AE5" i="11" s="1"/>
  <c r="Y5" i="11" a="1"/>
  <c r="Y5" i="11" s="1"/>
  <c r="L5" i="11" a="1"/>
  <c r="L5" i="11" s="1"/>
  <c r="F5" i="11" a="1"/>
  <c r="F5" i="11" s="1"/>
  <c r="CR6" i="11" a="1"/>
  <c r="CR6" i="11" s="1"/>
  <c r="CK6" i="11" a="1"/>
  <c r="CK6" i="11" s="1"/>
  <c r="CE6" i="11" a="1"/>
  <c r="CE6" i="11" s="1"/>
  <c r="BX6" i="11" a="1"/>
  <c r="BX6" i="11" s="1"/>
  <c r="BR6" i="11" a="1"/>
  <c r="BR6" i="11" s="1"/>
  <c r="BE6" i="11" a="1"/>
  <c r="BE6" i="11" s="1"/>
  <c r="AY6" i="11" a="1"/>
  <c r="AY6" i="11" s="1"/>
  <c r="AR6" i="11" a="1"/>
  <c r="AR6" i="11" s="1"/>
  <c r="AL6" i="11" a="1"/>
  <c r="AL6" i="11" s="1"/>
  <c r="Y6" i="11" a="1"/>
  <c r="Y6" i="11" s="1"/>
  <c r="S6" i="11" a="1"/>
  <c r="S6" i="11" s="1"/>
  <c r="L6" i="11" a="1"/>
  <c r="L6" i="11" s="1"/>
  <c r="F6" i="11" a="1"/>
  <c r="F6" i="11" s="1"/>
  <c r="CJ5" i="11" a="1"/>
  <c r="CJ5" i="11" s="1"/>
  <c r="CD5" i="11" a="1"/>
  <c r="CD5" i="11" s="1"/>
  <c r="BW5" i="11" a="1"/>
  <c r="BW5" i="11" s="1"/>
  <c r="BQ5" i="11" a="1"/>
  <c r="BQ5" i="11" s="1"/>
  <c r="BD5" i="11" a="1"/>
  <c r="BD5" i="11" s="1"/>
  <c r="AX5" i="11" a="1"/>
  <c r="AX5" i="11" s="1"/>
  <c r="AQ5" i="11" a="1"/>
  <c r="AQ5" i="11" s="1"/>
  <c r="AK5" i="11" a="1"/>
  <c r="AK5" i="11" s="1"/>
  <c r="X5" i="11" a="1"/>
  <c r="X5" i="11" s="1"/>
  <c r="R5" i="11" a="1"/>
  <c r="R5" i="11" s="1"/>
  <c r="K5" i="11" a="1"/>
  <c r="K5" i="11" s="1"/>
  <c r="E5" i="11" a="1"/>
  <c r="E5" i="11" s="1"/>
  <c r="CQ6" i="11" a="1"/>
  <c r="CQ6" i="11" s="1"/>
  <c r="CJ6" i="11" a="1"/>
  <c r="CJ6" i="11" s="1"/>
  <c r="CD6" i="11" a="1"/>
  <c r="CD6" i="11" s="1"/>
  <c r="BQ6" i="11" a="1"/>
  <c r="BQ6" i="11" s="1"/>
  <c r="BK6" i="11" a="1"/>
  <c r="BK6" i="11" s="1"/>
  <c r="BD6" i="11" a="1"/>
  <c r="BD6" i="11" s="1"/>
  <c r="AX6" i="11" a="1"/>
  <c r="AX6" i="11" s="1"/>
  <c r="AK6" i="11" a="1"/>
  <c r="AK6" i="11" s="1"/>
  <c r="AE6" i="11" a="1"/>
  <c r="AE6" i="11" s="1"/>
  <c r="X6" i="11" a="1"/>
  <c r="X6" i="11" s="1"/>
  <c r="R6" i="11" a="1"/>
  <c r="R6" i="11" s="1"/>
  <c r="E6" i="11" a="1"/>
  <c r="E6" i="11" s="1"/>
  <c r="CP5" i="11" a="1"/>
  <c r="CP5" i="11" s="1"/>
  <c r="CI5" i="11" a="1"/>
  <c r="CI5" i="11" s="1"/>
  <c r="CC5" i="11" a="1"/>
  <c r="CC5" i="11" s="1"/>
  <c r="BP5" i="11" a="1"/>
  <c r="BP5" i="11" s="1"/>
  <c r="BJ5" i="11" a="1"/>
  <c r="BJ5" i="11" s="1"/>
  <c r="BC5" i="11" a="1"/>
  <c r="BC5" i="11" s="1"/>
  <c r="AW5" i="11" a="1"/>
  <c r="AW5" i="11" s="1"/>
  <c r="AJ5" i="11" a="1"/>
  <c r="AJ5" i="11" s="1"/>
  <c r="AD5" i="11" a="1"/>
  <c r="AD5" i="11" s="1"/>
  <c r="W5" i="11" a="1"/>
  <c r="W5" i="11" s="1"/>
  <c r="Q5" i="11" a="1"/>
  <c r="Q5" i="11" s="1"/>
  <c r="D5" i="11" a="1"/>
  <c r="D5" i="11" s="1"/>
  <c r="CP6" i="11" a="1"/>
  <c r="CP6" i="11" s="1"/>
  <c r="CC6" i="11" a="1"/>
  <c r="CC6" i="11" s="1"/>
  <c r="BW6" i="11" a="1"/>
  <c r="BW6" i="11" s="1"/>
  <c r="BP6" i="11" a="1"/>
  <c r="BP6" i="11" s="1"/>
  <c r="BJ6" i="11" a="1"/>
  <c r="BJ6" i="11" s="1"/>
  <c r="AW6" i="11" a="1"/>
  <c r="AW6" i="11" s="1"/>
  <c r="AQ6" i="11" a="1"/>
  <c r="AQ6" i="11" s="1"/>
  <c r="AJ6" i="11" a="1"/>
  <c r="AJ6" i="11" s="1"/>
  <c r="AD6" i="11" a="1"/>
  <c r="AD6" i="11" s="1"/>
  <c r="Q6" i="11" a="1"/>
  <c r="Q6" i="11" s="1"/>
  <c r="K6" i="11" a="1"/>
  <c r="K6" i="11" s="1"/>
  <c r="CO5" i="11" a="1"/>
  <c r="CO5" i="11" s="1"/>
  <c r="CB5" i="11" a="1"/>
  <c r="CB5" i="11" s="1"/>
  <c r="BV5" i="11" a="1"/>
  <c r="BV5" i="11" s="1"/>
  <c r="BO5" i="11" a="1"/>
  <c r="BO5" i="11" s="1"/>
  <c r="BI5" i="11" a="1"/>
  <c r="BI5" i="11" s="1"/>
  <c r="AV5" i="11" a="1"/>
  <c r="AV5" i="11" s="1"/>
  <c r="AP5" i="11" a="1"/>
  <c r="AP5" i="11" s="1"/>
  <c r="AI5" i="11" a="1"/>
  <c r="AI5" i="11" s="1"/>
  <c r="AC5" i="11" a="1"/>
  <c r="AC5" i="11" s="1"/>
  <c r="P5" i="11" a="1"/>
  <c r="P5" i="11" s="1"/>
  <c r="J5" i="11" a="1"/>
  <c r="J5" i="11" s="1"/>
  <c r="CE4" i="11" a="1"/>
  <c r="CE4" i="11" s="1"/>
  <c r="BF4" i="11" a="1"/>
  <c r="BF4" i="11" s="1"/>
  <c r="AH4" i="11" a="1"/>
  <c r="AH4" i="11" s="1"/>
  <c r="H4" i="11" a="1"/>
  <c r="H4" i="11" s="1"/>
  <c r="CI11" i="11" a="1"/>
  <c r="CI11" i="11" s="1"/>
  <c r="CA4" i="11" a="1"/>
  <c r="CA4" i="11" s="1"/>
  <c r="BE4" i="11" a="1"/>
  <c r="BE4" i="11" s="1"/>
  <c r="AB4" i="11" a="1"/>
  <c r="AB4" i="11" s="1"/>
  <c r="E4" i="11" a="1"/>
  <c r="E4" i="11" s="1"/>
  <c r="BW4" i="11" a="1"/>
  <c r="BW4" i="11" s="1"/>
  <c r="Z4" i="11" a="1"/>
  <c r="Z4" i="11" s="1"/>
  <c r="BU4" i="11" a="1"/>
  <c r="BU4" i="11" s="1"/>
  <c r="BA4" i="11" a="1"/>
  <c r="BA4" i="11" s="1"/>
  <c r="U4" i="11" a="1"/>
  <c r="U4" i="11" s="1"/>
  <c r="CQ4" i="11" a="1"/>
  <c r="CQ4" i="11" s="1"/>
  <c r="BS4" i="11" a="1"/>
  <c r="BS4" i="11" s="1"/>
  <c r="AW4" i="11" a="1"/>
  <c r="AW4" i="11" s="1"/>
  <c r="T4" i="11" a="1"/>
  <c r="T4" i="11" s="1"/>
  <c r="CN4" i="11" a="1"/>
  <c r="CN4" i="11" s="1"/>
  <c r="BR4" i="11" a="1"/>
  <c r="BR4" i="11" s="1"/>
  <c r="AQ4" i="11" a="1"/>
  <c r="AQ4" i="11" s="1"/>
  <c r="Q4" i="11" a="1"/>
  <c r="Q4" i="11" s="1"/>
  <c r="BP11" i="11" a="1"/>
  <c r="BP11" i="11" s="1"/>
  <c r="CJ4" i="11" a="1"/>
  <c r="CJ4" i="11" s="1"/>
  <c r="BN4" i="11" a="1"/>
  <c r="BN4" i="11" s="1"/>
  <c r="AP4" i="11" a="1"/>
  <c r="AP4" i="11" s="1"/>
  <c r="N4" i="11" a="1"/>
  <c r="N4" i="11" s="1"/>
  <c r="AS11" i="11" a="1"/>
  <c r="AS11" i="11" s="1"/>
  <c r="CI4" i="11" a="1"/>
  <c r="CI4" i="11" s="1"/>
  <c r="BM4" i="11" a="1"/>
  <c r="BM4" i="11" s="1"/>
  <c r="AM4" i="11" a="1"/>
  <c r="AM4" i="11" s="1"/>
  <c r="L4" i="11" a="1"/>
  <c r="L4" i="11" s="1"/>
  <c r="X11" i="11" a="1"/>
  <c r="X11" i="11" s="1"/>
  <c r="CH11" i="11" a="1"/>
  <c r="CH11" i="11" s="1"/>
  <c r="BO11" i="11" a="1"/>
  <c r="BO11" i="11" s="1"/>
  <c r="AP11" i="11" a="1"/>
  <c r="AP11" i="11" s="1"/>
  <c r="W11" i="11" a="1"/>
  <c r="W11" i="11" s="1"/>
  <c r="CD11" i="11" a="1"/>
  <c r="CD11" i="11" s="1"/>
  <c r="BL11" i="11" a="1"/>
  <c r="BL11" i="11" s="1"/>
  <c r="AO11" i="11" a="1"/>
  <c r="AO11" i="11" s="1"/>
  <c r="E11" i="11" a="1"/>
  <c r="E11" i="11" s="1"/>
  <c r="T11" i="11" a="1"/>
  <c r="T11" i="11" s="1"/>
  <c r="AK11" i="11" a="1"/>
  <c r="AK11" i="11" s="1"/>
  <c r="BC11" i="11" a="1"/>
  <c r="BC11" i="11" s="1"/>
  <c r="BS11" i="11" a="1"/>
  <c r="BS11" i="11" s="1"/>
  <c r="CG11" i="11" a="1"/>
  <c r="CG11" i="11" s="1"/>
  <c r="P11" i="11" a="1"/>
  <c r="P11" i="11" s="1"/>
  <c r="AD11" i="11" a="1"/>
  <c r="AD11" i="11" s="1"/>
  <c r="AT11" i="11" a="1"/>
  <c r="AT11" i="11" s="1"/>
  <c r="BN11" i="11" a="1"/>
  <c r="BN11" i="11" s="1"/>
  <c r="CA11" i="11" a="1"/>
  <c r="CA11" i="11" s="1"/>
  <c r="CP11" i="11" a="1"/>
  <c r="CP11" i="11" s="1"/>
  <c r="CB11" i="11" a="1"/>
  <c r="CB11" i="11" s="1"/>
  <c r="BH11" i="11" a="1"/>
  <c r="BH11" i="11" s="1"/>
  <c r="AM11" i="11" a="1"/>
  <c r="AM11" i="11" s="1"/>
  <c r="Q11" i="11" a="1"/>
  <c r="Q11" i="11" s="1"/>
  <c r="CS11" i="11" a="1"/>
  <c r="CS11" i="11" s="1"/>
  <c r="BZ11" i="11" a="1"/>
  <c r="BZ11" i="11" s="1"/>
  <c r="BG11" i="11" a="1"/>
  <c r="BG11" i="11" s="1"/>
  <c r="AI11" i="11" a="1"/>
  <c r="AI11" i="11" s="1"/>
  <c r="M11" i="11" a="1"/>
  <c r="M11" i="11" s="1"/>
  <c r="CR11" i="11" a="1"/>
  <c r="CR11" i="11" s="1"/>
  <c r="BW11" i="11" a="1"/>
  <c r="BW11" i="11" s="1"/>
  <c r="BF11" i="11" a="1"/>
  <c r="BF11" i="11" s="1"/>
  <c r="AG11" i="11" a="1"/>
  <c r="AG11" i="11" s="1"/>
  <c r="K11" i="11" a="1"/>
  <c r="K11" i="11" s="1"/>
  <c r="CO11" i="11" a="1"/>
  <c r="CO11" i="11" s="1"/>
  <c r="BV11" i="11" a="1"/>
  <c r="BV11" i="11" s="1"/>
  <c r="AZ11" i="11" a="1"/>
  <c r="AZ11" i="11" s="1"/>
  <c r="AA11" i="11" a="1"/>
  <c r="AA11" i="11" s="1"/>
  <c r="I11" i="11" a="1"/>
  <c r="I11" i="11" s="1"/>
  <c r="CJ11" i="11" a="1"/>
  <c r="CJ11" i="11" s="1"/>
  <c r="BT11" i="11" a="1"/>
  <c r="BT11" i="11" s="1"/>
  <c r="AY11" i="11" a="1"/>
  <c r="AY11" i="11" s="1"/>
  <c r="Z11" i="11" a="1"/>
  <c r="Z11" i="11" s="1"/>
  <c r="H11" i="11" a="1"/>
  <c r="H11" i="11" s="1"/>
  <c r="CR4" i="11" a="1"/>
  <c r="CR4" i="11" s="1"/>
  <c r="BZ4" i="11" a="1"/>
  <c r="BZ4" i="11" s="1"/>
  <c r="BG4" i="11" a="1"/>
  <c r="BG4" i="11" s="1"/>
  <c r="AS4" i="11" a="1"/>
  <c r="AS4" i="11" s="1"/>
  <c r="Y4" i="11" a="1"/>
  <c r="Y4" i="11" s="1"/>
  <c r="F4" i="11" a="1"/>
  <c r="F4" i="11" s="1"/>
  <c r="CG4" i="11" a="1"/>
  <c r="CG4" i="11" s="1"/>
  <c r="BP4" i="11" a="1"/>
  <c r="BP4" i="11" s="1"/>
  <c r="AY4" i="11" a="1"/>
  <c r="AY4" i="11" s="1"/>
  <c r="AE4" i="11" a="1"/>
  <c r="AE4" i="11" s="1"/>
  <c r="B29" i="11" a="1"/>
  <c r="B29" i="11" s="1"/>
  <c r="B5" i="11" a="1"/>
  <c r="B5" i="11" s="1"/>
  <c r="B32" i="11" a="1"/>
  <c r="B32" i="11" s="1"/>
  <c r="B27" i="11" a="1"/>
  <c r="B27" i="11" s="1"/>
  <c r="B22" i="11" a="1"/>
  <c r="B22" i="11" s="1"/>
  <c r="B26" i="11" a="1"/>
  <c r="B26" i="11" s="1"/>
  <c r="B33" i="11" a="1"/>
  <c r="B33" i="11" s="1"/>
  <c r="B31" i="11" a="1"/>
  <c r="B31" i="11" s="1"/>
  <c r="B30" i="11" a="1"/>
  <c r="B30" i="11" s="1"/>
  <c r="B25" i="11" a="1"/>
  <c r="B25" i="11" s="1"/>
  <c r="B21" i="11" a="1"/>
  <c r="B21" i="11" s="1"/>
  <c r="B34" i="11" a="1"/>
  <c r="B34" i="11" s="1"/>
  <c r="B36" i="11" a="1"/>
  <c r="B36" i="11" s="1"/>
  <c r="B35" i="11" a="1"/>
  <c r="B35" i="11" s="1"/>
  <c r="G12" i="11" a="1"/>
  <c r="G12" i="11" s="1"/>
  <c r="M12" i="11" a="1"/>
  <c r="M12" i="11" s="1"/>
  <c r="Z12" i="11" a="1"/>
  <c r="Z12" i="11" s="1"/>
  <c r="AF12" i="11" a="1"/>
  <c r="AF12" i="11" s="1"/>
  <c r="AM12" i="11" a="1"/>
  <c r="AM12" i="11" s="1"/>
  <c r="AS12" i="11" a="1"/>
  <c r="AS12" i="11" s="1"/>
  <c r="BF12" i="11" a="1"/>
  <c r="BF12" i="11" s="1"/>
  <c r="K12" i="11" a="1"/>
  <c r="K12" i="11" s="1"/>
  <c r="R12" i="11" a="1"/>
  <c r="R12" i="11" s="1"/>
  <c r="Y12" i="11" a="1"/>
  <c r="Y12" i="11" s="1"/>
  <c r="AG12" i="11" a="1"/>
  <c r="AG12" i="11" s="1"/>
  <c r="AN12" i="11" a="1"/>
  <c r="AN12" i="11" s="1"/>
  <c r="BC12" i="11" a="1"/>
  <c r="BC12" i="11" s="1"/>
  <c r="H12" i="11" a="1"/>
  <c r="H12" i="11" s="1"/>
  <c r="P12" i="11" a="1"/>
  <c r="P12" i="11" s="1"/>
  <c r="X12" i="11" a="1"/>
  <c r="X12" i="11" s="1"/>
  <c r="AH12" i="11" a="1"/>
  <c r="AH12" i="11" s="1"/>
  <c r="AP12" i="11" a="1"/>
  <c r="AP12" i="11" s="1"/>
  <c r="AX12" i="11" a="1"/>
  <c r="AX12" i="11" s="1"/>
  <c r="BG12" i="11" a="1"/>
  <c r="BG12" i="11" s="1"/>
  <c r="C12" i="11" a="1"/>
  <c r="C12" i="11" s="1"/>
  <c r="T12" i="11" a="1"/>
  <c r="T12" i="11" s="1"/>
  <c r="AB12" i="11" a="1"/>
  <c r="AB12" i="11" s="1"/>
  <c r="AJ12" i="11" a="1"/>
  <c r="AJ12" i="11" s="1"/>
  <c r="AR12" i="11" a="1"/>
  <c r="AR12" i="11" s="1"/>
  <c r="BA12" i="11" a="1"/>
  <c r="BA12" i="11" s="1"/>
  <c r="BI12" i="11" a="1"/>
  <c r="BI12" i="11" s="1"/>
  <c r="E12" i="11" a="1"/>
  <c r="E12" i="11" s="1"/>
  <c r="N12" i="11" a="1"/>
  <c r="N12" i="11" s="1"/>
  <c r="V12" i="11" a="1"/>
  <c r="V12" i="11" s="1"/>
  <c r="AD12" i="11" a="1"/>
  <c r="AD12" i="11" s="1"/>
  <c r="AL12" i="11" a="1"/>
  <c r="AL12" i="11" s="1"/>
  <c r="AU12" i="11" a="1"/>
  <c r="AU12" i="11" s="1"/>
  <c r="U12" i="11" a="1"/>
  <c r="U12" i="11" s="1"/>
  <c r="AI12" i="11" a="1"/>
  <c r="AI12" i="11" s="1"/>
  <c r="AV12" i="11" a="1"/>
  <c r="AV12" i="11" s="1"/>
  <c r="BH12" i="11" a="1"/>
  <c r="BH12" i="11" s="1"/>
  <c r="D12" i="11" a="1"/>
  <c r="D12" i="11" s="1"/>
  <c r="S12" i="11" a="1"/>
  <c r="S12" i="11" s="1"/>
  <c r="AY12" i="11" a="1"/>
  <c r="AY12" i="11" s="1"/>
  <c r="F12" i="11" a="1"/>
  <c r="F12" i="11" s="1"/>
  <c r="W12" i="11" a="1"/>
  <c r="W12" i="11" s="1"/>
  <c r="AK12" i="11" a="1"/>
  <c r="AK12" i="11" s="1"/>
  <c r="AZ12" i="11" a="1"/>
  <c r="AZ12" i="11" s="1"/>
  <c r="I12" i="11" a="1"/>
  <c r="I12" i="11" s="1"/>
  <c r="BB12" i="11" a="1"/>
  <c r="BB12" i="11" s="1"/>
  <c r="J12" i="11" a="1"/>
  <c r="J12" i="11" s="1"/>
  <c r="AA12" i="11" a="1"/>
  <c r="AA12" i="11" s="1"/>
  <c r="AO12" i="11" a="1"/>
  <c r="AO12" i="11" s="1"/>
  <c r="BD12" i="11" a="1"/>
  <c r="BD12" i="11" s="1"/>
  <c r="L12" i="11" a="1"/>
  <c r="L12" i="11" s="1"/>
  <c r="AQ12" i="11" a="1"/>
  <c r="AQ12" i="11" s="1"/>
  <c r="BE12" i="11" a="1"/>
  <c r="BE12" i="11" s="1"/>
  <c r="B12" i="11" a="1"/>
  <c r="B12" i="11" s="1"/>
  <c r="O12" i="11" a="1"/>
  <c r="O12" i="11" s="1"/>
  <c r="AC12" i="11" a="1"/>
  <c r="AC12" i="11" s="1"/>
  <c r="Q12" i="11" a="1"/>
  <c r="Q12" i="11" s="1"/>
  <c r="AE12" i="11" a="1"/>
  <c r="AE12" i="11" s="1"/>
  <c r="AT12" i="11" a="1"/>
  <c r="AT12" i="11" s="1"/>
  <c r="AW12" i="11" a="1"/>
  <c r="AW12" i="11" s="1"/>
  <c r="B23" i="11" a="1"/>
  <c r="B23" i="11" s="1"/>
  <c r="B19" i="11" a="1"/>
  <c r="B19" i="11" s="1"/>
  <c r="B15" i="11" a="1"/>
  <c r="B15" i="11" s="1"/>
  <c r="B24" i="11" a="1"/>
  <c r="B24" i="11" s="1"/>
  <c r="B20" i="11" a="1"/>
  <c r="B20" i="11" s="1"/>
  <c r="B28" i="11" a="1"/>
  <c r="B28" i="11" s="1"/>
  <c r="B18" i="11" a="1"/>
  <c r="B18" i="11" s="1"/>
  <c r="B16" i="11" a="1"/>
  <c r="B16" i="11" s="1"/>
  <c r="B17" i="11" a="1"/>
  <c r="B17" i="11" s="1"/>
  <c r="G9" i="11" a="1"/>
  <c r="G9" i="11" s="1"/>
  <c r="U9" i="11" a="1"/>
  <c r="U9" i="11" s="1"/>
  <c r="AC9" i="11" a="1"/>
  <c r="AC9" i="11" s="1"/>
  <c r="AQ9" i="11" a="1"/>
  <c r="AQ9" i="11" s="1"/>
  <c r="AX9" i="11" a="1"/>
  <c r="AX9" i="11" s="1"/>
  <c r="BE9" i="11" a="1"/>
  <c r="BE9" i="11" s="1"/>
  <c r="BL9" i="11" a="1"/>
  <c r="BL9" i="11" s="1"/>
  <c r="BS9" i="11" a="1"/>
  <c r="BS9" i="11" s="1"/>
  <c r="CG9" i="11" a="1"/>
  <c r="CG9" i="11" s="1"/>
  <c r="CO9" i="11" a="1"/>
  <c r="CO9" i="11" s="1"/>
  <c r="I9" i="11" a="1"/>
  <c r="I9" i="11" s="1"/>
  <c r="P9" i="11" a="1"/>
  <c r="P9" i="11" s="1"/>
  <c r="W9" i="11" a="1"/>
  <c r="W9" i="11" s="1"/>
  <c r="AK9" i="11" a="1"/>
  <c r="AK9" i="11" s="1"/>
  <c r="AS9" i="11" a="1"/>
  <c r="AS9" i="11" s="1"/>
  <c r="BG9" i="11" a="1"/>
  <c r="BG9" i="11" s="1"/>
  <c r="BN9" i="11" a="1"/>
  <c r="BN9" i="11" s="1"/>
  <c r="BU9" i="11" a="1"/>
  <c r="BU9" i="11" s="1"/>
  <c r="CB9" i="11" a="1"/>
  <c r="CB9" i="11" s="1"/>
  <c r="CI9" i="11" a="1"/>
  <c r="CI9" i="11" s="1"/>
  <c r="C9" i="11" a="1"/>
  <c r="C9" i="11" s="1"/>
  <c r="J9" i="11" a="1"/>
  <c r="J9" i="11" s="1"/>
  <c r="Q9" i="11" a="1"/>
  <c r="Q9" i="11" s="1"/>
  <c r="X9" i="11" a="1"/>
  <c r="X9" i="11" s="1"/>
  <c r="AE9" i="11" a="1"/>
  <c r="AE9" i="11" s="1"/>
  <c r="AL9" i="11" a="1"/>
  <c r="AL9" i="11" s="1"/>
  <c r="AT9" i="11" a="1"/>
  <c r="AT9" i="11" s="1"/>
  <c r="AZ9" i="11" a="1"/>
  <c r="AZ9" i="11" s="1"/>
  <c r="BH9" i="11" a="1"/>
  <c r="BH9" i="11" s="1"/>
  <c r="BO9" i="11" a="1"/>
  <c r="BO9" i="11" s="1"/>
  <c r="BV9" i="11" a="1"/>
  <c r="BV9" i="11" s="1"/>
  <c r="CC9" i="11" a="1"/>
  <c r="CC9" i="11" s="1"/>
  <c r="CJ9" i="11" a="1"/>
  <c r="CJ9" i="11" s="1"/>
  <c r="CQ9" i="11" a="1"/>
  <c r="CQ9" i="11" s="1"/>
  <c r="K9" i="11" a="1"/>
  <c r="K9" i="11" s="1"/>
  <c r="R9" i="11" a="1"/>
  <c r="R9" i="11" s="1"/>
  <c r="Y9" i="11" a="1"/>
  <c r="Y9" i="11" s="1"/>
  <c r="AF9" i="11" a="1"/>
  <c r="AF9" i="11" s="1"/>
  <c r="AM9" i="11" a="1"/>
  <c r="AM9" i="11" s="1"/>
  <c r="BA9" i="11" a="1"/>
  <c r="BA9" i="11" s="1"/>
  <c r="BI9" i="11" a="1"/>
  <c r="BI9" i="11" s="1"/>
  <c r="BW9" i="11" a="1"/>
  <c r="BW9" i="11" s="1"/>
  <c r="CD9" i="11" a="1"/>
  <c r="CD9" i="11" s="1"/>
  <c r="CK9" i="11" a="1"/>
  <c r="CK9" i="11" s="1"/>
  <c r="CR9" i="11" a="1"/>
  <c r="CR9" i="11" s="1"/>
  <c r="D9" i="11" a="1"/>
  <c r="D9" i="11" s="1"/>
  <c r="L9" i="11" a="1"/>
  <c r="L9" i="11" s="1"/>
  <c r="S9" i="11" a="1"/>
  <c r="S9" i="11" s="1"/>
  <c r="Z9" i="11" a="1"/>
  <c r="Z9" i="11" s="1"/>
  <c r="AG9" i="11" a="1"/>
  <c r="AG9" i="11" s="1"/>
  <c r="AN9" i="11" a="1"/>
  <c r="AN9" i="11" s="1"/>
  <c r="AU9" i="11" a="1"/>
  <c r="AU9" i="11" s="1"/>
  <c r="BB9" i="11" a="1"/>
  <c r="BB9" i="11" s="1"/>
  <c r="BJ9" i="11" a="1"/>
  <c r="BJ9" i="11" s="1"/>
  <c r="BP9" i="11" a="1"/>
  <c r="BP9" i="11" s="1"/>
  <c r="BX9" i="11" a="1"/>
  <c r="BX9" i="11" s="1"/>
  <c r="CE9" i="11" a="1"/>
  <c r="CE9" i="11" s="1"/>
  <c r="CL9" i="11" a="1"/>
  <c r="CL9" i="11" s="1"/>
  <c r="CS9" i="11" a="1"/>
  <c r="CS9" i="11" s="1"/>
  <c r="E9" i="11" a="1"/>
  <c r="E9" i="11" s="1"/>
  <c r="M9" i="11" a="1"/>
  <c r="M9" i="11" s="1"/>
  <c r="AA9" i="11" a="1"/>
  <c r="AA9" i="11" s="1"/>
  <c r="AH9" i="11" a="1"/>
  <c r="AH9" i="11" s="1"/>
  <c r="AO9" i="11" a="1"/>
  <c r="AO9" i="11" s="1"/>
  <c r="AV9" i="11" a="1"/>
  <c r="AV9" i="11" s="1"/>
  <c r="BC9" i="11" a="1"/>
  <c r="BC9" i="11" s="1"/>
  <c r="BQ9" i="11" a="1"/>
  <c r="BQ9" i="11" s="1"/>
  <c r="BY9" i="11" a="1"/>
  <c r="BY9" i="11" s="1"/>
  <c r="CM9" i="11" a="1"/>
  <c r="CM9" i="11" s="1"/>
  <c r="F9" i="11" a="1"/>
  <c r="F9" i="11" s="1"/>
  <c r="N9" i="11" a="1"/>
  <c r="N9" i="11" s="1"/>
  <c r="T9" i="11" a="1"/>
  <c r="T9" i="11" s="1"/>
  <c r="AB9" i="11" a="1"/>
  <c r="AB9" i="11" s="1"/>
  <c r="AI9" i="11" a="1"/>
  <c r="AI9" i="11" s="1"/>
  <c r="AP9" i="11" a="1"/>
  <c r="AP9" i="11" s="1"/>
  <c r="AW9" i="11" a="1"/>
  <c r="AW9" i="11" s="1"/>
  <c r="BD9" i="11" a="1"/>
  <c r="BD9" i="11" s="1"/>
  <c r="BK9" i="11" a="1"/>
  <c r="BK9" i="11" s="1"/>
  <c r="BR9" i="11" a="1"/>
  <c r="BR9" i="11" s="1"/>
  <c r="BZ9" i="11" a="1"/>
  <c r="BZ9" i="11" s="1"/>
  <c r="CF9" i="11" a="1"/>
  <c r="CF9" i="11" s="1"/>
  <c r="CN9" i="11" a="1"/>
  <c r="CN9" i="11" s="1"/>
  <c r="H9" i="11" a="1"/>
  <c r="H9" i="11" s="1"/>
  <c r="BM9" i="11" a="1"/>
  <c r="BM9" i="11" s="1"/>
  <c r="O9" i="11" a="1"/>
  <c r="O9" i="11" s="1"/>
  <c r="BT9" i="11" a="1"/>
  <c r="BT9" i="11" s="1"/>
  <c r="V9" i="11" a="1"/>
  <c r="V9" i="11" s="1"/>
  <c r="CA9" i="11" a="1"/>
  <c r="CA9" i="11" s="1"/>
  <c r="AD9" i="11" a="1"/>
  <c r="AD9" i="11" s="1"/>
  <c r="CH9" i="11" a="1"/>
  <c r="CH9" i="11" s="1"/>
  <c r="AJ9" i="11" a="1"/>
  <c r="AJ9" i="11" s="1"/>
  <c r="CP9" i="11" a="1"/>
  <c r="CP9" i="11" s="1"/>
  <c r="AR9" i="11" a="1"/>
  <c r="AR9" i="11" s="1"/>
  <c r="AY9" i="11" a="1"/>
  <c r="AY9" i="11" s="1"/>
  <c r="C4" i="11" a="1"/>
  <c r="C4" i="11" s="1"/>
  <c r="P4" i="11" a="1"/>
  <c r="P4" i="11" s="1"/>
  <c r="V4" i="11" a="1"/>
  <c r="V4" i="11" s="1"/>
  <c r="AC4" i="11" a="1"/>
  <c r="AC4" i="11" s="1"/>
  <c r="AI4" i="11" a="1"/>
  <c r="AI4" i="11" s="1"/>
  <c r="AV4" i="11" a="1"/>
  <c r="AV4" i="11" s="1"/>
  <c r="BB4" i="11" a="1"/>
  <c r="BB4" i="11" s="1"/>
  <c r="BI4" i="11" a="1"/>
  <c r="BI4" i="11" s="1"/>
  <c r="BO4" i="11" a="1"/>
  <c r="BO4" i="11" s="1"/>
  <c r="CB4" i="11" a="1"/>
  <c r="CB4" i="11" s="1"/>
  <c r="CH4" i="11" a="1"/>
  <c r="CH4" i="11" s="1"/>
  <c r="CO4" i="11" a="1"/>
  <c r="CO4" i="11" s="1"/>
  <c r="D4" i="11" a="1"/>
  <c r="D4" i="11" s="1"/>
  <c r="K4" i="11" a="1"/>
  <c r="K4" i="11" s="1"/>
  <c r="R4" i="11" a="1"/>
  <c r="R4" i="11" s="1"/>
  <c r="AG4" i="11" a="1"/>
  <c r="AG4" i="11" s="1"/>
  <c r="AN4" i="11" a="1"/>
  <c r="AN4" i="11" s="1"/>
  <c r="AU4" i="11" a="1"/>
  <c r="AU4" i="11" s="1"/>
  <c r="BC4" i="11" a="1"/>
  <c r="BC4" i="11" s="1"/>
  <c r="BJ4" i="11" a="1"/>
  <c r="BJ4" i="11" s="1"/>
  <c r="BY4" i="11" a="1"/>
  <c r="BY4" i="11" s="1"/>
  <c r="CF4" i="11" a="1"/>
  <c r="CF4" i="11" s="1"/>
  <c r="CM4" i="11" a="1"/>
  <c r="CM4" i="11" s="1"/>
  <c r="B4" i="11" a="1"/>
  <c r="B4" i="11" s="1"/>
  <c r="J4" i="11" a="1"/>
  <c r="J4" i="11" s="1"/>
  <c r="S4" i="11" a="1"/>
  <c r="S4" i="11" s="1"/>
  <c r="AA4" i="11" a="1"/>
  <c r="AA4" i="11" s="1"/>
  <c r="AJ4" i="11" a="1"/>
  <c r="AJ4" i="11" s="1"/>
  <c r="AR4" i="11" a="1"/>
  <c r="AR4" i="11" s="1"/>
  <c r="AZ4" i="11" a="1"/>
  <c r="AZ4" i="11" s="1"/>
  <c r="BH4" i="11" a="1"/>
  <c r="BH4" i="11" s="1"/>
  <c r="BQ4" i="11" a="1"/>
  <c r="BQ4" i="11" s="1"/>
  <c r="CP4" i="11" a="1"/>
  <c r="CP4" i="11" s="1"/>
  <c r="AD4" i="11" a="1"/>
  <c r="AD4" i="11" s="1"/>
  <c r="AL4" i="11" a="1"/>
  <c r="AL4" i="11" s="1"/>
  <c r="AT4" i="11" a="1"/>
  <c r="AT4" i="11" s="1"/>
  <c r="BD4" i="11" a="1"/>
  <c r="BD4" i="11" s="1"/>
  <c r="BL4" i="11" a="1"/>
  <c r="BL4" i="11" s="1"/>
  <c r="BT4" i="11" a="1"/>
  <c r="BT4" i="11" s="1"/>
  <c r="CC4" i="11" a="1"/>
  <c r="CC4" i="11" s="1"/>
  <c r="CK4" i="11" a="1"/>
  <c r="CK4" i="11" s="1"/>
  <c r="CS4" i="11" a="1"/>
  <c r="CS4" i="11" s="1"/>
  <c r="G4" i="11" a="1"/>
  <c r="G4" i="11" s="1"/>
  <c r="O4" i="11" a="1"/>
  <c r="O4" i="11" s="1"/>
  <c r="X4" i="11" a="1"/>
  <c r="X4" i="11" s="1"/>
  <c r="AF4" i="11" a="1"/>
  <c r="AF4" i="11" s="1"/>
  <c r="AO4" i="11" a="1"/>
  <c r="AO4" i="11" s="1"/>
  <c r="BV4" i="11" a="1"/>
  <c r="BV4" i="11" s="1"/>
  <c r="CD4" i="11" a="1"/>
  <c r="CD4" i="11" s="1"/>
  <c r="CL4" i="11" a="1"/>
  <c r="CL4" i="11" s="1"/>
  <c r="BX4" i="11" a="1"/>
  <c r="BX4" i="11" s="1"/>
  <c r="BK4" i="11" a="1"/>
  <c r="BK4" i="11" s="1"/>
  <c r="AX4" i="11" a="1"/>
  <c r="AX4" i="11" s="1"/>
  <c r="AK4" i="11" a="1"/>
  <c r="AK4" i="11" s="1"/>
  <c r="W4" i="11" a="1"/>
  <c r="W4" i="11" s="1"/>
  <c r="I4" i="11" a="1"/>
  <c r="I4" i="11" s="1"/>
  <c r="B9" i="11" a="1"/>
  <c r="B9" i="11" s="1"/>
  <c r="BF9" i="11" a="1"/>
  <c r="BF9" i="11" s="1"/>
  <c r="G11" i="11" a="1"/>
  <c r="G11" i="11" s="1"/>
  <c r="O11" i="11" a="1"/>
  <c r="O11" i="11" s="1"/>
  <c r="AC11" i="11" a="1"/>
  <c r="AC11" i="11" s="1"/>
  <c r="AJ11" i="11" a="1"/>
  <c r="AJ11" i="11" s="1"/>
  <c r="AQ11" i="11" a="1"/>
  <c r="AQ11" i="11" s="1"/>
  <c r="AX11" i="11" a="1"/>
  <c r="AX11" i="11" s="1"/>
  <c r="BE11" i="11" a="1"/>
  <c r="BE11" i="11" s="1"/>
  <c r="BK11" i="11" a="1"/>
  <c r="BK11" i="11" s="1"/>
  <c r="BR11" i="11" a="1"/>
  <c r="BR11" i="11" s="1"/>
  <c r="BX11" i="11" a="1"/>
  <c r="BX11" i="11" s="1"/>
  <c r="CK11" i="11" a="1"/>
  <c r="CK11" i="11" s="1"/>
  <c r="CQ11" i="11" a="1"/>
  <c r="CQ11" i="11" s="1"/>
  <c r="B11" i="11" a="1"/>
  <c r="B11" i="11" s="1"/>
  <c r="N11" i="11" a="1"/>
  <c r="N11" i="11" s="1"/>
  <c r="V11" i="11" a="1"/>
  <c r="V11" i="11" s="1"/>
  <c r="AE11" i="11" a="1"/>
  <c r="AE11" i="11" s="1"/>
  <c r="AL11" i="11" a="1"/>
  <c r="AL11" i="11" s="1"/>
  <c r="AU11" i="11" a="1"/>
  <c r="AU11" i="11" s="1"/>
  <c r="BB11" i="11" a="1"/>
  <c r="BB11" i="11" s="1"/>
  <c r="BJ11" i="11" a="1"/>
  <c r="BJ11" i="11" s="1"/>
  <c r="BQ11" i="11" a="1"/>
  <c r="BQ11" i="11" s="1"/>
  <c r="BY11" i="11" a="1"/>
  <c r="BY11" i="11" s="1"/>
  <c r="CF11" i="11" a="1"/>
  <c r="CF11" i="11" s="1"/>
  <c r="CM11" i="11" a="1"/>
  <c r="CM11" i="11" s="1"/>
  <c r="CN11" i="11" a="1"/>
  <c r="CN11" i="11" s="1"/>
  <c r="CE11" i="11" a="1"/>
  <c r="CE11" i="11" s="1"/>
  <c r="AW11" i="11" a="1"/>
  <c r="AW11" i="11" s="1"/>
  <c r="AN11" i="11" a="1"/>
  <c r="AN11" i="11" s="1"/>
  <c r="AF11" i="11" a="1"/>
  <c r="AF11" i="11" s="1"/>
  <c r="U11" i="11" a="1"/>
  <c r="U11" i="11" s="1"/>
  <c r="L11" i="11" a="1"/>
  <c r="L11" i="11" s="1"/>
  <c r="C11" i="11" a="1"/>
  <c r="C11" i="11" s="1"/>
  <c r="C8" i="11" a="1"/>
  <c r="C8" i="11" s="1"/>
  <c r="I8" i="11" a="1"/>
  <c r="I8" i="11" s="1"/>
  <c r="P8" i="11" a="1"/>
  <c r="P8" i="11" s="1"/>
  <c r="V8" i="11" a="1"/>
  <c r="V8" i="11" s="1"/>
  <c r="AC8" i="11" a="1"/>
  <c r="AC8" i="11" s="1"/>
  <c r="AO8" i="11" a="1"/>
  <c r="AO8" i="11" s="1"/>
  <c r="AZ8" i="11" a="1"/>
  <c r="AZ8" i="11" s="1"/>
  <c r="BF8" i="11" a="1"/>
  <c r="BF8" i="11" s="1"/>
  <c r="BL8" i="11" a="1"/>
  <c r="BL8" i="11" s="1"/>
  <c r="BR8" i="11" a="1"/>
  <c r="BR8" i="11" s="1"/>
  <c r="BX8" i="11" a="1"/>
  <c r="BX8" i="11" s="1"/>
  <c r="CD8" i="11" a="1"/>
  <c r="CD8" i="11" s="1"/>
  <c r="CK8" i="11" a="1"/>
  <c r="CK8" i="11" s="1"/>
  <c r="CQ8" i="11" a="1"/>
  <c r="CQ8" i="11" s="1"/>
  <c r="E8" i="11" a="1"/>
  <c r="E8" i="11" s="1"/>
  <c r="K8" i="11" a="1"/>
  <c r="K8" i="11" s="1"/>
  <c r="W8" i="11" a="1"/>
  <c r="W8" i="11" s="1"/>
  <c r="AD8" i="11" a="1"/>
  <c r="AD8" i="11" s="1"/>
  <c r="AJ8" i="11" a="1"/>
  <c r="AJ8" i="11" s="1"/>
  <c r="AP8" i="11" a="1"/>
  <c r="AP8" i="11" s="1"/>
  <c r="AV8" i="11" a="1"/>
  <c r="AV8" i="11" s="1"/>
  <c r="BB8" i="11" a="1"/>
  <c r="BB8" i="11" s="1"/>
  <c r="BH8" i="11" a="1"/>
  <c r="BH8" i="11" s="1"/>
  <c r="BS8" i="11" a="1"/>
  <c r="BS8" i="11" s="1"/>
  <c r="CE8" i="11" a="1"/>
  <c r="CE8" i="11" s="1"/>
  <c r="CL8" i="11" a="1"/>
  <c r="CL8" i="11" s="1"/>
  <c r="CS8" i="11" a="1"/>
  <c r="CS8" i="11" s="1"/>
  <c r="L8" i="11" a="1"/>
  <c r="L8" i="11" s="1"/>
  <c r="R8" i="11" a="1"/>
  <c r="R8" i="11" s="1"/>
  <c r="X8" i="11" a="1"/>
  <c r="X8" i="11" s="1"/>
  <c r="AE8" i="11" a="1"/>
  <c r="AE8" i="11" s="1"/>
  <c r="AK8" i="11" a="1"/>
  <c r="AK8" i="11" s="1"/>
  <c r="AQ8" i="11" a="1"/>
  <c r="AQ8" i="11" s="1"/>
  <c r="AW8" i="11" a="1"/>
  <c r="AW8" i="11" s="1"/>
  <c r="BI8" i="11" a="1"/>
  <c r="BI8" i="11" s="1"/>
  <c r="BN8" i="11" a="1"/>
  <c r="BN8" i="11" s="1"/>
  <c r="BT8" i="11" a="1"/>
  <c r="BT8" i="11" s="1"/>
  <c r="BZ8" i="11" a="1"/>
  <c r="BZ8" i="11" s="1"/>
  <c r="CF8" i="11" a="1"/>
  <c r="CF8" i="11" s="1"/>
  <c r="CM8" i="11" a="1"/>
  <c r="CM8" i="11" s="1"/>
  <c r="F8" i="11" a="1"/>
  <c r="F8" i="11" s="1"/>
  <c r="M8" i="11" a="1"/>
  <c r="M8" i="11" s="1"/>
  <c r="Y8" i="11" a="1"/>
  <c r="Y8" i="11" s="1"/>
  <c r="AF8" i="11" a="1"/>
  <c r="AF8" i="11" s="1"/>
  <c r="AL8" i="11" a="1"/>
  <c r="AL8" i="11" s="1"/>
  <c r="AR8" i="11" a="1"/>
  <c r="AR8" i="11" s="1"/>
  <c r="BC8" i="11" a="1"/>
  <c r="BC8" i="11" s="1"/>
  <c r="BU8" i="11" a="1"/>
  <c r="BU8" i="11" s="1"/>
  <c r="CG8" i="11" a="1"/>
  <c r="CG8" i="11" s="1"/>
  <c r="CN8" i="11" a="1"/>
  <c r="CN8" i="11" s="1"/>
  <c r="S8" i="11" a="1"/>
  <c r="S8" i="11" s="1"/>
  <c r="Z8" i="11" a="1"/>
  <c r="Z8" i="11" s="1"/>
  <c r="AG8" i="11" a="1"/>
  <c r="AG8" i="11" s="1"/>
  <c r="AS8" i="11" a="1"/>
  <c r="AS8" i="11" s="1"/>
  <c r="AX8" i="11" a="1"/>
  <c r="AX8" i="11" s="1"/>
  <c r="BD8" i="11" a="1"/>
  <c r="BD8" i="11" s="1"/>
  <c r="BJ8" i="11" a="1"/>
  <c r="BJ8" i="11" s="1"/>
  <c r="BO8" i="11" a="1"/>
  <c r="BO8" i="11" s="1"/>
  <c r="CA8" i="11" a="1"/>
  <c r="CA8" i="11" s="1"/>
  <c r="CH8" i="11" a="1"/>
  <c r="CH8" i="11" s="1"/>
  <c r="CO8" i="11" a="1"/>
  <c r="CO8" i="11" s="1"/>
  <c r="G8" i="11" a="1"/>
  <c r="G8" i="11" s="1"/>
  <c r="N8" i="11" a="1"/>
  <c r="N8" i="11" s="1"/>
  <c r="T8" i="11" a="1"/>
  <c r="T8" i="11" s="1"/>
  <c r="AA8" i="11" a="1"/>
  <c r="AA8" i="11" s="1"/>
  <c r="AM8" i="11" a="1"/>
  <c r="AM8" i="11" s="1"/>
  <c r="BE8" i="11" a="1"/>
  <c r="BE8" i="11" s="1"/>
  <c r="BP8" i="11" a="1"/>
  <c r="BP8" i="11" s="1"/>
  <c r="BV8" i="11" a="1"/>
  <c r="BV8" i="11" s="1"/>
  <c r="CB8" i="11" a="1"/>
  <c r="CB8" i="11" s="1"/>
  <c r="CI8" i="11" a="1"/>
  <c r="CI8" i="11" s="1"/>
  <c r="H8" i="11" a="1"/>
  <c r="H8" i="11" s="1"/>
  <c r="O8" i="11" a="1"/>
  <c r="O8" i="11" s="1"/>
  <c r="U8" i="11" a="1"/>
  <c r="U8" i="11" s="1"/>
  <c r="AB8" i="11" a="1"/>
  <c r="AB8" i="11" s="1"/>
  <c r="AH8" i="11" a="1"/>
  <c r="AH8" i="11" s="1"/>
  <c r="AN8" i="11" a="1"/>
  <c r="AN8" i="11" s="1"/>
  <c r="AT8" i="11" a="1"/>
  <c r="AT8" i="11" s="1"/>
  <c r="AY8" i="11" a="1"/>
  <c r="AY8" i="11" s="1"/>
  <c r="BK8" i="11" a="1"/>
  <c r="BK8" i="11" s="1"/>
  <c r="BQ8" i="11" a="1"/>
  <c r="BQ8" i="11" s="1"/>
  <c r="BW8" i="11" a="1"/>
  <c r="BW8" i="11" s="1"/>
  <c r="CC8" i="11" a="1"/>
  <c r="CC8" i="11" s="1"/>
  <c r="CJ8" i="11" a="1"/>
  <c r="CJ8" i="11" s="1"/>
  <c r="CP8" i="11" a="1"/>
  <c r="CP8" i="11" s="1"/>
  <c r="D8" i="11" a="1"/>
  <c r="D8" i="11" s="1"/>
  <c r="BA8" i="11" a="1"/>
  <c r="BA8" i="11" s="1"/>
  <c r="J8" i="11" a="1"/>
  <c r="J8" i="11" s="1"/>
  <c r="BG8" i="11" a="1"/>
  <c r="BG8" i="11" s="1"/>
  <c r="Q8" i="11" a="1"/>
  <c r="Q8" i="11" s="1"/>
  <c r="BM8" i="11" a="1"/>
  <c r="BM8" i="11" s="1"/>
  <c r="BY8" i="11" a="1"/>
  <c r="BY8" i="11" s="1"/>
  <c r="AI8" i="11" a="1"/>
  <c r="AI8" i="11" s="1"/>
  <c r="CL11" i="11" a="1"/>
  <c r="CL11" i="11" s="1"/>
  <c r="CC11" i="11" a="1"/>
  <c r="CC11" i="11" s="1"/>
  <c r="BU11" i="11" a="1"/>
  <c r="BU11" i="11" s="1"/>
  <c r="BM11" i="11" a="1"/>
  <c r="BM11" i="11" s="1"/>
  <c r="BD11" i="11" a="1"/>
  <c r="BD11" i="11" s="1"/>
  <c r="AV11" i="11" a="1"/>
  <c r="AV11" i="11" s="1"/>
  <c r="AB11" i="11" a="1"/>
  <c r="AB11" i="11" s="1"/>
  <c r="S11" i="11" a="1"/>
  <c r="S11" i="11" s="1"/>
  <c r="J11" i="11" a="1"/>
  <c r="J11" i="11" s="1"/>
  <c r="CR8" i="11" a="1"/>
  <c r="CR8" i="11" s="1"/>
  <c r="B8" i="11" a="1"/>
  <c r="B8" i="11" s="1"/>
  <c r="BI11" i="11" a="1"/>
  <c r="BI11" i="11" s="1"/>
  <c r="BA11" i="11" a="1"/>
  <c r="BA11" i="11" s="1"/>
  <c r="AR11" i="11" a="1"/>
  <c r="AR11" i="11" s="1"/>
  <c r="AH11" i="11" a="1"/>
  <c r="AH11" i="11" s="1"/>
  <c r="Y11" i="11" a="1"/>
  <c r="Y11" i="11" s="1"/>
  <c r="F11" i="11" a="1"/>
  <c r="F11" i="11" s="1"/>
  <c r="AU8" i="11" a="1"/>
  <c r="AU8" i="11" s="1"/>
  <c r="B6" i="11" a="1"/>
  <c r="B6" i="11" s="1"/>
  <c r="H114" i="41"/>
  <c r="H50" i="41"/>
  <c r="H18" i="41"/>
  <c r="H82" i="41"/>
  <c r="D8" i="41" a="1"/>
  <c r="D8" i="41" s="1"/>
  <c r="F8" i="41" s="1"/>
  <c r="D40" i="41" a="1"/>
  <c r="D40" i="41" s="1"/>
  <c r="F40" i="41" s="1"/>
  <c r="D72" i="41" a="1"/>
  <c r="D72" i="41" s="1"/>
  <c r="F72" i="41" s="1"/>
  <c r="H72" i="41" s="1"/>
  <c r="D104" i="41" a="1"/>
  <c r="D104" i="41" s="1"/>
  <c r="F104" i="41" s="1"/>
  <c r="H104" i="41" s="1"/>
  <c r="D136" i="41" a="1"/>
  <c r="D136" i="41" s="1"/>
  <c r="F136" i="41" s="1"/>
  <c r="H309" i="41"/>
  <c r="D309" i="41" a="1"/>
  <c r="D309" i="41" s="1"/>
  <c r="H318" i="41"/>
  <c r="D318" i="41" a="1"/>
  <c r="D318" i="41" s="1"/>
  <c r="H361" i="41"/>
  <c r="D361" i="41" a="1"/>
  <c r="D361" i="41" s="1"/>
  <c r="D36" i="41" a="1"/>
  <c r="D36" i="41" s="1"/>
  <c r="F36" i="41" s="1"/>
  <c r="D68" i="41" a="1"/>
  <c r="D68" i="41" s="1"/>
  <c r="F68" i="41" s="1"/>
  <c r="D100" i="41" a="1"/>
  <c r="D100" i="41" s="1"/>
  <c r="F100" i="41" s="1"/>
  <c r="D132" i="41" a="1"/>
  <c r="D132" i="41" s="1"/>
  <c r="F132" i="41" s="1"/>
  <c r="H390" i="41"/>
  <c r="D390" i="41" a="1"/>
  <c r="D390" i="41" s="1"/>
  <c r="D172" i="41" a="1"/>
  <c r="D172" i="41" s="1"/>
  <c r="F172" i="41" s="1"/>
  <c r="D28" i="41" a="1"/>
  <c r="D28" i="41" s="1"/>
  <c r="F28" i="41" s="1"/>
  <c r="D60" i="41" a="1"/>
  <c r="D60" i="41" s="1"/>
  <c r="F60" i="41" s="1"/>
  <c r="H60" i="41" s="1"/>
  <c r="D92" i="41" a="1"/>
  <c r="D92" i="41" s="1"/>
  <c r="F92" i="41" s="1"/>
  <c r="H92" i="41" s="1"/>
  <c r="D124" i="41" a="1"/>
  <c r="D124" i="41" s="1"/>
  <c r="F124" i="41" s="1"/>
  <c r="D156" i="41" a="1"/>
  <c r="D156" i="41" s="1"/>
  <c r="F156" i="41" s="1"/>
  <c r="H156" i="41" s="1"/>
  <c r="H182" i="41"/>
  <c r="D182" i="41" a="1"/>
  <c r="D182" i="41" s="1"/>
  <c r="H198" i="41"/>
  <c r="D198" i="41" a="1"/>
  <c r="D198" i="41" s="1"/>
  <c r="H214" i="41"/>
  <c r="D214" i="41" a="1"/>
  <c r="D214" i="41" s="1"/>
  <c r="H230" i="41"/>
  <c r="D230" i="41" a="1"/>
  <c r="D230" i="41" s="1"/>
  <c r="H246" i="41"/>
  <c r="D246" i="41" a="1"/>
  <c r="D246" i="41" s="1"/>
  <c r="H262" i="41"/>
  <c r="D262" i="41" a="1"/>
  <c r="D262" i="41" s="1"/>
  <c r="D359" i="41" a="1"/>
  <c r="D359" i="41" s="1"/>
  <c r="H359" i="41"/>
  <c r="D64" i="41" a="1"/>
  <c r="D64" i="41" s="1"/>
  <c r="F64" i="41" s="1"/>
  <c r="H64" i="41" s="1"/>
  <c r="D96" i="41" a="1"/>
  <c r="D96" i="41" s="1"/>
  <c r="F96" i="41" s="1"/>
  <c r="H96" i="41" s="1"/>
  <c r="D164" i="41" a="1"/>
  <c r="D164" i="41" s="1"/>
  <c r="F164" i="41" s="1"/>
  <c r="H325" i="41"/>
  <c r="D325" i="41" a="1"/>
  <c r="D325" i="41" s="1"/>
  <c r="D24" i="41" a="1"/>
  <c r="D24" i="41" s="1"/>
  <c r="F24" i="41" s="1"/>
  <c r="D56" i="41" a="1"/>
  <c r="D56" i="41" s="1"/>
  <c r="F56" i="41" s="1"/>
  <c r="D88" i="41" a="1"/>
  <c r="D88" i="41" s="1"/>
  <c r="F88" i="41" s="1"/>
  <c r="D120" i="41" a="1"/>
  <c r="D120" i="41" s="1"/>
  <c r="F120" i="41" s="1"/>
  <c r="H120" i="41" s="1"/>
  <c r="D152" i="41" a="1"/>
  <c r="D152" i="41" s="1"/>
  <c r="F152" i="41" s="1"/>
  <c r="H286" i="41"/>
  <c r="D286" i="41" a="1"/>
  <c r="D286" i="41" s="1"/>
  <c r="H341" i="41"/>
  <c r="D341" i="41" a="1"/>
  <c r="D341" i="41" s="1"/>
  <c r="H350" i="41"/>
  <c r="D350" i="41" a="1"/>
  <c r="D350" i="41" s="1"/>
  <c r="D176" i="41" a="1"/>
  <c r="D176" i="41" s="1"/>
  <c r="F176" i="41" s="1"/>
  <c r="H334" i="41"/>
  <c r="D334" i="41" a="1"/>
  <c r="D334" i="41" s="1"/>
  <c r="D20" i="41" a="1"/>
  <c r="D20" i="41" s="1"/>
  <c r="F20" i="41" s="1"/>
  <c r="D52" i="41" a="1"/>
  <c r="D52" i="41" s="1"/>
  <c r="F52" i="41" s="1"/>
  <c r="D84" i="41" a="1"/>
  <c r="D84" i="41" s="1"/>
  <c r="F84" i="41" s="1"/>
  <c r="D116" i="41" a="1"/>
  <c r="D116" i="41" s="1"/>
  <c r="F116" i="41" s="1"/>
  <c r="D148" i="41" a="1"/>
  <c r="D148" i="41" s="1"/>
  <c r="F148" i="41" s="1"/>
  <c r="H148" i="41" s="1"/>
  <c r="D363" i="41" a="1"/>
  <c r="D363" i="41" s="1"/>
  <c r="H363" i="41"/>
  <c r="H394" i="41"/>
  <c r="D394" i="41" a="1"/>
  <c r="D394" i="41" s="1"/>
  <c r="D160" i="41" a="1"/>
  <c r="D160" i="41" s="1"/>
  <c r="F160" i="41" s="1"/>
  <c r="H160" i="41" s="1"/>
  <c r="D3" i="41" a="1"/>
  <c r="D3" i="41" s="1"/>
  <c r="F3" i="41" s="1"/>
  <c r="D16" i="41" a="1"/>
  <c r="D16" i="41" s="1"/>
  <c r="F16" i="41" s="1"/>
  <c r="D48" i="41" a="1"/>
  <c r="D48" i="41" s="1"/>
  <c r="F48" i="41" s="1"/>
  <c r="D80" i="41" a="1"/>
  <c r="D80" i="41" s="1"/>
  <c r="F80" i="41" s="1"/>
  <c r="H80" i="41" s="1"/>
  <c r="D112" i="41" a="1"/>
  <c r="D112" i="41" s="1"/>
  <c r="F112" i="41" s="1"/>
  <c r="D144" i="41" a="1"/>
  <c r="D144" i="41" s="1"/>
  <c r="F144" i="41" s="1"/>
  <c r="H144" i="41" s="1"/>
  <c r="H293" i="41"/>
  <c r="D293" i="41" a="1"/>
  <c r="D293" i="41" s="1"/>
  <c r="H302" i="41"/>
  <c r="D302" i="41" a="1"/>
  <c r="D302" i="41" s="1"/>
  <c r="H357" i="41"/>
  <c r="D357" i="41" a="1"/>
  <c r="D357" i="41" s="1"/>
  <c r="D32" i="41" a="1"/>
  <c r="D32" i="41" s="1"/>
  <c r="F32" i="41" s="1"/>
  <c r="H32" i="41" s="1"/>
  <c r="D128" i="41" a="1"/>
  <c r="D128" i="41" s="1"/>
  <c r="F128" i="41" s="1"/>
  <c r="D168" i="41" a="1"/>
  <c r="D168" i="41" s="1"/>
  <c r="F168" i="41" s="1"/>
  <c r="D4" i="41" a="1"/>
  <c r="D4" i="41" s="1"/>
  <c r="F4" i="41" s="1"/>
  <c r="D7" i="41" a="1"/>
  <c r="D7" i="41" s="1"/>
  <c r="F7" i="41" s="1"/>
  <c r="D12" i="41" a="1"/>
  <c r="D12" i="41" s="1"/>
  <c r="F12" i="41" s="1"/>
  <c r="D44" i="41" a="1"/>
  <c r="D44" i="41" s="1"/>
  <c r="F44" i="41" s="1"/>
  <c r="D76" i="41" a="1"/>
  <c r="D76" i="41" s="1"/>
  <c r="F76" i="41" s="1"/>
  <c r="D108" i="41" a="1"/>
  <c r="D108" i="41" s="1"/>
  <c r="F108" i="41" s="1"/>
  <c r="D140" i="41" a="1"/>
  <c r="D140" i="41" s="1"/>
  <c r="F140" i="41" s="1"/>
  <c r="H190" i="41"/>
  <c r="D190" i="41" a="1"/>
  <c r="D190" i="41" s="1"/>
  <c r="H206" i="41"/>
  <c r="D206" i="41" a="1"/>
  <c r="D206" i="41" s="1"/>
  <c r="H222" i="41"/>
  <c r="D222" i="41" a="1"/>
  <c r="D222" i="41" s="1"/>
  <c r="H238" i="41"/>
  <c r="D238" i="41" a="1"/>
  <c r="D238" i="41" s="1"/>
  <c r="H254" i="41"/>
  <c r="D254" i="41" a="1"/>
  <c r="D254" i="41" s="1"/>
  <c r="H270" i="41"/>
  <c r="D270" i="41" a="1"/>
  <c r="D270" i="41" s="1"/>
  <c r="H277" i="41"/>
  <c r="D277" i="41" a="1"/>
  <c r="D277" i="41" s="1"/>
  <c r="H1148" i="41"/>
  <c r="D1148" i="41" a="1"/>
  <c r="D1148" i="41" s="1"/>
  <c r="H1188" i="41"/>
  <c r="D1188" i="41" a="1"/>
  <c r="D1188" i="41" s="1"/>
  <c r="D1432" i="41" a="1"/>
  <c r="D1432" i="41" s="1"/>
  <c r="H1432" i="41"/>
  <c r="H577" i="41"/>
  <c r="D577" i="41" a="1"/>
  <c r="D577" i="41" s="1"/>
  <c r="H649" i="41"/>
  <c r="D649" i="41" a="1"/>
  <c r="D649" i="41" s="1"/>
  <c r="D663" i="41" a="1"/>
  <c r="D663" i="41" s="1"/>
  <c r="H663" i="41"/>
  <c r="H697" i="41"/>
  <c r="D697" i="41" a="1"/>
  <c r="D697" i="41" s="1"/>
  <c r="H729" i="41"/>
  <c r="D729" i="41" a="1"/>
  <c r="D729" i="41" s="1"/>
  <c r="H761" i="41"/>
  <c r="D761" i="41" a="1"/>
  <c r="D761" i="41" s="1"/>
  <c r="D798" i="41" a="1"/>
  <c r="D798" i="41" s="1"/>
  <c r="H798" i="41"/>
  <c r="H807" i="41"/>
  <c r="D807" i="41" a="1"/>
  <c r="D807" i="41" s="1"/>
  <c r="H183" i="41"/>
  <c r="H191" i="41"/>
  <c r="H199" i="41"/>
  <c r="H207" i="41"/>
  <c r="H215" i="41"/>
  <c r="H223" i="41"/>
  <c r="H231" i="41"/>
  <c r="H239" i="41"/>
  <c r="H247" i="41"/>
  <c r="H255" i="41"/>
  <c r="H263" i="41"/>
  <c r="H273" i="41"/>
  <c r="H282" i="41"/>
  <c r="H298" i="41"/>
  <c r="H314" i="41"/>
  <c r="H330" i="41"/>
  <c r="H346" i="41"/>
  <c r="H374" i="41"/>
  <c r="H378" i="41"/>
  <c r="H405" i="41"/>
  <c r="H407" i="41"/>
  <c r="H409" i="41"/>
  <c r="H411" i="41"/>
  <c r="D421" i="41" a="1"/>
  <c r="D421" i="41" s="1"/>
  <c r="D425" i="41" a="1"/>
  <c r="D425" i="41" s="1"/>
  <c r="H438" i="41"/>
  <c r="H442" i="41"/>
  <c r="D454" i="41" a="1"/>
  <c r="D454" i="41" s="1"/>
  <c r="D458" i="41" a="1"/>
  <c r="D458" i="41" s="1"/>
  <c r="H469" i="41"/>
  <c r="H471" i="41"/>
  <c r="H473" i="41"/>
  <c r="H475" i="41"/>
  <c r="D485" i="41" a="1"/>
  <c r="D485" i="41" s="1"/>
  <c r="D489" i="41" a="1"/>
  <c r="D489" i="41" s="1"/>
  <c r="H502" i="41"/>
  <c r="H506" i="41"/>
  <c r="H531" i="41"/>
  <c r="H559" i="41"/>
  <c r="H585" i="41"/>
  <c r="D585" i="41" a="1"/>
  <c r="D585" i="41" s="1"/>
  <c r="H595" i="41"/>
  <c r="H641" i="41"/>
  <c r="D641" i="41" a="1"/>
  <c r="D641" i="41" s="1"/>
  <c r="D655" i="41" a="1"/>
  <c r="D655" i="41" s="1"/>
  <c r="H655" i="41"/>
  <c r="H816" i="41"/>
  <c r="D816" i="41" a="1"/>
  <c r="D816" i="41" s="1"/>
  <c r="H593" i="41"/>
  <c r="D593" i="41" a="1"/>
  <c r="D593" i="41" s="1"/>
  <c r="H633" i="41"/>
  <c r="D633" i="41" a="1"/>
  <c r="D633" i="41" s="1"/>
  <c r="D647" i="41" a="1"/>
  <c r="D647" i="41" s="1"/>
  <c r="H647" i="41"/>
  <c r="H689" i="41"/>
  <c r="D689" i="41" a="1"/>
  <c r="D689" i="41" s="1"/>
  <c r="H721" i="41"/>
  <c r="D721" i="41" a="1"/>
  <c r="D721" i="41" s="1"/>
  <c r="H753" i="41"/>
  <c r="D753" i="41" a="1"/>
  <c r="D753" i="41" s="1"/>
  <c r="D910" i="41" a="1"/>
  <c r="D910" i="41" s="1"/>
  <c r="H910" i="41"/>
  <c r="D965" i="41" a="1"/>
  <c r="D965" i="41" s="1"/>
  <c r="H965" i="41"/>
  <c r="H1254" i="41"/>
  <c r="D1254" i="41" a="1"/>
  <c r="D1254" i="41" s="1"/>
  <c r="H5" i="41"/>
  <c r="H9" i="41"/>
  <c r="D11" i="41" a="1"/>
  <c r="D11" i="41" s="1"/>
  <c r="F11" i="41" s="1"/>
  <c r="H11" i="41" s="1"/>
  <c r="H13" i="41"/>
  <c r="D15" i="41" a="1"/>
  <c r="D15" i="41" s="1"/>
  <c r="F15" i="41" s="1"/>
  <c r="H15" i="41" s="1"/>
  <c r="H17" i="41"/>
  <c r="D19" i="41" a="1"/>
  <c r="D19" i="41" s="1"/>
  <c r="F19" i="41" s="1"/>
  <c r="H19" i="41" s="1"/>
  <c r="H21" i="41"/>
  <c r="D23" i="41" a="1"/>
  <c r="D23" i="41" s="1"/>
  <c r="F23" i="41" s="1"/>
  <c r="H23" i="41" s="1"/>
  <c r="H25" i="41"/>
  <c r="D27" i="41" a="1"/>
  <c r="D27" i="41" s="1"/>
  <c r="F27" i="41" s="1"/>
  <c r="H27" i="41" s="1"/>
  <c r="H29" i="41"/>
  <c r="D31" i="41" a="1"/>
  <c r="D31" i="41" s="1"/>
  <c r="F31" i="41" s="1"/>
  <c r="H31" i="41" s="1"/>
  <c r="H33" i="41"/>
  <c r="D35" i="41" a="1"/>
  <c r="D35" i="41" s="1"/>
  <c r="F35" i="41" s="1"/>
  <c r="H35" i="41" s="1"/>
  <c r="H37" i="41"/>
  <c r="D39" i="41" a="1"/>
  <c r="D39" i="41" s="1"/>
  <c r="F39" i="41" s="1"/>
  <c r="H39" i="41" s="1"/>
  <c r="H41" i="41"/>
  <c r="D43" i="41" a="1"/>
  <c r="D43" i="41" s="1"/>
  <c r="F43" i="41" s="1"/>
  <c r="H43" i="41" s="1"/>
  <c r="H45" i="41"/>
  <c r="D47" i="41" a="1"/>
  <c r="D47" i="41" s="1"/>
  <c r="F47" i="41" s="1"/>
  <c r="H47" i="41" s="1"/>
  <c r="H49" i="41"/>
  <c r="D51" i="41" a="1"/>
  <c r="D51" i="41" s="1"/>
  <c r="F51" i="41" s="1"/>
  <c r="H51" i="41" s="1"/>
  <c r="H53" i="41"/>
  <c r="D55" i="41" a="1"/>
  <c r="D55" i="41" s="1"/>
  <c r="F55" i="41" s="1"/>
  <c r="H55" i="41" s="1"/>
  <c r="H57" i="41"/>
  <c r="D59" i="41" a="1"/>
  <c r="D59" i="41" s="1"/>
  <c r="F59" i="41" s="1"/>
  <c r="H59" i="41" s="1"/>
  <c r="H61" i="41"/>
  <c r="D63" i="41" a="1"/>
  <c r="D63" i="41" s="1"/>
  <c r="F63" i="41" s="1"/>
  <c r="H63" i="41" s="1"/>
  <c r="H65" i="41"/>
  <c r="D67" i="41" a="1"/>
  <c r="D67" i="41" s="1"/>
  <c r="F67" i="41" s="1"/>
  <c r="H67" i="41" s="1"/>
  <c r="H69" i="41"/>
  <c r="D71" i="41" a="1"/>
  <c r="D71" i="41" s="1"/>
  <c r="F71" i="41" s="1"/>
  <c r="H71" i="41" s="1"/>
  <c r="H73" i="41"/>
  <c r="D75" i="41" a="1"/>
  <c r="D75" i="41" s="1"/>
  <c r="F75" i="41" s="1"/>
  <c r="H75" i="41" s="1"/>
  <c r="H77" i="41"/>
  <c r="D79" i="41" a="1"/>
  <c r="D79" i="41" s="1"/>
  <c r="F79" i="41" s="1"/>
  <c r="H79" i="41" s="1"/>
  <c r="H81" i="41"/>
  <c r="D83" i="41" a="1"/>
  <c r="D83" i="41" s="1"/>
  <c r="F83" i="41" s="1"/>
  <c r="H83" i="41" s="1"/>
  <c r="H85" i="41"/>
  <c r="D87" i="41" a="1"/>
  <c r="D87" i="41" s="1"/>
  <c r="F87" i="41" s="1"/>
  <c r="H87" i="41" s="1"/>
  <c r="H89" i="41"/>
  <c r="D91" i="41" a="1"/>
  <c r="D91" i="41" s="1"/>
  <c r="F91" i="41" s="1"/>
  <c r="H91" i="41" s="1"/>
  <c r="H93" i="41"/>
  <c r="D95" i="41" a="1"/>
  <c r="D95" i="41" s="1"/>
  <c r="F95" i="41" s="1"/>
  <c r="H95" i="41" s="1"/>
  <c r="H97" i="41"/>
  <c r="D99" i="41" a="1"/>
  <c r="D99" i="41" s="1"/>
  <c r="F99" i="41" s="1"/>
  <c r="H99" i="41" s="1"/>
  <c r="H101" i="41"/>
  <c r="D103" i="41" a="1"/>
  <c r="D103" i="41" s="1"/>
  <c r="F103" i="41" s="1"/>
  <c r="H103" i="41" s="1"/>
  <c r="H105" i="41"/>
  <c r="D107" i="41" a="1"/>
  <c r="D107" i="41" s="1"/>
  <c r="F107" i="41" s="1"/>
  <c r="H107" i="41" s="1"/>
  <c r="H109" i="41"/>
  <c r="D111" i="41" a="1"/>
  <c r="D111" i="41" s="1"/>
  <c r="F111" i="41" s="1"/>
  <c r="H111" i="41" s="1"/>
  <c r="H113" i="41"/>
  <c r="D115" i="41" a="1"/>
  <c r="D115" i="41" s="1"/>
  <c r="F115" i="41" s="1"/>
  <c r="H115" i="41" s="1"/>
  <c r="H117" i="41"/>
  <c r="D119" i="41" a="1"/>
  <c r="D119" i="41" s="1"/>
  <c r="F119" i="41" s="1"/>
  <c r="H119" i="41" s="1"/>
  <c r="H121" i="41"/>
  <c r="D123" i="41" a="1"/>
  <c r="D123" i="41" s="1"/>
  <c r="F123" i="41" s="1"/>
  <c r="H123" i="41" s="1"/>
  <c r="H125" i="41"/>
  <c r="D127" i="41" a="1"/>
  <c r="D127" i="41" s="1"/>
  <c r="F127" i="41" s="1"/>
  <c r="H127" i="41" s="1"/>
  <c r="H129" i="41"/>
  <c r="D131" i="41" a="1"/>
  <c r="D131" i="41" s="1"/>
  <c r="F131" i="41" s="1"/>
  <c r="H131" i="41" s="1"/>
  <c r="H133" i="41"/>
  <c r="D135" i="41" a="1"/>
  <c r="D135" i="41" s="1"/>
  <c r="F135" i="41" s="1"/>
  <c r="H135" i="41" s="1"/>
  <c r="H137" i="41"/>
  <c r="D139" i="41" a="1"/>
  <c r="D139" i="41" s="1"/>
  <c r="F139" i="41" s="1"/>
  <c r="H139" i="41" s="1"/>
  <c r="H141" i="41"/>
  <c r="D143" i="41" a="1"/>
  <c r="D143" i="41" s="1"/>
  <c r="F143" i="41" s="1"/>
  <c r="H143" i="41" s="1"/>
  <c r="H145" i="41"/>
  <c r="D147" i="41" a="1"/>
  <c r="D147" i="41" s="1"/>
  <c r="F147" i="41" s="1"/>
  <c r="H147" i="41" s="1"/>
  <c r="H149" i="41"/>
  <c r="D151" i="41" a="1"/>
  <c r="D151" i="41" s="1"/>
  <c r="F151" i="41" s="1"/>
  <c r="H151" i="41" s="1"/>
  <c r="H153" i="41"/>
  <c r="D155" i="41" a="1"/>
  <c r="D155" i="41" s="1"/>
  <c r="F155" i="41" s="1"/>
  <c r="H155" i="41" s="1"/>
  <c r="H157" i="41"/>
  <c r="D159" i="41" a="1"/>
  <c r="D159" i="41" s="1"/>
  <c r="F159" i="41" s="1"/>
  <c r="H159" i="41" s="1"/>
  <c r="H161" i="41"/>
  <c r="D163" i="41" a="1"/>
  <c r="D163" i="41" s="1"/>
  <c r="F163" i="41" s="1"/>
  <c r="H163" i="41" s="1"/>
  <c r="H165" i="41"/>
  <c r="D167" i="41" a="1"/>
  <c r="D167" i="41" s="1"/>
  <c r="F167" i="41" s="1"/>
  <c r="H167" i="41" s="1"/>
  <c r="H169" i="41"/>
  <c r="D171" i="41" a="1"/>
  <c r="D171" i="41" s="1"/>
  <c r="F171" i="41" s="1"/>
  <c r="H171" i="41" s="1"/>
  <c r="H173" i="41"/>
  <c r="D175" i="41" a="1"/>
  <c r="D175" i="41" s="1"/>
  <c r="F175" i="41" s="1"/>
  <c r="H175" i="41" s="1"/>
  <c r="H177" i="41"/>
  <c r="D184" i="41" a="1"/>
  <c r="D184" i="41" s="1"/>
  <c r="D192" i="41" a="1"/>
  <c r="D192" i="41" s="1"/>
  <c r="D200" i="41" a="1"/>
  <c r="D200" i="41" s="1"/>
  <c r="D208" i="41" a="1"/>
  <c r="D208" i="41" s="1"/>
  <c r="D216" i="41" a="1"/>
  <c r="D216" i="41" s="1"/>
  <c r="D224" i="41" a="1"/>
  <c r="D224" i="41" s="1"/>
  <c r="D232" i="41" a="1"/>
  <c r="D232" i="41" s="1"/>
  <c r="D240" i="41" a="1"/>
  <c r="D240" i="41" s="1"/>
  <c r="D248" i="41" a="1"/>
  <c r="D248" i="41" s="1"/>
  <c r="D256" i="41" a="1"/>
  <c r="D256" i="41" s="1"/>
  <c r="D264" i="41" a="1"/>
  <c r="D264" i="41" s="1"/>
  <c r="D274" i="41" a="1"/>
  <c r="D274" i="41" s="1"/>
  <c r="D283" i="41" a="1"/>
  <c r="D283" i="41" s="1"/>
  <c r="D290" i="41" a="1"/>
  <c r="D290" i="41" s="1"/>
  <c r="D299" i="41" a="1"/>
  <c r="D299" i="41" s="1"/>
  <c r="D306" i="41" a="1"/>
  <c r="D306" i="41" s="1"/>
  <c r="D315" i="41" a="1"/>
  <c r="D315" i="41" s="1"/>
  <c r="D322" i="41" a="1"/>
  <c r="D322" i="41" s="1"/>
  <c r="D331" i="41" a="1"/>
  <c r="D331" i="41" s="1"/>
  <c r="D338" i="41" a="1"/>
  <c r="D338" i="41" s="1"/>
  <c r="D347" i="41" a="1"/>
  <c r="D347" i="41" s="1"/>
  <c r="D354" i="41" a="1"/>
  <c r="D354" i="41" s="1"/>
  <c r="D373" i="41" a="1"/>
  <c r="D373" i="41" s="1"/>
  <c r="D377" i="41" a="1"/>
  <c r="D377" i="41" s="1"/>
  <c r="D406" i="41" a="1"/>
  <c r="D406" i="41" s="1"/>
  <c r="D410" i="41" a="1"/>
  <c r="D410" i="41" s="1"/>
  <c r="H423" i="41"/>
  <c r="H427" i="41"/>
  <c r="D437" i="41" a="1"/>
  <c r="D437" i="41" s="1"/>
  <c r="D441" i="41" a="1"/>
  <c r="D441" i="41" s="1"/>
  <c r="D470" i="41" a="1"/>
  <c r="D470" i="41" s="1"/>
  <c r="D474" i="41" a="1"/>
  <c r="D474" i="41" s="1"/>
  <c r="H487" i="41"/>
  <c r="H491" i="41"/>
  <c r="D501" i="41" a="1"/>
  <c r="D501" i="41" s="1"/>
  <c r="D505" i="41" a="1"/>
  <c r="D505" i="41" s="1"/>
  <c r="D513" i="41" a="1"/>
  <c r="D513" i="41" s="1"/>
  <c r="H537" i="41"/>
  <c r="D537" i="41" a="1"/>
  <c r="D537" i="41" s="1"/>
  <c r="H547" i="41"/>
  <c r="H601" i="41"/>
  <c r="D601" i="41" a="1"/>
  <c r="D601" i="41" s="1"/>
  <c r="H625" i="41"/>
  <c r="D625" i="41" a="1"/>
  <c r="D625" i="41" s="1"/>
  <c r="D639" i="41" a="1"/>
  <c r="D639" i="41" s="1"/>
  <c r="H639" i="41"/>
  <c r="D782" i="41" a="1"/>
  <c r="D782" i="41" s="1"/>
  <c r="H782" i="41"/>
  <c r="H791" i="41"/>
  <c r="D791" i="41" a="1"/>
  <c r="D791" i="41" s="1"/>
  <c r="H823" i="41"/>
  <c r="D823" i="41" a="1"/>
  <c r="D823" i="41" s="1"/>
  <c r="D997" i="41" a="1"/>
  <c r="D997" i="41" s="1"/>
  <c r="H997" i="41"/>
  <c r="H529" i="41"/>
  <c r="D529" i="41" a="1"/>
  <c r="D529" i="41" s="1"/>
  <c r="H567" i="41"/>
  <c r="H279" i="41"/>
  <c r="H295" i="41"/>
  <c r="H311" i="41"/>
  <c r="H327" i="41"/>
  <c r="H343" i="41"/>
  <c r="H367" i="41"/>
  <c r="H371" i="41"/>
  <c r="H431" i="41"/>
  <c r="H435" i="41"/>
  <c r="H495" i="41"/>
  <c r="H499" i="41"/>
  <c r="H545" i="41"/>
  <c r="D545" i="41" a="1"/>
  <c r="D545" i="41" s="1"/>
  <c r="H555" i="41"/>
  <c r="H583" i="41"/>
  <c r="H609" i="41"/>
  <c r="D609" i="41" a="1"/>
  <c r="D609" i="41" s="1"/>
  <c r="H617" i="41"/>
  <c r="D617" i="41" a="1"/>
  <c r="D617" i="41" s="1"/>
  <c r="D631" i="41" a="1"/>
  <c r="D631" i="41" s="1"/>
  <c r="H631" i="41"/>
  <c r="H681" i="41"/>
  <c r="D681" i="41" a="1"/>
  <c r="D681" i="41" s="1"/>
  <c r="H713" i="41"/>
  <c r="D713" i="41" a="1"/>
  <c r="D713" i="41" s="1"/>
  <c r="H745" i="41"/>
  <c r="D745" i="41" a="1"/>
  <c r="D745" i="41" s="1"/>
  <c r="H777" i="41"/>
  <c r="D777" i="41" a="1"/>
  <c r="D777" i="41" s="1"/>
  <c r="H800" i="41"/>
  <c r="D800" i="41" a="1"/>
  <c r="D800" i="41" s="1"/>
  <c r="H375" i="41"/>
  <c r="H379" i="41"/>
  <c r="H439" i="41"/>
  <c r="H443" i="41"/>
  <c r="H503" i="41"/>
  <c r="H507" i="41"/>
  <c r="H511" i="41"/>
  <c r="H527" i="41"/>
  <c r="H553" i="41"/>
  <c r="D553" i="41" a="1"/>
  <c r="D553" i="41" s="1"/>
  <c r="H591" i="41"/>
  <c r="D623" i="41" a="1"/>
  <c r="D623" i="41" s="1"/>
  <c r="H623" i="41"/>
  <c r="H673" i="41"/>
  <c r="D673" i="41" a="1"/>
  <c r="D673" i="41" s="1"/>
  <c r="D814" i="41" a="1"/>
  <c r="D814" i="41" s="1"/>
  <c r="H814" i="41"/>
  <c r="D933" i="41" a="1"/>
  <c r="D933" i="41" s="1"/>
  <c r="H933" i="41"/>
  <c r="H953" i="41"/>
  <c r="D953" i="41" a="1"/>
  <c r="D953" i="41" s="1"/>
  <c r="H985" i="41"/>
  <c r="D985" i="41" a="1"/>
  <c r="D985" i="41" s="1"/>
  <c r="D1038" i="41" a="1"/>
  <c r="D1038" i="41" s="1"/>
  <c r="H1038" i="41"/>
  <c r="H1316" i="41"/>
  <c r="D1316" i="41" a="1"/>
  <c r="D1316" i="41" s="1"/>
  <c r="D280" i="41" a="1"/>
  <c r="D280" i="41" s="1"/>
  <c r="H561" i="41"/>
  <c r="D561" i="41" a="1"/>
  <c r="D561" i="41" s="1"/>
  <c r="D615" i="41" a="1"/>
  <c r="D615" i="41" s="1"/>
  <c r="H615" i="41"/>
  <c r="H665" i="41"/>
  <c r="D665" i="41" a="1"/>
  <c r="D665" i="41" s="1"/>
  <c r="D679" i="41" a="1"/>
  <c r="D679" i="41" s="1"/>
  <c r="H679" i="41"/>
  <c r="H705" i="41"/>
  <c r="D705" i="41" a="1"/>
  <c r="D705" i="41" s="1"/>
  <c r="H737" i="41"/>
  <c r="D737" i="41" a="1"/>
  <c r="D737" i="41" s="1"/>
  <c r="H769" i="41"/>
  <c r="D769" i="41" a="1"/>
  <c r="D769" i="41" s="1"/>
  <c r="H913" i="41"/>
  <c r="D913" i="41" a="1"/>
  <c r="D913" i="41" s="1"/>
  <c r="H523" i="41"/>
  <c r="H569" i="41"/>
  <c r="D569" i="41" a="1"/>
  <c r="D569" i="41" s="1"/>
  <c r="H579" i="41"/>
  <c r="H657" i="41"/>
  <c r="D657" i="41" a="1"/>
  <c r="D657" i="41" s="1"/>
  <c r="D671" i="41" a="1"/>
  <c r="D671" i="41" s="1"/>
  <c r="H671" i="41"/>
  <c r="H784" i="41"/>
  <c r="D784" i="41" a="1"/>
  <c r="D784" i="41" s="1"/>
  <c r="H1017" i="41"/>
  <c r="D1017" i="41" a="1"/>
  <c r="D1017" i="41" s="1"/>
  <c r="H1072" i="41"/>
  <c r="D1072" i="41" a="1"/>
  <c r="D1072" i="41" s="1"/>
  <c r="H1215" i="41"/>
  <c r="D1215" i="41" a="1"/>
  <c r="D1215" i="41" s="1"/>
  <c r="H1300" i="41"/>
  <c r="D1300" i="41" a="1"/>
  <c r="D1300" i="41" s="1"/>
  <c r="H828" i="41"/>
  <c r="H836" i="41"/>
  <c r="H844" i="41"/>
  <c r="H852" i="41"/>
  <c r="H860" i="41"/>
  <c r="H868" i="41"/>
  <c r="H876" i="41"/>
  <c r="H884" i="41"/>
  <c r="H892" i="41"/>
  <c r="D918" i="41" a="1"/>
  <c r="D918" i="41" s="1"/>
  <c r="H918" i="41"/>
  <c r="H925" i="41"/>
  <c r="H951" i="41"/>
  <c r="D951" i="41" a="1"/>
  <c r="D951" i="41" s="1"/>
  <c r="D958" i="41" a="1"/>
  <c r="D958" i="41" s="1"/>
  <c r="H958" i="41"/>
  <c r="H983" i="41"/>
  <c r="D983" i="41" a="1"/>
  <c r="D983" i="41" s="1"/>
  <c r="D990" i="41" a="1"/>
  <c r="D990" i="41" s="1"/>
  <c r="H990" i="41"/>
  <c r="H1015" i="41"/>
  <c r="D1015" i="41" a="1"/>
  <c r="D1015" i="41" s="1"/>
  <c r="D1022" i="41" a="1"/>
  <c r="D1022" i="41" s="1"/>
  <c r="H1022" i="41"/>
  <c r="D1030" i="41" a="1"/>
  <c r="D1030" i="41" s="1"/>
  <c r="H1030" i="41"/>
  <c r="H1047" i="41"/>
  <c r="D1047" i="41" a="1"/>
  <c r="D1047" i="41" s="1"/>
  <c r="D1086" i="41" a="1"/>
  <c r="D1086" i="41" s="1"/>
  <c r="H1086" i="41"/>
  <c r="H1095" i="41"/>
  <c r="D1095" i="41" a="1"/>
  <c r="D1095" i="41" s="1"/>
  <c r="H1172" i="41"/>
  <c r="D1172" i="41" a="1"/>
  <c r="D1172" i="41" s="1"/>
  <c r="H1182" i="41"/>
  <c r="D1182" i="41" a="1"/>
  <c r="D1182" i="41" s="1"/>
  <c r="H1198" i="41"/>
  <c r="D1198" i="41" a="1"/>
  <c r="D1198" i="41" s="1"/>
  <c r="H1204" i="41"/>
  <c r="D1204" i="41" a="1"/>
  <c r="D1204" i="41" s="1"/>
  <c r="H1471" i="41"/>
  <c r="D1471" i="41" a="1"/>
  <c r="D1471" i="41" s="1"/>
  <c r="H687" i="41"/>
  <c r="H695" i="41"/>
  <c r="H703" i="41"/>
  <c r="H711" i="41"/>
  <c r="H719" i="41"/>
  <c r="H727" i="41"/>
  <c r="H735" i="41"/>
  <c r="H743" i="41"/>
  <c r="H751" i="41"/>
  <c r="H759" i="41"/>
  <c r="H767" i="41"/>
  <c r="H775" i="41"/>
  <c r="H911" i="41"/>
  <c r="D911" i="41" a="1"/>
  <c r="D911" i="41" s="1"/>
  <c r="D926" i="41" a="1"/>
  <c r="D926" i="41" s="1"/>
  <c r="H926" i="41"/>
  <c r="H1039" i="41"/>
  <c r="D1039" i="41" a="1"/>
  <c r="D1039" i="41" s="1"/>
  <c r="H1104" i="41"/>
  <c r="D1104" i="41" a="1"/>
  <c r="D1104" i="41" s="1"/>
  <c r="H1142" i="41"/>
  <c r="D1142" i="41" a="1"/>
  <c r="D1142" i="41" s="1"/>
  <c r="H1166" i="41"/>
  <c r="D1166" i="41" a="1"/>
  <c r="D1166" i="41" s="1"/>
  <c r="H1907" i="41"/>
  <c r="D1907" i="41" a="1"/>
  <c r="D1907" i="41" s="1"/>
  <c r="H901" i="41"/>
  <c r="D904" i="41" a="1"/>
  <c r="D904" i="41" s="1"/>
  <c r="H919" i="41"/>
  <c r="D919" i="41" a="1"/>
  <c r="D919" i="41" s="1"/>
  <c r="D929" i="41" a="1"/>
  <c r="D929" i="41" s="1"/>
  <c r="D934" i="41" a="1"/>
  <c r="D934" i="41" s="1"/>
  <c r="H934" i="41"/>
  <c r="H959" i="41"/>
  <c r="D959" i="41" a="1"/>
  <c r="D959" i="41" s="1"/>
  <c r="D961" i="41" a="1"/>
  <c r="D961" i="41" s="1"/>
  <c r="D966" i="41" a="1"/>
  <c r="D966" i="41" s="1"/>
  <c r="H966" i="41"/>
  <c r="H991" i="41"/>
  <c r="D991" i="41" a="1"/>
  <c r="D991" i="41" s="1"/>
  <c r="D998" i="41" a="1"/>
  <c r="D998" i="41" s="1"/>
  <c r="H998" i="41"/>
  <c r="H1023" i="41"/>
  <c r="D1023" i="41" a="1"/>
  <c r="D1023" i="41" s="1"/>
  <c r="H1031" i="41"/>
  <c r="D1031" i="41" a="1"/>
  <c r="D1031" i="41" s="1"/>
  <c r="H1053" i="41"/>
  <c r="D1053" i="41" a="1"/>
  <c r="D1053" i="41" s="1"/>
  <c r="D1118" i="41" a="1"/>
  <c r="D1118" i="41" s="1"/>
  <c r="H1118" i="41"/>
  <c r="H1127" i="41"/>
  <c r="D1127" i="41" a="1"/>
  <c r="D1127" i="41" s="1"/>
  <c r="H1136" i="41"/>
  <c r="D1136" i="41" a="1"/>
  <c r="D1136" i="41" s="1"/>
  <c r="H1156" i="41"/>
  <c r="D1156" i="41" a="1"/>
  <c r="D1156" i="41" s="1"/>
  <c r="D1294" i="41" a="1"/>
  <c r="D1294" i="41" s="1"/>
  <c r="H1294" i="41"/>
  <c r="D1400" i="41" a="1"/>
  <c r="D1400" i="41" s="1"/>
  <c r="H1400" i="41"/>
  <c r="H1407" i="41"/>
  <c r="D1407" i="41" a="1"/>
  <c r="D1407" i="41" s="1"/>
  <c r="D902" i="41" a="1"/>
  <c r="D902" i="41" s="1"/>
  <c r="H902" i="41"/>
  <c r="H927" i="41"/>
  <c r="D927" i="41" a="1"/>
  <c r="D927" i="41" s="1"/>
  <c r="H941" i="41"/>
  <c r="H973" i="41"/>
  <c r="H1005" i="41"/>
  <c r="D1070" i="41" a="1"/>
  <c r="D1070" i="41" s="1"/>
  <c r="H1070" i="41"/>
  <c r="H1079" i="41"/>
  <c r="D1079" i="41" a="1"/>
  <c r="D1079" i="41" s="1"/>
  <c r="H1150" i="41"/>
  <c r="D1150" i="41" a="1"/>
  <c r="D1150" i="41" s="1"/>
  <c r="H1180" i="41"/>
  <c r="D1180" i="41" a="1"/>
  <c r="D1180" i="41" s="1"/>
  <c r="H1196" i="41"/>
  <c r="D1196" i="41" a="1"/>
  <c r="D1196" i="41" s="1"/>
  <c r="H1230" i="41"/>
  <c r="D1230" i="41" a="1"/>
  <c r="D1230" i="41" s="1"/>
  <c r="H829" i="41"/>
  <c r="H837" i="41"/>
  <c r="H845" i="41"/>
  <c r="H853" i="41"/>
  <c r="H861" i="41"/>
  <c r="H869" i="41"/>
  <c r="H877" i="41"/>
  <c r="H885" i="41"/>
  <c r="H893" i="41"/>
  <c r="H935" i="41"/>
  <c r="D935" i="41" a="1"/>
  <c r="D935" i="41" s="1"/>
  <c r="D942" i="41" a="1"/>
  <c r="D942" i="41" s="1"/>
  <c r="H942" i="41"/>
  <c r="H967" i="41"/>
  <c r="D967" i="41" a="1"/>
  <c r="D967" i="41" s="1"/>
  <c r="D974" i="41" a="1"/>
  <c r="D974" i="41" s="1"/>
  <c r="H974" i="41"/>
  <c r="H999" i="41"/>
  <c r="D999" i="41" a="1"/>
  <c r="D999" i="41" s="1"/>
  <c r="D1006" i="41" a="1"/>
  <c r="D1006" i="41" s="1"/>
  <c r="H1006" i="41"/>
  <c r="H1045" i="41"/>
  <c r="D1045" i="41" a="1"/>
  <c r="D1045" i="41" s="1"/>
  <c r="H1088" i="41"/>
  <c r="D1088" i="41" a="1"/>
  <c r="D1088" i="41" s="1"/>
  <c r="H1174" i="41"/>
  <c r="D1174" i="41" a="1"/>
  <c r="D1174" i="41" s="1"/>
  <c r="H1190" i="41"/>
  <c r="D1190" i="41" a="1"/>
  <c r="D1190" i="41" s="1"/>
  <c r="H1231" i="41"/>
  <c r="D1231" i="41" a="1"/>
  <c r="D1231" i="41" s="1"/>
  <c r="H1274" i="41"/>
  <c r="D1274" i="41" a="1"/>
  <c r="D1274" i="41" s="1"/>
  <c r="D830" i="41" a="1"/>
  <c r="D830" i="41" s="1"/>
  <c r="H830" i="41"/>
  <c r="D838" i="41" a="1"/>
  <c r="D838" i="41" s="1"/>
  <c r="H838" i="41"/>
  <c r="D846" i="41" a="1"/>
  <c r="D846" i="41" s="1"/>
  <c r="H846" i="41"/>
  <c r="D854" i="41" a="1"/>
  <c r="D854" i="41" s="1"/>
  <c r="H854" i="41"/>
  <c r="D862" i="41" a="1"/>
  <c r="D862" i="41" s="1"/>
  <c r="H862" i="41"/>
  <c r="D870" i="41" a="1"/>
  <c r="D870" i="41" s="1"/>
  <c r="H870" i="41"/>
  <c r="D878" i="41" a="1"/>
  <c r="D878" i="41" s="1"/>
  <c r="H878" i="41"/>
  <c r="D886" i="41" a="1"/>
  <c r="D886" i="41" s="1"/>
  <c r="H886" i="41"/>
  <c r="D894" i="41" a="1"/>
  <c r="D894" i="41" s="1"/>
  <c r="H894" i="41"/>
  <c r="H1037" i="41"/>
  <c r="D1037" i="41" a="1"/>
  <c r="D1037" i="41" s="1"/>
  <c r="D1102" i="41" a="1"/>
  <c r="D1102" i="41" s="1"/>
  <c r="H1102" i="41"/>
  <c r="H1111" i="41"/>
  <c r="D1111" i="41" a="1"/>
  <c r="D1111" i="41" s="1"/>
  <c r="H1140" i="41"/>
  <c r="D1140" i="41" a="1"/>
  <c r="D1140" i="41" s="1"/>
  <c r="H1164" i="41"/>
  <c r="D1164" i="41" a="1"/>
  <c r="D1164" i="41" s="1"/>
  <c r="D1213" i="41" a="1"/>
  <c r="D1213" i="41" s="1"/>
  <c r="H1213" i="41"/>
  <c r="H1217" i="41"/>
  <c r="H1268" i="41"/>
  <c r="D1268" i="41" a="1"/>
  <c r="D1268" i="41" s="1"/>
  <c r="H1329" i="41"/>
  <c r="D1329" i="41" a="1"/>
  <c r="D1329" i="41" s="1"/>
  <c r="H1480" i="41"/>
  <c r="D1480" i="41" a="1"/>
  <c r="D1480" i="41" s="1"/>
  <c r="D1537" i="41" a="1"/>
  <c r="D1537" i="41" s="1"/>
  <c r="H1537" i="41"/>
  <c r="H790" i="41"/>
  <c r="H806" i="41"/>
  <c r="H822" i="41"/>
  <c r="H903" i="41"/>
  <c r="D903" i="41" a="1"/>
  <c r="D903" i="41" s="1"/>
  <c r="H909" i="41"/>
  <c r="H943" i="41"/>
  <c r="D943" i="41" a="1"/>
  <c r="D943" i="41" s="1"/>
  <c r="D950" i="41" a="1"/>
  <c r="D950" i="41" s="1"/>
  <c r="H950" i="41"/>
  <c r="H975" i="41"/>
  <c r="D975" i="41" a="1"/>
  <c r="D975" i="41" s="1"/>
  <c r="D982" i="41" a="1"/>
  <c r="D982" i="41" s="1"/>
  <c r="H982" i="41"/>
  <c r="H1007" i="41"/>
  <c r="D1007" i="41" a="1"/>
  <c r="D1007" i="41" s="1"/>
  <c r="D1014" i="41" a="1"/>
  <c r="D1014" i="41" s="1"/>
  <c r="H1014" i="41"/>
  <c r="H1029" i="41"/>
  <c r="D1029" i="41" a="1"/>
  <c r="D1029" i="41" s="1"/>
  <c r="H1055" i="41"/>
  <c r="D1055" i="41" a="1"/>
  <c r="D1055" i="41" s="1"/>
  <c r="H1063" i="41"/>
  <c r="D1063" i="41" a="1"/>
  <c r="D1063" i="41" s="1"/>
  <c r="H1120" i="41"/>
  <c r="D1120" i="41" a="1"/>
  <c r="D1120" i="41" s="1"/>
  <c r="D1134" i="41" a="1"/>
  <c r="D1134" i="41" s="1"/>
  <c r="H1134" i="41"/>
  <c r="H1158" i="41"/>
  <c r="D1158" i="41" a="1"/>
  <c r="D1158" i="41" s="1"/>
  <c r="H1238" i="41"/>
  <c r="D1238" i="41" a="1"/>
  <c r="D1238" i="41" s="1"/>
  <c r="H1306" i="41"/>
  <c r="D1306" i="41" a="1"/>
  <c r="D1306" i="41" s="1"/>
  <c r="H1046" i="41"/>
  <c r="H1054" i="41"/>
  <c r="H1066" i="41"/>
  <c r="H1082" i="41"/>
  <c r="H1098" i="41"/>
  <c r="H1114" i="41"/>
  <c r="H1130" i="41"/>
  <c r="H1206" i="41"/>
  <c r="D1206" i="41" a="1"/>
  <c r="D1206" i="41" s="1"/>
  <c r="H1246" i="41"/>
  <c r="D1246" i="41" a="1"/>
  <c r="D1246" i="41" s="1"/>
  <c r="H1271" i="41"/>
  <c r="D1271" i="41" a="1"/>
  <c r="D1271" i="41" s="1"/>
  <c r="D1280" i="41" a="1"/>
  <c r="D1280" i="41" s="1"/>
  <c r="H1280" i="41"/>
  <c r="H1309" i="41"/>
  <c r="D1309" i="41" a="1"/>
  <c r="D1309" i="41" s="1"/>
  <c r="H1313" i="41"/>
  <c r="D1313" i="41" a="1"/>
  <c r="D1313" i="41" s="1"/>
  <c r="H1322" i="41"/>
  <c r="D1322" i="41" a="1"/>
  <c r="D1322" i="41" s="1"/>
  <c r="H1325" i="41"/>
  <c r="D1325" i="41" a="1"/>
  <c r="D1325" i="41" s="1"/>
  <c r="D1390" i="41" a="1"/>
  <c r="D1390" i="41" s="1"/>
  <c r="H1390" i="41"/>
  <c r="H1399" i="41"/>
  <c r="D1399" i="41" a="1"/>
  <c r="D1399" i="41" s="1"/>
  <c r="D1449" i="41" a="1"/>
  <c r="D1449" i="41" s="1"/>
  <c r="H1449" i="41"/>
  <c r="D1465" i="41" a="1"/>
  <c r="D1465" i="41" s="1"/>
  <c r="H1465" i="41"/>
  <c r="H1500" i="41"/>
  <c r="D1500" i="41" a="1"/>
  <c r="D1500" i="41" s="1"/>
  <c r="H1222" i="41"/>
  <c r="D1222" i="41" a="1"/>
  <c r="D1222" i="41" s="1"/>
  <c r="H1260" i="41"/>
  <c r="D1260" i="41" a="1"/>
  <c r="D1260" i="41" s="1"/>
  <c r="H1277" i="41"/>
  <c r="D1277" i="41" a="1"/>
  <c r="D1277" i="41" s="1"/>
  <c r="H1332" i="41"/>
  <c r="D1332" i="41" a="1"/>
  <c r="D1332" i="41" s="1"/>
  <c r="H1338" i="41"/>
  <c r="D1338" i="41" a="1"/>
  <c r="D1338" i="41" s="1"/>
  <c r="H1341" i="41"/>
  <c r="D1341" i="41" a="1"/>
  <c r="D1341" i="41" s="1"/>
  <c r="H1388" i="41"/>
  <c r="D1388" i="41" a="1"/>
  <c r="D1388" i="41" s="1"/>
  <c r="H1408" i="41"/>
  <c r="D1408" i="41" a="1"/>
  <c r="D1408" i="41" s="1"/>
  <c r="H1495" i="41"/>
  <c r="D1495" i="41" a="1"/>
  <c r="D1495" i="41" s="1"/>
  <c r="D1207" i="41" a="1"/>
  <c r="D1207" i="41" s="1"/>
  <c r="H1252" i="41"/>
  <c r="D1252" i="41" a="1"/>
  <c r="D1252" i="41" s="1"/>
  <c r="H1281" i="41"/>
  <c r="H1287" i="41"/>
  <c r="D1287" i="41" a="1"/>
  <c r="D1287" i="41" s="1"/>
  <c r="D1296" i="41" a="1"/>
  <c r="D1296" i="41" s="1"/>
  <c r="H1296" i="41"/>
  <c r="H1345" i="41"/>
  <c r="D1345" i="41" a="1"/>
  <c r="D1345" i="41" s="1"/>
  <c r="H1386" i="41"/>
  <c r="D1386" i="41" a="1"/>
  <c r="D1386" i="41" s="1"/>
  <c r="H1782" i="41"/>
  <c r="D1782" i="41" a="1"/>
  <c r="D1782" i="41" s="1"/>
  <c r="D1220" i="41" a="1"/>
  <c r="D1220" i="41" s="1"/>
  <c r="H1236" i="41"/>
  <c r="D1236" i="41" a="1"/>
  <c r="D1236" i="41" s="1"/>
  <c r="H1244" i="41"/>
  <c r="D1244" i="41" a="1"/>
  <c r="D1244" i="41" s="1"/>
  <c r="D1261" i="41" a="1"/>
  <c r="D1261" i="41" s="1"/>
  <c r="H1261" i="41"/>
  <c r="H1284" i="41"/>
  <c r="D1284" i="41" a="1"/>
  <c r="D1284" i="41" s="1"/>
  <c r="H1290" i="41"/>
  <c r="D1290" i="41" a="1"/>
  <c r="D1290" i="41" s="1"/>
  <c r="H1348" i="41"/>
  <c r="D1348" i="41" a="1"/>
  <c r="D1348" i="41" s="1"/>
  <c r="H1354" i="41"/>
  <c r="D1354" i="41" a="1"/>
  <c r="D1354" i="41" s="1"/>
  <c r="H1357" i="41"/>
  <c r="D1357" i="41" a="1"/>
  <c r="D1357" i="41" s="1"/>
  <c r="D1462" i="41" a="1"/>
  <c r="D1462" i="41" s="1"/>
  <c r="H1462" i="41"/>
  <c r="H1619" i="41"/>
  <c r="D1619" i="41" a="1"/>
  <c r="D1619" i="41" s="1"/>
  <c r="D1143" i="41" a="1"/>
  <c r="D1143" i="41" s="1"/>
  <c r="D1151" i="41" a="1"/>
  <c r="D1151" i="41" s="1"/>
  <c r="D1159" i="41" a="1"/>
  <c r="D1159" i="41" s="1"/>
  <c r="D1167" i="41" a="1"/>
  <c r="D1167" i="41" s="1"/>
  <c r="D1175" i="41" a="1"/>
  <c r="D1175" i="41" s="1"/>
  <c r="D1183" i="41" a="1"/>
  <c r="D1183" i="41" s="1"/>
  <c r="D1191" i="41" a="1"/>
  <c r="D1191" i="41" s="1"/>
  <c r="D1199" i="41" a="1"/>
  <c r="D1199" i="41" s="1"/>
  <c r="H1214" i="41"/>
  <c r="D1214" i="41" a="1"/>
  <c r="D1214" i="41" s="1"/>
  <c r="D1223" i="41" a="1"/>
  <c r="D1223" i="41" s="1"/>
  <c r="D1225" i="41" a="1"/>
  <c r="D1225" i="41" s="1"/>
  <c r="D1253" i="41" a="1"/>
  <c r="D1253" i="41" s="1"/>
  <c r="H1253" i="41"/>
  <c r="H1278" i="41"/>
  <c r="H1293" i="41"/>
  <c r="D1293" i="41" a="1"/>
  <c r="D1293" i="41" s="1"/>
  <c r="H1361" i="41"/>
  <c r="D1361" i="41" a="1"/>
  <c r="D1361" i="41" s="1"/>
  <c r="H1392" i="41"/>
  <c r="H1062" i="41"/>
  <c r="H1078" i="41"/>
  <c r="H1094" i="41"/>
  <c r="H1110" i="41"/>
  <c r="H1126" i="41"/>
  <c r="H1229" i="41"/>
  <c r="D1237" i="41" a="1"/>
  <c r="D1237" i="41" s="1"/>
  <c r="H1237" i="41"/>
  <c r="D1245" i="41" a="1"/>
  <c r="D1245" i="41" s="1"/>
  <c r="H1245" i="41"/>
  <c r="H1262" i="41"/>
  <c r="D1262" i="41" a="1"/>
  <c r="D1262" i="41" s="1"/>
  <c r="H1297" i="41"/>
  <c r="H1303" i="41"/>
  <c r="D1303" i="41" a="1"/>
  <c r="D1303" i="41" s="1"/>
  <c r="H1364" i="41"/>
  <c r="D1364" i="41" a="1"/>
  <c r="D1364" i="41" s="1"/>
  <c r="H1370" i="41"/>
  <c r="D1370" i="41" a="1"/>
  <c r="D1370" i="41" s="1"/>
  <c r="H1381" i="41"/>
  <c r="D1381" i="41" a="1"/>
  <c r="D1381" i="41" s="1"/>
  <c r="D1410" i="41" a="1"/>
  <c r="D1410" i="41" s="1"/>
  <c r="H1410" i="41"/>
  <c r="D1628" i="41" a="1"/>
  <c r="D1628" i="41" s="1"/>
  <c r="H1628" i="41"/>
  <c r="H1762" i="41"/>
  <c r="D1762" i="41" a="1"/>
  <c r="D1762" i="41" s="1"/>
  <c r="H1312" i="41"/>
  <c r="H1328" i="41"/>
  <c r="H1344" i="41"/>
  <c r="H1360" i="41"/>
  <c r="H1394" i="41"/>
  <c r="H1448" i="41"/>
  <c r="D1474" i="41" a="1"/>
  <c r="D1474" i="41" s="1"/>
  <c r="H1474" i="41"/>
  <c r="D1518" i="41" a="1"/>
  <c r="D1518" i="41" s="1"/>
  <c r="H1518" i="41"/>
  <c r="H1530" i="41"/>
  <c r="D1530" i="41" a="1"/>
  <c r="D1530" i="41" s="1"/>
  <c r="H1541" i="41"/>
  <c r="D1541" i="41" a="1"/>
  <c r="D1541" i="41" s="1"/>
  <c r="H1594" i="41"/>
  <c r="D1594" i="41" a="1"/>
  <c r="D1594" i="41" s="1"/>
  <c r="H1894" i="41"/>
  <c r="D1894" i="41" a="1"/>
  <c r="D1894" i="41" s="1"/>
  <c r="H1416" i="41"/>
  <c r="D1446" i="41" a="1"/>
  <c r="D1446" i="41" s="1"/>
  <c r="H1446" i="41"/>
  <c r="H1637" i="41"/>
  <c r="D1637" i="41" a="1"/>
  <c r="D1637" i="41" s="1"/>
  <c r="H1771" i="41"/>
  <c r="D1771" i="41" a="1"/>
  <c r="D1771" i="41" s="1"/>
  <c r="H1836" i="41"/>
  <c r="D1836" i="41" a="1"/>
  <c r="D1836" i="41" s="1"/>
  <c r="H1270" i="41"/>
  <c r="H1286" i="41"/>
  <c r="H1302" i="41"/>
  <c r="H1318" i="41"/>
  <c r="D1430" i="41" a="1"/>
  <c r="D1430" i="41" s="1"/>
  <c r="H1430" i="41"/>
  <c r="D1438" i="41" a="1"/>
  <c r="D1438" i="41" s="1"/>
  <c r="H1438" i="41"/>
  <c r="D1490" i="41" a="1"/>
  <c r="D1490" i="41" s="1"/>
  <c r="H1490" i="41"/>
  <c r="H1543" i="41"/>
  <c r="D1543" i="41" a="1"/>
  <c r="D1543" i="41" s="1"/>
  <c r="H1555" i="41"/>
  <c r="D1555" i="41" a="1"/>
  <c r="D1555" i="41" s="1"/>
  <c r="D1580" i="41" a="1"/>
  <c r="D1580" i="41" s="1"/>
  <c r="H1580" i="41"/>
  <c r="H1661" i="41"/>
  <c r="D1661" i="41" a="1"/>
  <c r="D1661" i="41" s="1"/>
  <c r="D1414" i="41" a="1"/>
  <c r="D1414" i="41" s="1"/>
  <c r="H1414" i="41"/>
  <c r="D1422" i="41" a="1"/>
  <c r="D1422" i="41" s="1"/>
  <c r="H1422" i="41"/>
  <c r="H1455" i="41"/>
  <c r="D1455" i="41" a="1"/>
  <c r="D1455" i="41" s="1"/>
  <c r="D1458" i="41" a="1"/>
  <c r="D1458" i="41" s="1"/>
  <c r="H1458" i="41"/>
  <c r="H1487" i="41"/>
  <c r="D1487" i="41" a="1"/>
  <c r="D1487" i="41" s="1"/>
  <c r="H1493" i="41"/>
  <c r="D1493" i="41" a="1"/>
  <c r="D1493" i="41" s="1"/>
  <c r="D1556" i="41" a="1"/>
  <c r="D1556" i="41" s="1"/>
  <c r="H1556" i="41"/>
  <c r="H1589" i="41"/>
  <c r="D1589" i="41" a="1"/>
  <c r="D1589" i="41" s="1"/>
  <c r="H1603" i="41"/>
  <c r="D1603" i="41" a="1"/>
  <c r="D1603" i="41" s="1"/>
  <c r="H1610" i="41"/>
  <c r="D1610" i="41" a="1"/>
  <c r="D1610" i="41" s="1"/>
  <c r="H1730" i="41"/>
  <c r="D1730" i="41" a="1"/>
  <c r="D1730" i="41" s="1"/>
  <c r="D1319" i="41" a="1"/>
  <c r="D1319" i="41" s="1"/>
  <c r="D1335" i="41" a="1"/>
  <c r="D1335" i="41" s="1"/>
  <c r="D1351" i="41" a="1"/>
  <c r="D1351" i="41" s="1"/>
  <c r="D1367" i="41" a="1"/>
  <c r="D1367" i="41" s="1"/>
  <c r="D1398" i="41" a="1"/>
  <c r="D1398" i="41" s="1"/>
  <c r="H1398" i="41"/>
  <c r="H1401" i="41"/>
  <c r="D1406" i="41" a="1"/>
  <c r="D1406" i="41" s="1"/>
  <c r="H1406" i="41"/>
  <c r="H1439" i="41"/>
  <c r="D1439" i="41" a="1"/>
  <c r="D1439" i="41" s="1"/>
  <c r="D1442" i="41" a="1"/>
  <c r="D1442" i="41" s="1"/>
  <c r="H1442" i="41"/>
  <c r="D1447" i="41" a="1"/>
  <c r="D1447" i="41" s="1"/>
  <c r="H1464" i="41"/>
  <c r="D1464" i="41" a="1"/>
  <c r="D1464" i="41" s="1"/>
  <c r="D1478" i="41" a="1"/>
  <c r="D1478" i="41" s="1"/>
  <c r="H1478" i="41"/>
  <c r="H1516" i="41"/>
  <c r="D1516" i="41" a="1"/>
  <c r="D1516" i="41" s="1"/>
  <c r="H1564" i="41"/>
  <c r="H1573" i="41"/>
  <c r="D1573" i="41" a="1"/>
  <c r="D1573" i="41" s="1"/>
  <c r="H1804" i="41"/>
  <c r="D1804" i="41" a="1"/>
  <c r="D1804" i="41" s="1"/>
  <c r="H1919" i="41"/>
  <c r="D1919" i="41" a="1"/>
  <c r="D1919" i="41" s="1"/>
  <c r="H1423" i="41"/>
  <c r="D1423" i="41" a="1"/>
  <c r="D1423" i="41" s="1"/>
  <c r="D1426" i="41" a="1"/>
  <c r="D1426" i="41" s="1"/>
  <c r="H1426" i="41"/>
  <c r="H1514" i="41"/>
  <c r="D1514" i="41" a="1"/>
  <c r="D1514" i="41" s="1"/>
  <c r="D1732" i="41" a="1"/>
  <c r="D1732" i="41" s="1"/>
  <c r="H1732" i="41"/>
  <c r="H1517" i="41"/>
  <c r="H1579" i="41"/>
  <c r="D1579" i="41" a="1"/>
  <c r="D1579" i="41" s="1"/>
  <c r="H1613" i="41"/>
  <c r="D1613" i="41" a="1"/>
  <c r="D1613" i="41" s="1"/>
  <c r="H1643" i="41"/>
  <c r="D1643" i="41" a="1"/>
  <c r="D1643" i="41" s="1"/>
  <c r="H1669" i="41"/>
  <c r="D1669" i="41" a="1"/>
  <c r="D1669" i="41" s="1"/>
  <c r="H1683" i="41"/>
  <c r="D1683" i="41" a="1"/>
  <c r="D1683" i="41" s="1"/>
  <c r="H1701" i="41"/>
  <c r="D1701" i="41" a="1"/>
  <c r="D1701" i="41" s="1"/>
  <c r="H1715" i="41"/>
  <c r="D1715" i="41" a="1"/>
  <c r="D1715" i="41" s="1"/>
  <c r="H1746" i="41"/>
  <c r="D1746" i="41" a="1"/>
  <c r="D1746" i="41" s="1"/>
  <c r="D1916" i="41" a="1"/>
  <c r="D1916" i="41" s="1"/>
  <c r="H1916" i="41"/>
  <c r="H1510" i="41"/>
  <c r="H1565" i="41"/>
  <c r="D1565" i="41" a="1"/>
  <c r="D1565" i="41" s="1"/>
  <c r="H1595" i="41"/>
  <c r="D1595" i="41" a="1"/>
  <c r="D1595" i="41" s="1"/>
  <c r="H1604" i="41"/>
  <c r="H1629" i="41"/>
  <c r="D1629" i="41" a="1"/>
  <c r="D1629" i="41" s="1"/>
  <c r="H1653" i="41"/>
  <c r="D1653" i="41" a="1"/>
  <c r="D1653" i="41" s="1"/>
  <c r="H1675" i="41"/>
  <c r="D1675" i="41" a="1"/>
  <c r="D1675" i="41" s="1"/>
  <c r="H1693" i="41"/>
  <c r="D1693" i="41" a="1"/>
  <c r="D1693" i="41" s="1"/>
  <c r="H1707" i="41"/>
  <c r="D1707" i="41" a="1"/>
  <c r="D1707" i="41" s="1"/>
  <c r="H1795" i="41"/>
  <c r="D1795" i="41" a="1"/>
  <c r="D1795" i="41" s="1"/>
  <c r="H2125" i="41"/>
  <c r="D2125" i="41" a="1"/>
  <c r="D2125" i="41" s="1"/>
  <c r="D1484" i="41" a="1"/>
  <c r="D1484" i="41" s="1"/>
  <c r="D1501" i="41" a="1"/>
  <c r="D1501" i="41" s="1"/>
  <c r="D1503" i="41" a="1"/>
  <c r="D1503" i="41" s="1"/>
  <c r="D1524" i="41" a="1"/>
  <c r="D1524" i="41" s="1"/>
  <c r="D1538" i="41" a="1"/>
  <c r="D1538" i="41" s="1"/>
  <c r="H1559" i="41"/>
  <c r="D1559" i="41" a="1"/>
  <c r="D1559" i="41" s="1"/>
  <c r="H1571" i="41"/>
  <c r="D1571" i="41" a="1"/>
  <c r="D1571" i="41" s="1"/>
  <c r="D1586" i="41" a="1"/>
  <c r="D1586" i="41" s="1"/>
  <c r="H1605" i="41"/>
  <c r="D1605" i="41" a="1"/>
  <c r="D1605" i="41" s="1"/>
  <c r="H1635" i="41"/>
  <c r="D1635" i="41" a="1"/>
  <c r="D1635" i="41" s="1"/>
  <c r="H1728" i="41"/>
  <c r="D1728" i="41" a="1"/>
  <c r="D1728" i="41" s="1"/>
  <c r="D1776" i="41" a="1"/>
  <c r="D1776" i="41" s="1"/>
  <c r="H1776" i="41"/>
  <c r="H1796" i="41"/>
  <c r="D1796" i="41" a="1"/>
  <c r="D1796" i="41" s="1"/>
  <c r="H1828" i="41"/>
  <c r="D1828" i="41" a="1"/>
  <c r="D1828" i="41" s="1"/>
  <c r="H1581" i="41"/>
  <c r="D1581" i="41" a="1"/>
  <c r="D1581" i="41" s="1"/>
  <c r="H1611" i="41"/>
  <c r="D1611" i="41" a="1"/>
  <c r="D1611" i="41" s="1"/>
  <c r="H1645" i="41"/>
  <c r="D1645" i="41" a="1"/>
  <c r="D1645" i="41" s="1"/>
  <c r="H1667" i="41"/>
  <c r="D1667" i="41" a="1"/>
  <c r="D1667" i="41" s="1"/>
  <c r="H1685" i="41"/>
  <c r="D1685" i="41" a="1"/>
  <c r="D1685" i="41" s="1"/>
  <c r="H1699" i="41"/>
  <c r="D1699" i="41" a="1"/>
  <c r="D1699" i="41" s="1"/>
  <c r="H1717" i="41"/>
  <c r="D1717" i="41" a="1"/>
  <c r="D1717" i="41" s="1"/>
  <c r="H1744" i="41"/>
  <c r="D1744" i="41" a="1"/>
  <c r="D1744" i="41" s="1"/>
  <c r="H2069" i="41"/>
  <c r="D2069" i="41" a="1"/>
  <c r="D2069" i="41" s="1"/>
  <c r="D2078" i="41" a="1"/>
  <c r="D2078" i="41" s="1"/>
  <c r="D2114" i="41" a="1"/>
  <c r="D2114" i="41" s="1"/>
  <c r="H2114" i="41"/>
  <c r="D1513" i="41" a="1"/>
  <c r="D1513" i="41" s="1"/>
  <c r="D1519" i="41" a="1"/>
  <c r="D1519" i="41" s="1"/>
  <c r="D1540" i="41" a="1"/>
  <c r="D1540" i="41" s="1"/>
  <c r="D1554" i="41" a="1"/>
  <c r="D1554" i="41" s="1"/>
  <c r="D1557" i="41" a="1"/>
  <c r="D1557" i="41" s="1"/>
  <c r="H1587" i="41"/>
  <c r="D1587" i="41" a="1"/>
  <c r="D1587" i="41" s="1"/>
  <c r="D1602" i="41" a="1"/>
  <c r="D1602" i="41" s="1"/>
  <c r="H1621" i="41"/>
  <c r="D1621" i="41" a="1"/>
  <c r="D1621" i="41" s="1"/>
  <c r="H1659" i="41"/>
  <c r="D1659" i="41" a="1"/>
  <c r="D1659" i="41" s="1"/>
  <c r="D1723" i="41" a="1"/>
  <c r="D1723" i="41" s="1"/>
  <c r="H1760" i="41"/>
  <c r="D1760" i="41" a="1"/>
  <c r="D1760" i="41" s="1"/>
  <c r="H1764" i="41"/>
  <c r="H1988" i="41"/>
  <c r="D1988" i="41" a="1"/>
  <c r="D1988" i="41" s="1"/>
  <c r="H1991" i="41"/>
  <c r="D1991" i="41" a="1"/>
  <c r="D1991" i="41" s="1"/>
  <c r="H2004" i="41"/>
  <c r="D2004" i="41" a="1"/>
  <c r="D2004" i="41" s="1"/>
  <c r="D2007" i="41" a="1"/>
  <c r="D2007" i="41" s="1"/>
  <c r="H1454" i="41"/>
  <c r="H1470" i="41"/>
  <c r="H1486" i="41"/>
  <c r="D1527" i="41" a="1"/>
  <c r="D1527" i="41" s="1"/>
  <c r="H1542" i="41"/>
  <c r="D1548" i="41" a="1"/>
  <c r="D1548" i="41" s="1"/>
  <c r="H1563" i="41"/>
  <c r="D1563" i="41" a="1"/>
  <c r="D1563" i="41" s="1"/>
  <c r="H1572" i="41"/>
  <c r="D1578" i="41" a="1"/>
  <c r="D1578" i="41" s="1"/>
  <c r="H1597" i="41"/>
  <c r="D1597" i="41" a="1"/>
  <c r="D1597" i="41" s="1"/>
  <c r="H1627" i="41"/>
  <c r="D1627" i="41" a="1"/>
  <c r="D1627" i="41" s="1"/>
  <c r="H1636" i="41"/>
  <c r="D1642" i="41" a="1"/>
  <c r="D1642" i="41" s="1"/>
  <c r="H1651" i="41"/>
  <c r="D1651" i="41" a="1"/>
  <c r="D1651" i="41" s="1"/>
  <c r="H1677" i="41"/>
  <c r="D1677" i="41" a="1"/>
  <c r="D1677" i="41" s="1"/>
  <c r="H1691" i="41"/>
  <c r="D1691" i="41" a="1"/>
  <c r="D1691" i="41" s="1"/>
  <c r="H1709" i="41"/>
  <c r="D1709" i="41" a="1"/>
  <c r="D1709" i="41" s="1"/>
  <c r="D1739" i="41" a="1"/>
  <c r="D1739" i="41" s="1"/>
  <c r="H1787" i="41"/>
  <c r="D1787" i="41" a="1"/>
  <c r="D1787" i="41" s="1"/>
  <c r="D1924" i="41" a="1"/>
  <c r="D1924" i="41" s="1"/>
  <c r="H1924" i="41"/>
  <c r="H1948" i="41"/>
  <c r="D1948" i="41" a="1"/>
  <c r="D1948" i="41" s="1"/>
  <c r="H1779" i="41"/>
  <c r="D1779" i="41" a="1"/>
  <c r="D1779" i="41" s="1"/>
  <c r="H1891" i="41"/>
  <c r="H1956" i="41"/>
  <c r="D1956" i="41" a="1"/>
  <c r="D1956" i="41" s="1"/>
  <c r="D1959" i="41" a="1"/>
  <c r="D1959" i="41" s="1"/>
  <c r="H2031" i="41"/>
  <c r="D2031" i="41" a="1"/>
  <c r="D2031" i="41" s="1"/>
  <c r="D2240" i="41" a="1"/>
  <c r="D2240" i="41" s="1"/>
  <c r="H2240" i="41"/>
  <c r="D2246" i="41" a="1"/>
  <c r="D2246" i="41" s="1"/>
  <c r="H2246" i="41"/>
  <c r="D1567" i="41" a="1"/>
  <c r="D1567" i="41" s="1"/>
  <c r="D1575" i="41" a="1"/>
  <c r="D1575" i="41" s="1"/>
  <c r="D1583" i="41" a="1"/>
  <c r="D1583" i="41" s="1"/>
  <c r="D1591" i="41" a="1"/>
  <c r="D1591" i="41" s="1"/>
  <c r="D1599" i="41" a="1"/>
  <c r="D1599" i="41" s="1"/>
  <c r="D1607" i="41" a="1"/>
  <c r="D1607" i="41" s="1"/>
  <c r="D1615" i="41" a="1"/>
  <c r="D1615" i="41" s="1"/>
  <c r="D1623" i="41" a="1"/>
  <c r="D1623" i="41" s="1"/>
  <c r="D1631" i="41" a="1"/>
  <c r="D1631" i="41" s="1"/>
  <c r="D1639" i="41" a="1"/>
  <c r="D1639" i="41" s="1"/>
  <c r="D1647" i="41" a="1"/>
  <c r="D1647" i="41" s="1"/>
  <c r="D1788" i="41" a="1"/>
  <c r="D1788" i="41" s="1"/>
  <c r="H1820" i="41"/>
  <c r="D1820" i="41" a="1"/>
  <c r="D1820" i="41" s="1"/>
  <c r="H1852" i="41"/>
  <c r="D1852" i="41" a="1"/>
  <c r="D1852" i="41" s="1"/>
  <c r="D1892" i="41" a="1"/>
  <c r="D1892" i="41" s="1"/>
  <c r="H1892" i="41"/>
  <c r="D1896" i="41" a="1"/>
  <c r="D1896" i="41" s="1"/>
  <c r="H1896" i="41"/>
  <c r="H1911" i="41"/>
  <c r="H2028" i="41"/>
  <c r="D2028" i="41" a="1"/>
  <c r="D2028" i="41" s="1"/>
  <c r="D1731" i="41" a="1"/>
  <c r="D1731" i="41" s="1"/>
  <c r="D1747" i="41" a="1"/>
  <c r="D1747" i="41" s="1"/>
  <c r="D1763" i="41" a="1"/>
  <c r="D1763" i="41" s="1"/>
  <c r="D1780" i="41" a="1"/>
  <c r="D1780" i="41" s="1"/>
  <c r="H1883" i="41"/>
  <c r="D1883" i="41" a="1"/>
  <c r="D1883" i="41" s="1"/>
  <c r="H1902" i="41"/>
  <c r="D1902" i="41" a="1"/>
  <c r="D1902" i="41" s="1"/>
  <c r="H2226" i="41"/>
  <c r="D2226" i="41" a="1"/>
  <c r="D2226" i="41" s="1"/>
  <c r="H1722" i="41"/>
  <c r="D1722" i="41" a="1"/>
  <c r="D1722" i="41" s="1"/>
  <c r="H1738" i="41"/>
  <c r="D1738" i="41" a="1"/>
  <c r="D1738" i="41" s="1"/>
  <c r="H1754" i="41"/>
  <c r="D1754" i="41" a="1"/>
  <c r="D1754" i="41" s="1"/>
  <c r="H1770" i="41"/>
  <c r="D1770" i="41" a="1"/>
  <c r="D1770" i="41" s="1"/>
  <c r="H1775" i="41"/>
  <c r="D1775" i="41" a="1"/>
  <c r="D1775" i="41" s="1"/>
  <c r="H1812" i="41"/>
  <c r="D1812" i="41" a="1"/>
  <c r="D1812" i="41" s="1"/>
  <c r="H1844" i="41"/>
  <c r="D1844" i="41" a="1"/>
  <c r="D1844" i="41" s="1"/>
  <c r="D1872" i="41" a="1"/>
  <c r="D1872" i="41" s="1"/>
  <c r="H1872" i="41"/>
  <c r="H1983" i="41"/>
  <c r="D1983" i="41" a="1"/>
  <c r="D1983" i="41" s="1"/>
  <c r="H2096" i="41"/>
  <c r="D2096" i="41" a="1"/>
  <c r="D2096" i="41" s="1"/>
  <c r="H2156" i="41"/>
  <c r="D2156" i="41" a="1"/>
  <c r="D2156" i="41" s="1"/>
  <c r="H1903" i="41"/>
  <c r="D1903" i="41" a="1"/>
  <c r="D1903" i="41" s="1"/>
  <c r="H1951" i="41"/>
  <c r="D1951" i="41" a="1"/>
  <c r="D1951" i="41" s="1"/>
  <c r="H1980" i="41"/>
  <c r="D1980" i="41" a="1"/>
  <c r="D1980" i="41" s="1"/>
  <c r="H2139" i="41"/>
  <c r="D2139" i="41" a="1"/>
  <c r="D2139" i="41" s="1"/>
  <c r="H1884" i="41"/>
  <c r="H1895" i="41"/>
  <c r="H1904" i="41"/>
  <c r="H1936" i="41"/>
  <c r="H1964" i="41"/>
  <c r="D1964" i="41" a="1"/>
  <c r="D1964" i="41" s="1"/>
  <c r="H2036" i="41"/>
  <c r="D2036" i="41" a="1"/>
  <c r="D2036" i="41" s="1"/>
  <c r="H2123" i="41"/>
  <c r="D2123" i="41" a="1"/>
  <c r="D2123" i="41" s="1"/>
  <c r="D2296" i="41" a="1"/>
  <c r="D2296" i="41" s="1"/>
  <c r="H2296" i="41"/>
  <c r="H1940" i="41"/>
  <c r="D1940" i="41" a="1"/>
  <c r="D1940" i="41" s="1"/>
  <c r="H2112" i="41"/>
  <c r="D2112" i="41" a="1"/>
  <c r="D2112" i="41" s="1"/>
  <c r="H2178" i="41"/>
  <c r="D2178" i="41" a="1"/>
  <c r="D2178" i="41" s="1"/>
  <c r="H2345" i="41"/>
  <c r="D2345" i="41" a="1"/>
  <c r="D2345" i="41" s="1"/>
  <c r="D1927" i="41" a="1"/>
  <c r="D1927" i="41" s="1"/>
  <c r="H1932" i="41"/>
  <c r="D1943" i="41" a="1"/>
  <c r="D1943" i="41" s="1"/>
  <c r="H1996" i="41"/>
  <c r="D1996" i="41" a="1"/>
  <c r="D1996" i="41" s="1"/>
  <c r="H2020" i="41"/>
  <c r="D2020" i="41" a="1"/>
  <c r="D2020" i="41" s="1"/>
  <c r="H2052" i="41"/>
  <c r="D2052" i="41" a="1"/>
  <c r="D2052" i="41" s="1"/>
  <c r="H2165" i="41"/>
  <c r="D2165" i="41" a="1"/>
  <c r="D2165" i="41" s="1"/>
  <c r="H2214" i="41"/>
  <c r="D1803" i="41" a="1"/>
  <c r="D1803" i="41" s="1"/>
  <c r="D1811" i="41" a="1"/>
  <c r="D1811" i="41" s="1"/>
  <c r="D1819" i="41" a="1"/>
  <c r="D1819" i="41" s="1"/>
  <c r="D1827" i="41" a="1"/>
  <c r="D1827" i="41" s="1"/>
  <c r="D1835" i="41" a="1"/>
  <c r="D1835" i="41" s="1"/>
  <c r="D1843" i="41" a="1"/>
  <c r="D1843" i="41" s="1"/>
  <c r="D1851" i="41" a="1"/>
  <c r="D1851" i="41" s="1"/>
  <c r="D1899" i="41" a="1"/>
  <c r="D1899" i="41" s="1"/>
  <c r="H1972" i="41"/>
  <c r="D1972" i="41" a="1"/>
  <c r="D1972" i="41" s="1"/>
  <c r="H2146" i="41"/>
  <c r="D2146" i="41" a="1"/>
  <c r="D2146" i="41" s="1"/>
  <c r="D2312" i="41" a="1"/>
  <c r="D2312" i="41" s="1"/>
  <c r="H2312" i="41"/>
  <c r="D2322" i="41" a="1"/>
  <c r="D2322" i="41" s="1"/>
  <c r="H2322" i="41"/>
  <c r="D1886" i="41" a="1"/>
  <c r="D1886" i="41" s="1"/>
  <c r="H1888" i="41"/>
  <c r="H2012" i="41"/>
  <c r="D2012" i="41" a="1"/>
  <c r="D2012" i="41" s="1"/>
  <c r="H2044" i="41"/>
  <c r="D2044" i="41" a="1"/>
  <c r="D2044" i="41" s="1"/>
  <c r="D2098" i="41" a="1"/>
  <c r="D2098" i="41" s="1"/>
  <c r="H2098" i="41"/>
  <c r="D2102" i="41" a="1"/>
  <c r="D2102" i="41" s="1"/>
  <c r="H2159" i="41"/>
  <c r="D2159" i="41" a="1"/>
  <c r="D2159" i="41" s="1"/>
  <c r="H2147" i="41"/>
  <c r="D2147" i="41" a="1"/>
  <c r="D2147" i="41" s="1"/>
  <c r="D2192" i="41" a="1"/>
  <c r="D2192" i="41" s="1"/>
  <c r="H2192" i="41"/>
  <c r="H2274" i="41"/>
  <c r="D2274" i="41" a="1"/>
  <c r="D2274" i="41" s="1"/>
  <c r="H2297" i="41"/>
  <c r="D2297" i="41" a="1"/>
  <c r="D2297" i="41" s="1"/>
  <c r="D2338" i="41" a="1"/>
  <c r="D2338" i="41" s="1"/>
  <c r="H2338" i="41"/>
  <c r="D1969" i="41" a="1"/>
  <c r="D1969" i="41" s="1"/>
  <c r="D1977" i="41" a="1"/>
  <c r="D1977" i="41" s="1"/>
  <c r="D1985" i="41" a="1"/>
  <c r="D1985" i="41" s="1"/>
  <c r="D1993" i="41" a="1"/>
  <c r="D1993" i="41" s="1"/>
  <c r="D2001" i="41" a="1"/>
  <c r="D2001" i="41" s="1"/>
  <c r="D2009" i="41" a="1"/>
  <c r="D2009" i="41" s="1"/>
  <c r="D2017" i="41" a="1"/>
  <c r="D2017" i="41" s="1"/>
  <c r="D2025" i="41" a="1"/>
  <c r="D2025" i="41" s="1"/>
  <c r="D2033" i="41" a="1"/>
  <c r="D2033" i="41" s="1"/>
  <c r="D2041" i="41" a="1"/>
  <c r="D2041" i="41" s="1"/>
  <c r="D2049" i="41" a="1"/>
  <c r="D2049" i="41" s="1"/>
  <c r="D2057" i="41" a="1"/>
  <c r="D2057" i="41" s="1"/>
  <c r="D2073" i="41" a="1"/>
  <c r="D2073" i="41" s="1"/>
  <c r="D2089" i="41" a="1"/>
  <c r="D2089" i="41" s="1"/>
  <c r="D2104" i="41" a="1"/>
  <c r="D2104" i="41" s="1"/>
  <c r="H2106" i="41"/>
  <c r="H2130" i="41"/>
  <c r="D2149" i="41" a="1"/>
  <c r="D2149" i="41" s="1"/>
  <c r="H2160" i="41"/>
  <c r="D2160" i="41" a="1"/>
  <c r="D2160" i="41" s="1"/>
  <c r="H2210" i="41"/>
  <c r="D2210" i="41" a="1"/>
  <c r="D2210" i="41" s="1"/>
  <c r="D2256" i="41" a="1"/>
  <c r="D2256" i="41" s="1"/>
  <c r="H2256" i="41"/>
  <c r="H2281" i="41"/>
  <c r="D2281" i="41" a="1"/>
  <c r="D2281" i="41" s="1"/>
  <c r="H2358" i="41"/>
  <c r="D1918" i="41" a="1"/>
  <c r="D1918" i="41" s="1"/>
  <c r="D2115" i="41" a="1"/>
  <c r="D2115" i="41" s="1"/>
  <c r="H2131" i="41"/>
  <c r="D2131" i="41" a="1"/>
  <c r="D2131" i="41" s="1"/>
  <c r="H2152" i="41"/>
  <c r="D2152" i="41" a="1"/>
  <c r="D2152" i="41" s="1"/>
  <c r="D2224" i="41" a="1"/>
  <c r="D2224" i="41" s="1"/>
  <c r="H2224" i="41"/>
  <c r="H2242" i="41"/>
  <c r="D2242" i="41" a="1"/>
  <c r="D2242" i="41" s="1"/>
  <c r="H2167" i="41"/>
  <c r="D2167" i="41" a="1"/>
  <c r="D2167" i="41" s="1"/>
  <c r="D2176" i="41" a="1"/>
  <c r="D2176" i="41" s="1"/>
  <c r="H2176" i="41"/>
  <c r="H2066" i="41"/>
  <c r="H2082" i="41"/>
  <c r="D2101" i="41" a="1"/>
  <c r="D2101" i="41" s="1"/>
  <c r="D2109" i="41" a="1"/>
  <c r="D2109" i="41" s="1"/>
  <c r="H2194" i="41"/>
  <c r="D2194" i="41" a="1"/>
  <c r="D2194" i="41" s="1"/>
  <c r="H2230" i="41"/>
  <c r="D2272" i="41" a="1"/>
  <c r="D2272" i="41" s="1"/>
  <c r="H2272" i="41"/>
  <c r="D2294" i="41" a="1"/>
  <c r="D2294" i="41" s="1"/>
  <c r="H2294" i="41"/>
  <c r="H2342" i="41"/>
  <c r="H2426" i="41"/>
  <c r="D2426" i="41" a="1"/>
  <c r="D2426" i="41" s="1"/>
  <c r="H2122" i="41"/>
  <c r="H2138" i="41"/>
  <c r="H2162" i="41"/>
  <c r="D2162" i="41" a="1"/>
  <c r="D2162" i="41" s="1"/>
  <c r="H2182" i="41"/>
  <c r="D2208" i="41" a="1"/>
  <c r="D2208" i="41" s="1"/>
  <c r="H2208" i="41"/>
  <c r="H2258" i="41"/>
  <c r="D2258" i="41" a="1"/>
  <c r="D2258" i="41" s="1"/>
  <c r="H2378" i="41"/>
  <c r="D2378" i="41" a="1"/>
  <c r="D2378" i="41" s="1"/>
  <c r="D2304" i="41" a="1"/>
  <c r="D2304" i="41" s="1"/>
  <c r="H2304" i="41"/>
  <c r="H2314" i="41"/>
  <c r="H2334" i="41"/>
  <c r="H2402" i="41"/>
  <c r="D2402" i="41" a="1"/>
  <c r="D2402" i="41" s="1"/>
  <c r="D2456" i="41" a="1"/>
  <c r="D2456" i="41" s="1"/>
  <c r="H2456" i="41"/>
  <c r="H2183" i="41"/>
  <c r="D2183" i="41" a="1"/>
  <c r="D2183" i="41" s="1"/>
  <c r="H2199" i="41"/>
  <c r="D2199" i="41" a="1"/>
  <c r="D2199" i="41" s="1"/>
  <c r="H2215" i="41"/>
  <c r="D2215" i="41" a="1"/>
  <c r="D2215" i="41" s="1"/>
  <c r="H2231" i="41"/>
  <c r="D2231" i="41" a="1"/>
  <c r="D2231" i="41" s="1"/>
  <c r="H2247" i="41"/>
  <c r="D2247" i="41" a="1"/>
  <c r="D2247" i="41" s="1"/>
  <c r="H2263" i="41"/>
  <c r="D2263" i="41" a="1"/>
  <c r="D2263" i="41" s="1"/>
  <c r="D2320" i="41" a="1"/>
  <c r="D2320" i="41" s="1"/>
  <c r="H2320" i="41"/>
  <c r="H2386" i="41"/>
  <c r="D2386" i="41" a="1"/>
  <c r="D2386" i="41" s="1"/>
  <c r="H2433" i="41"/>
  <c r="D2433" i="41" a="1"/>
  <c r="D2433" i="41" s="1"/>
  <c r="H2458" i="41"/>
  <c r="D2458" i="41" a="1"/>
  <c r="D2458" i="41" s="1"/>
  <c r="D2472" i="41" a="1"/>
  <c r="D2472" i="41" s="1"/>
  <c r="H2472" i="41"/>
  <c r="D2503" i="41" a="1"/>
  <c r="D2503" i="41" s="1"/>
  <c r="H2503" i="41"/>
  <c r="D2507" i="41" a="1"/>
  <c r="D2507" i="41" s="1"/>
  <c r="H2507" i="41"/>
  <c r="D2168" i="41" a="1"/>
  <c r="D2168" i="41" s="1"/>
  <c r="D2170" i="41" a="1"/>
  <c r="D2170" i="41" s="1"/>
  <c r="D2305" i="41" a="1"/>
  <c r="D2305" i="41" s="1"/>
  <c r="D2328" i="41" a="1"/>
  <c r="D2328" i="41" s="1"/>
  <c r="H2328" i="41"/>
  <c r="H2354" i="41"/>
  <c r="H2410" i="41"/>
  <c r="D2410" i="41" a="1"/>
  <c r="D2410" i="41" s="1"/>
  <c r="D2440" i="41" a="1"/>
  <c r="D2440" i="41" s="1"/>
  <c r="H2440" i="41"/>
  <c r="H2465" i="41"/>
  <c r="D2465" i="41" a="1"/>
  <c r="D2465" i="41" s="1"/>
  <c r="H2282" i="41"/>
  <c r="H2302" i="41"/>
  <c r="D2313" i="41" a="1"/>
  <c r="D2313" i="41" s="1"/>
  <c r="D2336" i="41" a="1"/>
  <c r="D2336" i="41" s="1"/>
  <c r="H2336" i="41"/>
  <c r="H2346" i="41"/>
  <c r="H2370" i="41"/>
  <c r="D2370" i="41" a="1"/>
  <c r="D2370" i="41" s="1"/>
  <c r="D2184" i="41" a="1"/>
  <c r="D2184" i="41" s="1"/>
  <c r="H2184" i="41"/>
  <c r="D2200" i="41" a="1"/>
  <c r="D2200" i="41" s="1"/>
  <c r="H2200" i="41"/>
  <c r="D2216" i="41" a="1"/>
  <c r="D2216" i="41" s="1"/>
  <c r="H2216" i="41"/>
  <c r="D2232" i="41" a="1"/>
  <c r="D2232" i="41" s="1"/>
  <c r="H2232" i="41"/>
  <c r="D2248" i="41" a="1"/>
  <c r="D2248" i="41" s="1"/>
  <c r="H2248" i="41"/>
  <c r="D2264" i="41" a="1"/>
  <c r="D2264" i="41" s="1"/>
  <c r="H2264" i="41"/>
  <c r="D2280" i="41" a="1"/>
  <c r="D2280" i="41" s="1"/>
  <c r="H2280" i="41"/>
  <c r="D2344" i="41" a="1"/>
  <c r="D2344" i="41" s="1"/>
  <c r="H2344" i="41"/>
  <c r="D2352" i="41" a="1"/>
  <c r="D2352" i="41" s="1"/>
  <c r="H2352" i="41"/>
  <c r="H2394" i="41"/>
  <c r="D2394" i="41" a="1"/>
  <c r="D2394" i="41" s="1"/>
  <c r="H2442" i="41"/>
  <c r="D2442" i="41" a="1"/>
  <c r="D2442" i="41" s="1"/>
  <c r="D2494" i="41" a="1"/>
  <c r="D2494" i="41" s="1"/>
  <c r="H2494" i="41"/>
  <c r="H2175" i="41"/>
  <c r="D2175" i="41" a="1"/>
  <c r="D2175" i="41" s="1"/>
  <c r="H2191" i="41"/>
  <c r="D2191" i="41" a="1"/>
  <c r="D2191" i="41" s="1"/>
  <c r="H2207" i="41"/>
  <c r="D2207" i="41" a="1"/>
  <c r="D2207" i="41" s="1"/>
  <c r="H2223" i="41"/>
  <c r="D2223" i="41" a="1"/>
  <c r="D2223" i="41" s="1"/>
  <c r="H2239" i="41"/>
  <c r="D2239" i="41" a="1"/>
  <c r="D2239" i="41" s="1"/>
  <c r="H2255" i="41"/>
  <c r="D2255" i="41" a="1"/>
  <c r="D2255" i="41" s="1"/>
  <c r="H2271" i="41"/>
  <c r="D2271" i="41" a="1"/>
  <c r="D2271" i="41" s="1"/>
  <c r="D2288" i="41" a="1"/>
  <c r="D2288" i="41" s="1"/>
  <c r="H2288" i="41"/>
  <c r="H2418" i="41"/>
  <c r="D2418" i="41" a="1"/>
  <c r="D2418" i="41" s="1"/>
  <c r="H2449" i="41"/>
  <c r="D2449" i="41" a="1"/>
  <c r="D2449" i="41" s="1"/>
  <c r="H2474" i="41"/>
  <c r="D2474" i="41" a="1"/>
  <c r="D2474" i="41" s="1"/>
  <c r="H2533" i="41"/>
  <c r="D2533" i="41" a="1"/>
  <c r="D2533" i="41" s="1"/>
  <c r="H2544" i="41"/>
  <c r="D2544" i="41" a="1"/>
  <c r="D2544" i="41" s="1"/>
  <c r="H2487" i="41"/>
  <c r="H2509" i="41"/>
  <c r="H2530" i="41"/>
  <c r="D2530" i="41" a="1"/>
  <c r="D2530" i="41" s="1"/>
  <c r="H2653" i="41"/>
  <c r="D2653" i="41" a="1"/>
  <c r="D2653" i="41" s="1"/>
  <c r="H2669" i="41"/>
  <c r="D2669" i="41" a="1"/>
  <c r="D2669" i="41" s="1"/>
  <c r="D2279" i="41" a="1"/>
  <c r="D2279" i="41" s="1"/>
  <c r="D2287" i="41" a="1"/>
  <c r="D2287" i="41" s="1"/>
  <c r="D2295" i="41" a="1"/>
  <c r="D2295" i="41" s="1"/>
  <c r="D2303" i="41" a="1"/>
  <c r="D2303" i="41" s="1"/>
  <c r="D2311" i="41" a="1"/>
  <c r="D2311" i="41" s="1"/>
  <c r="D2319" i="41" a="1"/>
  <c r="D2319" i="41" s="1"/>
  <c r="D2327" i="41" a="1"/>
  <c r="D2327" i="41" s="1"/>
  <c r="D2335" i="41" a="1"/>
  <c r="D2335" i="41" s="1"/>
  <c r="D2343" i="41" a="1"/>
  <c r="D2343" i="41" s="1"/>
  <c r="D2351" i="41" a="1"/>
  <c r="D2351" i="41" s="1"/>
  <c r="D2359" i="41" a="1"/>
  <c r="D2359" i="41" s="1"/>
  <c r="H2360" i="41"/>
  <c r="D2367" i="41" a="1"/>
  <c r="D2367" i="41" s="1"/>
  <c r="H2368" i="41"/>
  <c r="D2375" i="41" a="1"/>
  <c r="D2375" i="41" s="1"/>
  <c r="H2376" i="41"/>
  <c r="D2383" i="41" a="1"/>
  <c r="D2383" i="41" s="1"/>
  <c r="H2384" i="41"/>
  <c r="D2391" i="41" a="1"/>
  <c r="D2391" i="41" s="1"/>
  <c r="H2392" i="41"/>
  <c r="D2399" i="41" a="1"/>
  <c r="D2399" i="41" s="1"/>
  <c r="H2400" i="41"/>
  <c r="D2407" i="41" a="1"/>
  <c r="D2407" i="41" s="1"/>
  <c r="H2408" i="41"/>
  <c r="D2415" i="41" a="1"/>
  <c r="D2415" i="41" s="1"/>
  <c r="H2416" i="41"/>
  <c r="D2423" i="41" a="1"/>
  <c r="D2423" i="41" s="1"/>
  <c r="H2424" i="41"/>
  <c r="D2428" i="41" a="1"/>
  <c r="D2428" i="41" s="1"/>
  <c r="D2444" i="41" a="1"/>
  <c r="D2444" i="41" s="1"/>
  <c r="D2460" i="41" a="1"/>
  <c r="D2460" i="41" s="1"/>
  <c r="D2467" i="41" a="1"/>
  <c r="D2467" i="41" s="1"/>
  <c r="D2492" i="41" a="1"/>
  <c r="D2492" i="41" s="1"/>
  <c r="D2501" i="41" a="1"/>
  <c r="D2501" i="41" s="1"/>
  <c r="D2505" i="41" a="1"/>
  <c r="D2505" i="41" s="1"/>
  <c r="D2514" i="41" a="1"/>
  <c r="D2514" i="41" s="1"/>
  <c r="D2517" i="41" a="1"/>
  <c r="D2517" i="41" s="1"/>
  <c r="H2644" i="41"/>
  <c r="H2483" i="41"/>
  <c r="D2542" i="41" a="1"/>
  <c r="D2542" i="41" s="1"/>
  <c r="H2542" i="41"/>
  <c r="H2666" i="41"/>
  <c r="D2676" i="41" a="1"/>
  <c r="D2676" i="41" s="1"/>
  <c r="H2676" i="41"/>
  <c r="D2471" i="41" a="1"/>
  <c r="D2471" i="41" s="1"/>
  <c r="H2479" i="41"/>
  <c r="D2526" i="41" a="1"/>
  <c r="D2526" i="41" s="1"/>
  <c r="H2526" i="41"/>
  <c r="H2664" i="41"/>
  <c r="D2664" i="41" a="1"/>
  <c r="D2664" i="41" s="1"/>
  <c r="D2441" i="41" a="1"/>
  <c r="D2441" i="41" s="1"/>
  <c r="D2457" i="41" a="1"/>
  <c r="D2457" i="41" s="1"/>
  <c r="D2484" i="41" a="1"/>
  <c r="D2484" i="41" s="1"/>
  <c r="H2486" i="41"/>
  <c r="D2493" i="41" a="1"/>
  <c r="D2493" i="41" s="1"/>
  <c r="D2506" i="41" a="1"/>
  <c r="D2506" i="41" s="1"/>
  <c r="H2537" i="41"/>
  <c r="D2537" i="41" a="1"/>
  <c r="D2537" i="41" s="1"/>
  <c r="H2549" i="41"/>
  <c r="D2549" i="41" a="1"/>
  <c r="D2549" i="41" s="1"/>
  <c r="D2660" i="41" a="1"/>
  <c r="D2660" i="41" s="1"/>
  <c r="H2660" i="41"/>
  <c r="H2521" i="41"/>
  <c r="D2521" i="41" a="1"/>
  <c r="D2521" i="41" s="1"/>
  <c r="H2432" i="41"/>
  <c r="H2448" i="41"/>
  <c r="H2464" i="41"/>
  <c r="D2500" i="41" a="1"/>
  <c r="D2500" i="41" s="1"/>
  <c r="H2502" i="41"/>
  <c r="D2524" i="41" a="1"/>
  <c r="D2524" i="41" s="1"/>
  <c r="H2535" i="41"/>
  <c r="H2546" i="41"/>
  <c r="D2662" i="41" a="1"/>
  <c r="D2662" i="41" s="1"/>
  <c r="H2662" i="41"/>
  <c r="H2551" i="41"/>
  <c r="H2645" i="41"/>
  <c r="D2645" i="41" a="1"/>
  <c r="D2645" i="41" s="1"/>
  <c r="H2700" i="41"/>
  <c r="H2677" i="41"/>
  <c r="D2677" i="41" a="1"/>
  <c r="D2677" i="41" s="1"/>
  <c r="H2686" i="41"/>
  <c r="H2701" i="41"/>
  <c r="D2701" i="41" a="1"/>
  <c r="D2701" i="41" s="1"/>
  <c r="H2661" i="41"/>
  <c r="D2661" i="41" a="1"/>
  <c r="D2661" i="41" s="1"/>
  <c r="D2674" i="41" a="1"/>
  <c r="D2674" i="41" s="1"/>
  <c r="H2523" i="41"/>
  <c r="H2539" i="41"/>
  <c r="H2648" i="41"/>
  <c r="D2648" i="41" a="1"/>
  <c r="D2648" i="41" s="1"/>
  <c r="H2684" i="41"/>
  <c r="D2706" i="41" a="1"/>
  <c r="D2706" i="41" s="1"/>
  <c r="H2706" i="41"/>
  <c r="H2724" i="41"/>
  <c r="D2724" i="41" a="1"/>
  <c r="D2724" i="41" s="1"/>
  <c r="H2685" i="41"/>
  <c r="D2685" i="41" a="1"/>
  <c r="D2685" i="41" s="1"/>
  <c r="H2720" i="41"/>
  <c r="D2720" i="41" a="1"/>
  <c r="D2720" i="41" s="1"/>
  <c r="H2726" i="41"/>
  <c r="D2726" i="41" a="1"/>
  <c r="D2726" i="41" s="1"/>
  <c r="H2548" i="41"/>
  <c r="H2655" i="41"/>
  <c r="H2668" i="41"/>
  <c r="H2678" i="41"/>
  <c r="H2693" i="41"/>
  <c r="D2693" i="41" a="1"/>
  <c r="D2693" i="41" s="1"/>
  <c r="H2702" i="41"/>
  <c r="D2722" i="41" a="1"/>
  <c r="D2722" i="41" s="1"/>
  <c r="H2722" i="41"/>
  <c r="D2830" i="41" a="1"/>
  <c r="D2830" i="41" s="1"/>
  <c r="H2830" i="41"/>
  <c r="D2850" i="41" a="1"/>
  <c r="D2850" i="41" s="1"/>
  <c r="H2850" i="41"/>
  <c r="D2680" i="41" a="1"/>
  <c r="D2680" i="41" s="1"/>
  <c r="D2696" i="41" a="1"/>
  <c r="D2696" i="41" s="1"/>
  <c r="H2714" i="41"/>
  <c r="H2847" i="41"/>
  <c r="D2847" i="41" a="1"/>
  <c r="D2847" i="41" s="1"/>
  <c r="D2723" i="41" a="1"/>
  <c r="D2723" i="41" s="1"/>
  <c r="D2725" i="41" a="1"/>
  <c r="D2725" i="41" s="1"/>
  <c r="D2840" i="41" a="1"/>
  <c r="D2840" i="41" s="1"/>
  <c r="H2840" i="41"/>
  <c r="H2858" i="41"/>
  <c r="H2865" i="41"/>
  <c r="D2865" i="41" a="1"/>
  <c r="D2865" i="41" s="1"/>
  <c r="H2871" i="41"/>
  <c r="D2871" i="41" a="1"/>
  <c r="D2871" i="41" s="1"/>
  <c r="H2881" i="41"/>
  <c r="D2881" i="41" a="1"/>
  <c r="D2881" i="41" s="1"/>
  <c r="H2887" i="41"/>
  <c r="D2887" i="41" a="1"/>
  <c r="D2887" i="41" s="1"/>
  <c r="H2897" i="41"/>
  <c r="D2897" i="41" a="1"/>
  <c r="D2897" i="41" s="1"/>
  <c r="H2903" i="41"/>
  <c r="D2903" i="41" a="1"/>
  <c r="D2903" i="41" s="1"/>
  <c r="H2913" i="41"/>
  <c r="D2913" i="41" a="1"/>
  <c r="D2913" i="41" s="1"/>
  <c r="H2919" i="41"/>
  <c r="D2919" i="41" a="1"/>
  <c r="D2919" i="41" s="1"/>
  <c r="H2929" i="41"/>
  <c r="D2929" i="41" a="1"/>
  <c r="D2929" i="41" s="1"/>
  <c r="H2935" i="41"/>
  <c r="D2935" i="41" a="1"/>
  <c r="D2935" i="41" s="1"/>
  <c r="H2945" i="41"/>
  <c r="D2945" i="41" a="1"/>
  <c r="D2945" i="41" s="1"/>
  <c r="H2951" i="41"/>
  <c r="D2951" i="41" a="1"/>
  <c r="D2951" i="41" s="1"/>
  <c r="H2961" i="41"/>
  <c r="D2961" i="41" a="1"/>
  <c r="D2961" i="41" s="1"/>
  <c r="H2967" i="41"/>
  <c r="D2967" i="41" a="1"/>
  <c r="D2967" i="41" s="1"/>
  <c r="D2820" i="41" a="1"/>
  <c r="D2820" i="41" s="1"/>
  <c r="H2831" i="41"/>
  <c r="D2831" i="41" a="1"/>
  <c r="D2831" i="41" s="1"/>
  <c r="D2838" i="41" a="1"/>
  <c r="D2838" i="41" s="1"/>
  <c r="H2838" i="41"/>
  <c r="H2839" i="41"/>
  <c r="D2839" i="41" a="1"/>
  <c r="D2839" i="41" s="1"/>
  <c r="H2863" i="41"/>
  <c r="D2863" i="41" a="1"/>
  <c r="D2863" i="41" s="1"/>
  <c r="H2873" i="41"/>
  <c r="D2873" i="41" a="1"/>
  <c r="D2873" i="41" s="1"/>
  <c r="H2879" i="41"/>
  <c r="D2879" i="41" a="1"/>
  <c r="D2879" i="41" s="1"/>
  <c r="H2889" i="41"/>
  <c r="D2889" i="41" a="1"/>
  <c r="D2889" i="41" s="1"/>
  <c r="H2895" i="41"/>
  <c r="D2895" i="41" a="1"/>
  <c r="D2895" i="41" s="1"/>
  <c r="H2905" i="41"/>
  <c r="D2905" i="41" a="1"/>
  <c r="D2905" i="41" s="1"/>
  <c r="H2911" i="41"/>
  <c r="D2911" i="41" a="1"/>
  <c r="D2911" i="41" s="1"/>
  <c r="H2921" i="41"/>
  <c r="D2921" i="41" a="1"/>
  <c r="D2921" i="41" s="1"/>
  <c r="H2927" i="41"/>
  <c r="D2927" i="41" a="1"/>
  <c r="D2927" i="41" s="1"/>
  <c r="H2937" i="41"/>
  <c r="D2937" i="41" a="1"/>
  <c r="D2937" i="41" s="1"/>
  <c r="H2943" i="41"/>
  <c r="D2943" i="41" a="1"/>
  <c r="D2943" i="41" s="1"/>
  <c r="H2953" i="41"/>
  <c r="D2953" i="41" a="1"/>
  <c r="D2953" i="41" s="1"/>
  <c r="H2959" i="41"/>
  <c r="D2959" i="41" a="1"/>
  <c r="D2959" i="41" s="1"/>
  <c r="H2975" i="41"/>
  <c r="D2975" i="41" a="1"/>
  <c r="D2975" i="41" s="1"/>
  <c r="H2818" i="41"/>
  <c r="D2829" i="41" a="1"/>
  <c r="D2829" i="41" s="1"/>
  <c r="H2854" i="41"/>
  <c r="H2862" i="41"/>
  <c r="D2872" i="41" a="1"/>
  <c r="D2872" i="41" s="1"/>
  <c r="H2872" i="41"/>
  <c r="H2878" i="41"/>
  <c r="D2888" i="41" a="1"/>
  <c r="D2888" i="41" s="1"/>
  <c r="H2888" i="41"/>
  <c r="H2894" i="41"/>
  <c r="D2904" i="41" a="1"/>
  <c r="D2904" i="41" s="1"/>
  <c r="H2904" i="41"/>
  <c r="H2910" i="41"/>
  <c r="D2920" i="41" a="1"/>
  <c r="D2920" i="41" s="1"/>
  <c r="H2920" i="41"/>
  <c r="H2926" i="41"/>
  <c r="D2936" i="41" a="1"/>
  <c r="D2936" i="41" s="1"/>
  <c r="H2936" i="41"/>
  <c r="H2942" i="41"/>
  <c r="D2952" i="41" a="1"/>
  <c r="D2952" i="41" s="1"/>
  <c r="H2952" i="41"/>
  <c r="H2958" i="41"/>
  <c r="D2968" i="41" a="1"/>
  <c r="D2968" i="41" s="1"/>
  <c r="H2968" i="41"/>
  <c r="H2974" i="41"/>
  <c r="D2977" i="41" a="1"/>
  <c r="D2977" i="41" s="1"/>
  <c r="D2984" i="41" a="1"/>
  <c r="D2984" i="41" s="1"/>
  <c r="H2984" i="41"/>
  <c r="H2991" i="41"/>
  <c r="D2991" i="41" a="1"/>
  <c r="D2991" i="41" s="1"/>
  <c r="D2864" i="41" a="1"/>
  <c r="D2864" i="41" s="1"/>
  <c r="H2864" i="41"/>
  <c r="H2870" i="41"/>
  <c r="D2880" i="41" a="1"/>
  <c r="D2880" i="41" s="1"/>
  <c r="H2880" i="41"/>
  <c r="H2886" i="41"/>
  <c r="D2896" i="41" a="1"/>
  <c r="D2896" i="41" s="1"/>
  <c r="H2896" i="41"/>
  <c r="H2902" i="41"/>
  <c r="D2912" i="41" a="1"/>
  <c r="D2912" i="41" s="1"/>
  <c r="H2912" i="41"/>
  <c r="H2918" i="41"/>
  <c r="D2928" i="41" a="1"/>
  <c r="D2928" i="41" s="1"/>
  <c r="H2928" i="41"/>
  <c r="H2934" i="41"/>
  <c r="D2944" i="41" a="1"/>
  <c r="D2944" i="41" s="1"/>
  <c r="H2944" i="41"/>
  <c r="H2950" i="41"/>
  <c r="D2960" i="41" a="1"/>
  <c r="D2960" i="41" s="1"/>
  <c r="H2960" i="41"/>
  <c r="H2966" i="41"/>
  <c r="D2969" i="41" a="1"/>
  <c r="D2969" i="41" s="1"/>
  <c r="D2976" i="41" a="1"/>
  <c r="D2976" i="41" s="1"/>
  <c r="H2976" i="41"/>
  <c r="H2982" i="41"/>
  <c r="D2985" i="41" a="1"/>
  <c r="D2985" i="41" s="1"/>
  <c r="H2983" i="41"/>
  <c r="D2983" i="41" a="1"/>
  <c r="D2983" i="41" s="1"/>
  <c r="H2992" i="41"/>
  <c r="AD41" i="11" l="1"/>
  <c r="CF40" i="11"/>
  <c r="T42" i="11"/>
  <c r="BO38" i="11"/>
  <c r="BW41" i="11"/>
  <c r="BO42" i="11"/>
  <c r="AD42" i="11"/>
  <c r="Q38" i="11"/>
  <c r="Q41" i="11"/>
  <c r="BI38" i="11"/>
  <c r="BI39" i="11"/>
  <c r="BI40" i="11"/>
  <c r="BI41" i="11"/>
  <c r="BI42" i="11"/>
  <c r="BI43" i="11"/>
  <c r="S41" i="11"/>
  <c r="S39" i="11"/>
  <c r="S40" i="11"/>
  <c r="S42" i="11"/>
  <c r="S43" i="11"/>
  <c r="S38" i="11"/>
  <c r="CH38" i="11"/>
  <c r="CH41" i="11"/>
  <c r="CH39" i="11"/>
  <c r="CH40" i="11"/>
  <c r="CH42" i="11"/>
  <c r="CH43" i="11"/>
  <c r="BB40" i="11"/>
  <c r="BB42" i="11"/>
  <c r="BB38" i="11"/>
  <c r="BB39" i="11"/>
  <c r="BB41" i="11"/>
  <c r="BB43" i="11"/>
  <c r="V38" i="11"/>
  <c r="V41" i="11"/>
  <c r="V43" i="11"/>
  <c r="V39" i="11"/>
  <c r="V40" i="11"/>
  <c r="V42" i="11"/>
  <c r="CK40" i="11"/>
  <c r="CK38" i="11"/>
  <c r="CK42" i="11"/>
  <c r="CK43" i="11"/>
  <c r="CK39" i="11"/>
  <c r="CK41" i="11"/>
  <c r="BE41" i="11"/>
  <c r="BE43" i="11"/>
  <c r="BE39" i="11"/>
  <c r="BE40" i="11"/>
  <c r="BE42" i="11"/>
  <c r="BE38" i="11"/>
  <c r="Y40" i="11"/>
  <c r="Y42" i="11"/>
  <c r="Y39" i="11"/>
  <c r="Y38" i="11"/>
  <c r="Y43" i="11"/>
  <c r="Y41" i="11"/>
  <c r="CJ38" i="11"/>
  <c r="CJ40" i="11"/>
  <c r="CJ42" i="11"/>
  <c r="CJ43" i="11"/>
  <c r="CJ41" i="11"/>
  <c r="CJ39" i="11"/>
  <c r="BD38" i="11"/>
  <c r="BD41" i="11"/>
  <c r="BD43" i="11"/>
  <c r="BD40" i="11"/>
  <c r="BD42" i="11"/>
  <c r="BD39" i="11"/>
  <c r="X38" i="11"/>
  <c r="X40" i="11"/>
  <c r="X42" i="11"/>
  <c r="X43" i="11"/>
  <c r="X41" i="11"/>
  <c r="X39" i="11"/>
  <c r="C38" i="11"/>
  <c r="C39" i="11"/>
  <c r="C40" i="11"/>
  <c r="C41" i="11"/>
  <c r="C43" i="11"/>
  <c r="C42" i="11"/>
  <c r="W42" i="11"/>
  <c r="W40" i="11"/>
  <c r="BG38" i="11"/>
  <c r="BG39" i="11"/>
  <c r="BG40" i="11"/>
  <c r="BG42" i="11"/>
  <c r="BG41" i="11"/>
  <c r="BG43" i="11"/>
  <c r="Q42" i="11"/>
  <c r="BW42" i="11"/>
  <c r="T38" i="11"/>
  <c r="CL39" i="11"/>
  <c r="CL40" i="11"/>
  <c r="CL38" i="11"/>
  <c r="CL42" i="11"/>
  <c r="CL43" i="11"/>
  <c r="CL41" i="11"/>
  <c r="CN41" i="11"/>
  <c r="CN39" i="11"/>
  <c r="CN40" i="11"/>
  <c r="CN38" i="11"/>
  <c r="CN42" i="11"/>
  <c r="CN43" i="11"/>
  <c r="AY40" i="11"/>
  <c r="AY42" i="11"/>
  <c r="AY38" i="11"/>
  <c r="AY39" i="11"/>
  <c r="AY41" i="11"/>
  <c r="AY43" i="11"/>
  <c r="CD39" i="11"/>
  <c r="CD40" i="11"/>
  <c r="CD42" i="11"/>
  <c r="CD43" i="11"/>
  <c r="CD38" i="11"/>
  <c r="CD41" i="11"/>
  <c r="AX38" i="11"/>
  <c r="AX39" i="11"/>
  <c r="AX41" i="11"/>
  <c r="AX43" i="11"/>
  <c r="AX40" i="11"/>
  <c r="AX42" i="11"/>
  <c r="R39" i="11"/>
  <c r="R40" i="11"/>
  <c r="R42" i="11"/>
  <c r="R43" i="11"/>
  <c r="R38" i="11"/>
  <c r="R41" i="11"/>
  <c r="CG38" i="11"/>
  <c r="CG39" i="11"/>
  <c r="CG40" i="11"/>
  <c r="CG41" i="11"/>
  <c r="CG42" i="11"/>
  <c r="CG43" i="11"/>
  <c r="BA38" i="11"/>
  <c r="BA39" i="11"/>
  <c r="BA40" i="11"/>
  <c r="BA41" i="11"/>
  <c r="BA42" i="11"/>
  <c r="BA43" i="11"/>
  <c r="U38" i="11"/>
  <c r="U39" i="11"/>
  <c r="U40" i="11"/>
  <c r="U41" i="11"/>
  <c r="U42" i="11"/>
  <c r="U43" i="11"/>
  <c r="AZ40" i="11"/>
  <c r="AZ42" i="11"/>
  <c r="AZ38" i="11"/>
  <c r="AZ39" i="11"/>
  <c r="AZ41" i="11"/>
  <c r="AZ43" i="11"/>
  <c r="AI38" i="11"/>
  <c r="AI40" i="11"/>
  <c r="AI42" i="11"/>
  <c r="AI43" i="11"/>
  <c r="AI39" i="11"/>
  <c r="AI41" i="11"/>
  <c r="AA39" i="11"/>
  <c r="AA41" i="11"/>
  <c r="AA40" i="11"/>
  <c r="AA42" i="11"/>
  <c r="AA38" i="11"/>
  <c r="AA43" i="11"/>
  <c r="W43" i="11"/>
  <c r="Q43" i="11"/>
  <c r="BW39" i="11"/>
  <c r="CF42" i="11"/>
  <c r="CF38" i="11"/>
  <c r="CO38" i="11"/>
  <c r="CO39" i="11"/>
  <c r="CO40" i="11"/>
  <c r="CO41" i="11"/>
  <c r="CO42" i="11"/>
  <c r="CO43" i="11"/>
  <c r="CM39" i="11"/>
  <c r="CM40" i="11"/>
  <c r="CM38" i="11"/>
  <c r="CM42" i="11"/>
  <c r="CM43" i="11"/>
  <c r="CM41" i="11"/>
  <c r="Q40" i="11"/>
  <c r="K41" i="11"/>
  <c r="K38" i="11"/>
  <c r="K43" i="11"/>
  <c r="K40" i="11"/>
  <c r="K42" i="11"/>
  <c r="K39" i="11"/>
  <c r="CE41" i="11"/>
  <c r="CE38" i="11"/>
  <c r="CE39" i="11"/>
  <c r="CE40" i="11"/>
  <c r="CE42" i="11"/>
  <c r="CE43" i="11"/>
  <c r="BZ39" i="11"/>
  <c r="BZ42" i="11"/>
  <c r="BZ41" i="11"/>
  <c r="BZ38" i="11"/>
  <c r="BZ40" i="11"/>
  <c r="BZ43" i="11"/>
  <c r="AT38" i="11"/>
  <c r="AT40" i="11"/>
  <c r="AT42" i="11"/>
  <c r="AT41" i="11"/>
  <c r="AT39" i="11"/>
  <c r="AT43" i="11"/>
  <c r="N39" i="11"/>
  <c r="N43" i="11"/>
  <c r="N42" i="11"/>
  <c r="N41" i="11"/>
  <c r="N38" i="11"/>
  <c r="N40" i="11"/>
  <c r="CC39" i="11"/>
  <c r="CC40" i="11"/>
  <c r="CC42" i="11"/>
  <c r="CC43" i="11"/>
  <c r="CC38" i="11"/>
  <c r="CC41" i="11"/>
  <c r="AW38" i="11"/>
  <c r="AW39" i="11"/>
  <c r="AW41" i="11"/>
  <c r="AW43" i="11"/>
  <c r="AW40" i="11"/>
  <c r="AW42" i="11"/>
  <c r="CB38" i="11"/>
  <c r="CB39" i="11"/>
  <c r="CB40" i="11"/>
  <c r="CB42" i="11"/>
  <c r="CB43" i="11"/>
  <c r="CB41" i="11"/>
  <c r="AV38" i="11"/>
  <c r="AV39" i="11"/>
  <c r="AV41" i="11"/>
  <c r="AV43" i="11"/>
  <c r="AV40" i="11"/>
  <c r="AV42" i="11"/>
  <c r="P38" i="11"/>
  <c r="P39" i="11"/>
  <c r="P40" i="11"/>
  <c r="P42" i="11"/>
  <c r="P43" i="11"/>
  <c r="P41" i="11"/>
  <c r="BO39" i="11"/>
  <c r="T41" i="11"/>
  <c r="AD39" i="11"/>
  <c r="T40" i="11"/>
  <c r="T43" i="11"/>
  <c r="Q39" i="11"/>
  <c r="BF39" i="11"/>
  <c r="BF41" i="11"/>
  <c r="BF43" i="11"/>
  <c r="BF38" i="11"/>
  <c r="BF40" i="11"/>
  <c r="BF42" i="11"/>
  <c r="AB41" i="11"/>
  <c r="AB39" i="11"/>
  <c r="AB40" i="11"/>
  <c r="AB42" i="11"/>
  <c r="AB38" i="11"/>
  <c r="AB43" i="11"/>
  <c r="AQ40" i="11"/>
  <c r="AQ42" i="11"/>
  <c r="AQ43" i="11"/>
  <c r="AQ39" i="11"/>
  <c r="AQ41" i="11"/>
  <c r="AQ38" i="11"/>
  <c r="G38" i="11"/>
  <c r="G39" i="11"/>
  <c r="G40" i="11"/>
  <c r="G43" i="11"/>
  <c r="G42" i="11"/>
  <c r="G41" i="11"/>
  <c r="BV41" i="11"/>
  <c r="BV38" i="11"/>
  <c r="BV43" i="11"/>
  <c r="BV39" i="11"/>
  <c r="BV40" i="11"/>
  <c r="BV42" i="11"/>
  <c r="AP40" i="11"/>
  <c r="AP42" i="11"/>
  <c r="AP43" i="11"/>
  <c r="AP39" i="11"/>
  <c r="AP41" i="11"/>
  <c r="AP38" i="11"/>
  <c r="J41" i="11"/>
  <c r="J38" i="11"/>
  <c r="J43" i="11"/>
  <c r="J40" i="11"/>
  <c r="J42" i="11"/>
  <c r="J39" i="11"/>
  <c r="BY38" i="11"/>
  <c r="BY39" i="11"/>
  <c r="BY40" i="11"/>
  <c r="BY41" i="11"/>
  <c r="BY42" i="11"/>
  <c r="BY43" i="11"/>
  <c r="AS38" i="11"/>
  <c r="AS39" i="11"/>
  <c r="AS40" i="11"/>
  <c r="AS41" i="11"/>
  <c r="AS42" i="11"/>
  <c r="AS43" i="11"/>
  <c r="M38" i="11"/>
  <c r="M39" i="11"/>
  <c r="M40" i="11"/>
  <c r="M41" i="11"/>
  <c r="M42" i="11"/>
  <c r="M43" i="11"/>
  <c r="BX41" i="11"/>
  <c r="BX38" i="11"/>
  <c r="BX43" i="11"/>
  <c r="BX39" i="11"/>
  <c r="BX40" i="11"/>
  <c r="BX42" i="11"/>
  <c r="AR40" i="11"/>
  <c r="AR42" i="11"/>
  <c r="AR43" i="11"/>
  <c r="AR39" i="11"/>
  <c r="AR41" i="11"/>
  <c r="AR38" i="11"/>
  <c r="L39" i="11"/>
  <c r="L41" i="11"/>
  <c r="L38" i="11"/>
  <c r="L43" i="11"/>
  <c r="L40" i="11"/>
  <c r="L42" i="11"/>
  <c r="CF41" i="11"/>
  <c r="T39" i="11"/>
  <c r="AD40" i="11"/>
  <c r="CF43" i="11"/>
  <c r="W41" i="11"/>
  <c r="AC38" i="11"/>
  <c r="AC39" i="11"/>
  <c r="AC40" i="11"/>
  <c r="AC41" i="11"/>
  <c r="AC42" i="11"/>
  <c r="AC43" i="11"/>
  <c r="AM38" i="11"/>
  <c r="AM39" i="11"/>
  <c r="AM43" i="11"/>
  <c r="AM41" i="11"/>
  <c r="AM40" i="11"/>
  <c r="AM42" i="11"/>
  <c r="BR40" i="11"/>
  <c r="BR42" i="11"/>
  <c r="BR38" i="11"/>
  <c r="BR39" i="11"/>
  <c r="BR41" i="11"/>
  <c r="BR43" i="11"/>
  <c r="AL41" i="11"/>
  <c r="AL39" i="11"/>
  <c r="AL38" i="11"/>
  <c r="AL40" i="11"/>
  <c r="AL42" i="11"/>
  <c r="AL43" i="11"/>
  <c r="F42" i="11"/>
  <c r="F40" i="11"/>
  <c r="F39" i="11"/>
  <c r="F43" i="11"/>
  <c r="F41" i="11"/>
  <c r="F38" i="11"/>
  <c r="BU38" i="11"/>
  <c r="BU43" i="11"/>
  <c r="BU39" i="11"/>
  <c r="BU40" i="11"/>
  <c r="BU42" i="11"/>
  <c r="BU41" i="11"/>
  <c r="AO40" i="11"/>
  <c r="AO43" i="11"/>
  <c r="AO39" i="11"/>
  <c r="AO41" i="11"/>
  <c r="AO38" i="11"/>
  <c r="AO42" i="11"/>
  <c r="I38" i="11"/>
  <c r="I41" i="11"/>
  <c r="I43" i="11"/>
  <c r="I40" i="11"/>
  <c r="I42" i="11"/>
  <c r="I39" i="11"/>
  <c r="BT38" i="11"/>
  <c r="BT43" i="11"/>
  <c r="BT39" i="11"/>
  <c r="BT40" i="11"/>
  <c r="BT42" i="11"/>
  <c r="BT41" i="11"/>
  <c r="AN38" i="11"/>
  <c r="AN43" i="11"/>
  <c r="AN39" i="11"/>
  <c r="AN41" i="11"/>
  <c r="AN40" i="11"/>
  <c r="AN42" i="11"/>
  <c r="H38" i="11"/>
  <c r="H39" i="11"/>
  <c r="H43" i="11"/>
  <c r="H40" i="11"/>
  <c r="H42" i="11"/>
  <c r="H41" i="11"/>
  <c r="W39" i="11"/>
  <c r="CF39" i="11"/>
  <c r="BW40" i="11"/>
  <c r="AD38" i="11"/>
  <c r="Z39" i="11"/>
  <c r="Z40" i="11"/>
  <c r="Z42" i="11"/>
  <c r="Z38" i="11"/>
  <c r="Z43" i="11"/>
  <c r="Z41" i="11"/>
  <c r="CA38" i="11"/>
  <c r="CA39" i="11"/>
  <c r="CA40" i="11"/>
  <c r="CA42" i="11"/>
  <c r="CA43" i="11"/>
  <c r="CA41" i="11"/>
  <c r="BC38" i="11"/>
  <c r="BC39" i="11"/>
  <c r="BC43" i="11"/>
  <c r="BC41" i="11"/>
  <c r="BC40" i="11"/>
  <c r="BC42" i="11"/>
  <c r="AE38" i="11"/>
  <c r="AE39" i="11"/>
  <c r="AE43" i="11"/>
  <c r="AE41" i="11"/>
  <c r="AE40" i="11"/>
  <c r="AE42" i="11"/>
  <c r="BS38" i="11"/>
  <c r="BS39" i="11"/>
  <c r="BS43" i="11"/>
  <c r="BS40" i="11"/>
  <c r="BS42" i="11"/>
  <c r="BS41" i="11"/>
  <c r="BN41" i="11"/>
  <c r="BN43" i="11"/>
  <c r="BN38" i="11"/>
  <c r="BN40" i="11"/>
  <c r="BN42" i="11"/>
  <c r="BN39" i="11"/>
  <c r="AH38" i="11"/>
  <c r="AH40" i="11"/>
  <c r="AH42" i="11"/>
  <c r="AH43" i="11"/>
  <c r="AH41" i="11"/>
  <c r="AH39" i="11"/>
  <c r="B39" i="11"/>
  <c r="B41" i="11"/>
  <c r="B43" i="11"/>
  <c r="B38" i="11"/>
  <c r="B42" i="11"/>
  <c r="B40" i="11"/>
  <c r="BQ38" i="11"/>
  <c r="BQ39" i="11"/>
  <c r="BQ40" i="11"/>
  <c r="BQ41" i="11"/>
  <c r="BQ42" i="11"/>
  <c r="BQ43" i="11"/>
  <c r="AK38" i="11"/>
  <c r="AK39" i="11"/>
  <c r="AK40" i="11"/>
  <c r="AK41" i="11"/>
  <c r="AK42" i="11"/>
  <c r="AK43" i="11"/>
  <c r="E38" i="11"/>
  <c r="E39" i="11"/>
  <c r="E40" i="11"/>
  <c r="E41" i="11"/>
  <c r="E42" i="11"/>
  <c r="E43" i="11"/>
  <c r="BP39" i="11"/>
  <c r="BP40" i="11"/>
  <c r="BP41" i="11"/>
  <c r="BP43" i="11"/>
  <c r="BP42" i="11"/>
  <c r="BP38" i="11"/>
  <c r="AJ39" i="11"/>
  <c r="AJ41" i="11"/>
  <c r="AJ38" i="11"/>
  <c r="AJ40" i="11"/>
  <c r="AJ42" i="11"/>
  <c r="AJ43" i="11"/>
  <c r="D40" i="11"/>
  <c r="D42" i="11"/>
  <c r="D39" i="11"/>
  <c r="D41" i="11"/>
  <c r="D43" i="11"/>
  <c r="D38" i="11"/>
  <c r="O38" i="11"/>
  <c r="O39" i="11"/>
  <c r="O40" i="11"/>
  <c r="O42" i="11"/>
  <c r="O43" i="11"/>
  <c r="O41" i="11"/>
  <c r="W38" i="11"/>
  <c r="BO43" i="11"/>
  <c r="BO40" i="11"/>
  <c r="BO41" i="11"/>
  <c r="CQ38" i="11"/>
  <c r="CQ39" i="11"/>
  <c r="CQ42" i="11"/>
  <c r="CQ43" i="11"/>
  <c r="CQ41" i="11"/>
  <c r="CQ40" i="11"/>
  <c r="BH40" i="11"/>
  <c r="BH42" i="11"/>
  <c r="BH38" i="11"/>
  <c r="BH39" i="11"/>
  <c r="BH41" i="11"/>
  <c r="BH43" i="11"/>
  <c r="BK38" i="11"/>
  <c r="BK39" i="11"/>
  <c r="BK43" i="11"/>
  <c r="BK40" i="11"/>
  <c r="BK42" i="11"/>
  <c r="BK41" i="11"/>
  <c r="CP41" i="11"/>
  <c r="CP39" i="11"/>
  <c r="CP42" i="11"/>
  <c r="CP40" i="11"/>
  <c r="CP38" i="11"/>
  <c r="CP43" i="11"/>
  <c r="BJ40" i="11"/>
  <c r="BJ42" i="11"/>
  <c r="BJ38" i="11"/>
  <c r="BJ39" i="11"/>
  <c r="BJ43" i="11"/>
  <c r="BJ41" i="11"/>
  <c r="AD43" i="11"/>
  <c r="CS40" i="11"/>
  <c r="CS42" i="11"/>
  <c r="CS43" i="11"/>
  <c r="CS41" i="11"/>
  <c r="CS38" i="11"/>
  <c r="CS39" i="11"/>
  <c r="BM41" i="11"/>
  <c r="BM43" i="11"/>
  <c r="BM38" i="11"/>
  <c r="BM40" i="11"/>
  <c r="BM42" i="11"/>
  <c r="BM39" i="11"/>
  <c r="AG40" i="11"/>
  <c r="AG42" i="11"/>
  <c r="AG38" i="11"/>
  <c r="AG43" i="11"/>
  <c r="AG41" i="11"/>
  <c r="AG39" i="11"/>
  <c r="CR38" i="11"/>
  <c r="CR42" i="11"/>
  <c r="CR43" i="11"/>
  <c r="CR41" i="11"/>
  <c r="CR39" i="11"/>
  <c r="CR40" i="11"/>
  <c r="BL38" i="11"/>
  <c r="BL43" i="11"/>
  <c r="BL40" i="11"/>
  <c r="BL42" i="11"/>
  <c r="BL41" i="11"/>
  <c r="BL39" i="11"/>
  <c r="AF38" i="11"/>
  <c r="AF43" i="11"/>
  <c r="AF41" i="11"/>
  <c r="AF40" i="11"/>
  <c r="AF42" i="11"/>
  <c r="AF39" i="11"/>
  <c r="AU38" i="11"/>
  <c r="AU39" i="11"/>
  <c r="AU41" i="11"/>
  <c r="AU43" i="11"/>
  <c r="AU40" i="11"/>
  <c r="AU42" i="11"/>
  <c r="CI38" i="11"/>
  <c r="CI39" i="11"/>
  <c r="CI42" i="11"/>
  <c r="CI43" i="11"/>
  <c r="CI41" i="11"/>
  <c r="CI40" i="11"/>
  <c r="BW38" i="11"/>
  <c r="BW43" i="11"/>
  <c r="H140" i="41"/>
  <c r="H4" i="41"/>
  <c r="H48" i="41"/>
  <c r="H88" i="41"/>
  <c r="H132" i="41"/>
  <c r="H44" i="41"/>
  <c r="H52" i="41"/>
  <c r="H176" i="41"/>
  <c r="H36" i="41"/>
  <c r="H168" i="41"/>
  <c r="H112" i="41"/>
  <c r="H152" i="41"/>
  <c r="H124" i="41"/>
  <c r="H136" i="41"/>
  <c r="H108" i="41"/>
  <c r="H16" i="41"/>
  <c r="H116" i="41"/>
  <c r="H56" i="41"/>
  <c r="H164" i="41"/>
  <c r="H28" i="41"/>
  <c r="H100" i="41"/>
  <c r="H40" i="41"/>
  <c r="H12" i="41"/>
  <c r="H128" i="41"/>
  <c r="H20" i="41"/>
  <c r="H76" i="41"/>
  <c r="H7" i="41"/>
  <c r="H3" i="41"/>
  <c r="H84" i="41"/>
  <c r="H24" i="41"/>
  <c r="H172" i="41"/>
  <c r="H68" i="41"/>
  <c r="H8" i="41"/>
  <c r="A38" i="14" l="1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B11" i="14" a="1"/>
  <c r="B11" i="14" s="1"/>
  <c r="A10" i="14"/>
  <c r="A9" i="14"/>
  <c r="A8" i="14"/>
  <c r="A7" i="14"/>
  <c r="A6" i="14"/>
  <c r="A5" i="14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24" i="7"/>
  <c r="A23" i="7"/>
  <c r="A22" i="7"/>
  <c r="A21" i="7"/>
  <c r="A20" i="7"/>
  <c r="A19" i="7"/>
  <c r="A18" i="7"/>
  <c r="A17" i="7"/>
  <c r="A16" i="7"/>
  <c r="A15" i="7"/>
  <c r="A8" i="7"/>
  <c r="A9" i="7"/>
  <c r="A11" i="7"/>
  <c r="A12" i="7"/>
  <c r="A13" i="7"/>
  <c r="A14" i="7"/>
  <c r="A4" i="7"/>
  <c r="A5" i="7"/>
  <c r="A6" i="7"/>
  <c r="A7" i="7"/>
  <c r="AT92" i="13" a="1"/>
  <c r="AT92" i="13" s="1"/>
  <c r="AS92" i="13" a="1"/>
  <c r="AS92" i="13" s="1"/>
  <c r="AR92" i="13" a="1"/>
  <c r="AR92" i="13" s="1"/>
  <c r="AQ92" i="13" a="1"/>
  <c r="AQ92" i="13" s="1"/>
  <c r="AP92" i="13" a="1"/>
  <c r="AP92" i="13" s="1"/>
  <c r="AO92" i="13" a="1"/>
  <c r="AO92" i="13" s="1"/>
  <c r="AN92" i="13" a="1"/>
  <c r="AN92" i="13" s="1"/>
  <c r="AM92" i="13" a="1"/>
  <c r="AM92" i="13" s="1"/>
  <c r="AL92" i="13" a="1"/>
  <c r="AL92" i="13" s="1"/>
  <c r="AK92" i="13" a="1"/>
  <c r="AK92" i="13" s="1"/>
  <c r="AJ92" i="13" a="1"/>
  <c r="AJ92" i="13" s="1"/>
  <c r="AI92" i="13" a="1"/>
  <c r="AI92" i="13" s="1"/>
  <c r="AH92" i="13" a="1"/>
  <c r="AH92" i="13" s="1"/>
  <c r="AG92" i="13" a="1"/>
  <c r="AG92" i="13" s="1"/>
  <c r="AF92" i="13" a="1"/>
  <c r="AF92" i="13" s="1"/>
  <c r="AE92" i="13" a="1"/>
  <c r="AE92" i="13" s="1"/>
  <c r="AD92" i="13" a="1"/>
  <c r="AD92" i="13" s="1"/>
  <c r="AC92" i="13" a="1"/>
  <c r="AC92" i="13" s="1"/>
  <c r="AB92" i="13" a="1"/>
  <c r="AB92" i="13" s="1"/>
  <c r="AA92" i="13" a="1"/>
  <c r="AA92" i="13" s="1"/>
  <c r="Z92" i="13" a="1"/>
  <c r="Z92" i="13" s="1"/>
  <c r="Y92" i="13" a="1"/>
  <c r="Y92" i="13" s="1"/>
  <c r="X92" i="13" a="1"/>
  <c r="X92" i="13" s="1"/>
  <c r="W92" i="13" a="1"/>
  <c r="W92" i="13" s="1"/>
  <c r="V92" i="13" a="1"/>
  <c r="V92" i="13" s="1"/>
  <c r="U92" i="13" a="1"/>
  <c r="U92" i="13" s="1"/>
  <c r="T92" i="13" a="1"/>
  <c r="T92" i="13" s="1"/>
  <c r="S92" i="13" a="1"/>
  <c r="S92" i="13" s="1"/>
  <c r="R92" i="13" a="1"/>
  <c r="R92" i="13" s="1"/>
  <c r="Q92" i="13" a="1"/>
  <c r="Q92" i="13" s="1"/>
  <c r="P92" i="13" a="1"/>
  <c r="P92" i="13" s="1"/>
  <c r="O92" i="13" a="1"/>
  <c r="O92" i="13" s="1"/>
  <c r="N92" i="13" a="1"/>
  <c r="N92" i="13" s="1"/>
  <c r="M92" i="13" a="1"/>
  <c r="M92" i="13" s="1"/>
  <c r="L92" i="13" a="1"/>
  <c r="L92" i="13" s="1"/>
  <c r="K92" i="13" a="1"/>
  <c r="K92" i="13" s="1"/>
  <c r="J92" i="13" a="1"/>
  <c r="J92" i="13" s="1"/>
  <c r="I92" i="13" a="1"/>
  <c r="I92" i="13" s="1"/>
  <c r="H92" i="13" a="1"/>
  <c r="H92" i="13" s="1"/>
  <c r="G92" i="13" a="1"/>
  <c r="G92" i="13" s="1"/>
  <c r="F92" i="13" a="1"/>
  <c r="F92" i="13" s="1"/>
  <c r="E92" i="13" a="1"/>
  <c r="E92" i="13" s="1"/>
  <c r="D92" i="13" a="1"/>
  <c r="D92" i="13" s="1"/>
  <c r="AZ91" i="13" a="1"/>
  <c r="AZ91" i="13" s="1"/>
  <c r="AY91" i="13" a="1"/>
  <c r="AY91" i="13" s="1"/>
  <c r="AX91" i="13" a="1"/>
  <c r="AX91" i="13" s="1"/>
  <c r="AW91" i="13" a="1"/>
  <c r="AW91" i="13" s="1"/>
  <c r="AV91" i="13" a="1"/>
  <c r="AV91" i="13" s="1"/>
  <c r="AU91" i="13" a="1"/>
  <c r="AU91" i="13" s="1"/>
  <c r="B31" i="14" l="1" a="1"/>
  <c r="B31" i="14" s="1"/>
  <c r="G31" i="14" a="1"/>
  <c r="G31" i="14" s="1"/>
  <c r="M31" i="14" a="1"/>
  <c r="M31" i="14" s="1"/>
  <c r="R31" i="14" a="1"/>
  <c r="R31" i="14" s="1"/>
  <c r="Y31" i="14" a="1"/>
  <c r="Y31" i="14" s="1"/>
  <c r="AK31" i="14" a="1"/>
  <c r="AK31" i="14" s="1"/>
  <c r="AQ31" i="14" a="1"/>
  <c r="AQ31" i="14" s="1"/>
  <c r="BC31" i="14" a="1"/>
  <c r="BC31" i="14" s="1"/>
  <c r="BT31" i="14" a="1"/>
  <c r="BT31" i="14" s="1"/>
  <c r="BZ31" i="14" a="1"/>
  <c r="BZ31" i="14" s="1"/>
  <c r="CF31" i="14" a="1"/>
  <c r="CF31" i="14" s="1"/>
  <c r="CR31" i="14" a="1"/>
  <c r="CR31" i="14" s="1"/>
  <c r="S31" i="14" a="1"/>
  <c r="S31" i="14" s="1"/>
  <c r="Z31" i="14" a="1"/>
  <c r="Z31" i="14" s="1"/>
  <c r="AF31" i="14" a="1"/>
  <c r="AF31" i="14" s="1"/>
  <c r="AR31" i="14" a="1"/>
  <c r="AR31" i="14" s="1"/>
  <c r="AW31" i="14" a="1"/>
  <c r="AW31" i="14" s="1"/>
  <c r="BD31" i="14" a="1"/>
  <c r="BD31" i="14" s="1"/>
  <c r="BI31" i="14" a="1"/>
  <c r="BI31" i="14" s="1"/>
  <c r="BO31" i="14" a="1"/>
  <c r="BO31" i="14" s="1"/>
  <c r="BU31" i="14" a="1"/>
  <c r="BU31" i="14" s="1"/>
  <c r="CG31" i="14" a="1"/>
  <c r="CG31" i="14" s="1"/>
  <c r="CL31" i="14" a="1"/>
  <c r="CL31" i="14" s="1"/>
  <c r="CS31" i="14" a="1"/>
  <c r="CS31" i="14" s="1"/>
  <c r="C31" i="14" a="1"/>
  <c r="C31" i="14" s="1"/>
  <c r="O31" i="14" a="1"/>
  <c r="O31" i="14" s="1"/>
  <c r="U31" i="14" a="1"/>
  <c r="U31" i="14" s="1"/>
  <c r="AB31" i="14" a="1"/>
  <c r="AB31" i="14" s="1"/>
  <c r="AG31" i="14" a="1"/>
  <c r="AG31" i="14" s="1"/>
  <c r="AM31" i="14" a="1"/>
  <c r="AM31" i="14" s="1"/>
  <c r="AY31" i="14" a="1"/>
  <c r="AY31" i="14" s="1"/>
  <c r="BE31" i="14" a="1"/>
  <c r="BE31" i="14" s="1"/>
  <c r="BK31" i="14" a="1"/>
  <c r="BK31" i="14" s="1"/>
  <c r="CB31" i="14" a="1"/>
  <c r="CB31" i="14" s="1"/>
  <c r="CN31" i="14" a="1"/>
  <c r="CN31" i="14" s="1"/>
  <c r="D31" i="14" a="1"/>
  <c r="D31" i="14" s="1"/>
  <c r="I31" i="14" a="1"/>
  <c r="I31" i="14" s="1"/>
  <c r="V31" i="14" a="1"/>
  <c r="V31" i="14" s="1"/>
  <c r="AC31" i="14" a="1"/>
  <c r="AC31" i="14" s="1"/>
  <c r="AH31" i="14" a="1"/>
  <c r="AH31" i="14" s="1"/>
  <c r="AN31" i="14" a="1"/>
  <c r="AN31" i="14" s="1"/>
  <c r="AT31" i="14" a="1"/>
  <c r="AT31" i="14" s="1"/>
  <c r="AZ31" i="14" a="1"/>
  <c r="AZ31" i="14" s="1"/>
  <c r="BL31" i="14" a="1"/>
  <c r="BL31" i="14" s="1"/>
  <c r="BQ31" i="14" a="1"/>
  <c r="BQ31" i="14" s="1"/>
  <c r="BW31" i="14" a="1"/>
  <c r="BW31" i="14" s="1"/>
  <c r="CI31" i="14" a="1"/>
  <c r="CI31" i="14" s="1"/>
  <c r="K31" i="14" a="1"/>
  <c r="K31" i="14" s="1"/>
  <c r="Q31" i="14" a="1"/>
  <c r="Q31" i="14" s="1"/>
  <c r="AD31" i="14" a="1"/>
  <c r="AD31" i="14" s="1"/>
  <c r="AJ31" i="14" a="1"/>
  <c r="AJ31" i="14" s="1"/>
  <c r="AP31" i="14" a="1"/>
  <c r="AP31" i="14" s="1"/>
  <c r="AU31" i="14" a="1"/>
  <c r="AU31" i="14" s="1"/>
  <c r="BB31" i="14" a="1"/>
  <c r="BB31" i="14" s="1"/>
  <c r="BG31" i="14" a="1"/>
  <c r="BG31" i="14" s="1"/>
  <c r="BR31" i="14" a="1"/>
  <c r="BR31" i="14" s="1"/>
  <c r="BY31" i="14" a="1"/>
  <c r="BY31" i="14" s="1"/>
  <c r="CD31" i="14" a="1"/>
  <c r="CD31" i="14" s="1"/>
  <c r="CP31" i="14" a="1"/>
  <c r="CP31" i="14" s="1"/>
  <c r="F31" i="14" a="1"/>
  <c r="F31" i="14" s="1"/>
  <c r="W31" i="14" a="1"/>
  <c r="W31" i="14" s="1"/>
  <c r="AL31" i="14" a="1"/>
  <c r="AL31" i="14" s="1"/>
  <c r="CH31" i="14" a="1"/>
  <c r="CH31" i="14" s="1"/>
  <c r="H31" i="14" a="1"/>
  <c r="H31" i="14" s="1"/>
  <c r="X31" i="14" a="1"/>
  <c r="X31" i="14" s="1"/>
  <c r="AO31" i="14" a="1"/>
  <c r="AO31" i="14" s="1"/>
  <c r="BS31" i="14" a="1"/>
  <c r="BS31" i="14" s="1"/>
  <c r="CJ31" i="14" a="1"/>
  <c r="CJ31" i="14" s="1"/>
  <c r="J31" i="14" a="1"/>
  <c r="J31" i="14" s="1"/>
  <c r="AA31" i="14" a="1"/>
  <c r="AA31" i="14" s="1"/>
  <c r="BF31" i="14" a="1"/>
  <c r="BF31" i="14" s="1"/>
  <c r="BV31" i="14" a="1"/>
  <c r="BV31" i="14" s="1"/>
  <c r="CK31" i="14" a="1"/>
  <c r="CK31" i="14" s="1"/>
  <c r="L31" i="14" a="1"/>
  <c r="L31" i="14" s="1"/>
  <c r="AS31" i="14" a="1"/>
  <c r="AS31" i="14" s="1"/>
  <c r="BH31" i="14" a="1"/>
  <c r="BH31" i="14" s="1"/>
  <c r="BX31" i="14" a="1"/>
  <c r="BX31" i="14" s="1"/>
  <c r="CM31" i="14" a="1"/>
  <c r="CM31" i="14" s="1"/>
  <c r="N31" i="14" a="1"/>
  <c r="N31" i="14" s="1"/>
  <c r="AE31" i="14" a="1"/>
  <c r="AE31" i="14" s="1"/>
  <c r="BJ31" i="14" a="1"/>
  <c r="BJ31" i="14" s="1"/>
  <c r="CO31" i="14" a="1"/>
  <c r="CO31" i="14" s="1"/>
  <c r="P31" i="14" a="1"/>
  <c r="P31" i="14" s="1"/>
  <c r="AV31" i="14" a="1"/>
  <c r="AV31" i="14" s="1"/>
  <c r="BM31" i="14" a="1"/>
  <c r="BM31" i="14" s="1"/>
  <c r="CA31" i="14" a="1"/>
  <c r="CA31" i="14" s="1"/>
  <c r="CQ31" i="14" a="1"/>
  <c r="CQ31" i="14" s="1"/>
  <c r="E31" i="14" a="1"/>
  <c r="E31" i="14" s="1"/>
  <c r="T31" i="14" a="1"/>
  <c r="T31" i="14" s="1"/>
  <c r="BA31" i="14" a="1"/>
  <c r="BA31" i="14" s="1"/>
  <c r="BP31" i="14" a="1"/>
  <c r="BP31" i="14" s="1"/>
  <c r="CE31" i="14" a="1"/>
  <c r="CE31" i="14" s="1"/>
  <c r="AI31" i="14" a="1"/>
  <c r="AI31" i="14" s="1"/>
  <c r="AX31" i="14" a="1"/>
  <c r="AX31" i="14" s="1"/>
  <c r="BN31" i="14" a="1"/>
  <c r="BN31" i="14" s="1"/>
  <c r="CC31" i="14" a="1"/>
  <c r="CC31" i="14" s="1"/>
  <c r="B8" i="14" a="1"/>
  <c r="B8" i="14" s="1"/>
  <c r="G8" i="14" a="1"/>
  <c r="G8" i="14" s="1"/>
  <c r="O8" i="14" a="1"/>
  <c r="O8" i="14" s="1"/>
  <c r="W8" i="14" a="1"/>
  <c r="W8" i="14" s="1"/>
  <c r="AE8" i="14" a="1"/>
  <c r="AE8" i="14" s="1"/>
  <c r="AL8" i="14" a="1"/>
  <c r="AL8" i="14" s="1"/>
  <c r="AQ8" i="14" a="1"/>
  <c r="AQ8" i="14" s="1"/>
  <c r="AY8" i="14" a="1"/>
  <c r="AY8" i="14" s="1"/>
  <c r="BE8" i="14" a="1"/>
  <c r="BE8" i="14" s="1"/>
  <c r="BJ8" i="14" a="1"/>
  <c r="BJ8" i="14" s="1"/>
  <c r="BO8" i="14" a="1"/>
  <c r="BO8" i="14" s="1"/>
  <c r="BZ8" i="14" a="1"/>
  <c r="BZ8" i="14" s="1"/>
  <c r="CQ8" i="14" a="1"/>
  <c r="CQ8" i="14" s="1"/>
  <c r="I8" i="14" a="1"/>
  <c r="I8" i="14" s="1"/>
  <c r="Q8" i="14" a="1"/>
  <c r="Q8" i="14" s="1"/>
  <c r="Y8" i="14" a="1"/>
  <c r="Y8" i="14" s="1"/>
  <c r="AG8" i="14" a="1"/>
  <c r="AG8" i="14" s="1"/>
  <c r="AM8" i="14" a="1"/>
  <c r="AM8" i="14" s="1"/>
  <c r="AS8" i="14" a="1"/>
  <c r="AS8" i="14" s="1"/>
  <c r="BA8" i="14" a="1"/>
  <c r="BA8" i="14" s="1"/>
  <c r="BF8" i="14" a="1"/>
  <c r="BF8" i="14" s="1"/>
  <c r="BP8" i="14" a="1"/>
  <c r="BP8" i="14" s="1"/>
  <c r="CB8" i="14" a="1"/>
  <c r="CB8" i="14" s="1"/>
  <c r="CG8" i="14" a="1"/>
  <c r="CG8" i="14" s="1"/>
  <c r="CR8" i="14" a="1"/>
  <c r="CR8" i="14" s="1"/>
  <c r="J8" i="14" a="1"/>
  <c r="J8" i="14" s="1"/>
  <c r="R8" i="14" a="1"/>
  <c r="R8" i="14" s="1"/>
  <c r="Z8" i="14" a="1"/>
  <c r="Z8" i="14" s="1"/>
  <c r="AH8" i="14" a="1"/>
  <c r="AH8" i="14" s="1"/>
  <c r="AN8" i="14" a="1"/>
  <c r="AN8" i="14" s="1"/>
  <c r="AT8" i="14" a="1"/>
  <c r="AT8" i="14" s="1"/>
  <c r="BL8" i="14" a="1"/>
  <c r="BL8" i="14" s="1"/>
  <c r="BQ8" i="14" a="1"/>
  <c r="BQ8" i="14" s="1"/>
  <c r="BW8" i="14" a="1"/>
  <c r="BW8" i="14" s="1"/>
  <c r="CC8" i="14" a="1"/>
  <c r="CC8" i="14" s="1"/>
  <c r="CH8" i="14" a="1"/>
  <c r="CH8" i="14" s="1"/>
  <c r="CM8" i="14" a="1"/>
  <c r="CM8" i="14" s="1"/>
  <c r="CS8" i="14" a="1"/>
  <c r="CS8" i="14" s="1"/>
  <c r="C8" i="14" a="1"/>
  <c r="C8" i="14" s="1"/>
  <c r="K8" i="14" a="1"/>
  <c r="K8" i="14" s="1"/>
  <c r="S8" i="14" a="1"/>
  <c r="S8" i="14" s="1"/>
  <c r="AA8" i="14" a="1"/>
  <c r="AA8" i="14" s="1"/>
  <c r="AI8" i="14" a="1"/>
  <c r="AI8" i="14" s="1"/>
  <c r="AO8" i="14" a="1"/>
  <c r="AO8" i="14" s="1"/>
  <c r="AU8" i="14" a="1"/>
  <c r="AU8" i="14" s="1"/>
  <c r="BB8" i="14" a="1"/>
  <c r="BB8" i="14" s="1"/>
  <c r="BG8" i="14" a="1"/>
  <c r="BG8" i="14" s="1"/>
  <c r="BM8" i="14" a="1"/>
  <c r="BM8" i="14" s="1"/>
  <c r="BR8" i="14" a="1"/>
  <c r="BR8" i="14" s="1"/>
  <c r="D8" i="14" a="1"/>
  <c r="D8" i="14" s="1"/>
  <c r="L8" i="14" a="1"/>
  <c r="L8" i="14" s="1"/>
  <c r="T8" i="14" a="1"/>
  <c r="T8" i="14" s="1"/>
  <c r="AB8" i="14" a="1"/>
  <c r="AB8" i="14" s="1"/>
  <c r="AJ8" i="14" a="1"/>
  <c r="AJ8" i="14" s="1"/>
  <c r="AV8" i="14" a="1"/>
  <c r="AV8" i="14" s="1"/>
  <c r="BS8" i="14" a="1"/>
  <c r="BS8" i="14" s="1"/>
  <c r="BX8" i="14" a="1"/>
  <c r="BX8" i="14" s="1"/>
  <c r="CD8" i="14" a="1"/>
  <c r="CD8" i="14" s="1"/>
  <c r="CI8" i="14" a="1"/>
  <c r="CI8" i="14" s="1"/>
  <c r="CN8" i="14" a="1"/>
  <c r="CN8" i="14" s="1"/>
  <c r="P8" i="14" a="1"/>
  <c r="P8" i="14" s="1"/>
  <c r="BC8" i="14" a="1"/>
  <c r="BC8" i="14" s="1"/>
  <c r="CE8" i="14" a="1"/>
  <c r="CE8" i="14" s="1"/>
  <c r="U8" i="14" a="1"/>
  <c r="U8" i="14" s="1"/>
  <c r="BD8" i="14" a="1"/>
  <c r="BD8" i="14" s="1"/>
  <c r="BT8" i="14" a="1"/>
  <c r="BT8" i="14" s="1"/>
  <c r="CF8" i="14" a="1"/>
  <c r="CF8" i="14" s="1"/>
  <c r="E8" i="14" a="1"/>
  <c r="E8" i="14" s="1"/>
  <c r="X8" i="14" a="1"/>
  <c r="X8" i="14" s="1"/>
  <c r="BH8" i="14" a="1"/>
  <c r="BH8" i="14" s="1"/>
  <c r="BV8" i="14" a="1"/>
  <c r="BV8" i="14" s="1"/>
  <c r="CK8" i="14" a="1"/>
  <c r="CK8" i="14" s="1"/>
  <c r="F8" i="14" a="1"/>
  <c r="F8" i="14" s="1"/>
  <c r="AK8" i="14" a="1"/>
  <c r="AK8" i="14" s="1"/>
  <c r="BK8" i="14" a="1"/>
  <c r="BK8" i="14" s="1"/>
  <c r="CJ8" i="14" a="1"/>
  <c r="CJ8" i="14" s="1"/>
  <c r="M8" i="14" a="1"/>
  <c r="M8" i="14" s="1"/>
  <c r="AR8" i="14" a="1"/>
  <c r="AR8" i="14" s="1"/>
  <c r="CO8" i="14" a="1"/>
  <c r="CO8" i="14" s="1"/>
  <c r="N8" i="14" a="1"/>
  <c r="N8" i="14" s="1"/>
  <c r="AW8" i="14" a="1"/>
  <c r="AW8" i="14" s="1"/>
  <c r="BU8" i="14" a="1"/>
  <c r="BU8" i="14" s="1"/>
  <c r="CP8" i="14" a="1"/>
  <c r="CP8" i="14" s="1"/>
  <c r="V8" i="14" a="1"/>
  <c r="V8" i="14" s="1"/>
  <c r="AX8" i="14" a="1"/>
  <c r="AX8" i="14" s="1"/>
  <c r="BY8" i="14" a="1"/>
  <c r="BY8" i="14" s="1"/>
  <c r="AC8" i="14" a="1"/>
  <c r="AC8" i="14" s="1"/>
  <c r="AZ8" i="14" a="1"/>
  <c r="AZ8" i="14" s="1"/>
  <c r="AD8" i="14" a="1"/>
  <c r="AD8" i="14" s="1"/>
  <c r="CA8" i="14" a="1"/>
  <c r="CA8" i="14" s="1"/>
  <c r="H8" i="14" a="1"/>
  <c r="H8" i="14" s="1"/>
  <c r="AF8" i="14" a="1"/>
  <c r="AF8" i="14" s="1"/>
  <c r="AP8" i="14" a="1"/>
  <c r="AP8" i="14" s="1"/>
  <c r="BI8" i="14" a="1"/>
  <c r="BI8" i="14" s="1"/>
  <c r="BN8" i="14" a="1"/>
  <c r="BN8" i="14" s="1"/>
  <c r="CL8" i="14" a="1"/>
  <c r="CL8" i="14" s="1"/>
  <c r="B16" i="14" a="1"/>
  <c r="B16" i="14" s="1"/>
  <c r="D16" i="14" a="1"/>
  <c r="D16" i="14" s="1"/>
  <c r="K16" i="14" a="1"/>
  <c r="K16" i="14" s="1"/>
  <c r="Q16" i="14" a="1"/>
  <c r="Q16" i="14" s="1"/>
  <c r="W16" i="14" a="1"/>
  <c r="W16" i="14" s="1"/>
  <c r="AP16" i="14" a="1"/>
  <c r="AP16" i="14" s="1"/>
  <c r="AV16" i="14" a="1"/>
  <c r="AV16" i="14" s="1"/>
  <c r="BB16" i="14" a="1"/>
  <c r="BB16" i="14" s="1"/>
  <c r="BI16" i="14" a="1"/>
  <c r="BI16" i="14" s="1"/>
  <c r="BO16" i="14" a="1"/>
  <c r="BO16" i="14" s="1"/>
  <c r="BU16" i="14" a="1"/>
  <c r="BU16" i="14" s="1"/>
  <c r="BZ16" i="14" a="1"/>
  <c r="BZ16" i="14" s="1"/>
  <c r="CL16" i="14" a="1"/>
  <c r="CL16" i="14" s="1"/>
  <c r="CR16" i="14" a="1"/>
  <c r="CR16" i="14" s="1"/>
  <c r="E16" i="14" a="1"/>
  <c r="E16" i="14" s="1"/>
  <c r="R16" i="14" a="1"/>
  <c r="R16" i="14" s="1"/>
  <c r="AD16" i="14" a="1"/>
  <c r="AD16" i="14" s="1"/>
  <c r="AJ16" i="14" a="1"/>
  <c r="AJ16" i="14" s="1"/>
  <c r="AQ16" i="14" a="1"/>
  <c r="AQ16" i="14" s="1"/>
  <c r="AW16" i="14" a="1"/>
  <c r="AW16" i="14" s="1"/>
  <c r="BC16" i="14" a="1"/>
  <c r="BC16" i="14" s="1"/>
  <c r="CA16" i="14" a="1"/>
  <c r="CA16" i="14" s="1"/>
  <c r="CG16" i="14" a="1"/>
  <c r="CG16" i="14" s="1"/>
  <c r="CM16" i="14" a="1"/>
  <c r="CM16" i="14" s="1"/>
  <c r="G16" i="14" a="1"/>
  <c r="G16" i="14" s="1"/>
  <c r="T16" i="14" a="1"/>
  <c r="T16" i="14" s="1"/>
  <c r="Y16" i="14" a="1"/>
  <c r="Y16" i="14" s="1"/>
  <c r="AF16" i="14" a="1"/>
  <c r="AF16" i="14" s="1"/>
  <c r="AL16" i="14" a="1"/>
  <c r="AL16" i="14" s="1"/>
  <c r="AR16" i="14" a="1"/>
  <c r="AR16" i="14" s="1"/>
  <c r="AY16" i="14" a="1"/>
  <c r="AY16" i="14" s="1"/>
  <c r="BD16" i="14" a="1"/>
  <c r="BD16" i="14" s="1"/>
  <c r="BK16" i="14" a="1"/>
  <c r="BK16" i="14" s="1"/>
  <c r="BQ16" i="14" a="1"/>
  <c r="BQ16" i="14" s="1"/>
  <c r="BW16" i="14" a="1"/>
  <c r="BW16" i="14" s="1"/>
  <c r="CC16" i="14" a="1"/>
  <c r="CC16" i="14" s="1"/>
  <c r="CH16" i="14" a="1"/>
  <c r="CH16" i="14" s="1"/>
  <c r="N16" i="14" a="1"/>
  <c r="N16" i="14" s="1"/>
  <c r="X16" i="14" a="1"/>
  <c r="X16" i="14" s="1"/>
  <c r="AH16" i="14" a="1"/>
  <c r="AH16" i="14" s="1"/>
  <c r="BV16" i="14" a="1"/>
  <c r="BV16" i="14" s="1"/>
  <c r="CO16" i="14" a="1"/>
  <c r="CO16" i="14" s="1"/>
  <c r="F16" i="14" a="1"/>
  <c r="F16" i="14" s="1"/>
  <c r="O16" i="14" a="1"/>
  <c r="O16" i="14" s="1"/>
  <c r="Z16" i="14" a="1"/>
  <c r="Z16" i="14" s="1"/>
  <c r="AI16" i="14" a="1"/>
  <c r="AI16" i="14" s="1"/>
  <c r="AS16" i="14" a="1"/>
  <c r="AS16" i="14" s="1"/>
  <c r="BM16" i="14" a="1"/>
  <c r="BM16" i="14" s="1"/>
  <c r="CF16" i="14" a="1"/>
  <c r="CF16" i="14" s="1"/>
  <c r="H16" i="14" a="1"/>
  <c r="H16" i="14" s="1"/>
  <c r="P16" i="14" a="1"/>
  <c r="P16" i="14" s="1"/>
  <c r="AA16" i="14" a="1"/>
  <c r="AA16" i="14" s="1"/>
  <c r="AK16" i="14" a="1"/>
  <c r="AK16" i="14" s="1"/>
  <c r="AT16" i="14" a="1"/>
  <c r="AT16" i="14" s="1"/>
  <c r="BE16" i="14" a="1"/>
  <c r="BE16" i="14" s="1"/>
  <c r="BN16" i="14" a="1"/>
  <c r="BN16" i="14" s="1"/>
  <c r="BX16" i="14" a="1"/>
  <c r="BX16" i="14" s="1"/>
  <c r="CP16" i="14" a="1"/>
  <c r="CP16" i="14" s="1"/>
  <c r="I16" i="14" a="1"/>
  <c r="I16" i="14" s="1"/>
  <c r="S16" i="14" a="1"/>
  <c r="S16" i="14" s="1"/>
  <c r="AB16" i="14" a="1"/>
  <c r="AB16" i="14" s="1"/>
  <c r="AM16" i="14" a="1"/>
  <c r="AM16" i="14" s="1"/>
  <c r="AU16" i="14" a="1"/>
  <c r="AU16" i="14" s="1"/>
  <c r="BF16" i="14" a="1"/>
  <c r="BF16" i="14" s="1"/>
  <c r="BP16" i="14" a="1"/>
  <c r="BP16" i="14" s="1"/>
  <c r="CI16" i="14" a="1"/>
  <c r="CI16" i="14" s="1"/>
  <c r="CQ16" i="14" a="1"/>
  <c r="CQ16" i="14" s="1"/>
  <c r="AC16" i="14" a="1"/>
  <c r="AC16" i="14" s="1"/>
  <c r="AN16" i="14" a="1"/>
  <c r="AN16" i="14" s="1"/>
  <c r="AX16" i="14" a="1"/>
  <c r="AX16" i="14" s="1"/>
  <c r="BG16" i="14" a="1"/>
  <c r="BG16" i="14" s="1"/>
  <c r="BY16" i="14" a="1"/>
  <c r="BY16" i="14" s="1"/>
  <c r="CS16" i="14" a="1"/>
  <c r="CS16" i="14" s="1"/>
  <c r="L16" i="14" a="1"/>
  <c r="L16" i="14" s="1"/>
  <c r="BJ16" i="14" a="1"/>
  <c r="BJ16" i="14" s="1"/>
  <c r="BS16" i="14" a="1"/>
  <c r="BS16" i="14" s="1"/>
  <c r="CD16" i="14" a="1"/>
  <c r="CD16" i="14" s="1"/>
  <c r="CK16" i="14" a="1"/>
  <c r="CK16" i="14" s="1"/>
  <c r="AO16" i="14" a="1"/>
  <c r="AO16" i="14" s="1"/>
  <c r="CB16" i="14" a="1"/>
  <c r="CB16" i="14" s="1"/>
  <c r="C16" i="14" a="1"/>
  <c r="C16" i="14" s="1"/>
  <c r="CE16" i="14" a="1"/>
  <c r="CE16" i="14" s="1"/>
  <c r="J16" i="14" a="1"/>
  <c r="J16" i="14" s="1"/>
  <c r="AZ16" i="14" a="1"/>
  <c r="AZ16" i="14" s="1"/>
  <c r="CJ16" i="14" a="1"/>
  <c r="CJ16" i="14" s="1"/>
  <c r="M16" i="14" a="1"/>
  <c r="M16" i="14" s="1"/>
  <c r="BA16" i="14" a="1"/>
  <c r="BA16" i="14" s="1"/>
  <c r="CN16" i="14" a="1"/>
  <c r="CN16" i="14" s="1"/>
  <c r="U16" i="14" a="1"/>
  <c r="U16" i="14" s="1"/>
  <c r="BH16" i="14" a="1"/>
  <c r="BH16" i="14" s="1"/>
  <c r="AE16" i="14" a="1"/>
  <c r="AE16" i="14" s="1"/>
  <c r="BR16" i="14" a="1"/>
  <c r="BR16" i="14" s="1"/>
  <c r="V16" i="14" a="1"/>
  <c r="V16" i="14" s="1"/>
  <c r="AG16" i="14" a="1"/>
  <c r="AG16" i="14" s="1"/>
  <c r="BL16" i="14" a="1"/>
  <c r="BL16" i="14" s="1"/>
  <c r="BT16" i="14" a="1"/>
  <c r="BT16" i="14" s="1"/>
  <c r="B24" i="14" a="1"/>
  <c r="B24" i="14" s="1"/>
  <c r="D24" i="14" a="1"/>
  <c r="D24" i="14" s="1"/>
  <c r="J24" i="14" a="1"/>
  <c r="J24" i="14" s="1"/>
  <c r="O24" i="14" a="1"/>
  <c r="O24" i="14" s="1"/>
  <c r="AA24" i="14" a="1"/>
  <c r="AA24" i="14" s="1"/>
  <c r="AG24" i="14" a="1"/>
  <c r="AG24" i="14" s="1"/>
  <c r="AM24" i="14" a="1"/>
  <c r="AM24" i="14" s="1"/>
  <c r="AX24" i="14" a="1"/>
  <c r="AX24" i="14" s="1"/>
  <c r="BJ24" i="14" a="1"/>
  <c r="BJ24" i="14" s="1"/>
  <c r="BP24" i="14" a="1"/>
  <c r="BP24" i="14" s="1"/>
  <c r="BV24" i="14" a="1"/>
  <c r="BV24" i="14" s="1"/>
  <c r="CA24" i="14" a="1"/>
  <c r="CA24" i="14" s="1"/>
  <c r="CM24" i="14" a="1"/>
  <c r="CM24" i="14" s="1"/>
  <c r="CS24" i="14" a="1"/>
  <c r="CS24" i="14" s="1"/>
  <c r="E24" i="14" a="1"/>
  <c r="E24" i="14" s="1"/>
  <c r="P24" i="14" a="1"/>
  <c r="P24" i="14" s="1"/>
  <c r="V24" i="14" a="1"/>
  <c r="V24" i="14" s="1"/>
  <c r="AB24" i="14" a="1"/>
  <c r="AB24" i="14" s="1"/>
  <c r="AN24" i="14" a="1"/>
  <c r="AN24" i="14" s="1"/>
  <c r="AS24" i="14" a="1"/>
  <c r="AS24" i="14" s="1"/>
  <c r="AY24" i="14" a="1"/>
  <c r="AY24" i="14" s="1"/>
  <c r="BE24" i="14" a="1"/>
  <c r="BE24" i="14" s="1"/>
  <c r="BQ24" i="14" a="1"/>
  <c r="BQ24" i="14" s="1"/>
  <c r="CB24" i="14" a="1"/>
  <c r="CB24" i="14" s="1"/>
  <c r="CH24" i="14" a="1"/>
  <c r="CH24" i="14" s="1"/>
  <c r="CN24" i="14" a="1"/>
  <c r="CN24" i="14" s="1"/>
  <c r="K24" i="14" a="1"/>
  <c r="K24" i="14" s="1"/>
  <c r="Q24" i="14" a="1"/>
  <c r="Q24" i="14" s="1"/>
  <c r="W24" i="14" a="1"/>
  <c r="W24" i="14" s="1"/>
  <c r="AH24" i="14" a="1"/>
  <c r="AH24" i="14" s="1"/>
  <c r="AT24" i="14" a="1"/>
  <c r="AT24" i="14" s="1"/>
  <c r="AZ24" i="14" a="1"/>
  <c r="AZ24" i="14" s="1"/>
  <c r="BF24" i="14" a="1"/>
  <c r="BF24" i="14" s="1"/>
  <c r="BK24" i="14" a="1"/>
  <c r="BK24" i="14" s="1"/>
  <c r="BW24" i="14" a="1"/>
  <c r="BW24" i="14" s="1"/>
  <c r="CC24" i="14" a="1"/>
  <c r="CC24" i="14" s="1"/>
  <c r="CI24" i="14" a="1"/>
  <c r="CI24" i="14" s="1"/>
  <c r="G24" i="14" a="1"/>
  <c r="G24" i="14" s="1"/>
  <c r="R24" i="14" a="1"/>
  <c r="R24" i="14" s="1"/>
  <c r="AD24" i="14" a="1"/>
  <c r="AD24" i="14" s="1"/>
  <c r="AJ24" i="14" a="1"/>
  <c r="AJ24" i="14" s="1"/>
  <c r="AP24" i="14" a="1"/>
  <c r="AP24" i="14" s="1"/>
  <c r="AU24" i="14" a="1"/>
  <c r="AU24" i="14" s="1"/>
  <c r="BG24" i="14" a="1"/>
  <c r="BG24" i="14" s="1"/>
  <c r="BM24" i="14" a="1"/>
  <c r="BM24" i="14" s="1"/>
  <c r="BS24" i="14" a="1"/>
  <c r="BS24" i="14" s="1"/>
  <c r="CD24" i="14" a="1"/>
  <c r="CD24" i="14" s="1"/>
  <c r="CP24" i="14" a="1"/>
  <c r="CP24" i="14" s="1"/>
  <c r="N24" i="14" a="1"/>
  <c r="N24" i="14" s="1"/>
  <c r="Z24" i="14" a="1"/>
  <c r="Z24" i="14" s="1"/>
  <c r="AW24" i="14" a="1"/>
  <c r="AW24" i="14" s="1"/>
  <c r="CF24" i="14" a="1"/>
  <c r="CF24" i="14" s="1"/>
  <c r="CQ24" i="14" a="1"/>
  <c r="CQ24" i="14" s="1"/>
  <c r="F24" i="14" a="1"/>
  <c r="F24" i="14" s="1"/>
  <c r="AC24" i="14" a="1"/>
  <c r="AC24" i="14" s="1"/>
  <c r="AO24" i="14" a="1"/>
  <c r="AO24" i="14" s="1"/>
  <c r="BA24" i="14" a="1"/>
  <c r="BA24" i="14" s="1"/>
  <c r="BL24" i="14" a="1"/>
  <c r="BL24" i="14" s="1"/>
  <c r="BX24" i="14" a="1"/>
  <c r="BX24" i="14" s="1"/>
  <c r="CJ24" i="14" a="1"/>
  <c r="CJ24" i="14" s="1"/>
  <c r="H24" i="14" a="1"/>
  <c r="H24" i="14" s="1"/>
  <c r="S24" i="14" a="1"/>
  <c r="S24" i="14" s="1"/>
  <c r="BB24" i="14" a="1"/>
  <c r="BB24" i="14" s="1"/>
  <c r="BY24" i="14" a="1"/>
  <c r="BY24" i="14" s="1"/>
  <c r="CK24" i="14" a="1"/>
  <c r="CK24" i="14" s="1"/>
  <c r="L24" i="14" a="1"/>
  <c r="L24" i="14" s="1"/>
  <c r="X24" i="14" a="1"/>
  <c r="X24" i="14" s="1"/>
  <c r="AI24" i="14" a="1"/>
  <c r="AI24" i="14" s="1"/>
  <c r="BR24" i="14" a="1"/>
  <c r="BR24" i="14" s="1"/>
  <c r="CO24" i="14" a="1"/>
  <c r="CO24" i="14" s="1"/>
  <c r="AL24" i="14" a="1"/>
  <c r="AL24" i="14" s="1"/>
  <c r="BI24" i="14" a="1"/>
  <c r="BI24" i="14" s="1"/>
  <c r="CG24" i="14" a="1"/>
  <c r="CG24" i="14" s="1"/>
  <c r="T24" i="14" a="1"/>
  <c r="T24" i="14" s="1"/>
  <c r="AQ24" i="14" a="1"/>
  <c r="AQ24" i="14" s="1"/>
  <c r="BN24" i="14" a="1"/>
  <c r="BN24" i="14" s="1"/>
  <c r="CL24" i="14" a="1"/>
  <c r="CL24" i="14" s="1"/>
  <c r="U24" i="14" a="1"/>
  <c r="U24" i="14" s="1"/>
  <c r="Y24" i="14" a="1"/>
  <c r="Y24" i="14" s="1"/>
  <c r="AV24" i="14" a="1"/>
  <c r="AV24" i="14" s="1"/>
  <c r="BT24" i="14" a="1"/>
  <c r="BT24" i="14" s="1"/>
  <c r="C24" i="14" a="1"/>
  <c r="C24" i="14" s="1"/>
  <c r="BU24" i="14" a="1"/>
  <c r="BU24" i="14" s="1"/>
  <c r="CR24" i="14" a="1"/>
  <c r="CR24" i="14" s="1"/>
  <c r="I24" i="14" a="1"/>
  <c r="I24" i="14" s="1"/>
  <c r="AF24" i="14" a="1"/>
  <c r="AF24" i="14" s="1"/>
  <c r="BD24" i="14" a="1"/>
  <c r="BD24" i="14" s="1"/>
  <c r="BZ24" i="14" a="1"/>
  <c r="BZ24" i="14" s="1"/>
  <c r="M24" i="14" a="1"/>
  <c r="M24" i="14" s="1"/>
  <c r="CE24" i="14" a="1"/>
  <c r="CE24" i="14" s="1"/>
  <c r="AE24" i="14" a="1"/>
  <c r="AE24" i="14" s="1"/>
  <c r="AK24" i="14" a="1"/>
  <c r="AK24" i="14" s="1"/>
  <c r="AR24" i="14" a="1"/>
  <c r="AR24" i="14" s="1"/>
  <c r="BC24" i="14" a="1"/>
  <c r="BC24" i="14" s="1"/>
  <c r="BO24" i="14" a="1"/>
  <c r="BO24" i="14" s="1"/>
  <c r="BH24" i="14" a="1"/>
  <c r="BH24" i="14" s="1"/>
  <c r="B32" i="14" a="1"/>
  <c r="B32" i="14" s="1"/>
  <c r="F32" i="14" a="1"/>
  <c r="F32" i="14" s="1"/>
  <c r="L32" i="14" a="1"/>
  <c r="L32" i="14" s="1"/>
  <c r="X32" i="14" a="1"/>
  <c r="X32" i="14" s="1"/>
  <c r="AD32" i="14" a="1"/>
  <c r="AD32" i="14" s="1"/>
  <c r="AP32" i="14" a="1"/>
  <c r="AP32" i="14" s="1"/>
  <c r="AU32" i="14" a="1"/>
  <c r="AU32" i="14" s="1"/>
  <c r="BA32" i="14" a="1"/>
  <c r="BA32" i="14" s="1"/>
  <c r="BG32" i="14" a="1"/>
  <c r="BG32" i="14" s="1"/>
  <c r="M32" i="14" a="1"/>
  <c r="M32" i="14" s="1"/>
  <c r="R32" i="14" a="1"/>
  <c r="R32" i="14" s="1"/>
  <c r="Y32" i="14" a="1"/>
  <c r="Y32" i="14" s="1"/>
  <c r="AE32" i="14" a="1"/>
  <c r="AE32" i="14" s="1"/>
  <c r="AJ32" i="14" a="1"/>
  <c r="AJ32" i="14" s="1"/>
  <c r="AV32" i="14" a="1"/>
  <c r="AV32" i="14" s="1"/>
  <c r="BB32" i="14" a="1"/>
  <c r="BB32" i="14" s="1"/>
  <c r="BH32" i="14" a="1"/>
  <c r="BH32" i="14" s="1"/>
  <c r="BN32" i="14" a="1"/>
  <c r="BN32" i="14" s="1"/>
  <c r="BY32" i="14" a="1"/>
  <c r="BY32" i="14" s="1"/>
  <c r="CK32" i="14" a="1"/>
  <c r="CK32" i="14" s="1"/>
  <c r="CQ32" i="14" a="1"/>
  <c r="CQ32" i="14" s="1"/>
  <c r="C32" i="14" a="1"/>
  <c r="C32" i="14" s="1"/>
  <c r="H32" i="14" a="1"/>
  <c r="H32" i="14" s="1"/>
  <c r="T32" i="14" a="1"/>
  <c r="T32" i="14" s="1"/>
  <c r="Z32" i="14" a="1"/>
  <c r="Z32" i="14" s="1"/>
  <c r="AG32" i="14" a="1"/>
  <c r="AG32" i="14" s="1"/>
  <c r="BJ32" i="14" a="1"/>
  <c r="BJ32" i="14" s="1"/>
  <c r="BO32" i="14" a="1"/>
  <c r="BO32" i="14" s="1"/>
  <c r="BU32" i="14" a="1"/>
  <c r="BU32" i="14" s="1"/>
  <c r="CG32" i="14" a="1"/>
  <c r="CG32" i="14" s="1"/>
  <c r="CL32" i="14" a="1"/>
  <c r="CL32" i="14" s="1"/>
  <c r="CS32" i="14" a="1"/>
  <c r="CS32" i="14" s="1"/>
  <c r="I32" i="14" a="1"/>
  <c r="I32" i="14" s="1"/>
  <c r="O32" i="14" a="1"/>
  <c r="O32" i="14" s="1"/>
  <c r="U32" i="14" a="1"/>
  <c r="U32" i="14" s="1"/>
  <c r="AL32" i="14" a="1"/>
  <c r="AL32" i="14" s="1"/>
  <c r="AR32" i="14" a="1"/>
  <c r="AR32" i="14" s="1"/>
  <c r="AX32" i="14" a="1"/>
  <c r="AX32" i="14" s="1"/>
  <c r="BD32" i="14" a="1"/>
  <c r="BD32" i="14" s="1"/>
  <c r="BP32" i="14" a="1"/>
  <c r="BP32" i="14" s="1"/>
  <c r="BV32" i="14" a="1"/>
  <c r="BV32" i="14" s="1"/>
  <c r="CA32" i="14" a="1"/>
  <c r="CA32" i="14" s="1"/>
  <c r="CM32" i="14" a="1"/>
  <c r="CM32" i="14" s="1"/>
  <c r="E32" i="14" a="1"/>
  <c r="E32" i="14" s="1"/>
  <c r="K32" i="14" a="1"/>
  <c r="K32" i="14" s="1"/>
  <c r="P32" i="14" a="1"/>
  <c r="P32" i="14" s="1"/>
  <c r="W32" i="14" a="1"/>
  <c r="W32" i="14" s="1"/>
  <c r="AB32" i="14" a="1"/>
  <c r="AB32" i="14" s="1"/>
  <c r="AN32" i="14" a="1"/>
  <c r="AN32" i="14" s="1"/>
  <c r="AT32" i="14" a="1"/>
  <c r="AT32" i="14" s="1"/>
  <c r="BL32" i="14" a="1"/>
  <c r="BL32" i="14" s="1"/>
  <c r="BW32" i="14" a="1"/>
  <c r="BW32" i="14" s="1"/>
  <c r="CC32" i="14" a="1"/>
  <c r="CC32" i="14" s="1"/>
  <c r="CI32" i="14" a="1"/>
  <c r="CI32" i="14" s="1"/>
  <c r="CO32" i="14" a="1"/>
  <c r="CO32" i="14" s="1"/>
  <c r="V32" i="14" a="1"/>
  <c r="V32" i="14" s="1"/>
  <c r="AK32" i="14" a="1"/>
  <c r="AK32" i="14" s="1"/>
  <c r="AZ32" i="14" a="1"/>
  <c r="AZ32" i="14" s="1"/>
  <c r="G32" i="14" a="1"/>
  <c r="G32" i="14" s="1"/>
  <c r="AM32" i="14" a="1"/>
  <c r="AM32" i="14" s="1"/>
  <c r="BC32" i="14" a="1"/>
  <c r="BC32" i="14" s="1"/>
  <c r="BQ32" i="14" a="1"/>
  <c r="BQ32" i="14" s="1"/>
  <c r="CB32" i="14" a="1"/>
  <c r="CB32" i="14" s="1"/>
  <c r="CN32" i="14" a="1"/>
  <c r="CN32" i="14" s="1"/>
  <c r="J32" i="14" a="1"/>
  <c r="J32" i="14" s="1"/>
  <c r="AO32" i="14" a="1"/>
  <c r="AO32" i="14" s="1"/>
  <c r="BE32" i="14" a="1"/>
  <c r="BE32" i="14" s="1"/>
  <c r="BR32" i="14" a="1"/>
  <c r="BR32" i="14" s="1"/>
  <c r="CD32" i="14" a="1"/>
  <c r="CD32" i="14" s="1"/>
  <c r="CP32" i="14" a="1"/>
  <c r="CP32" i="14" s="1"/>
  <c r="AA32" i="14" a="1"/>
  <c r="AA32" i="14" s="1"/>
  <c r="AQ32" i="14" a="1"/>
  <c r="AQ32" i="14" s="1"/>
  <c r="BF32" i="14" a="1"/>
  <c r="BF32" i="14" s="1"/>
  <c r="BS32" i="14" a="1"/>
  <c r="BS32" i="14" s="1"/>
  <c r="CE32" i="14" a="1"/>
  <c r="CE32" i="14" s="1"/>
  <c r="N32" i="14" a="1"/>
  <c r="N32" i="14" s="1"/>
  <c r="AC32" i="14" a="1"/>
  <c r="AC32" i="14" s="1"/>
  <c r="AS32" i="14" a="1"/>
  <c r="AS32" i="14" s="1"/>
  <c r="BI32" i="14" a="1"/>
  <c r="BI32" i="14" s="1"/>
  <c r="BT32" i="14" a="1"/>
  <c r="BT32" i="14" s="1"/>
  <c r="CF32" i="14" a="1"/>
  <c r="CF32" i="14" s="1"/>
  <c r="CR32" i="14" a="1"/>
  <c r="CR32" i="14" s="1"/>
  <c r="AF32" i="14" a="1"/>
  <c r="AF32" i="14" s="1"/>
  <c r="BK32" i="14" a="1"/>
  <c r="BK32" i="14" s="1"/>
  <c r="CH32" i="14" a="1"/>
  <c r="CH32" i="14" s="1"/>
  <c r="D32" i="14" a="1"/>
  <c r="D32" i="14" s="1"/>
  <c r="S32" i="14" a="1"/>
  <c r="S32" i="14" s="1"/>
  <c r="AI32" i="14" a="1"/>
  <c r="AI32" i="14" s="1"/>
  <c r="AY32" i="14" a="1"/>
  <c r="AY32" i="14" s="1"/>
  <c r="BX32" i="14" a="1"/>
  <c r="BX32" i="14" s="1"/>
  <c r="CJ32" i="14" a="1"/>
  <c r="CJ32" i="14" s="1"/>
  <c r="Q32" i="14" a="1"/>
  <c r="Q32" i="14" s="1"/>
  <c r="AH32" i="14" a="1"/>
  <c r="AH32" i="14" s="1"/>
  <c r="AW32" i="14" a="1"/>
  <c r="AW32" i="14" s="1"/>
  <c r="BM32" i="14" a="1"/>
  <c r="BM32" i="14" s="1"/>
  <c r="BZ32" i="14" a="1"/>
  <c r="BZ32" i="14" s="1"/>
  <c r="B9" i="14" a="1"/>
  <c r="B9" i="14" s="1"/>
  <c r="K9" i="14" a="1"/>
  <c r="K9" i="14" s="1"/>
  <c r="P9" i="14" a="1"/>
  <c r="P9" i="14" s="1"/>
  <c r="U9" i="14" a="1"/>
  <c r="U9" i="14" s="1"/>
  <c r="AA9" i="14" a="1"/>
  <c r="AA9" i="14" s="1"/>
  <c r="AK9" i="14" a="1"/>
  <c r="AK9" i="14" s="1"/>
  <c r="AW9" i="14" a="1"/>
  <c r="AW9" i="14" s="1"/>
  <c r="BB9" i="14" a="1"/>
  <c r="BB9" i="14" s="1"/>
  <c r="BM9" i="14" a="1"/>
  <c r="BM9" i="14" s="1"/>
  <c r="BR9" i="14" a="1"/>
  <c r="BR9" i="14" s="1"/>
  <c r="BX9" i="14" a="1"/>
  <c r="BX9" i="14" s="1"/>
  <c r="CD9" i="14" a="1"/>
  <c r="CD9" i="14" s="1"/>
  <c r="CI9" i="14" a="1"/>
  <c r="CI9" i="14" s="1"/>
  <c r="CN9" i="14" a="1"/>
  <c r="CN9" i="14" s="1"/>
  <c r="F9" i="14" a="1"/>
  <c r="F9" i="14" s="1"/>
  <c r="L9" i="14" a="1"/>
  <c r="L9" i="14" s="1"/>
  <c r="R9" i="14" a="1"/>
  <c r="R9" i="14" s="1"/>
  <c r="W9" i="14" a="1"/>
  <c r="W9" i="14" s="1"/>
  <c r="AB9" i="14" a="1"/>
  <c r="AB9" i="14" s="1"/>
  <c r="AH9" i="14" a="1"/>
  <c r="AH9" i="14" s="1"/>
  <c r="AM9" i="14" a="1"/>
  <c r="AM9" i="14" s="1"/>
  <c r="BT9" i="14" a="1"/>
  <c r="BT9" i="14" s="1"/>
  <c r="BY9" i="14" a="1"/>
  <c r="BY9" i="14" s="1"/>
  <c r="CE9" i="14" a="1"/>
  <c r="CE9" i="14" s="1"/>
  <c r="CJ9" i="14" a="1"/>
  <c r="CJ9" i="14" s="1"/>
  <c r="CO9" i="14" a="1"/>
  <c r="CO9" i="14" s="1"/>
  <c r="G9" i="14" a="1"/>
  <c r="G9" i="14" s="1"/>
  <c r="AN9" i="14" a="1"/>
  <c r="AN9" i="14" s="1"/>
  <c r="AS9" i="14" a="1"/>
  <c r="AS9" i="14" s="1"/>
  <c r="AY9" i="14" a="1"/>
  <c r="AY9" i="14" s="1"/>
  <c r="BD9" i="14" a="1"/>
  <c r="BD9" i="14" s="1"/>
  <c r="BI9" i="14" a="1"/>
  <c r="BI9" i="14" s="1"/>
  <c r="BO9" i="14" a="1"/>
  <c r="BO9" i="14" s="1"/>
  <c r="BU9" i="14" a="1"/>
  <c r="BU9" i="14" s="1"/>
  <c r="BZ9" i="14" a="1"/>
  <c r="BZ9" i="14" s="1"/>
  <c r="CK9" i="14" a="1"/>
  <c r="CK9" i="14" s="1"/>
  <c r="CP9" i="14" a="1"/>
  <c r="CP9" i="14" s="1"/>
  <c r="H9" i="14" a="1"/>
  <c r="H9" i="14" s="1"/>
  <c r="M9" i="14" a="1"/>
  <c r="M9" i="14" s="1"/>
  <c r="S9" i="14" a="1"/>
  <c r="S9" i="14" s="1"/>
  <c r="X9" i="14" a="1"/>
  <c r="X9" i="14" s="1"/>
  <c r="AC9" i="14" a="1"/>
  <c r="AC9" i="14" s="1"/>
  <c r="AI9" i="14" a="1"/>
  <c r="AI9" i="14" s="1"/>
  <c r="AO9" i="14" a="1"/>
  <c r="AO9" i="14" s="1"/>
  <c r="AT9" i="14" a="1"/>
  <c r="AT9" i="14" s="1"/>
  <c r="BE9" i="14" a="1"/>
  <c r="BE9" i="14" s="1"/>
  <c r="BJ9" i="14" a="1"/>
  <c r="BJ9" i="14" s="1"/>
  <c r="BV9" i="14" a="1"/>
  <c r="BV9" i="14" s="1"/>
  <c r="CF9" i="14" a="1"/>
  <c r="CF9" i="14" s="1"/>
  <c r="CL9" i="14" a="1"/>
  <c r="CL9" i="14" s="1"/>
  <c r="CQ9" i="14" a="1"/>
  <c r="CQ9" i="14" s="1"/>
  <c r="C9" i="14" a="1"/>
  <c r="C9" i="14" s="1"/>
  <c r="I9" i="14" a="1"/>
  <c r="I9" i="14" s="1"/>
  <c r="N9" i="14" a="1"/>
  <c r="N9" i="14" s="1"/>
  <c r="Y9" i="14" a="1"/>
  <c r="Y9" i="14" s="1"/>
  <c r="AD9" i="14" a="1"/>
  <c r="AD9" i="14" s="1"/>
  <c r="AP9" i="14" a="1"/>
  <c r="AP9" i="14" s="1"/>
  <c r="AZ9" i="14" a="1"/>
  <c r="AZ9" i="14" s="1"/>
  <c r="BF9" i="14" a="1"/>
  <c r="BF9" i="14" s="1"/>
  <c r="BK9" i="14" a="1"/>
  <c r="BK9" i="14" s="1"/>
  <c r="BP9" i="14" a="1"/>
  <c r="BP9" i="14" s="1"/>
  <c r="CA9" i="14" a="1"/>
  <c r="CA9" i="14" s="1"/>
  <c r="CR9" i="14" a="1"/>
  <c r="CR9" i="14" s="1"/>
  <c r="Q9" i="14" a="1"/>
  <c r="Q9" i="14" s="1"/>
  <c r="AF9" i="14" a="1"/>
  <c r="AF9" i="14" s="1"/>
  <c r="AU9" i="14" a="1"/>
  <c r="AU9" i="14" s="1"/>
  <c r="BH9" i="14" a="1"/>
  <c r="BH9" i="14" s="1"/>
  <c r="CM9" i="14" a="1"/>
  <c r="CM9" i="14" s="1"/>
  <c r="D9" i="14" a="1"/>
  <c r="D9" i="14" s="1"/>
  <c r="T9" i="14" a="1"/>
  <c r="T9" i="14" s="1"/>
  <c r="AG9" i="14" a="1"/>
  <c r="AG9" i="14" s="1"/>
  <c r="AV9" i="14" a="1"/>
  <c r="AV9" i="14" s="1"/>
  <c r="BL9" i="14" a="1"/>
  <c r="BL9" i="14" s="1"/>
  <c r="J9" i="14" a="1"/>
  <c r="J9" i="14" s="1"/>
  <c r="V9" i="14" a="1"/>
  <c r="V9" i="14" s="1"/>
  <c r="BN9" i="14" a="1"/>
  <c r="BN9" i="14" s="1"/>
  <c r="CC9" i="14" a="1"/>
  <c r="CC9" i="14" s="1"/>
  <c r="AL9" i="14" a="1"/>
  <c r="AL9" i="14" s="1"/>
  <c r="BG9" i="14" a="1"/>
  <c r="BG9" i="14" s="1"/>
  <c r="CG9" i="14" a="1"/>
  <c r="CG9" i="14" s="1"/>
  <c r="AQ9" i="14" a="1"/>
  <c r="AQ9" i="14" s="1"/>
  <c r="Z9" i="14" a="1"/>
  <c r="Z9" i="14" s="1"/>
  <c r="AR9" i="14" a="1"/>
  <c r="AR9" i="14" s="1"/>
  <c r="BQ9" i="14" a="1"/>
  <c r="BQ9" i="14" s="1"/>
  <c r="AX9" i="14" a="1"/>
  <c r="AX9" i="14" s="1"/>
  <c r="BS9" i="14" a="1"/>
  <c r="BS9" i="14" s="1"/>
  <c r="CS9" i="14" a="1"/>
  <c r="CS9" i="14" s="1"/>
  <c r="E9" i="14" a="1"/>
  <c r="E9" i="14" s="1"/>
  <c r="BA9" i="14" a="1"/>
  <c r="BA9" i="14" s="1"/>
  <c r="BW9" i="14" a="1"/>
  <c r="BW9" i="14" s="1"/>
  <c r="AE9" i="14" a="1"/>
  <c r="AE9" i="14" s="1"/>
  <c r="BC9" i="14" a="1"/>
  <c r="BC9" i="14" s="1"/>
  <c r="CB9" i="14" a="1"/>
  <c r="CB9" i="14" s="1"/>
  <c r="O9" i="14" a="1"/>
  <c r="O9" i="14" s="1"/>
  <c r="AJ9" i="14" a="1"/>
  <c r="AJ9" i="14" s="1"/>
  <c r="CH9" i="14" a="1"/>
  <c r="CH9" i="14" s="1"/>
  <c r="B17" i="14" a="1"/>
  <c r="B17" i="14" s="1"/>
  <c r="X17" i="14" a="1"/>
  <c r="X17" i="14" s="1"/>
  <c r="AD17" i="14" a="1"/>
  <c r="AD17" i="14" s="1"/>
  <c r="G17" i="14" a="1"/>
  <c r="G17" i="14" s="1"/>
  <c r="M17" i="14" a="1"/>
  <c r="M17" i="14" s="1"/>
  <c r="S17" i="14" a="1"/>
  <c r="S17" i="14" s="1"/>
  <c r="C17" i="14" a="1"/>
  <c r="C17" i="14" s="1"/>
  <c r="I17" i="14" a="1"/>
  <c r="I17" i="14" s="1"/>
  <c r="N17" i="14" a="1"/>
  <c r="N17" i="14" s="1"/>
  <c r="U17" i="14" a="1"/>
  <c r="U17" i="14" s="1"/>
  <c r="Z17" i="14" a="1"/>
  <c r="Z17" i="14" s="1"/>
  <c r="F17" i="14" a="1"/>
  <c r="F17" i="14" s="1"/>
  <c r="P17" i="14" a="1"/>
  <c r="P17" i="14" s="1"/>
  <c r="Y17" i="14" a="1"/>
  <c r="Y17" i="14" s="1"/>
  <c r="AM17" i="14" a="1"/>
  <c r="AM17" i="14" s="1"/>
  <c r="AS17" i="14" a="1"/>
  <c r="AS17" i="14" s="1"/>
  <c r="AY17" i="14" a="1"/>
  <c r="AY17" i="14" s="1"/>
  <c r="H17" i="14" a="1"/>
  <c r="H17" i="14" s="1"/>
  <c r="Q17" i="14" a="1"/>
  <c r="Q17" i="14" s="1"/>
  <c r="AA17" i="14" a="1"/>
  <c r="AA17" i="14" s="1"/>
  <c r="AH17" i="14" a="1"/>
  <c r="AH17" i="14" s="1"/>
  <c r="AN17" i="14" a="1"/>
  <c r="AN17" i="14" s="1"/>
  <c r="AZ17" i="14" a="1"/>
  <c r="AZ17" i="14" s="1"/>
  <c r="J17" i="14" a="1"/>
  <c r="J17" i="14" s="1"/>
  <c r="R17" i="14" a="1"/>
  <c r="R17" i="14" s="1"/>
  <c r="AB17" i="14" a="1"/>
  <c r="AB17" i="14" s="1"/>
  <c r="AI17" i="14" a="1"/>
  <c r="AI17" i="14" s="1"/>
  <c r="AO17" i="14" a="1"/>
  <c r="AO17" i="14" s="1"/>
  <c r="AT17" i="14" a="1"/>
  <c r="AT17" i="14" s="1"/>
  <c r="BA17" i="14" a="1"/>
  <c r="BA17" i="14" s="1"/>
  <c r="BF17" i="14" a="1"/>
  <c r="BF17" i="14" s="1"/>
  <c r="BK17" i="14" a="1"/>
  <c r="BK17" i="14" s="1"/>
  <c r="BW17" i="14" a="1"/>
  <c r="BW17" i="14" s="1"/>
  <c r="CC17" i="14" a="1"/>
  <c r="CC17" i="14" s="1"/>
  <c r="CH17" i="14" a="1"/>
  <c r="CH17" i="14" s="1"/>
  <c r="CN17" i="14" a="1"/>
  <c r="CN17" i="14" s="1"/>
  <c r="T17" i="14" a="1"/>
  <c r="T17" i="14" s="1"/>
  <c r="AC17" i="14" a="1"/>
  <c r="AC17" i="14" s="1"/>
  <c r="AJ17" i="14" a="1"/>
  <c r="AJ17" i="14" s="1"/>
  <c r="AU17" i="14" a="1"/>
  <c r="AU17" i="14" s="1"/>
  <c r="BB17" i="14" a="1"/>
  <c r="BB17" i="14" s="1"/>
  <c r="BL17" i="14" a="1"/>
  <c r="BL17" i="14" s="1"/>
  <c r="BQ17" i="14" a="1"/>
  <c r="BQ17" i="14" s="1"/>
  <c r="CD17" i="14" a="1"/>
  <c r="CD17" i="14" s="1"/>
  <c r="CI17" i="14" a="1"/>
  <c r="CI17" i="14" s="1"/>
  <c r="K17" i="14" a="1"/>
  <c r="K17" i="14" s="1"/>
  <c r="AP17" i="14" a="1"/>
  <c r="AP17" i="14" s="1"/>
  <c r="AV17" i="14" a="1"/>
  <c r="AV17" i="14" s="1"/>
  <c r="BG17" i="14" a="1"/>
  <c r="BG17" i="14" s="1"/>
  <c r="BM17" i="14" a="1"/>
  <c r="BM17" i="14" s="1"/>
  <c r="BR17" i="14" a="1"/>
  <c r="BR17" i="14" s="1"/>
  <c r="BX17" i="14" a="1"/>
  <c r="BX17" i="14" s="1"/>
  <c r="CJ17" i="14" a="1"/>
  <c r="CJ17" i="14" s="1"/>
  <c r="CO17" i="14" a="1"/>
  <c r="CO17" i="14" s="1"/>
  <c r="AF17" i="14" a="1"/>
  <c r="AF17" i="14" s="1"/>
  <c r="AL17" i="14" a="1"/>
  <c r="AL17" i="14" s="1"/>
  <c r="AQ17" i="14" a="1"/>
  <c r="AQ17" i="14" s="1"/>
  <c r="AX17" i="14" a="1"/>
  <c r="AX17" i="14" s="1"/>
  <c r="BD17" i="14" a="1"/>
  <c r="BD17" i="14" s="1"/>
  <c r="BI17" i="14" a="1"/>
  <c r="BI17" i="14" s="1"/>
  <c r="BN17" i="14" a="1"/>
  <c r="BN17" i="14" s="1"/>
  <c r="BT17" i="14" a="1"/>
  <c r="BT17" i="14" s="1"/>
  <c r="BY17" i="14" a="1"/>
  <c r="BY17" i="14" s="1"/>
  <c r="CL17" i="14" a="1"/>
  <c r="CL17" i="14" s="1"/>
  <c r="CQ17" i="14" a="1"/>
  <c r="CQ17" i="14" s="1"/>
  <c r="V17" i="14" a="1"/>
  <c r="V17" i="14" s="1"/>
  <c r="AW17" i="14" a="1"/>
  <c r="AW17" i="14" s="1"/>
  <c r="BJ17" i="14" a="1"/>
  <c r="BJ17" i="14" s="1"/>
  <c r="BV17" i="14" a="1"/>
  <c r="BV17" i="14" s="1"/>
  <c r="CS17" i="14" a="1"/>
  <c r="CS17" i="14" s="1"/>
  <c r="W17" i="14" a="1"/>
  <c r="W17" i="14" s="1"/>
  <c r="CG17" i="14" a="1"/>
  <c r="CG17" i="14" s="1"/>
  <c r="AE17" i="14" a="1"/>
  <c r="AE17" i="14" s="1"/>
  <c r="BC17" i="14" a="1"/>
  <c r="BC17" i="14" s="1"/>
  <c r="CK17" i="14" a="1"/>
  <c r="CK17" i="14" s="1"/>
  <c r="AG17" i="14" a="1"/>
  <c r="AG17" i="14" s="1"/>
  <c r="BZ17" i="14" a="1"/>
  <c r="BZ17" i="14" s="1"/>
  <c r="D17" i="14" a="1"/>
  <c r="D17" i="14" s="1"/>
  <c r="AK17" i="14" a="1"/>
  <c r="AK17" i="14" s="1"/>
  <c r="BE17" i="14" a="1"/>
  <c r="BE17" i="14" s="1"/>
  <c r="BO17" i="14" a="1"/>
  <c r="BO17" i="14" s="1"/>
  <c r="CA17" i="14" a="1"/>
  <c r="CA17" i="14" s="1"/>
  <c r="CM17" i="14" a="1"/>
  <c r="CM17" i="14" s="1"/>
  <c r="L17" i="14" a="1"/>
  <c r="L17" i="14" s="1"/>
  <c r="BH17" i="14" a="1"/>
  <c r="BH17" i="14" s="1"/>
  <c r="BS17" i="14" a="1"/>
  <c r="BS17" i="14" s="1"/>
  <c r="CE17" i="14" a="1"/>
  <c r="CE17" i="14" s="1"/>
  <c r="CP17" i="14" a="1"/>
  <c r="CP17" i="14" s="1"/>
  <c r="BP17" i="14" a="1"/>
  <c r="BP17" i="14" s="1"/>
  <c r="BU17" i="14" a="1"/>
  <c r="BU17" i="14" s="1"/>
  <c r="E17" i="14" a="1"/>
  <c r="E17" i="14" s="1"/>
  <c r="O17" i="14" a="1"/>
  <c r="O17" i="14" s="1"/>
  <c r="AR17" i="14" a="1"/>
  <c r="AR17" i="14" s="1"/>
  <c r="CB17" i="14" a="1"/>
  <c r="CB17" i="14" s="1"/>
  <c r="CF17" i="14" a="1"/>
  <c r="CF17" i="14" s="1"/>
  <c r="CR17" i="14" a="1"/>
  <c r="CR17" i="14" s="1"/>
  <c r="B25" i="14" a="1"/>
  <c r="B25" i="14" s="1"/>
  <c r="H25" i="14" a="1"/>
  <c r="H25" i="14" s="1"/>
  <c r="I25" i="14" a="1"/>
  <c r="I25" i="14" s="1"/>
  <c r="C25" i="14" a="1"/>
  <c r="C25" i="14" s="1"/>
  <c r="E25" i="14" a="1"/>
  <c r="E25" i="14" s="1"/>
  <c r="K25" i="14" a="1"/>
  <c r="K25" i="14" s="1"/>
  <c r="P25" i="14" a="1"/>
  <c r="P25" i="14" s="1"/>
  <c r="AB25" i="14" a="1"/>
  <c r="AB25" i="14" s="1"/>
  <c r="AH25" i="14" a="1"/>
  <c r="AH25" i="14" s="1"/>
  <c r="AN25" i="14" a="1"/>
  <c r="AN25" i="14" s="1"/>
  <c r="AY25" i="14" a="1"/>
  <c r="AY25" i="14" s="1"/>
  <c r="BK25" i="14" a="1"/>
  <c r="BK25" i="14" s="1"/>
  <c r="BQ25" i="14" a="1"/>
  <c r="BQ25" i="14" s="1"/>
  <c r="BW25" i="14" a="1"/>
  <c r="BW25" i="14" s="1"/>
  <c r="CB25" i="14" a="1"/>
  <c r="CB25" i="14" s="1"/>
  <c r="CI25" i="14" a="1"/>
  <c r="CI25" i="14" s="1"/>
  <c r="CO25" i="14" a="1"/>
  <c r="CO25" i="14" s="1"/>
  <c r="D25" i="14" a="1"/>
  <c r="D25" i="14" s="1"/>
  <c r="L25" i="14" a="1"/>
  <c r="L25" i="14" s="1"/>
  <c r="R25" i="14" a="1"/>
  <c r="R25" i="14" s="1"/>
  <c r="X25" i="14" a="1"/>
  <c r="X25" i="14" s="1"/>
  <c r="AI25" i="14" a="1"/>
  <c r="AI25" i="14" s="1"/>
  <c r="AU25" i="14" a="1"/>
  <c r="AU25" i="14" s="1"/>
  <c r="BA25" i="14" a="1"/>
  <c r="BA25" i="14" s="1"/>
  <c r="BG25" i="14" a="1"/>
  <c r="BG25" i="14" s="1"/>
  <c r="BL25" i="14" a="1"/>
  <c r="BL25" i="14" s="1"/>
  <c r="BX25" i="14" a="1"/>
  <c r="BX25" i="14" s="1"/>
  <c r="CD25" i="14" a="1"/>
  <c r="CD25" i="14" s="1"/>
  <c r="CK25" i="14" a="1"/>
  <c r="CK25" i="14" s="1"/>
  <c r="CP25" i="14" a="1"/>
  <c r="CP25" i="14" s="1"/>
  <c r="F25" i="14" a="1"/>
  <c r="F25" i="14" s="1"/>
  <c r="M25" i="14" a="1"/>
  <c r="M25" i="14" s="1"/>
  <c r="Y25" i="14" a="1"/>
  <c r="Y25" i="14" s="1"/>
  <c r="AD25" i="14" a="1"/>
  <c r="AD25" i="14" s="1"/>
  <c r="AJ25" i="14" a="1"/>
  <c r="AJ25" i="14" s="1"/>
  <c r="AP25" i="14" a="1"/>
  <c r="AP25" i="14" s="1"/>
  <c r="BB25" i="14" a="1"/>
  <c r="BB25" i="14" s="1"/>
  <c r="BM25" i="14" a="1"/>
  <c r="BM25" i="14" s="1"/>
  <c r="BS25" i="14" a="1"/>
  <c r="BS25" i="14" s="1"/>
  <c r="BY25" i="14" a="1"/>
  <c r="BY25" i="14" s="1"/>
  <c r="CE25" i="14" a="1"/>
  <c r="CE25" i="14" s="1"/>
  <c r="O25" i="14" a="1"/>
  <c r="O25" i="14" s="1"/>
  <c r="U25" i="14" a="1"/>
  <c r="U25" i="14" s="1"/>
  <c r="AA25" i="14" a="1"/>
  <c r="AA25" i="14" s="1"/>
  <c r="AF25" i="14" a="1"/>
  <c r="AF25" i="14" s="1"/>
  <c r="AR25" i="14" a="1"/>
  <c r="AR25" i="14" s="1"/>
  <c r="AX25" i="14" a="1"/>
  <c r="AX25" i="14" s="1"/>
  <c r="BD25" i="14" a="1"/>
  <c r="BD25" i="14" s="1"/>
  <c r="BO25" i="14" a="1"/>
  <c r="BO25" i="14" s="1"/>
  <c r="CA25" i="14" a="1"/>
  <c r="CA25" i="14" s="1"/>
  <c r="CH25" i="14" a="1"/>
  <c r="CH25" i="14" s="1"/>
  <c r="CR25" i="14" a="1"/>
  <c r="CR25" i="14" s="1"/>
  <c r="W25" i="14" a="1"/>
  <c r="W25" i="14" s="1"/>
  <c r="AT25" i="14" a="1"/>
  <c r="AT25" i="14" s="1"/>
  <c r="BF25" i="14" a="1"/>
  <c r="BF25" i="14" s="1"/>
  <c r="BR25" i="14" a="1"/>
  <c r="BR25" i="14" s="1"/>
  <c r="CC25" i="14" a="1"/>
  <c r="CC25" i="14" s="1"/>
  <c r="AK25" i="14" a="1"/>
  <c r="AK25" i="14" s="1"/>
  <c r="AV25" i="14" a="1"/>
  <c r="AV25" i="14" s="1"/>
  <c r="BH25" i="14" a="1"/>
  <c r="BH25" i="14" s="1"/>
  <c r="BT25" i="14" a="1"/>
  <c r="BT25" i="14" s="1"/>
  <c r="CF25" i="14" a="1"/>
  <c r="CF25" i="14" s="1"/>
  <c r="CQ25" i="14" a="1"/>
  <c r="CQ25" i="14" s="1"/>
  <c r="AM25" i="14" a="1"/>
  <c r="AM25" i="14" s="1"/>
  <c r="BJ25" i="14" a="1"/>
  <c r="BJ25" i="14" s="1"/>
  <c r="BV25" i="14" a="1"/>
  <c r="BV25" i="14" s="1"/>
  <c r="CS25" i="14" a="1"/>
  <c r="CS25" i="14" s="1"/>
  <c r="Q25" i="14" a="1"/>
  <c r="Q25" i="14" s="1"/>
  <c r="AC25" i="14" a="1"/>
  <c r="AC25" i="14" s="1"/>
  <c r="AO25" i="14" a="1"/>
  <c r="AO25" i="14" s="1"/>
  <c r="AZ25" i="14" a="1"/>
  <c r="AZ25" i="14" s="1"/>
  <c r="CJ25" i="14" a="1"/>
  <c r="CJ25" i="14" s="1"/>
  <c r="G25" i="14" a="1"/>
  <c r="G25" i="14" s="1"/>
  <c r="T25" i="14" a="1"/>
  <c r="T25" i="14" s="1"/>
  <c r="BC25" i="14" a="1"/>
  <c r="BC25" i="14" s="1"/>
  <c r="BZ25" i="14" a="1"/>
  <c r="BZ25" i="14" s="1"/>
  <c r="CM25" i="14" a="1"/>
  <c r="CM25" i="14" s="1"/>
  <c r="Z25" i="14" a="1"/>
  <c r="Z25" i="14" s="1"/>
  <c r="BE25" i="14" a="1"/>
  <c r="BE25" i="14" s="1"/>
  <c r="CL25" i="14" a="1"/>
  <c r="CL25" i="14" s="1"/>
  <c r="AE25" i="14" a="1"/>
  <c r="AE25" i="14" s="1"/>
  <c r="BI25" i="14" a="1"/>
  <c r="BI25" i="14" s="1"/>
  <c r="CN25" i="14" a="1"/>
  <c r="CN25" i="14" s="1"/>
  <c r="AG25" i="14" a="1"/>
  <c r="AG25" i="14" s="1"/>
  <c r="BN25" i="14" a="1"/>
  <c r="BN25" i="14" s="1"/>
  <c r="AL25" i="14" a="1"/>
  <c r="AL25" i="14" s="1"/>
  <c r="BP25" i="14" a="1"/>
  <c r="BP25" i="14" s="1"/>
  <c r="J25" i="14" a="1"/>
  <c r="J25" i="14" s="1"/>
  <c r="AQ25" i="14" a="1"/>
  <c r="AQ25" i="14" s="1"/>
  <c r="BU25" i="14" a="1"/>
  <c r="BU25" i="14" s="1"/>
  <c r="N25" i="14" a="1"/>
  <c r="N25" i="14" s="1"/>
  <c r="AS25" i="14" a="1"/>
  <c r="AS25" i="14" s="1"/>
  <c r="V25" i="14" a="1"/>
  <c r="V25" i="14" s="1"/>
  <c r="CG25" i="14" a="1"/>
  <c r="CG25" i="14" s="1"/>
  <c r="S25" i="14" a="1"/>
  <c r="S25" i="14" s="1"/>
  <c r="AW25" i="14" a="1"/>
  <c r="AW25" i="14" s="1"/>
  <c r="B33" i="14" a="1"/>
  <c r="B33" i="14" s="1"/>
  <c r="F33" i="14" a="1"/>
  <c r="F33" i="14" s="1"/>
  <c r="L33" i="14" a="1"/>
  <c r="L33" i="14" s="1"/>
  <c r="Q33" i="14" a="1"/>
  <c r="Q33" i="14" s="1"/>
  <c r="X33" i="14" a="1"/>
  <c r="X33" i="14" s="1"/>
  <c r="AD33" i="14" a="1"/>
  <c r="AD33" i="14" s="1"/>
  <c r="AU33" i="14" a="1"/>
  <c r="AU33" i="14" s="1"/>
  <c r="BA33" i="14" a="1"/>
  <c r="BA33" i="14" s="1"/>
  <c r="BL33" i="14" a="1"/>
  <c r="BL33" i="14" s="1"/>
  <c r="BX33" i="14" a="1"/>
  <c r="BX33" i="14" s="1"/>
  <c r="CC33" i="14" a="1"/>
  <c r="CC33" i="14" s="1"/>
  <c r="CJ33" i="14" a="1"/>
  <c r="CJ33" i="14" s="1"/>
  <c r="CP33" i="14" a="1"/>
  <c r="CP33" i="14" s="1"/>
  <c r="G33" i="14" a="1"/>
  <c r="G33" i="14" s="1"/>
  <c r="M33" i="14" a="1"/>
  <c r="M33" i="14" s="1"/>
  <c r="S33" i="14" a="1"/>
  <c r="S33" i="14" s="1"/>
  <c r="Y33" i="14" a="1"/>
  <c r="Y33" i="14" s="1"/>
  <c r="AE33" i="14" a="1"/>
  <c r="AE33" i="14" s="1"/>
  <c r="AK33" i="14" a="1"/>
  <c r="AK33" i="14" s="1"/>
  <c r="AP33" i="14" a="1"/>
  <c r="AP33" i="14" s="1"/>
  <c r="AV33" i="14" a="1"/>
  <c r="AV33" i="14" s="1"/>
  <c r="BH33" i="14" a="1"/>
  <c r="BH33" i="14" s="1"/>
  <c r="BN33" i="14" a="1"/>
  <c r="BN33" i="14" s="1"/>
  <c r="BY33" i="14" a="1"/>
  <c r="BY33" i="14" s="1"/>
  <c r="CE33" i="14" a="1"/>
  <c r="CE33" i="14" s="1"/>
  <c r="CK33" i="14" a="1"/>
  <c r="CK33" i="14" s="1"/>
  <c r="CQ33" i="14" a="1"/>
  <c r="CQ33" i="14" s="1"/>
  <c r="H33" i="14" a="1"/>
  <c r="H33" i="14" s="1"/>
  <c r="N33" i="14" a="1"/>
  <c r="N33" i="14" s="1"/>
  <c r="T33" i="14" a="1"/>
  <c r="T33" i="14" s="1"/>
  <c r="Z33" i="14" a="1"/>
  <c r="Z33" i="14" s="1"/>
  <c r="AL33" i="14" a="1"/>
  <c r="AL33" i="14" s="1"/>
  <c r="AQ33" i="14" a="1"/>
  <c r="AQ33" i="14" s="1"/>
  <c r="BC33" i="14" a="1"/>
  <c r="BC33" i="14" s="1"/>
  <c r="BI33" i="14" a="1"/>
  <c r="BI33" i="14" s="1"/>
  <c r="BO33" i="14" a="1"/>
  <c r="BO33" i="14" s="1"/>
  <c r="I33" i="14" a="1"/>
  <c r="I33" i="14" s="1"/>
  <c r="V33" i="14" a="1"/>
  <c r="V33" i="14" s="1"/>
  <c r="AA33" i="14" a="1"/>
  <c r="AA33" i="14" s="1"/>
  <c r="AG33" i="14" a="1"/>
  <c r="AG33" i="14" s="1"/>
  <c r="AM33" i="14" a="1"/>
  <c r="AM33" i="14" s="1"/>
  <c r="AX33" i="14" a="1"/>
  <c r="AX33" i="14" s="1"/>
  <c r="BP33" i="14" a="1"/>
  <c r="BP33" i="14" s="1"/>
  <c r="BU33" i="14" a="1"/>
  <c r="BU33" i="14" s="1"/>
  <c r="CH33" i="14" a="1"/>
  <c r="CH33" i="14" s="1"/>
  <c r="CM33" i="14" a="1"/>
  <c r="CM33" i="14" s="1"/>
  <c r="CS33" i="14" a="1"/>
  <c r="CS33" i="14" s="1"/>
  <c r="U33" i="14" a="1"/>
  <c r="U33" i="14" s="1"/>
  <c r="AF33" i="14" a="1"/>
  <c r="AF33" i="14" s="1"/>
  <c r="AR33" i="14" a="1"/>
  <c r="AR33" i="14" s="1"/>
  <c r="BD33" i="14" a="1"/>
  <c r="BD33" i="14" s="1"/>
  <c r="J33" i="14" a="1"/>
  <c r="J33" i="14" s="1"/>
  <c r="AH33" i="14" a="1"/>
  <c r="AH33" i="14" s="1"/>
  <c r="AS33" i="14" a="1"/>
  <c r="AS33" i="14" s="1"/>
  <c r="BE33" i="14" a="1"/>
  <c r="BE33" i="14" s="1"/>
  <c r="BQ33" i="14" a="1"/>
  <c r="BQ33" i="14" s="1"/>
  <c r="BZ33" i="14" a="1"/>
  <c r="BZ33" i="14" s="1"/>
  <c r="CI33" i="14" a="1"/>
  <c r="CI33" i="14" s="1"/>
  <c r="CR33" i="14" a="1"/>
  <c r="CR33" i="14" s="1"/>
  <c r="K33" i="14" a="1"/>
  <c r="K33" i="14" s="1"/>
  <c r="W33" i="14" a="1"/>
  <c r="W33" i="14" s="1"/>
  <c r="AI33" i="14" a="1"/>
  <c r="AI33" i="14" s="1"/>
  <c r="AT33" i="14" a="1"/>
  <c r="AT33" i="14" s="1"/>
  <c r="BF33" i="14" a="1"/>
  <c r="BF33" i="14" s="1"/>
  <c r="BR33" i="14" a="1"/>
  <c r="BR33" i="14" s="1"/>
  <c r="CA33" i="14" a="1"/>
  <c r="CA33" i="14" s="1"/>
  <c r="AJ33" i="14" a="1"/>
  <c r="AJ33" i="14" s="1"/>
  <c r="BG33" i="14" a="1"/>
  <c r="BG33" i="14" s="1"/>
  <c r="BS33" i="14" a="1"/>
  <c r="BS33" i="14" s="1"/>
  <c r="CB33" i="14" a="1"/>
  <c r="CB33" i="14" s="1"/>
  <c r="CL33" i="14" a="1"/>
  <c r="CL33" i="14" s="1"/>
  <c r="C33" i="14" a="1"/>
  <c r="C33" i="14" s="1"/>
  <c r="O33" i="14" a="1"/>
  <c r="O33" i="14" s="1"/>
  <c r="AW33" i="14" a="1"/>
  <c r="AW33" i="14" s="1"/>
  <c r="BJ33" i="14" a="1"/>
  <c r="BJ33" i="14" s="1"/>
  <c r="BT33" i="14" a="1"/>
  <c r="BT33" i="14" s="1"/>
  <c r="E33" i="14" a="1"/>
  <c r="E33" i="14" s="1"/>
  <c r="AC33" i="14" a="1"/>
  <c r="AC33" i="14" s="1"/>
  <c r="AN33" i="14" a="1"/>
  <c r="AN33" i="14" s="1"/>
  <c r="AZ33" i="14" a="1"/>
  <c r="AZ33" i="14" s="1"/>
  <c r="BV33" i="14" a="1"/>
  <c r="BV33" i="14" s="1"/>
  <c r="D33" i="14" a="1"/>
  <c r="D33" i="14" s="1"/>
  <c r="P33" i="14" a="1"/>
  <c r="P33" i="14" s="1"/>
  <c r="AB33" i="14" a="1"/>
  <c r="AB33" i="14" s="1"/>
  <c r="AY33" i="14" a="1"/>
  <c r="AY33" i="14" s="1"/>
  <c r="BK33" i="14" a="1"/>
  <c r="BK33" i="14" s="1"/>
  <c r="CD33" i="14" a="1"/>
  <c r="CD33" i="14" s="1"/>
  <c r="CN33" i="14" a="1"/>
  <c r="CN33" i="14" s="1"/>
  <c r="R33" i="14" a="1"/>
  <c r="R33" i="14" s="1"/>
  <c r="CO33" i="14" a="1"/>
  <c r="CO33" i="14" s="1"/>
  <c r="AO33" i="14" a="1"/>
  <c r="AO33" i="14" s="1"/>
  <c r="BB33" i="14" a="1"/>
  <c r="BB33" i="14" s="1"/>
  <c r="BM33" i="14" a="1"/>
  <c r="BM33" i="14" s="1"/>
  <c r="BW33" i="14" a="1"/>
  <c r="BW33" i="14" s="1"/>
  <c r="CF33" i="14" a="1"/>
  <c r="CF33" i="14" s="1"/>
  <c r="CG33" i="14" a="1"/>
  <c r="CG33" i="14" s="1"/>
  <c r="B15" i="14" a="1"/>
  <c r="B15" i="14" s="1"/>
  <c r="H15" i="14" a="1"/>
  <c r="H15" i="14" s="1"/>
  <c r="N15" i="14" a="1"/>
  <c r="N15" i="14" s="1"/>
  <c r="D15" i="14" a="1"/>
  <c r="D15" i="14" s="1"/>
  <c r="J15" i="14" a="1"/>
  <c r="J15" i="14" s="1"/>
  <c r="E15" i="14" a="1"/>
  <c r="E15" i="14" s="1"/>
  <c r="M15" i="14" a="1"/>
  <c r="M15" i="14" s="1"/>
  <c r="T15" i="14" a="1"/>
  <c r="T15" i="14" s="1"/>
  <c r="Z15" i="14" a="1"/>
  <c r="Z15" i="14" s="1"/>
  <c r="AK15" i="14" a="1"/>
  <c r="AK15" i="14" s="1"/>
  <c r="AQ15" i="14" a="1"/>
  <c r="AQ15" i="14" s="1"/>
  <c r="I15" i="14" a="1"/>
  <c r="I15" i="14" s="1"/>
  <c r="Q15" i="14" a="1"/>
  <c r="Q15" i="14" s="1"/>
  <c r="V15" i="14" a="1"/>
  <c r="V15" i="14" s="1"/>
  <c r="AB15" i="14" a="1"/>
  <c r="AB15" i="14" s="1"/>
  <c r="AH15" i="14" a="1"/>
  <c r="AH15" i="14" s="1"/>
  <c r="AN15" i="14" a="1"/>
  <c r="AN15" i="14" s="1"/>
  <c r="AS15" i="14" a="1"/>
  <c r="AS15" i="14" s="1"/>
  <c r="BE15" i="14" a="1"/>
  <c r="BE15" i="14" s="1"/>
  <c r="BK15" i="14" a="1"/>
  <c r="BK15" i="14" s="1"/>
  <c r="CC15" i="14" a="1"/>
  <c r="CC15" i="14" s="1"/>
  <c r="CO15" i="14" a="1"/>
  <c r="CO15" i="14" s="1"/>
  <c r="R15" i="14" a="1"/>
  <c r="R15" i="14" s="1"/>
  <c r="AT15" i="14" a="1"/>
  <c r="AT15" i="14" s="1"/>
  <c r="AZ15" i="14" a="1"/>
  <c r="AZ15" i="14" s="1"/>
  <c r="BF15" i="14" a="1"/>
  <c r="BF15" i="14" s="1"/>
  <c r="BQ15" i="14" a="1"/>
  <c r="BQ15" i="14" s="1"/>
  <c r="BW15" i="14" a="1"/>
  <c r="BW15" i="14" s="1"/>
  <c r="CD15" i="14" a="1"/>
  <c r="CD15" i="14" s="1"/>
  <c r="CI15" i="14" a="1"/>
  <c r="CI15" i="14" s="1"/>
  <c r="CP15" i="14" a="1"/>
  <c r="CP15" i="14" s="1"/>
  <c r="K15" i="14" a="1"/>
  <c r="K15" i="14" s="1"/>
  <c r="W15" i="14" a="1"/>
  <c r="W15" i="14" s="1"/>
  <c r="AC15" i="14" a="1"/>
  <c r="AC15" i="14" s="1"/>
  <c r="AI15" i="14" a="1"/>
  <c r="AI15" i="14" s="1"/>
  <c r="AO15" i="14" a="1"/>
  <c r="AO15" i="14" s="1"/>
  <c r="C15" i="14" a="1"/>
  <c r="C15" i="14" s="1"/>
  <c r="S15" i="14" a="1"/>
  <c r="S15" i="14" s="1"/>
  <c r="X15" i="14" a="1"/>
  <c r="X15" i="14" s="1"/>
  <c r="AD15" i="14" a="1"/>
  <c r="AD15" i="14" s="1"/>
  <c r="AJ15" i="14" a="1"/>
  <c r="AJ15" i="14" s="1"/>
  <c r="AP15" i="14" a="1"/>
  <c r="AP15" i="14" s="1"/>
  <c r="AV15" i="14" a="1"/>
  <c r="AV15" i="14" s="1"/>
  <c r="BA15" i="14" a="1"/>
  <c r="BA15" i="14" s="1"/>
  <c r="BM15" i="14" a="1"/>
  <c r="BM15" i="14" s="1"/>
  <c r="BS15" i="14" a="1"/>
  <c r="BS15" i="14" s="1"/>
  <c r="BX15" i="14" a="1"/>
  <c r="BX15" i="14" s="1"/>
  <c r="CK15" i="14" a="1"/>
  <c r="CK15" i="14" s="1"/>
  <c r="F15" i="14" a="1"/>
  <c r="F15" i="14" s="1"/>
  <c r="Y15" i="14" a="1"/>
  <c r="Y15" i="14" s="1"/>
  <c r="AM15" i="14" a="1"/>
  <c r="AM15" i="14" s="1"/>
  <c r="AY15" i="14" a="1"/>
  <c r="AY15" i="14" s="1"/>
  <c r="BR15" i="14" a="1"/>
  <c r="BR15" i="14" s="1"/>
  <c r="CA15" i="14" a="1"/>
  <c r="CA15" i="14" s="1"/>
  <c r="CL15" i="14" a="1"/>
  <c r="CL15" i="14" s="1"/>
  <c r="G15" i="14" a="1"/>
  <c r="G15" i="14" s="1"/>
  <c r="AA15" i="14" a="1"/>
  <c r="AA15" i="14" s="1"/>
  <c r="BI15" i="14" a="1"/>
  <c r="BI15" i="14" s="1"/>
  <c r="BT15" i="14" a="1"/>
  <c r="BT15" i="14" s="1"/>
  <c r="CB15" i="14" a="1"/>
  <c r="CB15" i="14" s="1"/>
  <c r="CM15" i="14" a="1"/>
  <c r="CM15" i="14" s="1"/>
  <c r="L15" i="14" a="1"/>
  <c r="L15" i="14" s="1"/>
  <c r="BB15" i="14" a="1"/>
  <c r="BB15" i="14" s="1"/>
  <c r="BJ15" i="14" a="1"/>
  <c r="BJ15" i="14" s="1"/>
  <c r="CE15" i="14" a="1"/>
  <c r="CE15" i="14" s="1"/>
  <c r="CN15" i="14" a="1"/>
  <c r="CN15" i="14" s="1"/>
  <c r="O15" i="14" a="1"/>
  <c r="O15" i="14" s="1"/>
  <c r="AE15" i="14" a="1"/>
  <c r="AE15" i="14" s="1"/>
  <c r="AR15" i="14" a="1"/>
  <c r="AR15" i="14" s="1"/>
  <c r="BL15" i="14" a="1"/>
  <c r="BL15" i="14" s="1"/>
  <c r="BU15" i="14" a="1"/>
  <c r="BU15" i="14" s="1"/>
  <c r="CF15" i="14" a="1"/>
  <c r="CF15" i="14" s="1"/>
  <c r="P15" i="14" a="1"/>
  <c r="P15" i="14" s="1"/>
  <c r="AF15" i="14" a="1"/>
  <c r="AF15" i="14" s="1"/>
  <c r="AU15" i="14" a="1"/>
  <c r="AU15" i="14" s="1"/>
  <c r="BC15" i="14" a="1"/>
  <c r="BC15" i="14" s="1"/>
  <c r="BN15" i="14" a="1"/>
  <c r="BN15" i="14" s="1"/>
  <c r="BV15" i="14" a="1"/>
  <c r="BV15" i="14" s="1"/>
  <c r="CQ15" i="14" a="1"/>
  <c r="CQ15" i="14" s="1"/>
  <c r="AX15" i="14" a="1"/>
  <c r="AX15" i="14" s="1"/>
  <c r="BG15" i="14" a="1"/>
  <c r="BG15" i="14" s="1"/>
  <c r="BO15" i="14" a="1"/>
  <c r="BO15" i="14" s="1"/>
  <c r="BY15" i="14" a="1"/>
  <c r="BY15" i="14" s="1"/>
  <c r="CH15" i="14" a="1"/>
  <c r="CH15" i="14" s="1"/>
  <c r="CS15" i="14" a="1"/>
  <c r="CS15" i="14" s="1"/>
  <c r="BD15" i="14" a="1"/>
  <c r="BD15" i="14" s="1"/>
  <c r="CR15" i="14" a="1"/>
  <c r="CR15" i="14" s="1"/>
  <c r="BH15" i="14" a="1"/>
  <c r="BH15" i="14" s="1"/>
  <c r="U15" i="14" a="1"/>
  <c r="U15" i="14" s="1"/>
  <c r="BP15" i="14" a="1"/>
  <c r="BP15" i="14" s="1"/>
  <c r="AG15" i="14" a="1"/>
  <c r="AG15" i="14" s="1"/>
  <c r="AW15" i="14" a="1"/>
  <c r="AW15" i="14" s="1"/>
  <c r="CG15" i="14" a="1"/>
  <c r="CG15" i="14" s="1"/>
  <c r="BZ15" i="14" a="1"/>
  <c r="BZ15" i="14" s="1"/>
  <c r="AL15" i="14" a="1"/>
  <c r="AL15" i="14" s="1"/>
  <c r="CJ15" i="14" a="1"/>
  <c r="CJ15" i="14" s="1"/>
  <c r="B10" i="14" a="1"/>
  <c r="B10" i="14" s="1"/>
  <c r="C10" i="14" a="1"/>
  <c r="C10" i="14" s="1"/>
  <c r="H10" i="14" a="1"/>
  <c r="H10" i="14" s="1"/>
  <c r="AO10" i="14" a="1"/>
  <c r="AO10" i="14" s="1"/>
  <c r="AT10" i="14" a="1"/>
  <c r="AT10" i="14" s="1"/>
  <c r="D10" i="14" a="1"/>
  <c r="D10" i="14" s="1"/>
  <c r="J10" i="14" a="1"/>
  <c r="J10" i="14" s="1"/>
  <c r="O10" i="14" a="1"/>
  <c r="O10" i="14" s="1"/>
  <c r="Z10" i="14" a="1"/>
  <c r="Z10" i="14" s="1"/>
  <c r="K10" i="14" a="1"/>
  <c r="K10" i="14" s="1"/>
  <c r="U10" i="14" a="1"/>
  <c r="U10" i="14" s="1"/>
  <c r="AA10" i="14" a="1"/>
  <c r="AA10" i="14" s="1"/>
  <c r="AF10" i="14" a="1"/>
  <c r="AF10" i="14" s="1"/>
  <c r="AK10" i="14" a="1"/>
  <c r="AK10" i="14" s="1"/>
  <c r="AV10" i="14" a="1"/>
  <c r="AV10" i="14" s="1"/>
  <c r="BM10" i="14" a="1"/>
  <c r="BM10" i="14" s="1"/>
  <c r="BX10" i="14" a="1"/>
  <c r="BX10" i="14" s="1"/>
  <c r="E10" i="14" a="1"/>
  <c r="E10" i="14" s="1"/>
  <c r="P10" i="14" a="1"/>
  <c r="P10" i="14" s="1"/>
  <c r="AG10" i="14" a="1"/>
  <c r="AG10" i="14" s="1"/>
  <c r="AR10" i="14" a="1"/>
  <c r="AR10" i="14" s="1"/>
  <c r="AW10" i="14" a="1"/>
  <c r="AW10" i="14" s="1"/>
  <c r="BB10" i="14" a="1"/>
  <c r="BB10" i="14" s="1"/>
  <c r="BH10" i="14" a="1"/>
  <c r="BH10" i="14" s="1"/>
  <c r="BR10" i="14" a="1"/>
  <c r="BR10" i="14" s="1"/>
  <c r="L10" i="14" a="1"/>
  <c r="L10" i="14" s="1"/>
  <c r="Q10" i="14" a="1"/>
  <c r="Q10" i="14" s="1"/>
  <c r="V10" i="14" a="1"/>
  <c r="V10" i="14" s="1"/>
  <c r="AB10" i="14" a="1"/>
  <c r="AB10" i="14" s="1"/>
  <c r="AL10" i="14" a="1"/>
  <c r="AL10" i="14" s="1"/>
  <c r="AX10" i="14" a="1"/>
  <c r="AX10" i="14" s="1"/>
  <c r="BC10" i="14" a="1"/>
  <c r="BC10" i="14" s="1"/>
  <c r="BN10" i="14" a="1"/>
  <c r="BN10" i="14" s="1"/>
  <c r="BS10" i="14" a="1"/>
  <c r="BS10" i="14" s="1"/>
  <c r="BY10" i="14" a="1"/>
  <c r="BY10" i="14" s="1"/>
  <c r="I10" i="14" a="1"/>
  <c r="I10" i="14" s="1"/>
  <c r="X10" i="14" a="1"/>
  <c r="X10" i="14" s="1"/>
  <c r="AJ10" i="14" a="1"/>
  <c r="AJ10" i="14" s="1"/>
  <c r="AU10" i="14" a="1"/>
  <c r="AU10" i="14" s="1"/>
  <c r="BL10" i="14" a="1"/>
  <c r="BL10" i="14" s="1"/>
  <c r="BV10" i="14" a="1"/>
  <c r="BV10" i="14" s="1"/>
  <c r="CC10" i="14" a="1"/>
  <c r="CC10" i="14" s="1"/>
  <c r="CH10" i="14" a="1"/>
  <c r="CH10" i="14" s="1"/>
  <c r="CN10" i="14" a="1"/>
  <c r="CN10" i="14" s="1"/>
  <c r="Y10" i="14" a="1"/>
  <c r="Y10" i="14" s="1"/>
  <c r="BE10" i="14" a="1"/>
  <c r="BE10" i="14" s="1"/>
  <c r="BO10" i="14" a="1"/>
  <c r="BO10" i="14" s="1"/>
  <c r="BW10" i="14" a="1"/>
  <c r="BW10" i="14" s="1"/>
  <c r="CD10" i="14" a="1"/>
  <c r="CD10" i="14" s="1"/>
  <c r="CI10" i="14" a="1"/>
  <c r="CI10" i="14" s="1"/>
  <c r="N10" i="14" a="1"/>
  <c r="N10" i="14" s="1"/>
  <c r="AC10" i="14" a="1"/>
  <c r="AC10" i="14" s="1"/>
  <c r="AN10" i="14" a="1"/>
  <c r="AN10" i="14" s="1"/>
  <c r="BG10" i="14" a="1"/>
  <c r="BG10" i="14" s="1"/>
  <c r="BP10" i="14" a="1"/>
  <c r="BP10" i="14" s="1"/>
  <c r="M10" i="14" a="1"/>
  <c r="M10" i="14" s="1"/>
  <c r="AH10" i="14" a="1"/>
  <c r="AH10" i="14" s="1"/>
  <c r="AZ10" i="14" a="1"/>
  <c r="AZ10" i="14" s="1"/>
  <c r="BK10" i="14" a="1"/>
  <c r="BK10" i="14" s="1"/>
  <c r="CA10" i="14" a="1"/>
  <c r="CA10" i="14" s="1"/>
  <c r="CJ10" i="14" a="1"/>
  <c r="CJ10" i="14" s="1"/>
  <c r="CR10" i="14" a="1"/>
  <c r="CR10" i="14" s="1"/>
  <c r="S10" i="14" a="1"/>
  <c r="S10" i="14" s="1"/>
  <c r="AM10" i="14" a="1"/>
  <c r="AM10" i="14" s="1"/>
  <c r="BA10" i="14" a="1"/>
  <c r="BA10" i="14" s="1"/>
  <c r="CB10" i="14" a="1"/>
  <c r="CB10" i="14" s="1"/>
  <c r="CL10" i="14" a="1"/>
  <c r="CL10" i="14" s="1"/>
  <c r="T10" i="14" a="1"/>
  <c r="T10" i="14" s="1"/>
  <c r="AP10" i="14" a="1"/>
  <c r="AP10" i="14" s="1"/>
  <c r="BD10" i="14" a="1"/>
  <c r="BD10" i="14" s="1"/>
  <c r="BQ10" i="14" a="1"/>
  <c r="BQ10" i="14" s="1"/>
  <c r="CE10" i="14" a="1"/>
  <c r="CE10" i="14" s="1"/>
  <c r="CM10" i="14" a="1"/>
  <c r="CM10" i="14" s="1"/>
  <c r="W10" i="14" a="1"/>
  <c r="W10" i="14" s="1"/>
  <c r="AQ10" i="14" a="1"/>
  <c r="AQ10" i="14" s="1"/>
  <c r="BF10" i="14" a="1"/>
  <c r="BF10" i="14" s="1"/>
  <c r="BT10" i="14" a="1"/>
  <c r="BT10" i="14" s="1"/>
  <c r="CF10" i="14" a="1"/>
  <c r="CF10" i="14" s="1"/>
  <c r="AS10" i="14" a="1"/>
  <c r="AS10" i="14" s="1"/>
  <c r="BI10" i="14" a="1"/>
  <c r="BI10" i="14" s="1"/>
  <c r="BU10" i="14" a="1"/>
  <c r="BU10" i="14" s="1"/>
  <c r="CO10" i="14" a="1"/>
  <c r="CO10" i="14" s="1"/>
  <c r="F10" i="14" a="1"/>
  <c r="F10" i="14" s="1"/>
  <c r="AD10" i="14" a="1"/>
  <c r="AD10" i="14" s="1"/>
  <c r="CG10" i="14" a="1"/>
  <c r="CG10" i="14" s="1"/>
  <c r="CP10" i="14" a="1"/>
  <c r="CP10" i="14" s="1"/>
  <c r="R10" i="14" a="1"/>
  <c r="R10" i="14" s="1"/>
  <c r="AE10" i="14" a="1"/>
  <c r="AE10" i="14" s="1"/>
  <c r="AI10" i="14" a="1"/>
  <c r="AI10" i="14" s="1"/>
  <c r="CK10" i="14" a="1"/>
  <c r="CK10" i="14" s="1"/>
  <c r="AY10" i="14" a="1"/>
  <c r="AY10" i="14" s="1"/>
  <c r="CQ10" i="14" a="1"/>
  <c r="CQ10" i="14" s="1"/>
  <c r="CS10" i="14" a="1"/>
  <c r="CS10" i="14" s="1"/>
  <c r="BJ10" i="14" a="1"/>
  <c r="BJ10" i="14" s="1"/>
  <c r="G10" i="14" a="1"/>
  <c r="G10" i="14" s="1"/>
  <c r="BZ10" i="14" a="1"/>
  <c r="BZ10" i="14" s="1"/>
  <c r="B18" i="14" a="1"/>
  <c r="B18" i="14" s="1"/>
  <c r="I18" i="14" a="1"/>
  <c r="I18" i="14" s="1"/>
  <c r="N18" i="14" a="1"/>
  <c r="N18" i="14" s="1"/>
  <c r="AA18" i="14" a="1"/>
  <c r="AA18" i="14" s="1"/>
  <c r="AF18" i="14" a="1"/>
  <c r="AF18" i="14" s="1"/>
  <c r="AR18" i="14" a="1"/>
  <c r="AR18" i="14" s="1"/>
  <c r="AX18" i="14" a="1"/>
  <c r="AX18" i="14" s="1"/>
  <c r="BC18" i="14" a="1"/>
  <c r="BC18" i="14" s="1"/>
  <c r="BI18" i="14" a="1"/>
  <c r="BI18" i="14" s="1"/>
  <c r="BU18" i="14" a="1"/>
  <c r="BU18" i="14" s="1"/>
  <c r="BZ18" i="14" a="1"/>
  <c r="BZ18" i="14" s="1"/>
  <c r="CM18" i="14" a="1"/>
  <c r="CM18" i="14" s="1"/>
  <c r="CR18" i="14" a="1"/>
  <c r="CR18" i="14" s="1"/>
  <c r="D18" i="14" a="1"/>
  <c r="D18" i="14" s="1"/>
  <c r="J18" i="14" a="1"/>
  <c r="J18" i="14" s="1"/>
  <c r="O18" i="14" a="1"/>
  <c r="O18" i="14" s="1"/>
  <c r="U18" i="14" a="1"/>
  <c r="U18" i="14" s="1"/>
  <c r="AG18" i="14" a="1"/>
  <c r="AG18" i="14" s="1"/>
  <c r="AL18" i="14" a="1"/>
  <c r="AL18" i="14" s="1"/>
  <c r="AY18" i="14" a="1"/>
  <c r="AY18" i="14" s="1"/>
  <c r="BD18" i="14" a="1"/>
  <c r="BD18" i="14" s="1"/>
  <c r="BP18" i="14" a="1"/>
  <c r="BP18" i="14" s="1"/>
  <c r="BV18" i="14" a="1"/>
  <c r="BV18" i="14" s="1"/>
  <c r="CA18" i="14" a="1"/>
  <c r="CA18" i="14" s="1"/>
  <c r="CG18" i="14" a="1"/>
  <c r="CG18" i="14" s="1"/>
  <c r="CS18" i="14" a="1"/>
  <c r="CS18" i="14" s="1"/>
  <c r="K18" i="14" a="1"/>
  <c r="K18" i="14" s="1"/>
  <c r="P18" i="14" a="1"/>
  <c r="P18" i="14" s="1"/>
  <c r="AB18" i="14" a="1"/>
  <c r="AB18" i="14" s="1"/>
  <c r="AH18" i="14" a="1"/>
  <c r="AH18" i="14" s="1"/>
  <c r="AM18" i="14" a="1"/>
  <c r="AM18" i="14" s="1"/>
  <c r="AS18" i="14" a="1"/>
  <c r="AS18" i="14" s="1"/>
  <c r="BE18" i="14" a="1"/>
  <c r="BE18" i="14" s="1"/>
  <c r="BJ18" i="14" a="1"/>
  <c r="BJ18" i="14" s="1"/>
  <c r="BW18" i="14" a="1"/>
  <c r="BW18" i="14" s="1"/>
  <c r="CB18" i="14" a="1"/>
  <c r="CB18" i="14" s="1"/>
  <c r="CN18" i="14" a="1"/>
  <c r="CN18" i="14" s="1"/>
  <c r="L18" i="14" a="1"/>
  <c r="L18" i="14" s="1"/>
  <c r="R18" i="14" a="1"/>
  <c r="R18" i="14" s="1"/>
  <c r="W18" i="14" a="1"/>
  <c r="W18" i="14" s="1"/>
  <c r="AC18" i="14" a="1"/>
  <c r="AC18" i="14" s="1"/>
  <c r="AO18" i="14" a="1"/>
  <c r="AO18" i="14" s="1"/>
  <c r="AT18" i="14" a="1"/>
  <c r="AT18" i="14" s="1"/>
  <c r="BG18" i="14" a="1"/>
  <c r="BG18" i="14" s="1"/>
  <c r="BL18" i="14" a="1"/>
  <c r="BL18" i="14" s="1"/>
  <c r="BX18" i="14" a="1"/>
  <c r="BX18" i="14" s="1"/>
  <c r="CD18" i="14" a="1"/>
  <c r="CD18" i="14" s="1"/>
  <c r="CI18" i="14" a="1"/>
  <c r="CI18" i="14" s="1"/>
  <c r="CO18" i="14" a="1"/>
  <c r="CO18" i="14" s="1"/>
  <c r="M18" i="14" a="1"/>
  <c r="M18" i="14" s="1"/>
  <c r="Y18" i="14" a="1"/>
  <c r="Y18" i="14" s="1"/>
  <c r="AV18" i="14" a="1"/>
  <c r="AV18" i="14" s="1"/>
  <c r="BH18" i="14" a="1"/>
  <c r="BH18" i="14" s="1"/>
  <c r="BS18" i="14" a="1"/>
  <c r="BS18" i="14" s="1"/>
  <c r="CP18" i="14" a="1"/>
  <c r="CP18" i="14" s="1"/>
  <c r="C18" i="14" a="1"/>
  <c r="C18" i="14" s="1"/>
  <c r="Z18" i="14" a="1"/>
  <c r="Z18" i="14" s="1"/>
  <c r="AK18" i="14" a="1"/>
  <c r="AK18" i="14" s="1"/>
  <c r="AW18" i="14" a="1"/>
  <c r="AW18" i="14" s="1"/>
  <c r="BT18" i="14" a="1"/>
  <c r="BT18" i="14" s="1"/>
  <c r="CF18" i="14" a="1"/>
  <c r="CF18" i="14" s="1"/>
  <c r="CQ18" i="14" a="1"/>
  <c r="CQ18" i="14" s="1"/>
  <c r="E18" i="14" a="1"/>
  <c r="E18" i="14" s="1"/>
  <c r="Q18" i="14" a="1"/>
  <c r="Q18" i="14" s="1"/>
  <c r="AN18" i="14" a="1"/>
  <c r="AN18" i="14" s="1"/>
  <c r="AZ18" i="14" a="1"/>
  <c r="AZ18" i="14" s="1"/>
  <c r="BK18" i="14" a="1"/>
  <c r="BK18" i="14" s="1"/>
  <c r="CH18" i="14" a="1"/>
  <c r="CH18" i="14" s="1"/>
  <c r="F18" i="14" a="1"/>
  <c r="F18" i="14" s="1"/>
  <c r="S18" i="14" a="1"/>
  <c r="S18" i="14" s="1"/>
  <c r="AP18" i="14" a="1"/>
  <c r="AP18" i="14" s="1"/>
  <c r="BA18" i="14" a="1"/>
  <c r="BA18" i="14" s="1"/>
  <c r="BM18" i="14" a="1"/>
  <c r="BM18" i="14" s="1"/>
  <c r="CJ18" i="14" a="1"/>
  <c r="CJ18" i="14" s="1"/>
  <c r="G18" i="14" a="1"/>
  <c r="G18" i="14" s="1"/>
  <c r="AD18" i="14" a="1"/>
  <c r="AD18" i="14" s="1"/>
  <c r="AQ18" i="14" a="1"/>
  <c r="AQ18" i="14" s="1"/>
  <c r="BN18" i="14" a="1"/>
  <c r="BN18" i="14" s="1"/>
  <c r="BY18" i="14" a="1"/>
  <c r="BY18" i="14" s="1"/>
  <c r="CK18" i="14" a="1"/>
  <c r="CK18" i="14" s="1"/>
  <c r="V18" i="14" a="1"/>
  <c r="V18" i="14" s="1"/>
  <c r="AI18" i="14" a="1"/>
  <c r="AI18" i="14" s="1"/>
  <c r="BF18" i="14" a="1"/>
  <c r="BF18" i="14" s="1"/>
  <c r="BQ18" i="14" a="1"/>
  <c r="BQ18" i="14" s="1"/>
  <c r="CC18" i="14" a="1"/>
  <c r="CC18" i="14" s="1"/>
  <c r="H18" i="14" a="1"/>
  <c r="H18" i="14" s="1"/>
  <c r="BB18" i="14" a="1"/>
  <c r="BB18" i="14" s="1"/>
  <c r="T18" i="14" a="1"/>
  <c r="T18" i="14" s="1"/>
  <c r="BO18" i="14" a="1"/>
  <c r="BO18" i="14" s="1"/>
  <c r="X18" i="14" a="1"/>
  <c r="X18" i="14" s="1"/>
  <c r="BR18" i="14" a="1"/>
  <c r="BR18" i="14" s="1"/>
  <c r="CL18" i="14" a="1"/>
  <c r="CL18" i="14" s="1"/>
  <c r="AU18" i="14" a="1"/>
  <c r="AU18" i="14" s="1"/>
  <c r="CE18" i="14" a="1"/>
  <c r="CE18" i="14" s="1"/>
  <c r="AE18" i="14" a="1"/>
  <c r="AE18" i="14" s="1"/>
  <c r="AJ18" i="14" a="1"/>
  <c r="AJ18" i="14" s="1"/>
  <c r="B26" i="14" a="1"/>
  <c r="B26" i="14" s="1"/>
  <c r="C26" i="14" a="1"/>
  <c r="C26" i="14" s="1"/>
  <c r="N26" i="14" a="1"/>
  <c r="N26" i="14" s="1"/>
  <c r="T26" i="14" a="1"/>
  <c r="T26" i="14" s="1"/>
  <c r="Z26" i="14" a="1"/>
  <c r="Z26" i="14" s="1"/>
  <c r="AL26" i="14" a="1"/>
  <c r="AL26" i="14" s="1"/>
  <c r="AR26" i="14" a="1"/>
  <c r="AR26" i="14" s="1"/>
  <c r="AX26" i="14" a="1"/>
  <c r="AX26" i="14" s="1"/>
  <c r="BE26" i="14" a="1"/>
  <c r="BE26" i="14" s="1"/>
  <c r="BP26" i="14" a="1"/>
  <c r="BP26" i="14" s="1"/>
  <c r="BV26" i="14" a="1"/>
  <c r="BV26" i="14" s="1"/>
  <c r="CA26" i="14" a="1"/>
  <c r="CA26" i="14" s="1"/>
  <c r="CG26" i="14" a="1"/>
  <c r="CG26" i="14" s="1"/>
  <c r="CR26" i="14" a="1"/>
  <c r="CR26" i="14" s="1"/>
  <c r="D26" i="14" a="1"/>
  <c r="D26" i="14" s="1"/>
  <c r="J26" i="14" a="1"/>
  <c r="J26" i="14" s="1"/>
  <c r="O26" i="14" a="1"/>
  <c r="O26" i="14" s="1"/>
  <c r="V26" i="14" a="1"/>
  <c r="V26" i="14" s="1"/>
  <c r="AA26" i="14" a="1"/>
  <c r="AA26" i="14" s="1"/>
  <c r="AT26" i="14" a="1"/>
  <c r="AT26" i="14" s="1"/>
  <c r="AZ26" i="14" a="1"/>
  <c r="AZ26" i="14" s="1"/>
  <c r="BR26" i="14" a="1"/>
  <c r="BR26" i="14" s="1"/>
  <c r="BW26" i="14" a="1"/>
  <c r="BW26" i="14" s="1"/>
  <c r="CN26" i="14" a="1"/>
  <c r="CN26" i="14" s="1"/>
  <c r="CS26" i="14" a="1"/>
  <c r="CS26" i="14" s="1"/>
  <c r="E26" i="14" a="1"/>
  <c r="E26" i="14" s="1"/>
  <c r="P26" i="14" a="1"/>
  <c r="P26" i="14" s="1"/>
  <c r="AB26" i="14" a="1"/>
  <c r="AB26" i="14" s="1"/>
  <c r="AG26" i="14" a="1"/>
  <c r="AG26" i="14" s="1"/>
  <c r="AN26" i="14" a="1"/>
  <c r="AN26" i="14" s="1"/>
  <c r="BA26" i="14" a="1"/>
  <c r="BA26" i="14" s="1"/>
  <c r="BG26" i="14" a="1"/>
  <c r="BG26" i="14" s="1"/>
  <c r="BL26" i="14" a="1"/>
  <c r="BL26" i="14" s="1"/>
  <c r="BS26" i="14" a="1"/>
  <c r="BS26" i="14" s="1"/>
  <c r="BX26" i="14" a="1"/>
  <c r="BX26" i="14" s="1"/>
  <c r="CC26" i="14" a="1"/>
  <c r="CC26" i="14" s="1"/>
  <c r="CI26" i="14" a="1"/>
  <c r="CI26" i="14" s="1"/>
  <c r="CO26" i="14" a="1"/>
  <c r="CO26" i="14" s="1"/>
  <c r="R26" i="14" a="1"/>
  <c r="R26" i="14" s="1"/>
  <c r="X26" i="14" a="1"/>
  <c r="X26" i="14" s="1"/>
  <c r="AJ26" i="14" a="1"/>
  <c r="AJ26" i="14" s="1"/>
  <c r="BI26" i="14" a="1"/>
  <c r="BI26" i="14" s="1"/>
  <c r="BN26" i="14" a="1"/>
  <c r="BN26" i="14" s="1"/>
  <c r="BZ26" i="14" a="1"/>
  <c r="BZ26" i="14" s="1"/>
  <c r="CK26" i="14" a="1"/>
  <c r="CK26" i="14" s="1"/>
  <c r="CQ26" i="14" a="1"/>
  <c r="CQ26" i="14" s="1"/>
  <c r="I26" i="14" a="1"/>
  <c r="I26" i="14" s="1"/>
  <c r="U26" i="14" a="1"/>
  <c r="U26" i="14" s="1"/>
  <c r="AF26" i="14" a="1"/>
  <c r="AF26" i="14" s="1"/>
  <c r="AS26" i="14" a="1"/>
  <c r="AS26" i="14" s="1"/>
  <c r="BF26" i="14" a="1"/>
  <c r="BF26" i="14" s="1"/>
  <c r="BQ26" i="14" a="1"/>
  <c r="BQ26" i="14" s="1"/>
  <c r="CB26" i="14" a="1"/>
  <c r="CB26" i="14" s="1"/>
  <c r="CM26" i="14" a="1"/>
  <c r="CM26" i="14" s="1"/>
  <c r="K26" i="14" a="1"/>
  <c r="K26" i="14" s="1"/>
  <c r="W26" i="14" a="1"/>
  <c r="W26" i="14" s="1"/>
  <c r="AH26" i="14" a="1"/>
  <c r="AH26" i="14" s="1"/>
  <c r="AU26" i="14" a="1"/>
  <c r="AU26" i="14" s="1"/>
  <c r="BH26" i="14" a="1"/>
  <c r="BH26" i="14" s="1"/>
  <c r="CD26" i="14" a="1"/>
  <c r="CD26" i="14" s="1"/>
  <c r="CP26" i="14" a="1"/>
  <c r="CP26" i="14" s="1"/>
  <c r="M26" i="14" a="1"/>
  <c r="M26" i="14" s="1"/>
  <c r="Y26" i="14" a="1"/>
  <c r="Y26" i="14" s="1"/>
  <c r="AK26" i="14" a="1"/>
  <c r="AK26" i="14" s="1"/>
  <c r="AW26" i="14" a="1"/>
  <c r="AW26" i="14" s="1"/>
  <c r="BJ26" i="14" a="1"/>
  <c r="BJ26" i="14" s="1"/>
  <c r="BU26" i="14" a="1"/>
  <c r="BU26" i="14" s="1"/>
  <c r="CF26" i="14" a="1"/>
  <c r="CF26" i="14" s="1"/>
  <c r="AM26" i="14" a="1"/>
  <c r="AM26" i="14" s="1"/>
  <c r="AY26" i="14" a="1"/>
  <c r="AY26" i="14" s="1"/>
  <c r="BK26" i="14" a="1"/>
  <c r="BK26" i="14" s="1"/>
  <c r="CH26" i="14" a="1"/>
  <c r="CH26" i="14" s="1"/>
  <c r="G26" i="14" a="1"/>
  <c r="G26" i="14" s="1"/>
  <c r="Q26" i="14" a="1"/>
  <c r="Q26" i="14" s="1"/>
  <c r="AD26" i="14" a="1"/>
  <c r="AD26" i="14" s="1"/>
  <c r="AP26" i="14" a="1"/>
  <c r="AP26" i="14" s="1"/>
  <c r="BC26" i="14" a="1"/>
  <c r="BC26" i="14" s="1"/>
  <c r="BM26" i="14" a="1"/>
  <c r="BM26" i="14" s="1"/>
  <c r="BY26" i="14" a="1"/>
  <c r="BY26" i="14" s="1"/>
  <c r="CJ26" i="14" a="1"/>
  <c r="CJ26" i="14" s="1"/>
  <c r="BD26" i="14" a="1"/>
  <c r="BD26" i="14" s="1"/>
  <c r="AC26" i="14" a="1"/>
  <c r="AC26" i="14" s="1"/>
  <c r="CL26" i="14" a="1"/>
  <c r="CL26" i="14" s="1"/>
  <c r="AE26" i="14" a="1"/>
  <c r="AE26" i="14" s="1"/>
  <c r="F26" i="14" a="1"/>
  <c r="F26" i="14" s="1"/>
  <c r="AI26" i="14" a="1"/>
  <c r="AI26" i="14" s="1"/>
  <c r="BO26" i="14" a="1"/>
  <c r="BO26" i="14" s="1"/>
  <c r="H26" i="14" a="1"/>
  <c r="H26" i="14" s="1"/>
  <c r="AO26" i="14" a="1"/>
  <c r="AO26" i="14" s="1"/>
  <c r="BT26" i="14" a="1"/>
  <c r="BT26" i="14" s="1"/>
  <c r="L26" i="14" a="1"/>
  <c r="L26" i="14" s="1"/>
  <c r="AQ26" i="14" a="1"/>
  <c r="AQ26" i="14" s="1"/>
  <c r="S26" i="14" a="1"/>
  <c r="S26" i="14" s="1"/>
  <c r="BB26" i="14" a="1"/>
  <c r="BB26" i="14" s="1"/>
  <c r="CE26" i="14" a="1"/>
  <c r="CE26" i="14" s="1"/>
  <c r="AV26" i="14" a="1"/>
  <c r="AV26" i="14" s="1"/>
  <c r="B34" i="14" a="1"/>
  <c r="B34" i="14" s="1"/>
  <c r="P34" i="14" a="1"/>
  <c r="P34" i="14" s="1"/>
  <c r="V34" i="14" a="1"/>
  <c r="V34" i="14" s="1"/>
  <c r="AG34" i="14" a="1"/>
  <c r="AG34" i="14" s="1"/>
  <c r="AS34" i="14" a="1"/>
  <c r="AS34" i="14" s="1"/>
  <c r="AX34" i="14" a="1"/>
  <c r="AX34" i="14" s="1"/>
  <c r="BE34" i="14" a="1"/>
  <c r="BE34" i="14" s="1"/>
  <c r="BK34" i="14" a="1"/>
  <c r="BK34" i="14" s="1"/>
  <c r="CB34" i="14" a="1"/>
  <c r="CB34" i="14" s="1"/>
  <c r="CH34" i="14" a="1"/>
  <c r="CH34" i="14" s="1"/>
  <c r="CS34" i="14" a="1"/>
  <c r="CS34" i="14" s="1"/>
  <c r="F34" i="14" a="1"/>
  <c r="F34" i="14" s="1"/>
  <c r="K34" i="14" a="1"/>
  <c r="K34" i="14" s="1"/>
  <c r="Q34" i="14" a="1"/>
  <c r="Q34" i="14" s="1"/>
  <c r="AC34" i="14" a="1"/>
  <c r="AC34" i="14" s="1"/>
  <c r="AI34" i="14" a="1"/>
  <c r="AI34" i="14" s="1"/>
  <c r="AT34" i="14" a="1"/>
  <c r="AT34" i="14" s="1"/>
  <c r="AZ34" i="14" a="1"/>
  <c r="AZ34" i="14" s="1"/>
  <c r="BF34" i="14" a="1"/>
  <c r="BF34" i="14" s="1"/>
  <c r="BL34" i="14" a="1"/>
  <c r="BL34" i="14" s="1"/>
  <c r="BR34" i="14" a="1"/>
  <c r="BR34" i="14" s="1"/>
  <c r="BW34" i="14" a="1"/>
  <c r="BW34" i="14" s="1"/>
  <c r="CC34" i="14" a="1"/>
  <c r="CC34" i="14" s="1"/>
  <c r="CO34" i="14" a="1"/>
  <c r="CO34" i="14" s="1"/>
  <c r="H34" i="14" a="1"/>
  <c r="H34" i="14" s="1"/>
  <c r="S34" i="14" a="1"/>
  <c r="S34" i="14" s="1"/>
  <c r="AK34" i="14" a="1"/>
  <c r="AK34" i="14" s="1"/>
  <c r="AP34" i="14" a="1"/>
  <c r="AP34" i="14" s="1"/>
  <c r="BC34" i="14" a="1"/>
  <c r="BC34" i="14" s="1"/>
  <c r="BH34" i="14" a="1"/>
  <c r="BH34" i="14" s="1"/>
  <c r="BN34" i="14" a="1"/>
  <c r="BN34" i="14" s="1"/>
  <c r="BT34" i="14" a="1"/>
  <c r="BT34" i="14" s="1"/>
  <c r="CE34" i="14" a="1"/>
  <c r="CE34" i="14" s="1"/>
  <c r="I34" i="14" a="1"/>
  <c r="I34" i="14" s="1"/>
  <c r="R34" i="14" a="1"/>
  <c r="R34" i="14" s="1"/>
  <c r="AB34" i="14" a="1"/>
  <c r="AB34" i="14" s="1"/>
  <c r="AL34" i="14" a="1"/>
  <c r="AL34" i="14" s="1"/>
  <c r="AU34" i="14" a="1"/>
  <c r="AU34" i="14" s="1"/>
  <c r="BD34" i="14" a="1"/>
  <c r="BD34" i="14" s="1"/>
  <c r="BM34" i="14" a="1"/>
  <c r="BM34" i="14" s="1"/>
  <c r="BV34" i="14" a="1"/>
  <c r="BV34" i="14" s="1"/>
  <c r="CF34" i="14" a="1"/>
  <c r="CF34" i="14" s="1"/>
  <c r="CP34" i="14" a="1"/>
  <c r="CP34" i="14" s="1"/>
  <c r="J34" i="14" a="1"/>
  <c r="J34" i="14" s="1"/>
  <c r="T34" i="14" a="1"/>
  <c r="T34" i="14" s="1"/>
  <c r="AD34" i="14" a="1"/>
  <c r="AD34" i="14" s="1"/>
  <c r="AM34" i="14" a="1"/>
  <c r="AM34" i="14" s="1"/>
  <c r="AV34" i="14" a="1"/>
  <c r="AV34" i="14" s="1"/>
  <c r="BO34" i="14" a="1"/>
  <c r="BO34" i="14" s="1"/>
  <c r="BX34" i="14" a="1"/>
  <c r="BX34" i="14" s="1"/>
  <c r="CG34" i="14" a="1"/>
  <c r="CG34" i="14" s="1"/>
  <c r="CQ34" i="14" a="1"/>
  <c r="CQ34" i="14" s="1"/>
  <c r="C34" i="14" a="1"/>
  <c r="C34" i="14" s="1"/>
  <c r="L34" i="14" a="1"/>
  <c r="L34" i="14" s="1"/>
  <c r="U34" i="14" a="1"/>
  <c r="U34" i="14" s="1"/>
  <c r="AE34" i="14" a="1"/>
  <c r="AE34" i="14" s="1"/>
  <c r="AN34" i="14" a="1"/>
  <c r="AN34" i="14" s="1"/>
  <c r="AW34" i="14" a="1"/>
  <c r="AW34" i="14" s="1"/>
  <c r="BG34" i="14" a="1"/>
  <c r="BG34" i="14" s="1"/>
  <c r="BP34" i="14" a="1"/>
  <c r="BP34" i="14" s="1"/>
  <c r="BY34" i="14" a="1"/>
  <c r="BY34" i="14" s="1"/>
  <c r="CI34" i="14" a="1"/>
  <c r="CI34" i="14" s="1"/>
  <c r="CR34" i="14" a="1"/>
  <c r="CR34" i="14" s="1"/>
  <c r="D34" i="14" a="1"/>
  <c r="D34" i="14" s="1"/>
  <c r="M34" i="14" a="1"/>
  <c r="M34" i="14" s="1"/>
  <c r="W34" i="14" a="1"/>
  <c r="W34" i="14" s="1"/>
  <c r="AF34" i="14" a="1"/>
  <c r="AF34" i="14" s="1"/>
  <c r="AO34" i="14" a="1"/>
  <c r="AO34" i="14" s="1"/>
  <c r="BQ34" i="14" a="1"/>
  <c r="BQ34" i="14" s="1"/>
  <c r="BZ34" i="14" a="1"/>
  <c r="BZ34" i="14" s="1"/>
  <c r="CJ34" i="14" a="1"/>
  <c r="CJ34" i="14" s="1"/>
  <c r="E34" i="14" a="1"/>
  <c r="E34" i="14" s="1"/>
  <c r="N34" i="14" a="1"/>
  <c r="N34" i="14" s="1"/>
  <c r="X34" i="14" a="1"/>
  <c r="X34" i="14" s="1"/>
  <c r="AY34" i="14" a="1"/>
  <c r="AY34" i="14" s="1"/>
  <c r="BI34" i="14" a="1"/>
  <c r="BI34" i="14" s="1"/>
  <c r="BS34" i="14" a="1"/>
  <c r="BS34" i="14" s="1"/>
  <c r="CA34" i="14" a="1"/>
  <c r="CA34" i="14" s="1"/>
  <c r="CK34" i="14" a="1"/>
  <c r="CK34" i="14" s="1"/>
  <c r="G34" i="14" a="1"/>
  <c r="G34" i="14" s="1"/>
  <c r="O34" i="14" a="1"/>
  <c r="O34" i="14" s="1"/>
  <c r="Y34" i="14" a="1"/>
  <c r="Y34" i="14" s="1"/>
  <c r="AH34" i="14" a="1"/>
  <c r="AH34" i="14" s="1"/>
  <c r="AQ34" i="14" a="1"/>
  <c r="AQ34" i="14" s="1"/>
  <c r="BA34" i="14" a="1"/>
  <c r="BA34" i="14" s="1"/>
  <c r="BJ34" i="14" a="1"/>
  <c r="BJ34" i="14" s="1"/>
  <c r="CL34" i="14" a="1"/>
  <c r="CL34" i="14" s="1"/>
  <c r="AJ34" i="14" a="1"/>
  <c r="AJ34" i="14" s="1"/>
  <c r="BU34" i="14" a="1"/>
  <c r="BU34" i="14" s="1"/>
  <c r="AR34" i="14" a="1"/>
  <c r="AR34" i="14" s="1"/>
  <c r="CD34" i="14" a="1"/>
  <c r="CD34" i="14" s="1"/>
  <c r="BB34" i="14" a="1"/>
  <c r="BB34" i="14" s="1"/>
  <c r="CM34" i="14" a="1"/>
  <c r="CM34" i="14" s="1"/>
  <c r="CN34" i="14" a="1"/>
  <c r="CN34" i="14" s="1"/>
  <c r="Z34" i="14" a="1"/>
  <c r="Z34" i="14" s="1"/>
  <c r="AA34" i="14" a="1"/>
  <c r="AA34" i="14" s="1"/>
  <c r="B19" i="14" a="1"/>
  <c r="B19" i="14" s="1"/>
  <c r="M19" i="14" a="1"/>
  <c r="M19" i="14" s="1"/>
  <c r="S19" i="14" a="1"/>
  <c r="S19" i="14" s="1"/>
  <c r="X19" i="14" a="1"/>
  <c r="X19" i="14" s="1"/>
  <c r="AD19" i="14" a="1"/>
  <c r="AD19" i="14" s="1"/>
  <c r="AP19" i="14" a="1"/>
  <c r="AP19" i="14" s="1"/>
  <c r="AU19" i="14" a="1"/>
  <c r="AU19" i="14" s="1"/>
  <c r="BH19" i="14" a="1"/>
  <c r="BH19" i="14" s="1"/>
  <c r="BM19" i="14" a="1"/>
  <c r="BM19" i="14" s="1"/>
  <c r="BY19" i="14" a="1"/>
  <c r="BY19" i="14" s="1"/>
  <c r="CE19" i="14" a="1"/>
  <c r="CE19" i="14" s="1"/>
  <c r="CJ19" i="14" a="1"/>
  <c r="CJ19" i="14" s="1"/>
  <c r="CP19" i="14" a="1"/>
  <c r="CP19" i="14" s="1"/>
  <c r="G19" i="14" a="1"/>
  <c r="G19" i="14" s="1"/>
  <c r="T19" i="14" a="1"/>
  <c r="T19" i="14" s="1"/>
  <c r="Y19" i="14" a="1"/>
  <c r="Y19" i="14" s="1"/>
  <c r="AK19" i="14" a="1"/>
  <c r="AK19" i="14" s="1"/>
  <c r="AQ19" i="14" a="1"/>
  <c r="AQ19" i="14" s="1"/>
  <c r="AV19" i="14" a="1"/>
  <c r="AV19" i="14" s="1"/>
  <c r="BB19" i="14" a="1"/>
  <c r="BB19" i="14" s="1"/>
  <c r="BN19" i="14" a="1"/>
  <c r="BN19" i="14" s="1"/>
  <c r="BS19" i="14" a="1"/>
  <c r="BS19" i="14" s="1"/>
  <c r="CF19" i="14" a="1"/>
  <c r="CF19" i="14" s="1"/>
  <c r="CK19" i="14" a="1"/>
  <c r="CK19" i="14" s="1"/>
  <c r="C19" i="14" a="1"/>
  <c r="C19" i="14" s="1"/>
  <c r="H19" i="14" a="1"/>
  <c r="H19" i="14" s="1"/>
  <c r="N19" i="14" a="1"/>
  <c r="N19" i="14" s="1"/>
  <c r="Z19" i="14" a="1"/>
  <c r="Z19" i="14" s="1"/>
  <c r="AE19" i="14" a="1"/>
  <c r="AE19" i="14" s="1"/>
  <c r="AR19" i="14" a="1"/>
  <c r="AR19" i="14" s="1"/>
  <c r="AW19" i="14" a="1"/>
  <c r="AW19" i="14" s="1"/>
  <c r="BI19" i="14" a="1"/>
  <c r="BI19" i="14" s="1"/>
  <c r="BO19" i="14" a="1"/>
  <c r="BO19" i="14" s="1"/>
  <c r="BT19" i="14" a="1"/>
  <c r="BT19" i="14" s="1"/>
  <c r="BZ19" i="14" a="1"/>
  <c r="BZ19" i="14" s="1"/>
  <c r="CL19" i="14" a="1"/>
  <c r="CL19" i="14" s="1"/>
  <c r="CQ19" i="14" a="1"/>
  <c r="CQ19" i="14" s="1"/>
  <c r="J19" i="14" a="1"/>
  <c r="J19" i="14" s="1"/>
  <c r="O19" i="14" a="1"/>
  <c r="O19" i="14" s="1"/>
  <c r="AB19" i="14" a="1"/>
  <c r="AB19" i="14" s="1"/>
  <c r="AG19" i="14" a="1"/>
  <c r="AG19" i="14" s="1"/>
  <c r="AS19" i="14" a="1"/>
  <c r="AS19" i="14" s="1"/>
  <c r="AY19" i="14" a="1"/>
  <c r="AY19" i="14" s="1"/>
  <c r="BD19" i="14" a="1"/>
  <c r="BD19" i="14" s="1"/>
  <c r="BJ19" i="14" a="1"/>
  <c r="BJ19" i="14" s="1"/>
  <c r="BV19" i="14" a="1"/>
  <c r="BV19" i="14" s="1"/>
  <c r="CA19" i="14" a="1"/>
  <c r="CA19" i="14" s="1"/>
  <c r="CN19" i="14" a="1"/>
  <c r="CN19" i="14" s="1"/>
  <c r="CR19" i="14" a="1"/>
  <c r="CR19" i="14" s="1"/>
  <c r="L19" i="14" a="1"/>
  <c r="L19" i="14" s="1"/>
  <c r="AI19" i="14" a="1"/>
  <c r="AI19" i="14" s="1"/>
  <c r="AT19" i="14" a="1"/>
  <c r="AT19" i="14" s="1"/>
  <c r="BF19" i="14" a="1"/>
  <c r="BF19" i="14" s="1"/>
  <c r="CC19" i="14" a="1"/>
  <c r="CC19" i="14" s="1"/>
  <c r="CO19" i="14" a="1"/>
  <c r="CO19" i="14" s="1"/>
  <c r="W19" i="14" a="1"/>
  <c r="W19" i="14" s="1"/>
  <c r="AJ19" i="14" a="1"/>
  <c r="AJ19" i="14" s="1"/>
  <c r="BG19" i="14" a="1"/>
  <c r="BG19" i="14" s="1"/>
  <c r="BR19" i="14" a="1"/>
  <c r="BR19" i="14" s="1"/>
  <c r="CD19" i="14" a="1"/>
  <c r="CD19" i="14" s="1"/>
  <c r="D19" i="14" a="1"/>
  <c r="D19" i="14" s="1"/>
  <c r="AA19" i="14" a="1"/>
  <c r="AA19" i="14" s="1"/>
  <c r="AL19" i="14" a="1"/>
  <c r="AL19" i="14" s="1"/>
  <c r="AX19" i="14" a="1"/>
  <c r="AX19" i="14" s="1"/>
  <c r="BU19" i="14" a="1"/>
  <c r="BU19" i="14" s="1"/>
  <c r="CG19" i="14" a="1"/>
  <c r="CG19" i="14" s="1"/>
  <c r="E19" i="14" a="1"/>
  <c r="E19" i="14" s="1"/>
  <c r="P19" i="14" a="1"/>
  <c r="P19" i="14" s="1"/>
  <c r="AM19" i="14" a="1"/>
  <c r="AM19" i="14" s="1"/>
  <c r="AZ19" i="14" a="1"/>
  <c r="AZ19" i="14" s="1"/>
  <c r="BW19" i="14" a="1"/>
  <c r="BW19" i="14" s="1"/>
  <c r="CH19" i="14" a="1"/>
  <c r="CH19" i="14" s="1"/>
  <c r="Q19" i="14" a="1"/>
  <c r="Q19" i="14" s="1"/>
  <c r="AC19" i="14" a="1"/>
  <c r="AC19" i="14" s="1"/>
  <c r="AN19" i="14" a="1"/>
  <c r="AN19" i="14" s="1"/>
  <c r="BK19" i="14" a="1"/>
  <c r="BK19" i="14" s="1"/>
  <c r="BX19" i="14" a="1"/>
  <c r="BX19" i="14" s="1"/>
  <c r="CS19" i="14" a="1"/>
  <c r="CS19" i="14" s="1"/>
  <c r="I19" i="14" a="1"/>
  <c r="I19" i="14" s="1"/>
  <c r="U19" i="14" a="1"/>
  <c r="U19" i="14" s="1"/>
  <c r="AF19" i="14" a="1"/>
  <c r="AF19" i="14" s="1"/>
  <c r="BC19" i="14" a="1"/>
  <c r="BC19" i="14" s="1"/>
  <c r="BP19" i="14" a="1"/>
  <c r="BP19" i="14" s="1"/>
  <c r="CM19" i="14" a="1"/>
  <c r="CM19" i="14" s="1"/>
  <c r="F19" i="14" a="1"/>
  <c r="F19" i="14" s="1"/>
  <c r="BA19" i="14" a="1"/>
  <c r="BA19" i="14" s="1"/>
  <c r="K19" i="14" a="1"/>
  <c r="K19" i="14" s="1"/>
  <c r="BE19" i="14" a="1"/>
  <c r="BE19" i="14" s="1"/>
  <c r="R19" i="14" a="1"/>
  <c r="R19" i="14" s="1"/>
  <c r="BL19" i="14" a="1"/>
  <c r="BL19" i="14" s="1"/>
  <c r="V19" i="14" a="1"/>
  <c r="V19" i="14" s="1"/>
  <c r="BQ19" i="14" a="1"/>
  <c r="BQ19" i="14" s="1"/>
  <c r="AO19" i="14" a="1"/>
  <c r="AO19" i="14" s="1"/>
  <c r="CI19" i="14" a="1"/>
  <c r="CI19" i="14" s="1"/>
  <c r="CB19" i="14" a="1"/>
  <c r="CB19" i="14" s="1"/>
  <c r="AH19" i="14" a="1"/>
  <c r="AH19" i="14" s="1"/>
  <c r="B27" i="14" a="1"/>
  <c r="B27" i="14" s="1"/>
  <c r="G27" i="14" a="1"/>
  <c r="G27" i="14" s="1"/>
  <c r="M27" i="14" a="1"/>
  <c r="M27" i="14" s="1"/>
  <c r="S27" i="14" a="1"/>
  <c r="S27" i="14" s="1"/>
  <c r="Y27" i="14" a="1"/>
  <c r="Y27" i="14" s="1"/>
  <c r="AE27" i="14" a="1"/>
  <c r="AE27" i="14" s="1"/>
  <c r="AJ27" i="14" a="1"/>
  <c r="AJ27" i="14" s="1"/>
  <c r="AP27" i="14" a="1"/>
  <c r="AP27" i="14" s="1"/>
  <c r="AV27" i="14" a="1"/>
  <c r="AV27" i="14" s="1"/>
  <c r="BB27" i="14" a="1"/>
  <c r="BB27" i="14" s="1"/>
  <c r="BH27" i="14" a="1"/>
  <c r="BH27" i="14" s="1"/>
  <c r="BT27" i="14" a="1"/>
  <c r="BT27" i="14" s="1"/>
  <c r="BY27" i="14" a="1"/>
  <c r="BY27" i="14" s="1"/>
  <c r="CL27" i="14" a="1"/>
  <c r="CL27" i="14" s="1"/>
  <c r="CR27" i="14" a="1"/>
  <c r="CR27" i="14" s="1"/>
  <c r="O27" i="14" a="1"/>
  <c r="O27" i="14" s="1"/>
  <c r="AF27" i="14" a="1"/>
  <c r="AF27" i="14" s="1"/>
  <c r="AK27" i="14" a="1"/>
  <c r="AK27" i="14" s="1"/>
  <c r="AX27" i="14" a="1"/>
  <c r="AX27" i="14" s="1"/>
  <c r="BC27" i="14" a="1"/>
  <c r="BC27" i="14" s="1"/>
  <c r="BJ27" i="14" a="1"/>
  <c r="BJ27" i="14" s="1"/>
  <c r="BV27" i="14" a="1"/>
  <c r="BV27" i="14" s="1"/>
  <c r="CA27" i="14" a="1"/>
  <c r="CA27" i="14" s="1"/>
  <c r="CH27" i="14" a="1"/>
  <c r="CH27" i="14" s="1"/>
  <c r="C27" i="14" a="1"/>
  <c r="C27" i="14" s="1"/>
  <c r="I27" i="14" a="1"/>
  <c r="I27" i="14" s="1"/>
  <c r="U27" i="14" a="1"/>
  <c r="U27" i="14" s="1"/>
  <c r="AA27" i="14" a="1"/>
  <c r="AA27" i="14" s="1"/>
  <c r="AG27" i="14" a="1"/>
  <c r="AG27" i="14" s="1"/>
  <c r="AL27" i="14" a="1"/>
  <c r="AL27" i="14" s="1"/>
  <c r="AR27" i="14" a="1"/>
  <c r="AR27" i="14" s="1"/>
  <c r="BD27" i="14" a="1"/>
  <c r="BD27" i="14" s="1"/>
  <c r="BK27" i="14" a="1"/>
  <c r="BK27" i="14" s="1"/>
  <c r="BP27" i="14" a="1"/>
  <c r="BP27" i="14" s="1"/>
  <c r="CB27" i="14" a="1"/>
  <c r="CB27" i="14" s="1"/>
  <c r="CN27" i="14" a="1"/>
  <c r="CN27" i="14" s="1"/>
  <c r="E27" i="14" a="1"/>
  <c r="E27" i="14" s="1"/>
  <c r="L27" i="14" a="1"/>
  <c r="L27" i="14" s="1"/>
  <c r="W27" i="14" a="1"/>
  <c r="W27" i="14" s="1"/>
  <c r="AC27" i="14" a="1"/>
  <c r="AC27" i="14" s="1"/>
  <c r="AI27" i="14" a="1"/>
  <c r="AI27" i="14" s="1"/>
  <c r="AT27" i="14" a="1"/>
  <c r="AT27" i="14" s="1"/>
  <c r="BM27" i="14" a="1"/>
  <c r="BM27" i="14" s="1"/>
  <c r="BR27" i="14" a="1"/>
  <c r="BR27" i="14" s="1"/>
  <c r="BX27" i="14" a="1"/>
  <c r="BX27" i="14" s="1"/>
  <c r="CE27" i="14" a="1"/>
  <c r="CE27" i="14" s="1"/>
  <c r="CJ27" i="14" a="1"/>
  <c r="CJ27" i="14" s="1"/>
  <c r="CP27" i="14" a="1"/>
  <c r="CP27" i="14" s="1"/>
  <c r="H27" i="14" a="1"/>
  <c r="H27" i="14" s="1"/>
  <c r="T27" i="14" a="1"/>
  <c r="T27" i="14" s="1"/>
  <c r="AQ27" i="14" a="1"/>
  <c r="AQ27" i="14" s="1"/>
  <c r="BO27" i="14" a="1"/>
  <c r="BO27" i="14" s="1"/>
  <c r="BZ27" i="14" a="1"/>
  <c r="BZ27" i="14" s="1"/>
  <c r="CM27" i="14" a="1"/>
  <c r="CM27" i="14" s="1"/>
  <c r="J27" i="14" a="1"/>
  <c r="J27" i="14" s="1"/>
  <c r="AH27" i="14" a="1"/>
  <c r="AH27" i="14" s="1"/>
  <c r="BE27" i="14" a="1"/>
  <c r="BE27" i="14" s="1"/>
  <c r="CC27" i="14" a="1"/>
  <c r="CC27" i="14" s="1"/>
  <c r="X27" i="14" a="1"/>
  <c r="X27" i="14" s="1"/>
  <c r="AU27" i="14" a="1"/>
  <c r="AU27" i="14" s="1"/>
  <c r="BG27" i="14" a="1"/>
  <c r="BG27" i="14" s="1"/>
  <c r="BS27" i="14" a="1"/>
  <c r="BS27" i="14" s="1"/>
  <c r="CF27" i="14" a="1"/>
  <c r="CF27" i="14" s="1"/>
  <c r="CQ27" i="14" a="1"/>
  <c r="CQ27" i="14" s="1"/>
  <c r="N27" i="14" a="1"/>
  <c r="N27" i="14" s="1"/>
  <c r="Z27" i="14" a="1"/>
  <c r="Z27" i="14" s="1"/>
  <c r="AW27" i="14" a="1"/>
  <c r="AW27" i="14" s="1"/>
  <c r="BI27" i="14" a="1"/>
  <c r="BI27" i="14" s="1"/>
  <c r="BU27" i="14" a="1"/>
  <c r="BU27" i="14" s="1"/>
  <c r="CG27" i="14" a="1"/>
  <c r="CG27" i="14" s="1"/>
  <c r="CS27" i="14" a="1"/>
  <c r="CS27" i="14" s="1"/>
  <c r="D27" i="14" a="1"/>
  <c r="D27" i="14" s="1"/>
  <c r="Q27" i="14" a="1"/>
  <c r="Q27" i="14" s="1"/>
  <c r="AB27" i="14" a="1"/>
  <c r="AB27" i="14" s="1"/>
  <c r="AN27" i="14" a="1"/>
  <c r="AN27" i="14" s="1"/>
  <c r="AZ27" i="14" a="1"/>
  <c r="AZ27" i="14" s="1"/>
  <c r="BL27" i="14" a="1"/>
  <c r="BL27" i="14" s="1"/>
  <c r="V27" i="14" a="1"/>
  <c r="V27" i="14" s="1"/>
  <c r="BA27" i="14" a="1"/>
  <c r="BA27" i="14" s="1"/>
  <c r="CI27" i="14" a="1"/>
  <c r="CI27" i="14" s="1"/>
  <c r="BF27" i="14" a="1"/>
  <c r="BF27" i="14" s="1"/>
  <c r="CK27" i="14" a="1"/>
  <c r="CK27" i="14" s="1"/>
  <c r="AD27" i="14" a="1"/>
  <c r="AD27" i="14" s="1"/>
  <c r="CO27" i="14" a="1"/>
  <c r="CO27" i="14" s="1"/>
  <c r="BN27" i="14" a="1"/>
  <c r="BN27" i="14" s="1"/>
  <c r="F27" i="14" a="1"/>
  <c r="F27" i="14" s="1"/>
  <c r="AM27" i="14" a="1"/>
  <c r="AM27" i="14" s="1"/>
  <c r="BQ27" i="14" a="1"/>
  <c r="BQ27" i="14" s="1"/>
  <c r="K27" i="14" a="1"/>
  <c r="K27" i="14" s="1"/>
  <c r="AO27" i="14" a="1"/>
  <c r="AO27" i="14" s="1"/>
  <c r="BW27" i="14" a="1"/>
  <c r="BW27" i="14" s="1"/>
  <c r="R27" i="14" a="1"/>
  <c r="R27" i="14" s="1"/>
  <c r="AY27" i="14" a="1"/>
  <c r="AY27" i="14" s="1"/>
  <c r="CD27" i="14" a="1"/>
  <c r="CD27" i="14" s="1"/>
  <c r="P27" i="14" a="1"/>
  <c r="P27" i="14" s="1"/>
  <c r="AS27" i="14" a="1"/>
  <c r="AS27" i="14" s="1"/>
  <c r="B35" i="14" a="1"/>
  <c r="B35" i="14" s="1"/>
  <c r="N35" i="14" a="1"/>
  <c r="N35" i="14" s="1"/>
  <c r="S35" i="14" a="1"/>
  <c r="S35" i="14" s="1"/>
  <c r="Z35" i="14" a="1"/>
  <c r="Z35" i="14" s="1"/>
  <c r="AF35" i="14" a="1"/>
  <c r="AF35" i="14" s="1"/>
  <c r="AW35" i="14" a="1"/>
  <c r="AW35" i="14" s="1"/>
  <c r="BC35" i="14" a="1"/>
  <c r="BC35" i="14" s="1"/>
  <c r="BN35" i="14" a="1"/>
  <c r="BN35" i="14" s="1"/>
  <c r="CG35" i="14" a="1"/>
  <c r="CG35" i="14" s="1"/>
  <c r="CM35" i="14" a="1"/>
  <c r="CM35" i="14" s="1"/>
  <c r="D35" i="14" a="1"/>
  <c r="D35" i="14" s="1"/>
  <c r="O35" i="14" a="1"/>
  <c r="O35" i="14" s="1"/>
  <c r="U35" i="14" a="1"/>
  <c r="U35" i="14" s="1"/>
  <c r="AA35" i="14" a="1"/>
  <c r="AA35" i="14" s="1"/>
  <c r="AG35" i="14" a="1"/>
  <c r="AG35" i="14" s="1"/>
  <c r="AM35" i="14" a="1"/>
  <c r="AM35" i="14" s="1"/>
  <c r="AR35" i="14" a="1"/>
  <c r="AR35" i="14" s="1"/>
  <c r="AX35" i="14" a="1"/>
  <c r="AX35" i="14" s="1"/>
  <c r="BJ35" i="14" a="1"/>
  <c r="BJ35" i="14" s="1"/>
  <c r="BP35" i="14" a="1"/>
  <c r="BP35" i="14" s="1"/>
  <c r="BV35" i="14" a="1"/>
  <c r="BV35" i="14" s="1"/>
  <c r="CB35" i="14" a="1"/>
  <c r="CB35" i="14" s="1"/>
  <c r="CI35" i="14" a="1"/>
  <c r="CI35" i="14" s="1"/>
  <c r="F35" i="14" a="1"/>
  <c r="F35" i="14" s="1"/>
  <c r="K35" i="14" a="1"/>
  <c r="K35" i="14" s="1"/>
  <c r="X35" i="14" a="1"/>
  <c r="X35" i="14" s="1"/>
  <c r="AC35" i="14" a="1"/>
  <c r="AC35" i="14" s="1"/>
  <c r="AI35" i="14" a="1"/>
  <c r="AI35" i="14" s="1"/>
  <c r="AO35" i="14" a="1"/>
  <c r="AO35" i="14" s="1"/>
  <c r="AZ35" i="14" a="1"/>
  <c r="AZ35" i="14" s="1"/>
  <c r="BR35" i="14" a="1"/>
  <c r="BR35" i="14" s="1"/>
  <c r="BX35" i="14" a="1"/>
  <c r="BX35" i="14" s="1"/>
  <c r="CD35" i="14" a="1"/>
  <c r="CD35" i="14" s="1"/>
  <c r="CK35" i="14" a="1"/>
  <c r="CK35" i="14" s="1"/>
  <c r="CQ35" i="14" a="1"/>
  <c r="CQ35" i="14" s="1"/>
  <c r="H35" i="14" a="1"/>
  <c r="H35" i="14" s="1"/>
  <c r="Q35" i="14" a="1"/>
  <c r="Q35" i="14" s="1"/>
  <c r="AJ35" i="14" a="1"/>
  <c r="AJ35" i="14" s="1"/>
  <c r="AS35" i="14" a="1"/>
  <c r="AS35" i="14" s="1"/>
  <c r="BB35" i="14" a="1"/>
  <c r="BB35" i="14" s="1"/>
  <c r="BL35" i="14" a="1"/>
  <c r="BL35" i="14" s="1"/>
  <c r="BU35" i="14" a="1"/>
  <c r="BU35" i="14" s="1"/>
  <c r="CE35" i="14" a="1"/>
  <c r="CE35" i="14" s="1"/>
  <c r="CO35" i="14" a="1"/>
  <c r="CO35" i="14" s="1"/>
  <c r="I35" i="14" a="1"/>
  <c r="I35" i="14" s="1"/>
  <c r="R35" i="14" a="1"/>
  <c r="R35" i="14" s="1"/>
  <c r="AB35" i="14" a="1"/>
  <c r="AB35" i="14" s="1"/>
  <c r="AK35" i="14" a="1"/>
  <c r="AK35" i="14" s="1"/>
  <c r="AT35" i="14" a="1"/>
  <c r="AT35" i="14" s="1"/>
  <c r="BD35" i="14" a="1"/>
  <c r="BD35" i="14" s="1"/>
  <c r="BM35" i="14" a="1"/>
  <c r="BM35" i="14" s="1"/>
  <c r="CF35" i="14" a="1"/>
  <c r="CF35" i="14" s="1"/>
  <c r="CP35" i="14" a="1"/>
  <c r="CP35" i="14" s="1"/>
  <c r="J35" i="14" a="1"/>
  <c r="J35" i="14" s="1"/>
  <c r="AL35" i="14" a="1"/>
  <c r="AL35" i="14" s="1"/>
  <c r="AU35" i="14" a="1"/>
  <c r="AU35" i="14" s="1"/>
  <c r="BE35" i="14" a="1"/>
  <c r="BE35" i="14" s="1"/>
  <c r="BW35" i="14" a="1"/>
  <c r="BW35" i="14" s="1"/>
  <c r="CH35" i="14" a="1"/>
  <c r="CH35" i="14" s="1"/>
  <c r="CR35" i="14" a="1"/>
  <c r="CR35" i="14" s="1"/>
  <c r="T35" i="14" a="1"/>
  <c r="T35" i="14" s="1"/>
  <c r="AD35" i="14" a="1"/>
  <c r="AD35" i="14" s="1"/>
  <c r="AN35" i="14" a="1"/>
  <c r="AN35" i="14" s="1"/>
  <c r="AV35" i="14" a="1"/>
  <c r="AV35" i="14" s="1"/>
  <c r="BF35" i="14" a="1"/>
  <c r="BF35" i="14" s="1"/>
  <c r="BO35" i="14" a="1"/>
  <c r="BO35" i="14" s="1"/>
  <c r="BY35" i="14" a="1"/>
  <c r="BY35" i="14" s="1"/>
  <c r="CJ35" i="14" a="1"/>
  <c r="CJ35" i="14" s="1"/>
  <c r="CS35" i="14" a="1"/>
  <c r="CS35" i="14" s="1"/>
  <c r="C35" i="14" a="1"/>
  <c r="C35" i="14" s="1"/>
  <c r="L35" i="14" a="1"/>
  <c r="L35" i="14" s="1"/>
  <c r="V35" i="14" a="1"/>
  <c r="V35" i="14" s="1"/>
  <c r="AE35" i="14" a="1"/>
  <c r="AE35" i="14" s="1"/>
  <c r="BG35" i="14" a="1"/>
  <c r="BG35" i="14" s="1"/>
  <c r="BQ35" i="14" a="1"/>
  <c r="BQ35" i="14" s="1"/>
  <c r="BZ35" i="14" a="1"/>
  <c r="BZ35" i="14" s="1"/>
  <c r="E35" i="14" a="1"/>
  <c r="E35" i="14" s="1"/>
  <c r="M35" i="14" a="1"/>
  <c r="M35" i="14" s="1"/>
  <c r="W35" i="14" a="1"/>
  <c r="W35" i="14" s="1"/>
  <c r="BH35" i="14" a="1"/>
  <c r="BH35" i="14" s="1"/>
  <c r="CA35" i="14" a="1"/>
  <c r="CA35" i="14" s="1"/>
  <c r="CL35" i="14" a="1"/>
  <c r="CL35" i="14" s="1"/>
  <c r="AY35" i="14" a="1"/>
  <c r="AY35" i="14" s="1"/>
  <c r="P35" i="14" a="1"/>
  <c r="P35" i="14" s="1"/>
  <c r="BA35" i="14" a="1"/>
  <c r="BA35" i="14" s="1"/>
  <c r="CN35" i="14" a="1"/>
  <c r="CN35" i="14" s="1"/>
  <c r="BI35" i="14" a="1"/>
  <c r="BI35" i="14" s="1"/>
  <c r="Y35" i="14" a="1"/>
  <c r="Y35" i="14" s="1"/>
  <c r="BK35" i="14" a="1"/>
  <c r="BK35" i="14" s="1"/>
  <c r="BS35" i="14" a="1"/>
  <c r="BS35" i="14" s="1"/>
  <c r="AH35" i="14" a="1"/>
  <c r="AH35" i="14" s="1"/>
  <c r="BT35" i="14" a="1"/>
  <c r="BT35" i="14" s="1"/>
  <c r="AP35" i="14" a="1"/>
  <c r="AP35" i="14" s="1"/>
  <c r="CC35" i="14" a="1"/>
  <c r="CC35" i="14" s="1"/>
  <c r="G35" i="14" a="1"/>
  <c r="G35" i="14" s="1"/>
  <c r="AQ35" i="14" a="1"/>
  <c r="AQ35" i="14" s="1"/>
  <c r="B23" i="14" a="1"/>
  <c r="B23" i="14" s="1"/>
  <c r="C23" i="14" a="1"/>
  <c r="C23" i="14" s="1"/>
  <c r="O23" i="14" a="1"/>
  <c r="O23" i="14" s="1"/>
  <c r="V23" i="14" a="1"/>
  <c r="V23" i="14" s="1"/>
  <c r="AG23" i="14" a="1"/>
  <c r="AG23" i="14" s="1"/>
  <c r="AS23" i="14" a="1"/>
  <c r="AS23" i="14" s="1"/>
  <c r="AY23" i="14" a="1"/>
  <c r="AY23" i="14" s="1"/>
  <c r="BE23" i="14" a="1"/>
  <c r="BE23" i="14" s="1"/>
  <c r="D23" i="14" a="1"/>
  <c r="D23" i="14" s="1"/>
  <c r="J23" i="14" a="1"/>
  <c r="J23" i="14" s="1"/>
  <c r="P23" i="14" a="1"/>
  <c r="P23" i="14" s="1"/>
  <c r="W23" i="14" a="1"/>
  <c r="W23" i="14" s="1"/>
  <c r="AB23" i="14" a="1"/>
  <c r="AB23" i="14" s="1"/>
  <c r="AH23" i="14" a="1"/>
  <c r="AH23" i="14" s="1"/>
  <c r="AN23" i="14" a="1"/>
  <c r="AN23" i="14" s="1"/>
  <c r="AZ23" i="14" a="1"/>
  <c r="AZ23" i="14" s="1"/>
  <c r="K23" i="14" a="1"/>
  <c r="K23" i="14" s="1"/>
  <c r="Q23" i="14" a="1"/>
  <c r="Q23" i="14" s="1"/>
  <c r="AC23" i="14" a="1"/>
  <c r="AC23" i="14" s="1"/>
  <c r="AI23" i="14" a="1"/>
  <c r="AI23" i="14" s="1"/>
  <c r="AO23" i="14" a="1"/>
  <c r="AO23" i="14" s="1"/>
  <c r="AT23" i="14" a="1"/>
  <c r="AT23" i="14" s="1"/>
  <c r="BF23" i="14" a="1"/>
  <c r="BF23" i="14" s="1"/>
  <c r="BL23" i="14" a="1"/>
  <c r="BL23" i="14" s="1"/>
  <c r="BR23" i="14" a="1"/>
  <c r="BR23" i="14" s="1"/>
  <c r="CC23" i="14" a="1"/>
  <c r="CC23" i="14" s="1"/>
  <c r="CO23" i="14" a="1"/>
  <c r="CO23" i="14" s="1"/>
  <c r="E23" i="14" a="1"/>
  <c r="E23" i="14" s="1"/>
  <c r="R23" i="14" a="1"/>
  <c r="R23" i="14" s="1"/>
  <c r="X23" i="14" a="1"/>
  <c r="X23" i="14" s="1"/>
  <c r="AJ23" i="14" a="1"/>
  <c r="AJ23" i="14" s="1"/>
  <c r="AU23" i="14" a="1"/>
  <c r="AU23" i="14" s="1"/>
  <c r="BA23" i="14" a="1"/>
  <c r="BA23" i="14" s="1"/>
  <c r="BG23" i="14" a="1"/>
  <c r="BG23" i="14" s="1"/>
  <c r="BS23" i="14" a="1"/>
  <c r="BS23" i="14" s="1"/>
  <c r="BX23" i="14" a="1"/>
  <c r="BX23" i="14" s="1"/>
  <c r="CD23" i="14" a="1"/>
  <c r="CD23" i="14" s="1"/>
  <c r="CJ23" i="14" a="1"/>
  <c r="CJ23" i="14" s="1"/>
  <c r="F23" i="14" a="1"/>
  <c r="F23" i="14" s="1"/>
  <c r="L23" i="14" a="1"/>
  <c r="L23" i="14" s="1"/>
  <c r="S23" i="14" a="1"/>
  <c r="S23" i="14" s="1"/>
  <c r="Y23" i="14" a="1"/>
  <c r="Y23" i="14" s="1"/>
  <c r="AD23" i="14" a="1"/>
  <c r="AD23" i="14" s="1"/>
  <c r="AP23" i="14" a="1"/>
  <c r="AP23" i="14" s="1"/>
  <c r="AV23" i="14" a="1"/>
  <c r="AV23" i="14" s="1"/>
  <c r="BB23" i="14" a="1"/>
  <c r="BB23" i="14" s="1"/>
  <c r="BM23" i="14" a="1"/>
  <c r="BM23" i="14" s="1"/>
  <c r="BY23" i="14" a="1"/>
  <c r="BY23" i="14" s="1"/>
  <c r="CE23" i="14" a="1"/>
  <c r="CE23" i="14" s="1"/>
  <c r="CK23" i="14" a="1"/>
  <c r="CK23" i="14" s="1"/>
  <c r="CP23" i="14" a="1"/>
  <c r="CP23" i="14" s="1"/>
  <c r="H23" i="14" a="1"/>
  <c r="H23" i="14" s="1"/>
  <c r="Z23" i="14" a="1"/>
  <c r="Z23" i="14" s="1"/>
  <c r="AF23" i="14" a="1"/>
  <c r="AF23" i="14" s="1"/>
  <c r="AL23" i="14" a="1"/>
  <c r="AL23" i="14" s="1"/>
  <c r="AW23" i="14" a="1"/>
  <c r="AW23" i="14" s="1"/>
  <c r="BI23" i="14" a="1"/>
  <c r="BI23" i="14" s="1"/>
  <c r="BO23" i="14" a="1"/>
  <c r="BO23" i="14" s="1"/>
  <c r="BU23" i="14" a="1"/>
  <c r="BU23" i="14" s="1"/>
  <c r="BZ23" i="14" a="1"/>
  <c r="BZ23" i="14" s="1"/>
  <c r="CL23" i="14" a="1"/>
  <c r="CL23" i="14" s="1"/>
  <c r="CR23" i="14" a="1"/>
  <c r="CR23" i="14" s="1"/>
  <c r="T23" i="14" a="1"/>
  <c r="T23" i="14" s="1"/>
  <c r="AQ23" i="14" a="1"/>
  <c r="AQ23" i="14" s="1"/>
  <c r="BJ23" i="14" a="1"/>
  <c r="BJ23" i="14" s="1"/>
  <c r="BV23" i="14" a="1"/>
  <c r="BV23" i="14" s="1"/>
  <c r="CH23" i="14" a="1"/>
  <c r="CH23" i="14" s="1"/>
  <c r="CS23" i="14" a="1"/>
  <c r="CS23" i="14" s="1"/>
  <c r="BN23" i="14" a="1"/>
  <c r="BN23" i="14" s="1"/>
  <c r="AA23" i="14" a="1"/>
  <c r="AA23" i="14" s="1"/>
  <c r="AX23" i="14" a="1"/>
  <c r="AX23" i="14" s="1"/>
  <c r="BP23" i="14" a="1"/>
  <c r="BP23" i="14" s="1"/>
  <c r="CA23" i="14" a="1"/>
  <c r="CA23" i="14" s="1"/>
  <c r="CM23" i="14" a="1"/>
  <c r="CM23" i="14" s="1"/>
  <c r="M23" i="14" a="1"/>
  <c r="M23" i="14" s="1"/>
  <c r="AK23" i="14" a="1"/>
  <c r="AK23" i="14" s="1"/>
  <c r="BH23" i="14" a="1"/>
  <c r="BH23" i="14" s="1"/>
  <c r="BT23" i="14" a="1"/>
  <c r="BT23" i="14" s="1"/>
  <c r="CF23" i="14" a="1"/>
  <c r="CF23" i="14" s="1"/>
  <c r="CQ23" i="14" a="1"/>
  <c r="CQ23" i="14" s="1"/>
  <c r="U23" i="14" a="1"/>
  <c r="U23" i="14" s="1"/>
  <c r="BK23" i="14" a="1"/>
  <c r="BK23" i="14" s="1"/>
  <c r="CI23" i="14" a="1"/>
  <c r="CI23" i="14" s="1"/>
  <c r="AE23" i="14" a="1"/>
  <c r="AE23" i="14" s="1"/>
  <c r="BQ23" i="14" a="1"/>
  <c r="BQ23" i="14" s="1"/>
  <c r="CN23" i="14" a="1"/>
  <c r="CN23" i="14" s="1"/>
  <c r="AM23" i="14" a="1"/>
  <c r="AM23" i="14" s="1"/>
  <c r="AR23" i="14" a="1"/>
  <c r="AR23" i="14" s="1"/>
  <c r="BW23" i="14" a="1"/>
  <c r="BW23" i="14" s="1"/>
  <c r="I23" i="14" a="1"/>
  <c r="I23" i="14" s="1"/>
  <c r="BD23" i="14" a="1"/>
  <c r="BD23" i="14" s="1"/>
  <c r="G23" i="14" a="1"/>
  <c r="G23" i="14" s="1"/>
  <c r="N23" i="14" a="1"/>
  <c r="N23" i="14" s="1"/>
  <c r="BC23" i="14" a="1"/>
  <c r="BC23" i="14" s="1"/>
  <c r="CG23" i="14" a="1"/>
  <c r="CG23" i="14" s="1"/>
  <c r="CB23" i="14" a="1"/>
  <c r="CB23" i="14" s="1"/>
  <c r="B12" i="14" a="1"/>
  <c r="B12" i="14" s="1"/>
  <c r="E12" i="14" a="1"/>
  <c r="E12" i="14" s="1"/>
  <c r="K12" i="14" a="1"/>
  <c r="K12" i="14" s="1"/>
  <c r="Q12" i="14" a="1"/>
  <c r="Q12" i="14" s="1"/>
  <c r="W12" i="14" a="1"/>
  <c r="W12" i="14" s="1"/>
  <c r="AC12" i="14" a="1"/>
  <c r="AC12" i="14" s="1"/>
  <c r="AI12" i="14" a="1"/>
  <c r="AI12" i="14" s="1"/>
  <c r="AN12" i="14" a="1"/>
  <c r="AN12" i="14" s="1"/>
  <c r="AU12" i="14" a="1"/>
  <c r="AU12" i="14" s="1"/>
  <c r="BG12" i="14" a="1"/>
  <c r="BG12" i="14" s="1"/>
  <c r="BM12" i="14" a="1"/>
  <c r="BM12" i="14" s="1"/>
  <c r="BS12" i="14" a="1"/>
  <c r="BS12" i="14" s="1"/>
  <c r="CE12" i="14" a="1"/>
  <c r="CE12" i="14" s="1"/>
  <c r="CK12" i="14" a="1"/>
  <c r="CK12" i="14" s="1"/>
  <c r="CQ12" i="14" a="1"/>
  <c r="CQ12" i="14" s="1"/>
  <c r="L12" i="14" a="1"/>
  <c r="L12" i="14" s="1"/>
  <c r="AD12" i="14" a="1"/>
  <c r="AD12" i="14" s="1"/>
  <c r="AO12" i="14" a="1"/>
  <c r="AO12" i="14" s="1"/>
  <c r="AV12" i="14" a="1"/>
  <c r="AV12" i="14" s="1"/>
  <c r="BB12" i="14" a="1"/>
  <c r="BB12" i="14" s="1"/>
  <c r="BH12" i="14" a="1"/>
  <c r="BH12" i="14" s="1"/>
  <c r="BN12" i="14" a="1"/>
  <c r="BN12" i="14" s="1"/>
  <c r="BZ12" i="14" a="1"/>
  <c r="BZ12" i="14" s="1"/>
  <c r="CF12" i="14" a="1"/>
  <c r="CF12" i="14" s="1"/>
  <c r="CL12" i="14" a="1"/>
  <c r="CL12" i="14" s="1"/>
  <c r="G12" i="14" a="1"/>
  <c r="G12" i="14" s="1"/>
  <c r="S12" i="14" a="1"/>
  <c r="S12" i="14" s="1"/>
  <c r="Y12" i="14" a="1"/>
  <c r="Y12" i="14" s="1"/>
  <c r="AE12" i="14" a="1"/>
  <c r="AE12" i="14" s="1"/>
  <c r="AK12" i="14" a="1"/>
  <c r="AK12" i="14" s="1"/>
  <c r="AQ12" i="14" a="1"/>
  <c r="AQ12" i="14" s="1"/>
  <c r="BJ12" i="14" a="1"/>
  <c r="BJ12" i="14" s="1"/>
  <c r="BU12" i="14" a="1"/>
  <c r="BU12" i="14" s="1"/>
  <c r="CA12" i="14" a="1"/>
  <c r="CA12" i="14" s="1"/>
  <c r="CM12" i="14" a="1"/>
  <c r="CM12" i="14" s="1"/>
  <c r="CS12" i="14" a="1"/>
  <c r="CS12" i="14" s="1"/>
  <c r="D12" i="14" a="1"/>
  <c r="D12" i="14" s="1"/>
  <c r="X12" i="14" a="1"/>
  <c r="X12" i="14" s="1"/>
  <c r="AG12" i="14" a="1"/>
  <c r="AG12" i="14" s="1"/>
  <c r="AR12" i="14" a="1"/>
  <c r="AR12" i="14" s="1"/>
  <c r="BA12" i="14" a="1"/>
  <c r="BA12" i="14" s="1"/>
  <c r="BK12" i="14" a="1"/>
  <c r="BK12" i="14" s="1"/>
  <c r="BT12" i="14" a="1"/>
  <c r="BT12" i="14" s="1"/>
  <c r="CN12" i="14" a="1"/>
  <c r="CN12" i="14" s="1"/>
  <c r="P12" i="14" a="1"/>
  <c r="P12" i="14" s="1"/>
  <c r="AJ12" i="14" a="1"/>
  <c r="AJ12" i="14" s="1"/>
  <c r="AT12" i="14" a="1"/>
  <c r="AT12" i="14" s="1"/>
  <c r="BD12" i="14" a="1"/>
  <c r="BD12" i="14" s="1"/>
  <c r="BL12" i="14" a="1"/>
  <c r="BL12" i="14" s="1"/>
  <c r="H12" i="14" a="1"/>
  <c r="H12" i="14" s="1"/>
  <c r="R12" i="14" a="1"/>
  <c r="R12" i="14" s="1"/>
  <c r="AA12" i="14" a="1"/>
  <c r="AA12" i="14" s="1"/>
  <c r="BE12" i="14" a="1"/>
  <c r="BE12" i="14" s="1"/>
  <c r="BO12" i="14" a="1"/>
  <c r="BO12" i="14" s="1"/>
  <c r="BX12" i="14" a="1"/>
  <c r="BX12" i="14" s="1"/>
  <c r="CH12" i="14" a="1"/>
  <c r="CH12" i="14" s="1"/>
  <c r="I12" i="14" a="1"/>
  <c r="I12" i="14" s="1"/>
  <c r="T12" i="14" a="1"/>
  <c r="T12" i="14" s="1"/>
  <c r="AB12" i="14" a="1"/>
  <c r="AB12" i="14" s="1"/>
  <c r="AL12" i="14" a="1"/>
  <c r="AL12" i="14" s="1"/>
  <c r="AW12" i="14" a="1"/>
  <c r="AW12" i="14" s="1"/>
  <c r="BF12" i="14" a="1"/>
  <c r="BF12" i="14" s="1"/>
  <c r="BP12" i="14" a="1"/>
  <c r="BP12" i="14" s="1"/>
  <c r="BY12" i="14" a="1"/>
  <c r="BY12" i="14" s="1"/>
  <c r="CI12" i="14" a="1"/>
  <c r="CI12" i="14" s="1"/>
  <c r="CR12" i="14" a="1"/>
  <c r="CR12" i="14" s="1"/>
  <c r="J12" i="14" a="1"/>
  <c r="J12" i="14" s="1"/>
  <c r="U12" i="14" a="1"/>
  <c r="U12" i="14" s="1"/>
  <c r="AM12" i="14" a="1"/>
  <c r="AM12" i="14" s="1"/>
  <c r="AX12" i="14" a="1"/>
  <c r="AX12" i="14" s="1"/>
  <c r="BQ12" i="14" a="1"/>
  <c r="BQ12" i="14" s="1"/>
  <c r="C12" i="14" a="1"/>
  <c r="C12" i="14" s="1"/>
  <c r="M12" i="14" a="1"/>
  <c r="M12" i="14" s="1"/>
  <c r="AY12" i="14" a="1"/>
  <c r="AY12" i="14" s="1"/>
  <c r="BI12" i="14" a="1"/>
  <c r="BI12" i="14" s="1"/>
  <c r="CB12" i="14" a="1"/>
  <c r="CB12" i="14" s="1"/>
  <c r="CJ12" i="14" a="1"/>
  <c r="CJ12" i="14" s="1"/>
  <c r="AH12" i="14" a="1"/>
  <c r="AH12" i="14" s="1"/>
  <c r="BV12" i="14" a="1"/>
  <c r="BV12" i="14" s="1"/>
  <c r="AP12" i="14" a="1"/>
  <c r="AP12" i="14" s="1"/>
  <c r="BW12" i="14" a="1"/>
  <c r="BW12" i="14" s="1"/>
  <c r="F12" i="14" a="1"/>
  <c r="F12" i="14" s="1"/>
  <c r="AS12" i="14" a="1"/>
  <c r="AS12" i="14" s="1"/>
  <c r="CC12" i="14" a="1"/>
  <c r="CC12" i="14" s="1"/>
  <c r="N12" i="14" a="1"/>
  <c r="N12" i="14" s="1"/>
  <c r="AZ12" i="14" a="1"/>
  <c r="AZ12" i="14" s="1"/>
  <c r="CD12" i="14" a="1"/>
  <c r="CD12" i="14" s="1"/>
  <c r="O12" i="14" a="1"/>
  <c r="O12" i="14" s="1"/>
  <c r="BC12" i="14" a="1"/>
  <c r="BC12" i="14" s="1"/>
  <c r="CG12" i="14" a="1"/>
  <c r="CG12" i="14" s="1"/>
  <c r="Z12" i="14" a="1"/>
  <c r="Z12" i="14" s="1"/>
  <c r="CO12" i="14" a="1"/>
  <c r="CO12" i="14" s="1"/>
  <c r="CP12" i="14" a="1"/>
  <c r="CP12" i="14" s="1"/>
  <c r="V12" i="14" a="1"/>
  <c r="V12" i="14" s="1"/>
  <c r="AF12" i="14" a="1"/>
  <c r="AF12" i="14" s="1"/>
  <c r="BR12" i="14" a="1"/>
  <c r="BR12" i="14" s="1"/>
  <c r="B20" i="14" a="1"/>
  <c r="B20" i="14" s="1"/>
  <c r="C20" i="14" a="1"/>
  <c r="C20" i="14" s="1"/>
  <c r="G20" i="14" a="1"/>
  <c r="G20" i="14" s="1"/>
  <c r="K20" i="14" a="1"/>
  <c r="K20" i="14" s="1"/>
  <c r="P20" i="14" a="1"/>
  <c r="P20" i="14" s="1"/>
  <c r="L20" i="14" a="1"/>
  <c r="L20" i="14" s="1"/>
  <c r="U20" i="14" a="1"/>
  <c r="U20" i="14" s="1"/>
  <c r="AF20" i="14" a="1"/>
  <c r="AF20" i="14" s="1"/>
  <c r="AK20" i="14" a="1"/>
  <c r="AK20" i="14" s="1"/>
  <c r="D20" i="14" a="1"/>
  <c r="D20" i="14" s="1"/>
  <c r="H20" i="14" a="1"/>
  <c r="H20" i="14" s="1"/>
  <c r="Q20" i="14" a="1"/>
  <c r="Q20" i="14" s="1"/>
  <c r="E20" i="14" a="1"/>
  <c r="E20" i="14" s="1"/>
  <c r="I20" i="14" a="1"/>
  <c r="I20" i="14" s="1"/>
  <c r="R20" i="14" a="1"/>
  <c r="R20" i="14" s="1"/>
  <c r="W20" i="14" a="1"/>
  <c r="W20" i="14" s="1"/>
  <c r="AM20" i="14" a="1"/>
  <c r="AM20" i="14" s="1"/>
  <c r="F20" i="14" a="1"/>
  <c r="F20" i="14" s="1"/>
  <c r="AV20" i="14" a="1"/>
  <c r="AV20" i="14" s="1"/>
  <c r="BA20" i="14" a="1"/>
  <c r="BA20" i="14" s="1"/>
  <c r="BW20" i="14" a="1"/>
  <c r="BW20" i="14" s="1"/>
  <c r="CD20" i="14" a="1"/>
  <c r="CD20" i="14" s="1"/>
  <c r="CP20" i="14" a="1"/>
  <c r="CP20" i="14" s="1"/>
  <c r="O20" i="14" a="1"/>
  <c r="O20" i="14" s="1"/>
  <c r="X20" i="14" a="1"/>
  <c r="X20" i="14" s="1"/>
  <c r="AD20" i="14" a="1"/>
  <c r="AD20" i="14" s="1"/>
  <c r="AL20" i="14" a="1"/>
  <c r="AL20" i="14" s="1"/>
  <c r="AQ20" i="14" a="1"/>
  <c r="AQ20" i="14" s="1"/>
  <c r="AW20" i="14" a="1"/>
  <c r="AW20" i="14" s="1"/>
  <c r="BB20" i="14" a="1"/>
  <c r="BB20" i="14" s="1"/>
  <c r="BG20" i="14" a="1"/>
  <c r="BG20" i="14" s="1"/>
  <c r="BM20" i="14" a="1"/>
  <c r="BM20" i="14" s="1"/>
  <c r="BS20" i="14" a="1"/>
  <c r="BS20" i="14" s="1"/>
  <c r="BX20" i="14" a="1"/>
  <c r="BX20" i="14" s="1"/>
  <c r="CE20" i="14" a="1"/>
  <c r="CE20" i="14" s="1"/>
  <c r="CK20" i="14" a="1"/>
  <c r="CK20" i="14" s="1"/>
  <c r="CQ20" i="14" a="1"/>
  <c r="CQ20" i="14" s="1"/>
  <c r="AE20" i="14" a="1"/>
  <c r="AE20" i="14" s="1"/>
  <c r="AR20" i="14" a="1"/>
  <c r="AR20" i="14" s="1"/>
  <c r="BH20" i="14" a="1"/>
  <c r="BH20" i="14" s="1"/>
  <c r="BT20" i="14" a="1"/>
  <c r="BT20" i="14" s="1"/>
  <c r="BY20" i="14" a="1"/>
  <c r="BY20" i="14" s="1"/>
  <c r="CF20" i="14" a="1"/>
  <c r="CF20" i="14" s="1"/>
  <c r="CL20" i="14" a="1"/>
  <c r="CL20" i="14" s="1"/>
  <c r="CR20" i="14" a="1"/>
  <c r="CR20" i="14" s="1"/>
  <c r="Y20" i="14" a="1"/>
  <c r="Y20" i="14" s="1"/>
  <c r="AN20" i="14" a="1"/>
  <c r="AN20" i="14" s="1"/>
  <c r="AX20" i="14" a="1"/>
  <c r="AX20" i="14" s="1"/>
  <c r="BC20" i="14" a="1"/>
  <c r="BC20" i="14" s="1"/>
  <c r="BI20" i="14" a="1"/>
  <c r="BI20" i="14" s="1"/>
  <c r="BN20" i="14" a="1"/>
  <c r="BN20" i="14" s="1"/>
  <c r="BZ20" i="14" a="1"/>
  <c r="BZ20" i="14" s="1"/>
  <c r="CS20" i="14" a="1"/>
  <c r="CS20" i="14" s="1"/>
  <c r="J20" i="14" a="1"/>
  <c r="J20" i="14" s="1"/>
  <c r="S20" i="14" a="1"/>
  <c r="S20" i="14" s="1"/>
  <c r="Z20" i="14" a="1"/>
  <c r="Z20" i="14" s="1"/>
  <c r="AG20" i="14" a="1"/>
  <c r="AG20" i="14" s="1"/>
  <c r="AS20" i="14" a="1"/>
  <c r="AS20" i="14" s="1"/>
  <c r="BD20" i="14" a="1"/>
  <c r="BD20" i="14" s="1"/>
  <c r="BO20" i="14" a="1"/>
  <c r="BO20" i="14" s="1"/>
  <c r="BU20" i="14" a="1"/>
  <c r="BU20" i="14" s="1"/>
  <c r="CA20" i="14" a="1"/>
  <c r="CA20" i="14" s="1"/>
  <c r="CG20" i="14" a="1"/>
  <c r="CG20" i="14" s="1"/>
  <c r="CM20" i="14" a="1"/>
  <c r="CM20" i="14" s="1"/>
  <c r="M20" i="14" a="1"/>
  <c r="M20" i="14" s="1"/>
  <c r="AB20" i="14" a="1"/>
  <c r="AB20" i="14" s="1"/>
  <c r="AI20" i="14" a="1"/>
  <c r="AI20" i="14" s="1"/>
  <c r="AT20" i="14" a="1"/>
  <c r="AT20" i="14" s="1"/>
  <c r="AZ20" i="14" a="1"/>
  <c r="AZ20" i="14" s="1"/>
  <c r="BE20" i="14" a="1"/>
  <c r="BE20" i="14" s="1"/>
  <c r="BK20" i="14" a="1"/>
  <c r="BK20" i="14" s="1"/>
  <c r="BQ20" i="14" a="1"/>
  <c r="BQ20" i="14" s="1"/>
  <c r="BV20" i="14" a="1"/>
  <c r="BV20" i="14" s="1"/>
  <c r="CC20" i="14" a="1"/>
  <c r="CC20" i="14" s="1"/>
  <c r="CI20" i="14" a="1"/>
  <c r="CI20" i="14" s="1"/>
  <c r="CO20" i="14" a="1"/>
  <c r="CO20" i="14" s="1"/>
  <c r="AH20" i="14" a="1"/>
  <c r="AH20" i="14" s="1"/>
  <c r="CB20" i="14" a="1"/>
  <c r="CB20" i="14" s="1"/>
  <c r="AJ20" i="14" a="1"/>
  <c r="AJ20" i="14" s="1"/>
  <c r="BF20" i="14" a="1"/>
  <c r="BF20" i="14" s="1"/>
  <c r="AO20" i="14" a="1"/>
  <c r="AO20" i="14" s="1"/>
  <c r="BJ20" i="14" a="1"/>
  <c r="BJ20" i="14" s="1"/>
  <c r="CH20" i="14" a="1"/>
  <c r="CH20" i="14" s="1"/>
  <c r="N20" i="14" a="1"/>
  <c r="N20" i="14" s="1"/>
  <c r="AP20" i="14" a="1"/>
  <c r="AP20" i="14" s="1"/>
  <c r="BL20" i="14" a="1"/>
  <c r="BL20" i="14" s="1"/>
  <c r="CJ20" i="14" a="1"/>
  <c r="CJ20" i="14" s="1"/>
  <c r="AA20" i="14" a="1"/>
  <c r="AA20" i="14" s="1"/>
  <c r="AY20" i="14" a="1"/>
  <c r="AY20" i="14" s="1"/>
  <c r="BP20" i="14" a="1"/>
  <c r="BP20" i="14" s="1"/>
  <c r="BR20" i="14" a="1"/>
  <c r="BR20" i="14" s="1"/>
  <c r="T20" i="14" a="1"/>
  <c r="T20" i="14" s="1"/>
  <c r="V20" i="14" a="1"/>
  <c r="V20" i="14" s="1"/>
  <c r="CN20" i="14" a="1"/>
  <c r="CN20" i="14" s="1"/>
  <c r="AC20" i="14" a="1"/>
  <c r="AC20" i="14" s="1"/>
  <c r="AU20" i="14" a="1"/>
  <c r="AU20" i="14" s="1"/>
  <c r="B28" i="14" a="1"/>
  <c r="B28" i="14" s="1"/>
  <c r="G28" i="14" a="1"/>
  <c r="G28" i="14" s="1"/>
  <c r="M28" i="14" a="1"/>
  <c r="M28" i="14" s="1"/>
  <c r="T28" i="14" a="1"/>
  <c r="T28" i="14" s="1"/>
  <c r="C28" i="14" a="1"/>
  <c r="C28" i="14" s="1"/>
  <c r="O28" i="14" a="1"/>
  <c r="O28" i="14" s="1"/>
  <c r="AC28" i="14" a="1"/>
  <c r="AC28" i="14" s="1"/>
  <c r="I28" i="14" a="1"/>
  <c r="I28" i="14" s="1"/>
  <c r="V28" i="14" a="1"/>
  <c r="V28" i="14" s="1"/>
  <c r="AD28" i="14" a="1"/>
  <c r="AD28" i="14" s="1"/>
  <c r="L28" i="14" a="1"/>
  <c r="L28" i="14" s="1"/>
  <c r="R28" i="14" a="1"/>
  <c r="R28" i="14" s="1"/>
  <c r="Y28" i="14" a="1"/>
  <c r="Y28" i="14" s="1"/>
  <c r="H28" i="14" a="1"/>
  <c r="H28" i="14" s="1"/>
  <c r="U28" i="14" a="1"/>
  <c r="U28" i="14" s="1"/>
  <c r="AF28" i="14" a="1"/>
  <c r="AF28" i="14" s="1"/>
  <c r="AL28" i="14" a="1"/>
  <c r="AL28" i="14" s="1"/>
  <c r="AS28" i="14" a="1"/>
  <c r="AS28" i="14" s="1"/>
  <c r="AX28" i="14" a="1"/>
  <c r="AX28" i="14" s="1"/>
  <c r="BE28" i="14" a="1"/>
  <c r="BE28" i="14" s="1"/>
  <c r="BK28" i="14" a="1"/>
  <c r="BK28" i="14" s="1"/>
  <c r="BX28" i="14" a="1"/>
  <c r="BX28" i="14" s="1"/>
  <c r="CJ28" i="14" a="1"/>
  <c r="CJ28" i="14" s="1"/>
  <c r="CP28" i="14" a="1"/>
  <c r="CP28" i="14" s="1"/>
  <c r="J28" i="14" a="1"/>
  <c r="J28" i="14" s="1"/>
  <c r="W28" i="14" a="1"/>
  <c r="W28" i="14" s="1"/>
  <c r="AM28" i="14" a="1"/>
  <c r="AM28" i="14" s="1"/>
  <c r="AY28" i="14" a="1"/>
  <c r="AY28" i="14" s="1"/>
  <c r="BF28" i="14" a="1"/>
  <c r="BF28" i="14" s="1"/>
  <c r="BL28" i="14" a="1"/>
  <c r="BL28" i="14" s="1"/>
  <c r="BR28" i="14" a="1"/>
  <c r="BR28" i="14" s="1"/>
  <c r="BY28" i="14" a="1"/>
  <c r="BY28" i="14" s="1"/>
  <c r="CD28" i="14" a="1"/>
  <c r="CD28" i="14" s="1"/>
  <c r="CK28" i="14" a="1"/>
  <c r="CK28" i="14" s="1"/>
  <c r="CQ28" i="14" a="1"/>
  <c r="CQ28" i="14" s="1"/>
  <c r="Z28" i="14" a="1"/>
  <c r="Z28" i="14" s="1"/>
  <c r="AH28" i="14" a="1"/>
  <c r="AH28" i="14" s="1"/>
  <c r="BA28" i="14" a="1"/>
  <c r="BA28" i="14" s="1"/>
  <c r="BG28" i="14" a="1"/>
  <c r="BG28" i="14" s="1"/>
  <c r="BN28" i="14" a="1"/>
  <c r="BN28" i="14" s="1"/>
  <c r="BT28" i="14" a="1"/>
  <c r="BT28" i="14" s="1"/>
  <c r="BZ28" i="14" a="1"/>
  <c r="BZ28" i="14" s="1"/>
  <c r="CF28" i="14" a="1"/>
  <c r="CF28" i="14" s="1"/>
  <c r="CS28" i="14" a="1"/>
  <c r="CS28" i="14" s="1"/>
  <c r="N28" i="14" a="1"/>
  <c r="N28" i="14" s="1"/>
  <c r="AA28" i="14" a="1"/>
  <c r="AA28" i="14" s="1"/>
  <c r="AI28" i="14" a="1"/>
  <c r="AI28" i="14" s="1"/>
  <c r="AO28" i="14" a="1"/>
  <c r="AO28" i="14" s="1"/>
  <c r="AU28" i="14" a="1"/>
  <c r="AU28" i="14" s="1"/>
  <c r="BB28" i="14" a="1"/>
  <c r="BB28" i="14" s="1"/>
  <c r="BH28" i="14" a="1"/>
  <c r="BH28" i="14" s="1"/>
  <c r="BO28" i="14" a="1"/>
  <c r="BO28" i="14" s="1"/>
  <c r="CG28" i="14" a="1"/>
  <c r="CG28" i="14" s="1"/>
  <c r="CM28" i="14" a="1"/>
  <c r="CM28" i="14" s="1"/>
  <c r="E28" i="14" a="1"/>
  <c r="E28" i="14" s="1"/>
  <c r="Q28" i="14" a="1"/>
  <c r="Q28" i="14" s="1"/>
  <c r="AE28" i="14" a="1"/>
  <c r="AE28" i="14" s="1"/>
  <c r="AJ28" i="14" a="1"/>
  <c r="AJ28" i="14" s="1"/>
  <c r="AQ28" i="14" a="1"/>
  <c r="AQ28" i="14" s="1"/>
  <c r="AW28" i="14" a="1"/>
  <c r="AW28" i="14" s="1"/>
  <c r="BC28" i="14" a="1"/>
  <c r="BC28" i="14" s="1"/>
  <c r="BI28" i="14" a="1"/>
  <c r="BI28" i="14" s="1"/>
  <c r="BV28" i="14" a="1"/>
  <c r="BV28" i="14" s="1"/>
  <c r="CB28" i="14" a="1"/>
  <c r="CB28" i="14" s="1"/>
  <c r="X28" i="14" a="1"/>
  <c r="X28" i="14" s="1"/>
  <c r="AR28" i="14" a="1"/>
  <c r="AR28" i="14" s="1"/>
  <c r="CO28" i="14" a="1"/>
  <c r="CO28" i="14" s="1"/>
  <c r="AB28" i="14" a="1"/>
  <c r="AB28" i="14" s="1"/>
  <c r="AT28" i="14" a="1"/>
  <c r="AT28" i="14" s="1"/>
  <c r="BJ28" i="14" a="1"/>
  <c r="BJ28" i="14" s="1"/>
  <c r="CA28" i="14" a="1"/>
  <c r="CA28" i="14" s="1"/>
  <c r="CR28" i="14" a="1"/>
  <c r="CR28" i="14" s="1"/>
  <c r="AV28" i="14" a="1"/>
  <c r="AV28" i="14" s="1"/>
  <c r="BM28" i="14" a="1"/>
  <c r="BM28" i="14" s="1"/>
  <c r="CC28" i="14" a="1"/>
  <c r="CC28" i="14" s="1"/>
  <c r="D28" i="14" a="1"/>
  <c r="D28" i="14" s="1"/>
  <c r="AG28" i="14" a="1"/>
  <c r="AG28" i="14" s="1"/>
  <c r="BP28" i="14" a="1"/>
  <c r="BP28" i="14" s="1"/>
  <c r="CE28" i="14" a="1"/>
  <c r="CE28" i="14" s="1"/>
  <c r="F28" i="14" a="1"/>
  <c r="F28" i="14" s="1"/>
  <c r="AZ28" i="14" a="1"/>
  <c r="AZ28" i="14" s="1"/>
  <c r="BQ28" i="14" a="1"/>
  <c r="BQ28" i="14" s="1"/>
  <c r="CH28" i="14" a="1"/>
  <c r="CH28" i="14" s="1"/>
  <c r="K28" i="14" a="1"/>
  <c r="K28" i="14" s="1"/>
  <c r="AK28" i="14" a="1"/>
  <c r="AK28" i="14" s="1"/>
  <c r="BS28" i="14" a="1"/>
  <c r="BS28" i="14" s="1"/>
  <c r="CI28" i="14" a="1"/>
  <c r="CI28" i="14" s="1"/>
  <c r="S28" i="14" a="1"/>
  <c r="S28" i="14" s="1"/>
  <c r="AP28" i="14" a="1"/>
  <c r="AP28" i="14" s="1"/>
  <c r="BW28" i="14" a="1"/>
  <c r="BW28" i="14" s="1"/>
  <c r="CN28" i="14" a="1"/>
  <c r="CN28" i="14" s="1"/>
  <c r="P28" i="14" a="1"/>
  <c r="P28" i="14" s="1"/>
  <c r="AN28" i="14" a="1"/>
  <c r="AN28" i="14" s="1"/>
  <c r="BD28" i="14" a="1"/>
  <c r="BD28" i="14" s="1"/>
  <c r="BU28" i="14" a="1"/>
  <c r="BU28" i="14" s="1"/>
  <c r="CL28" i="14" a="1"/>
  <c r="CL28" i="14" s="1"/>
  <c r="B36" i="14" a="1"/>
  <c r="B36" i="14" s="1"/>
  <c r="I36" i="14" a="1"/>
  <c r="I36" i="14" s="1"/>
  <c r="O36" i="14" a="1"/>
  <c r="O36" i="14" s="1"/>
  <c r="U36" i="14" a="1"/>
  <c r="U36" i="14" s="1"/>
  <c r="AH36" i="14" a="1"/>
  <c r="AH36" i="14" s="1"/>
  <c r="AN36" i="14" a="1"/>
  <c r="AN36" i="14" s="1"/>
  <c r="D36" i="14" a="1"/>
  <c r="D36" i="14" s="1"/>
  <c r="J36" i="14" a="1"/>
  <c r="J36" i="14" s="1"/>
  <c r="P36" i="14" a="1"/>
  <c r="P36" i="14" s="1"/>
  <c r="W36" i="14" a="1"/>
  <c r="W36" i="14" s="1"/>
  <c r="AC36" i="14" a="1"/>
  <c r="AC36" i="14" s="1"/>
  <c r="AI36" i="14" a="1"/>
  <c r="AI36" i="14" s="1"/>
  <c r="L36" i="14" a="1"/>
  <c r="L36" i="14" s="1"/>
  <c r="AE36" i="14" a="1"/>
  <c r="AE36" i="14" s="1"/>
  <c r="AL36" i="14" a="1"/>
  <c r="AL36" i="14" s="1"/>
  <c r="H36" i="14" a="1"/>
  <c r="H36" i="14" s="1"/>
  <c r="R36" i="14" a="1"/>
  <c r="R36" i="14" s="1"/>
  <c r="AB36" i="14" a="1"/>
  <c r="AB36" i="14" s="1"/>
  <c r="AU36" i="14" a="1"/>
  <c r="AU36" i="14" s="1"/>
  <c r="BB36" i="14" a="1"/>
  <c r="BB36" i="14" s="1"/>
  <c r="BH36" i="14" a="1"/>
  <c r="BH36" i="14" s="1"/>
  <c r="BU36" i="14" a="1"/>
  <c r="BU36" i="14" s="1"/>
  <c r="CA36" i="14" a="1"/>
  <c r="CA36" i="14" s="1"/>
  <c r="CG36" i="14" a="1"/>
  <c r="CG36" i="14" s="1"/>
  <c r="S36" i="14" a="1"/>
  <c r="S36" i="14" s="1"/>
  <c r="AM36" i="14" a="1"/>
  <c r="AM36" i="14" s="1"/>
  <c r="AV36" i="14" a="1"/>
  <c r="AV36" i="14" s="1"/>
  <c r="BC36" i="14" a="1"/>
  <c r="BC36" i="14" s="1"/>
  <c r="BI36" i="14" a="1"/>
  <c r="BI36" i="14" s="1"/>
  <c r="BO36" i="14" a="1"/>
  <c r="BO36" i="14" s="1"/>
  <c r="CH36" i="14" a="1"/>
  <c r="CH36" i="14" s="1"/>
  <c r="CN36" i="14" a="1"/>
  <c r="CN36" i="14" s="1"/>
  <c r="K36" i="14" a="1"/>
  <c r="K36" i="14" s="1"/>
  <c r="T36" i="14" a="1"/>
  <c r="T36" i="14" s="1"/>
  <c r="AD36" i="14" a="1"/>
  <c r="AD36" i="14" s="1"/>
  <c r="AO36" i="14" a="1"/>
  <c r="AO36" i="14" s="1"/>
  <c r="AW36" i="14" a="1"/>
  <c r="AW36" i="14" s="1"/>
  <c r="BD36" i="14" a="1"/>
  <c r="BD36" i="14" s="1"/>
  <c r="BP36" i="14" a="1"/>
  <c r="BP36" i="14" s="1"/>
  <c r="BV36" i="14" a="1"/>
  <c r="BV36" i="14" s="1"/>
  <c r="CB36" i="14" a="1"/>
  <c r="CB36" i="14" s="1"/>
  <c r="CI36" i="14" a="1"/>
  <c r="CI36" i="14" s="1"/>
  <c r="CO36" i="14" a="1"/>
  <c r="CO36" i="14" s="1"/>
  <c r="V36" i="14" a="1"/>
  <c r="V36" i="14" s="1"/>
  <c r="AF36" i="14" a="1"/>
  <c r="AF36" i="14" s="1"/>
  <c r="AP36" i="14" a="1"/>
  <c r="AP36" i="14" s="1"/>
  <c r="AX36" i="14" a="1"/>
  <c r="AX36" i="14" s="1"/>
  <c r="BE36" i="14" a="1"/>
  <c r="BE36" i="14" s="1"/>
  <c r="BJ36" i="14" a="1"/>
  <c r="BJ36" i="14" s="1"/>
  <c r="BQ36" i="14" a="1"/>
  <c r="BQ36" i="14" s="1"/>
  <c r="BW36" i="14" a="1"/>
  <c r="BW36" i="14" s="1"/>
  <c r="CC36" i="14" a="1"/>
  <c r="CC36" i="14" s="1"/>
  <c r="CJ36" i="14" a="1"/>
  <c r="CJ36" i="14" s="1"/>
  <c r="C36" i="14" a="1"/>
  <c r="C36" i="14" s="1"/>
  <c r="M36" i="14" a="1"/>
  <c r="M36" i="14" s="1"/>
  <c r="X36" i="14" a="1"/>
  <c r="X36" i="14" s="1"/>
  <c r="AG36" i="14" a="1"/>
  <c r="AG36" i="14" s="1"/>
  <c r="AQ36" i="14" a="1"/>
  <c r="AQ36" i="14" s="1"/>
  <c r="BK36" i="14" a="1"/>
  <c r="BK36" i="14" s="1"/>
  <c r="BR36" i="14" a="1"/>
  <c r="BR36" i="14" s="1"/>
  <c r="CD36" i="14" a="1"/>
  <c r="CD36" i="14" s="1"/>
  <c r="CK36" i="14" a="1"/>
  <c r="CK36" i="14" s="1"/>
  <c r="CP36" i="14" a="1"/>
  <c r="CP36" i="14" s="1"/>
  <c r="E36" i="14" a="1"/>
  <c r="E36" i="14" s="1"/>
  <c r="N36" i="14" a="1"/>
  <c r="N36" i="14" s="1"/>
  <c r="Y36" i="14" a="1"/>
  <c r="Y36" i="14" s="1"/>
  <c r="AR36" i="14" a="1"/>
  <c r="AR36" i="14" s="1"/>
  <c r="AY36" i="14" a="1"/>
  <c r="AY36" i="14" s="1"/>
  <c r="BF36" i="14" a="1"/>
  <c r="BF36" i="14" s="1"/>
  <c r="BL36" i="14" a="1"/>
  <c r="BL36" i="14" s="1"/>
  <c r="BX36" i="14" a="1"/>
  <c r="BX36" i="14" s="1"/>
  <c r="CQ36" i="14" a="1"/>
  <c r="CQ36" i="14" s="1"/>
  <c r="AJ36" i="14" a="1"/>
  <c r="AJ36" i="14" s="1"/>
  <c r="BM36" i="14" a="1"/>
  <c r="BM36" i="14" s="1"/>
  <c r="CL36" i="14" a="1"/>
  <c r="CL36" i="14" s="1"/>
  <c r="AK36" i="14" a="1"/>
  <c r="AK36" i="14" s="1"/>
  <c r="BN36" i="14" a="1"/>
  <c r="BN36" i="14" s="1"/>
  <c r="CM36" i="14" a="1"/>
  <c r="CM36" i="14" s="1"/>
  <c r="F36" i="14" a="1"/>
  <c r="F36" i="14" s="1"/>
  <c r="AS36" i="14" a="1"/>
  <c r="AS36" i="14" s="1"/>
  <c r="BS36" i="14" a="1"/>
  <c r="BS36" i="14" s="1"/>
  <c r="CR36" i="14" a="1"/>
  <c r="CR36" i="14" s="1"/>
  <c r="G36" i="14" a="1"/>
  <c r="G36" i="14" s="1"/>
  <c r="AT36" i="14" a="1"/>
  <c r="AT36" i="14" s="1"/>
  <c r="BT36" i="14" a="1"/>
  <c r="BT36" i="14" s="1"/>
  <c r="CS36" i="14" a="1"/>
  <c r="CS36" i="14" s="1"/>
  <c r="AZ36" i="14" a="1"/>
  <c r="AZ36" i="14" s="1"/>
  <c r="BY36" i="14" a="1"/>
  <c r="BY36" i="14" s="1"/>
  <c r="Q36" i="14" a="1"/>
  <c r="Q36" i="14" s="1"/>
  <c r="BA36" i="14" a="1"/>
  <c r="BA36" i="14" s="1"/>
  <c r="BZ36" i="14" a="1"/>
  <c r="BZ36" i="14" s="1"/>
  <c r="Z36" i="14" a="1"/>
  <c r="Z36" i="14" s="1"/>
  <c r="BG36" i="14" a="1"/>
  <c r="BG36" i="14" s="1"/>
  <c r="CE36" i="14" a="1"/>
  <c r="CE36" i="14" s="1"/>
  <c r="AA36" i="14" a="1"/>
  <c r="AA36" i="14" s="1"/>
  <c r="CF36" i="14" a="1"/>
  <c r="CF36" i="14" s="1"/>
  <c r="B7" i="14" a="1"/>
  <c r="B7" i="14" s="1"/>
  <c r="I7" i="14" a="1"/>
  <c r="I7" i="14" s="1"/>
  <c r="Q7" i="14" a="1"/>
  <c r="Q7" i="14" s="1"/>
  <c r="Y7" i="14" a="1"/>
  <c r="Y7" i="14" s="1"/>
  <c r="AF7" i="14" a="1"/>
  <c r="AF7" i="14" s="1"/>
  <c r="AN7" i="14" a="1"/>
  <c r="AN7" i="14" s="1"/>
  <c r="AV7" i="14" a="1"/>
  <c r="AV7" i="14" s="1"/>
  <c r="BD7" i="14" a="1"/>
  <c r="BD7" i="14" s="1"/>
  <c r="BL7" i="14" a="1"/>
  <c r="BL7" i="14" s="1"/>
  <c r="BS7" i="14" a="1"/>
  <c r="BS7" i="14" s="1"/>
  <c r="CA7" i="14" a="1"/>
  <c r="CA7" i="14" s="1"/>
  <c r="CI7" i="14" a="1"/>
  <c r="CI7" i="14" s="1"/>
  <c r="CP7" i="14" a="1"/>
  <c r="CP7" i="14" s="1"/>
  <c r="D7" i="14" a="1"/>
  <c r="D7" i="14" s="1"/>
  <c r="K7" i="14" a="1"/>
  <c r="K7" i="14" s="1"/>
  <c r="S7" i="14" a="1"/>
  <c r="S7" i="14" s="1"/>
  <c r="Z7" i="14" a="1"/>
  <c r="Z7" i="14" s="1"/>
  <c r="AH7" i="14" a="1"/>
  <c r="AH7" i="14" s="1"/>
  <c r="AP7" i="14" a="1"/>
  <c r="AP7" i="14" s="1"/>
  <c r="AX7" i="14" a="1"/>
  <c r="AX7" i="14" s="1"/>
  <c r="BF7" i="14" a="1"/>
  <c r="BF7" i="14" s="1"/>
  <c r="BN7" i="14" a="1"/>
  <c r="BN7" i="14" s="1"/>
  <c r="BU7" i="14" a="1"/>
  <c r="BU7" i="14" s="1"/>
  <c r="CC7" i="14" a="1"/>
  <c r="CC7" i="14" s="1"/>
  <c r="CK7" i="14" a="1"/>
  <c r="CK7" i="14" s="1"/>
  <c r="CR7" i="14" a="1"/>
  <c r="CR7" i="14" s="1"/>
  <c r="L7" i="14" a="1"/>
  <c r="L7" i="14" s="1"/>
  <c r="T7" i="14" a="1"/>
  <c r="T7" i="14" s="1"/>
  <c r="AA7" i="14" a="1"/>
  <c r="AA7" i="14" s="1"/>
  <c r="AI7" i="14" a="1"/>
  <c r="AI7" i="14" s="1"/>
  <c r="AQ7" i="14" a="1"/>
  <c r="AQ7" i="14" s="1"/>
  <c r="AY7" i="14" a="1"/>
  <c r="AY7" i="14" s="1"/>
  <c r="BG7" i="14" a="1"/>
  <c r="BG7" i="14" s="1"/>
  <c r="BO7" i="14" a="1"/>
  <c r="BO7" i="14" s="1"/>
  <c r="BV7" i="14" a="1"/>
  <c r="BV7" i="14" s="1"/>
  <c r="CD7" i="14" a="1"/>
  <c r="CD7" i="14" s="1"/>
  <c r="CS7" i="14" a="1"/>
  <c r="CS7" i="14" s="1"/>
  <c r="E7" i="14" a="1"/>
  <c r="E7" i="14" s="1"/>
  <c r="M7" i="14" a="1"/>
  <c r="M7" i="14" s="1"/>
  <c r="U7" i="14" a="1"/>
  <c r="U7" i="14" s="1"/>
  <c r="AB7" i="14" a="1"/>
  <c r="AB7" i="14" s="1"/>
  <c r="AJ7" i="14" a="1"/>
  <c r="AJ7" i="14" s="1"/>
  <c r="AR7" i="14" a="1"/>
  <c r="AR7" i="14" s="1"/>
  <c r="AZ7" i="14" a="1"/>
  <c r="AZ7" i="14" s="1"/>
  <c r="BH7" i="14" a="1"/>
  <c r="BH7" i="14" s="1"/>
  <c r="BP7" i="14" a="1"/>
  <c r="BP7" i="14" s="1"/>
  <c r="BW7" i="14" a="1"/>
  <c r="BW7" i="14" s="1"/>
  <c r="CE7" i="14" a="1"/>
  <c r="CE7" i="14" s="1"/>
  <c r="CL7" i="14" a="1"/>
  <c r="CL7" i="14" s="1"/>
  <c r="F7" i="14" a="1"/>
  <c r="F7" i="14" s="1"/>
  <c r="N7" i="14" a="1"/>
  <c r="N7" i="14" s="1"/>
  <c r="V7" i="14" a="1"/>
  <c r="V7" i="14" s="1"/>
  <c r="AC7" i="14" a="1"/>
  <c r="AC7" i="14" s="1"/>
  <c r="AK7" i="14" a="1"/>
  <c r="AK7" i="14" s="1"/>
  <c r="AS7" i="14" a="1"/>
  <c r="AS7" i="14" s="1"/>
  <c r="BA7" i="14" a="1"/>
  <c r="BA7" i="14" s="1"/>
  <c r="BI7" i="14" a="1"/>
  <c r="BI7" i="14" s="1"/>
  <c r="BX7" i="14" a="1"/>
  <c r="BX7" i="14" s="1"/>
  <c r="CF7" i="14" a="1"/>
  <c r="CF7" i="14" s="1"/>
  <c r="CM7" i="14" a="1"/>
  <c r="CM7" i="14" s="1"/>
  <c r="W7" i="14" a="1"/>
  <c r="W7" i="14" s="1"/>
  <c r="AO7" i="14" a="1"/>
  <c r="AO7" i="14" s="1"/>
  <c r="BK7" i="14" a="1"/>
  <c r="BK7" i="14" s="1"/>
  <c r="CG7" i="14" a="1"/>
  <c r="CG7" i="14" s="1"/>
  <c r="H7" i="14" a="1"/>
  <c r="H7" i="14" s="1"/>
  <c r="AD7" i="14" a="1"/>
  <c r="AD7" i="14" s="1"/>
  <c r="AW7" i="14" a="1"/>
  <c r="AW7" i="14" s="1"/>
  <c r="BR7" i="14" a="1"/>
  <c r="BR7" i="14" s="1"/>
  <c r="CN7" i="14" a="1"/>
  <c r="CN7" i="14" s="1"/>
  <c r="J7" i="14" a="1"/>
  <c r="J7" i="14" s="1"/>
  <c r="AE7" i="14" a="1"/>
  <c r="AE7" i="14" s="1"/>
  <c r="BB7" i="14" a="1"/>
  <c r="BB7" i="14" s="1"/>
  <c r="BT7" i="14" a="1"/>
  <c r="BT7" i="14" s="1"/>
  <c r="CO7" i="14" a="1"/>
  <c r="CO7" i="14" s="1"/>
  <c r="O7" i="14" a="1"/>
  <c r="O7" i="14" s="1"/>
  <c r="AG7" i="14" a="1"/>
  <c r="AG7" i="14" s="1"/>
  <c r="BC7" i="14" a="1"/>
  <c r="BC7" i="14" s="1"/>
  <c r="BY7" i="14" a="1"/>
  <c r="BY7" i="14" s="1"/>
  <c r="CQ7" i="14" a="1"/>
  <c r="CQ7" i="14" s="1"/>
  <c r="P7" i="14" a="1"/>
  <c r="P7" i="14" s="1"/>
  <c r="AL7" i="14" a="1"/>
  <c r="AL7" i="14" s="1"/>
  <c r="BE7" i="14" a="1"/>
  <c r="BE7" i="14" s="1"/>
  <c r="BZ7" i="14" a="1"/>
  <c r="BZ7" i="14" s="1"/>
  <c r="AT7" i="14" a="1"/>
  <c r="AT7" i="14" s="1"/>
  <c r="C7" i="14" a="1"/>
  <c r="C7" i="14" s="1"/>
  <c r="BJ7" i="14" a="1"/>
  <c r="BJ7" i="14" s="1"/>
  <c r="G7" i="14" a="1"/>
  <c r="G7" i="14" s="1"/>
  <c r="BM7" i="14" a="1"/>
  <c r="BM7" i="14" s="1"/>
  <c r="R7" i="14" a="1"/>
  <c r="R7" i="14" s="1"/>
  <c r="BQ7" i="14" a="1"/>
  <c r="BQ7" i="14" s="1"/>
  <c r="X7" i="14" a="1"/>
  <c r="X7" i="14" s="1"/>
  <c r="CB7" i="14" a="1"/>
  <c r="CB7" i="14" s="1"/>
  <c r="CH7" i="14" a="1"/>
  <c r="CH7" i="14" s="1"/>
  <c r="AU7" i="14" a="1"/>
  <c r="AU7" i="14" s="1"/>
  <c r="AM7" i="14" a="1"/>
  <c r="AM7" i="14" s="1"/>
  <c r="CJ7" i="14" a="1"/>
  <c r="CJ7" i="14" s="1"/>
  <c r="C5" i="14" a="1"/>
  <c r="C5" i="14" s="1"/>
  <c r="J5" i="14" a="1"/>
  <c r="J5" i="14" s="1"/>
  <c r="R5" i="14" a="1"/>
  <c r="R5" i="14" s="1"/>
  <c r="X5" i="14" a="1"/>
  <c r="X5" i="14" s="1"/>
  <c r="AF5" i="14" a="1"/>
  <c r="AF5" i="14" s="1"/>
  <c r="AM5" i="14" a="1"/>
  <c r="AM5" i="14" s="1"/>
  <c r="AT5" i="14" a="1"/>
  <c r="AT5" i="14" s="1"/>
  <c r="BA5" i="14" a="1"/>
  <c r="BA5" i="14" s="1"/>
  <c r="BH5" i="14" a="1"/>
  <c r="BH5" i="14" s="1"/>
  <c r="BO5" i="14" a="1"/>
  <c r="BO5" i="14" s="1"/>
  <c r="BV5" i="14" a="1"/>
  <c r="BV5" i="14" s="1"/>
  <c r="CD5" i="14" a="1"/>
  <c r="CD5" i="14" s="1"/>
  <c r="CJ5" i="14" a="1"/>
  <c r="CJ5" i="14" s="1"/>
  <c r="CR5" i="14" a="1"/>
  <c r="CR5" i="14" s="1"/>
  <c r="D5" i="14" a="1"/>
  <c r="D5" i="14" s="1"/>
  <c r="K5" i="14" a="1"/>
  <c r="K5" i="14" s="1"/>
  <c r="Y5" i="14" a="1"/>
  <c r="Y5" i="14" s="1"/>
  <c r="AG5" i="14" a="1"/>
  <c r="AG5" i="14" s="1"/>
  <c r="AU5" i="14" a="1"/>
  <c r="AU5" i="14" s="1"/>
  <c r="BB5" i="14" a="1"/>
  <c r="BB5" i="14" s="1"/>
  <c r="BI5" i="14" a="1"/>
  <c r="BI5" i="14" s="1"/>
  <c r="BP5" i="14" a="1"/>
  <c r="BP5" i="14" s="1"/>
  <c r="BW5" i="14" a="1"/>
  <c r="BW5" i="14" s="1"/>
  <c r="CK5" i="14" a="1"/>
  <c r="CK5" i="14" s="1"/>
  <c r="CS5" i="14" a="1"/>
  <c r="CS5" i="14" s="1"/>
  <c r="E5" i="14" a="1"/>
  <c r="E5" i="14" s="1"/>
  <c r="L5" i="14" a="1"/>
  <c r="L5" i="14" s="1"/>
  <c r="S5" i="14" a="1"/>
  <c r="S5" i="14" s="1"/>
  <c r="Z5" i="14" a="1"/>
  <c r="Z5" i="14" s="1"/>
  <c r="AH5" i="14" a="1"/>
  <c r="AH5" i="14" s="1"/>
  <c r="AN5" i="14" a="1"/>
  <c r="AN5" i="14" s="1"/>
  <c r="AV5" i="14" a="1"/>
  <c r="AV5" i="14" s="1"/>
  <c r="BC5" i="14" a="1"/>
  <c r="BC5" i="14" s="1"/>
  <c r="BJ5" i="14" a="1"/>
  <c r="BJ5" i="14" s="1"/>
  <c r="BQ5" i="14" a="1"/>
  <c r="BQ5" i="14" s="1"/>
  <c r="BX5" i="14" a="1"/>
  <c r="BX5" i="14" s="1"/>
  <c r="CE5" i="14" a="1"/>
  <c r="CE5" i="14" s="1"/>
  <c r="CL5" i="14" a="1"/>
  <c r="CL5" i="14" s="1"/>
  <c r="F5" i="14" a="1"/>
  <c r="F5" i="14" s="1"/>
  <c r="M5" i="14" a="1"/>
  <c r="M5" i="14" s="1"/>
  <c r="T5" i="14" a="1"/>
  <c r="T5" i="14" s="1"/>
  <c r="AA5" i="14" a="1"/>
  <c r="AA5" i="14" s="1"/>
  <c r="AO5" i="14" a="1"/>
  <c r="AO5" i="14" s="1"/>
  <c r="AW5" i="14" a="1"/>
  <c r="AW5" i="14" s="1"/>
  <c r="BK5" i="14" a="1"/>
  <c r="BK5" i="14" s="1"/>
  <c r="BR5" i="14" a="1"/>
  <c r="BR5" i="14" s="1"/>
  <c r="BY5" i="14" a="1"/>
  <c r="BY5" i="14" s="1"/>
  <c r="CF5" i="14" a="1"/>
  <c r="CF5" i="14" s="1"/>
  <c r="CM5" i="14" a="1"/>
  <c r="CM5" i="14" s="1"/>
  <c r="G5" i="14" a="1"/>
  <c r="G5" i="14" s="1"/>
  <c r="N5" i="14" a="1"/>
  <c r="N5" i="14" s="1"/>
  <c r="U5" i="14" a="1"/>
  <c r="U5" i="14" s="1"/>
  <c r="AB5" i="14" a="1"/>
  <c r="AB5" i="14" s="1"/>
  <c r="AI5" i="14" a="1"/>
  <c r="AI5" i="14" s="1"/>
  <c r="AP5" i="14" a="1"/>
  <c r="AP5" i="14" s="1"/>
  <c r="AX5" i="14" a="1"/>
  <c r="AX5" i="14" s="1"/>
  <c r="BD5" i="14" a="1"/>
  <c r="BD5" i="14" s="1"/>
  <c r="BL5" i="14" a="1"/>
  <c r="BL5" i="14" s="1"/>
  <c r="BS5" i="14" a="1"/>
  <c r="BS5" i="14" s="1"/>
  <c r="BZ5" i="14" a="1"/>
  <c r="BZ5" i="14" s="1"/>
  <c r="CG5" i="14" a="1"/>
  <c r="CG5" i="14" s="1"/>
  <c r="CN5" i="14" a="1"/>
  <c r="CN5" i="14" s="1"/>
  <c r="O5" i="14" a="1"/>
  <c r="O5" i="14" s="1"/>
  <c r="V5" i="14" a="1"/>
  <c r="V5" i="14" s="1"/>
  <c r="AC5" i="14" a="1"/>
  <c r="AC5" i="14" s="1"/>
  <c r="AJ5" i="14" a="1"/>
  <c r="AJ5" i="14" s="1"/>
  <c r="AQ5" i="14" a="1"/>
  <c r="AQ5" i="14" s="1"/>
  <c r="BE5" i="14" a="1"/>
  <c r="BE5" i="14" s="1"/>
  <c r="BM5" i="14" a="1"/>
  <c r="BM5" i="14" s="1"/>
  <c r="CA5" i="14" a="1"/>
  <c r="CA5" i="14" s="1"/>
  <c r="CH5" i="14" a="1"/>
  <c r="CH5" i="14" s="1"/>
  <c r="CO5" i="14" a="1"/>
  <c r="CO5" i="14" s="1"/>
  <c r="H5" i="14" a="1"/>
  <c r="H5" i="14" s="1"/>
  <c r="P5" i="14" a="1"/>
  <c r="P5" i="14" s="1"/>
  <c r="W5" i="14" a="1"/>
  <c r="W5" i="14" s="1"/>
  <c r="AD5" i="14" a="1"/>
  <c r="AD5" i="14" s="1"/>
  <c r="AK5" i="14" a="1"/>
  <c r="AK5" i="14" s="1"/>
  <c r="AR5" i="14" a="1"/>
  <c r="AR5" i="14" s="1"/>
  <c r="AY5" i="14" a="1"/>
  <c r="AY5" i="14" s="1"/>
  <c r="BF5" i="14" a="1"/>
  <c r="BF5" i="14" s="1"/>
  <c r="BN5" i="14" a="1"/>
  <c r="BN5" i="14" s="1"/>
  <c r="BT5" i="14" a="1"/>
  <c r="BT5" i="14" s="1"/>
  <c r="CB5" i="14" a="1"/>
  <c r="CB5" i="14" s="1"/>
  <c r="CI5" i="14" a="1"/>
  <c r="CI5" i="14" s="1"/>
  <c r="CP5" i="14" a="1"/>
  <c r="CP5" i="14" s="1"/>
  <c r="I5" i="14" a="1"/>
  <c r="I5" i="14" s="1"/>
  <c r="AE5" i="14" a="1"/>
  <c r="AE5" i="14" s="1"/>
  <c r="AL5" i="14" a="1"/>
  <c r="AL5" i="14" s="1"/>
  <c r="CQ5" i="14" a="1"/>
  <c r="CQ5" i="14" s="1"/>
  <c r="AS5" i="14" a="1"/>
  <c r="AS5" i="14" s="1"/>
  <c r="AZ5" i="14" a="1"/>
  <c r="AZ5" i="14" s="1"/>
  <c r="Q5" i="14" a="1"/>
  <c r="Q5" i="14" s="1"/>
  <c r="BG5" i="14" a="1"/>
  <c r="BG5" i="14" s="1"/>
  <c r="BU5" i="14" a="1"/>
  <c r="BU5" i="14" s="1"/>
  <c r="CC5" i="14" a="1"/>
  <c r="CC5" i="14" s="1"/>
  <c r="B13" i="14" a="1"/>
  <c r="B13" i="14" s="1"/>
  <c r="F13" i="14" a="1"/>
  <c r="F13" i="14" s="1"/>
  <c r="L13" i="14" a="1"/>
  <c r="L13" i="14" s="1"/>
  <c r="AO13" i="14" a="1"/>
  <c r="AO13" i="14" s="1"/>
  <c r="BA13" i="14" a="1"/>
  <c r="BA13" i="14" s="1"/>
  <c r="BF13" i="14" a="1"/>
  <c r="BF13" i="14" s="1"/>
  <c r="BQ13" i="14" a="1"/>
  <c r="BQ13" i="14" s="1"/>
  <c r="BV13" i="14" a="1"/>
  <c r="BV13" i="14" s="1"/>
  <c r="CS13" i="14" a="1"/>
  <c r="CS13" i="14" s="1"/>
  <c r="M13" i="14" a="1"/>
  <c r="M13" i="14" s="1"/>
  <c r="S13" i="14" a="1"/>
  <c r="S13" i="14" s="1"/>
  <c r="Y13" i="14" a="1"/>
  <c r="Y13" i="14" s="1"/>
  <c r="AE13" i="14" a="1"/>
  <c r="AE13" i="14" s="1"/>
  <c r="AK13" i="14" a="1"/>
  <c r="AK13" i="14" s="1"/>
  <c r="AP13" i="14" a="1"/>
  <c r="AP13" i="14" s="1"/>
  <c r="AV13" i="14" a="1"/>
  <c r="AV13" i="14" s="1"/>
  <c r="BB13" i="14" a="1"/>
  <c r="BB13" i="14" s="1"/>
  <c r="BG13" i="14" a="1"/>
  <c r="BG13" i="14" s="1"/>
  <c r="BL13" i="14" a="1"/>
  <c r="BL13" i="14" s="1"/>
  <c r="BR13" i="14" a="1"/>
  <c r="BR13" i="14" s="1"/>
  <c r="BW13" i="14" a="1"/>
  <c r="BW13" i="14" s="1"/>
  <c r="CC13" i="14" a="1"/>
  <c r="CC13" i="14" s="1"/>
  <c r="CI13" i="14" a="1"/>
  <c r="CI13" i="14" s="1"/>
  <c r="CN13" i="14" a="1"/>
  <c r="CN13" i="14" s="1"/>
  <c r="H13" i="14" a="1"/>
  <c r="H13" i="14" s="1"/>
  <c r="O13" i="14" a="1"/>
  <c r="O13" i="14" s="1"/>
  <c r="U13" i="14" a="1"/>
  <c r="U13" i="14" s="1"/>
  <c r="AA13" i="14" a="1"/>
  <c r="AA13" i="14" s="1"/>
  <c r="AF13" i="14" a="1"/>
  <c r="AF13" i="14" s="1"/>
  <c r="AR13" i="14" a="1"/>
  <c r="AR13" i="14" s="1"/>
  <c r="AW13" i="14" a="1"/>
  <c r="AW13" i="14" s="1"/>
  <c r="BC13" i="14" a="1"/>
  <c r="BC13" i="14" s="1"/>
  <c r="BH13" i="14" a="1"/>
  <c r="BH13" i="14" s="1"/>
  <c r="BM13" i="14" a="1"/>
  <c r="BM13" i="14" s="1"/>
  <c r="BS13" i="14" a="1"/>
  <c r="BS13" i="14" s="1"/>
  <c r="BY13" i="14" a="1"/>
  <c r="BY13" i="14" s="1"/>
  <c r="CJ13" i="14" a="1"/>
  <c r="CJ13" i="14" s="1"/>
  <c r="CP13" i="14" a="1"/>
  <c r="CP13" i="14" s="1"/>
  <c r="E13" i="14" a="1"/>
  <c r="E13" i="14" s="1"/>
  <c r="P13" i="14" a="1"/>
  <c r="P13" i="14" s="1"/>
  <c r="Z13" i="14" a="1"/>
  <c r="Z13" i="14" s="1"/>
  <c r="AI13" i="14" a="1"/>
  <c r="AI13" i="14" s="1"/>
  <c r="AS13" i="14" a="1"/>
  <c r="AS13" i="14" s="1"/>
  <c r="AZ13" i="14" a="1"/>
  <c r="AZ13" i="14" s="1"/>
  <c r="BJ13" i="14" a="1"/>
  <c r="BJ13" i="14" s="1"/>
  <c r="CR13" i="14" a="1"/>
  <c r="CR13" i="14" s="1"/>
  <c r="I13" i="14" a="1"/>
  <c r="I13" i="14" s="1"/>
  <c r="T13" i="14" a="1"/>
  <c r="T13" i="14" s="1"/>
  <c r="AC13" i="14" a="1"/>
  <c r="AC13" i="14" s="1"/>
  <c r="AM13" i="14" a="1"/>
  <c r="AM13" i="14" s="1"/>
  <c r="AU13" i="14" a="1"/>
  <c r="AU13" i="14" s="1"/>
  <c r="BD13" i="14" a="1"/>
  <c r="BD13" i="14" s="1"/>
  <c r="CE13" i="14" a="1"/>
  <c r="CE13" i="14" s="1"/>
  <c r="CM13" i="14" a="1"/>
  <c r="CM13" i="14" s="1"/>
  <c r="J13" i="14" a="1"/>
  <c r="J13" i="14" s="1"/>
  <c r="V13" i="14" a="1"/>
  <c r="V13" i="14" s="1"/>
  <c r="AD13" i="14" a="1"/>
  <c r="AD13" i="14" s="1"/>
  <c r="BN13" i="14" a="1"/>
  <c r="BN13" i="14" s="1"/>
  <c r="BU13" i="14" a="1"/>
  <c r="BU13" i="14" s="1"/>
  <c r="CF13" i="14" a="1"/>
  <c r="CF13" i="14" s="1"/>
  <c r="CO13" i="14" a="1"/>
  <c r="CO13" i="14" s="1"/>
  <c r="C13" i="14" a="1"/>
  <c r="C13" i="14" s="1"/>
  <c r="K13" i="14" a="1"/>
  <c r="K13" i="14" s="1"/>
  <c r="AN13" i="14" a="1"/>
  <c r="AN13" i="14" s="1"/>
  <c r="AX13" i="14" a="1"/>
  <c r="AX13" i="14" s="1"/>
  <c r="BE13" i="14" a="1"/>
  <c r="BE13" i="14" s="1"/>
  <c r="BO13" i="14" a="1"/>
  <c r="BO13" i="14" s="1"/>
  <c r="BX13" i="14" a="1"/>
  <c r="BX13" i="14" s="1"/>
  <c r="CG13" i="14" a="1"/>
  <c r="CG13" i="14" s="1"/>
  <c r="D13" i="14" a="1"/>
  <c r="D13" i="14" s="1"/>
  <c r="N13" i="14" a="1"/>
  <c r="N13" i="14" s="1"/>
  <c r="W13" i="14" a="1"/>
  <c r="W13" i="14" s="1"/>
  <c r="AG13" i="14" a="1"/>
  <c r="AG13" i="14" s="1"/>
  <c r="BP13" i="14" a="1"/>
  <c r="BP13" i="14" s="1"/>
  <c r="BZ13" i="14" a="1"/>
  <c r="BZ13" i="14" s="1"/>
  <c r="CH13" i="14" a="1"/>
  <c r="CH13" i="14" s="1"/>
  <c r="CQ13" i="14" a="1"/>
  <c r="CQ13" i="14" s="1"/>
  <c r="AB13" i="14" a="1"/>
  <c r="AB13" i="14" s="1"/>
  <c r="CA13" i="14" a="1"/>
  <c r="CA13" i="14" s="1"/>
  <c r="G13" i="14" a="1"/>
  <c r="G13" i="14" s="1"/>
  <c r="AH13" i="14" a="1"/>
  <c r="AH13" i="14" s="1"/>
  <c r="CB13" i="14" a="1"/>
  <c r="CB13" i="14" s="1"/>
  <c r="AJ13" i="14" a="1"/>
  <c r="AJ13" i="14" s="1"/>
  <c r="BI13" i="14" a="1"/>
  <c r="BI13" i="14" s="1"/>
  <c r="CD13" i="14" a="1"/>
  <c r="CD13" i="14" s="1"/>
  <c r="AL13" i="14" a="1"/>
  <c r="AL13" i="14" s="1"/>
  <c r="Q13" i="14" a="1"/>
  <c r="Q13" i="14" s="1"/>
  <c r="AQ13" i="14" a="1"/>
  <c r="AQ13" i="14" s="1"/>
  <c r="BK13" i="14" a="1"/>
  <c r="BK13" i="14" s="1"/>
  <c r="CK13" i="14" a="1"/>
  <c r="CK13" i="14" s="1"/>
  <c r="X13" i="14" a="1"/>
  <c r="X13" i="14" s="1"/>
  <c r="CL13" i="14" a="1"/>
  <c r="CL13" i="14" s="1"/>
  <c r="R13" i="14" a="1"/>
  <c r="R13" i="14" s="1"/>
  <c r="AT13" i="14" a="1"/>
  <c r="AT13" i="14" s="1"/>
  <c r="AY13" i="14" a="1"/>
  <c r="AY13" i="14" s="1"/>
  <c r="BT13" i="14" a="1"/>
  <c r="BT13" i="14" s="1"/>
  <c r="B21" i="14" a="1"/>
  <c r="B21" i="14" s="1"/>
  <c r="F21" i="14" a="1"/>
  <c r="F21" i="14" s="1"/>
  <c r="Y21" i="14" a="1"/>
  <c r="Y21" i="14" s="1"/>
  <c r="AK21" i="14" a="1"/>
  <c r="AK21" i="14" s="1"/>
  <c r="AQ21" i="14" a="1"/>
  <c r="AQ21" i="14" s="1"/>
  <c r="AX21" i="14" a="1"/>
  <c r="AX21" i="14" s="1"/>
  <c r="BD21" i="14" a="1"/>
  <c r="BD21" i="14" s="1"/>
  <c r="BJ21" i="14" a="1"/>
  <c r="BJ21" i="14" s="1"/>
  <c r="BP21" i="14" a="1"/>
  <c r="BP21" i="14" s="1"/>
  <c r="BV21" i="14" a="1"/>
  <c r="BV21" i="14" s="1"/>
  <c r="CC21" i="14" a="1"/>
  <c r="CC21" i="14" s="1"/>
  <c r="CI21" i="14" a="1"/>
  <c r="CI21" i="14" s="1"/>
  <c r="CO21" i="14" a="1"/>
  <c r="CO21" i="14" s="1"/>
  <c r="G21" i="14" a="1"/>
  <c r="G21" i="14" s="1"/>
  <c r="L21" i="14" a="1"/>
  <c r="L21" i="14" s="1"/>
  <c r="S21" i="14" a="1"/>
  <c r="S21" i="14" s="1"/>
  <c r="AE21" i="14" a="1"/>
  <c r="AE21" i="14" s="1"/>
  <c r="AL21" i="14" a="1"/>
  <c r="AL21" i="14" s="1"/>
  <c r="BE21" i="14" a="1"/>
  <c r="BE21" i="14" s="1"/>
  <c r="BQ21" i="14" a="1"/>
  <c r="BQ21" i="14" s="1"/>
  <c r="BW21" i="14" a="1"/>
  <c r="BW21" i="14" s="1"/>
  <c r="CD21" i="14" a="1"/>
  <c r="CD21" i="14" s="1"/>
  <c r="CJ21" i="14" a="1"/>
  <c r="CJ21" i="14" s="1"/>
  <c r="CP21" i="14" a="1"/>
  <c r="CP21" i="14" s="1"/>
  <c r="M21" i="14" a="1"/>
  <c r="M21" i="14" s="1"/>
  <c r="T21" i="14" a="1"/>
  <c r="T21" i="14" s="1"/>
  <c r="Z21" i="14" a="1"/>
  <c r="Z21" i="14" s="1"/>
  <c r="AF21" i="14" a="1"/>
  <c r="AF21" i="14" s="1"/>
  <c r="AM21" i="14" a="1"/>
  <c r="AM21" i="14" s="1"/>
  <c r="AR21" i="14" a="1"/>
  <c r="AR21" i="14" s="1"/>
  <c r="AY21" i="14" a="1"/>
  <c r="AY21" i="14" s="1"/>
  <c r="BK21" i="14" a="1"/>
  <c r="BK21" i="14" s="1"/>
  <c r="BR21" i="14" a="1"/>
  <c r="BR21" i="14" s="1"/>
  <c r="CK21" i="14" a="1"/>
  <c r="CK21" i="14" s="1"/>
  <c r="H21" i="14" a="1"/>
  <c r="H21" i="14" s="1"/>
  <c r="N21" i="14" a="1"/>
  <c r="N21" i="14" s="1"/>
  <c r="U21" i="14" a="1"/>
  <c r="U21" i="14" s="1"/>
  <c r="AA21" i="14" a="1"/>
  <c r="AA21" i="14" s="1"/>
  <c r="AG21" i="14" a="1"/>
  <c r="AG21" i="14" s="1"/>
  <c r="AS21" i="14" a="1"/>
  <c r="AS21" i="14" s="1"/>
  <c r="AZ21" i="14" a="1"/>
  <c r="AZ21" i="14" s="1"/>
  <c r="BF21" i="14" a="1"/>
  <c r="BF21" i="14" s="1"/>
  <c r="BL21" i="14" a="1"/>
  <c r="BL21" i="14" s="1"/>
  <c r="BS21" i="14" a="1"/>
  <c r="BS21" i="14" s="1"/>
  <c r="BX21" i="14" a="1"/>
  <c r="BX21" i="14" s="1"/>
  <c r="CE21" i="14" a="1"/>
  <c r="CE21" i="14" s="1"/>
  <c r="CQ21" i="14" a="1"/>
  <c r="CQ21" i="14" s="1"/>
  <c r="I21" i="14" a="1"/>
  <c r="I21" i="14" s="1"/>
  <c r="O21" i="14" a="1"/>
  <c r="O21" i="14" s="1"/>
  <c r="AH21" i="14" a="1"/>
  <c r="AH21" i="14" s="1"/>
  <c r="AN21" i="14" a="1"/>
  <c r="AN21" i="14" s="1"/>
  <c r="AT21" i="14" a="1"/>
  <c r="AT21" i="14" s="1"/>
  <c r="BA21" i="14" a="1"/>
  <c r="BA21" i="14" s="1"/>
  <c r="BG21" i="14" a="1"/>
  <c r="BG21" i="14" s="1"/>
  <c r="BM21" i="14" a="1"/>
  <c r="BM21" i="14" s="1"/>
  <c r="BY21" i="14" a="1"/>
  <c r="BY21" i="14" s="1"/>
  <c r="CF21" i="14" a="1"/>
  <c r="CF21" i="14" s="1"/>
  <c r="CL21" i="14" a="1"/>
  <c r="CL21" i="14" s="1"/>
  <c r="CR21" i="14" a="1"/>
  <c r="CR21" i="14" s="1"/>
  <c r="D21" i="14" a="1"/>
  <c r="D21" i="14" s="1"/>
  <c r="J21" i="14" a="1"/>
  <c r="J21" i="14" s="1"/>
  <c r="Q21" i="14" a="1"/>
  <c r="Q21" i="14" s="1"/>
  <c r="W21" i="14" a="1"/>
  <c r="W21" i="14" s="1"/>
  <c r="AC21" i="14" a="1"/>
  <c r="AC21" i="14" s="1"/>
  <c r="AI21" i="14" a="1"/>
  <c r="AI21" i="14" s="1"/>
  <c r="AV21" i="14" a="1"/>
  <c r="AV21" i="14" s="1"/>
  <c r="BB21" i="14" a="1"/>
  <c r="BB21" i="14" s="1"/>
  <c r="BH21" i="14" a="1"/>
  <c r="BH21" i="14" s="1"/>
  <c r="BU21" i="14" a="1"/>
  <c r="BU21" i="14" s="1"/>
  <c r="CA21" i="14" a="1"/>
  <c r="CA21" i="14" s="1"/>
  <c r="CG21" i="14" a="1"/>
  <c r="CG21" i="14" s="1"/>
  <c r="K21" i="14" a="1"/>
  <c r="K21" i="14" s="1"/>
  <c r="AJ21" i="14" a="1"/>
  <c r="AJ21" i="14" s="1"/>
  <c r="BI21" i="14" a="1"/>
  <c r="BI21" i="14" s="1"/>
  <c r="CH21" i="14" a="1"/>
  <c r="CH21" i="14" s="1"/>
  <c r="P21" i="14" a="1"/>
  <c r="P21" i="14" s="1"/>
  <c r="AO21" i="14" a="1"/>
  <c r="AO21" i="14" s="1"/>
  <c r="BN21" i="14" a="1"/>
  <c r="BN21" i="14" s="1"/>
  <c r="CM21" i="14" a="1"/>
  <c r="CM21" i="14" s="1"/>
  <c r="R21" i="14" a="1"/>
  <c r="R21" i="14" s="1"/>
  <c r="AP21" i="14" a="1"/>
  <c r="AP21" i="14" s="1"/>
  <c r="BO21" i="14" a="1"/>
  <c r="BO21" i="14" s="1"/>
  <c r="CN21" i="14" a="1"/>
  <c r="CN21" i="14" s="1"/>
  <c r="C21" i="14" a="1"/>
  <c r="C21" i="14" s="1"/>
  <c r="AB21" i="14" a="1"/>
  <c r="AB21" i="14" s="1"/>
  <c r="BZ21" i="14" a="1"/>
  <c r="BZ21" i="14" s="1"/>
  <c r="AD21" i="14" a="1"/>
  <c r="AD21" i="14" s="1"/>
  <c r="AU21" i="14" a="1"/>
  <c r="AU21" i="14" s="1"/>
  <c r="AW21" i="14" a="1"/>
  <c r="AW21" i="14" s="1"/>
  <c r="BC21" i="14" a="1"/>
  <c r="BC21" i="14" s="1"/>
  <c r="BT21" i="14" a="1"/>
  <c r="BT21" i="14" s="1"/>
  <c r="V21" i="14" a="1"/>
  <c r="V21" i="14" s="1"/>
  <c r="CB21" i="14" a="1"/>
  <c r="CB21" i="14" s="1"/>
  <c r="E21" i="14" a="1"/>
  <c r="E21" i="14" s="1"/>
  <c r="X21" i="14" a="1"/>
  <c r="X21" i="14" s="1"/>
  <c r="CS21" i="14" a="1"/>
  <c r="CS21" i="14" s="1"/>
  <c r="B29" i="14" a="1"/>
  <c r="B29" i="14" s="1"/>
  <c r="F29" i="14" a="1"/>
  <c r="F29" i="14" s="1"/>
  <c r="M29" i="14" a="1"/>
  <c r="M29" i="14" s="1"/>
  <c r="R29" i="14" a="1"/>
  <c r="R29" i="14" s="1"/>
  <c r="X29" i="14" a="1"/>
  <c r="X29" i="14" s="1"/>
  <c r="AE29" i="14" a="1"/>
  <c r="AE29" i="14" s="1"/>
  <c r="AR29" i="14" a="1"/>
  <c r="AR29" i="14" s="1"/>
  <c r="AW29" i="14" a="1"/>
  <c r="AW29" i="14" s="1"/>
  <c r="BJ29" i="14" a="1"/>
  <c r="BJ29" i="14" s="1"/>
  <c r="BQ29" i="14" a="1"/>
  <c r="BQ29" i="14" s="1"/>
  <c r="BW29" i="14" a="1"/>
  <c r="BW29" i="14" s="1"/>
  <c r="CC29" i="14" a="1"/>
  <c r="CC29" i="14" s="1"/>
  <c r="S29" i="14" a="1"/>
  <c r="S29" i="14" s="1"/>
  <c r="Y29" i="14" a="1"/>
  <c r="Y29" i="14" s="1"/>
  <c r="AL29" i="14" a="1"/>
  <c r="AL29" i="14" s="1"/>
  <c r="AS29" i="14" a="1"/>
  <c r="AS29" i="14" s="1"/>
  <c r="AX29" i="14" a="1"/>
  <c r="AX29" i="14" s="1"/>
  <c r="BD29" i="14" a="1"/>
  <c r="BD29" i="14" s="1"/>
  <c r="BK29" i="14" a="1"/>
  <c r="BK29" i="14" s="1"/>
  <c r="BX29" i="14" a="1"/>
  <c r="BX29" i="14" s="1"/>
  <c r="CJ29" i="14" a="1"/>
  <c r="CJ29" i="14" s="1"/>
  <c r="CP29" i="14" a="1"/>
  <c r="CP29" i="14" s="1"/>
  <c r="H29" i="14" a="1"/>
  <c r="H29" i="14" s="1"/>
  <c r="U29" i="14" a="1"/>
  <c r="U29" i="14" s="1"/>
  <c r="AA29" i="14" a="1"/>
  <c r="AA29" i="14" s="1"/>
  <c r="AG29" i="14" a="1"/>
  <c r="AG29" i="14" s="1"/>
  <c r="AM29" i="14" a="1"/>
  <c r="AM29" i="14" s="1"/>
  <c r="AT29" i="14" a="1"/>
  <c r="AT29" i="14" s="1"/>
  <c r="AZ29" i="14" a="1"/>
  <c r="AZ29" i="14" s="1"/>
  <c r="BF29" i="14" a="1"/>
  <c r="BF29" i="14" s="1"/>
  <c r="BL29" i="14" a="1"/>
  <c r="BL29" i="14" s="1"/>
  <c r="BZ29" i="14" a="1"/>
  <c r="BZ29" i="14" s="1"/>
  <c r="CE29" i="14" a="1"/>
  <c r="CE29" i="14" s="1"/>
  <c r="CL29" i="14" a="1"/>
  <c r="CL29" i="14" s="1"/>
  <c r="CR29" i="14" a="1"/>
  <c r="CR29" i="14" s="1"/>
  <c r="C29" i="14" a="1"/>
  <c r="C29" i="14" s="1"/>
  <c r="I29" i="14" a="1"/>
  <c r="I29" i="14" s="1"/>
  <c r="O29" i="14" a="1"/>
  <c r="O29" i="14" s="1"/>
  <c r="V29" i="14" a="1"/>
  <c r="V29" i="14" s="1"/>
  <c r="AB29" i="14" a="1"/>
  <c r="AB29" i="14" s="1"/>
  <c r="AH29" i="14" a="1"/>
  <c r="AH29" i="14" s="1"/>
  <c r="AN29" i="14" a="1"/>
  <c r="AN29" i="14" s="1"/>
  <c r="BA29" i="14" a="1"/>
  <c r="BA29" i="14" s="1"/>
  <c r="BG29" i="14" a="1"/>
  <c r="BG29" i="14" s="1"/>
  <c r="BM29" i="14" a="1"/>
  <c r="BM29" i="14" s="1"/>
  <c r="BS29" i="14" a="1"/>
  <c r="BS29" i="14" s="1"/>
  <c r="CF29" i="14" a="1"/>
  <c r="CF29" i="14" s="1"/>
  <c r="CS29" i="14" a="1"/>
  <c r="CS29" i="14" s="1"/>
  <c r="E29" i="14" a="1"/>
  <c r="E29" i="14" s="1"/>
  <c r="K29" i="14" a="1"/>
  <c r="K29" i="14" s="1"/>
  <c r="P29" i="14" a="1"/>
  <c r="P29" i="14" s="1"/>
  <c r="W29" i="14" a="1"/>
  <c r="W29" i="14" s="1"/>
  <c r="AJ29" i="14" a="1"/>
  <c r="AJ29" i="14" s="1"/>
  <c r="AP29" i="14" a="1"/>
  <c r="AP29" i="14" s="1"/>
  <c r="BI29" i="14" a="1"/>
  <c r="BI29" i="14" s="1"/>
  <c r="BO29" i="14" a="1"/>
  <c r="BO29" i="14" s="1"/>
  <c r="BU29" i="14" a="1"/>
  <c r="BU29" i="14" s="1"/>
  <c r="CH29" i="14" a="1"/>
  <c r="CH29" i="14" s="1"/>
  <c r="CN29" i="14" a="1"/>
  <c r="CN29" i="14" s="1"/>
  <c r="AF29" i="14" a="1"/>
  <c r="AF29" i="14" s="1"/>
  <c r="AV29" i="14" a="1"/>
  <c r="AV29" i="14" s="1"/>
  <c r="BN29" i="14" a="1"/>
  <c r="BN29" i="14" s="1"/>
  <c r="CD29" i="14" a="1"/>
  <c r="CD29" i="14" s="1"/>
  <c r="Q29" i="14" a="1"/>
  <c r="Q29" i="14" s="1"/>
  <c r="AI29" i="14" a="1"/>
  <c r="AI29" i="14" s="1"/>
  <c r="AY29" i="14" a="1"/>
  <c r="AY29" i="14" s="1"/>
  <c r="BP29" i="14" a="1"/>
  <c r="BP29" i="14" s="1"/>
  <c r="CG29" i="14" a="1"/>
  <c r="CG29" i="14" s="1"/>
  <c r="D29" i="14" a="1"/>
  <c r="D29" i="14" s="1"/>
  <c r="T29" i="14" a="1"/>
  <c r="T29" i="14" s="1"/>
  <c r="AK29" i="14" a="1"/>
  <c r="AK29" i="14" s="1"/>
  <c r="BB29" i="14" a="1"/>
  <c r="BB29" i="14" s="1"/>
  <c r="BR29" i="14" a="1"/>
  <c r="BR29" i="14" s="1"/>
  <c r="CI29" i="14" a="1"/>
  <c r="CI29" i="14" s="1"/>
  <c r="BC29" i="14" a="1"/>
  <c r="BC29" i="14" s="1"/>
  <c r="BT29" i="14" a="1"/>
  <c r="BT29" i="14" s="1"/>
  <c r="CK29" i="14" a="1"/>
  <c r="CK29" i="14" s="1"/>
  <c r="G29" i="14" a="1"/>
  <c r="G29" i="14" s="1"/>
  <c r="AO29" i="14" a="1"/>
  <c r="AO29" i="14" s="1"/>
  <c r="BE29" i="14" a="1"/>
  <c r="BE29" i="14" s="1"/>
  <c r="BV29" i="14" a="1"/>
  <c r="BV29" i="14" s="1"/>
  <c r="CM29" i="14" a="1"/>
  <c r="CM29" i="14" s="1"/>
  <c r="J29" i="14" a="1"/>
  <c r="J29" i="14" s="1"/>
  <c r="Z29" i="14" a="1"/>
  <c r="Z29" i="14" s="1"/>
  <c r="AQ29" i="14" a="1"/>
  <c r="AQ29" i="14" s="1"/>
  <c r="BH29" i="14" a="1"/>
  <c r="BH29" i="14" s="1"/>
  <c r="BY29" i="14" a="1"/>
  <c r="BY29" i="14" s="1"/>
  <c r="CO29" i="14" a="1"/>
  <c r="CO29" i="14" s="1"/>
  <c r="N29" i="14" a="1"/>
  <c r="N29" i="14" s="1"/>
  <c r="AD29" i="14" a="1"/>
  <c r="AD29" i="14" s="1"/>
  <c r="AU29" i="14" a="1"/>
  <c r="AU29" i="14" s="1"/>
  <c r="CB29" i="14" a="1"/>
  <c r="CB29" i="14" s="1"/>
  <c r="L29" i="14" a="1"/>
  <c r="L29" i="14" s="1"/>
  <c r="AC29" i="14" a="1"/>
  <c r="AC29" i="14" s="1"/>
  <c r="CA29" i="14" a="1"/>
  <c r="CA29" i="14" s="1"/>
  <c r="CQ29" i="14" a="1"/>
  <c r="CQ29" i="14" s="1"/>
  <c r="B37" i="14" a="1"/>
  <c r="B37" i="14" s="1"/>
  <c r="C37" i="14" a="1"/>
  <c r="C37" i="14" s="1"/>
  <c r="I37" i="14" a="1"/>
  <c r="I37" i="14" s="1"/>
  <c r="O37" i="14" a="1"/>
  <c r="O37" i="14" s="1"/>
  <c r="U37" i="14" a="1"/>
  <c r="U37" i="14" s="1"/>
  <c r="Z37" i="14" a="1"/>
  <c r="Z37" i="14" s="1"/>
  <c r="AK37" i="14" a="1"/>
  <c r="AK37" i="14" s="1"/>
  <c r="AP37" i="14" a="1"/>
  <c r="AP37" i="14" s="1"/>
  <c r="BA37" i="14" a="1"/>
  <c r="BA37" i="14" s="1"/>
  <c r="BF37" i="14" a="1"/>
  <c r="BF37" i="14" s="1"/>
  <c r="BQ37" i="14" a="1"/>
  <c r="BQ37" i="14" s="1"/>
  <c r="BV37" i="14" a="1"/>
  <c r="BV37" i="14" s="1"/>
  <c r="CG37" i="14" a="1"/>
  <c r="CG37" i="14" s="1"/>
  <c r="CL37" i="14" a="1"/>
  <c r="CL37" i="14" s="1"/>
  <c r="J37" i="14" a="1"/>
  <c r="J37" i="14" s="1"/>
  <c r="P37" i="14" a="1"/>
  <c r="P37" i="14" s="1"/>
  <c r="AA37" i="14" a="1"/>
  <c r="AA37" i="14" s="1"/>
  <c r="AF37" i="14" a="1"/>
  <c r="AF37" i="14" s="1"/>
  <c r="AQ37" i="14" a="1"/>
  <c r="AQ37" i="14" s="1"/>
  <c r="AV37" i="14" a="1"/>
  <c r="AV37" i="14" s="1"/>
  <c r="BG37" i="14" a="1"/>
  <c r="BG37" i="14" s="1"/>
  <c r="BL37" i="14" a="1"/>
  <c r="BL37" i="14" s="1"/>
  <c r="BW37" i="14" a="1"/>
  <c r="BW37" i="14" s="1"/>
  <c r="CB37" i="14" a="1"/>
  <c r="CB37" i="14" s="1"/>
  <c r="CM37" i="14" a="1"/>
  <c r="CM37" i="14" s="1"/>
  <c r="CR37" i="14" a="1"/>
  <c r="CR37" i="14" s="1"/>
  <c r="D37" i="14" a="1"/>
  <c r="D37" i="14" s="1"/>
  <c r="V37" i="14" a="1"/>
  <c r="V37" i="14" s="1"/>
  <c r="AG37" i="14" a="1"/>
  <c r="AG37" i="14" s="1"/>
  <c r="AL37" i="14" a="1"/>
  <c r="AL37" i="14" s="1"/>
  <c r="AW37" i="14" a="1"/>
  <c r="AW37" i="14" s="1"/>
  <c r="BB37" i="14" a="1"/>
  <c r="BB37" i="14" s="1"/>
  <c r="BM37" i="14" a="1"/>
  <c r="BM37" i="14" s="1"/>
  <c r="BR37" i="14" a="1"/>
  <c r="BR37" i="14" s="1"/>
  <c r="CC37" i="14" a="1"/>
  <c r="CC37" i="14" s="1"/>
  <c r="CH37" i="14" a="1"/>
  <c r="CH37" i="14" s="1"/>
  <c r="CS37" i="14" a="1"/>
  <c r="CS37" i="14" s="1"/>
  <c r="E37" i="14" a="1"/>
  <c r="E37" i="14" s="1"/>
  <c r="K37" i="14" a="1"/>
  <c r="K37" i="14" s="1"/>
  <c r="Q37" i="14" a="1"/>
  <c r="Q37" i="14" s="1"/>
  <c r="W37" i="14" a="1"/>
  <c r="W37" i="14" s="1"/>
  <c r="AB37" i="14" a="1"/>
  <c r="AB37" i="14" s="1"/>
  <c r="AM37" i="14" a="1"/>
  <c r="AM37" i="14" s="1"/>
  <c r="AR37" i="14" a="1"/>
  <c r="AR37" i="14" s="1"/>
  <c r="BC37" i="14" a="1"/>
  <c r="BC37" i="14" s="1"/>
  <c r="BH37" i="14" a="1"/>
  <c r="BH37" i="14" s="1"/>
  <c r="BS37" i="14" a="1"/>
  <c r="BS37" i="14" s="1"/>
  <c r="BX37" i="14" a="1"/>
  <c r="BX37" i="14" s="1"/>
  <c r="CI37" i="14" a="1"/>
  <c r="CI37" i="14" s="1"/>
  <c r="CN37" i="14" a="1"/>
  <c r="CN37" i="14" s="1"/>
  <c r="F37" i="14" a="1"/>
  <c r="F37" i="14" s="1"/>
  <c r="L37" i="14" a="1"/>
  <c r="L37" i="14" s="1"/>
  <c r="R37" i="14" a="1"/>
  <c r="R37" i="14" s="1"/>
  <c r="AC37" i="14" a="1"/>
  <c r="AC37" i="14" s="1"/>
  <c r="AH37" i="14" a="1"/>
  <c r="AH37" i="14" s="1"/>
  <c r="AS37" i="14" a="1"/>
  <c r="AS37" i="14" s="1"/>
  <c r="AX37" i="14" a="1"/>
  <c r="AX37" i="14" s="1"/>
  <c r="BI37" i="14" a="1"/>
  <c r="BI37" i="14" s="1"/>
  <c r="BN37" i="14" a="1"/>
  <c r="BN37" i="14" s="1"/>
  <c r="BY37" i="14" a="1"/>
  <c r="BY37" i="14" s="1"/>
  <c r="CD37" i="14" a="1"/>
  <c r="CD37" i="14" s="1"/>
  <c r="CO37" i="14" a="1"/>
  <c r="CO37" i="14" s="1"/>
  <c r="G37" i="14" a="1"/>
  <c r="G37" i="14" s="1"/>
  <c r="S37" i="14" a="1"/>
  <c r="S37" i="14" s="1"/>
  <c r="X37" i="14" a="1"/>
  <c r="X37" i="14" s="1"/>
  <c r="AI37" i="14" a="1"/>
  <c r="AI37" i="14" s="1"/>
  <c r="AN37" i="14" a="1"/>
  <c r="AN37" i="14" s="1"/>
  <c r="AY37" i="14" a="1"/>
  <c r="AY37" i="14" s="1"/>
  <c r="BD37" i="14" a="1"/>
  <c r="BD37" i="14" s="1"/>
  <c r="BO37" i="14" a="1"/>
  <c r="BO37" i="14" s="1"/>
  <c r="BT37" i="14" a="1"/>
  <c r="BT37" i="14" s="1"/>
  <c r="CE37" i="14" a="1"/>
  <c r="CE37" i="14" s="1"/>
  <c r="CJ37" i="14" a="1"/>
  <c r="CJ37" i="14" s="1"/>
  <c r="AO37" i="14" a="1"/>
  <c r="AO37" i="14" s="1"/>
  <c r="BJ37" i="14" a="1"/>
  <c r="BJ37" i="14" s="1"/>
  <c r="T37" i="14" a="1"/>
  <c r="T37" i="14" s="1"/>
  <c r="BK37" i="14" a="1"/>
  <c r="BK37" i="14" s="1"/>
  <c r="CF37" i="14" a="1"/>
  <c r="CF37" i="14" s="1"/>
  <c r="Y37" i="14" a="1"/>
  <c r="Y37" i="14" s="1"/>
  <c r="AT37" i="14" a="1"/>
  <c r="AT37" i="14" s="1"/>
  <c r="CK37" i="14" a="1"/>
  <c r="CK37" i="14" s="1"/>
  <c r="AU37" i="14" a="1"/>
  <c r="AU37" i="14" s="1"/>
  <c r="BP37" i="14" a="1"/>
  <c r="BP37" i="14" s="1"/>
  <c r="AD37" i="14" a="1"/>
  <c r="AD37" i="14" s="1"/>
  <c r="BU37" i="14" a="1"/>
  <c r="BU37" i="14" s="1"/>
  <c r="CP37" i="14" a="1"/>
  <c r="CP37" i="14" s="1"/>
  <c r="H37" i="14" a="1"/>
  <c r="H37" i="14" s="1"/>
  <c r="AE37" i="14" a="1"/>
  <c r="AE37" i="14" s="1"/>
  <c r="AZ37" i="14" a="1"/>
  <c r="AZ37" i="14" s="1"/>
  <c r="CQ37" i="14" a="1"/>
  <c r="CQ37" i="14" s="1"/>
  <c r="M37" i="14" a="1"/>
  <c r="M37" i="14" s="1"/>
  <c r="BE37" i="14" a="1"/>
  <c r="BE37" i="14" s="1"/>
  <c r="BZ37" i="14" a="1"/>
  <c r="BZ37" i="14" s="1"/>
  <c r="N37" i="14" a="1"/>
  <c r="N37" i="14" s="1"/>
  <c r="AJ37" i="14" a="1"/>
  <c r="AJ37" i="14" s="1"/>
  <c r="CA37" i="14" a="1"/>
  <c r="CA37" i="14" s="1"/>
  <c r="B6" i="14" a="1"/>
  <c r="B6" i="14" s="1"/>
  <c r="H6" i="14" a="1"/>
  <c r="H6" i="14" s="1"/>
  <c r="P6" i="14" a="1"/>
  <c r="P6" i="14" s="1"/>
  <c r="W6" i="14" a="1"/>
  <c r="W6" i="14" s="1"/>
  <c r="AD6" i="14" a="1"/>
  <c r="AD6" i="14" s="1"/>
  <c r="AK6" i="14" a="1"/>
  <c r="AK6" i="14" s="1"/>
  <c r="AS6" i="14" a="1"/>
  <c r="AS6" i="14" s="1"/>
  <c r="AZ6" i="14" a="1"/>
  <c r="AZ6" i="14" s="1"/>
  <c r="BG6" i="14" a="1"/>
  <c r="BG6" i="14" s="1"/>
  <c r="BO6" i="14" a="1"/>
  <c r="BO6" i="14" s="1"/>
  <c r="BV6" i="14" a="1"/>
  <c r="BV6" i="14" s="1"/>
  <c r="CD6" i="14" a="1"/>
  <c r="CD6" i="14" s="1"/>
  <c r="CK6" i="14" a="1"/>
  <c r="CK6" i="14" s="1"/>
  <c r="CS6" i="14" a="1"/>
  <c r="CS6" i="14" s="1"/>
  <c r="C6" i="14" a="1"/>
  <c r="C6" i="14" s="1"/>
  <c r="I6" i="14" a="1"/>
  <c r="I6" i="14" s="1"/>
  <c r="J6" i="14" a="1"/>
  <c r="J6" i="14" s="1"/>
  <c r="R6" i="14" a="1"/>
  <c r="R6" i="14" s="1"/>
  <c r="AF6" i="14" a="1"/>
  <c r="AF6" i="14" s="1"/>
  <c r="AM6" i="14" a="1"/>
  <c r="AM6" i="14" s="1"/>
  <c r="AU6" i="14" a="1"/>
  <c r="AU6" i="14" s="1"/>
  <c r="BB6" i="14" a="1"/>
  <c r="BB6" i="14" s="1"/>
  <c r="BI6" i="14" a="1"/>
  <c r="BI6" i="14" s="1"/>
  <c r="BP6" i="14" a="1"/>
  <c r="BP6" i="14" s="1"/>
  <c r="BX6" i="14" a="1"/>
  <c r="BX6" i="14" s="1"/>
  <c r="CM6" i="14" a="1"/>
  <c r="CM6" i="14" s="1"/>
  <c r="D6" i="14" a="1"/>
  <c r="D6" i="14" s="1"/>
  <c r="K6" i="14" a="1"/>
  <c r="K6" i="14" s="1"/>
  <c r="S6" i="14" a="1"/>
  <c r="S6" i="14" s="1"/>
  <c r="Y6" i="14" a="1"/>
  <c r="Y6" i="14" s="1"/>
  <c r="AG6" i="14" a="1"/>
  <c r="AG6" i="14" s="1"/>
  <c r="AN6" i="14" a="1"/>
  <c r="AN6" i="14" s="1"/>
  <c r="AV6" i="14" a="1"/>
  <c r="AV6" i="14" s="1"/>
  <c r="BC6" i="14" a="1"/>
  <c r="BC6" i="14" s="1"/>
  <c r="BJ6" i="14" a="1"/>
  <c r="BJ6" i="14" s="1"/>
  <c r="BQ6" i="14" a="1"/>
  <c r="BQ6" i="14" s="1"/>
  <c r="BY6" i="14" a="1"/>
  <c r="BY6" i="14" s="1"/>
  <c r="CF6" i="14" a="1"/>
  <c r="CF6" i="14" s="1"/>
  <c r="CN6" i="14" a="1"/>
  <c r="CN6" i="14" s="1"/>
  <c r="E6" i="14" a="1"/>
  <c r="E6" i="14" s="1"/>
  <c r="L6" i="14" a="1"/>
  <c r="L6" i="14" s="1"/>
  <c r="Z6" i="14" a="1"/>
  <c r="Z6" i="14" s="1"/>
  <c r="AH6" i="14" a="1"/>
  <c r="AH6" i="14" s="1"/>
  <c r="AO6" i="14" a="1"/>
  <c r="AO6" i="14" s="1"/>
  <c r="AW6" i="14" a="1"/>
  <c r="AW6" i="14" s="1"/>
  <c r="BD6" i="14" a="1"/>
  <c r="BD6" i="14" s="1"/>
  <c r="BK6" i="14" a="1"/>
  <c r="BK6" i="14" s="1"/>
  <c r="BR6" i="14" a="1"/>
  <c r="BR6" i="14" s="1"/>
  <c r="BZ6" i="14" a="1"/>
  <c r="BZ6" i="14" s="1"/>
  <c r="CG6" i="14" a="1"/>
  <c r="CG6" i="14" s="1"/>
  <c r="CO6" i="14" a="1"/>
  <c r="CO6" i="14" s="1"/>
  <c r="F6" i="14" a="1"/>
  <c r="F6" i="14" s="1"/>
  <c r="M6" i="14" a="1"/>
  <c r="M6" i="14" s="1"/>
  <c r="T6" i="14" a="1"/>
  <c r="T6" i="14" s="1"/>
  <c r="AA6" i="14" a="1"/>
  <c r="AA6" i="14" s="1"/>
  <c r="AI6" i="14" a="1"/>
  <c r="AI6" i="14" s="1"/>
  <c r="AP6" i="14" a="1"/>
  <c r="AP6" i="14" s="1"/>
  <c r="AX6" i="14" a="1"/>
  <c r="AX6" i="14" s="1"/>
  <c r="BL6" i="14" a="1"/>
  <c r="BL6" i="14" s="1"/>
  <c r="BS6" i="14" a="1"/>
  <c r="BS6" i="14" s="1"/>
  <c r="CA6" i="14" a="1"/>
  <c r="CA6" i="14" s="1"/>
  <c r="CH6" i="14" a="1"/>
  <c r="CH6" i="14" s="1"/>
  <c r="CP6" i="14" a="1"/>
  <c r="CP6" i="14" s="1"/>
  <c r="Q6" i="14" a="1"/>
  <c r="Q6" i="14" s="1"/>
  <c r="AJ6" i="14" a="1"/>
  <c r="AJ6" i="14" s="1"/>
  <c r="BE6" i="14" a="1"/>
  <c r="BE6" i="14" s="1"/>
  <c r="BW6" i="14" a="1"/>
  <c r="BW6" i="14" s="1"/>
  <c r="CR6" i="14" a="1"/>
  <c r="CR6" i="14" s="1"/>
  <c r="X6" i="14" a="1"/>
  <c r="X6" i="14" s="1"/>
  <c r="AR6" i="14" a="1"/>
  <c r="AR6" i="14" s="1"/>
  <c r="BM6" i="14" a="1"/>
  <c r="BM6" i="14" s="1"/>
  <c r="CE6" i="14" a="1"/>
  <c r="CE6" i="14" s="1"/>
  <c r="AB6" i="14" a="1"/>
  <c r="AB6" i="14" s="1"/>
  <c r="AT6" i="14" a="1"/>
  <c r="AT6" i="14" s="1"/>
  <c r="BN6" i="14" a="1"/>
  <c r="BN6" i="14" s="1"/>
  <c r="CI6" i="14" a="1"/>
  <c r="CI6" i="14" s="1"/>
  <c r="G6" i="14" a="1"/>
  <c r="G6" i="14" s="1"/>
  <c r="AC6" i="14" a="1"/>
  <c r="AC6" i="14" s="1"/>
  <c r="AY6" i="14" a="1"/>
  <c r="AY6" i="14" s="1"/>
  <c r="CJ6" i="14" a="1"/>
  <c r="CJ6" i="14" s="1"/>
  <c r="N6" i="14" a="1"/>
  <c r="N6" i="14" s="1"/>
  <c r="AE6" i="14" a="1"/>
  <c r="AE6" i="14" s="1"/>
  <c r="BT6" i="14" a="1"/>
  <c r="BT6" i="14" s="1"/>
  <c r="CL6" i="14" a="1"/>
  <c r="CL6" i="14" s="1"/>
  <c r="CC6" i="14" a="1"/>
  <c r="CC6" i="14" s="1"/>
  <c r="AQ6" i="14" a="1"/>
  <c r="AQ6" i="14" s="1"/>
  <c r="BA6" i="14" a="1"/>
  <c r="BA6" i="14" s="1"/>
  <c r="BF6" i="14" a="1"/>
  <c r="BF6" i="14" s="1"/>
  <c r="O6" i="14" a="1"/>
  <c r="O6" i="14" s="1"/>
  <c r="BH6" i="14" a="1"/>
  <c r="BH6" i="14" s="1"/>
  <c r="U6" i="14" a="1"/>
  <c r="U6" i="14" s="1"/>
  <c r="BU6" i="14" a="1"/>
  <c r="BU6" i="14" s="1"/>
  <c r="V6" i="14" a="1"/>
  <c r="V6" i="14" s="1"/>
  <c r="AL6" i="14" a="1"/>
  <c r="AL6" i="14" s="1"/>
  <c r="CB6" i="14" a="1"/>
  <c r="CB6" i="14" s="1"/>
  <c r="CQ6" i="14" a="1"/>
  <c r="CQ6" i="14" s="1"/>
  <c r="B14" i="14" a="1"/>
  <c r="B14" i="14" s="1"/>
  <c r="K14" i="14" a="1"/>
  <c r="K14" i="14" s="1"/>
  <c r="P14" i="14" a="1"/>
  <c r="P14" i="14" s="1"/>
  <c r="U14" i="14" a="1"/>
  <c r="U14" i="14" s="1"/>
  <c r="AA14" i="14" a="1"/>
  <c r="AA14" i="14" s="1"/>
  <c r="AG14" i="14" a="1"/>
  <c r="AG14" i="14" s="1"/>
  <c r="AM14" i="14" a="1"/>
  <c r="AM14" i="14" s="1"/>
  <c r="AR14" i="14" a="1"/>
  <c r="AR14" i="14" s="1"/>
  <c r="BD14" i="14" a="1"/>
  <c r="BD14" i="14" s="1"/>
  <c r="BJ14" i="14" a="1"/>
  <c r="BJ14" i="14" s="1"/>
  <c r="CB14" i="14" a="1"/>
  <c r="CB14" i="14" s="1"/>
  <c r="CG14" i="14" a="1"/>
  <c r="CG14" i="14" s="1"/>
  <c r="CM14" i="14" a="1"/>
  <c r="CM14" i="14" s="1"/>
  <c r="CS14" i="14" a="1"/>
  <c r="CS14" i="14" s="1"/>
  <c r="G14" i="14" a="1"/>
  <c r="G14" i="14" s="1"/>
  <c r="Q14" i="14" a="1"/>
  <c r="Q14" i="14" s="1"/>
  <c r="AS14" i="14" a="1"/>
  <c r="AS14" i="14" s="1"/>
  <c r="AY14" i="14" a="1"/>
  <c r="AY14" i="14" s="1"/>
  <c r="BE14" i="14" a="1"/>
  <c r="BE14" i="14" s="1"/>
  <c r="BP14" i="14" a="1"/>
  <c r="BP14" i="14" s="1"/>
  <c r="BV14" i="14" a="1"/>
  <c r="BV14" i="14" s="1"/>
  <c r="CC14" i="14" a="1"/>
  <c r="CC14" i="14" s="1"/>
  <c r="H14" i="14" a="1"/>
  <c r="H14" i="14" s="1"/>
  <c r="R14" i="14" a="1"/>
  <c r="R14" i="14" s="1"/>
  <c r="W14" i="14" a="1"/>
  <c r="W14" i="14" s="1"/>
  <c r="AC14" i="14" a="1"/>
  <c r="AC14" i="14" s="1"/>
  <c r="AI14" i="14" a="1"/>
  <c r="AI14" i="14" s="1"/>
  <c r="AO14" i="14" a="1"/>
  <c r="AO14" i="14" s="1"/>
  <c r="AU14" i="14" a="1"/>
  <c r="AU14" i="14" s="1"/>
  <c r="AZ14" i="14" a="1"/>
  <c r="AZ14" i="14" s="1"/>
  <c r="BL14" i="14" a="1"/>
  <c r="BL14" i="14" s="1"/>
  <c r="BR14" i="14" a="1"/>
  <c r="BR14" i="14" s="1"/>
  <c r="BW14" i="14" a="1"/>
  <c r="BW14" i="14" s="1"/>
  <c r="CD14" i="14" a="1"/>
  <c r="CD14" i="14" s="1"/>
  <c r="CI14" i="14" a="1"/>
  <c r="CI14" i="14" s="1"/>
  <c r="CO14" i="14" a="1"/>
  <c r="CO14" i="14" s="1"/>
  <c r="I14" i="14" a="1"/>
  <c r="I14" i="14" s="1"/>
  <c r="Z14" i="14" a="1"/>
  <c r="Z14" i="14" s="1"/>
  <c r="AQ14" i="14" a="1"/>
  <c r="AQ14" i="14" s="1"/>
  <c r="BK14" i="14" a="1"/>
  <c r="BK14" i="14" s="1"/>
  <c r="BT14" i="14" a="1"/>
  <c r="BT14" i="14" s="1"/>
  <c r="L14" i="14" a="1"/>
  <c r="L14" i="14" s="1"/>
  <c r="AD14" i="14" a="1"/>
  <c r="AD14" i="14" s="1"/>
  <c r="AL14" i="14" a="1"/>
  <c r="AL14" i="14" s="1"/>
  <c r="AW14" i="14" a="1"/>
  <c r="AW14" i="14" s="1"/>
  <c r="BF14" i="14" a="1"/>
  <c r="BF14" i="14" s="1"/>
  <c r="BN14" i="14" a="1"/>
  <c r="BN14" i="14" s="1"/>
  <c r="BX14" i="14" a="1"/>
  <c r="BX14" i="14" s="1"/>
  <c r="CF14" i="14" a="1"/>
  <c r="CF14" i="14" s="1"/>
  <c r="E14" i="14" a="1"/>
  <c r="E14" i="14" s="1"/>
  <c r="M14" i="14" a="1"/>
  <c r="M14" i="14" s="1"/>
  <c r="T14" i="14" a="1"/>
  <c r="T14" i="14" s="1"/>
  <c r="AN14" i="14" a="1"/>
  <c r="AN14" i="14" s="1"/>
  <c r="BG14" i="14" a="1"/>
  <c r="BG14" i="14" s="1"/>
  <c r="BO14" i="14" a="1"/>
  <c r="BO14" i="14" s="1"/>
  <c r="BY14" i="14" a="1"/>
  <c r="BY14" i="14" s="1"/>
  <c r="CH14" i="14" a="1"/>
  <c r="CH14" i="14" s="1"/>
  <c r="CQ14" i="14" a="1"/>
  <c r="CQ14" i="14" s="1"/>
  <c r="F14" i="14" a="1"/>
  <c r="F14" i="14" s="1"/>
  <c r="N14" i="14" a="1"/>
  <c r="N14" i="14" s="1"/>
  <c r="V14" i="14" a="1"/>
  <c r="V14" i="14" s="1"/>
  <c r="AE14" i="14" a="1"/>
  <c r="AE14" i="14" s="1"/>
  <c r="AX14" i="14" a="1"/>
  <c r="AX14" i="14" s="1"/>
  <c r="BQ14" i="14" a="1"/>
  <c r="BQ14" i="14" s="1"/>
  <c r="BZ14" i="14" a="1"/>
  <c r="BZ14" i="14" s="1"/>
  <c r="CJ14" i="14" a="1"/>
  <c r="CJ14" i="14" s="1"/>
  <c r="CR14" i="14" a="1"/>
  <c r="CR14" i="14" s="1"/>
  <c r="O14" i="14" a="1"/>
  <c r="O14" i="14" s="1"/>
  <c r="X14" i="14" a="1"/>
  <c r="X14" i="14" s="1"/>
  <c r="AF14" i="14" a="1"/>
  <c r="AF14" i="14" s="1"/>
  <c r="AP14" i="14" a="1"/>
  <c r="AP14" i="14" s="1"/>
  <c r="BH14" i="14" a="1"/>
  <c r="BH14" i="14" s="1"/>
  <c r="BS14" i="14" a="1"/>
  <c r="BS14" i="14" s="1"/>
  <c r="CA14" i="14" a="1"/>
  <c r="CA14" i="14" s="1"/>
  <c r="CK14" i="14" a="1"/>
  <c r="CK14" i="14" s="1"/>
  <c r="D14" i="14" a="1"/>
  <c r="D14" i="14" s="1"/>
  <c r="BA14" i="14" a="1"/>
  <c r="BA14" i="14" s="1"/>
  <c r="AB14" i="14" a="1"/>
  <c r="AB14" i="14" s="1"/>
  <c r="BB14" i="14" a="1"/>
  <c r="BB14" i="14" s="1"/>
  <c r="J14" i="14" a="1"/>
  <c r="J14" i="14" s="1"/>
  <c r="AH14" i="14" a="1"/>
  <c r="AH14" i="14" s="1"/>
  <c r="BC14" i="14" a="1"/>
  <c r="BC14" i="14" s="1"/>
  <c r="CE14" i="14" a="1"/>
  <c r="CE14" i="14" s="1"/>
  <c r="AJ14" i="14" a="1"/>
  <c r="AJ14" i="14" s="1"/>
  <c r="BI14" i="14" a="1"/>
  <c r="BI14" i="14" s="1"/>
  <c r="AK14" i="14" a="1"/>
  <c r="AK14" i="14" s="1"/>
  <c r="BM14" i="14" a="1"/>
  <c r="BM14" i="14" s="1"/>
  <c r="CL14" i="14" a="1"/>
  <c r="CL14" i="14" s="1"/>
  <c r="S14" i="14" a="1"/>
  <c r="S14" i="14" s="1"/>
  <c r="AT14" i="14" a="1"/>
  <c r="AT14" i="14" s="1"/>
  <c r="CP14" i="14" a="1"/>
  <c r="CP14" i="14" s="1"/>
  <c r="CN14" i="14" a="1"/>
  <c r="CN14" i="14" s="1"/>
  <c r="C14" i="14" a="1"/>
  <c r="C14" i="14" s="1"/>
  <c r="Y14" i="14" a="1"/>
  <c r="Y14" i="14" s="1"/>
  <c r="AV14" i="14" a="1"/>
  <c r="AV14" i="14" s="1"/>
  <c r="BU14" i="14" a="1"/>
  <c r="BU14" i="14" s="1"/>
  <c r="B22" i="14" a="1"/>
  <c r="B22" i="14" s="1"/>
  <c r="D22" i="14" a="1"/>
  <c r="D22" i="14" s="1"/>
  <c r="Q22" i="14" a="1"/>
  <c r="Q22" i="14" s="1"/>
  <c r="W22" i="14" a="1"/>
  <c r="W22" i="14" s="1"/>
  <c r="AC22" i="14" a="1"/>
  <c r="AC22" i="14" s="1"/>
  <c r="AP22" i="14" a="1"/>
  <c r="AP22" i="14" s="1"/>
  <c r="AV22" i="14" a="1"/>
  <c r="AV22" i="14" s="1"/>
  <c r="BO22" i="14" a="1"/>
  <c r="BO22" i="14" s="1"/>
  <c r="BU22" i="14" a="1"/>
  <c r="BU22" i="14" s="1"/>
  <c r="CA22" i="14" a="1"/>
  <c r="CA22" i="14" s="1"/>
  <c r="CH22" i="14" a="1"/>
  <c r="CH22" i="14" s="1"/>
  <c r="CN22" i="14" a="1"/>
  <c r="CN22" i="14" s="1"/>
  <c r="E22" i="14" a="1"/>
  <c r="E22" i="14" s="1"/>
  <c r="K22" i="14" a="1"/>
  <c r="K22" i="14" s="1"/>
  <c r="R22" i="14" a="1"/>
  <c r="R22" i="14" s="1"/>
  <c r="X22" i="14" a="1"/>
  <c r="X22" i="14" s="1"/>
  <c r="AD22" i="14" a="1"/>
  <c r="AD22" i="14" s="1"/>
  <c r="AJ22" i="14" a="1"/>
  <c r="AJ22" i="14" s="1"/>
  <c r="AW22" i="14" a="1"/>
  <c r="AW22" i="14" s="1"/>
  <c r="BC22" i="14" a="1"/>
  <c r="BC22" i="14" s="1"/>
  <c r="BI22" i="14" a="1"/>
  <c r="BI22" i="14" s="1"/>
  <c r="BV22" i="14" a="1"/>
  <c r="BV22" i="14" s="1"/>
  <c r="CB22" i="14" a="1"/>
  <c r="CB22" i="14" s="1"/>
  <c r="F22" i="14" a="1"/>
  <c r="F22" i="14" s="1"/>
  <c r="L22" i="14" a="1"/>
  <c r="L22" i="14" s="1"/>
  <c r="S22" i="14" a="1"/>
  <c r="S22" i="14" s="1"/>
  <c r="Y22" i="14" a="1"/>
  <c r="Y22" i="14" s="1"/>
  <c r="AE22" i="14" a="1"/>
  <c r="AE22" i="14" s="1"/>
  <c r="AK22" i="14" a="1"/>
  <c r="AK22" i="14" s="1"/>
  <c r="AQ22" i="14" a="1"/>
  <c r="AQ22" i="14" s="1"/>
  <c r="AX22" i="14" a="1"/>
  <c r="AX22" i="14" s="1"/>
  <c r="BD22" i="14" a="1"/>
  <c r="BD22" i="14" s="1"/>
  <c r="BJ22" i="14" a="1"/>
  <c r="BJ22" i="14" s="1"/>
  <c r="BP22" i="14" a="1"/>
  <c r="BP22" i="14" s="1"/>
  <c r="CC22" i="14" a="1"/>
  <c r="CC22" i="14" s="1"/>
  <c r="CI22" i="14" a="1"/>
  <c r="CI22" i="14" s="1"/>
  <c r="CO22" i="14" a="1"/>
  <c r="CO22" i="14" s="1"/>
  <c r="G22" i="14" a="1"/>
  <c r="G22" i="14" s="1"/>
  <c r="Z22" i="14" a="1"/>
  <c r="Z22" i="14" s="1"/>
  <c r="AL22" i="14" a="1"/>
  <c r="AL22" i="14" s="1"/>
  <c r="AR22" i="14" a="1"/>
  <c r="AR22" i="14" s="1"/>
  <c r="AY22" i="14" a="1"/>
  <c r="AY22" i="14" s="1"/>
  <c r="BE22" i="14" a="1"/>
  <c r="BE22" i="14" s="1"/>
  <c r="BK22" i="14" a="1"/>
  <c r="BK22" i="14" s="1"/>
  <c r="BQ22" i="14" a="1"/>
  <c r="BQ22" i="14" s="1"/>
  <c r="BW22" i="14" a="1"/>
  <c r="BW22" i="14" s="1"/>
  <c r="CD22" i="14" a="1"/>
  <c r="CD22" i="14" s="1"/>
  <c r="CJ22" i="14" a="1"/>
  <c r="CJ22" i="14" s="1"/>
  <c r="CP22" i="14" a="1"/>
  <c r="CP22" i="14" s="1"/>
  <c r="H22" i="14" a="1"/>
  <c r="H22" i="14" s="1"/>
  <c r="M22" i="14" a="1"/>
  <c r="M22" i="14" s="1"/>
  <c r="T22" i="14" a="1"/>
  <c r="T22" i="14" s="1"/>
  <c r="AF22" i="14" a="1"/>
  <c r="AF22" i="14" s="1"/>
  <c r="AM22" i="14" a="1"/>
  <c r="AM22" i="14" s="1"/>
  <c r="BF22" i="14" a="1"/>
  <c r="BF22" i="14" s="1"/>
  <c r="BR22" i="14" a="1"/>
  <c r="BR22" i="14" s="1"/>
  <c r="BX22" i="14" a="1"/>
  <c r="BX22" i="14" s="1"/>
  <c r="CE22" i="14" a="1"/>
  <c r="CE22" i="14" s="1"/>
  <c r="CK22" i="14" a="1"/>
  <c r="CK22" i="14" s="1"/>
  <c r="CQ22" i="14" a="1"/>
  <c r="CQ22" i="14" s="1"/>
  <c r="C22" i="14" a="1"/>
  <c r="C22" i="14" s="1"/>
  <c r="I22" i="14" a="1"/>
  <c r="I22" i="14" s="1"/>
  <c r="O22" i="14" a="1"/>
  <c r="O22" i="14" s="1"/>
  <c r="V22" i="14" a="1"/>
  <c r="V22" i="14" s="1"/>
  <c r="AB22" i="14" a="1"/>
  <c r="AB22" i="14" s="1"/>
  <c r="AH22" i="14" a="1"/>
  <c r="AH22" i="14" s="1"/>
  <c r="AT22" i="14" a="1"/>
  <c r="AT22" i="14" s="1"/>
  <c r="BA22" i="14" a="1"/>
  <c r="BA22" i="14" s="1"/>
  <c r="BG22" i="14" a="1"/>
  <c r="BG22" i="14" s="1"/>
  <c r="BM22" i="14" a="1"/>
  <c r="BM22" i="14" s="1"/>
  <c r="BT22" i="14" a="1"/>
  <c r="BT22" i="14" s="1"/>
  <c r="BY22" i="14" a="1"/>
  <c r="BY22" i="14" s="1"/>
  <c r="CF22" i="14" a="1"/>
  <c r="CF22" i="14" s="1"/>
  <c r="CR22" i="14" a="1"/>
  <c r="CR22" i="14" s="1"/>
  <c r="N22" i="14" a="1"/>
  <c r="N22" i="14" s="1"/>
  <c r="AN22" i="14" a="1"/>
  <c r="AN22" i="14" s="1"/>
  <c r="BL22" i="14" a="1"/>
  <c r="BL22" i="14" s="1"/>
  <c r="CL22" i="14" a="1"/>
  <c r="CL22" i="14" s="1"/>
  <c r="P22" i="14" a="1"/>
  <c r="P22" i="14" s="1"/>
  <c r="AO22" i="14" a="1"/>
  <c r="AO22" i="14" s="1"/>
  <c r="U22" i="14" a="1"/>
  <c r="U22" i="14" s="1"/>
  <c r="AS22" i="14" a="1"/>
  <c r="AS22" i="14" s="1"/>
  <c r="BS22" i="14" a="1"/>
  <c r="BS22" i="14" s="1"/>
  <c r="AU22" i="14" a="1"/>
  <c r="AU22" i="14" s="1"/>
  <c r="CS22" i="14" a="1"/>
  <c r="CS22" i="14" s="1"/>
  <c r="AG22" i="14" a="1"/>
  <c r="AG22" i="14" s="1"/>
  <c r="BN22" i="14" a="1"/>
  <c r="BN22" i="14" s="1"/>
  <c r="J22" i="14" a="1"/>
  <c r="J22" i="14" s="1"/>
  <c r="AA22" i="14" a="1"/>
  <c r="AA22" i="14" s="1"/>
  <c r="BZ22" i="14" a="1"/>
  <c r="BZ22" i="14" s="1"/>
  <c r="CG22" i="14" a="1"/>
  <c r="CG22" i="14" s="1"/>
  <c r="AI22" i="14" a="1"/>
  <c r="AI22" i="14" s="1"/>
  <c r="CM22" i="14" a="1"/>
  <c r="CM22" i="14" s="1"/>
  <c r="BB22" i="14" a="1"/>
  <c r="BB22" i="14" s="1"/>
  <c r="AZ22" i="14" a="1"/>
  <c r="AZ22" i="14" s="1"/>
  <c r="BH22" i="14" a="1"/>
  <c r="BH22" i="14" s="1"/>
  <c r="B30" i="14" a="1"/>
  <c r="B30" i="14" s="1"/>
  <c r="E30" i="14" a="1"/>
  <c r="E30" i="14" s="1"/>
  <c r="K30" i="14" a="1"/>
  <c r="K30" i="14" s="1"/>
  <c r="Q30" i="14" a="1"/>
  <c r="Q30" i="14" s="1"/>
  <c r="X30" i="14" a="1"/>
  <c r="X30" i="14" s="1"/>
  <c r="AD30" i="14" a="1"/>
  <c r="AD30" i="14" s="1"/>
  <c r="AP30" i="14" a="1"/>
  <c r="AP30" i="14" s="1"/>
  <c r="BC30" i="14" a="1"/>
  <c r="BC30" i="14" s="1"/>
  <c r="BI30" i="14" a="1"/>
  <c r="BI30" i="14" s="1"/>
  <c r="BO30" i="14" a="1"/>
  <c r="BO30" i="14" s="1"/>
  <c r="BT30" i="14" a="1"/>
  <c r="BT30" i="14" s="1"/>
  <c r="CA30" i="14" a="1"/>
  <c r="CA30" i="14" s="1"/>
  <c r="CF30" i="14" a="1"/>
  <c r="CF30" i="14" s="1"/>
  <c r="CL30" i="14" a="1"/>
  <c r="CL30" i="14" s="1"/>
  <c r="CR30" i="14" a="1"/>
  <c r="CR30" i="14" s="1"/>
  <c r="F30" i="14" a="1"/>
  <c r="F30" i="14" s="1"/>
  <c r="L30" i="14" a="1"/>
  <c r="L30" i="14" s="1"/>
  <c r="R30" i="14" a="1"/>
  <c r="R30" i="14" s="1"/>
  <c r="AK30" i="14" a="1"/>
  <c r="AK30" i="14" s="1"/>
  <c r="AQ30" i="14" a="1"/>
  <c r="AQ30" i="14" s="1"/>
  <c r="AW30" i="14" a="1"/>
  <c r="AW30" i="14" s="1"/>
  <c r="BD30" i="14" a="1"/>
  <c r="BD30" i="14" s="1"/>
  <c r="BJ30" i="14" a="1"/>
  <c r="BJ30" i="14" s="1"/>
  <c r="BP30" i="14" a="1"/>
  <c r="BP30" i="14" s="1"/>
  <c r="BU30" i="14" a="1"/>
  <c r="BU30" i="14" s="1"/>
  <c r="CG30" i="14" a="1"/>
  <c r="CG30" i="14" s="1"/>
  <c r="CM30" i="14" a="1"/>
  <c r="CM30" i="14" s="1"/>
  <c r="G30" i="14" a="1"/>
  <c r="G30" i="14" s="1"/>
  <c r="N30" i="14" a="1"/>
  <c r="N30" i="14" s="1"/>
  <c r="S30" i="14" a="1"/>
  <c r="S30" i="14" s="1"/>
  <c r="Z30" i="14" a="1"/>
  <c r="Z30" i="14" s="1"/>
  <c r="AF30" i="14" a="1"/>
  <c r="AF30" i="14" s="1"/>
  <c r="AS30" i="14" a="1"/>
  <c r="AS30" i="14" s="1"/>
  <c r="BE30" i="14" a="1"/>
  <c r="BE30" i="14" s="1"/>
  <c r="BK30" i="14" a="1"/>
  <c r="BK30" i="14" s="1"/>
  <c r="BQ30" i="14" a="1"/>
  <c r="BQ30" i="14" s="1"/>
  <c r="BW30" i="14" a="1"/>
  <c r="BW30" i="14" s="1"/>
  <c r="CI30" i="14" a="1"/>
  <c r="CI30" i="14" s="1"/>
  <c r="CN30" i="14" a="1"/>
  <c r="CN30" i="14" s="1"/>
  <c r="O30" i="14" a="1"/>
  <c r="O30" i="14" s="1"/>
  <c r="T30" i="14" a="1"/>
  <c r="T30" i="14" s="1"/>
  <c r="AA30" i="14" a="1"/>
  <c r="AA30" i="14" s="1"/>
  <c r="AG30" i="14" a="1"/>
  <c r="AG30" i="14" s="1"/>
  <c r="AM30" i="14" a="1"/>
  <c r="AM30" i="14" s="1"/>
  <c r="AT30" i="14" a="1"/>
  <c r="AT30" i="14" s="1"/>
  <c r="AY30" i="14" a="1"/>
  <c r="AY30" i="14" s="1"/>
  <c r="BF30" i="14" a="1"/>
  <c r="BF30" i="14" s="1"/>
  <c r="BL30" i="14" a="1"/>
  <c r="BL30" i="14" s="1"/>
  <c r="BR30" i="14" a="1"/>
  <c r="BR30" i="14" s="1"/>
  <c r="BX30" i="14" a="1"/>
  <c r="BX30" i="14" s="1"/>
  <c r="CC30" i="14" a="1"/>
  <c r="CC30" i="14" s="1"/>
  <c r="CO30" i="14" a="1"/>
  <c r="CO30" i="14" s="1"/>
  <c r="D30" i="14" a="1"/>
  <c r="D30" i="14" s="1"/>
  <c r="I30" i="14" a="1"/>
  <c r="I30" i="14" s="1"/>
  <c r="P30" i="14" a="1"/>
  <c r="P30" i="14" s="1"/>
  <c r="V30" i="14" a="1"/>
  <c r="V30" i="14" s="1"/>
  <c r="AB30" i="14" a="1"/>
  <c r="AB30" i="14" s="1"/>
  <c r="AI30" i="14" a="1"/>
  <c r="AI30" i="14" s="1"/>
  <c r="AN30" i="14" a="1"/>
  <c r="AN30" i="14" s="1"/>
  <c r="BA30" i="14" a="1"/>
  <c r="BA30" i="14" s="1"/>
  <c r="BM30" i="14" a="1"/>
  <c r="BM30" i="14" s="1"/>
  <c r="BS30" i="14" a="1"/>
  <c r="BS30" i="14" s="1"/>
  <c r="BZ30" i="14" a="1"/>
  <c r="BZ30" i="14" s="1"/>
  <c r="U30" i="14" a="1"/>
  <c r="U30" i="14" s="1"/>
  <c r="AL30" i="14" a="1"/>
  <c r="AL30" i="14" s="1"/>
  <c r="BB30" i="14" a="1"/>
  <c r="BB30" i="14" s="1"/>
  <c r="CH30" i="14" a="1"/>
  <c r="CH30" i="14" s="1"/>
  <c r="W30" i="14" a="1"/>
  <c r="W30" i="14" s="1"/>
  <c r="CJ30" i="14" a="1"/>
  <c r="CJ30" i="14" s="1"/>
  <c r="H30" i="14" a="1"/>
  <c r="H30" i="14" s="1"/>
  <c r="Y30" i="14" a="1"/>
  <c r="Y30" i="14" s="1"/>
  <c r="AO30" i="14" a="1"/>
  <c r="AO30" i="14" s="1"/>
  <c r="BG30" i="14" a="1"/>
  <c r="BG30" i="14" s="1"/>
  <c r="BV30" i="14" a="1"/>
  <c r="BV30" i="14" s="1"/>
  <c r="CK30" i="14" a="1"/>
  <c r="CK30" i="14" s="1"/>
  <c r="J30" i="14" a="1"/>
  <c r="J30" i="14" s="1"/>
  <c r="AR30" i="14" a="1"/>
  <c r="AR30" i="14" s="1"/>
  <c r="BH30" i="14" a="1"/>
  <c r="BH30" i="14" s="1"/>
  <c r="BY30" i="14" a="1"/>
  <c r="BY30" i="14" s="1"/>
  <c r="M30" i="14" a="1"/>
  <c r="M30" i="14" s="1"/>
  <c r="AC30" i="14" a="1"/>
  <c r="AC30" i="14" s="1"/>
  <c r="AU30" i="14" a="1"/>
  <c r="AU30" i="14" s="1"/>
  <c r="CP30" i="14" a="1"/>
  <c r="CP30" i="14" s="1"/>
  <c r="AE30" i="14" a="1"/>
  <c r="AE30" i="14" s="1"/>
  <c r="AV30" i="14" a="1"/>
  <c r="AV30" i="14" s="1"/>
  <c r="CB30" i="14" a="1"/>
  <c r="CB30" i="14" s="1"/>
  <c r="CQ30" i="14" a="1"/>
  <c r="CQ30" i="14" s="1"/>
  <c r="C30" i="14" a="1"/>
  <c r="C30" i="14" s="1"/>
  <c r="AJ30" i="14" a="1"/>
  <c r="AJ30" i="14" s="1"/>
  <c r="AZ30" i="14" a="1"/>
  <c r="AZ30" i="14" s="1"/>
  <c r="CE30" i="14" a="1"/>
  <c r="CE30" i="14" s="1"/>
  <c r="AH30" i="14" a="1"/>
  <c r="AH30" i="14" s="1"/>
  <c r="AX30" i="14" a="1"/>
  <c r="AX30" i="14" s="1"/>
  <c r="BN30" i="14" a="1"/>
  <c r="BN30" i="14" s="1"/>
  <c r="CD30" i="14" a="1"/>
  <c r="CD30" i="14" s="1"/>
  <c r="CS30" i="14" a="1"/>
  <c r="CS30" i="14" s="1"/>
  <c r="B38" i="14" a="1"/>
  <c r="B38" i="14" s="1"/>
  <c r="F38" i="14" a="1"/>
  <c r="F38" i="14" s="1"/>
  <c r="K38" i="14" a="1"/>
  <c r="K38" i="14" s="1"/>
  <c r="V38" i="14" a="1"/>
  <c r="V38" i="14" s="1"/>
  <c r="AA38" i="14" a="1"/>
  <c r="AA38" i="14" s="1"/>
  <c r="AL38" i="14" a="1"/>
  <c r="AL38" i="14" s="1"/>
  <c r="AQ38" i="14" a="1"/>
  <c r="AQ38" i="14" s="1"/>
  <c r="BB38" i="14" a="1"/>
  <c r="BB38" i="14" s="1"/>
  <c r="BG38" i="14" a="1"/>
  <c r="BG38" i="14" s="1"/>
  <c r="BR38" i="14" a="1"/>
  <c r="BR38" i="14" s="1"/>
  <c r="BW38" i="14" a="1"/>
  <c r="BW38" i="14" s="1"/>
  <c r="CH38" i="14" a="1"/>
  <c r="CH38" i="14" s="1"/>
  <c r="CN38" i="14" a="1"/>
  <c r="CN38" i="14" s="1"/>
  <c r="L38" i="14" a="1"/>
  <c r="L38" i="14" s="1"/>
  <c r="Q38" i="14" a="1"/>
  <c r="Q38" i="14" s="1"/>
  <c r="AB38" i="14" a="1"/>
  <c r="AB38" i="14" s="1"/>
  <c r="AG38" i="14" a="1"/>
  <c r="AG38" i="14" s="1"/>
  <c r="AR38" i="14" a="1"/>
  <c r="AR38" i="14" s="1"/>
  <c r="AW38" i="14" a="1"/>
  <c r="AW38" i="14" s="1"/>
  <c r="BH38" i="14" a="1"/>
  <c r="BH38" i="14" s="1"/>
  <c r="BM38" i="14" a="1"/>
  <c r="BM38" i="14" s="1"/>
  <c r="BX38" i="14" a="1"/>
  <c r="BX38" i="14" s="1"/>
  <c r="CC38" i="14" a="1"/>
  <c r="CC38" i="14" s="1"/>
  <c r="CO38" i="14" a="1"/>
  <c r="CO38" i="14" s="1"/>
  <c r="G38" i="14" a="1"/>
  <c r="G38" i="14" s="1"/>
  <c r="R38" i="14" a="1"/>
  <c r="R38" i="14" s="1"/>
  <c r="W38" i="14" a="1"/>
  <c r="W38" i="14" s="1"/>
  <c r="AH38" i="14" a="1"/>
  <c r="AH38" i="14" s="1"/>
  <c r="AM38" i="14" a="1"/>
  <c r="AM38" i="14" s="1"/>
  <c r="AX38" i="14" a="1"/>
  <c r="AX38" i="14" s="1"/>
  <c r="BC38" i="14" a="1"/>
  <c r="BC38" i="14" s="1"/>
  <c r="BN38" i="14" a="1"/>
  <c r="BN38" i="14" s="1"/>
  <c r="BS38" i="14" a="1"/>
  <c r="BS38" i="14" s="1"/>
  <c r="CD38" i="14" a="1"/>
  <c r="CD38" i="14" s="1"/>
  <c r="CI38" i="14" a="1"/>
  <c r="CI38" i="14" s="1"/>
  <c r="CP38" i="14" a="1"/>
  <c r="CP38" i="14" s="1"/>
  <c r="H38" i="14" a="1"/>
  <c r="H38" i="14" s="1"/>
  <c r="M38" i="14" a="1"/>
  <c r="M38" i="14" s="1"/>
  <c r="X38" i="14" a="1"/>
  <c r="X38" i="14" s="1"/>
  <c r="AC38" i="14" a="1"/>
  <c r="AC38" i="14" s="1"/>
  <c r="AN38" i="14" a="1"/>
  <c r="AN38" i="14" s="1"/>
  <c r="AS38" i="14" a="1"/>
  <c r="AS38" i="14" s="1"/>
  <c r="BD38" i="14" a="1"/>
  <c r="BD38" i="14" s="1"/>
  <c r="BI38" i="14" a="1"/>
  <c r="BI38" i="14" s="1"/>
  <c r="BT38" i="14" a="1"/>
  <c r="BT38" i="14" s="1"/>
  <c r="BY38" i="14" a="1"/>
  <c r="BY38" i="14" s="1"/>
  <c r="CJ38" i="14" a="1"/>
  <c r="CJ38" i="14" s="1"/>
  <c r="C38" i="14" a="1"/>
  <c r="C38" i="14" s="1"/>
  <c r="N38" i="14" a="1"/>
  <c r="N38" i="14" s="1"/>
  <c r="S38" i="14" a="1"/>
  <c r="S38" i="14" s="1"/>
  <c r="AD38" i="14" a="1"/>
  <c r="AD38" i="14" s="1"/>
  <c r="AI38" i="14" a="1"/>
  <c r="AI38" i="14" s="1"/>
  <c r="AT38" i="14" a="1"/>
  <c r="AT38" i="14" s="1"/>
  <c r="AY38" i="14" a="1"/>
  <c r="AY38" i="14" s="1"/>
  <c r="BJ38" i="14" a="1"/>
  <c r="BJ38" i="14" s="1"/>
  <c r="BO38" i="14" a="1"/>
  <c r="BO38" i="14" s="1"/>
  <c r="BZ38" i="14" a="1"/>
  <c r="BZ38" i="14" s="1"/>
  <c r="CE38" i="14" a="1"/>
  <c r="CE38" i="14" s="1"/>
  <c r="CK38" i="14" a="1"/>
  <c r="CK38" i="14" s="1"/>
  <c r="CQ38" i="14" a="1"/>
  <c r="CQ38" i="14" s="1"/>
  <c r="D38" i="14" a="1"/>
  <c r="D38" i="14" s="1"/>
  <c r="I38" i="14" a="1"/>
  <c r="I38" i="14" s="1"/>
  <c r="T38" i="14" a="1"/>
  <c r="T38" i="14" s="1"/>
  <c r="Y38" i="14" a="1"/>
  <c r="Y38" i="14" s="1"/>
  <c r="AJ38" i="14" a="1"/>
  <c r="AJ38" i="14" s="1"/>
  <c r="AO38" i="14" a="1"/>
  <c r="AO38" i="14" s="1"/>
  <c r="AZ38" i="14" a="1"/>
  <c r="AZ38" i="14" s="1"/>
  <c r="BE38" i="14" a="1"/>
  <c r="BE38" i="14" s="1"/>
  <c r="BP38" i="14" a="1"/>
  <c r="BP38" i="14" s="1"/>
  <c r="BU38" i="14" a="1"/>
  <c r="BU38" i="14" s="1"/>
  <c r="CF38" i="14" a="1"/>
  <c r="CF38" i="14" s="1"/>
  <c r="CL38" i="14" a="1"/>
  <c r="CL38" i="14" s="1"/>
  <c r="CR38" i="14" a="1"/>
  <c r="CR38" i="14" s="1"/>
  <c r="J38" i="14" a="1"/>
  <c r="J38" i="14" s="1"/>
  <c r="AE38" i="14" a="1"/>
  <c r="AE38" i="14" s="1"/>
  <c r="BV38" i="14" a="1"/>
  <c r="BV38" i="14" s="1"/>
  <c r="CS38" i="14" a="1"/>
  <c r="CS38" i="14" s="1"/>
  <c r="AF38" i="14" a="1"/>
  <c r="AF38" i="14" s="1"/>
  <c r="BA38" i="14" a="1"/>
  <c r="BA38" i="14" s="1"/>
  <c r="O38" i="14" a="1"/>
  <c r="O38" i="14" s="1"/>
  <c r="BF38" i="14" a="1"/>
  <c r="BF38" i="14" s="1"/>
  <c r="CA38" i="14" a="1"/>
  <c r="CA38" i="14" s="1"/>
  <c r="P38" i="14" a="1"/>
  <c r="P38" i="14" s="1"/>
  <c r="AK38" i="14" a="1"/>
  <c r="AK38" i="14" s="1"/>
  <c r="CB38" i="14" a="1"/>
  <c r="CB38" i="14" s="1"/>
  <c r="AP38" i="14" a="1"/>
  <c r="AP38" i="14" s="1"/>
  <c r="BK38" i="14" a="1"/>
  <c r="BK38" i="14" s="1"/>
  <c r="U38" i="14" a="1"/>
  <c r="U38" i="14" s="1"/>
  <c r="BL38" i="14" a="1"/>
  <c r="BL38" i="14" s="1"/>
  <c r="CG38" i="14" a="1"/>
  <c r="CG38" i="14" s="1"/>
  <c r="Z38" i="14" a="1"/>
  <c r="Z38" i="14" s="1"/>
  <c r="AU38" i="14" a="1"/>
  <c r="AU38" i="14" s="1"/>
  <c r="E38" i="14" a="1"/>
  <c r="E38" i="14" s="1"/>
  <c r="AV38" i="14" a="1"/>
  <c r="AV38" i="14" s="1"/>
  <c r="BQ38" i="14" a="1"/>
  <c r="BQ38" i="14" s="1"/>
  <c r="CM38" i="14" a="1"/>
  <c r="CM38" i="14" s="1"/>
  <c r="B5" i="14" a="1"/>
  <c r="B5" i="14" s="1"/>
  <c r="E9" i="7" a="1"/>
  <c r="E9" i="7" s="1"/>
  <c r="F9" i="7" a="1"/>
  <c r="F9" i="7" s="1"/>
  <c r="C9" i="7" a="1"/>
  <c r="C9" i="7" s="1"/>
  <c r="D9" i="7" a="1"/>
  <c r="D9" i="7" s="1"/>
  <c r="E7" i="7" a="1"/>
  <c r="E7" i="7" s="1"/>
  <c r="K7" i="7" a="1"/>
  <c r="K7" i="7" s="1"/>
  <c r="X7" i="7" a="1"/>
  <c r="X7" i="7" s="1"/>
  <c r="AD7" i="7" a="1"/>
  <c r="AD7" i="7" s="1"/>
  <c r="AI7" i="7" a="1"/>
  <c r="AI7" i="7" s="1"/>
  <c r="AN7" i="7" a="1"/>
  <c r="AN7" i="7" s="1"/>
  <c r="AT7" i="7" a="1"/>
  <c r="AT7" i="7" s="1"/>
  <c r="AZ7" i="7" a="1"/>
  <c r="AZ7" i="7" s="1"/>
  <c r="BF7" i="7" a="1"/>
  <c r="BF7" i="7" s="1"/>
  <c r="BL7" i="7" a="1"/>
  <c r="BL7" i="7" s="1"/>
  <c r="BQ7" i="7" a="1"/>
  <c r="BQ7" i="7" s="1"/>
  <c r="CC7" i="7" a="1"/>
  <c r="CC7" i="7" s="1"/>
  <c r="CI7" i="7" a="1"/>
  <c r="CI7" i="7" s="1"/>
  <c r="CN7" i="7" a="1"/>
  <c r="CN7" i="7" s="1"/>
  <c r="F7" i="7" a="1"/>
  <c r="F7" i="7" s="1"/>
  <c r="L7" i="7" a="1"/>
  <c r="L7" i="7" s="1"/>
  <c r="S7" i="7" a="1"/>
  <c r="S7" i="7" s="1"/>
  <c r="AO7" i="7" a="1"/>
  <c r="AO7" i="7" s="1"/>
  <c r="AU7" i="7" a="1"/>
  <c r="AU7" i="7" s="1"/>
  <c r="BM7" i="7" a="1"/>
  <c r="BM7" i="7" s="1"/>
  <c r="BR7" i="7" a="1"/>
  <c r="BR7" i="7" s="1"/>
  <c r="BX7" i="7" a="1"/>
  <c r="BX7" i="7" s="1"/>
  <c r="CD7" i="7" a="1"/>
  <c r="CD7" i="7" s="1"/>
  <c r="CJ7" i="7" a="1"/>
  <c r="CJ7" i="7" s="1"/>
  <c r="CO7" i="7" a="1"/>
  <c r="CO7" i="7" s="1"/>
  <c r="G7" i="7" a="1"/>
  <c r="G7" i="7" s="1"/>
  <c r="M7" i="7" a="1"/>
  <c r="M7" i="7" s="1"/>
  <c r="Y7" i="7" a="1"/>
  <c r="Y7" i="7" s="1"/>
  <c r="AE7" i="7" a="1"/>
  <c r="AE7" i="7" s="1"/>
  <c r="AJ7" i="7" a="1"/>
  <c r="AJ7" i="7" s="1"/>
  <c r="AP7" i="7" a="1"/>
  <c r="AP7" i="7" s="1"/>
  <c r="BA7" i="7" a="1"/>
  <c r="BA7" i="7" s="1"/>
  <c r="BG7" i="7" a="1"/>
  <c r="BG7" i="7" s="1"/>
  <c r="BN7" i="7" a="1"/>
  <c r="BN7" i="7" s="1"/>
  <c r="CP7" i="7" a="1"/>
  <c r="CP7" i="7" s="1"/>
  <c r="N7" i="7" a="1"/>
  <c r="N7" i="7" s="1"/>
  <c r="T7" i="7" a="1"/>
  <c r="T7" i="7" s="1"/>
  <c r="Z7" i="7" a="1"/>
  <c r="Z7" i="7" s="1"/>
  <c r="AQ7" i="7" a="1"/>
  <c r="AQ7" i="7" s="1"/>
  <c r="AV7" i="7" a="1"/>
  <c r="AV7" i="7" s="1"/>
  <c r="BB7" i="7" a="1"/>
  <c r="BB7" i="7" s="1"/>
  <c r="BS7" i="7" a="1"/>
  <c r="BS7" i="7" s="1"/>
  <c r="BY7" i="7" a="1"/>
  <c r="BY7" i="7" s="1"/>
  <c r="CE7" i="7" a="1"/>
  <c r="CE7" i="7" s="1"/>
  <c r="CK7" i="7" a="1"/>
  <c r="CK7" i="7" s="1"/>
  <c r="CQ7" i="7" a="1"/>
  <c r="CQ7" i="7" s="1"/>
  <c r="C7" i="7" a="1"/>
  <c r="C7" i="7" s="1"/>
  <c r="I7" i="7" a="1"/>
  <c r="I7" i="7" s="1"/>
  <c r="P7" i="7" a="1"/>
  <c r="P7" i="7" s="1"/>
  <c r="U7" i="7" a="1"/>
  <c r="U7" i="7" s="1"/>
  <c r="AB7" i="7" a="1"/>
  <c r="AB7" i="7" s="1"/>
  <c r="AG7" i="7" a="1"/>
  <c r="AG7" i="7" s="1"/>
  <c r="AL7" i="7" a="1"/>
  <c r="AL7" i="7" s="1"/>
  <c r="AR7" i="7" a="1"/>
  <c r="AR7" i="7" s="1"/>
  <c r="AX7" i="7" a="1"/>
  <c r="AX7" i="7" s="1"/>
  <c r="BD7" i="7" a="1"/>
  <c r="BD7" i="7" s="1"/>
  <c r="BI7" i="7" a="1"/>
  <c r="BI7" i="7" s="1"/>
  <c r="BU7" i="7" a="1"/>
  <c r="BU7" i="7" s="1"/>
  <c r="CA7" i="7" a="1"/>
  <c r="CA7" i="7" s="1"/>
  <c r="CS7" i="7" a="1"/>
  <c r="CS7" i="7" s="1"/>
  <c r="D7" i="7" a="1"/>
  <c r="D7" i="7" s="1"/>
  <c r="J7" i="7" a="1"/>
  <c r="J7" i="7" s="1"/>
  <c r="Q7" i="7" a="1"/>
  <c r="Q7" i="7" s="1"/>
  <c r="V7" i="7" a="1"/>
  <c r="V7" i="7" s="1"/>
  <c r="AH7" i="7" a="1"/>
  <c r="AH7" i="7" s="1"/>
  <c r="BJ7" i="7" a="1"/>
  <c r="BJ7" i="7" s="1"/>
  <c r="BP7" i="7" a="1"/>
  <c r="BP7" i="7" s="1"/>
  <c r="BV7" i="7" a="1"/>
  <c r="BV7" i="7" s="1"/>
  <c r="CG7" i="7" a="1"/>
  <c r="CG7" i="7" s="1"/>
  <c r="CM7" i="7" a="1"/>
  <c r="CM7" i="7" s="1"/>
  <c r="R7" i="7" a="1"/>
  <c r="R7" i="7" s="1"/>
  <c r="W7" i="7" a="1"/>
  <c r="W7" i="7" s="1"/>
  <c r="AC7" i="7" a="1"/>
  <c r="AC7" i="7" s="1"/>
  <c r="AM7" i="7" a="1"/>
  <c r="AM7" i="7" s="1"/>
  <c r="AS7" i="7" a="1"/>
  <c r="AS7" i="7" s="1"/>
  <c r="AY7" i="7" a="1"/>
  <c r="AY7" i="7" s="1"/>
  <c r="BE7" i="7" a="1"/>
  <c r="BE7" i="7" s="1"/>
  <c r="BK7" i="7" a="1"/>
  <c r="BK7" i="7" s="1"/>
  <c r="BW7" i="7" a="1"/>
  <c r="BW7" i="7" s="1"/>
  <c r="CB7" i="7" a="1"/>
  <c r="CB7" i="7" s="1"/>
  <c r="CH7" i="7" a="1"/>
  <c r="CH7" i="7" s="1"/>
  <c r="BO7" i="7" a="1"/>
  <c r="BO7" i="7" s="1"/>
  <c r="CL7" i="7" a="1"/>
  <c r="CL7" i="7" s="1"/>
  <c r="AW7" i="7" a="1"/>
  <c r="AW7" i="7" s="1"/>
  <c r="CR7" i="7" a="1"/>
  <c r="CR7" i="7" s="1"/>
  <c r="H7" i="7" a="1"/>
  <c r="H7" i="7" s="1"/>
  <c r="BC7" i="7" a="1"/>
  <c r="BC7" i="7" s="1"/>
  <c r="O7" i="7" a="1"/>
  <c r="O7" i="7" s="1"/>
  <c r="AF7" i="7" a="1"/>
  <c r="AF7" i="7" s="1"/>
  <c r="BH7" i="7" a="1"/>
  <c r="BH7" i="7" s="1"/>
  <c r="BT7" i="7" a="1"/>
  <c r="BT7" i="7" s="1"/>
  <c r="BZ7" i="7" a="1"/>
  <c r="BZ7" i="7" s="1"/>
  <c r="AA7" i="7" a="1"/>
  <c r="AA7" i="7" s="1"/>
  <c r="AK7" i="7" a="1"/>
  <c r="AK7" i="7" s="1"/>
  <c r="CF7" i="7" a="1"/>
  <c r="CF7" i="7" s="1"/>
  <c r="B7" i="7" a="1"/>
  <c r="B7" i="7" s="1"/>
  <c r="C17" i="7" a="1"/>
  <c r="C17" i="7" s="1"/>
  <c r="I17" i="7" a="1"/>
  <c r="I17" i="7" s="1"/>
  <c r="O17" i="7" a="1"/>
  <c r="O17" i="7" s="1"/>
  <c r="T17" i="7" a="1"/>
  <c r="T17" i="7" s="1"/>
  <c r="AA17" i="7" a="1"/>
  <c r="AA17" i="7" s="1"/>
  <c r="AF17" i="7" a="1"/>
  <c r="AF17" i="7" s="1"/>
  <c r="AL17" i="7" a="1"/>
  <c r="AL17" i="7" s="1"/>
  <c r="AQ17" i="7" a="1"/>
  <c r="AQ17" i="7" s="1"/>
  <c r="AW17" i="7" a="1"/>
  <c r="AW17" i="7" s="1"/>
  <c r="BC17" i="7" a="1"/>
  <c r="BC17" i="7" s="1"/>
  <c r="BI17" i="7" a="1"/>
  <c r="BI17" i="7" s="1"/>
  <c r="BS17" i="7" a="1"/>
  <c r="BS17" i="7" s="1"/>
  <c r="BX17" i="7" a="1"/>
  <c r="BX17" i="7" s="1"/>
  <c r="CK17" i="7" a="1"/>
  <c r="CK17" i="7" s="1"/>
  <c r="CQ17" i="7" a="1"/>
  <c r="CQ17" i="7" s="1"/>
  <c r="G17" i="7" a="1"/>
  <c r="G17" i="7" s="1"/>
  <c r="S17" i="7" a="1"/>
  <c r="S17" i="7" s="1"/>
  <c r="AG17" i="7" a="1"/>
  <c r="AG17" i="7" s="1"/>
  <c r="AN17" i="7" a="1"/>
  <c r="AN17" i="7" s="1"/>
  <c r="AT17" i="7" a="1"/>
  <c r="AT17" i="7" s="1"/>
  <c r="AZ17" i="7" a="1"/>
  <c r="AZ17" i="7" s="1"/>
  <c r="BG17" i="7" a="1"/>
  <c r="BG17" i="7" s="1"/>
  <c r="BM17" i="7" a="1"/>
  <c r="BM17" i="7" s="1"/>
  <c r="BZ17" i="7" a="1"/>
  <c r="BZ17" i="7" s="1"/>
  <c r="CF17" i="7" a="1"/>
  <c r="CF17" i="7" s="1"/>
  <c r="F17" i="7" a="1"/>
  <c r="F17" i="7" s="1"/>
  <c r="N17" i="7" a="1"/>
  <c r="N17" i="7" s="1"/>
  <c r="V17" i="7" a="1"/>
  <c r="V17" i="7" s="1"/>
  <c r="AK17" i="7" a="1"/>
  <c r="AK17" i="7" s="1"/>
  <c r="AR17" i="7" a="1"/>
  <c r="AR17" i="7" s="1"/>
  <c r="AY17" i="7" a="1"/>
  <c r="AY17" i="7" s="1"/>
  <c r="BF17" i="7" a="1"/>
  <c r="BF17" i="7" s="1"/>
  <c r="BN17" i="7" a="1"/>
  <c r="BN17" i="7" s="1"/>
  <c r="CB17" i="7" a="1"/>
  <c r="CB17" i="7" s="1"/>
  <c r="CJ17" i="7" a="1"/>
  <c r="CJ17" i="7" s="1"/>
  <c r="CR17" i="7" a="1"/>
  <c r="CR17" i="7" s="1"/>
  <c r="P17" i="7" a="1"/>
  <c r="P17" i="7" s="1"/>
  <c r="AE17" i="7" a="1"/>
  <c r="AE17" i="7" s="1"/>
  <c r="AM17" i="7" a="1"/>
  <c r="AM17" i="7" s="1"/>
  <c r="BA17" i="7" a="1"/>
  <c r="BA17" i="7" s="1"/>
  <c r="BP17" i="7" a="1"/>
  <c r="BP17" i="7" s="1"/>
  <c r="BV17" i="7" a="1"/>
  <c r="BV17" i="7" s="1"/>
  <c r="CC17" i="7" a="1"/>
  <c r="CC17" i="7" s="1"/>
  <c r="CM17" i="7" a="1"/>
  <c r="CM17" i="7" s="1"/>
  <c r="E17" i="7" a="1"/>
  <c r="E17" i="7" s="1"/>
  <c r="L17" i="7" a="1"/>
  <c r="L17" i="7" s="1"/>
  <c r="R17" i="7" a="1"/>
  <c r="R17" i="7" s="1"/>
  <c r="AB17" i="7" a="1"/>
  <c r="AB17" i="7" s="1"/>
  <c r="AI17" i="7" a="1"/>
  <c r="AI17" i="7" s="1"/>
  <c r="BL17" i="7" a="1"/>
  <c r="BL17" i="7" s="1"/>
  <c r="BR17" i="7" a="1"/>
  <c r="BR17" i="7" s="1"/>
  <c r="CA17" i="7" a="1"/>
  <c r="CA17" i="7" s="1"/>
  <c r="CH17" i="7" a="1"/>
  <c r="CH17" i="7" s="1"/>
  <c r="CP17" i="7" a="1"/>
  <c r="CP17" i="7" s="1"/>
  <c r="Q17" i="7" a="1"/>
  <c r="Q17" i="7" s="1"/>
  <c r="AD17" i="7" a="1"/>
  <c r="AD17" i="7" s="1"/>
  <c r="AO17" i="7" a="1"/>
  <c r="AO17" i="7" s="1"/>
  <c r="BB17" i="7" a="1"/>
  <c r="BB17" i="7" s="1"/>
  <c r="CL17" i="7" a="1"/>
  <c r="CL17" i="7" s="1"/>
  <c r="H17" i="7" a="1"/>
  <c r="H17" i="7" s="1"/>
  <c r="AP17" i="7" a="1"/>
  <c r="AP17" i="7" s="1"/>
  <c r="BO17" i="7" a="1"/>
  <c r="BO17" i="7" s="1"/>
  <c r="BY17" i="7" a="1"/>
  <c r="BY17" i="7" s="1"/>
  <c r="CN17" i="7" a="1"/>
  <c r="CN17" i="7" s="1"/>
  <c r="X17" i="7" a="1"/>
  <c r="X17" i="7" s="1"/>
  <c r="AJ17" i="7" a="1"/>
  <c r="AJ17" i="7" s="1"/>
  <c r="BH17" i="7" a="1"/>
  <c r="BH17" i="7" s="1"/>
  <c r="CD17" i="7" a="1"/>
  <c r="CD17" i="7" s="1"/>
  <c r="M17" i="7" a="1"/>
  <c r="M17" i="7" s="1"/>
  <c r="Y17" i="7" a="1"/>
  <c r="Y17" i="7" s="1"/>
  <c r="AV17" i="7" a="1"/>
  <c r="AV17" i="7" s="1"/>
  <c r="BJ17" i="7" a="1"/>
  <c r="BJ17" i="7" s="1"/>
  <c r="BT17" i="7" a="1"/>
  <c r="BT17" i="7" s="1"/>
  <c r="CE17" i="7" a="1"/>
  <c r="CE17" i="7" s="1"/>
  <c r="CS17" i="7" a="1"/>
  <c r="CS17" i="7" s="1"/>
  <c r="Z17" i="7" a="1"/>
  <c r="Z17" i="7" s="1"/>
  <c r="AX17" i="7" a="1"/>
  <c r="AX17" i="7" s="1"/>
  <c r="BK17" i="7" a="1"/>
  <c r="BK17" i="7" s="1"/>
  <c r="BU17" i="7" a="1"/>
  <c r="BU17" i="7" s="1"/>
  <c r="CG17" i="7" a="1"/>
  <c r="CG17" i="7" s="1"/>
  <c r="D17" i="7" a="1"/>
  <c r="D17" i="7" s="1"/>
  <c r="AH17" i="7" a="1"/>
  <c r="AH17" i="7" s="1"/>
  <c r="J17" i="7" a="1"/>
  <c r="J17" i="7" s="1"/>
  <c r="BQ17" i="7" a="1"/>
  <c r="BQ17" i="7" s="1"/>
  <c r="K17" i="7" a="1"/>
  <c r="K17" i="7" s="1"/>
  <c r="AS17" i="7" a="1"/>
  <c r="AS17" i="7" s="1"/>
  <c r="BW17" i="7" a="1"/>
  <c r="BW17" i="7" s="1"/>
  <c r="U17" i="7" a="1"/>
  <c r="U17" i="7" s="1"/>
  <c r="W17" i="7" a="1"/>
  <c r="W17" i="7" s="1"/>
  <c r="BD17" i="7" a="1"/>
  <c r="BD17" i="7" s="1"/>
  <c r="CI17" i="7" a="1"/>
  <c r="CI17" i="7" s="1"/>
  <c r="AC17" i="7" a="1"/>
  <c r="AC17" i="7" s="1"/>
  <c r="BE17" i="7" a="1"/>
  <c r="BE17" i="7" s="1"/>
  <c r="CO17" i="7" a="1"/>
  <c r="CO17" i="7" s="1"/>
  <c r="AU17" i="7" a="1"/>
  <c r="AU17" i="7" s="1"/>
  <c r="B17" i="7" a="1"/>
  <c r="B17" i="7" s="1"/>
  <c r="P33" i="7" a="1"/>
  <c r="P33" i="7" s="1"/>
  <c r="V33" i="7" a="1"/>
  <c r="V33" i="7" s="1"/>
  <c r="AB33" i="7" a="1"/>
  <c r="AB33" i="7" s="1"/>
  <c r="AH33" i="7" a="1"/>
  <c r="AH33" i="7" s="1"/>
  <c r="AN33" i="7" a="1"/>
  <c r="AN33" i="7" s="1"/>
  <c r="AZ33" i="7" a="1"/>
  <c r="AZ33" i="7" s="1"/>
  <c r="BE33" i="7" a="1"/>
  <c r="BE33" i="7" s="1"/>
  <c r="BK33" i="7" a="1"/>
  <c r="BK33" i="7" s="1"/>
  <c r="CB33" i="7" a="1"/>
  <c r="CB33" i="7" s="1"/>
  <c r="CH33" i="7" a="1"/>
  <c r="CH33" i="7" s="1"/>
  <c r="CN33" i="7" a="1"/>
  <c r="CN33" i="7" s="1"/>
  <c r="I33" i="7" a="1"/>
  <c r="I33" i="7" s="1"/>
  <c r="O33" i="7" a="1"/>
  <c r="O33" i="7" s="1"/>
  <c r="AC33" i="7" a="1"/>
  <c r="AC33" i="7" s="1"/>
  <c r="AQ33" i="7" a="1"/>
  <c r="AQ33" i="7" s="1"/>
  <c r="AV33" i="7" a="1"/>
  <c r="AV33" i="7" s="1"/>
  <c r="BC33" i="7" a="1"/>
  <c r="BC33" i="7" s="1"/>
  <c r="BP33" i="7" a="1"/>
  <c r="BP33" i="7" s="1"/>
  <c r="BX33" i="7" a="1"/>
  <c r="BX33" i="7" s="1"/>
  <c r="CD33" i="7" a="1"/>
  <c r="CD33" i="7" s="1"/>
  <c r="CQ33" i="7" a="1"/>
  <c r="CQ33" i="7" s="1"/>
  <c r="E33" i="7" a="1"/>
  <c r="E33" i="7" s="1"/>
  <c r="M33" i="7" a="1"/>
  <c r="M33" i="7" s="1"/>
  <c r="AJ33" i="7" a="1"/>
  <c r="AJ33" i="7" s="1"/>
  <c r="AR33" i="7" a="1"/>
  <c r="AR33" i="7" s="1"/>
  <c r="AY33" i="7" a="1"/>
  <c r="AY33" i="7" s="1"/>
  <c r="BG33" i="7" a="1"/>
  <c r="BG33" i="7" s="1"/>
  <c r="BN33" i="7" a="1"/>
  <c r="BN33" i="7" s="1"/>
  <c r="BV33" i="7" a="1"/>
  <c r="BV33" i="7" s="1"/>
  <c r="CC33" i="7" a="1"/>
  <c r="CC33" i="7" s="1"/>
  <c r="CK33" i="7" a="1"/>
  <c r="CK33" i="7" s="1"/>
  <c r="CS33" i="7" a="1"/>
  <c r="CS33" i="7" s="1"/>
  <c r="F33" i="7" a="1"/>
  <c r="F33" i="7" s="1"/>
  <c r="U33" i="7" a="1"/>
  <c r="U33" i="7" s="1"/>
  <c r="BO33" i="7" a="1"/>
  <c r="BO33" i="7" s="1"/>
  <c r="BW33" i="7" a="1"/>
  <c r="BW33" i="7" s="1"/>
  <c r="CE33" i="7" a="1"/>
  <c r="CE33" i="7" s="1"/>
  <c r="CL33" i="7" a="1"/>
  <c r="CL33" i="7" s="1"/>
  <c r="G33" i="7" a="1"/>
  <c r="G33" i="7" s="1"/>
  <c r="N33" i="7" a="1"/>
  <c r="N33" i="7" s="1"/>
  <c r="W33" i="7" a="1"/>
  <c r="W33" i="7" s="1"/>
  <c r="AD33" i="7" a="1"/>
  <c r="AD33" i="7" s="1"/>
  <c r="AK33" i="7" a="1"/>
  <c r="AK33" i="7" s="1"/>
  <c r="AS33" i="7" a="1"/>
  <c r="AS33" i="7" s="1"/>
  <c r="BA33" i="7" a="1"/>
  <c r="BA33" i="7" s="1"/>
  <c r="BH33" i="7" a="1"/>
  <c r="BH33" i="7" s="1"/>
  <c r="CF33" i="7" a="1"/>
  <c r="CF33" i="7" s="1"/>
  <c r="CM33" i="7" a="1"/>
  <c r="CM33" i="7" s="1"/>
  <c r="Y33" i="7" a="1"/>
  <c r="Y33" i="7" s="1"/>
  <c r="AL33" i="7" a="1"/>
  <c r="AL33" i="7" s="1"/>
  <c r="AW33" i="7" a="1"/>
  <c r="AW33" i="7" s="1"/>
  <c r="BJ33" i="7" a="1"/>
  <c r="BJ33" i="7" s="1"/>
  <c r="BU33" i="7" a="1"/>
  <c r="BU33" i="7" s="1"/>
  <c r="C33" i="7" a="1"/>
  <c r="C33" i="7" s="1"/>
  <c r="Z33" i="7" a="1"/>
  <c r="Z33" i="7" s="1"/>
  <c r="AM33" i="7" a="1"/>
  <c r="AM33" i="7" s="1"/>
  <c r="AX33" i="7" a="1"/>
  <c r="AX33" i="7" s="1"/>
  <c r="BL33" i="7" a="1"/>
  <c r="BL33" i="7" s="1"/>
  <c r="BY33" i="7" a="1"/>
  <c r="BY33" i="7" s="1"/>
  <c r="CI33" i="7" a="1"/>
  <c r="CI33" i="7" s="1"/>
  <c r="Q33" i="7" a="1"/>
  <c r="Q33" i="7" s="1"/>
  <c r="AA33" i="7" a="1"/>
  <c r="AA33" i="7" s="1"/>
  <c r="AO33" i="7" a="1"/>
  <c r="AO33" i="7" s="1"/>
  <c r="BM33" i="7" a="1"/>
  <c r="BM33" i="7" s="1"/>
  <c r="CJ33" i="7" a="1"/>
  <c r="CJ33" i="7" s="1"/>
  <c r="H33" i="7" a="1"/>
  <c r="H33" i="7" s="1"/>
  <c r="S33" i="7" a="1"/>
  <c r="S33" i="7" s="1"/>
  <c r="AF33" i="7" a="1"/>
  <c r="AF33" i="7" s="1"/>
  <c r="BD33" i="7" a="1"/>
  <c r="BD33" i="7" s="1"/>
  <c r="BQ33" i="7" a="1"/>
  <c r="BQ33" i="7" s="1"/>
  <c r="CA33" i="7" a="1"/>
  <c r="CA33" i="7" s="1"/>
  <c r="CO33" i="7" a="1"/>
  <c r="CO33" i="7" s="1"/>
  <c r="K33" i="7" a="1"/>
  <c r="K33" i="7" s="1"/>
  <c r="X33" i="7" a="1"/>
  <c r="X33" i="7" s="1"/>
  <c r="AU33" i="7" a="1"/>
  <c r="AU33" i="7" s="1"/>
  <c r="BF33" i="7" a="1"/>
  <c r="BF33" i="7" s="1"/>
  <c r="BS33" i="7" a="1"/>
  <c r="BS33" i="7" s="1"/>
  <c r="CP33" i="7" a="1"/>
  <c r="CP33" i="7" s="1"/>
  <c r="B33" i="7" a="1"/>
  <c r="B33" i="7" s="1"/>
  <c r="L33" i="7" a="1"/>
  <c r="L33" i="7" s="1"/>
  <c r="AI33" i="7" a="1"/>
  <c r="AI33" i="7" s="1"/>
  <c r="BI33" i="7" a="1"/>
  <c r="BI33" i="7" s="1"/>
  <c r="BT33" i="7" a="1"/>
  <c r="BT33" i="7" s="1"/>
  <c r="CG33" i="7" a="1"/>
  <c r="CG33" i="7" s="1"/>
  <c r="CR33" i="7" a="1"/>
  <c r="CR33" i="7" s="1"/>
  <c r="AE33" i="7" a="1"/>
  <c r="AE33" i="7" s="1"/>
  <c r="BZ33" i="7" a="1"/>
  <c r="BZ33" i="7" s="1"/>
  <c r="AG33" i="7" a="1"/>
  <c r="AG33" i="7" s="1"/>
  <c r="AP33" i="7" a="1"/>
  <c r="AP33" i="7" s="1"/>
  <c r="AT33" i="7" a="1"/>
  <c r="AT33" i="7" s="1"/>
  <c r="D33" i="7" a="1"/>
  <c r="D33" i="7" s="1"/>
  <c r="BB33" i="7" a="1"/>
  <c r="BB33" i="7" s="1"/>
  <c r="J33" i="7" a="1"/>
  <c r="J33" i="7" s="1"/>
  <c r="R33" i="7" a="1"/>
  <c r="R33" i="7" s="1"/>
  <c r="T33" i="7" a="1"/>
  <c r="T33" i="7" s="1"/>
  <c r="BR33" i="7" a="1"/>
  <c r="BR33" i="7" s="1"/>
  <c r="D32" i="7" a="1"/>
  <c r="D32" i="7" s="1"/>
  <c r="Q32" i="7" a="1"/>
  <c r="Q32" i="7" s="1"/>
  <c r="V32" i="7" a="1"/>
  <c r="V32" i="7" s="1"/>
  <c r="AB32" i="7" a="1"/>
  <c r="AB32" i="7" s="1"/>
  <c r="AH32" i="7" a="1"/>
  <c r="AH32" i="7" s="1"/>
  <c r="AN32" i="7" a="1"/>
  <c r="AN32" i="7" s="1"/>
  <c r="AT32" i="7" a="1"/>
  <c r="AT32" i="7" s="1"/>
  <c r="BL32" i="7" a="1"/>
  <c r="BL32" i="7" s="1"/>
  <c r="BX32" i="7" a="1"/>
  <c r="BX32" i="7" s="1"/>
  <c r="CE32" i="7" a="1"/>
  <c r="CE32" i="7" s="1"/>
  <c r="CJ32" i="7" a="1"/>
  <c r="CJ32" i="7" s="1"/>
  <c r="CP32" i="7" a="1"/>
  <c r="CP32" i="7" s="1"/>
  <c r="I32" i="7" a="1"/>
  <c r="I32" i="7" s="1"/>
  <c r="O32" i="7" a="1"/>
  <c r="O32" i="7" s="1"/>
  <c r="U32" i="7" a="1"/>
  <c r="U32" i="7" s="1"/>
  <c r="AC32" i="7" a="1"/>
  <c r="AC32" i="7" s="1"/>
  <c r="AP32" i="7" a="1"/>
  <c r="AP32" i="7" s="1"/>
  <c r="AV32" i="7" a="1"/>
  <c r="AV32" i="7" s="1"/>
  <c r="BC32" i="7" a="1"/>
  <c r="BC32" i="7" s="1"/>
  <c r="BJ32" i="7" a="1"/>
  <c r="BJ32" i="7" s="1"/>
  <c r="BR32" i="7" a="1"/>
  <c r="BR32" i="7" s="1"/>
  <c r="BY32" i="7" a="1"/>
  <c r="BY32" i="7" s="1"/>
  <c r="CF32" i="7" a="1"/>
  <c r="CF32" i="7" s="1"/>
  <c r="CS32" i="7" a="1"/>
  <c r="CS32" i="7" s="1"/>
  <c r="G32" i="7" a="1"/>
  <c r="G32" i="7" s="1"/>
  <c r="N32" i="7" a="1"/>
  <c r="N32" i="7" s="1"/>
  <c r="W32" i="7" a="1"/>
  <c r="W32" i="7" s="1"/>
  <c r="AL32" i="7" a="1"/>
  <c r="AL32" i="7" s="1"/>
  <c r="AS32" i="7" a="1"/>
  <c r="AS32" i="7" s="1"/>
  <c r="AZ32" i="7" a="1"/>
  <c r="AZ32" i="7" s="1"/>
  <c r="BH32" i="7" a="1"/>
  <c r="BH32" i="7" s="1"/>
  <c r="BZ32" i="7" a="1"/>
  <c r="BZ32" i="7" s="1"/>
  <c r="CG32" i="7" a="1"/>
  <c r="CG32" i="7" s="1"/>
  <c r="H32" i="7" a="1"/>
  <c r="H32" i="7" s="1"/>
  <c r="P32" i="7" a="1"/>
  <c r="P32" i="7" s="1"/>
  <c r="AE32" i="7" a="1"/>
  <c r="AE32" i="7" s="1"/>
  <c r="AM32" i="7" a="1"/>
  <c r="AM32" i="7" s="1"/>
  <c r="BA32" i="7" a="1"/>
  <c r="BA32" i="7" s="1"/>
  <c r="BI32" i="7" a="1"/>
  <c r="BI32" i="7" s="1"/>
  <c r="BS32" i="7" a="1"/>
  <c r="BS32" i="7" s="1"/>
  <c r="CH32" i="7" a="1"/>
  <c r="CH32" i="7" s="1"/>
  <c r="CO32" i="7" a="1"/>
  <c r="CO32" i="7" s="1"/>
  <c r="X32" i="7" a="1"/>
  <c r="X32" i="7" s="1"/>
  <c r="AF32" i="7" a="1"/>
  <c r="AF32" i="7" s="1"/>
  <c r="AU32" i="7" a="1"/>
  <c r="AU32" i="7" s="1"/>
  <c r="BB32" i="7" a="1"/>
  <c r="BB32" i="7" s="1"/>
  <c r="BK32" i="7" a="1"/>
  <c r="BK32" i="7" s="1"/>
  <c r="CA32" i="7" a="1"/>
  <c r="CA32" i="7" s="1"/>
  <c r="CI32" i="7" a="1"/>
  <c r="CI32" i="7" s="1"/>
  <c r="CQ32" i="7" a="1"/>
  <c r="CQ32" i="7" s="1"/>
  <c r="J32" i="7" a="1"/>
  <c r="J32" i="7" s="1"/>
  <c r="AR32" i="7" a="1"/>
  <c r="AR32" i="7" s="1"/>
  <c r="BF32" i="7" a="1"/>
  <c r="BF32" i="7" s="1"/>
  <c r="BT32" i="7" a="1"/>
  <c r="BT32" i="7" s="1"/>
  <c r="K32" i="7" a="1"/>
  <c r="K32" i="7" s="1"/>
  <c r="T32" i="7" a="1"/>
  <c r="T32" i="7" s="1"/>
  <c r="AI32" i="7" a="1"/>
  <c r="AI32" i="7" s="1"/>
  <c r="BG32" i="7" a="1"/>
  <c r="BG32" i="7" s="1"/>
  <c r="BU32" i="7" a="1"/>
  <c r="BU32" i="7" s="1"/>
  <c r="L32" i="7" a="1"/>
  <c r="L32" i="7" s="1"/>
  <c r="Z32" i="7" a="1"/>
  <c r="Z32" i="7" s="1"/>
  <c r="AK32" i="7" a="1"/>
  <c r="AK32" i="7" s="1"/>
  <c r="Y32" i="7" a="1"/>
  <c r="Y32" i="7" s="1"/>
  <c r="AJ32" i="7" a="1"/>
  <c r="AJ32" i="7" s="1"/>
  <c r="AW32" i="7" a="1"/>
  <c r="AW32" i="7" s="1"/>
  <c r="M32" i="7" a="1"/>
  <c r="M32" i="7" s="1"/>
  <c r="AA32" i="7" a="1"/>
  <c r="AA32" i="7" s="1"/>
  <c r="AO32" i="7" a="1"/>
  <c r="AO32" i="7" s="1"/>
  <c r="AX32" i="7" a="1"/>
  <c r="AX32" i="7" s="1"/>
  <c r="BN32" i="7" a="1"/>
  <c r="BN32" i="7" s="1"/>
  <c r="BW32" i="7" a="1"/>
  <c r="BW32" i="7" s="1"/>
  <c r="CL32" i="7" a="1"/>
  <c r="CL32" i="7" s="1"/>
  <c r="E32" i="7" a="1"/>
  <c r="E32" i="7" s="1"/>
  <c r="AD32" i="7" a="1"/>
  <c r="AD32" i="7" s="1"/>
  <c r="BD32" i="7" a="1"/>
  <c r="BD32" i="7" s="1"/>
  <c r="BP32" i="7" a="1"/>
  <c r="BP32" i="7" s="1"/>
  <c r="CC32" i="7" a="1"/>
  <c r="CC32" i="7" s="1"/>
  <c r="CN32" i="7" a="1"/>
  <c r="CN32" i="7" s="1"/>
  <c r="B32" i="7" a="1"/>
  <c r="B32" i="7" s="1"/>
  <c r="F32" i="7" a="1"/>
  <c r="F32" i="7" s="1"/>
  <c r="S32" i="7" a="1"/>
  <c r="S32" i="7" s="1"/>
  <c r="AG32" i="7" a="1"/>
  <c r="AG32" i="7" s="1"/>
  <c r="AQ32" i="7" a="1"/>
  <c r="AQ32" i="7" s="1"/>
  <c r="BE32" i="7" a="1"/>
  <c r="BE32" i="7" s="1"/>
  <c r="BQ32" i="7" a="1"/>
  <c r="BQ32" i="7" s="1"/>
  <c r="CD32" i="7" a="1"/>
  <c r="CD32" i="7" s="1"/>
  <c r="CR32" i="7" a="1"/>
  <c r="CR32" i="7" s="1"/>
  <c r="BV32" i="7" a="1"/>
  <c r="BV32" i="7" s="1"/>
  <c r="C32" i="7" a="1"/>
  <c r="C32" i="7" s="1"/>
  <c r="CB32" i="7" a="1"/>
  <c r="CB32" i="7" s="1"/>
  <c r="R32" i="7" a="1"/>
  <c r="R32" i="7" s="1"/>
  <c r="CK32" i="7" a="1"/>
  <c r="CK32" i="7" s="1"/>
  <c r="CM32" i="7" a="1"/>
  <c r="CM32" i="7" s="1"/>
  <c r="AY32" i="7" a="1"/>
  <c r="AY32" i="7" s="1"/>
  <c r="BM32" i="7" a="1"/>
  <c r="BM32" i="7" s="1"/>
  <c r="BO32" i="7" a="1"/>
  <c r="BO32" i="7" s="1"/>
  <c r="C14" i="7" a="1"/>
  <c r="C14" i="7" s="1"/>
  <c r="I14" i="7" a="1"/>
  <c r="I14" i="7" s="1"/>
  <c r="Z14" i="7" a="1"/>
  <c r="Z14" i="7" s="1"/>
  <c r="AF14" i="7" a="1"/>
  <c r="AF14" i="7" s="1"/>
  <c r="AL14" i="7" a="1"/>
  <c r="AL14" i="7" s="1"/>
  <c r="AR14" i="7" a="1"/>
  <c r="AR14" i="7" s="1"/>
  <c r="AX14" i="7" a="1"/>
  <c r="AX14" i="7" s="1"/>
  <c r="BJ14" i="7" a="1"/>
  <c r="BJ14" i="7" s="1"/>
  <c r="BO14" i="7" a="1"/>
  <c r="BO14" i="7" s="1"/>
  <c r="BU14" i="7" a="1"/>
  <c r="BU14" i="7" s="1"/>
  <c r="CL14" i="7" a="1"/>
  <c r="CL14" i="7" s="1"/>
  <c r="CR14" i="7" a="1"/>
  <c r="CR14" i="7" s="1"/>
  <c r="F14" i="7" a="1"/>
  <c r="F14" i="7" s="1"/>
  <c r="M14" i="7" a="1"/>
  <c r="M14" i="7" s="1"/>
  <c r="T14" i="7" a="1"/>
  <c r="T14" i="7" s="1"/>
  <c r="AG14" i="7" a="1"/>
  <c r="AG14" i="7" s="1"/>
  <c r="AT14" i="7" a="1"/>
  <c r="AT14" i="7" s="1"/>
  <c r="BG14" i="7" a="1"/>
  <c r="BG14" i="7" s="1"/>
  <c r="BN14" i="7" a="1"/>
  <c r="BN14" i="7" s="1"/>
  <c r="BT14" i="7" a="1"/>
  <c r="BT14" i="7" s="1"/>
  <c r="CA14" i="7" a="1"/>
  <c r="CA14" i="7" s="1"/>
  <c r="CO14" i="7" a="1"/>
  <c r="CO14" i="7" s="1"/>
  <c r="J14" i="7" a="1"/>
  <c r="J14" i="7" s="1"/>
  <c r="Q14" i="7" a="1"/>
  <c r="Q14" i="7" s="1"/>
  <c r="K14" i="7" a="1"/>
  <c r="K14" i="7" s="1"/>
  <c r="R14" i="7" a="1"/>
  <c r="R14" i="7" s="1"/>
  <c r="Y14" i="7" a="1"/>
  <c r="Y14" i="7" s="1"/>
  <c r="AH14" i="7" a="1"/>
  <c r="AH14" i="7" s="1"/>
  <c r="AO14" i="7" a="1"/>
  <c r="AO14" i="7" s="1"/>
  <c r="AV14" i="7" a="1"/>
  <c r="AV14" i="7" s="1"/>
  <c r="BD14" i="7" a="1"/>
  <c r="BD14" i="7" s="1"/>
  <c r="BS14" i="7" a="1"/>
  <c r="BS14" i="7" s="1"/>
  <c r="BZ14" i="7" a="1"/>
  <c r="BZ14" i="7" s="1"/>
  <c r="CI14" i="7" a="1"/>
  <c r="CI14" i="7" s="1"/>
  <c r="L14" i="7" a="1"/>
  <c r="L14" i="7" s="1"/>
  <c r="AM14" i="7" a="1"/>
  <c r="AM14" i="7" s="1"/>
  <c r="AU14" i="7" a="1"/>
  <c r="AU14" i="7" s="1"/>
  <c r="BE14" i="7" a="1"/>
  <c r="BE14" i="7" s="1"/>
  <c r="BM14" i="7" a="1"/>
  <c r="BM14" i="7" s="1"/>
  <c r="BW14" i="7" a="1"/>
  <c r="BW14" i="7" s="1"/>
  <c r="CE14" i="7" a="1"/>
  <c r="CE14" i="7" s="1"/>
  <c r="CM14" i="7" a="1"/>
  <c r="CM14" i="7" s="1"/>
  <c r="D14" i="7" a="1"/>
  <c r="D14" i="7" s="1"/>
  <c r="W14" i="7" a="1"/>
  <c r="W14" i="7" s="1"/>
  <c r="AE14" i="7" a="1"/>
  <c r="AE14" i="7" s="1"/>
  <c r="AN14" i="7" a="1"/>
  <c r="AN14" i="7" s="1"/>
  <c r="AW14" i="7" a="1"/>
  <c r="AW14" i="7" s="1"/>
  <c r="CF14" i="7" a="1"/>
  <c r="CF14" i="7" s="1"/>
  <c r="CN14" i="7" a="1"/>
  <c r="CN14" i="7" s="1"/>
  <c r="E14" i="7" a="1"/>
  <c r="E14" i="7" s="1"/>
  <c r="N14" i="7" a="1"/>
  <c r="N14" i="7" s="1"/>
  <c r="AP14" i="7" a="1"/>
  <c r="AP14" i="7" s="1"/>
  <c r="AY14" i="7" a="1"/>
  <c r="AY14" i="7" s="1"/>
  <c r="BF14" i="7" a="1"/>
  <c r="BF14" i="7" s="1"/>
  <c r="BP14" i="7" a="1"/>
  <c r="BP14" i="7" s="1"/>
  <c r="BX14" i="7" a="1"/>
  <c r="BX14" i="7" s="1"/>
  <c r="CG14" i="7" a="1"/>
  <c r="CG14" i="7" s="1"/>
  <c r="CP14" i="7" a="1"/>
  <c r="CP14" i="7" s="1"/>
  <c r="H14" i="7" a="1"/>
  <c r="H14" i="7" s="1"/>
  <c r="U14" i="7" a="1"/>
  <c r="U14" i="7" s="1"/>
  <c r="AC14" i="7" a="1"/>
  <c r="AC14" i="7" s="1"/>
  <c r="AK14" i="7" a="1"/>
  <c r="AK14" i="7" s="1"/>
  <c r="BK14" i="7" a="1"/>
  <c r="BK14" i="7" s="1"/>
  <c r="CC14" i="7" a="1"/>
  <c r="CC14" i="7" s="1"/>
  <c r="CK14" i="7" a="1"/>
  <c r="CK14" i="7" s="1"/>
  <c r="S14" i="7" a="1"/>
  <c r="S14" i="7" s="1"/>
  <c r="AJ14" i="7" a="1"/>
  <c r="AJ14" i="7" s="1"/>
  <c r="BB14" i="7" a="1"/>
  <c r="BB14" i="7" s="1"/>
  <c r="BR14" i="7" a="1"/>
  <c r="BR14" i="7" s="1"/>
  <c r="CJ14" i="7" a="1"/>
  <c r="CJ14" i="7" s="1"/>
  <c r="V14" i="7" a="1"/>
  <c r="V14" i="7" s="1"/>
  <c r="BC14" i="7" a="1"/>
  <c r="BC14" i="7" s="1"/>
  <c r="BV14" i="7" a="1"/>
  <c r="BV14" i="7" s="1"/>
  <c r="X14" i="7" a="1"/>
  <c r="X14" i="7" s="1"/>
  <c r="AQ14" i="7" a="1"/>
  <c r="AQ14" i="7" s="1"/>
  <c r="BH14" i="7" a="1"/>
  <c r="BH14" i="7" s="1"/>
  <c r="BY14" i="7" a="1"/>
  <c r="BY14" i="7" s="1"/>
  <c r="CQ14" i="7" a="1"/>
  <c r="CQ14" i="7" s="1"/>
  <c r="AB14" i="7" a="1"/>
  <c r="AB14" i="7" s="1"/>
  <c r="AS14" i="7" a="1"/>
  <c r="AS14" i="7" s="1"/>
  <c r="CB14" i="7" a="1"/>
  <c r="CB14" i="7" s="1"/>
  <c r="CS14" i="7" a="1"/>
  <c r="CS14" i="7" s="1"/>
  <c r="AD14" i="7" a="1"/>
  <c r="AD14" i="7" s="1"/>
  <c r="BL14" i="7" a="1"/>
  <c r="BL14" i="7" s="1"/>
  <c r="CD14" i="7" a="1"/>
  <c r="CD14" i="7" s="1"/>
  <c r="O14" i="7" a="1"/>
  <c r="O14" i="7" s="1"/>
  <c r="AZ14" i="7" a="1"/>
  <c r="AZ14" i="7" s="1"/>
  <c r="BQ14" i="7" a="1"/>
  <c r="BQ14" i="7" s="1"/>
  <c r="CH14" i="7" a="1"/>
  <c r="CH14" i="7" s="1"/>
  <c r="AA14" i="7" a="1"/>
  <c r="AA14" i="7" s="1"/>
  <c r="AI14" i="7" a="1"/>
  <c r="AI14" i="7" s="1"/>
  <c r="BI14" i="7" a="1"/>
  <c r="BI14" i="7" s="1"/>
  <c r="G14" i="7" a="1"/>
  <c r="G14" i="7" s="1"/>
  <c r="BA14" i="7" a="1"/>
  <c r="BA14" i="7" s="1"/>
  <c r="P14" i="7" a="1"/>
  <c r="P14" i="7" s="1"/>
  <c r="B14" i="7" a="1"/>
  <c r="B14" i="7" s="1"/>
  <c r="K8" i="7" a="1"/>
  <c r="K8" i="7" s="1"/>
  <c r="R8" i="7" a="1"/>
  <c r="R8" i="7" s="1"/>
  <c r="X8" i="7" a="1"/>
  <c r="X8" i="7" s="1"/>
  <c r="AD8" i="7" a="1"/>
  <c r="AD8" i="7" s="1"/>
  <c r="AK8" i="7" a="1"/>
  <c r="AK8" i="7" s="1"/>
  <c r="AP8" i="7" a="1"/>
  <c r="AP8" i="7" s="1"/>
  <c r="AW8" i="7" a="1"/>
  <c r="AW8" i="7" s="1"/>
  <c r="BC8" i="7" a="1"/>
  <c r="BC8" i="7" s="1"/>
  <c r="BP8" i="7" a="1"/>
  <c r="BP8" i="7" s="1"/>
  <c r="BV8" i="7" a="1"/>
  <c r="BV8" i="7" s="1"/>
  <c r="CD8" i="7" a="1"/>
  <c r="CD8" i="7" s="1"/>
  <c r="CJ8" i="7" a="1"/>
  <c r="CJ8" i="7" s="1"/>
  <c r="CQ8" i="7" a="1"/>
  <c r="CQ8" i="7" s="1"/>
  <c r="D8" i="7" a="1"/>
  <c r="D8" i="7" s="1"/>
  <c r="J8" i="7" a="1"/>
  <c r="J8" i="7" s="1"/>
  <c r="Z8" i="7" a="1"/>
  <c r="Z8" i="7" s="1"/>
  <c r="AM8" i="7" a="1"/>
  <c r="AM8" i="7" s="1"/>
  <c r="BA8" i="7" a="1"/>
  <c r="BA8" i="7" s="1"/>
  <c r="BI8" i="7" a="1"/>
  <c r="BI8" i="7" s="1"/>
  <c r="BQ8" i="7" a="1"/>
  <c r="BQ8" i="7" s="1"/>
  <c r="BX8" i="7" a="1"/>
  <c r="BX8" i="7" s="1"/>
  <c r="CF8" i="7" a="1"/>
  <c r="CF8" i="7" s="1"/>
  <c r="CN8" i="7" a="1"/>
  <c r="CN8" i="7" s="1"/>
  <c r="G8" i="7" a="1"/>
  <c r="G8" i="7" s="1"/>
  <c r="O8" i="7" a="1"/>
  <c r="O8" i="7" s="1"/>
  <c r="W8" i="7" a="1"/>
  <c r="W8" i="7" s="1"/>
  <c r="AF8" i="7" a="1"/>
  <c r="AF8" i="7" s="1"/>
  <c r="AN8" i="7" a="1"/>
  <c r="AN8" i="7" s="1"/>
  <c r="AV8" i="7" a="1"/>
  <c r="AV8" i="7" s="1"/>
  <c r="BE8" i="7" a="1"/>
  <c r="BE8" i="7" s="1"/>
  <c r="BU8" i="7" a="1"/>
  <c r="BU8" i="7" s="1"/>
  <c r="CM8" i="7" a="1"/>
  <c r="CM8" i="7" s="1"/>
  <c r="H8" i="7" a="1"/>
  <c r="H8" i="7" s="1"/>
  <c r="P8" i="7" a="1"/>
  <c r="P8" i="7" s="1"/>
  <c r="Y8" i="7" a="1"/>
  <c r="Y8" i="7" s="1"/>
  <c r="AG8" i="7" a="1"/>
  <c r="AG8" i="7" s="1"/>
  <c r="AO8" i="7" a="1"/>
  <c r="AO8" i="7" s="1"/>
  <c r="AX8" i="7" a="1"/>
  <c r="AX8" i="7" s="1"/>
  <c r="BF8" i="7" a="1"/>
  <c r="BF8" i="7" s="1"/>
  <c r="BM8" i="7" a="1"/>
  <c r="BM8" i="7" s="1"/>
  <c r="CE8" i="7" a="1"/>
  <c r="CE8" i="7" s="1"/>
  <c r="CO8" i="7" a="1"/>
  <c r="CO8" i="7" s="1"/>
  <c r="L8" i="7" a="1"/>
  <c r="L8" i="7" s="1"/>
  <c r="U8" i="7" a="1"/>
  <c r="U8" i="7" s="1"/>
  <c r="AH8" i="7" a="1"/>
  <c r="AH8" i="7" s="1"/>
  <c r="AR8" i="7" a="1"/>
  <c r="AR8" i="7" s="1"/>
  <c r="BB8" i="7" a="1"/>
  <c r="BB8" i="7" s="1"/>
  <c r="BN8" i="7" a="1"/>
  <c r="BN8" i="7" s="1"/>
  <c r="BZ8" i="7" a="1"/>
  <c r="BZ8" i="7" s="1"/>
  <c r="CK8" i="7" a="1"/>
  <c r="CK8" i="7" s="1"/>
  <c r="M8" i="7" a="1"/>
  <c r="M8" i="7" s="1"/>
  <c r="V8" i="7" a="1"/>
  <c r="V8" i="7" s="1"/>
  <c r="AI8" i="7" a="1"/>
  <c r="AI8" i="7" s="1"/>
  <c r="AS8" i="7" a="1"/>
  <c r="AS8" i="7" s="1"/>
  <c r="BD8" i="7" a="1"/>
  <c r="BD8" i="7" s="1"/>
  <c r="BO8" i="7" a="1"/>
  <c r="BO8" i="7" s="1"/>
  <c r="CA8" i="7" a="1"/>
  <c r="CA8" i="7" s="1"/>
  <c r="CL8" i="7" a="1"/>
  <c r="CL8" i="7" s="1"/>
  <c r="C8" i="7" a="1"/>
  <c r="C8" i="7" s="1"/>
  <c r="N8" i="7" a="1"/>
  <c r="N8" i="7" s="1"/>
  <c r="AA8" i="7" a="1"/>
  <c r="AA8" i="7" s="1"/>
  <c r="AJ8" i="7" a="1"/>
  <c r="AJ8" i="7" s="1"/>
  <c r="AT8" i="7" a="1"/>
  <c r="AT8" i="7" s="1"/>
  <c r="BG8" i="7" a="1"/>
  <c r="BG8" i="7" s="1"/>
  <c r="BR8" i="7" a="1"/>
  <c r="BR8" i="7" s="1"/>
  <c r="CB8" i="7" a="1"/>
  <c r="CB8" i="7" s="1"/>
  <c r="E8" i="7" a="1"/>
  <c r="E8" i="7" s="1"/>
  <c r="AB8" i="7" a="1"/>
  <c r="AB8" i="7" s="1"/>
  <c r="AU8" i="7" a="1"/>
  <c r="AU8" i="7" s="1"/>
  <c r="BH8" i="7" a="1"/>
  <c r="BH8" i="7" s="1"/>
  <c r="CC8" i="7" a="1"/>
  <c r="CC8" i="7" s="1"/>
  <c r="CP8" i="7" a="1"/>
  <c r="CP8" i="7" s="1"/>
  <c r="F8" i="7" a="1"/>
  <c r="F8" i="7" s="1"/>
  <c r="Q8" i="7" a="1"/>
  <c r="Q8" i="7" s="1"/>
  <c r="AL8" i="7" a="1"/>
  <c r="AL8" i="7" s="1"/>
  <c r="BS8" i="7" a="1"/>
  <c r="BS8" i="7" s="1"/>
  <c r="CR8" i="7" a="1"/>
  <c r="CR8" i="7" s="1"/>
  <c r="S8" i="7" a="1"/>
  <c r="S8" i="7" s="1"/>
  <c r="AC8" i="7" a="1"/>
  <c r="AC8" i="7" s="1"/>
  <c r="AY8" i="7" a="1"/>
  <c r="AY8" i="7" s="1"/>
  <c r="BJ8" i="7" a="1"/>
  <c r="BJ8" i="7" s="1"/>
  <c r="BT8" i="7" a="1"/>
  <c r="BT8" i="7" s="1"/>
  <c r="CG8" i="7" a="1"/>
  <c r="CG8" i="7" s="1"/>
  <c r="I8" i="7" a="1"/>
  <c r="I8" i="7" s="1"/>
  <c r="T8" i="7" a="1"/>
  <c r="T8" i="7" s="1"/>
  <c r="AZ8" i="7" a="1"/>
  <c r="AZ8" i="7" s="1"/>
  <c r="BK8" i="7" a="1"/>
  <c r="BK8" i="7" s="1"/>
  <c r="BW8" i="7" a="1"/>
  <c r="BW8" i="7" s="1"/>
  <c r="CH8" i="7" a="1"/>
  <c r="CH8" i="7" s="1"/>
  <c r="CS8" i="7" a="1"/>
  <c r="CS8" i="7" s="1"/>
  <c r="AE8" i="7" a="1"/>
  <c r="AE8" i="7" s="1"/>
  <c r="AQ8" i="7" a="1"/>
  <c r="AQ8" i="7" s="1"/>
  <c r="BL8" i="7" a="1"/>
  <c r="BL8" i="7" s="1"/>
  <c r="BY8" i="7" a="1"/>
  <c r="BY8" i="7" s="1"/>
  <c r="CI8" i="7" a="1"/>
  <c r="CI8" i="7" s="1"/>
  <c r="B8" i="7" a="1"/>
  <c r="B8" i="7" s="1"/>
  <c r="F19" i="7" a="1"/>
  <c r="F19" i="7" s="1"/>
  <c r="X19" i="7" a="1"/>
  <c r="X19" i="7" s="1"/>
  <c r="AD19" i="7" a="1"/>
  <c r="AD19" i="7" s="1"/>
  <c r="AP19" i="7" a="1"/>
  <c r="AP19" i="7" s="1"/>
  <c r="AU19" i="7" a="1"/>
  <c r="AU19" i="7" s="1"/>
  <c r="BA19" i="7" a="1"/>
  <c r="BA19" i="7" s="1"/>
  <c r="BG19" i="7" a="1"/>
  <c r="BG19" i="7" s="1"/>
  <c r="BM19" i="7" a="1"/>
  <c r="BM19" i="7" s="1"/>
  <c r="BR19" i="7" a="1"/>
  <c r="BR19" i="7" s="1"/>
  <c r="CJ19" i="7" a="1"/>
  <c r="CJ19" i="7" s="1"/>
  <c r="CP19" i="7" a="1"/>
  <c r="CP19" i="7" s="1"/>
  <c r="D19" i="7" a="1"/>
  <c r="D19" i="7" s="1"/>
  <c r="R19" i="7" a="1"/>
  <c r="R19" i="7" s="1"/>
  <c r="Y19" i="7" a="1"/>
  <c r="Y19" i="7" s="1"/>
  <c r="AF19" i="7" a="1"/>
  <c r="AF19" i="7" s="1"/>
  <c r="AK19" i="7" a="1"/>
  <c r="AK19" i="7" s="1"/>
  <c r="AY19" i="7" a="1"/>
  <c r="AY19" i="7" s="1"/>
  <c r="BF19" i="7" a="1"/>
  <c r="BF19" i="7" s="1"/>
  <c r="BS19" i="7" a="1"/>
  <c r="BS19" i="7" s="1"/>
  <c r="BZ19" i="7" a="1"/>
  <c r="BZ19" i="7" s="1"/>
  <c r="CM19" i="7" a="1"/>
  <c r="CM19" i="7" s="1"/>
  <c r="H19" i="7" a="1"/>
  <c r="H19" i="7" s="1"/>
  <c r="O19" i="7" a="1"/>
  <c r="O19" i="7" s="1"/>
  <c r="W19" i="7" a="1"/>
  <c r="W19" i="7" s="1"/>
  <c r="AE19" i="7" a="1"/>
  <c r="AE19" i="7" s="1"/>
  <c r="AL19" i="7" a="1"/>
  <c r="AL19" i="7" s="1"/>
  <c r="AT19" i="7" a="1"/>
  <c r="AT19" i="7" s="1"/>
  <c r="BB19" i="7" a="1"/>
  <c r="BB19" i="7" s="1"/>
  <c r="BI19" i="7" a="1"/>
  <c r="BI19" i="7" s="1"/>
  <c r="BP19" i="7" a="1"/>
  <c r="BP19" i="7" s="1"/>
  <c r="BX19" i="7" a="1"/>
  <c r="BX19" i="7" s="1"/>
  <c r="CF19" i="7" a="1"/>
  <c r="CF19" i="7" s="1"/>
  <c r="J19" i="7" a="1"/>
  <c r="J19" i="7" s="1"/>
  <c r="Q19" i="7" a="1"/>
  <c r="Q19" i="7" s="1"/>
  <c r="Z19" i="7" a="1"/>
  <c r="Z19" i="7" s="1"/>
  <c r="AG19" i="7" a="1"/>
  <c r="AG19" i="7" s="1"/>
  <c r="AN19" i="7" a="1"/>
  <c r="AN19" i="7" s="1"/>
  <c r="AV19" i="7" a="1"/>
  <c r="AV19" i="7" s="1"/>
  <c r="BK19" i="7" a="1"/>
  <c r="BK19" i="7" s="1"/>
  <c r="BQ19" i="7" a="1"/>
  <c r="BQ19" i="7" s="1"/>
  <c r="CH19" i="7" a="1"/>
  <c r="CH19" i="7" s="1"/>
  <c r="CO19" i="7" a="1"/>
  <c r="CO19" i="7" s="1"/>
  <c r="E19" i="7" a="1"/>
  <c r="E19" i="7" s="1"/>
  <c r="N19" i="7" a="1"/>
  <c r="N19" i="7" s="1"/>
  <c r="U19" i="7" a="1"/>
  <c r="U19" i="7" s="1"/>
  <c r="AB19" i="7" a="1"/>
  <c r="AB19" i="7" s="1"/>
  <c r="AJ19" i="7" a="1"/>
  <c r="AJ19" i="7" s="1"/>
  <c r="AR19" i="7" a="1"/>
  <c r="AR19" i="7" s="1"/>
  <c r="AZ19" i="7" a="1"/>
  <c r="AZ19" i="7" s="1"/>
  <c r="BO19" i="7" a="1"/>
  <c r="BO19" i="7" s="1"/>
  <c r="BW19" i="7" a="1"/>
  <c r="BW19" i="7" s="1"/>
  <c r="CD19" i="7" a="1"/>
  <c r="CD19" i="7" s="1"/>
  <c r="CL19" i="7" a="1"/>
  <c r="CL19" i="7" s="1"/>
  <c r="CS19" i="7" a="1"/>
  <c r="CS19" i="7" s="1"/>
  <c r="L19" i="7" a="1"/>
  <c r="L19" i="7" s="1"/>
  <c r="AI19" i="7" a="1"/>
  <c r="AI19" i="7" s="1"/>
  <c r="AW19" i="7" a="1"/>
  <c r="AW19" i="7" s="1"/>
  <c r="BH19" i="7" a="1"/>
  <c r="BH19" i="7" s="1"/>
  <c r="BU19" i="7" a="1"/>
  <c r="BU19" i="7" s="1"/>
  <c r="CG19" i="7" a="1"/>
  <c r="CG19" i="7" s="1"/>
  <c r="M19" i="7" a="1"/>
  <c r="M19" i="7" s="1"/>
  <c r="AX19" i="7" a="1"/>
  <c r="AX19" i="7" s="1"/>
  <c r="BJ19" i="7" a="1"/>
  <c r="BJ19" i="7" s="1"/>
  <c r="BV19" i="7" a="1"/>
  <c r="BV19" i="7" s="1"/>
  <c r="CI19" i="7" a="1"/>
  <c r="CI19" i="7" s="1"/>
  <c r="S19" i="7" a="1"/>
  <c r="S19" i="7" s="1"/>
  <c r="AC19" i="7" a="1"/>
  <c r="AC19" i="7" s="1"/>
  <c r="AQ19" i="7" a="1"/>
  <c r="AQ19" i="7" s="1"/>
  <c r="BC19" i="7" a="1"/>
  <c r="BC19" i="7" s="1"/>
  <c r="CA19" i="7" a="1"/>
  <c r="CA19" i="7" s="1"/>
  <c r="G19" i="7" a="1"/>
  <c r="G19" i="7" s="1"/>
  <c r="T19" i="7" a="1"/>
  <c r="T19" i="7" s="1"/>
  <c r="BD19" i="7" a="1"/>
  <c r="BD19" i="7" s="1"/>
  <c r="CB19" i="7" a="1"/>
  <c r="CB19" i="7" s="1"/>
  <c r="CN19" i="7" a="1"/>
  <c r="CN19" i="7" s="1"/>
  <c r="P19" i="7" a="1"/>
  <c r="P19" i="7" s="1"/>
  <c r="AO19" i="7" a="1"/>
  <c r="AO19" i="7" s="1"/>
  <c r="BN19" i="7" a="1"/>
  <c r="BN19" i="7" s="1"/>
  <c r="CK19" i="7" a="1"/>
  <c r="CK19" i="7" s="1"/>
  <c r="AS19" i="7" a="1"/>
  <c r="AS19" i="7" s="1"/>
  <c r="CQ19" i="7" a="1"/>
  <c r="CQ19" i="7" s="1"/>
  <c r="V19" i="7" a="1"/>
  <c r="V19" i="7" s="1"/>
  <c r="BT19" i="7" a="1"/>
  <c r="BT19" i="7" s="1"/>
  <c r="CR19" i="7" a="1"/>
  <c r="CR19" i="7" s="1"/>
  <c r="BY19" i="7" a="1"/>
  <c r="BY19" i="7" s="1"/>
  <c r="I19" i="7" a="1"/>
  <c r="I19" i="7" s="1"/>
  <c r="AH19" i="7" a="1"/>
  <c r="AH19" i="7" s="1"/>
  <c r="BE19" i="7" a="1"/>
  <c r="BE19" i="7" s="1"/>
  <c r="CC19" i="7" a="1"/>
  <c r="CC19" i="7" s="1"/>
  <c r="K19" i="7" a="1"/>
  <c r="K19" i="7" s="1"/>
  <c r="CE19" i="7" a="1"/>
  <c r="CE19" i="7" s="1"/>
  <c r="C19" i="7" a="1"/>
  <c r="C19" i="7" s="1"/>
  <c r="AA19" i="7" a="1"/>
  <c r="AA19" i="7" s="1"/>
  <c r="AM19" i="7" a="1"/>
  <c r="AM19" i="7" s="1"/>
  <c r="BL19" i="7" a="1"/>
  <c r="BL19" i="7" s="1"/>
  <c r="B19" i="7" a="1"/>
  <c r="B19" i="7" s="1"/>
  <c r="C37" i="7" a="1"/>
  <c r="C37" i="7" s="1"/>
  <c r="I37" i="7" a="1"/>
  <c r="I37" i="7" s="1"/>
  <c r="V37" i="7" a="1"/>
  <c r="V37" i="7" s="1"/>
  <c r="AB37" i="7" a="1"/>
  <c r="AB37" i="7" s="1"/>
  <c r="AI37" i="7" a="1"/>
  <c r="AI37" i="7" s="1"/>
  <c r="AO37" i="7" a="1"/>
  <c r="AO37" i="7" s="1"/>
  <c r="BB37" i="7" a="1"/>
  <c r="BB37" i="7" s="1"/>
  <c r="BH37" i="7" a="1"/>
  <c r="BH37" i="7" s="1"/>
  <c r="BO37" i="7" a="1"/>
  <c r="BO37" i="7" s="1"/>
  <c r="BU37" i="7" a="1"/>
  <c r="BU37" i="7" s="1"/>
  <c r="CH37" i="7" a="1"/>
  <c r="CH37" i="7" s="1"/>
  <c r="CN37" i="7" a="1"/>
  <c r="CN37" i="7" s="1"/>
  <c r="H37" i="7" a="1"/>
  <c r="H37" i="7" s="1"/>
  <c r="P37" i="7" a="1"/>
  <c r="P37" i="7" s="1"/>
  <c r="AE37" i="7" a="1"/>
  <c r="AE37" i="7" s="1"/>
  <c r="AL37" i="7" a="1"/>
  <c r="AL37" i="7" s="1"/>
  <c r="AS37" i="7" a="1"/>
  <c r="AS37" i="7" s="1"/>
  <c r="AZ37" i="7" a="1"/>
  <c r="AZ37" i="7" s="1"/>
  <c r="BW37" i="7" a="1"/>
  <c r="BW37" i="7" s="1"/>
  <c r="CD37" i="7" a="1"/>
  <c r="CD37" i="7" s="1"/>
  <c r="CK37" i="7" a="1"/>
  <c r="CK37" i="7" s="1"/>
  <c r="CR37" i="7" a="1"/>
  <c r="CR37" i="7" s="1"/>
  <c r="J37" i="7" a="1"/>
  <c r="J37" i="7" s="1"/>
  <c r="Q37" i="7" a="1"/>
  <c r="Q37" i="7" s="1"/>
  <c r="X37" i="7" a="1"/>
  <c r="X37" i="7" s="1"/>
  <c r="AM37" i="7" a="1"/>
  <c r="AM37" i="7" s="1"/>
  <c r="AT37" i="7" a="1"/>
  <c r="AT37" i="7" s="1"/>
  <c r="BA37" i="7" a="1"/>
  <c r="BA37" i="7" s="1"/>
  <c r="BI37" i="7" a="1"/>
  <c r="BI37" i="7" s="1"/>
  <c r="BP37" i="7" a="1"/>
  <c r="BP37" i="7" s="1"/>
  <c r="CE37" i="7" a="1"/>
  <c r="CE37" i="7" s="1"/>
  <c r="CL37" i="7" a="1"/>
  <c r="CL37" i="7" s="1"/>
  <c r="CS37" i="7" a="1"/>
  <c r="CS37" i="7" s="1"/>
  <c r="D37" i="7" a="1"/>
  <c r="D37" i="7" s="1"/>
  <c r="S37" i="7" a="1"/>
  <c r="S37" i="7" s="1"/>
  <c r="Z37" i="7" a="1"/>
  <c r="Z37" i="7" s="1"/>
  <c r="AG37" i="7" a="1"/>
  <c r="AG37" i="7" s="1"/>
  <c r="AN37" i="7" a="1"/>
  <c r="AN37" i="7" s="1"/>
  <c r="AV37" i="7" a="1"/>
  <c r="AV37" i="7" s="1"/>
  <c r="BK37" i="7" a="1"/>
  <c r="BK37" i="7" s="1"/>
  <c r="BR37" i="7" a="1"/>
  <c r="BR37" i="7" s="1"/>
  <c r="BY37" i="7" a="1"/>
  <c r="BY37" i="7" s="1"/>
  <c r="CF37" i="7" a="1"/>
  <c r="CF37" i="7" s="1"/>
  <c r="F37" i="7" a="1"/>
  <c r="F37" i="7" s="1"/>
  <c r="M37" i="7" a="1"/>
  <c r="M37" i="7" s="1"/>
  <c r="T37" i="7" a="1"/>
  <c r="T37" i="7" s="1"/>
  <c r="AQ37" i="7" a="1"/>
  <c r="AQ37" i="7" s="1"/>
  <c r="AX37" i="7" a="1"/>
  <c r="AX37" i="7" s="1"/>
  <c r="BE37" i="7" a="1"/>
  <c r="BE37" i="7" s="1"/>
  <c r="BL37" i="7" a="1"/>
  <c r="BL37" i="7" s="1"/>
  <c r="CA37" i="7" a="1"/>
  <c r="CA37" i="7" s="1"/>
  <c r="CI37" i="7" a="1"/>
  <c r="CI37" i="7" s="1"/>
  <c r="CP37" i="7" a="1"/>
  <c r="CP37" i="7" s="1"/>
  <c r="W37" i="7" a="1"/>
  <c r="W37" i="7" s="1"/>
  <c r="AK37" i="7" a="1"/>
  <c r="AK37" i="7" s="1"/>
  <c r="BG37" i="7" a="1"/>
  <c r="BG37" i="7" s="1"/>
  <c r="BV37" i="7" a="1"/>
  <c r="BV37" i="7" s="1"/>
  <c r="CJ37" i="7" a="1"/>
  <c r="CJ37" i="7" s="1"/>
  <c r="G37" i="7" a="1"/>
  <c r="G37" i="7" s="1"/>
  <c r="N37" i="7" a="1"/>
  <c r="N37" i="7" s="1"/>
  <c r="U37" i="7" a="1"/>
  <c r="U37" i="7" s="1"/>
  <c r="AC37" i="7" a="1"/>
  <c r="AC37" i="7" s="1"/>
  <c r="AJ37" i="7" a="1"/>
  <c r="AJ37" i="7" s="1"/>
  <c r="AY37" i="7" a="1"/>
  <c r="AY37" i="7" s="1"/>
  <c r="BF37" i="7" a="1"/>
  <c r="BF37" i="7" s="1"/>
  <c r="BM37" i="7" a="1"/>
  <c r="BM37" i="7" s="1"/>
  <c r="BT37" i="7" a="1"/>
  <c r="BT37" i="7" s="1"/>
  <c r="CB37" i="7" a="1"/>
  <c r="CB37" i="7" s="1"/>
  <c r="CQ37" i="7" a="1"/>
  <c r="CQ37" i="7" s="1"/>
  <c r="O37" i="7" a="1"/>
  <c r="O37" i="7" s="1"/>
  <c r="AD37" i="7" a="1"/>
  <c r="AD37" i="7" s="1"/>
  <c r="AR37" i="7" a="1"/>
  <c r="AR37" i="7" s="1"/>
  <c r="BN37" i="7" a="1"/>
  <c r="BN37" i="7" s="1"/>
  <c r="CC37" i="7" a="1"/>
  <c r="CC37" i="7" s="1"/>
  <c r="AF37" i="7" a="1"/>
  <c r="AF37" i="7" s="1"/>
  <c r="BJ37" i="7" a="1"/>
  <c r="BJ37" i="7" s="1"/>
  <c r="CM37" i="7" a="1"/>
  <c r="CM37" i="7" s="1"/>
  <c r="B37" i="7" a="1"/>
  <c r="B37" i="7" s="1"/>
  <c r="E37" i="7" a="1"/>
  <c r="E37" i="7" s="1"/>
  <c r="AH37" i="7" a="1"/>
  <c r="AH37" i="7" s="1"/>
  <c r="CO37" i="7" a="1"/>
  <c r="CO37" i="7" s="1"/>
  <c r="K37" i="7" a="1"/>
  <c r="K37" i="7" s="1"/>
  <c r="BQ37" i="7" a="1"/>
  <c r="BQ37" i="7" s="1"/>
  <c r="L37" i="7" a="1"/>
  <c r="L37" i="7" s="1"/>
  <c r="AP37" i="7" a="1"/>
  <c r="AP37" i="7" s="1"/>
  <c r="BS37" i="7" a="1"/>
  <c r="BS37" i="7" s="1"/>
  <c r="R37" i="7" a="1"/>
  <c r="R37" i="7" s="1"/>
  <c r="AU37" i="7" a="1"/>
  <c r="AU37" i="7" s="1"/>
  <c r="BX37" i="7" a="1"/>
  <c r="BX37" i="7" s="1"/>
  <c r="AW37" i="7" a="1"/>
  <c r="AW37" i="7" s="1"/>
  <c r="BZ37" i="7" a="1"/>
  <c r="BZ37" i="7" s="1"/>
  <c r="Y37" i="7" a="1"/>
  <c r="Y37" i="7" s="1"/>
  <c r="BC37" i="7" a="1"/>
  <c r="BC37" i="7" s="1"/>
  <c r="AA37" i="7" a="1"/>
  <c r="AA37" i="7" s="1"/>
  <c r="BD37" i="7" a="1"/>
  <c r="BD37" i="7" s="1"/>
  <c r="CG37" i="7" a="1"/>
  <c r="CG37" i="7" s="1"/>
  <c r="D31" i="7" a="1"/>
  <c r="D31" i="7" s="1"/>
  <c r="P31" i="7" a="1"/>
  <c r="P31" i="7" s="1"/>
  <c r="V31" i="7" a="1"/>
  <c r="V31" i="7" s="1"/>
  <c r="AH31" i="7" a="1"/>
  <c r="AH31" i="7" s="1"/>
  <c r="AZ31" i="7" a="1"/>
  <c r="AZ31" i="7" s="1"/>
  <c r="BG31" i="7" a="1"/>
  <c r="BG31" i="7" s="1"/>
  <c r="CF31" i="7" a="1"/>
  <c r="CF31" i="7" s="1"/>
  <c r="K31" i="7" a="1"/>
  <c r="K31" i="7" s="1"/>
  <c r="X31" i="7" a="1"/>
  <c r="X31" i="7" s="1"/>
  <c r="AD31" i="7" a="1"/>
  <c r="AD31" i="7" s="1"/>
  <c r="AJ31" i="7" a="1"/>
  <c r="AJ31" i="7" s="1"/>
  <c r="AV31" i="7" a="1"/>
  <c r="AV31" i="7" s="1"/>
  <c r="BB31" i="7" a="1"/>
  <c r="BB31" i="7" s="1"/>
  <c r="BI31" i="7" a="1"/>
  <c r="BI31" i="7" s="1"/>
  <c r="BO31" i="7" a="1"/>
  <c r="BO31" i="7" s="1"/>
  <c r="CB31" i="7" a="1"/>
  <c r="CB31" i="7" s="1"/>
  <c r="CH31" i="7" a="1"/>
  <c r="CH31" i="7" s="1"/>
  <c r="CN31" i="7" a="1"/>
  <c r="CN31" i="7" s="1"/>
  <c r="B31" i="7" a="1"/>
  <c r="B31" i="7" s="1"/>
  <c r="F31" i="7" a="1"/>
  <c r="F31" i="7" s="1"/>
  <c r="N31" i="7" a="1"/>
  <c r="N31" i="7" s="1"/>
  <c r="U31" i="7" a="1"/>
  <c r="U31" i="7" s="1"/>
  <c r="AE31" i="7" a="1"/>
  <c r="AE31" i="7" s="1"/>
  <c r="AL31" i="7" a="1"/>
  <c r="AL31" i="7" s="1"/>
  <c r="AT31" i="7" a="1"/>
  <c r="AT31" i="7" s="1"/>
  <c r="BC31" i="7" a="1"/>
  <c r="BC31" i="7" s="1"/>
  <c r="BL31" i="7" a="1"/>
  <c r="BL31" i="7" s="1"/>
  <c r="BT31" i="7" a="1"/>
  <c r="BT31" i="7" s="1"/>
  <c r="CC31" i="7" a="1"/>
  <c r="CC31" i="7" s="1"/>
  <c r="CR31" i="7" a="1"/>
  <c r="CR31" i="7" s="1"/>
  <c r="R31" i="7" a="1"/>
  <c r="R31" i="7" s="1"/>
  <c r="AA31" i="7" a="1"/>
  <c r="AA31" i="7" s="1"/>
  <c r="AK31" i="7" a="1"/>
  <c r="AK31" i="7" s="1"/>
  <c r="AS31" i="7" a="1"/>
  <c r="AS31" i="7" s="1"/>
  <c r="BD31" i="7" a="1"/>
  <c r="BD31" i="7" s="1"/>
  <c r="BM31" i="7" a="1"/>
  <c r="BM31" i="7" s="1"/>
  <c r="BW31" i="7" a="1"/>
  <c r="BW31" i="7" s="1"/>
  <c r="CE31" i="7" a="1"/>
  <c r="CE31" i="7" s="1"/>
  <c r="CO31" i="7" a="1"/>
  <c r="CO31" i="7" s="1"/>
  <c r="I31" i="7" a="1"/>
  <c r="I31" i="7" s="1"/>
  <c r="AB31" i="7" a="1"/>
  <c r="AB31" i="7" s="1"/>
  <c r="AU31" i="7" a="1"/>
  <c r="AU31" i="7" s="1"/>
  <c r="BE31" i="7" a="1"/>
  <c r="BE31" i="7" s="1"/>
  <c r="BN31" i="7" a="1"/>
  <c r="BN31" i="7" s="1"/>
  <c r="BX31" i="7" a="1"/>
  <c r="BX31" i="7" s="1"/>
  <c r="CG31" i="7" a="1"/>
  <c r="CG31" i="7" s="1"/>
  <c r="CP31" i="7" a="1"/>
  <c r="CP31" i="7" s="1"/>
  <c r="J31" i="7" a="1"/>
  <c r="J31" i="7" s="1"/>
  <c r="S31" i="7" a="1"/>
  <c r="S31" i="7" s="1"/>
  <c r="AC31" i="7" a="1"/>
  <c r="AC31" i="7" s="1"/>
  <c r="AM31" i="7" a="1"/>
  <c r="AM31" i="7" s="1"/>
  <c r="AW31" i="7" a="1"/>
  <c r="AW31" i="7" s="1"/>
  <c r="BF31" i="7" a="1"/>
  <c r="BF31" i="7" s="1"/>
  <c r="BP31" i="7" a="1"/>
  <c r="BP31" i="7" s="1"/>
  <c r="BY31" i="7" a="1"/>
  <c r="BY31" i="7" s="1"/>
  <c r="CI31" i="7" a="1"/>
  <c r="CI31" i="7" s="1"/>
  <c r="CQ31" i="7" a="1"/>
  <c r="CQ31" i="7" s="1"/>
  <c r="H31" i="7" a="1"/>
  <c r="H31" i="7" s="1"/>
  <c r="AF31" i="7" a="1"/>
  <c r="AF31" i="7" s="1"/>
  <c r="AQ31" i="7" a="1"/>
  <c r="AQ31" i="7" s="1"/>
  <c r="BH31" i="7" a="1"/>
  <c r="BH31" i="7" s="1"/>
  <c r="BV31" i="7" a="1"/>
  <c r="BV31" i="7" s="1"/>
  <c r="CL31" i="7" a="1"/>
  <c r="CL31" i="7" s="1"/>
  <c r="O31" i="7" a="1"/>
  <c r="O31" i="7" s="1"/>
  <c r="AR31" i="7" a="1"/>
  <c r="AR31" i="7" s="1"/>
  <c r="BJ31" i="7" a="1"/>
  <c r="BJ31" i="7" s="1"/>
  <c r="BZ31" i="7" a="1"/>
  <c r="BZ31" i="7" s="1"/>
  <c r="C31" i="7" a="1"/>
  <c r="C31" i="7" s="1"/>
  <c r="T31" i="7" a="1"/>
  <c r="T31" i="7" s="1"/>
  <c r="AX31" i="7" a="1"/>
  <c r="AX31" i="7" s="1"/>
  <c r="Q31" i="7" a="1"/>
  <c r="Q31" i="7" s="1"/>
  <c r="AG31" i="7" a="1"/>
  <c r="AG31" i="7" s="1"/>
  <c r="BK31" i="7" a="1"/>
  <c r="BK31" i="7" s="1"/>
  <c r="CA31" i="7" a="1"/>
  <c r="CA31" i="7" s="1"/>
  <c r="CM31" i="7" a="1"/>
  <c r="CM31" i="7" s="1"/>
  <c r="E31" i="7" a="1"/>
  <c r="E31" i="7" s="1"/>
  <c r="W31" i="7" a="1"/>
  <c r="W31" i="7" s="1"/>
  <c r="AI31" i="7" a="1"/>
  <c r="AI31" i="7" s="1"/>
  <c r="BQ31" i="7" a="1"/>
  <c r="BQ31" i="7" s="1"/>
  <c r="CD31" i="7" a="1"/>
  <c r="CD31" i="7" s="1"/>
  <c r="CS31" i="7" a="1"/>
  <c r="CS31" i="7" s="1"/>
  <c r="L31" i="7" a="1"/>
  <c r="L31" i="7" s="1"/>
  <c r="Z31" i="7" a="1"/>
  <c r="Z31" i="7" s="1"/>
  <c r="AO31" i="7" a="1"/>
  <c r="AO31" i="7" s="1"/>
  <c r="BA31" i="7" a="1"/>
  <c r="BA31" i="7" s="1"/>
  <c r="BS31" i="7" a="1"/>
  <c r="BS31" i="7" s="1"/>
  <c r="CJ31" i="7" a="1"/>
  <c r="CJ31" i="7" s="1"/>
  <c r="M31" i="7" a="1"/>
  <c r="M31" i="7" s="1"/>
  <c r="AP31" i="7" a="1"/>
  <c r="AP31" i="7" s="1"/>
  <c r="BU31" i="7" a="1"/>
  <c r="BU31" i="7" s="1"/>
  <c r="CK31" i="7" a="1"/>
  <c r="CK31" i="7" s="1"/>
  <c r="G31" i="7" a="1"/>
  <c r="G31" i="7" s="1"/>
  <c r="Y31" i="7" a="1"/>
  <c r="Y31" i="7" s="1"/>
  <c r="AN31" i="7" a="1"/>
  <c r="AN31" i="7" s="1"/>
  <c r="AY31" i="7" a="1"/>
  <c r="AY31" i="7" s="1"/>
  <c r="BR31" i="7" a="1"/>
  <c r="BR31" i="7" s="1"/>
  <c r="F18" i="7" a="1"/>
  <c r="F18" i="7" s="1"/>
  <c r="L18" i="7" a="1"/>
  <c r="L18" i="7" s="1"/>
  <c r="AD18" i="7" a="1"/>
  <c r="AD18" i="7" s="1"/>
  <c r="AJ18" i="7" a="1"/>
  <c r="AJ18" i="7" s="1"/>
  <c r="BB18" i="7" a="1"/>
  <c r="BB18" i="7" s="1"/>
  <c r="BM18" i="7" a="1"/>
  <c r="BM18" i="7" s="1"/>
  <c r="BU18" i="7" a="1"/>
  <c r="BU18" i="7" s="1"/>
  <c r="BZ18" i="7" a="1"/>
  <c r="BZ18" i="7" s="1"/>
  <c r="CF18" i="7" a="1"/>
  <c r="CF18" i="7" s="1"/>
  <c r="CL18" i="7" a="1"/>
  <c r="CL18" i="7" s="1"/>
  <c r="CR18" i="7" a="1"/>
  <c r="CR18" i="7" s="1"/>
  <c r="D18" i="7" a="1"/>
  <c r="D18" i="7" s="1"/>
  <c r="J18" i="7" a="1"/>
  <c r="J18" i="7" s="1"/>
  <c r="R18" i="7" a="1"/>
  <c r="R18" i="7" s="1"/>
  <c r="Y18" i="7" a="1"/>
  <c r="Y18" i="7" s="1"/>
  <c r="AF18" i="7" a="1"/>
  <c r="AF18" i="7" s="1"/>
  <c r="AL18" i="7" a="1"/>
  <c r="AL18" i="7" s="1"/>
  <c r="AS18" i="7" a="1"/>
  <c r="AS18" i="7" s="1"/>
  <c r="AZ18" i="7" a="1"/>
  <c r="AZ18" i="7" s="1"/>
  <c r="BG18" i="7" a="1"/>
  <c r="BG18" i="7" s="1"/>
  <c r="BV18" i="7" a="1"/>
  <c r="BV18" i="7" s="1"/>
  <c r="CB18" i="7" a="1"/>
  <c r="CB18" i="7" s="1"/>
  <c r="CO18" i="7" a="1"/>
  <c r="CO18" i="7" s="1"/>
  <c r="I18" i="7" a="1"/>
  <c r="I18" i="7" s="1"/>
  <c r="Q18" i="7" a="1"/>
  <c r="Q18" i="7" s="1"/>
  <c r="Z18" i="7" a="1"/>
  <c r="Z18" i="7" s="1"/>
  <c r="AG18" i="7" a="1"/>
  <c r="AG18" i="7" s="1"/>
  <c r="AN18" i="7" a="1"/>
  <c r="AN18" i="7" s="1"/>
  <c r="AW18" i="7" a="1"/>
  <c r="AW18" i="7" s="1"/>
  <c r="BE18" i="7" a="1"/>
  <c r="BE18" i="7" s="1"/>
  <c r="BK18" i="7" a="1"/>
  <c r="BK18" i="7" s="1"/>
  <c r="BT18" i="7" a="1"/>
  <c r="BT18" i="7" s="1"/>
  <c r="CC18" i="7" a="1"/>
  <c r="CC18" i="7" s="1"/>
  <c r="CJ18" i="7" a="1"/>
  <c r="CJ18" i="7" s="1"/>
  <c r="C18" i="7" a="1"/>
  <c r="C18" i="7" s="1"/>
  <c r="K18" i="7" a="1"/>
  <c r="K18" i="7" s="1"/>
  <c r="T18" i="7" a="1"/>
  <c r="T18" i="7" s="1"/>
  <c r="AA18" i="7" a="1"/>
  <c r="AA18" i="7" s="1"/>
  <c r="AH18" i="7" a="1"/>
  <c r="AH18" i="7" s="1"/>
  <c r="AP18" i="7" a="1"/>
  <c r="AP18" i="7" s="1"/>
  <c r="BN18" i="7" a="1"/>
  <c r="BN18" i="7" s="1"/>
  <c r="BW18" i="7" a="1"/>
  <c r="BW18" i="7" s="1"/>
  <c r="CD18" i="7" a="1"/>
  <c r="CD18" i="7" s="1"/>
  <c r="H18" i="7" a="1"/>
  <c r="H18" i="7" s="1"/>
  <c r="O18" i="7" a="1"/>
  <c r="O18" i="7" s="1"/>
  <c r="W18" i="7" a="1"/>
  <c r="W18" i="7" s="1"/>
  <c r="AE18" i="7" a="1"/>
  <c r="AE18" i="7" s="1"/>
  <c r="AU18" i="7" a="1"/>
  <c r="AU18" i="7" s="1"/>
  <c r="BC18" i="7" a="1"/>
  <c r="BC18" i="7" s="1"/>
  <c r="BJ18" i="7" a="1"/>
  <c r="BJ18" i="7" s="1"/>
  <c r="BR18" i="7" a="1"/>
  <c r="BR18" i="7" s="1"/>
  <c r="CH18" i="7" a="1"/>
  <c r="CH18" i="7" s="1"/>
  <c r="CP18" i="7" a="1"/>
  <c r="CP18" i="7" s="1"/>
  <c r="G18" i="7" a="1"/>
  <c r="G18" i="7" s="1"/>
  <c r="U18" i="7" a="1"/>
  <c r="U18" i="7" s="1"/>
  <c r="AR18" i="7" a="1"/>
  <c r="AR18" i="7" s="1"/>
  <c r="BF18" i="7" a="1"/>
  <c r="BF18" i="7" s="1"/>
  <c r="BQ18" i="7" a="1"/>
  <c r="BQ18" i="7" s="1"/>
  <c r="CE18" i="7" a="1"/>
  <c r="CE18" i="7" s="1"/>
  <c r="CQ18" i="7" a="1"/>
  <c r="CQ18" i="7" s="1"/>
  <c r="AT18" i="7" a="1"/>
  <c r="AT18" i="7" s="1"/>
  <c r="BH18" i="7" a="1"/>
  <c r="BH18" i="7" s="1"/>
  <c r="BS18" i="7" a="1"/>
  <c r="BS18" i="7" s="1"/>
  <c r="CS18" i="7" a="1"/>
  <c r="CS18" i="7" s="1"/>
  <c r="N18" i="7" a="1"/>
  <c r="N18" i="7" s="1"/>
  <c r="AY18" i="7" a="1"/>
  <c r="AY18" i="7" s="1"/>
  <c r="BX18" i="7" a="1"/>
  <c r="BX18" i="7" s="1"/>
  <c r="CK18" i="7" a="1"/>
  <c r="CK18" i="7" s="1"/>
  <c r="AB18" i="7" a="1"/>
  <c r="AB18" i="7" s="1"/>
  <c r="AM18" i="7" a="1"/>
  <c r="AM18" i="7" s="1"/>
  <c r="BA18" i="7" a="1"/>
  <c r="BA18" i="7" s="1"/>
  <c r="BL18" i="7" a="1"/>
  <c r="BL18" i="7" s="1"/>
  <c r="BY18" i="7" a="1"/>
  <c r="BY18" i="7" s="1"/>
  <c r="E18" i="7" a="1"/>
  <c r="E18" i="7" s="1"/>
  <c r="P18" i="7" a="1"/>
  <c r="P18" i="7" s="1"/>
  <c r="AC18" i="7" a="1"/>
  <c r="AC18" i="7" s="1"/>
  <c r="AK18" i="7" a="1"/>
  <c r="AK18" i="7" s="1"/>
  <c r="CI18" i="7" a="1"/>
  <c r="CI18" i="7" s="1"/>
  <c r="AO18" i="7" a="1"/>
  <c r="AO18" i="7" s="1"/>
  <c r="BO18" i="7" a="1"/>
  <c r="BO18" i="7" s="1"/>
  <c r="CM18" i="7" a="1"/>
  <c r="CM18" i="7" s="1"/>
  <c r="M18" i="7" a="1"/>
  <c r="M18" i="7" s="1"/>
  <c r="AQ18" i="7" a="1"/>
  <c r="AQ18" i="7" s="1"/>
  <c r="BP18" i="7" a="1"/>
  <c r="BP18" i="7" s="1"/>
  <c r="CN18" i="7" a="1"/>
  <c r="CN18" i="7" s="1"/>
  <c r="V18" i="7" a="1"/>
  <c r="V18" i="7" s="1"/>
  <c r="AX18" i="7" a="1"/>
  <c r="AX18" i="7" s="1"/>
  <c r="X18" i="7" a="1"/>
  <c r="X18" i="7" s="1"/>
  <c r="CA18" i="7" a="1"/>
  <c r="CA18" i="7" s="1"/>
  <c r="BD18" i="7" a="1"/>
  <c r="BD18" i="7" s="1"/>
  <c r="S18" i="7" a="1"/>
  <c r="S18" i="7" s="1"/>
  <c r="AI18" i="7" a="1"/>
  <c r="AI18" i="7" s="1"/>
  <c r="AV18" i="7" a="1"/>
  <c r="AV18" i="7" s="1"/>
  <c r="BI18" i="7" a="1"/>
  <c r="BI18" i="7" s="1"/>
  <c r="CG18" i="7" a="1"/>
  <c r="CG18" i="7" s="1"/>
  <c r="B18" i="7" a="1"/>
  <c r="B18" i="7" s="1"/>
  <c r="K20" i="7" a="1"/>
  <c r="K20" i="7" s="1"/>
  <c r="P20" i="7" a="1"/>
  <c r="P20" i="7" s="1"/>
  <c r="V20" i="7" a="1"/>
  <c r="V20" i="7" s="1"/>
  <c r="AB20" i="7" a="1"/>
  <c r="AB20" i="7" s="1"/>
  <c r="AH20" i="7" a="1"/>
  <c r="AH20" i="7" s="1"/>
  <c r="AM20" i="7" a="1"/>
  <c r="AM20" i="7" s="1"/>
  <c r="BE20" i="7" a="1"/>
  <c r="BE20" i="7" s="1"/>
  <c r="BK20" i="7" a="1"/>
  <c r="BK20" i="7" s="1"/>
  <c r="BW20" i="7" a="1"/>
  <c r="BW20" i="7" s="1"/>
  <c r="CB20" i="7" a="1"/>
  <c r="CB20" i="7" s="1"/>
  <c r="CH20" i="7" a="1"/>
  <c r="CH20" i="7" s="1"/>
  <c r="CN20" i="7" a="1"/>
  <c r="CN20" i="7" s="1"/>
  <c r="C20" i="7" a="1"/>
  <c r="C20" i="7" s="1"/>
  <c r="I20" i="7" a="1"/>
  <c r="I20" i="7" s="1"/>
  <c r="W20" i="7" a="1"/>
  <c r="W20" i="7" s="1"/>
  <c r="AC20" i="7" a="1"/>
  <c r="AC20" i="7" s="1"/>
  <c r="AJ20" i="7" a="1"/>
  <c r="AJ20" i="7" s="1"/>
  <c r="AQ20" i="7" a="1"/>
  <c r="AQ20" i="7" s="1"/>
  <c r="AW20" i="7" a="1"/>
  <c r="AW20" i="7" s="1"/>
  <c r="BD20" i="7" a="1"/>
  <c r="BD20" i="7" s="1"/>
  <c r="BJ20" i="7" a="1"/>
  <c r="BJ20" i="7" s="1"/>
  <c r="BQ20" i="7" a="1"/>
  <c r="BQ20" i="7" s="1"/>
  <c r="CE20" i="7" a="1"/>
  <c r="CE20" i="7" s="1"/>
  <c r="CK20" i="7" a="1"/>
  <c r="CK20" i="7" s="1"/>
  <c r="CR20" i="7" a="1"/>
  <c r="CR20" i="7" s="1"/>
  <c r="D20" i="7" a="1"/>
  <c r="D20" i="7" s="1"/>
  <c r="AA20" i="7" a="1"/>
  <c r="AA20" i="7" s="1"/>
  <c r="AI20" i="7" a="1"/>
  <c r="AI20" i="7" s="1"/>
  <c r="AP20" i="7" a="1"/>
  <c r="AP20" i="7" s="1"/>
  <c r="AX20" i="7" a="1"/>
  <c r="AX20" i="7" s="1"/>
  <c r="BF20" i="7" a="1"/>
  <c r="BF20" i="7" s="1"/>
  <c r="BT20" i="7" a="1"/>
  <c r="BT20" i="7" s="1"/>
  <c r="CJ20" i="7" a="1"/>
  <c r="CJ20" i="7" s="1"/>
  <c r="CQ20" i="7" a="1"/>
  <c r="CQ20" i="7" s="1"/>
  <c r="U20" i="7" a="1"/>
  <c r="U20" i="7" s="1"/>
  <c r="AZ20" i="7" a="1"/>
  <c r="AZ20" i="7" s="1"/>
  <c r="BO20" i="7" a="1"/>
  <c r="BO20" i="7" s="1"/>
  <c r="BV20" i="7" a="1"/>
  <c r="BV20" i="7" s="1"/>
  <c r="CD20" i="7" a="1"/>
  <c r="CD20" i="7" s="1"/>
  <c r="CL20" i="7" a="1"/>
  <c r="CL20" i="7" s="1"/>
  <c r="J20" i="7" a="1"/>
  <c r="J20" i="7" s="1"/>
  <c r="R20" i="7" a="1"/>
  <c r="R20" i="7" s="1"/>
  <c r="Y20" i="7" a="1"/>
  <c r="Y20" i="7" s="1"/>
  <c r="AG20" i="7" a="1"/>
  <c r="AG20" i="7" s="1"/>
  <c r="AN20" i="7" a="1"/>
  <c r="AN20" i="7" s="1"/>
  <c r="BC20" i="7" a="1"/>
  <c r="BC20" i="7" s="1"/>
  <c r="BL20" i="7" a="1"/>
  <c r="BL20" i="7" s="1"/>
  <c r="BR20" i="7" a="1"/>
  <c r="BR20" i="7" s="1"/>
  <c r="BZ20" i="7" a="1"/>
  <c r="BZ20" i="7" s="1"/>
  <c r="CO20" i="7" a="1"/>
  <c r="CO20" i="7" s="1"/>
  <c r="N20" i="7" a="1"/>
  <c r="N20" i="7" s="1"/>
  <c r="Z20" i="7" a="1"/>
  <c r="Z20" i="7" s="1"/>
  <c r="AY20" i="7" a="1"/>
  <c r="AY20" i="7" s="1"/>
  <c r="BI20" i="7" a="1"/>
  <c r="BI20" i="7" s="1"/>
  <c r="BX20" i="7" a="1"/>
  <c r="BX20" i="7" s="1"/>
  <c r="CI20" i="7" a="1"/>
  <c r="CI20" i="7" s="1"/>
  <c r="O20" i="7" a="1"/>
  <c r="O20" i="7" s="1"/>
  <c r="AL20" i="7" a="1"/>
  <c r="AL20" i="7" s="1"/>
  <c r="BA20" i="7" a="1"/>
  <c r="BA20" i="7" s="1"/>
  <c r="BM20" i="7" a="1"/>
  <c r="BM20" i="7" s="1"/>
  <c r="BY20" i="7" a="1"/>
  <c r="BY20" i="7" s="1"/>
  <c r="G20" i="7" a="1"/>
  <c r="G20" i="7" s="1"/>
  <c r="T20" i="7" a="1"/>
  <c r="T20" i="7" s="1"/>
  <c r="AF20" i="7" a="1"/>
  <c r="AF20" i="7" s="1"/>
  <c r="AS20" i="7" a="1"/>
  <c r="AS20" i="7" s="1"/>
  <c r="BP20" i="7" a="1"/>
  <c r="BP20" i="7" s="1"/>
  <c r="CC20" i="7" a="1"/>
  <c r="CC20" i="7" s="1"/>
  <c r="H20" i="7" a="1"/>
  <c r="H20" i="7" s="1"/>
  <c r="AT20" i="7" a="1"/>
  <c r="AT20" i="7" s="1"/>
  <c r="BG20" i="7" a="1"/>
  <c r="BG20" i="7" s="1"/>
  <c r="CP20" i="7" a="1"/>
  <c r="CP20" i="7" s="1"/>
  <c r="S20" i="7" a="1"/>
  <c r="S20" i="7" s="1"/>
  <c r="AR20" i="7" a="1"/>
  <c r="AR20" i="7" s="1"/>
  <c r="X20" i="7" a="1"/>
  <c r="X20" i="7" s="1"/>
  <c r="AU20" i="7" a="1"/>
  <c r="AU20" i="7" s="1"/>
  <c r="BS20" i="7" a="1"/>
  <c r="BS20" i="7" s="1"/>
  <c r="CS20" i="7" a="1"/>
  <c r="CS20" i="7" s="1"/>
  <c r="AV20" i="7" a="1"/>
  <c r="AV20" i="7" s="1"/>
  <c r="BU20" i="7" a="1"/>
  <c r="BU20" i="7" s="1"/>
  <c r="F20" i="7" a="1"/>
  <c r="F20" i="7" s="1"/>
  <c r="AE20" i="7" a="1"/>
  <c r="AE20" i="7" s="1"/>
  <c r="BB20" i="7" a="1"/>
  <c r="BB20" i="7" s="1"/>
  <c r="CA20" i="7" a="1"/>
  <c r="CA20" i="7" s="1"/>
  <c r="L20" i="7" a="1"/>
  <c r="L20" i="7" s="1"/>
  <c r="BH20" i="7" a="1"/>
  <c r="BH20" i="7" s="1"/>
  <c r="CF20" i="7" a="1"/>
  <c r="CF20" i="7" s="1"/>
  <c r="M20" i="7" a="1"/>
  <c r="M20" i="7" s="1"/>
  <c r="AK20" i="7" a="1"/>
  <c r="AK20" i="7" s="1"/>
  <c r="CG20" i="7" a="1"/>
  <c r="CG20" i="7" s="1"/>
  <c r="E20" i="7" a="1"/>
  <c r="E20" i="7" s="1"/>
  <c r="Q20" i="7" a="1"/>
  <c r="Q20" i="7" s="1"/>
  <c r="AD20" i="7" a="1"/>
  <c r="AD20" i="7" s="1"/>
  <c r="AO20" i="7" a="1"/>
  <c r="AO20" i="7" s="1"/>
  <c r="BN20" i="7" a="1"/>
  <c r="BN20" i="7" s="1"/>
  <c r="CM20" i="7" a="1"/>
  <c r="CM20" i="7" s="1"/>
  <c r="B20" i="7" a="1"/>
  <c r="B20" i="7" s="1"/>
  <c r="H36" i="7" a="1"/>
  <c r="H36" i="7" s="1"/>
  <c r="U36" i="7" a="1"/>
  <c r="U36" i="7" s="1"/>
  <c r="AA36" i="7" a="1"/>
  <c r="AA36" i="7" s="1"/>
  <c r="AH36" i="7" a="1"/>
  <c r="AH36" i="7" s="1"/>
  <c r="AN36" i="7" a="1"/>
  <c r="AN36" i="7" s="1"/>
  <c r="BA36" i="7" a="1"/>
  <c r="BA36" i="7" s="1"/>
  <c r="BG36" i="7" a="1"/>
  <c r="BG36" i="7" s="1"/>
  <c r="BN36" i="7" a="1"/>
  <c r="BN36" i="7" s="1"/>
  <c r="BT36" i="7" a="1"/>
  <c r="BT36" i="7" s="1"/>
  <c r="CG36" i="7" a="1"/>
  <c r="CG36" i="7" s="1"/>
  <c r="CM36" i="7" a="1"/>
  <c r="CM36" i="7" s="1"/>
  <c r="B36" i="7" a="1"/>
  <c r="B36" i="7" s="1"/>
  <c r="J36" i="7" a="1"/>
  <c r="J36" i="7" s="1"/>
  <c r="Q36" i="7" a="1"/>
  <c r="Q36" i="7" s="1"/>
  <c r="X36" i="7" a="1"/>
  <c r="X36" i="7" s="1"/>
  <c r="AE36" i="7" a="1"/>
  <c r="AE36" i="7" s="1"/>
  <c r="AT36" i="7" a="1"/>
  <c r="AT36" i="7" s="1"/>
  <c r="BB36" i="7" a="1"/>
  <c r="BB36" i="7" s="1"/>
  <c r="BI36" i="7" a="1"/>
  <c r="BI36" i="7" s="1"/>
  <c r="BP36" i="7" a="1"/>
  <c r="BP36" i="7" s="1"/>
  <c r="BW36" i="7" a="1"/>
  <c r="BW36" i="7" s="1"/>
  <c r="CL36" i="7" a="1"/>
  <c r="CL36" i="7" s="1"/>
  <c r="C36" i="7" a="1"/>
  <c r="C36" i="7" s="1"/>
  <c r="R36" i="7" a="1"/>
  <c r="R36" i="7" s="1"/>
  <c r="Y36" i="7" a="1"/>
  <c r="Y36" i="7" s="1"/>
  <c r="AF36" i="7" a="1"/>
  <c r="AF36" i="7" s="1"/>
  <c r="AM36" i="7" a="1"/>
  <c r="AM36" i="7" s="1"/>
  <c r="AU36" i="7" a="1"/>
  <c r="AU36" i="7" s="1"/>
  <c r="BJ36" i="7" a="1"/>
  <c r="BJ36" i="7" s="1"/>
  <c r="BQ36" i="7" a="1"/>
  <c r="BQ36" i="7" s="1"/>
  <c r="BX36" i="7" a="1"/>
  <c r="BX36" i="7" s="1"/>
  <c r="CE36" i="7" a="1"/>
  <c r="CE36" i="7" s="1"/>
  <c r="K36" i="7" a="1"/>
  <c r="K36" i="7" s="1"/>
  <c r="T36" i="7" a="1"/>
  <c r="T36" i="7" s="1"/>
  <c r="AD36" i="7" a="1"/>
  <c r="AD36" i="7" s="1"/>
  <c r="AO36" i="7" a="1"/>
  <c r="AO36" i="7" s="1"/>
  <c r="AX36" i="7" a="1"/>
  <c r="AX36" i="7" s="1"/>
  <c r="BR36" i="7" a="1"/>
  <c r="BR36" i="7" s="1"/>
  <c r="CA36" i="7" a="1"/>
  <c r="CA36" i="7" s="1"/>
  <c r="CJ36" i="7" a="1"/>
  <c r="CJ36" i="7" s="1"/>
  <c r="CR36" i="7" a="1"/>
  <c r="CR36" i="7" s="1"/>
  <c r="L36" i="7" a="1"/>
  <c r="L36" i="7" s="1"/>
  <c r="V36" i="7" a="1"/>
  <c r="V36" i="7" s="1"/>
  <c r="AP36" i="7" a="1"/>
  <c r="AP36" i="7" s="1"/>
  <c r="BH36" i="7" a="1"/>
  <c r="BH36" i="7" s="1"/>
  <c r="CB36" i="7" a="1"/>
  <c r="CB36" i="7" s="1"/>
  <c r="CK36" i="7" a="1"/>
  <c r="CK36" i="7" s="1"/>
  <c r="CS36" i="7" a="1"/>
  <c r="CS36" i="7" s="1"/>
  <c r="E36" i="7" a="1"/>
  <c r="E36" i="7" s="1"/>
  <c r="N36" i="7" a="1"/>
  <c r="N36" i="7" s="1"/>
  <c r="W36" i="7" a="1"/>
  <c r="W36" i="7" s="1"/>
  <c r="AQ36" i="7" a="1"/>
  <c r="AQ36" i="7" s="1"/>
  <c r="AZ36" i="7" a="1"/>
  <c r="AZ36" i="7" s="1"/>
  <c r="BK36" i="7" a="1"/>
  <c r="BK36" i="7" s="1"/>
  <c r="BU36" i="7" a="1"/>
  <c r="BU36" i="7" s="1"/>
  <c r="CD36" i="7" a="1"/>
  <c r="CD36" i="7" s="1"/>
  <c r="CN36" i="7" a="1"/>
  <c r="CN36" i="7" s="1"/>
  <c r="P36" i="7" a="1"/>
  <c r="P36" i="7" s="1"/>
  <c r="AJ36" i="7" a="1"/>
  <c r="AJ36" i="7" s="1"/>
  <c r="AS36" i="7" a="1"/>
  <c r="AS36" i="7" s="1"/>
  <c r="BD36" i="7" a="1"/>
  <c r="BD36" i="7" s="1"/>
  <c r="BM36" i="7" a="1"/>
  <c r="BM36" i="7" s="1"/>
  <c r="CH36" i="7" a="1"/>
  <c r="CH36" i="7" s="1"/>
  <c r="CP36" i="7" a="1"/>
  <c r="CP36" i="7" s="1"/>
  <c r="I36" i="7" a="1"/>
  <c r="I36" i="7" s="1"/>
  <c r="S36" i="7" a="1"/>
  <c r="S36" i="7" s="1"/>
  <c r="AL36" i="7" a="1"/>
  <c r="AL36" i="7" s="1"/>
  <c r="BF36" i="7" a="1"/>
  <c r="BF36" i="7" s="1"/>
  <c r="BZ36" i="7" a="1"/>
  <c r="BZ36" i="7" s="1"/>
  <c r="CQ36" i="7" a="1"/>
  <c r="CQ36" i="7" s="1"/>
  <c r="G36" i="7" a="1"/>
  <c r="G36" i="7" s="1"/>
  <c r="AB36" i="7" a="1"/>
  <c r="AB36" i="7" s="1"/>
  <c r="AK36" i="7" a="1"/>
  <c r="AK36" i="7" s="1"/>
  <c r="AV36" i="7" a="1"/>
  <c r="AV36" i="7" s="1"/>
  <c r="BE36" i="7" a="1"/>
  <c r="BE36" i="7" s="1"/>
  <c r="BY36" i="7" a="1"/>
  <c r="BY36" i="7" s="1"/>
  <c r="AC36" i="7" a="1"/>
  <c r="AC36" i="7" s="1"/>
  <c r="AW36" i="7" a="1"/>
  <c r="AW36" i="7" s="1"/>
  <c r="BO36" i="7" a="1"/>
  <c r="BO36" i="7" s="1"/>
  <c r="CI36" i="7" a="1"/>
  <c r="CI36" i="7" s="1"/>
  <c r="Z36" i="7" a="1"/>
  <c r="Z36" i="7" s="1"/>
  <c r="BL36" i="7" a="1"/>
  <c r="BL36" i="7" s="1"/>
  <c r="AG36" i="7" a="1"/>
  <c r="AG36" i="7" s="1"/>
  <c r="BS36" i="7" a="1"/>
  <c r="BS36" i="7" s="1"/>
  <c r="AI36" i="7" a="1"/>
  <c r="AI36" i="7" s="1"/>
  <c r="BV36" i="7" a="1"/>
  <c r="BV36" i="7" s="1"/>
  <c r="D36" i="7" a="1"/>
  <c r="D36" i="7" s="1"/>
  <c r="CC36" i="7" a="1"/>
  <c r="CC36" i="7" s="1"/>
  <c r="F36" i="7" a="1"/>
  <c r="F36" i="7" s="1"/>
  <c r="AR36" i="7" a="1"/>
  <c r="AR36" i="7" s="1"/>
  <c r="CF36" i="7" a="1"/>
  <c r="CF36" i="7" s="1"/>
  <c r="M36" i="7" a="1"/>
  <c r="M36" i="7" s="1"/>
  <c r="AY36" i="7" a="1"/>
  <c r="AY36" i="7" s="1"/>
  <c r="O36" i="7" a="1"/>
  <c r="O36" i="7" s="1"/>
  <c r="BC36" i="7" a="1"/>
  <c r="BC36" i="7" s="1"/>
  <c r="CO36" i="7" a="1"/>
  <c r="CO36" i="7" s="1"/>
  <c r="S30" i="7" a="1"/>
  <c r="S30" i="7" s="1"/>
  <c r="Z30" i="7" a="1"/>
  <c r="Z30" i="7" s="1"/>
  <c r="AF30" i="7" a="1"/>
  <c r="AF30" i="7" s="1"/>
  <c r="AM30" i="7" a="1"/>
  <c r="AM30" i="7" s="1"/>
  <c r="AS30" i="7" a="1"/>
  <c r="AS30" i="7" s="1"/>
  <c r="AX30" i="7" a="1"/>
  <c r="AX30" i="7" s="1"/>
  <c r="BQ30" i="7" a="1"/>
  <c r="BQ30" i="7" s="1"/>
  <c r="BW30" i="7" a="1"/>
  <c r="BW30" i="7" s="1"/>
  <c r="CC30" i="7" a="1"/>
  <c r="CC30" i="7" s="1"/>
  <c r="CO30" i="7" a="1"/>
  <c r="CO30" i="7" s="1"/>
  <c r="C30" i="7" a="1"/>
  <c r="C30" i="7" s="1"/>
  <c r="O30" i="7" a="1"/>
  <c r="O30" i="7" s="1"/>
  <c r="U30" i="7" a="1"/>
  <c r="U30" i="7" s="1"/>
  <c r="AH30" i="7" a="1"/>
  <c r="AH30" i="7" s="1"/>
  <c r="AN30" i="7" a="1"/>
  <c r="AN30" i="7" s="1"/>
  <c r="AT30" i="7" a="1"/>
  <c r="AT30" i="7" s="1"/>
  <c r="AZ30" i="7" a="1"/>
  <c r="AZ30" i="7" s="1"/>
  <c r="BG30" i="7" a="1"/>
  <c r="BG30" i="7" s="1"/>
  <c r="BS30" i="7" a="1"/>
  <c r="BS30" i="7" s="1"/>
  <c r="BY30" i="7" a="1"/>
  <c r="BY30" i="7" s="1"/>
  <c r="CD30" i="7" a="1"/>
  <c r="CD30" i="7" s="1"/>
  <c r="CK30" i="7" a="1"/>
  <c r="CK30" i="7" s="1"/>
  <c r="CQ30" i="7" a="1"/>
  <c r="CQ30" i="7" s="1"/>
  <c r="D30" i="7" a="1"/>
  <c r="D30" i="7" s="1"/>
  <c r="K30" i="7" a="1"/>
  <c r="K30" i="7" s="1"/>
  <c r="R30" i="7" a="1"/>
  <c r="R30" i="7" s="1"/>
  <c r="AB30" i="7" a="1"/>
  <c r="AB30" i="7" s="1"/>
  <c r="AR30" i="7" a="1"/>
  <c r="AR30" i="7" s="1"/>
  <c r="BA30" i="7" a="1"/>
  <c r="BA30" i="7" s="1"/>
  <c r="BI30" i="7" a="1"/>
  <c r="BI30" i="7" s="1"/>
  <c r="CG30" i="7" a="1"/>
  <c r="CG30" i="7" s="1"/>
  <c r="CN30" i="7" a="1"/>
  <c r="CN30" i="7" s="1"/>
  <c r="J30" i="7" a="1"/>
  <c r="J30" i="7" s="1"/>
  <c r="T30" i="7" a="1"/>
  <c r="T30" i="7" s="1"/>
  <c r="AD30" i="7" a="1"/>
  <c r="AD30" i="7" s="1"/>
  <c r="BF30" i="7" a="1"/>
  <c r="BF30" i="7" s="1"/>
  <c r="BO30" i="7" a="1"/>
  <c r="BO30" i="7" s="1"/>
  <c r="BX30" i="7" a="1"/>
  <c r="BX30" i="7" s="1"/>
  <c r="CH30" i="7" a="1"/>
  <c r="CH30" i="7" s="1"/>
  <c r="L30" i="7" a="1"/>
  <c r="L30" i="7" s="1"/>
  <c r="V30" i="7" a="1"/>
  <c r="V30" i="7" s="1"/>
  <c r="AE30" i="7" a="1"/>
  <c r="AE30" i="7" s="1"/>
  <c r="AW30" i="7" a="1"/>
  <c r="AW30" i="7" s="1"/>
  <c r="BP30" i="7" a="1"/>
  <c r="BP30" i="7" s="1"/>
  <c r="BZ30" i="7" a="1"/>
  <c r="BZ30" i="7" s="1"/>
  <c r="CI30" i="7" a="1"/>
  <c r="CI30" i="7" s="1"/>
  <c r="CR30" i="7" a="1"/>
  <c r="CR30" i="7" s="1"/>
  <c r="M30" i="7" a="1"/>
  <c r="M30" i="7" s="1"/>
  <c r="W30" i="7" a="1"/>
  <c r="W30" i="7" s="1"/>
  <c r="AO30" i="7" a="1"/>
  <c r="AO30" i="7" s="1"/>
  <c r="BH30" i="7" a="1"/>
  <c r="BH30" i="7" s="1"/>
  <c r="BR30" i="7" a="1"/>
  <c r="BR30" i="7" s="1"/>
  <c r="CA30" i="7" a="1"/>
  <c r="CA30" i="7" s="1"/>
  <c r="CJ30" i="7" a="1"/>
  <c r="CJ30" i="7" s="1"/>
  <c r="I30" i="7" a="1"/>
  <c r="I30" i="7" s="1"/>
  <c r="AC30" i="7" a="1"/>
  <c r="AC30" i="7" s="1"/>
  <c r="AL30" i="7" a="1"/>
  <c r="AL30" i="7" s="1"/>
  <c r="AV30" i="7" a="1"/>
  <c r="AV30" i="7" s="1"/>
  <c r="BE30" i="7" a="1"/>
  <c r="BE30" i="7" s="1"/>
  <c r="BN30" i="7" a="1"/>
  <c r="BN30" i="7" s="1"/>
  <c r="BV30" i="7" a="1"/>
  <c r="BV30" i="7" s="1"/>
  <c r="CF30" i="7" a="1"/>
  <c r="CF30" i="7" s="1"/>
  <c r="CP30" i="7" a="1"/>
  <c r="CP30" i="7" s="1"/>
  <c r="AJ30" i="7" a="1"/>
  <c r="AJ30" i="7" s="1"/>
  <c r="BC30" i="7" a="1"/>
  <c r="BC30" i="7" s="1"/>
  <c r="CM30" i="7" a="1"/>
  <c r="CM30" i="7" s="1"/>
  <c r="Q30" i="7" a="1"/>
  <c r="Q30" i="7" s="1"/>
  <c r="AK30" i="7" a="1"/>
  <c r="AK30" i="7" s="1"/>
  <c r="BD30" i="7" a="1"/>
  <c r="BD30" i="7" s="1"/>
  <c r="BU30" i="7" a="1"/>
  <c r="BU30" i="7" s="1"/>
  <c r="F30" i="7" a="1"/>
  <c r="F30" i="7" s="1"/>
  <c r="Y30" i="7" a="1"/>
  <c r="Y30" i="7" s="1"/>
  <c r="AQ30" i="7" a="1"/>
  <c r="AQ30" i="7" s="1"/>
  <c r="BK30" i="7" a="1"/>
  <c r="BK30" i="7" s="1"/>
  <c r="E30" i="7" a="1"/>
  <c r="E30" i="7" s="1"/>
  <c r="X30" i="7" a="1"/>
  <c r="X30" i="7" s="1"/>
  <c r="AP30" i="7" a="1"/>
  <c r="AP30" i="7" s="1"/>
  <c r="BJ30" i="7" a="1"/>
  <c r="BJ30" i="7" s="1"/>
  <c r="CB30" i="7" a="1"/>
  <c r="CB30" i="7" s="1"/>
  <c r="CS30" i="7" a="1"/>
  <c r="CS30" i="7" s="1"/>
  <c r="G30" i="7" a="1"/>
  <c r="G30" i="7" s="1"/>
  <c r="BL30" i="7" a="1"/>
  <c r="BL30" i="7" s="1"/>
  <c r="N30" i="7" a="1"/>
  <c r="N30" i="7" s="1"/>
  <c r="AG30" i="7" a="1"/>
  <c r="AG30" i="7" s="1"/>
  <c r="AY30" i="7" a="1"/>
  <c r="AY30" i="7" s="1"/>
  <c r="P30" i="7" a="1"/>
  <c r="P30" i="7" s="1"/>
  <c r="AI30" i="7" a="1"/>
  <c r="AI30" i="7" s="1"/>
  <c r="BB30" i="7" a="1"/>
  <c r="BB30" i="7" s="1"/>
  <c r="BT30" i="7" a="1"/>
  <c r="BT30" i="7" s="1"/>
  <c r="CL30" i="7" a="1"/>
  <c r="CL30" i="7" s="1"/>
  <c r="AU30" i="7" a="1"/>
  <c r="AU30" i="7" s="1"/>
  <c r="BM30" i="7" a="1"/>
  <c r="BM30" i="7" s="1"/>
  <c r="CE30" i="7" a="1"/>
  <c r="CE30" i="7" s="1"/>
  <c r="H30" i="7" a="1"/>
  <c r="H30" i="7" s="1"/>
  <c r="AA30" i="7" a="1"/>
  <c r="AA30" i="7" s="1"/>
  <c r="B30" i="7" a="1"/>
  <c r="B30" i="7" s="1"/>
  <c r="N27" i="7" a="1"/>
  <c r="N27" i="7" s="1"/>
  <c r="S27" i="7" a="1"/>
  <c r="S27" i="7" s="1"/>
  <c r="Y27" i="7" a="1"/>
  <c r="Y27" i="7" s="1"/>
  <c r="AE27" i="7" a="1"/>
  <c r="AE27" i="7" s="1"/>
  <c r="AK27" i="7" a="1"/>
  <c r="AK27" i="7" s="1"/>
  <c r="AQ27" i="7" a="1"/>
  <c r="AQ27" i="7" s="1"/>
  <c r="BB27" i="7" a="1"/>
  <c r="BB27" i="7" s="1"/>
  <c r="BH27" i="7" a="1"/>
  <c r="BH27" i="7" s="1"/>
  <c r="BZ27" i="7" a="1"/>
  <c r="BZ27" i="7" s="1"/>
  <c r="CE27" i="7" a="1"/>
  <c r="CE27" i="7" s="1"/>
  <c r="CK27" i="7" a="1"/>
  <c r="CK27" i="7" s="1"/>
  <c r="CQ27" i="7" a="1"/>
  <c r="CQ27" i="7" s="1"/>
  <c r="H27" i="7" a="1"/>
  <c r="H27" i="7" s="1"/>
  <c r="U27" i="7" a="1"/>
  <c r="U27" i="7" s="1"/>
  <c r="AB27" i="7" a="1"/>
  <c r="AB27" i="7" s="1"/>
  <c r="AI27" i="7" a="1"/>
  <c r="AI27" i="7" s="1"/>
  <c r="AO27" i="7" a="1"/>
  <c r="AO27" i="7" s="1"/>
  <c r="AV27" i="7" a="1"/>
  <c r="AV27" i="7" s="1"/>
  <c r="BC27" i="7" a="1"/>
  <c r="BC27" i="7" s="1"/>
  <c r="BJ27" i="7" a="1"/>
  <c r="BJ27" i="7" s="1"/>
  <c r="BW27" i="7" a="1"/>
  <c r="BW27" i="7" s="1"/>
  <c r="CC27" i="7" a="1"/>
  <c r="CC27" i="7" s="1"/>
  <c r="CJ27" i="7" a="1"/>
  <c r="CJ27" i="7" s="1"/>
  <c r="AA27" i="7" a="1"/>
  <c r="AA27" i="7" s="1"/>
  <c r="AP27" i="7" a="1"/>
  <c r="AP27" i="7" s="1"/>
  <c r="AX27" i="7" a="1"/>
  <c r="AX27" i="7" s="1"/>
  <c r="BE27" i="7" a="1"/>
  <c r="BE27" i="7" s="1"/>
  <c r="BM27" i="7" a="1"/>
  <c r="BM27" i="7" s="1"/>
  <c r="BT27" i="7" a="1"/>
  <c r="BT27" i="7" s="1"/>
  <c r="CB27" i="7" a="1"/>
  <c r="CB27" i="7" s="1"/>
  <c r="CI27" i="7" a="1"/>
  <c r="CI27" i="7" s="1"/>
  <c r="CR27" i="7" a="1"/>
  <c r="CR27" i="7" s="1"/>
  <c r="E27" i="7" a="1"/>
  <c r="E27" i="7" s="1"/>
  <c r="L27" i="7" a="1"/>
  <c r="L27" i="7" s="1"/>
  <c r="T27" i="7" a="1"/>
  <c r="T27" i="7" s="1"/>
  <c r="AJ27" i="7" a="1"/>
  <c r="AJ27" i="7" s="1"/>
  <c r="BF27" i="7" a="1"/>
  <c r="BF27" i="7" s="1"/>
  <c r="BN27" i="7" a="1"/>
  <c r="BN27" i="7" s="1"/>
  <c r="BU27" i="7" a="1"/>
  <c r="BU27" i="7" s="1"/>
  <c r="CS27" i="7" a="1"/>
  <c r="CS27" i="7" s="1"/>
  <c r="F27" i="7" a="1"/>
  <c r="F27" i="7" s="1"/>
  <c r="M27" i="7" a="1"/>
  <c r="M27" i="7" s="1"/>
  <c r="AC27" i="7" a="1"/>
  <c r="AC27" i="7" s="1"/>
  <c r="AR27" i="7" a="1"/>
  <c r="AR27" i="7" s="1"/>
  <c r="AY27" i="7" a="1"/>
  <c r="AY27" i="7" s="1"/>
  <c r="BG27" i="7" a="1"/>
  <c r="BG27" i="7" s="1"/>
  <c r="BO27" i="7" a="1"/>
  <c r="BO27" i="7" s="1"/>
  <c r="BV27" i="7" a="1"/>
  <c r="BV27" i="7" s="1"/>
  <c r="CD27" i="7" a="1"/>
  <c r="CD27" i="7" s="1"/>
  <c r="CL27" i="7" a="1"/>
  <c r="CL27" i="7" s="1"/>
  <c r="O27" i="7" a="1"/>
  <c r="O27" i="7" s="1"/>
  <c r="V27" i="7" a="1"/>
  <c r="V27" i="7" s="1"/>
  <c r="AD27" i="7" a="1"/>
  <c r="AD27" i="7" s="1"/>
  <c r="AL27" i="7" a="1"/>
  <c r="AL27" i="7" s="1"/>
  <c r="AS27" i="7" a="1"/>
  <c r="AS27" i="7" s="1"/>
  <c r="AZ27" i="7" a="1"/>
  <c r="AZ27" i="7" s="1"/>
  <c r="BP27" i="7" a="1"/>
  <c r="BP27" i="7" s="1"/>
  <c r="CM27" i="7" a="1"/>
  <c r="CM27" i="7" s="1"/>
  <c r="G27" i="7" a="1"/>
  <c r="G27" i="7" s="1"/>
  <c r="P27" i="7" a="1"/>
  <c r="P27" i="7" s="1"/>
  <c r="W27" i="7" a="1"/>
  <c r="W27" i="7" s="1"/>
  <c r="AT27" i="7" a="1"/>
  <c r="AT27" i="7" s="1"/>
  <c r="BI27" i="7" a="1"/>
  <c r="BI27" i="7" s="1"/>
  <c r="BQ27" i="7" a="1"/>
  <c r="BQ27" i="7" s="1"/>
  <c r="BX27" i="7" a="1"/>
  <c r="BX27" i="7" s="1"/>
  <c r="CF27" i="7" a="1"/>
  <c r="CF27" i="7" s="1"/>
  <c r="I27" i="7" a="1"/>
  <c r="I27" i="7" s="1"/>
  <c r="X27" i="7" a="1"/>
  <c r="X27" i="7" s="1"/>
  <c r="AF27" i="7" a="1"/>
  <c r="AF27" i="7" s="1"/>
  <c r="AM27" i="7" a="1"/>
  <c r="AM27" i="7" s="1"/>
  <c r="AU27" i="7" a="1"/>
  <c r="AU27" i="7" s="1"/>
  <c r="BA27" i="7" a="1"/>
  <c r="BA27" i="7" s="1"/>
  <c r="BR27" i="7" a="1"/>
  <c r="BR27" i="7" s="1"/>
  <c r="BY27" i="7" a="1"/>
  <c r="BY27" i="7" s="1"/>
  <c r="CN27" i="7" a="1"/>
  <c r="CN27" i="7" s="1"/>
  <c r="C27" i="7" a="1"/>
  <c r="C27" i="7" s="1"/>
  <c r="J27" i="7" a="1"/>
  <c r="J27" i="7" s="1"/>
  <c r="Q27" i="7" a="1"/>
  <c r="Q27" i="7" s="1"/>
  <c r="AG27" i="7" a="1"/>
  <c r="AG27" i="7" s="1"/>
  <c r="BD27" i="7" a="1"/>
  <c r="BD27" i="7" s="1"/>
  <c r="BK27" i="7" a="1"/>
  <c r="BK27" i="7" s="1"/>
  <c r="CA27" i="7" a="1"/>
  <c r="CA27" i="7" s="1"/>
  <c r="CG27" i="7" a="1"/>
  <c r="CG27" i="7" s="1"/>
  <c r="CO27" i="7" a="1"/>
  <c r="CO27" i="7" s="1"/>
  <c r="D27" i="7" a="1"/>
  <c r="D27" i="7" s="1"/>
  <c r="K27" i="7" a="1"/>
  <c r="K27" i="7" s="1"/>
  <c r="R27" i="7" a="1"/>
  <c r="R27" i="7" s="1"/>
  <c r="Z27" i="7" a="1"/>
  <c r="Z27" i="7" s="1"/>
  <c r="AH27" i="7" a="1"/>
  <c r="AH27" i="7" s="1"/>
  <c r="AN27" i="7" a="1"/>
  <c r="AN27" i="7" s="1"/>
  <c r="AW27" i="7" a="1"/>
  <c r="AW27" i="7" s="1"/>
  <c r="BL27" i="7" a="1"/>
  <c r="BL27" i="7" s="1"/>
  <c r="BS27" i="7" a="1"/>
  <c r="BS27" i="7" s="1"/>
  <c r="CH27" i="7" a="1"/>
  <c r="CH27" i="7" s="1"/>
  <c r="CP27" i="7" a="1"/>
  <c r="CP27" i="7" s="1"/>
  <c r="B27" i="7" a="1"/>
  <c r="B27" i="7" s="1"/>
  <c r="C4" i="7" a="1"/>
  <c r="C4" i="7" s="1"/>
  <c r="I4" i="7" a="1"/>
  <c r="I4" i="7" s="1"/>
  <c r="P4" i="7" a="1"/>
  <c r="P4" i="7" s="1"/>
  <c r="V4" i="7" a="1"/>
  <c r="V4" i="7" s="1"/>
  <c r="AJ4" i="7" a="1"/>
  <c r="AJ4" i="7" s="1"/>
  <c r="AR4" i="7" a="1"/>
  <c r="AR4" i="7" s="1"/>
  <c r="BF4" i="7" a="1"/>
  <c r="BF4" i="7" s="1"/>
  <c r="BM4" i="7" a="1"/>
  <c r="BM4" i="7" s="1"/>
  <c r="BT4" i="7" a="1"/>
  <c r="BT4" i="7" s="1"/>
  <c r="CA4" i="7" a="1"/>
  <c r="CA4" i="7" s="1"/>
  <c r="CH4" i="7" a="1"/>
  <c r="CH4" i="7" s="1"/>
  <c r="D4" i="7" a="1"/>
  <c r="D4" i="7" s="1"/>
  <c r="J4" i="7" a="1"/>
  <c r="J4" i="7" s="1"/>
  <c r="Q4" i="7" a="1"/>
  <c r="Q4" i="7" s="1"/>
  <c r="W4" i="7" a="1"/>
  <c r="W4" i="7" s="1"/>
  <c r="AD4" i="7" a="1"/>
  <c r="AD4" i="7" s="1"/>
  <c r="AK4" i="7" a="1"/>
  <c r="AK4" i="7" s="1"/>
  <c r="AS4" i="7" a="1"/>
  <c r="AS4" i="7" s="1"/>
  <c r="AY4" i="7" a="1"/>
  <c r="AY4" i="7" s="1"/>
  <c r="BG4" i="7" a="1"/>
  <c r="BG4" i="7" s="1"/>
  <c r="BN4" i="7" a="1"/>
  <c r="BN4" i="7" s="1"/>
  <c r="BU4" i="7" a="1"/>
  <c r="BU4" i="7" s="1"/>
  <c r="CB4" i="7" a="1"/>
  <c r="CB4" i="7" s="1"/>
  <c r="CI4" i="7" a="1"/>
  <c r="CI4" i="7" s="1"/>
  <c r="CP4" i="7" a="1"/>
  <c r="CP4" i="7" s="1"/>
  <c r="E4" i="7" a="1"/>
  <c r="E4" i="7" s="1"/>
  <c r="K4" i="7" a="1"/>
  <c r="K4" i="7" s="1"/>
  <c r="X4" i="7" a="1"/>
  <c r="X4" i="7" s="1"/>
  <c r="AE4" i="7" a="1"/>
  <c r="AE4" i="7" s="1"/>
  <c r="AL4" i="7" a="1"/>
  <c r="AL4" i="7" s="1"/>
  <c r="AZ4" i="7" a="1"/>
  <c r="AZ4" i="7" s="1"/>
  <c r="BH4" i="7" a="1"/>
  <c r="BH4" i="7" s="1"/>
  <c r="BV4" i="7" a="1"/>
  <c r="BV4" i="7" s="1"/>
  <c r="CC4" i="7" a="1"/>
  <c r="CC4" i="7" s="1"/>
  <c r="CJ4" i="7" a="1"/>
  <c r="CJ4" i="7" s="1"/>
  <c r="CQ4" i="7" a="1"/>
  <c r="CQ4" i="7" s="1"/>
  <c r="L4" i="7" a="1"/>
  <c r="L4" i="7" s="1"/>
  <c r="R4" i="7" a="1"/>
  <c r="R4" i="7" s="1"/>
  <c r="Y4" i="7" a="1"/>
  <c r="Y4" i="7" s="1"/>
  <c r="AF4" i="7" a="1"/>
  <c r="AF4" i="7" s="1"/>
  <c r="AM4" i="7" a="1"/>
  <c r="AM4" i="7" s="1"/>
  <c r="AT4" i="7" a="1"/>
  <c r="AT4" i="7" s="1"/>
  <c r="BA4" i="7" a="1"/>
  <c r="BA4" i="7" s="1"/>
  <c r="BI4" i="7" a="1"/>
  <c r="BI4" i="7" s="1"/>
  <c r="BO4" i="7" a="1"/>
  <c r="BO4" i="7" s="1"/>
  <c r="BW4" i="7" a="1"/>
  <c r="BW4" i="7" s="1"/>
  <c r="CD4" i="7" a="1"/>
  <c r="CD4" i="7" s="1"/>
  <c r="CK4" i="7" a="1"/>
  <c r="CK4" i="7" s="1"/>
  <c r="CR4" i="7" a="1"/>
  <c r="CR4" i="7" s="1"/>
  <c r="F4" i="7" a="1"/>
  <c r="F4" i="7" s="1"/>
  <c r="M4" i="7" a="1"/>
  <c r="M4" i="7" s="1"/>
  <c r="Z4" i="7" a="1"/>
  <c r="Z4" i="7" s="1"/>
  <c r="AG4" i="7" a="1"/>
  <c r="AG4" i="7" s="1"/>
  <c r="AN4" i="7" a="1"/>
  <c r="AN4" i="7" s="1"/>
  <c r="AU4" i="7" a="1"/>
  <c r="AU4" i="7" s="1"/>
  <c r="BB4" i="7" a="1"/>
  <c r="BB4" i="7" s="1"/>
  <c r="BP4" i="7" a="1"/>
  <c r="BP4" i="7" s="1"/>
  <c r="BX4" i="7" a="1"/>
  <c r="BX4" i="7" s="1"/>
  <c r="CL4" i="7" a="1"/>
  <c r="CL4" i="7" s="1"/>
  <c r="CS4" i="7" a="1"/>
  <c r="CS4" i="7" s="1"/>
  <c r="S4" i="7" a="1"/>
  <c r="S4" i="7" s="1"/>
  <c r="AA4" i="7" a="1"/>
  <c r="AA4" i="7" s="1"/>
  <c r="AH4" i="7" a="1"/>
  <c r="AH4" i="7" s="1"/>
  <c r="AO4" i="7" a="1"/>
  <c r="AO4" i="7" s="1"/>
  <c r="AV4" i="7" a="1"/>
  <c r="AV4" i="7" s="1"/>
  <c r="BC4" i="7" a="1"/>
  <c r="BC4" i="7" s="1"/>
  <c r="BJ4" i="7" a="1"/>
  <c r="BJ4" i="7" s="1"/>
  <c r="BQ4" i="7" a="1"/>
  <c r="BQ4" i="7" s="1"/>
  <c r="BY4" i="7" a="1"/>
  <c r="BY4" i="7" s="1"/>
  <c r="CE4" i="7" a="1"/>
  <c r="CE4" i="7" s="1"/>
  <c r="CM4" i="7" a="1"/>
  <c r="CM4" i="7" s="1"/>
  <c r="G4" i="7" a="1"/>
  <c r="G4" i="7" s="1"/>
  <c r="N4" i="7" a="1"/>
  <c r="N4" i="7" s="1"/>
  <c r="T4" i="7" a="1"/>
  <c r="T4" i="7" s="1"/>
  <c r="AB4" i="7" a="1"/>
  <c r="AB4" i="7" s="1"/>
  <c r="AP4" i="7" a="1"/>
  <c r="AP4" i="7" s="1"/>
  <c r="AW4" i="7" a="1"/>
  <c r="AW4" i="7" s="1"/>
  <c r="BD4" i="7" a="1"/>
  <c r="BD4" i="7" s="1"/>
  <c r="BK4" i="7" a="1"/>
  <c r="BK4" i="7" s="1"/>
  <c r="BR4" i="7" a="1"/>
  <c r="BR4" i="7" s="1"/>
  <c r="CF4" i="7" a="1"/>
  <c r="CF4" i="7" s="1"/>
  <c r="CN4" i="7" a="1"/>
  <c r="CN4" i="7" s="1"/>
  <c r="H4" i="7" a="1"/>
  <c r="H4" i="7" s="1"/>
  <c r="O4" i="7" a="1"/>
  <c r="O4" i="7" s="1"/>
  <c r="U4" i="7" a="1"/>
  <c r="U4" i="7" s="1"/>
  <c r="AC4" i="7" a="1"/>
  <c r="AC4" i="7" s="1"/>
  <c r="AI4" i="7" a="1"/>
  <c r="AI4" i="7" s="1"/>
  <c r="AQ4" i="7" a="1"/>
  <c r="AQ4" i="7" s="1"/>
  <c r="AX4" i="7" a="1"/>
  <c r="AX4" i="7" s="1"/>
  <c r="BE4" i="7" a="1"/>
  <c r="BE4" i="7" s="1"/>
  <c r="BL4" i="7" a="1"/>
  <c r="BL4" i="7" s="1"/>
  <c r="BS4" i="7" a="1"/>
  <c r="BS4" i="7" s="1"/>
  <c r="BZ4" i="7" a="1"/>
  <c r="BZ4" i="7" s="1"/>
  <c r="CG4" i="7" a="1"/>
  <c r="CG4" i="7" s="1"/>
  <c r="CO4" i="7" a="1"/>
  <c r="CO4" i="7" s="1"/>
  <c r="B4" i="7" a="1"/>
  <c r="B4" i="7" s="1"/>
  <c r="G9" i="7" a="1"/>
  <c r="G9" i="7" s="1"/>
  <c r="M9" i="7" a="1"/>
  <c r="M9" i="7" s="1"/>
  <c r="T9" i="7" a="1"/>
  <c r="T9" i="7" s="1"/>
  <c r="AA9" i="7" a="1"/>
  <c r="AA9" i="7" s="1"/>
  <c r="AN9" i="7" a="1"/>
  <c r="AN9" i="7" s="1"/>
  <c r="AU9" i="7" a="1"/>
  <c r="AU9" i="7" s="1"/>
  <c r="BI9" i="7" a="1"/>
  <c r="BI9" i="7" s="1"/>
  <c r="BO9" i="7" a="1"/>
  <c r="BO9" i="7" s="1"/>
  <c r="BV9" i="7" a="1"/>
  <c r="BV9" i="7" s="1"/>
  <c r="CC9" i="7" a="1"/>
  <c r="CC9" i="7" s="1"/>
  <c r="CI9" i="7" a="1"/>
  <c r="CI9" i="7" s="1"/>
  <c r="K9" i="7" a="1"/>
  <c r="K9" i="7" s="1"/>
  <c r="AB9" i="7" a="1"/>
  <c r="AB9" i="7" s="1"/>
  <c r="AI9" i="7" a="1"/>
  <c r="AI9" i="7" s="1"/>
  <c r="AY9" i="7" a="1"/>
  <c r="AY9" i="7" s="1"/>
  <c r="BF9" i="7" a="1"/>
  <c r="BF9" i="7" s="1"/>
  <c r="BU9" i="7" a="1"/>
  <c r="BU9" i="7" s="1"/>
  <c r="CD9" i="7" a="1"/>
  <c r="CD9" i="7" s="1"/>
  <c r="CK9" i="7" a="1"/>
  <c r="CK9" i="7" s="1"/>
  <c r="CS9" i="7" a="1"/>
  <c r="CS9" i="7" s="1"/>
  <c r="N9" i="7" a="1"/>
  <c r="N9" i="7" s="1"/>
  <c r="V9" i="7" a="1"/>
  <c r="V9" i="7" s="1"/>
  <c r="AE9" i="7" a="1"/>
  <c r="AE9" i="7" s="1"/>
  <c r="AW9" i="7" a="1"/>
  <c r="AW9" i="7" s="1"/>
  <c r="BE9" i="7" a="1"/>
  <c r="BE9" i="7" s="1"/>
  <c r="BN9" i="7" a="1"/>
  <c r="BN9" i="7" s="1"/>
  <c r="BW9" i="7" a="1"/>
  <c r="BW9" i="7" s="1"/>
  <c r="CF9" i="7" a="1"/>
  <c r="CF9" i="7" s="1"/>
  <c r="CO9" i="7" a="1"/>
  <c r="CO9" i="7" s="1"/>
  <c r="O9" i="7" a="1"/>
  <c r="O9" i="7" s="1"/>
  <c r="W9" i="7" a="1"/>
  <c r="W9" i="7" s="1"/>
  <c r="AF9" i="7" a="1"/>
  <c r="AF9" i="7" s="1"/>
  <c r="AO9" i="7" a="1"/>
  <c r="AO9" i="7" s="1"/>
  <c r="AX9" i="7" a="1"/>
  <c r="AX9" i="7" s="1"/>
  <c r="BG9" i="7" a="1"/>
  <c r="BG9" i="7" s="1"/>
  <c r="BP9" i="7" a="1"/>
  <c r="BP9" i="7" s="1"/>
  <c r="BX9" i="7" a="1"/>
  <c r="BX9" i="7" s="1"/>
  <c r="CG9" i="7" a="1"/>
  <c r="CG9" i="7" s="1"/>
  <c r="CP9" i="7" a="1"/>
  <c r="CP9" i="7" s="1"/>
  <c r="R9" i="7" a="1"/>
  <c r="R9" i="7" s="1"/>
  <c r="AD9" i="7" a="1"/>
  <c r="AD9" i="7" s="1"/>
  <c r="AP9" i="7" a="1"/>
  <c r="AP9" i="7" s="1"/>
  <c r="BA9" i="7" a="1"/>
  <c r="BA9" i="7" s="1"/>
  <c r="BL9" i="7" a="1"/>
  <c r="BL9" i="7" s="1"/>
  <c r="BY9" i="7" a="1"/>
  <c r="BY9" i="7" s="1"/>
  <c r="CJ9" i="7" a="1"/>
  <c r="CJ9" i="7" s="1"/>
  <c r="H9" i="7" a="1"/>
  <c r="H9" i="7" s="1"/>
  <c r="S9" i="7" a="1"/>
  <c r="S9" i="7" s="1"/>
  <c r="AQ9" i="7" a="1"/>
  <c r="AQ9" i="7" s="1"/>
  <c r="BB9" i="7" a="1"/>
  <c r="BB9" i="7" s="1"/>
  <c r="BM9" i="7" a="1"/>
  <c r="BM9" i="7" s="1"/>
  <c r="BZ9" i="7" a="1"/>
  <c r="BZ9" i="7" s="1"/>
  <c r="CL9" i="7" a="1"/>
  <c r="CL9" i="7" s="1"/>
  <c r="I9" i="7" a="1"/>
  <c r="I9" i="7" s="1"/>
  <c r="U9" i="7" a="1"/>
  <c r="U9" i="7" s="1"/>
  <c r="AG9" i="7" a="1"/>
  <c r="AG9" i="7" s="1"/>
  <c r="AR9" i="7" a="1"/>
  <c r="AR9" i="7" s="1"/>
  <c r="BC9" i="7" a="1"/>
  <c r="BC9" i="7" s="1"/>
  <c r="BQ9" i="7" a="1"/>
  <c r="BQ9" i="7" s="1"/>
  <c r="CA9" i="7" a="1"/>
  <c r="CA9" i="7" s="1"/>
  <c r="CM9" i="7" a="1"/>
  <c r="CM9" i="7" s="1"/>
  <c r="J9" i="7" a="1"/>
  <c r="J9" i="7" s="1"/>
  <c r="AH9" i="7" a="1"/>
  <c r="AH9" i="7" s="1"/>
  <c r="AS9" i="7" a="1"/>
  <c r="AS9" i="7" s="1"/>
  <c r="BD9" i="7" a="1"/>
  <c r="BD9" i="7" s="1"/>
  <c r="BR9" i="7" a="1"/>
  <c r="BR9" i="7" s="1"/>
  <c r="CB9" i="7" a="1"/>
  <c r="CB9" i="7" s="1"/>
  <c r="CN9" i="7" a="1"/>
  <c r="CN9" i="7" s="1"/>
  <c r="X9" i="7" a="1"/>
  <c r="X9" i="7" s="1"/>
  <c r="AJ9" i="7" a="1"/>
  <c r="AJ9" i="7" s="1"/>
  <c r="AT9" i="7" a="1"/>
  <c r="AT9" i="7" s="1"/>
  <c r="BH9" i="7" a="1"/>
  <c r="BH9" i="7" s="1"/>
  <c r="BS9" i="7" a="1"/>
  <c r="BS9" i="7" s="1"/>
  <c r="CE9" i="7" a="1"/>
  <c r="CE9" i="7" s="1"/>
  <c r="CQ9" i="7" a="1"/>
  <c r="CQ9" i="7" s="1"/>
  <c r="L9" i="7" a="1"/>
  <c r="L9" i="7" s="1"/>
  <c r="Y9" i="7" a="1"/>
  <c r="Y9" i="7" s="1"/>
  <c r="AK9" i="7" a="1"/>
  <c r="AK9" i="7" s="1"/>
  <c r="AV9" i="7" a="1"/>
  <c r="AV9" i="7" s="1"/>
  <c r="BJ9" i="7" a="1"/>
  <c r="BJ9" i="7" s="1"/>
  <c r="CR9" i="7" a="1"/>
  <c r="CR9" i="7" s="1"/>
  <c r="P9" i="7" a="1"/>
  <c r="P9" i="7" s="1"/>
  <c r="Z9" i="7" a="1"/>
  <c r="Z9" i="7" s="1"/>
  <c r="AL9" i="7" a="1"/>
  <c r="AL9" i="7" s="1"/>
  <c r="BT9" i="7" a="1"/>
  <c r="BT9" i="7" s="1"/>
  <c r="Q9" i="7" a="1"/>
  <c r="Q9" i="7" s="1"/>
  <c r="AC9" i="7" a="1"/>
  <c r="AC9" i="7" s="1"/>
  <c r="AM9" i="7" a="1"/>
  <c r="AM9" i="7" s="1"/>
  <c r="AZ9" i="7" a="1"/>
  <c r="AZ9" i="7" s="1"/>
  <c r="BK9" i="7" a="1"/>
  <c r="BK9" i="7" s="1"/>
  <c r="CH9" i="7" a="1"/>
  <c r="CH9" i="7" s="1"/>
  <c r="B9" i="7" a="1"/>
  <c r="B9" i="7" s="1"/>
  <c r="C21" i="7" a="1"/>
  <c r="C21" i="7" s="1"/>
  <c r="S21" i="7" a="1"/>
  <c r="S21" i="7" s="1"/>
  <c r="Y21" i="7" a="1"/>
  <c r="Y21" i="7" s="1"/>
  <c r="AD21" i="7" a="1"/>
  <c r="AD21" i="7" s="1"/>
  <c r="AP21" i="7" a="1"/>
  <c r="AP21" i="7" s="1"/>
  <c r="AV21" i="7" a="1"/>
  <c r="AV21" i="7" s="1"/>
  <c r="BB21" i="7" a="1"/>
  <c r="BB21" i="7" s="1"/>
  <c r="BH21" i="7" a="1"/>
  <c r="BH21" i="7" s="1"/>
  <c r="BN21" i="7" a="1"/>
  <c r="BN21" i="7" s="1"/>
  <c r="CE21" i="7" a="1"/>
  <c r="CE21" i="7" s="1"/>
  <c r="CK21" i="7" a="1"/>
  <c r="CK21" i="7" s="1"/>
  <c r="CP21" i="7" a="1"/>
  <c r="CP21" i="7" s="1"/>
  <c r="I21" i="7" a="1"/>
  <c r="I21" i="7" s="1"/>
  <c r="P21" i="7" a="1"/>
  <c r="P21" i="7" s="1"/>
  <c r="AC21" i="7" a="1"/>
  <c r="AC21" i="7" s="1"/>
  <c r="AJ21" i="7" a="1"/>
  <c r="AJ21" i="7" s="1"/>
  <c r="AQ21" i="7" a="1"/>
  <c r="AQ21" i="7" s="1"/>
  <c r="AW21" i="7" a="1"/>
  <c r="AW21" i="7" s="1"/>
  <c r="BD21" i="7" a="1"/>
  <c r="BD21" i="7" s="1"/>
  <c r="BJ21" i="7" a="1"/>
  <c r="BJ21" i="7" s="1"/>
  <c r="BQ21" i="7" a="1"/>
  <c r="BQ21" i="7" s="1"/>
  <c r="BX21" i="7" a="1"/>
  <c r="BX21" i="7" s="1"/>
  <c r="CD21" i="7" a="1"/>
  <c r="CD21" i="7" s="1"/>
  <c r="CR21" i="7" a="1"/>
  <c r="CR21" i="7" s="1"/>
  <c r="M21" i="7" a="1"/>
  <c r="M21" i="7" s="1"/>
  <c r="T21" i="7" a="1"/>
  <c r="T21" i="7" s="1"/>
  <c r="Z21" i="7" a="1"/>
  <c r="Z21" i="7" s="1"/>
  <c r="AG21" i="7" a="1"/>
  <c r="AG21" i="7" s="1"/>
  <c r="AT21" i="7" a="1"/>
  <c r="AT21" i="7" s="1"/>
  <c r="BG21" i="7" a="1"/>
  <c r="BG21" i="7" s="1"/>
  <c r="BT21" i="7" a="1"/>
  <c r="BT21" i="7" s="1"/>
  <c r="CA21" i="7" a="1"/>
  <c r="CA21" i="7" s="1"/>
  <c r="CH21" i="7" a="1"/>
  <c r="CH21" i="7" s="1"/>
  <c r="N21" i="7" a="1"/>
  <c r="N21" i="7" s="1"/>
  <c r="V21" i="7" a="1"/>
  <c r="V21" i="7" s="1"/>
  <c r="AE21" i="7" a="1"/>
  <c r="AE21" i="7" s="1"/>
  <c r="AM21" i="7" a="1"/>
  <c r="AM21" i="7" s="1"/>
  <c r="BO21" i="7" a="1"/>
  <c r="BO21" i="7" s="1"/>
  <c r="BW21" i="7" a="1"/>
  <c r="BW21" i="7" s="1"/>
  <c r="CO21" i="7" a="1"/>
  <c r="CO21" i="7" s="1"/>
  <c r="E21" i="7" a="1"/>
  <c r="E21" i="7" s="1"/>
  <c r="H21" i="7" a="1"/>
  <c r="H21" i="7" s="1"/>
  <c r="Q21" i="7" a="1"/>
  <c r="Q21" i="7" s="1"/>
  <c r="AA21" i="7" a="1"/>
  <c r="AA21" i="7" s="1"/>
  <c r="AI21" i="7" a="1"/>
  <c r="AI21" i="7" s="1"/>
  <c r="AS21" i="7" a="1"/>
  <c r="AS21" i="7" s="1"/>
  <c r="BA21" i="7" a="1"/>
  <c r="BA21" i="7" s="1"/>
  <c r="BR21" i="7" a="1"/>
  <c r="BR21" i="7" s="1"/>
  <c r="CB21" i="7" a="1"/>
  <c r="CB21" i="7" s="1"/>
  <c r="CJ21" i="7" a="1"/>
  <c r="CJ21" i="7" s="1"/>
  <c r="J21" i="7" a="1"/>
  <c r="J21" i="7" s="1"/>
  <c r="R21" i="7" a="1"/>
  <c r="R21" i="7" s="1"/>
  <c r="AB21" i="7" a="1"/>
  <c r="AB21" i="7" s="1"/>
  <c r="AK21" i="7" a="1"/>
  <c r="AK21" i="7" s="1"/>
  <c r="BK21" i="7" a="1"/>
  <c r="BK21" i="7" s="1"/>
  <c r="BS21" i="7" a="1"/>
  <c r="BS21" i="7" s="1"/>
  <c r="CL21" i="7" a="1"/>
  <c r="CL21" i="7" s="1"/>
  <c r="O21" i="7" a="1"/>
  <c r="O21" i="7" s="1"/>
  <c r="AR21" i="7" a="1"/>
  <c r="AR21" i="7" s="1"/>
  <c r="BF21" i="7" a="1"/>
  <c r="BF21" i="7" s="1"/>
  <c r="BU21" i="7" a="1"/>
  <c r="BU21" i="7" s="1"/>
  <c r="AF21" i="7" a="1"/>
  <c r="AF21" i="7" s="1"/>
  <c r="BV21" i="7" a="1"/>
  <c r="BV21" i="7" s="1"/>
  <c r="CI21" i="7" a="1"/>
  <c r="CI21" i="7" s="1"/>
  <c r="D21" i="7" a="1"/>
  <c r="D21" i="7" s="1"/>
  <c r="AH21" i="7" a="1"/>
  <c r="AH21" i="7" s="1"/>
  <c r="AU21" i="7" a="1"/>
  <c r="AU21" i="7" s="1"/>
  <c r="BI21" i="7" a="1"/>
  <c r="BI21" i="7" s="1"/>
  <c r="BY21" i="7" a="1"/>
  <c r="BY21" i="7" s="1"/>
  <c r="CM21" i="7" a="1"/>
  <c r="CM21" i="7" s="1"/>
  <c r="G21" i="7" a="1"/>
  <c r="G21" i="7" s="1"/>
  <c r="W21" i="7" a="1"/>
  <c r="W21" i="7" s="1"/>
  <c r="AY21" i="7" a="1"/>
  <c r="AY21" i="7" s="1"/>
  <c r="BM21" i="7" a="1"/>
  <c r="BM21" i="7" s="1"/>
  <c r="K21" i="7" a="1"/>
  <c r="K21" i="7" s="1"/>
  <c r="X21" i="7" a="1"/>
  <c r="X21" i="7" s="1"/>
  <c r="AL21" i="7" a="1"/>
  <c r="AL21" i="7" s="1"/>
  <c r="AZ21" i="7" a="1"/>
  <c r="AZ21" i="7" s="1"/>
  <c r="BP21" i="7" a="1"/>
  <c r="BP21" i="7" s="1"/>
  <c r="CC21" i="7" a="1"/>
  <c r="CC21" i="7" s="1"/>
  <c r="CQ21" i="7" a="1"/>
  <c r="CQ21" i="7" s="1"/>
  <c r="L21" i="7" a="1"/>
  <c r="L21" i="7" s="1"/>
  <c r="AN21" i="7" a="1"/>
  <c r="AN21" i="7" s="1"/>
  <c r="BC21" i="7" a="1"/>
  <c r="BC21" i="7" s="1"/>
  <c r="CF21" i="7" a="1"/>
  <c r="CF21" i="7" s="1"/>
  <c r="CS21" i="7" a="1"/>
  <c r="CS21" i="7" s="1"/>
  <c r="F21" i="7" a="1"/>
  <c r="F21" i="7" s="1"/>
  <c r="BL21" i="7" a="1"/>
  <c r="BL21" i="7" s="1"/>
  <c r="U21" i="7" a="1"/>
  <c r="U21" i="7" s="1"/>
  <c r="BZ21" i="7" a="1"/>
  <c r="BZ21" i="7" s="1"/>
  <c r="CG21" i="7" a="1"/>
  <c r="CG21" i="7" s="1"/>
  <c r="CN21" i="7" a="1"/>
  <c r="CN21" i="7" s="1"/>
  <c r="AO21" i="7" a="1"/>
  <c r="AO21" i="7" s="1"/>
  <c r="AX21" i="7" a="1"/>
  <c r="AX21" i="7" s="1"/>
  <c r="BE21" i="7" a="1"/>
  <c r="BE21" i="7" s="1"/>
  <c r="B21" i="7" a="1"/>
  <c r="B21" i="7" s="1"/>
  <c r="D26" i="7" a="1"/>
  <c r="D26" i="7" s="1"/>
  <c r="J26" i="7" a="1"/>
  <c r="J26" i="7" s="1"/>
  <c r="U26" i="7" a="1"/>
  <c r="U26" i="7" s="1"/>
  <c r="AA26" i="7" a="1"/>
  <c r="AA26" i="7" s="1"/>
  <c r="AS26" i="7" a="1"/>
  <c r="AS26" i="7" s="1"/>
  <c r="AX26" i="7" a="1"/>
  <c r="AX26" i="7" s="1"/>
  <c r="BD26" i="7" a="1"/>
  <c r="BD26" i="7" s="1"/>
  <c r="BJ26" i="7" a="1"/>
  <c r="BJ26" i="7" s="1"/>
  <c r="BP26" i="7" a="1"/>
  <c r="BP26" i="7" s="1"/>
  <c r="BV26" i="7" a="1"/>
  <c r="BV26" i="7" s="1"/>
  <c r="CG26" i="7" a="1"/>
  <c r="CG26" i="7" s="1"/>
  <c r="CM26" i="7" a="1"/>
  <c r="CM26" i="7" s="1"/>
  <c r="C26" i="7" a="1"/>
  <c r="C26" i="7" s="1"/>
  <c r="I26" i="7" a="1"/>
  <c r="I26" i="7" s="1"/>
  <c r="P26" i="7" a="1"/>
  <c r="P26" i="7" s="1"/>
  <c r="W26" i="7" a="1"/>
  <c r="W26" i="7" s="1"/>
  <c r="AJ26" i="7" a="1"/>
  <c r="AJ26" i="7" s="1"/>
  <c r="AW26" i="7" a="1"/>
  <c r="AW26" i="7" s="1"/>
  <c r="Q26" i="7" a="1"/>
  <c r="Q26" i="7" s="1"/>
  <c r="AD26" i="7" a="1"/>
  <c r="AD26" i="7" s="1"/>
  <c r="AK26" i="7" a="1"/>
  <c r="AK26" i="7" s="1"/>
  <c r="AQ26" i="7" a="1"/>
  <c r="AQ26" i="7" s="1"/>
  <c r="BE26" i="7" a="1"/>
  <c r="BE26" i="7" s="1"/>
  <c r="BL26" i="7" a="1"/>
  <c r="BL26" i="7" s="1"/>
  <c r="BR26" i="7" a="1"/>
  <c r="BR26" i="7" s="1"/>
  <c r="BY26" i="7" a="1"/>
  <c r="BY26" i="7" s="1"/>
  <c r="CE26" i="7" a="1"/>
  <c r="CE26" i="7" s="1"/>
  <c r="CL26" i="7" a="1"/>
  <c r="CL26" i="7" s="1"/>
  <c r="CS26" i="7" a="1"/>
  <c r="CS26" i="7" s="1"/>
  <c r="N26" i="7" a="1"/>
  <c r="N26" i="7" s="1"/>
  <c r="AH26" i="7" a="1"/>
  <c r="AH26" i="7" s="1"/>
  <c r="AN26" i="7" a="1"/>
  <c r="AN26" i="7" s="1"/>
  <c r="AU26" i="7" a="1"/>
  <c r="AU26" i="7" s="1"/>
  <c r="G26" i="7" a="1"/>
  <c r="G26" i="7" s="1"/>
  <c r="T26" i="7" a="1"/>
  <c r="T26" i="7" s="1"/>
  <c r="AB26" i="7" a="1"/>
  <c r="AB26" i="7" s="1"/>
  <c r="AI26" i="7" a="1"/>
  <c r="AI26" i="7" s="1"/>
  <c r="AO26" i="7" a="1"/>
  <c r="AO26" i="7" s="1"/>
  <c r="BB26" i="7" a="1"/>
  <c r="BB26" i="7" s="1"/>
  <c r="BI26" i="7" a="1"/>
  <c r="BI26" i="7" s="1"/>
  <c r="L26" i="7" a="1"/>
  <c r="L26" i="7" s="1"/>
  <c r="Y26" i="7" a="1"/>
  <c r="Y26" i="7" s="1"/>
  <c r="AL26" i="7" a="1"/>
  <c r="AL26" i="7" s="1"/>
  <c r="BH26" i="7" a="1"/>
  <c r="BH26" i="7" s="1"/>
  <c r="BQ26" i="7" a="1"/>
  <c r="BQ26" i="7" s="1"/>
  <c r="BX26" i="7" a="1"/>
  <c r="BX26" i="7" s="1"/>
  <c r="CN26" i="7" a="1"/>
  <c r="CN26" i="7" s="1"/>
  <c r="M26" i="7" a="1"/>
  <c r="M26" i="7" s="1"/>
  <c r="Z26" i="7" a="1"/>
  <c r="Z26" i="7" s="1"/>
  <c r="AM26" i="7" a="1"/>
  <c r="AM26" i="7" s="1"/>
  <c r="AZ26" i="7" a="1"/>
  <c r="AZ26" i="7" s="1"/>
  <c r="BZ26" i="7" a="1"/>
  <c r="BZ26" i="7" s="1"/>
  <c r="CF26" i="7" a="1"/>
  <c r="CF26" i="7" s="1"/>
  <c r="CO26" i="7" a="1"/>
  <c r="CO26" i="7" s="1"/>
  <c r="O26" i="7" a="1"/>
  <c r="O26" i="7" s="1"/>
  <c r="AC26" i="7" a="1"/>
  <c r="AC26" i="7" s="1"/>
  <c r="AP26" i="7" a="1"/>
  <c r="AP26" i="7" s="1"/>
  <c r="BA26" i="7" a="1"/>
  <c r="BA26" i="7" s="1"/>
  <c r="BK26" i="7" a="1"/>
  <c r="BK26" i="7" s="1"/>
  <c r="CH26" i="7" a="1"/>
  <c r="CH26" i="7" s="1"/>
  <c r="E26" i="7" a="1"/>
  <c r="E26" i="7" s="1"/>
  <c r="AE26" i="7" a="1"/>
  <c r="AE26" i="7" s="1"/>
  <c r="AR26" i="7" a="1"/>
  <c r="AR26" i="7" s="1"/>
  <c r="BC26" i="7" a="1"/>
  <c r="BC26" i="7" s="1"/>
  <c r="BM26" i="7" a="1"/>
  <c r="BM26" i="7" s="1"/>
  <c r="BS26" i="7" a="1"/>
  <c r="BS26" i="7" s="1"/>
  <c r="CA26" i="7" a="1"/>
  <c r="CA26" i="7" s="1"/>
  <c r="CI26" i="7" a="1"/>
  <c r="CI26" i="7" s="1"/>
  <c r="CP26" i="7" a="1"/>
  <c r="CP26" i="7" s="1"/>
  <c r="R26" i="7" a="1"/>
  <c r="R26" i="7" s="1"/>
  <c r="AF26" i="7" a="1"/>
  <c r="AF26" i="7" s="1"/>
  <c r="AT26" i="7" a="1"/>
  <c r="AT26" i="7" s="1"/>
  <c r="BT26" i="7" a="1"/>
  <c r="BT26" i="7" s="1"/>
  <c r="CB26" i="7" a="1"/>
  <c r="CB26" i="7" s="1"/>
  <c r="CQ26" i="7" a="1"/>
  <c r="CQ26" i="7" s="1"/>
  <c r="F26" i="7" a="1"/>
  <c r="F26" i="7" s="1"/>
  <c r="S26" i="7" a="1"/>
  <c r="S26" i="7" s="1"/>
  <c r="AG26" i="7" a="1"/>
  <c r="AG26" i="7" s="1"/>
  <c r="BF26" i="7" a="1"/>
  <c r="BF26" i="7" s="1"/>
  <c r="BN26" i="7" a="1"/>
  <c r="BN26" i="7" s="1"/>
  <c r="BU26" i="7" a="1"/>
  <c r="BU26" i="7" s="1"/>
  <c r="CC26" i="7" a="1"/>
  <c r="CC26" i="7" s="1"/>
  <c r="CJ26" i="7" a="1"/>
  <c r="CJ26" i="7" s="1"/>
  <c r="CR26" i="7" a="1"/>
  <c r="CR26" i="7" s="1"/>
  <c r="H26" i="7" a="1"/>
  <c r="H26" i="7" s="1"/>
  <c r="V26" i="7" a="1"/>
  <c r="V26" i="7" s="1"/>
  <c r="AV26" i="7" a="1"/>
  <c r="AV26" i="7" s="1"/>
  <c r="BO26" i="7" a="1"/>
  <c r="BO26" i="7" s="1"/>
  <c r="CK26" i="7" a="1"/>
  <c r="CK26" i="7" s="1"/>
  <c r="K26" i="7" a="1"/>
  <c r="K26" i="7" s="1"/>
  <c r="X26" i="7" a="1"/>
  <c r="X26" i="7" s="1"/>
  <c r="AY26" i="7" a="1"/>
  <c r="AY26" i="7" s="1"/>
  <c r="BG26" i="7" a="1"/>
  <c r="BG26" i="7" s="1"/>
  <c r="BW26" i="7" a="1"/>
  <c r="BW26" i="7" s="1"/>
  <c r="CD26" i="7" a="1"/>
  <c r="CD26" i="7" s="1"/>
  <c r="B26" i="7" a="1"/>
  <c r="B26" i="7" s="1"/>
  <c r="G25" i="7" a="1"/>
  <c r="G25" i="7" s="1"/>
  <c r="S25" i="7" a="1"/>
  <c r="S25" i="7" s="1"/>
  <c r="AL25" i="7" a="1"/>
  <c r="AL25" i="7" s="1"/>
  <c r="AS25" i="7" a="1"/>
  <c r="AS25" i="7" s="1"/>
  <c r="BE25" i="7" a="1"/>
  <c r="BE25" i="7" s="1"/>
  <c r="BL25" i="7" a="1"/>
  <c r="BL25" i="7" s="1"/>
  <c r="BQ25" i="7" a="1"/>
  <c r="BQ25" i="7" s="1"/>
  <c r="BX25" i="7" a="1"/>
  <c r="BX25" i="7" s="1"/>
  <c r="CC25" i="7" a="1"/>
  <c r="CC25" i="7" s="1"/>
  <c r="CI25" i="7" a="1"/>
  <c r="CI25" i="7" s="1"/>
  <c r="CO25" i="7" a="1"/>
  <c r="CO25" i="7" s="1"/>
  <c r="F25" i="7" a="1"/>
  <c r="F25" i="7" s="1"/>
  <c r="N25" i="7" a="1"/>
  <c r="N25" i="7" s="1"/>
  <c r="U25" i="7" a="1"/>
  <c r="U25" i="7" s="1"/>
  <c r="AB25" i="7" a="1"/>
  <c r="AB25" i="7" s="1"/>
  <c r="AI25" i="7" a="1"/>
  <c r="AI25" i="7" s="1"/>
  <c r="AP25" i="7" a="1"/>
  <c r="AP25" i="7" s="1"/>
  <c r="AW25" i="7" a="1"/>
  <c r="AW25" i="7" s="1"/>
  <c r="BD25" i="7" a="1"/>
  <c r="BD25" i="7" s="1"/>
  <c r="BS25" i="7" a="1"/>
  <c r="BS25" i="7" s="1"/>
  <c r="BZ25" i="7" a="1"/>
  <c r="BZ25" i="7" s="1"/>
  <c r="CF25" i="7" a="1"/>
  <c r="CF25" i="7" s="1"/>
  <c r="CM25" i="7" a="1"/>
  <c r="CM25" i="7" s="1"/>
  <c r="H25" i="7" a="1"/>
  <c r="H25" i="7" s="1"/>
  <c r="O25" i="7" a="1"/>
  <c r="O25" i="7" s="1"/>
  <c r="V25" i="7" a="1"/>
  <c r="V25" i="7" s="1"/>
  <c r="AC25" i="7" a="1"/>
  <c r="AC25" i="7" s="1"/>
  <c r="AJ25" i="7" a="1"/>
  <c r="AJ25" i="7" s="1"/>
  <c r="AQ25" i="7" a="1"/>
  <c r="AQ25" i="7" s="1"/>
  <c r="AX25" i="7" a="1"/>
  <c r="AX25" i="7" s="1"/>
  <c r="BM25" i="7" a="1"/>
  <c r="BM25" i="7" s="1"/>
  <c r="BT25" i="7" a="1"/>
  <c r="BT25" i="7" s="1"/>
  <c r="CG25" i="7" a="1"/>
  <c r="CG25" i="7" s="1"/>
  <c r="CN25" i="7" a="1"/>
  <c r="CN25" i="7" s="1"/>
  <c r="I25" i="7" a="1"/>
  <c r="I25" i="7" s="1"/>
  <c r="P25" i="7" a="1"/>
  <c r="P25" i="7" s="1"/>
  <c r="AD25" i="7" a="1"/>
  <c r="AD25" i="7" s="1"/>
  <c r="AR25" i="7" a="1"/>
  <c r="AR25" i="7" s="1"/>
  <c r="AY25" i="7" a="1"/>
  <c r="AY25" i="7" s="1"/>
  <c r="BF25" i="7" a="1"/>
  <c r="BF25" i="7" s="1"/>
  <c r="BN25" i="7" a="1"/>
  <c r="BN25" i="7" s="1"/>
  <c r="BU25" i="7" a="1"/>
  <c r="BU25" i="7" s="1"/>
  <c r="CA25" i="7" a="1"/>
  <c r="CA25" i="7" s="1"/>
  <c r="D25" i="7" a="1"/>
  <c r="D25" i="7" s="1"/>
  <c r="K25" i="7" a="1"/>
  <c r="K25" i="7" s="1"/>
  <c r="R25" i="7" a="1"/>
  <c r="R25" i="7" s="1"/>
  <c r="Y25" i="7" a="1"/>
  <c r="Y25" i="7" s="1"/>
  <c r="AG25" i="7" a="1"/>
  <c r="AG25" i="7" s="1"/>
  <c r="AN25" i="7" a="1"/>
  <c r="AN25" i="7" s="1"/>
  <c r="AU25" i="7" a="1"/>
  <c r="AU25" i="7" s="1"/>
  <c r="BB25" i="7" a="1"/>
  <c r="BB25" i="7" s="1"/>
  <c r="BI25" i="7" a="1"/>
  <c r="BI25" i="7" s="1"/>
  <c r="BP25" i="7" a="1"/>
  <c r="BP25" i="7" s="1"/>
  <c r="BW25" i="7" a="1"/>
  <c r="BW25" i="7" s="1"/>
  <c r="CD25" i="7" a="1"/>
  <c r="CD25" i="7" s="1"/>
  <c r="CK25" i="7" a="1"/>
  <c r="CK25" i="7" s="1"/>
  <c r="CR25" i="7" a="1"/>
  <c r="CR25" i="7" s="1"/>
  <c r="L25" i="7" a="1"/>
  <c r="L25" i="7" s="1"/>
  <c r="Z25" i="7" a="1"/>
  <c r="Z25" i="7" s="1"/>
  <c r="AH25" i="7" a="1"/>
  <c r="AH25" i="7" s="1"/>
  <c r="AO25" i="7" a="1"/>
  <c r="AO25" i="7" s="1"/>
  <c r="AV25" i="7" a="1"/>
  <c r="AV25" i="7" s="1"/>
  <c r="BJ25" i="7" a="1"/>
  <c r="BJ25" i="7" s="1"/>
  <c r="BY25" i="7" a="1"/>
  <c r="BY25" i="7" s="1"/>
  <c r="C25" i="7" a="1"/>
  <c r="C25" i="7" s="1"/>
  <c r="W25" i="7" a="1"/>
  <c r="W25" i="7" s="1"/>
  <c r="BH25" i="7" a="1"/>
  <c r="BH25" i="7" s="1"/>
  <c r="CB25" i="7" a="1"/>
  <c r="CB25" i="7" s="1"/>
  <c r="CP25" i="7" a="1"/>
  <c r="CP25" i="7" s="1"/>
  <c r="E25" i="7" a="1"/>
  <c r="E25" i="7" s="1"/>
  <c r="X25" i="7" a="1"/>
  <c r="X25" i="7" s="1"/>
  <c r="BK25" i="7" a="1"/>
  <c r="BK25" i="7" s="1"/>
  <c r="CQ25" i="7" a="1"/>
  <c r="CQ25" i="7" s="1"/>
  <c r="AA25" i="7" a="1"/>
  <c r="AA25" i="7" s="1"/>
  <c r="AT25" i="7" a="1"/>
  <c r="AT25" i="7" s="1"/>
  <c r="CE25" i="7" a="1"/>
  <c r="CE25" i="7" s="1"/>
  <c r="CS25" i="7" a="1"/>
  <c r="CS25" i="7" s="1"/>
  <c r="J25" i="7" a="1"/>
  <c r="J25" i="7" s="1"/>
  <c r="AE25" i="7" a="1"/>
  <c r="AE25" i="7" s="1"/>
  <c r="BO25" i="7" a="1"/>
  <c r="BO25" i="7" s="1"/>
  <c r="CH25" i="7" a="1"/>
  <c r="CH25" i="7" s="1"/>
  <c r="M25" i="7" a="1"/>
  <c r="M25" i="7" s="1"/>
  <c r="AF25" i="7" a="1"/>
  <c r="AF25" i="7" s="1"/>
  <c r="AZ25" i="7" a="1"/>
  <c r="AZ25" i="7" s="1"/>
  <c r="BR25" i="7" a="1"/>
  <c r="BR25" i="7" s="1"/>
  <c r="BA25" i="7" a="1"/>
  <c r="BA25" i="7" s="1"/>
  <c r="CJ25" i="7" a="1"/>
  <c r="CJ25" i="7" s="1"/>
  <c r="Q25" i="7" a="1"/>
  <c r="Q25" i="7" s="1"/>
  <c r="AK25" i="7" a="1"/>
  <c r="AK25" i="7" s="1"/>
  <c r="BC25" i="7" a="1"/>
  <c r="BC25" i="7" s="1"/>
  <c r="BV25" i="7" a="1"/>
  <c r="BV25" i="7" s="1"/>
  <c r="CL25" i="7" a="1"/>
  <c r="CL25" i="7" s="1"/>
  <c r="T25" i="7" a="1"/>
  <c r="T25" i="7" s="1"/>
  <c r="AM25" i="7" a="1"/>
  <c r="AM25" i="7" s="1"/>
  <c r="BG25" i="7" a="1"/>
  <c r="BG25" i="7" s="1"/>
  <c r="B25" i="7" a="1"/>
  <c r="B25" i="7" s="1"/>
  <c r="C6" i="7" a="1"/>
  <c r="C6" i="7" s="1"/>
  <c r="O6" i="7" a="1"/>
  <c r="O6" i="7" s="1"/>
  <c r="T6" i="7" a="1"/>
  <c r="T6" i="7" s="1"/>
  <c r="AA6" i="7" a="1"/>
  <c r="AA6" i="7" s="1"/>
  <c r="AN6" i="7" a="1"/>
  <c r="AN6" i="7" s="1"/>
  <c r="AT6" i="7" a="1"/>
  <c r="AT6" i="7" s="1"/>
  <c r="AY6" i="7" a="1"/>
  <c r="AY6" i="7" s="1"/>
  <c r="BF6" i="7" a="1"/>
  <c r="BF6" i="7" s="1"/>
  <c r="BL6" i="7" a="1"/>
  <c r="BL6" i="7" s="1"/>
  <c r="BQ6" i="7" a="1"/>
  <c r="BQ6" i="7" s="1"/>
  <c r="BX6" i="7" a="1"/>
  <c r="BX6" i="7" s="1"/>
  <c r="CK6" i="7" a="1"/>
  <c r="CK6" i="7" s="1"/>
  <c r="CP6" i="7" a="1"/>
  <c r="CP6" i="7" s="1"/>
  <c r="J6" i="7" a="1"/>
  <c r="J6" i="7" s="1"/>
  <c r="P6" i="7" a="1"/>
  <c r="P6" i="7" s="1"/>
  <c r="U6" i="7" a="1"/>
  <c r="U6" i="7" s="1"/>
  <c r="AH6" i="7" a="1"/>
  <c r="AH6" i="7" s="1"/>
  <c r="AO6" i="7" a="1"/>
  <c r="AO6" i="7" s="1"/>
  <c r="AU6" i="7" a="1"/>
  <c r="AU6" i="7" s="1"/>
  <c r="BM6" i="7" a="1"/>
  <c r="BM6" i="7" s="1"/>
  <c r="BR6" i="7" a="1"/>
  <c r="BR6" i="7" s="1"/>
  <c r="BY6" i="7" a="1"/>
  <c r="BY6" i="7" s="1"/>
  <c r="CE6" i="7" a="1"/>
  <c r="CE6" i="7" s="1"/>
  <c r="CQ6" i="7" a="1"/>
  <c r="CQ6" i="7" s="1"/>
  <c r="D6" i="7" a="1"/>
  <c r="D6" i="7" s="1"/>
  <c r="Q6" i="7" a="1"/>
  <c r="Q6" i="7" s="1"/>
  <c r="V6" i="7" a="1"/>
  <c r="V6" i="7" s="1"/>
  <c r="AB6" i="7" a="1"/>
  <c r="AB6" i="7" s="1"/>
  <c r="AI6" i="7" a="1"/>
  <c r="AI6" i="7" s="1"/>
  <c r="AZ6" i="7" a="1"/>
  <c r="AZ6" i="7" s="1"/>
  <c r="BG6" i="7" a="1"/>
  <c r="BG6" i="7" s="1"/>
  <c r="BS6" i="7" a="1"/>
  <c r="BS6" i="7" s="1"/>
  <c r="BZ6" i="7" a="1"/>
  <c r="BZ6" i="7" s="1"/>
  <c r="CL6" i="7" a="1"/>
  <c r="CL6" i="7" s="1"/>
  <c r="CR6" i="7" a="1"/>
  <c r="CR6" i="7" s="1"/>
  <c r="E6" i="7" a="1"/>
  <c r="E6" i="7" s="1"/>
  <c r="K6" i="7" a="1"/>
  <c r="K6" i="7" s="1"/>
  <c r="W6" i="7" a="1"/>
  <c r="W6" i="7" s="1"/>
  <c r="AC6" i="7" a="1"/>
  <c r="AC6" i="7" s="1"/>
  <c r="AP6" i="7" a="1"/>
  <c r="AP6" i="7" s="1"/>
  <c r="AV6" i="7" a="1"/>
  <c r="AV6" i="7" s="1"/>
  <c r="BA6" i="7" a="1"/>
  <c r="BA6" i="7" s="1"/>
  <c r="BN6" i="7" a="1"/>
  <c r="BN6" i="7" s="1"/>
  <c r="BT6" i="7" a="1"/>
  <c r="BT6" i="7" s="1"/>
  <c r="CA6" i="7" a="1"/>
  <c r="CA6" i="7" s="1"/>
  <c r="CF6" i="7" a="1"/>
  <c r="CF6" i="7" s="1"/>
  <c r="CS6" i="7" a="1"/>
  <c r="CS6" i="7" s="1"/>
  <c r="G6" i="7" a="1"/>
  <c r="G6" i="7" s="1"/>
  <c r="L6" i="7" a="1"/>
  <c r="L6" i="7" s="1"/>
  <c r="Y6" i="7" a="1"/>
  <c r="Y6" i="7" s="1"/>
  <c r="AE6" i="7" a="1"/>
  <c r="AE6" i="7" s="1"/>
  <c r="AK6" i="7" a="1"/>
  <c r="AK6" i="7" s="1"/>
  <c r="AQ6" i="7" a="1"/>
  <c r="AQ6" i="7" s="1"/>
  <c r="BC6" i="7" a="1"/>
  <c r="BC6" i="7" s="1"/>
  <c r="BI6" i="7" a="1"/>
  <c r="BI6" i="7" s="1"/>
  <c r="BO6" i="7" a="1"/>
  <c r="BO6" i="7" s="1"/>
  <c r="CC6" i="7" a="1"/>
  <c r="CC6" i="7" s="1"/>
  <c r="CH6" i="7" a="1"/>
  <c r="CH6" i="7" s="1"/>
  <c r="H6" i="7" a="1"/>
  <c r="H6" i="7" s="1"/>
  <c r="M6" i="7" a="1"/>
  <c r="M6" i="7" s="1"/>
  <c r="S6" i="7" a="1"/>
  <c r="S6" i="7" s="1"/>
  <c r="Z6" i="7" a="1"/>
  <c r="Z6" i="7" s="1"/>
  <c r="AF6" i="7" a="1"/>
  <c r="AF6" i="7" s="1"/>
  <c r="AL6" i="7" a="1"/>
  <c r="AL6" i="7" s="1"/>
  <c r="AR6" i="7" a="1"/>
  <c r="AR6" i="7" s="1"/>
  <c r="AX6" i="7" a="1"/>
  <c r="AX6" i="7" s="1"/>
  <c r="BD6" i="7" a="1"/>
  <c r="BD6" i="7" s="1"/>
  <c r="BJ6" i="7" a="1"/>
  <c r="BJ6" i="7" s="1"/>
  <c r="BV6" i="7" a="1"/>
  <c r="BV6" i="7" s="1"/>
  <c r="CI6" i="7" a="1"/>
  <c r="CI6" i="7" s="1"/>
  <c r="CN6" i="7" a="1"/>
  <c r="CN6" i="7" s="1"/>
  <c r="I6" i="7" a="1"/>
  <c r="I6" i="7" s="1"/>
  <c r="N6" i="7" a="1"/>
  <c r="N6" i="7" s="1"/>
  <c r="AG6" i="7" a="1"/>
  <c r="AG6" i="7" s="1"/>
  <c r="AM6" i="7" a="1"/>
  <c r="AM6" i="7" s="1"/>
  <c r="AS6" i="7" a="1"/>
  <c r="AS6" i="7" s="1"/>
  <c r="BE6" i="7" a="1"/>
  <c r="BE6" i="7" s="1"/>
  <c r="BK6" i="7" a="1"/>
  <c r="BK6" i="7" s="1"/>
  <c r="BP6" i="7" a="1"/>
  <c r="BP6" i="7" s="1"/>
  <c r="BW6" i="7" a="1"/>
  <c r="BW6" i="7" s="1"/>
  <c r="CD6" i="7" a="1"/>
  <c r="CD6" i="7" s="1"/>
  <c r="CJ6" i="7" a="1"/>
  <c r="CJ6" i="7" s="1"/>
  <c r="CO6" i="7" a="1"/>
  <c r="CO6" i="7" s="1"/>
  <c r="R6" i="7" a="1"/>
  <c r="R6" i="7" s="1"/>
  <c r="CM6" i="7" a="1"/>
  <c r="CM6" i="7" s="1"/>
  <c r="AW6" i="7" a="1"/>
  <c r="AW6" i="7" s="1"/>
  <c r="F6" i="7" a="1"/>
  <c r="F6" i="7" s="1"/>
  <c r="BB6" i="7" a="1"/>
  <c r="BB6" i="7" s="1"/>
  <c r="AD6" i="7" a="1"/>
  <c r="AD6" i="7" s="1"/>
  <c r="BH6" i="7" a="1"/>
  <c r="BH6" i="7" s="1"/>
  <c r="BU6" i="7" a="1"/>
  <c r="BU6" i="7" s="1"/>
  <c r="CB6" i="7" a="1"/>
  <c r="CB6" i="7" s="1"/>
  <c r="X6" i="7" a="1"/>
  <c r="X6" i="7" s="1"/>
  <c r="AJ6" i="7" a="1"/>
  <c r="AJ6" i="7" s="1"/>
  <c r="CG6" i="7" a="1"/>
  <c r="CG6" i="7" s="1"/>
  <c r="B6" i="7" a="1"/>
  <c r="B6" i="7" s="1"/>
  <c r="F12" i="7" a="1"/>
  <c r="F12" i="7" s="1"/>
  <c r="L12" i="7" a="1"/>
  <c r="L12" i="7" s="1"/>
  <c r="S12" i="7" a="1"/>
  <c r="S12" i="7" s="1"/>
  <c r="Y12" i="7" a="1"/>
  <c r="Y12" i="7" s="1"/>
  <c r="G12" i="7" a="1"/>
  <c r="G12" i="7" s="1"/>
  <c r="N12" i="7" a="1"/>
  <c r="N12" i="7" s="1"/>
  <c r="AD12" i="7" a="1"/>
  <c r="AD12" i="7" s="1"/>
  <c r="AP12" i="7" a="1"/>
  <c r="AP12" i="7" s="1"/>
  <c r="AU12" i="7" a="1"/>
  <c r="AU12" i="7" s="1"/>
  <c r="BH12" i="7" a="1"/>
  <c r="BH12" i="7" s="1"/>
  <c r="BN12" i="7" a="1"/>
  <c r="BN12" i="7" s="1"/>
  <c r="BT12" i="7" a="1"/>
  <c r="BT12" i="7" s="1"/>
  <c r="CD12" i="7" a="1"/>
  <c r="CD12" i="7" s="1"/>
  <c r="CJ12" i="7" a="1"/>
  <c r="CJ12" i="7" s="1"/>
  <c r="CO12" i="7" a="1"/>
  <c r="CO12" i="7" s="1"/>
  <c r="O12" i="7" a="1"/>
  <c r="O12" i="7" s="1"/>
  <c r="X12" i="7" a="1"/>
  <c r="X12" i="7" s="1"/>
  <c r="AG12" i="7" a="1"/>
  <c r="AG12" i="7" s="1"/>
  <c r="AM12" i="7" a="1"/>
  <c r="AM12" i="7" s="1"/>
  <c r="AS12" i="7" a="1"/>
  <c r="AS12" i="7" s="1"/>
  <c r="BA12" i="7" a="1"/>
  <c r="BA12" i="7" s="1"/>
  <c r="BG12" i="7" a="1"/>
  <c r="BG12" i="7" s="1"/>
  <c r="BU12" i="7" a="1"/>
  <c r="BU12" i="7" s="1"/>
  <c r="CA12" i="7" a="1"/>
  <c r="CA12" i="7" s="1"/>
  <c r="CG12" i="7" a="1"/>
  <c r="CG12" i="7" s="1"/>
  <c r="CM12" i="7" a="1"/>
  <c r="CM12" i="7" s="1"/>
  <c r="CS12" i="7" a="1"/>
  <c r="CS12" i="7" s="1"/>
  <c r="H12" i="7" a="1"/>
  <c r="H12" i="7" s="1"/>
  <c r="P12" i="7" a="1"/>
  <c r="P12" i="7" s="1"/>
  <c r="AN12" i="7" a="1"/>
  <c r="AN12" i="7" s="1"/>
  <c r="BB12" i="7" a="1"/>
  <c r="BB12" i="7" s="1"/>
  <c r="BI12" i="7" a="1"/>
  <c r="BI12" i="7" s="1"/>
  <c r="BO12" i="7" a="1"/>
  <c r="BO12" i="7" s="1"/>
  <c r="CB12" i="7" a="1"/>
  <c r="CB12" i="7" s="1"/>
  <c r="CN12" i="7" a="1"/>
  <c r="CN12" i="7" s="1"/>
  <c r="C12" i="7" a="1"/>
  <c r="C12" i="7" s="1"/>
  <c r="M12" i="7" a="1"/>
  <c r="M12" i="7" s="1"/>
  <c r="Z12" i="7" a="1"/>
  <c r="Z12" i="7" s="1"/>
  <c r="AJ12" i="7" a="1"/>
  <c r="AJ12" i="7" s="1"/>
  <c r="AR12" i="7" a="1"/>
  <c r="AR12" i="7" s="1"/>
  <c r="BC12" i="7" a="1"/>
  <c r="BC12" i="7" s="1"/>
  <c r="BL12" i="7" a="1"/>
  <c r="BL12" i="7" s="1"/>
  <c r="BS12" i="7" a="1"/>
  <c r="BS12" i="7" s="1"/>
  <c r="CK12" i="7" a="1"/>
  <c r="CK12" i="7" s="1"/>
  <c r="CR12" i="7" a="1"/>
  <c r="CR12" i="7" s="1"/>
  <c r="D12" i="7" a="1"/>
  <c r="D12" i="7" s="1"/>
  <c r="AA12" i="7" a="1"/>
  <c r="AA12" i="7" s="1"/>
  <c r="AK12" i="7" a="1"/>
  <c r="AK12" i="7" s="1"/>
  <c r="BD12" i="7" a="1"/>
  <c r="BD12" i="7" s="1"/>
  <c r="CC12" i="7" a="1"/>
  <c r="CC12" i="7" s="1"/>
  <c r="Q12" i="7" a="1"/>
  <c r="Q12" i="7" s="1"/>
  <c r="AB12" i="7" a="1"/>
  <c r="AB12" i="7" s="1"/>
  <c r="AL12" i="7" a="1"/>
  <c r="AL12" i="7" s="1"/>
  <c r="AT12" i="7" a="1"/>
  <c r="AT12" i="7" s="1"/>
  <c r="BM12" i="7" a="1"/>
  <c r="BM12" i="7" s="1"/>
  <c r="BV12" i="7" a="1"/>
  <c r="BV12" i="7" s="1"/>
  <c r="CL12" i="7" a="1"/>
  <c r="CL12" i="7" s="1"/>
  <c r="E12" i="7" a="1"/>
  <c r="E12" i="7" s="1"/>
  <c r="R12" i="7" a="1"/>
  <c r="R12" i="7" s="1"/>
  <c r="AC12" i="7" a="1"/>
  <c r="AC12" i="7" s="1"/>
  <c r="AV12" i="7" a="1"/>
  <c r="AV12" i="7" s="1"/>
  <c r="BE12" i="7" a="1"/>
  <c r="BE12" i="7" s="1"/>
  <c r="BW12" i="7" a="1"/>
  <c r="BW12" i="7" s="1"/>
  <c r="I12" i="7" a="1"/>
  <c r="I12" i="7" s="1"/>
  <c r="T12" i="7" a="1"/>
  <c r="T12" i="7" s="1"/>
  <c r="AE12" i="7" a="1"/>
  <c r="AE12" i="7" s="1"/>
  <c r="AO12" i="7" a="1"/>
  <c r="AO12" i="7" s="1"/>
  <c r="AW12" i="7" a="1"/>
  <c r="AW12" i="7" s="1"/>
  <c r="BP12" i="7" a="1"/>
  <c r="BP12" i="7" s="1"/>
  <c r="BX12" i="7" a="1"/>
  <c r="BX12" i="7" s="1"/>
  <c r="CE12" i="7" a="1"/>
  <c r="CE12" i="7" s="1"/>
  <c r="J12" i="7" a="1"/>
  <c r="J12" i="7" s="1"/>
  <c r="U12" i="7" a="1"/>
  <c r="U12" i="7" s="1"/>
  <c r="AF12" i="7" a="1"/>
  <c r="AF12" i="7" s="1"/>
  <c r="AX12" i="7" a="1"/>
  <c r="AX12" i="7" s="1"/>
  <c r="BF12" i="7" a="1"/>
  <c r="BF12" i="7" s="1"/>
  <c r="BQ12" i="7" a="1"/>
  <c r="BQ12" i="7" s="1"/>
  <c r="BY12" i="7" a="1"/>
  <c r="BY12" i="7" s="1"/>
  <c r="CF12" i="7" a="1"/>
  <c r="CF12" i="7" s="1"/>
  <c r="V12" i="7" a="1"/>
  <c r="V12" i="7" s="1"/>
  <c r="AH12" i="7" a="1"/>
  <c r="AH12" i="7" s="1"/>
  <c r="AY12" i="7" a="1"/>
  <c r="AY12" i="7" s="1"/>
  <c r="BJ12" i="7" a="1"/>
  <c r="BJ12" i="7" s="1"/>
  <c r="BZ12" i="7" a="1"/>
  <c r="BZ12" i="7" s="1"/>
  <c r="CH12" i="7" a="1"/>
  <c r="CH12" i="7" s="1"/>
  <c r="CP12" i="7" a="1"/>
  <c r="CP12" i="7" s="1"/>
  <c r="K12" i="7" a="1"/>
  <c r="K12" i="7" s="1"/>
  <c r="W12" i="7" a="1"/>
  <c r="W12" i="7" s="1"/>
  <c r="AI12" i="7" a="1"/>
  <c r="AI12" i="7" s="1"/>
  <c r="AQ12" i="7" a="1"/>
  <c r="AQ12" i="7" s="1"/>
  <c r="AZ12" i="7" a="1"/>
  <c r="AZ12" i="7" s="1"/>
  <c r="BK12" i="7" a="1"/>
  <c r="BK12" i="7" s="1"/>
  <c r="BR12" i="7" a="1"/>
  <c r="BR12" i="7" s="1"/>
  <c r="CI12" i="7" a="1"/>
  <c r="CI12" i="7" s="1"/>
  <c r="CQ12" i="7" a="1"/>
  <c r="CQ12" i="7" s="1"/>
  <c r="B12" i="7" a="1"/>
  <c r="B12" i="7" s="1"/>
  <c r="F15" i="7" a="1"/>
  <c r="F15" i="7" s="1"/>
  <c r="L15" i="7" a="1"/>
  <c r="L15" i="7" s="1"/>
  <c r="C15" i="7" a="1"/>
  <c r="C15" i="7" s="1"/>
  <c r="P15" i="7" a="1"/>
  <c r="P15" i="7" s="1"/>
  <c r="V15" i="7" a="1"/>
  <c r="V15" i="7" s="1"/>
  <c r="AB15" i="7" a="1"/>
  <c r="AB15" i="7" s="1"/>
  <c r="AO15" i="7" a="1"/>
  <c r="AO15" i="7" s="1"/>
  <c r="BG15" i="7" a="1"/>
  <c r="BG15" i="7" s="1"/>
  <c r="BM15" i="7" a="1"/>
  <c r="BM15" i="7" s="1"/>
  <c r="CE15" i="7" a="1"/>
  <c r="CE15" i="7" s="1"/>
  <c r="CP15" i="7" a="1"/>
  <c r="CP15" i="7" s="1"/>
  <c r="G15" i="7" a="1"/>
  <c r="G15" i="7" s="1"/>
  <c r="O15" i="7" a="1"/>
  <c r="O15" i="7" s="1"/>
  <c r="U15" i="7" a="1"/>
  <c r="U15" i="7" s="1"/>
  <c r="AC15" i="7" a="1"/>
  <c r="AC15" i="7" s="1"/>
  <c r="AJ15" i="7" a="1"/>
  <c r="AJ15" i="7" s="1"/>
  <c r="BE15" i="7" a="1"/>
  <c r="BE15" i="7" s="1"/>
  <c r="BK15" i="7" a="1"/>
  <c r="BK15" i="7" s="1"/>
  <c r="BR15" i="7" a="1"/>
  <c r="BR15" i="7" s="1"/>
  <c r="BZ15" i="7" a="1"/>
  <c r="BZ15" i="7" s="1"/>
  <c r="CG15" i="7" a="1"/>
  <c r="CG15" i="7" s="1"/>
  <c r="CM15" i="7" a="1"/>
  <c r="CM15" i="7" s="1"/>
  <c r="K15" i="7" a="1"/>
  <c r="K15" i="7" s="1"/>
  <c r="AI15" i="7" a="1"/>
  <c r="AI15" i="7" s="1"/>
  <c r="AR15" i="7" a="1"/>
  <c r="AR15" i="7" s="1"/>
  <c r="AZ15" i="7" a="1"/>
  <c r="AZ15" i="7" s="1"/>
  <c r="BH15" i="7" a="1"/>
  <c r="BH15" i="7" s="1"/>
  <c r="BO15" i="7" a="1"/>
  <c r="BO15" i="7" s="1"/>
  <c r="BW15" i="7" a="1"/>
  <c r="BW15" i="7" s="1"/>
  <c r="D15" i="7" a="1"/>
  <c r="D15" i="7" s="1"/>
  <c r="N15" i="7" a="1"/>
  <c r="N15" i="7" s="1"/>
  <c r="T15" i="7" a="1"/>
  <c r="T15" i="7" s="1"/>
  <c r="AL15" i="7" a="1"/>
  <c r="AL15" i="7" s="1"/>
  <c r="AT15" i="7" a="1"/>
  <c r="AT15" i="7" s="1"/>
  <c r="BB15" i="7" a="1"/>
  <c r="BB15" i="7" s="1"/>
  <c r="BP15" i="7" a="1"/>
  <c r="BP15" i="7" s="1"/>
  <c r="BY15" i="7" a="1"/>
  <c r="BY15" i="7" s="1"/>
  <c r="CH15" i="7" a="1"/>
  <c r="CH15" i="7" s="1"/>
  <c r="CN15" i="7" a="1"/>
  <c r="CN15" i="7" s="1"/>
  <c r="I15" i="7" a="1"/>
  <c r="I15" i="7" s="1"/>
  <c r="Y15" i="7" a="1"/>
  <c r="Y15" i="7" s="1"/>
  <c r="AG15" i="7" a="1"/>
  <c r="AG15" i="7" s="1"/>
  <c r="AP15" i="7" a="1"/>
  <c r="AP15" i="7" s="1"/>
  <c r="AX15" i="7" a="1"/>
  <c r="AX15" i="7" s="1"/>
  <c r="BF15" i="7" a="1"/>
  <c r="BF15" i="7" s="1"/>
  <c r="BN15" i="7" a="1"/>
  <c r="BN15" i="7" s="1"/>
  <c r="BU15" i="7" a="1"/>
  <c r="BU15" i="7" s="1"/>
  <c r="CC15" i="7" a="1"/>
  <c r="CC15" i="7" s="1"/>
  <c r="CK15" i="7" a="1"/>
  <c r="CK15" i="7" s="1"/>
  <c r="CR15" i="7" a="1"/>
  <c r="CR15" i="7" s="1"/>
  <c r="J15" i="7" a="1"/>
  <c r="J15" i="7" s="1"/>
  <c r="AK15" i="7" a="1"/>
  <c r="AK15" i="7" s="1"/>
  <c r="AW15" i="7" a="1"/>
  <c r="AW15" i="7" s="1"/>
  <c r="BJ15" i="7" a="1"/>
  <c r="BJ15" i="7" s="1"/>
  <c r="BV15" i="7" a="1"/>
  <c r="BV15" i="7" s="1"/>
  <c r="M15" i="7" a="1"/>
  <c r="M15" i="7" s="1"/>
  <c r="X15" i="7" a="1"/>
  <c r="X15" i="7" s="1"/>
  <c r="AY15" i="7" a="1"/>
  <c r="AY15" i="7" s="1"/>
  <c r="BX15" i="7" a="1"/>
  <c r="BX15" i="7" s="1"/>
  <c r="CJ15" i="7" a="1"/>
  <c r="CJ15" i="7" s="1"/>
  <c r="Z15" i="7" a="1"/>
  <c r="Z15" i="7" s="1"/>
  <c r="AM15" i="7" a="1"/>
  <c r="AM15" i="7" s="1"/>
  <c r="BA15" i="7" a="1"/>
  <c r="BA15" i="7" s="1"/>
  <c r="BL15" i="7" a="1"/>
  <c r="BL15" i="7" s="1"/>
  <c r="CA15" i="7" a="1"/>
  <c r="CA15" i="7" s="1"/>
  <c r="CL15" i="7" a="1"/>
  <c r="CL15" i="7" s="1"/>
  <c r="Q15" i="7" a="1"/>
  <c r="Q15" i="7" s="1"/>
  <c r="AD15" i="7" a="1"/>
  <c r="AD15" i="7" s="1"/>
  <c r="AQ15" i="7" a="1"/>
  <c r="AQ15" i="7" s="1"/>
  <c r="CB15" i="7" a="1"/>
  <c r="CB15" i="7" s="1"/>
  <c r="CO15" i="7" a="1"/>
  <c r="CO15" i="7" s="1"/>
  <c r="E15" i="7" a="1"/>
  <c r="E15" i="7" s="1"/>
  <c r="R15" i="7" a="1"/>
  <c r="R15" i="7" s="1"/>
  <c r="AE15" i="7" a="1"/>
  <c r="AE15" i="7" s="1"/>
  <c r="AS15" i="7" a="1"/>
  <c r="AS15" i="7" s="1"/>
  <c r="BD15" i="7" a="1"/>
  <c r="BD15" i="7" s="1"/>
  <c r="BQ15" i="7" a="1"/>
  <c r="BQ15" i="7" s="1"/>
  <c r="CD15" i="7" a="1"/>
  <c r="CD15" i="7" s="1"/>
  <c r="S15" i="7" a="1"/>
  <c r="S15" i="7" s="1"/>
  <c r="AF15" i="7" a="1"/>
  <c r="AF15" i="7" s="1"/>
  <c r="AU15" i="7" a="1"/>
  <c r="AU15" i="7" s="1"/>
  <c r="BS15" i="7" a="1"/>
  <c r="BS15" i="7" s="1"/>
  <c r="CF15" i="7" a="1"/>
  <c r="CF15" i="7" s="1"/>
  <c r="CQ15" i="7" a="1"/>
  <c r="CQ15" i="7" s="1"/>
  <c r="AA15" i="7" a="1"/>
  <c r="AA15" i="7" s="1"/>
  <c r="AH15" i="7" a="1"/>
  <c r="AH15" i="7" s="1"/>
  <c r="CI15" i="7" a="1"/>
  <c r="CI15" i="7" s="1"/>
  <c r="AN15" i="7" a="1"/>
  <c r="AN15" i="7" s="1"/>
  <c r="BC15" i="7" a="1"/>
  <c r="BC15" i="7" s="1"/>
  <c r="H15" i="7" a="1"/>
  <c r="H15" i="7" s="1"/>
  <c r="BI15" i="7" a="1"/>
  <c r="BI15" i="7" s="1"/>
  <c r="W15" i="7" a="1"/>
  <c r="W15" i="7" s="1"/>
  <c r="AV15" i="7" a="1"/>
  <c r="AV15" i="7" s="1"/>
  <c r="BT15" i="7" a="1"/>
  <c r="BT15" i="7" s="1"/>
  <c r="CS15" i="7" a="1"/>
  <c r="CS15" i="7" s="1"/>
  <c r="B15" i="7" a="1"/>
  <c r="B15" i="7" s="1"/>
  <c r="C23" i="7" a="1"/>
  <c r="C23" i="7" s="1"/>
  <c r="O23" i="7" a="1"/>
  <c r="O23" i="7" s="1"/>
  <c r="T23" i="7" a="1"/>
  <c r="T23" i="7" s="1"/>
  <c r="AA23" i="7" a="1"/>
  <c r="AA23" i="7" s="1"/>
  <c r="AM23" i="7" a="1"/>
  <c r="AM23" i="7" s="1"/>
  <c r="AS23" i="7" a="1"/>
  <c r="AS23" i="7" s="1"/>
  <c r="BE23" i="7" a="1"/>
  <c r="BE23" i="7" s="1"/>
  <c r="BK23" i="7" a="1"/>
  <c r="BK23" i="7" s="1"/>
  <c r="BR23" i="7" a="1"/>
  <c r="BR23" i="7" s="1"/>
  <c r="BX23" i="7" a="1"/>
  <c r="BX23" i="7" s="1"/>
  <c r="CE23" i="7" a="1"/>
  <c r="CE23" i="7" s="1"/>
  <c r="CK23" i="7" a="1"/>
  <c r="CK23" i="7" s="1"/>
  <c r="F23" i="7" a="1"/>
  <c r="F23" i="7" s="1"/>
  <c r="K23" i="7" a="1"/>
  <c r="K23" i="7" s="1"/>
  <c r="R23" i="7" a="1"/>
  <c r="R23" i="7" s="1"/>
  <c r="Y23" i="7" a="1"/>
  <c r="Y23" i="7" s="1"/>
  <c r="AF23" i="7" a="1"/>
  <c r="AF23" i="7" s="1"/>
  <c r="AU23" i="7" a="1"/>
  <c r="AU23" i="7" s="1"/>
  <c r="BB23" i="7" a="1"/>
  <c r="BB23" i="7" s="1"/>
  <c r="BH23" i="7" a="1"/>
  <c r="BH23" i="7" s="1"/>
  <c r="BO23" i="7" a="1"/>
  <c r="BO23" i="7" s="1"/>
  <c r="BV23" i="7" a="1"/>
  <c r="BV23" i="7" s="1"/>
  <c r="CD23" i="7" a="1"/>
  <c r="CD23" i="7" s="1"/>
  <c r="CL23" i="7" a="1"/>
  <c r="CL23" i="7" s="1"/>
  <c r="CR23" i="7" a="1"/>
  <c r="CR23" i="7" s="1"/>
  <c r="H23" i="7" a="1"/>
  <c r="H23" i="7" s="1"/>
  <c r="V23" i="7" a="1"/>
  <c r="V23" i="7" s="1"/>
  <c r="AC23" i="7" a="1"/>
  <c r="AC23" i="7" s="1"/>
  <c r="AQ23" i="7" a="1"/>
  <c r="AQ23" i="7" s="1"/>
  <c r="AX23" i="7" a="1"/>
  <c r="AX23" i="7" s="1"/>
  <c r="BS23" i="7" a="1"/>
  <c r="BS23" i="7" s="1"/>
  <c r="CA23" i="7" a="1"/>
  <c r="CA23" i="7" s="1"/>
  <c r="CH23" i="7" a="1"/>
  <c r="CH23" i="7" s="1"/>
  <c r="I23" i="7" a="1"/>
  <c r="I23" i="7" s="1"/>
  <c r="Q23" i="7" a="1"/>
  <c r="Q23" i="7" s="1"/>
  <c r="AJ23" i="7" a="1"/>
  <c r="AJ23" i="7" s="1"/>
  <c r="AT23" i="7" a="1"/>
  <c r="AT23" i="7" s="1"/>
  <c r="BC23" i="7" a="1"/>
  <c r="BC23" i="7" s="1"/>
  <c r="BL23" i="7" a="1"/>
  <c r="BL23" i="7" s="1"/>
  <c r="BU23" i="7" a="1"/>
  <c r="BU23" i="7" s="1"/>
  <c r="CF23" i="7" a="1"/>
  <c r="CF23" i="7" s="1"/>
  <c r="CO23" i="7" a="1"/>
  <c r="CO23" i="7" s="1"/>
  <c r="J23" i="7" a="1"/>
  <c r="J23" i="7" s="1"/>
  <c r="AB23" i="7" a="1"/>
  <c r="AB23" i="7" s="1"/>
  <c r="AK23" i="7" a="1"/>
  <c r="AK23" i="7" s="1"/>
  <c r="AV23" i="7" a="1"/>
  <c r="AV23" i="7" s="1"/>
  <c r="BD23" i="7" a="1"/>
  <c r="BD23" i="7" s="1"/>
  <c r="BM23" i="7" a="1"/>
  <c r="BM23" i="7" s="1"/>
  <c r="BW23" i="7" a="1"/>
  <c r="BW23" i="7" s="1"/>
  <c r="CG23" i="7" a="1"/>
  <c r="CG23" i="7" s="1"/>
  <c r="CP23" i="7" a="1"/>
  <c r="CP23" i="7" s="1"/>
  <c r="S23" i="7" a="1"/>
  <c r="S23" i="7" s="1"/>
  <c r="AD23" i="7" a="1"/>
  <c r="AD23" i="7" s="1"/>
  <c r="AL23" i="7" a="1"/>
  <c r="AL23" i="7" s="1"/>
  <c r="BF23" i="7" a="1"/>
  <c r="BF23" i="7" s="1"/>
  <c r="BN23" i="7" a="1"/>
  <c r="BN23" i="7" s="1"/>
  <c r="BY23" i="7" a="1"/>
  <c r="BY23" i="7" s="1"/>
  <c r="CI23" i="7" a="1"/>
  <c r="CI23" i="7" s="1"/>
  <c r="CQ23" i="7" a="1"/>
  <c r="CQ23" i="7" s="1"/>
  <c r="E23" i="7" a="1"/>
  <c r="E23" i="7" s="1"/>
  <c r="M23" i="7" a="1"/>
  <c r="M23" i="7" s="1"/>
  <c r="W23" i="7" a="1"/>
  <c r="W23" i="7" s="1"/>
  <c r="AE23" i="7" a="1"/>
  <c r="AE23" i="7" s="1"/>
  <c r="AO23" i="7" a="1"/>
  <c r="AO23" i="7" s="1"/>
  <c r="AY23" i="7" a="1"/>
  <c r="AY23" i="7" s="1"/>
  <c r="BQ23" i="7" a="1"/>
  <c r="BQ23" i="7" s="1"/>
  <c r="CB23" i="7" a="1"/>
  <c r="CB23" i="7" s="1"/>
  <c r="N23" i="7" a="1"/>
  <c r="N23" i="7" s="1"/>
  <c r="AG23" i="7" a="1"/>
  <c r="AG23" i="7" s="1"/>
  <c r="AP23" i="7" a="1"/>
  <c r="AP23" i="7" s="1"/>
  <c r="AZ23" i="7" a="1"/>
  <c r="AZ23" i="7" s="1"/>
  <c r="BI23" i="7" a="1"/>
  <c r="BI23" i="7" s="1"/>
  <c r="G23" i="7" a="1"/>
  <c r="G23" i="7" s="1"/>
  <c r="P23" i="7" a="1"/>
  <c r="P23" i="7" s="1"/>
  <c r="X23" i="7" a="1"/>
  <c r="X23" i="7" s="1"/>
  <c r="AH23" i="7" a="1"/>
  <c r="AH23" i="7" s="1"/>
  <c r="AR23" i="7" a="1"/>
  <c r="AR23" i="7" s="1"/>
  <c r="BA23" i="7" a="1"/>
  <c r="BA23" i="7" s="1"/>
  <c r="BJ23" i="7" a="1"/>
  <c r="BJ23" i="7" s="1"/>
  <c r="CC23" i="7" a="1"/>
  <c r="CC23" i="7" s="1"/>
  <c r="CM23" i="7" a="1"/>
  <c r="CM23" i="7" s="1"/>
  <c r="BP23" i="7" a="1"/>
  <c r="BP23" i="7" s="1"/>
  <c r="AI23" i="7" a="1"/>
  <c r="AI23" i="7" s="1"/>
  <c r="BT23" i="7" a="1"/>
  <c r="BT23" i="7" s="1"/>
  <c r="D23" i="7" a="1"/>
  <c r="D23" i="7" s="1"/>
  <c r="AN23" i="7" a="1"/>
  <c r="AN23" i="7" s="1"/>
  <c r="BZ23" i="7" a="1"/>
  <c r="BZ23" i="7" s="1"/>
  <c r="L23" i="7" a="1"/>
  <c r="L23" i="7" s="1"/>
  <c r="AW23" i="7" a="1"/>
  <c r="AW23" i="7" s="1"/>
  <c r="CJ23" i="7" a="1"/>
  <c r="CJ23" i="7" s="1"/>
  <c r="CN23" i="7" a="1"/>
  <c r="CN23" i="7" s="1"/>
  <c r="U23" i="7" a="1"/>
  <c r="U23" i="7" s="1"/>
  <c r="BG23" i="7" a="1"/>
  <c r="BG23" i="7" s="1"/>
  <c r="CS23" i="7" a="1"/>
  <c r="CS23" i="7" s="1"/>
  <c r="Z23" i="7" a="1"/>
  <c r="Z23" i="7" s="1"/>
  <c r="B23" i="7" a="1"/>
  <c r="B23" i="7" s="1"/>
  <c r="R35" i="7" a="1"/>
  <c r="R35" i="7" s="1"/>
  <c r="X35" i="7" a="1"/>
  <c r="X35" i="7" s="1"/>
  <c r="AD35" i="7" a="1"/>
  <c r="AD35" i="7" s="1"/>
  <c r="AJ35" i="7" a="1"/>
  <c r="AJ35" i="7" s="1"/>
  <c r="AP35" i="7" a="1"/>
  <c r="AP35" i="7" s="1"/>
  <c r="BB35" i="7" a="1"/>
  <c r="BB35" i="7" s="1"/>
  <c r="BG35" i="7" a="1"/>
  <c r="BG35" i="7" s="1"/>
  <c r="BM35" i="7" a="1"/>
  <c r="BM35" i="7" s="1"/>
  <c r="CD35" i="7" a="1"/>
  <c r="CD35" i="7" s="1"/>
  <c r="CJ35" i="7" a="1"/>
  <c r="CJ35" i="7" s="1"/>
  <c r="CP35" i="7" a="1"/>
  <c r="CP35" i="7" s="1"/>
  <c r="E35" i="7" a="1"/>
  <c r="E35" i="7" s="1"/>
  <c r="L35" i="7" a="1"/>
  <c r="L35" i="7" s="1"/>
  <c r="Y35" i="7" a="1"/>
  <c r="Y35" i="7" s="1"/>
  <c r="AL35" i="7" a="1"/>
  <c r="AL35" i="7" s="1"/>
  <c r="AY35" i="7" a="1"/>
  <c r="AY35" i="7" s="1"/>
  <c r="BF35" i="7" a="1"/>
  <c r="BF35" i="7" s="1"/>
  <c r="BL35" i="7" a="1"/>
  <c r="BL35" i="7" s="1"/>
  <c r="BS35" i="7" a="1"/>
  <c r="BS35" i="7" s="1"/>
  <c r="CG35" i="7" a="1"/>
  <c r="CG35" i="7" s="1"/>
  <c r="CM35" i="7" a="1"/>
  <c r="CM35" i="7" s="1"/>
  <c r="N35" i="7" a="1"/>
  <c r="N35" i="7" s="1"/>
  <c r="U35" i="7" a="1"/>
  <c r="U35" i="7" s="1"/>
  <c r="AB35" i="7" a="1"/>
  <c r="AB35" i="7" s="1"/>
  <c r="AR35" i="7" a="1"/>
  <c r="AR35" i="7" s="1"/>
  <c r="AX35" i="7" a="1"/>
  <c r="AX35" i="7" s="1"/>
  <c r="BO35" i="7" a="1"/>
  <c r="BO35" i="7" s="1"/>
  <c r="BV35" i="7" a="1"/>
  <c r="BV35" i="7" s="1"/>
  <c r="CC35" i="7" a="1"/>
  <c r="CC35" i="7" s="1"/>
  <c r="CK35" i="7" a="1"/>
  <c r="CK35" i="7" s="1"/>
  <c r="CR35" i="7" a="1"/>
  <c r="CR35" i="7" s="1"/>
  <c r="F35" i="7" a="1"/>
  <c r="F35" i="7" s="1"/>
  <c r="V35" i="7" a="1"/>
  <c r="V35" i="7" s="1"/>
  <c r="AC35" i="7" a="1"/>
  <c r="AC35" i="7" s="1"/>
  <c r="AK35" i="7" a="1"/>
  <c r="AK35" i="7" s="1"/>
  <c r="AS35" i="7" a="1"/>
  <c r="AS35" i="7" s="1"/>
  <c r="AZ35" i="7" a="1"/>
  <c r="AZ35" i="7" s="1"/>
  <c r="BH35" i="7" a="1"/>
  <c r="BH35" i="7" s="1"/>
  <c r="BW35" i="7" a="1"/>
  <c r="BW35" i="7" s="1"/>
  <c r="CL35" i="7" a="1"/>
  <c r="CL35" i="7" s="1"/>
  <c r="CS35" i="7" a="1"/>
  <c r="CS35" i="7" s="1"/>
  <c r="G35" i="7" a="1"/>
  <c r="G35" i="7" s="1"/>
  <c r="O35" i="7" a="1"/>
  <c r="O35" i="7" s="1"/>
  <c r="H35" i="7" a="1"/>
  <c r="H35" i="7" s="1"/>
  <c r="S35" i="7" a="1"/>
  <c r="S35" i="7" s="1"/>
  <c r="AM35" i="7" a="1"/>
  <c r="AM35" i="7" s="1"/>
  <c r="AW35" i="7" a="1"/>
  <c r="AW35" i="7" s="1"/>
  <c r="BI35" i="7" a="1"/>
  <c r="BI35" i="7" s="1"/>
  <c r="I35" i="7" a="1"/>
  <c r="I35" i="7" s="1"/>
  <c r="T35" i="7" a="1"/>
  <c r="T35" i="7" s="1"/>
  <c r="AE35" i="7" a="1"/>
  <c r="AE35" i="7" s="1"/>
  <c r="AN35" i="7" a="1"/>
  <c r="AN35" i="7" s="1"/>
  <c r="BR35" i="7" a="1"/>
  <c r="BR35" i="7" s="1"/>
  <c r="CB35" i="7" a="1"/>
  <c r="CB35" i="7" s="1"/>
  <c r="CN35" i="7" a="1"/>
  <c r="CN35" i="7" s="1"/>
  <c r="B35" i="7" a="1"/>
  <c r="B35" i="7" s="1"/>
  <c r="K35" i="7" a="1"/>
  <c r="K35" i="7" s="1"/>
  <c r="W35" i="7" a="1"/>
  <c r="W35" i="7" s="1"/>
  <c r="AG35" i="7" a="1"/>
  <c r="AG35" i="7" s="1"/>
  <c r="AQ35" i="7" a="1"/>
  <c r="AQ35" i="7" s="1"/>
  <c r="BK35" i="7" a="1"/>
  <c r="BK35" i="7" s="1"/>
  <c r="BU35" i="7" a="1"/>
  <c r="BU35" i="7" s="1"/>
  <c r="CF35" i="7" a="1"/>
  <c r="CF35" i="7" s="1"/>
  <c r="C35" i="7" a="1"/>
  <c r="C35" i="7" s="1"/>
  <c r="Z35" i="7" a="1"/>
  <c r="Z35" i="7" s="1"/>
  <c r="AI35" i="7" a="1"/>
  <c r="AI35" i="7" s="1"/>
  <c r="BN35" i="7" a="1"/>
  <c r="BN35" i="7" s="1"/>
  <c r="BY35" i="7" a="1"/>
  <c r="BY35" i="7" s="1"/>
  <c r="D35" i="7" a="1"/>
  <c r="D35" i="7" s="1"/>
  <c r="Q35" i="7" a="1"/>
  <c r="Q35" i="7" s="1"/>
  <c r="AA35" i="7" a="1"/>
  <c r="AA35" i="7" s="1"/>
  <c r="AV35" i="7" a="1"/>
  <c r="AV35" i="7" s="1"/>
  <c r="BQ35" i="7" a="1"/>
  <c r="BQ35" i="7" s="1"/>
  <c r="CA35" i="7" a="1"/>
  <c r="CA35" i="7" s="1"/>
  <c r="P35" i="7" a="1"/>
  <c r="P35" i="7" s="1"/>
  <c r="AU35" i="7" a="1"/>
  <c r="AU35" i="7" s="1"/>
  <c r="BD35" i="7" a="1"/>
  <c r="BD35" i="7" s="1"/>
  <c r="BP35" i="7" a="1"/>
  <c r="BP35" i="7" s="1"/>
  <c r="BZ35" i="7" a="1"/>
  <c r="BZ35" i="7" s="1"/>
  <c r="CI35" i="7" a="1"/>
  <c r="CI35" i="7" s="1"/>
  <c r="BE35" i="7" a="1"/>
  <c r="BE35" i="7" s="1"/>
  <c r="AF35" i="7" a="1"/>
  <c r="AF35" i="7" s="1"/>
  <c r="BT35" i="7" a="1"/>
  <c r="BT35" i="7" s="1"/>
  <c r="AH35" i="7" a="1"/>
  <c r="AH35" i="7" s="1"/>
  <c r="BX35" i="7" a="1"/>
  <c r="BX35" i="7" s="1"/>
  <c r="AO35" i="7" a="1"/>
  <c r="AO35" i="7" s="1"/>
  <c r="CE35" i="7" a="1"/>
  <c r="CE35" i="7" s="1"/>
  <c r="AT35" i="7" a="1"/>
  <c r="AT35" i="7" s="1"/>
  <c r="CH35" i="7" a="1"/>
  <c r="CH35" i="7" s="1"/>
  <c r="J35" i="7" a="1"/>
  <c r="J35" i="7" s="1"/>
  <c r="BA35" i="7" a="1"/>
  <c r="BA35" i="7" s="1"/>
  <c r="CO35" i="7" a="1"/>
  <c r="CO35" i="7" s="1"/>
  <c r="M35" i="7" a="1"/>
  <c r="M35" i="7" s="1"/>
  <c r="BC35" i="7" a="1"/>
  <c r="BC35" i="7" s="1"/>
  <c r="CQ35" i="7" a="1"/>
  <c r="CQ35" i="7" s="1"/>
  <c r="BJ35" i="7" a="1"/>
  <c r="BJ35" i="7" s="1"/>
  <c r="C29" i="7" a="1"/>
  <c r="C29" i="7" s="1"/>
  <c r="I29" i="7" a="1"/>
  <c r="I29" i="7" s="1"/>
  <c r="O29" i="7" a="1"/>
  <c r="O29" i="7" s="1"/>
  <c r="AA29" i="7" a="1"/>
  <c r="AA29" i="7" s="1"/>
  <c r="AL29" i="7" a="1"/>
  <c r="AL29" i="7" s="1"/>
  <c r="AR29" i="7" a="1"/>
  <c r="AR29" i="7" s="1"/>
  <c r="AW29" i="7" a="1"/>
  <c r="AW29" i="7" s="1"/>
  <c r="BB29" i="7" a="1"/>
  <c r="BB29" i="7" s="1"/>
  <c r="BH29" i="7" a="1"/>
  <c r="BH29" i="7" s="1"/>
  <c r="BM29" i="7" a="1"/>
  <c r="BM29" i="7" s="1"/>
  <c r="BU29" i="7" a="1"/>
  <c r="BU29" i="7" s="1"/>
  <c r="CA29" i="7" a="1"/>
  <c r="CA29" i="7" s="1"/>
  <c r="CG29" i="7" a="1"/>
  <c r="CG29" i="7" s="1"/>
  <c r="CM29" i="7" a="1"/>
  <c r="CM29" i="7" s="1"/>
  <c r="E29" i="7" a="1"/>
  <c r="E29" i="7" s="1"/>
  <c r="K29" i="7" a="1"/>
  <c r="K29" i="7" s="1"/>
  <c r="Q29" i="7" a="1"/>
  <c r="Q29" i="7" s="1"/>
  <c r="AH29" i="7" a="1"/>
  <c r="AH29" i="7" s="1"/>
  <c r="AN29" i="7" a="1"/>
  <c r="AN29" i="7" s="1"/>
  <c r="AS29" i="7" a="1"/>
  <c r="AS29" i="7" s="1"/>
  <c r="BC29" i="7" a="1"/>
  <c r="BC29" i="7" s="1"/>
  <c r="BI29" i="7" a="1"/>
  <c r="BI29" i="7" s="1"/>
  <c r="BO29" i="7" a="1"/>
  <c r="BO29" i="7" s="1"/>
  <c r="CC29" i="7" a="1"/>
  <c r="CC29" i="7" s="1"/>
  <c r="CH29" i="7" a="1"/>
  <c r="CH29" i="7" s="1"/>
  <c r="CO29" i="7" a="1"/>
  <c r="CO29" i="7" s="1"/>
  <c r="G29" i="7" a="1"/>
  <c r="G29" i="7" s="1"/>
  <c r="N29" i="7" a="1"/>
  <c r="N29" i="7" s="1"/>
  <c r="W29" i="7" a="1"/>
  <c r="W29" i="7" s="1"/>
  <c r="BG29" i="7" a="1"/>
  <c r="BG29" i="7" s="1"/>
  <c r="BP29" i="7" a="1"/>
  <c r="BP29" i="7" s="1"/>
  <c r="CP29" i="7" a="1"/>
  <c r="CP29" i="7" s="1"/>
  <c r="L29" i="7" a="1"/>
  <c r="L29" i="7" s="1"/>
  <c r="T29" i="7" a="1"/>
  <c r="T29" i="7" s="1"/>
  <c r="AC29" i="7" a="1"/>
  <c r="AC29" i="7" s="1"/>
  <c r="AK29" i="7" a="1"/>
  <c r="AK29" i="7" s="1"/>
  <c r="AT29" i="7" a="1"/>
  <c r="AT29" i="7" s="1"/>
  <c r="BJ29" i="7" a="1"/>
  <c r="BJ29" i="7" s="1"/>
  <c r="BT29" i="7" a="1"/>
  <c r="BT29" i="7" s="1"/>
  <c r="CD29" i="7" a="1"/>
  <c r="CD29" i="7" s="1"/>
  <c r="U29" i="7" a="1"/>
  <c r="U29" i="7" s="1"/>
  <c r="AD29" i="7" a="1"/>
  <c r="AD29" i="7" s="1"/>
  <c r="AM29" i="7" a="1"/>
  <c r="AM29" i="7" s="1"/>
  <c r="BV29" i="7" a="1"/>
  <c r="BV29" i="7" s="1"/>
  <c r="CE29" i="7" a="1"/>
  <c r="CE29" i="7" s="1"/>
  <c r="CN29" i="7" a="1"/>
  <c r="CN29" i="7" s="1"/>
  <c r="D29" i="7" a="1"/>
  <c r="D29" i="7" s="1"/>
  <c r="M29" i="7" a="1"/>
  <c r="M29" i="7" s="1"/>
  <c r="V29" i="7" a="1"/>
  <c r="V29" i="7" s="1"/>
  <c r="AE29" i="7" a="1"/>
  <c r="AE29" i="7" s="1"/>
  <c r="AU29" i="7" a="1"/>
  <c r="AU29" i="7" s="1"/>
  <c r="BD29" i="7" a="1"/>
  <c r="BD29" i="7" s="1"/>
  <c r="BK29" i="7" a="1"/>
  <c r="BK29" i="7" s="1"/>
  <c r="BW29" i="7" a="1"/>
  <c r="BW29" i="7" s="1"/>
  <c r="CF29" i="7" a="1"/>
  <c r="CF29" i="7" s="1"/>
  <c r="J29" i="7" a="1"/>
  <c r="J29" i="7" s="1"/>
  <c r="S29" i="7" a="1"/>
  <c r="S29" i="7" s="1"/>
  <c r="AB29" i="7" a="1"/>
  <c r="AB29" i="7" s="1"/>
  <c r="BA29" i="7" a="1"/>
  <c r="BA29" i="7" s="1"/>
  <c r="BS29" i="7" a="1"/>
  <c r="BS29" i="7" s="1"/>
  <c r="CL29" i="7" a="1"/>
  <c r="CL29" i="7" s="1"/>
  <c r="H29" i="7" a="1"/>
  <c r="H29" i="7" s="1"/>
  <c r="Z29" i="7" a="1"/>
  <c r="Z29" i="7" s="1"/>
  <c r="BF29" i="7" a="1"/>
  <c r="BF29" i="7" s="1"/>
  <c r="BZ29" i="7" a="1"/>
  <c r="BZ29" i="7" s="1"/>
  <c r="CS29" i="7" a="1"/>
  <c r="CS29" i="7" s="1"/>
  <c r="AQ29" i="7" a="1"/>
  <c r="AQ29" i="7" s="1"/>
  <c r="CB29" i="7" a="1"/>
  <c r="CB29" i="7" s="1"/>
  <c r="B29" i="7" a="1"/>
  <c r="B29" i="7" s="1"/>
  <c r="P29" i="7" a="1"/>
  <c r="P29" i="7" s="1"/>
  <c r="AG29" i="7" a="1"/>
  <c r="AG29" i="7" s="1"/>
  <c r="AX29" i="7" a="1"/>
  <c r="AX29" i="7" s="1"/>
  <c r="BN29" i="7" a="1"/>
  <c r="BN29" i="7" s="1"/>
  <c r="CI29" i="7" a="1"/>
  <c r="CI29" i="7" s="1"/>
  <c r="AF29" i="7" a="1"/>
  <c r="AF29" i="7" s="1"/>
  <c r="AV29" i="7" a="1"/>
  <c r="AV29" i="7" s="1"/>
  <c r="BL29" i="7" a="1"/>
  <c r="BL29" i="7" s="1"/>
  <c r="R29" i="7" a="1"/>
  <c r="R29" i="7" s="1"/>
  <c r="AI29" i="7" a="1"/>
  <c r="AI29" i="7" s="1"/>
  <c r="AY29" i="7" a="1"/>
  <c r="AY29" i="7" s="1"/>
  <c r="BQ29" i="7" a="1"/>
  <c r="BQ29" i="7" s="1"/>
  <c r="CJ29" i="7" a="1"/>
  <c r="CJ29" i="7" s="1"/>
  <c r="F29" i="7" a="1"/>
  <c r="F29" i="7" s="1"/>
  <c r="X29" i="7" a="1"/>
  <c r="X29" i="7" s="1"/>
  <c r="AO29" i="7" a="1"/>
  <c r="AO29" i="7" s="1"/>
  <c r="BX29" i="7" a="1"/>
  <c r="BX29" i="7" s="1"/>
  <c r="CQ29" i="7" a="1"/>
  <c r="CQ29" i="7" s="1"/>
  <c r="Y29" i="7" a="1"/>
  <c r="Y29" i="7" s="1"/>
  <c r="AP29" i="7" a="1"/>
  <c r="AP29" i="7" s="1"/>
  <c r="BE29" i="7" a="1"/>
  <c r="BE29" i="7" s="1"/>
  <c r="BY29" i="7" a="1"/>
  <c r="BY29" i="7" s="1"/>
  <c r="CR29" i="7" a="1"/>
  <c r="CR29" i="7" s="1"/>
  <c r="AJ29" i="7" a="1"/>
  <c r="AJ29" i="7" s="1"/>
  <c r="AZ29" i="7" a="1"/>
  <c r="AZ29" i="7" s="1"/>
  <c r="BR29" i="7" a="1"/>
  <c r="BR29" i="7" s="1"/>
  <c r="CK29" i="7" a="1"/>
  <c r="CK29" i="7" s="1"/>
  <c r="C13" i="7" a="1"/>
  <c r="C13" i="7" s="1"/>
  <c r="I13" i="7" a="1"/>
  <c r="I13" i="7" s="1"/>
  <c r="H13" i="7" a="1"/>
  <c r="H13" i="7" s="1"/>
  <c r="O13" i="7" a="1"/>
  <c r="O13" i="7" s="1"/>
  <c r="Y13" i="7" a="1"/>
  <c r="Y13" i="7" s="1"/>
  <c r="AD13" i="7" a="1"/>
  <c r="AD13" i="7" s="1"/>
  <c r="AI13" i="7" a="1"/>
  <c r="AI13" i="7" s="1"/>
  <c r="AN13" i="7" a="1"/>
  <c r="AN13" i="7" s="1"/>
  <c r="AT13" i="7" a="1"/>
  <c r="AT13" i="7" s="1"/>
  <c r="BC13" i="7" a="1"/>
  <c r="BC13" i="7" s="1"/>
  <c r="BI13" i="7" a="1"/>
  <c r="BI13" i="7" s="1"/>
  <c r="BN13" i="7" a="1"/>
  <c r="BN13" i="7" s="1"/>
  <c r="T13" i="7" a="1"/>
  <c r="T13" i="7" s="1"/>
  <c r="Z13" i="7" a="1"/>
  <c r="Z13" i="7" s="1"/>
  <c r="AO13" i="7" a="1"/>
  <c r="AO13" i="7" s="1"/>
  <c r="AY13" i="7" a="1"/>
  <c r="AY13" i="7" s="1"/>
  <c r="BD13" i="7" a="1"/>
  <c r="BD13" i="7" s="1"/>
  <c r="BO13" i="7" a="1"/>
  <c r="BO13" i="7" s="1"/>
  <c r="BT13" i="7" a="1"/>
  <c r="BT13" i="7" s="1"/>
  <c r="BZ13" i="7" a="1"/>
  <c r="BZ13" i="7" s="1"/>
  <c r="CE13" i="7" a="1"/>
  <c r="CE13" i="7" s="1"/>
  <c r="CK13" i="7" a="1"/>
  <c r="CK13" i="7" s="1"/>
  <c r="J13" i="7" a="1"/>
  <c r="J13" i="7" s="1"/>
  <c r="W13" i="7" a="1"/>
  <c r="W13" i="7" s="1"/>
  <c r="AE13" i="7" a="1"/>
  <c r="AE13" i="7" s="1"/>
  <c r="AL13" i="7" a="1"/>
  <c r="AL13" i="7" s="1"/>
  <c r="AR13" i="7" a="1"/>
  <c r="AR13" i="7" s="1"/>
  <c r="BM13" i="7" a="1"/>
  <c r="BM13" i="7" s="1"/>
  <c r="BU13" i="7" a="1"/>
  <c r="BU13" i="7" s="1"/>
  <c r="CG13" i="7" a="1"/>
  <c r="CG13" i="7" s="1"/>
  <c r="R13" i="7" a="1"/>
  <c r="R13" i="7" s="1"/>
  <c r="X13" i="7" a="1"/>
  <c r="X13" i="7" s="1"/>
  <c r="AF13" i="7" a="1"/>
  <c r="AF13" i="7" s="1"/>
  <c r="AS13" i="7" a="1"/>
  <c r="AS13" i="7" s="1"/>
  <c r="AZ13" i="7" a="1"/>
  <c r="AZ13" i="7" s="1"/>
  <c r="BG13" i="7" a="1"/>
  <c r="BG13" i="7" s="1"/>
  <c r="CB13" i="7" a="1"/>
  <c r="CB13" i="7" s="1"/>
  <c r="CN13" i="7" a="1"/>
  <c r="CN13" i="7" s="1"/>
  <c r="K13" i="7" a="1"/>
  <c r="K13" i="7" s="1"/>
  <c r="AG13" i="7" a="1"/>
  <c r="AG13" i="7" s="1"/>
  <c r="AM13" i="7" a="1"/>
  <c r="AM13" i="7" s="1"/>
  <c r="AU13" i="7" a="1"/>
  <c r="AU13" i="7" s="1"/>
  <c r="BA13" i="7" a="1"/>
  <c r="BA13" i="7" s="1"/>
  <c r="BV13" i="7" a="1"/>
  <c r="BV13" i="7" s="1"/>
  <c r="CC13" i="7" a="1"/>
  <c r="CC13" i="7" s="1"/>
  <c r="CH13" i="7" a="1"/>
  <c r="CH13" i="7" s="1"/>
  <c r="CO13" i="7" a="1"/>
  <c r="CO13" i="7" s="1"/>
  <c r="D13" i="7" a="1"/>
  <c r="D13" i="7" s="1"/>
  <c r="L13" i="7" a="1"/>
  <c r="L13" i="7" s="1"/>
  <c r="S13" i="7" a="1"/>
  <c r="S13" i="7" s="1"/>
  <c r="AA13" i="7" a="1"/>
  <c r="AA13" i="7" s="1"/>
  <c r="BH13" i="7" a="1"/>
  <c r="BH13" i="7" s="1"/>
  <c r="BP13" i="7" a="1"/>
  <c r="BP13" i="7" s="1"/>
  <c r="CI13" i="7" a="1"/>
  <c r="CI13" i="7" s="1"/>
  <c r="CP13" i="7" a="1"/>
  <c r="CP13" i="7" s="1"/>
  <c r="E13" i="7" a="1"/>
  <c r="E13" i="7" s="1"/>
  <c r="M13" i="7" a="1"/>
  <c r="M13" i="7" s="1"/>
  <c r="U13" i="7" a="1"/>
  <c r="U13" i="7" s="1"/>
  <c r="AH13" i="7" a="1"/>
  <c r="AH13" i="7" s="1"/>
  <c r="AV13" i="7" a="1"/>
  <c r="AV13" i="7" s="1"/>
  <c r="BB13" i="7" a="1"/>
  <c r="BB13" i="7" s="1"/>
  <c r="BJ13" i="7" a="1"/>
  <c r="BJ13" i="7" s="1"/>
  <c r="BQ13" i="7" a="1"/>
  <c r="BQ13" i="7" s="1"/>
  <c r="BW13" i="7" a="1"/>
  <c r="BW13" i="7" s="1"/>
  <c r="CD13" i="7" a="1"/>
  <c r="CD13" i="7" s="1"/>
  <c r="CJ13" i="7" a="1"/>
  <c r="CJ13" i="7" s="1"/>
  <c r="CQ13" i="7" a="1"/>
  <c r="CQ13" i="7" s="1"/>
  <c r="F13" i="7" a="1"/>
  <c r="F13" i="7" s="1"/>
  <c r="N13" i="7" a="1"/>
  <c r="N13" i="7" s="1"/>
  <c r="AB13" i="7" a="1"/>
  <c r="AB13" i="7" s="1"/>
  <c r="AP13" i="7" a="1"/>
  <c r="AP13" i="7" s="1"/>
  <c r="AW13" i="7" a="1"/>
  <c r="AW13" i="7" s="1"/>
  <c r="BR13" i="7" a="1"/>
  <c r="BR13" i="7" s="1"/>
  <c r="BX13" i="7" a="1"/>
  <c r="BX13" i="7" s="1"/>
  <c r="CL13" i="7" a="1"/>
  <c r="CL13" i="7" s="1"/>
  <c r="CR13" i="7" a="1"/>
  <c r="CR13" i="7" s="1"/>
  <c r="P13" i="7" a="1"/>
  <c r="P13" i="7" s="1"/>
  <c r="V13" i="7" a="1"/>
  <c r="V13" i="7" s="1"/>
  <c r="AC13" i="7" a="1"/>
  <c r="AC13" i="7" s="1"/>
  <c r="AJ13" i="7" a="1"/>
  <c r="AJ13" i="7" s="1"/>
  <c r="BE13" i="7" a="1"/>
  <c r="BE13" i="7" s="1"/>
  <c r="BK13" i="7" a="1"/>
  <c r="BK13" i="7" s="1"/>
  <c r="BY13" i="7" a="1"/>
  <c r="BY13" i="7" s="1"/>
  <c r="CS13" i="7" a="1"/>
  <c r="CS13" i="7" s="1"/>
  <c r="G13" i="7" a="1"/>
  <c r="G13" i="7" s="1"/>
  <c r="Q13" i="7" a="1"/>
  <c r="Q13" i="7" s="1"/>
  <c r="AK13" i="7" a="1"/>
  <c r="AK13" i="7" s="1"/>
  <c r="AQ13" i="7" a="1"/>
  <c r="AQ13" i="7" s="1"/>
  <c r="AX13" i="7" a="1"/>
  <c r="AX13" i="7" s="1"/>
  <c r="BF13" i="7" a="1"/>
  <c r="BF13" i="7" s="1"/>
  <c r="BL13" i="7" a="1"/>
  <c r="BL13" i="7" s="1"/>
  <c r="BS13" i="7" a="1"/>
  <c r="BS13" i="7" s="1"/>
  <c r="CA13" i="7" a="1"/>
  <c r="CA13" i="7" s="1"/>
  <c r="CF13" i="7" a="1"/>
  <c r="CF13" i="7" s="1"/>
  <c r="CM13" i="7" a="1"/>
  <c r="CM13" i="7" s="1"/>
  <c r="B13" i="7" a="1"/>
  <c r="B13" i="7" s="1"/>
  <c r="K22" i="7" a="1"/>
  <c r="K22" i="7" s="1"/>
  <c r="Q22" i="7" a="1"/>
  <c r="Q22" i="7" s="1"/>
  <c r="W22" i="7" a="1"/>
  <c r="W22" i="7" s="1"/>
  <c r="AC22" i="7" a="1"/>
  <c r="AC22" i="7" s="1"/>
  <c r="AI22" i="7" a="1"/>
  <c r="AI22" i="7" s="1"/>
  <c r="AZ22" i="7" a="1"/>
  <c r="AZ22" i="7" s="1"/>
  <c r="BE22" i="7" a="1"/>
  <c r="BE22" i="7" s="1"/>
  <c r="BQ22" i="7" a="1"/>
  <c r="BQ22" i="7" s="1"/>
  <c r="BW22" i="7" a="1"/>
  <c r="BW22" i="7" s="1"/>
  <c r="CC22" i="7" a="1"/>
  <c r="CC22" i="7" s="1"/>
  <c r="CI22" i="7" a="1"/>
  <c r="CI22" i="7" s="1"/>
  <c r="CO22" i="7" a="1"/>
  <c r="CO22" i="7" s="1"/>
  <c r="G22" i="7" a="1"/>
  <c r="G22" i="7" s="1"/>
  <c r="U22" i="7" a="1"/>
  <c r="U22" i="7" s="1"/>
  <c r="AA22" i="7" a="1"/>
  <c r="AA22" i="7" s="1"/>
  <c r="AH22" i="7" a="1"/>
  <c r="AH22" i="7" s="1"/>
  <c r="AN22" i="7" a="1"/>
  <c r="AN22" i="7" s="1"/>
  <c r="BB22" i="7" a="1"/>
  <c r="BB22" i="7" s="1"/>
  <c r="BH22" i="7" a="1"/>
  <c r="BH22" i="7" s="1"/>
  <c r="BO22" i="7" a="1"/>
  <c r="BO22" i="7" s="1"/>
  <c r="BU22" i="7" a="1"/>
  <c r="BU22" i="7" s="1"/>
  <c r="CB22" i="7" a="1"/>
  <c r="CB22" i="7" s="1"/>
  <c r="CP22" i="7" a="1"/>
  <c r="CP22" i="7" s="1"/>
  <c r="D22" i="7" a="1"/>
  <c r="D22" i="7" s="1"/>
  <c r="J22" i="7" a="1"/>
  <c r="J22" i="7" s="1"/>
  <c r="X22" i="7" a="1"/>
  <c r="X22" i="7" s="1"/>
  <c r="AR22" i="7" a="1"/>
  <c r="AR22" i="7" s="1"/>
  <c r="AX22" i="7" a="1"/>
  <c r="AX22" i="7" s="1"/>
  <c r="BD22" i="7" a="1"/>
  <c r="BD22" i="7" s="1"/>
  <c r="BK22" i="7" a="1"/>
  <c r="BK22" i="7" s="1"/>
  <c r="BZ22" i="7" a="1"/>
  <c r="BZ22" i="7" s="1"/>
  <c r="CF22" i="7" a="1"/>
  <c r="CF22" i="7" s="1"/>
  <c r="CR22" i="7" a="1"/>
  <c r="CR22" i="7" s="1"/>
  <c r="C22" i="7" a="1"/>
  <c r="C22" i="7" s="1"/>
  <c r="M22" i="7" a="1"/>
  <c r="M22" i="7" s="1"/>
  <c r="F22" i="7" a="1"/>
  <c r="F22" i="7" s="1"/>
  <c r="Y22" i="7" a="1"/>
  <c r="Y22" i="7" s="1"/>
  <c r="AG22" i="7" a="1"/>
  <c r="AG22" i="7" s="1"/>
  <c r="AP22" i="7" a="1"/>
  <c r="AP22" i="7" s="1"/>
  <c r="AY22" i="7" a="1"/>
  <c r="AY22" i="7" s="1"/>
  <c r="BP22" i="7" a="1"/>
  <c r="BP22" i="7" s="1"/>
  <c r="CH22" i="7" a="1"/>
  <c r="CH22" i="7" s="1"/>
  <c r="CQ22" i="7" a="1"/>
  <c r="CQ22" i="7" s="1"/>
  <c r="P22" i="7" a="1"/>
  <c r="P22" i="7" s="1"/>
  <c r="Z22" i="7" a="1"/>
  <c r="Z22" i="7" s="1"/>
  <c r="AQ22" i="7" a="1"/>
  <c r="AQ22" i="7" s="1"/>
  <c r="BA22" i="7" a="1"/>
  <c r="BA22" i="7" s="1"/>
  <c r="BI22" i="7" a="1"/>
  <c r="BI22" i="7" s="1"/>
  <c r="BR22" i="7" a="1"/>
  <c r="BR22" i="7" s="1"/>
  <c r="CA22" i="7" a="1"/>
  <c r="CA22" i="7" s="1"/>
  <c r="CJ22" i="7" a="1"/>
  <c r="CJ22" i="7" s="1"/>
  <c r="R22" i="7" a="1"/>
  <c r="R22" i="7" s="1"/>
  <c r="AJ22" i="7" a="1"/>
  <c r="AJ22" i="7" s="1"/>
  <c r="AS22" i="7" a="1"/>
  <c r="AS22" i="7" s="1"/>
  <c r="BS22" i="7" a="1"/>
  <c r="BS22" i="7" s="1"/>
  <c r="CK22" i="7" a="1"/>
  <c r="CK22" i="7" s="1"/>
  <c r="CS22" i="7" a="1"/>
  <c r="CS22" i="7" s="1"/>
  <c r="I22" i="7" a="1"/>
  <c r="I22" i="7" s="1"/>
  <c r="T22" i="7" a="1"/>
  <c r="T22" i="7" s="1"/>
  <c r="AL22" i="7" a="1"/>
  <c r="AL22" i="7" s="1"/>
  <c r="AU22" i="7" a="1"/>
  <c r="AU22" i="7" s="1"/>
  <c r="BC22" i="7" a="1"/>
  <c r="BC22" i="7" s="1"/>
  <c r="BL22" i="7" a="1"/>
  <c r="BL22" i="7" s="1"/>
  <c r="BT22" i="7" a="1"/>
  <c r="BT22" i="7" s="1"/>
  <c r="CM22" i="7" a="1"/>
  <c r="CM22" i="7" s="1"/>
  <c r="L22" i="7" a="1"/>
  <c r="L22" i="7" s="1"/>
  <c r="AD22" i="7" a="1"/>
  <c r="AD22" i="7" s="1"/>
  <c r="AV22" i="7" a="1"/>
  <c r="AV22" i="7" s="1"/>
  <c r="BM22" i="7" a="1"/>
  <c r="BM22" i="7" s="1"/>
  <c r="BV22" i="7" a="1"/>
  <c r="BV22" i="7" s="1"/>
  <c r="CE22" i="7" a="1"/>
  <c r="CE22" i="7" s="1"/>
  <c r="CN22" i="7" a="1"/>
  <c r="CN22" i="7" s="1"/>
  <c r="N22" i="7" a="1"/>
  <c r="N22" i="7" s="1"/>
  <c r="V22" i="7" a="1"/>
  <c r="V22" i="7" s="1"/>
  <c r="AE22" i="7" a="1"/>
  <c r="AE22" i="7" s="1"/>
  <c r="AM22" i="7" a="1"/>
  <c r="AM22" i="7" s="1"/>
  <c r="AW22" i="7" a="1"/>
  <c r="AW22" i="7" s="1"/>
  <c r="BF22" i="7" a="1"/>
  <c r="BF22" i="7" s="1"/>
  <c r="BN22" i="7" a="1"/>
  <c r="BN22" i="7" s="1"/>
  <c r="BX22" i="7" a="1"/>
  <c r="BX22" i="7" s="1"/>
  <c r="CG22" i="7" a="1"/>
  <c r="CG22" i="7" s="1"/>
  <c r="S22" i="7" a="1"/>
  <c r="S22" i="7" s="1"/>
  <c r="CL22" i="7" a="1"/>
  <c r="CL22" i="7" s="1"/>
  <c r="BG22" i="7" a="1"/>
  <c r="BG22" i="7" s="1"/>
  <c r="AB22" i="7" a="1"/>
  <c r="AB22" i="7" s="1"/>
  <c r="BJ22" i="7" a="1"/>
  <c r="BJ22" i="7" s="1"/>
  <c r="AF22" i="7" a="1"/>
  <c r="AF22" i="7" s="1"/>
  <c r="AK22" i="7" a="1"/>
  <c r="AK22" i="7" s="1"/>
  <c r="E22" i="7" a="1"/>
  <c r="E22" i="7" s="1"/>
  <c r="AO22" i="7" a="1"/>
  <c r="AO22" i="7" s="1"/>
  <c r="BY22" i="7" a="1"/>
  <c r="BY22" i="7" s="1"/>
  <c r="H22" i="7" a="1"/>
  <c r="H22" i="7" s="1"/>
  <c r="AT22" i="7" a="1"/>
  <c r="AT22" i="7" s="1"/>
  <c r="CD22" i="7" a="1"/>
  <c r="CD22" i="7" s="1"/>
  <c r="O22" i="7" a="1"/>
  <c r="O22" i="7" s="1"/>
  <c r="B22" i="7" a="1"/>
  <c r="B22" i="7" s="1"/>
  <c r="E5" i="7" a="1"/>
  <c r="E5" i="7" s="1"/>
  <c r="M5" i="7" a="1"/>
  <c r="M5" i="7" s="1"/>
  <c r="U5" i="7" a="1"/>
  <c r="U5" i="7" s="1"/>
  <c r="AC5" i="7" a="1"/>
  <c r="AC5" i="7" s="1"/>
  <c r="AK5" i="7" a="1"/>
  <c r="AK5" i="7" s="1"/>
  <c r="AS5" i="7" a="1"/>
  <c r="AS5" i="7" s="1"/>
  <c r="BL5" i="7" a="1"/>
  <c r="BL5" i="7" s="1"/>
  <c r="BQ5" i="7" a="1"/>
  <c r="BQ5" i="7" s="1"/>
  <c r="CC5" i="7" a="1"/>
  <c r="CC5" i="7" s="1"/>
  <c r="CI5" i="7" a="1"/>
  <c r="CI5" i="7" s="1"/>
  <c r="CN5" i="7" a="1"/>
  <c r="CN5" i="7" s="1"/>
  <c r="F5" i="7" a="1"/>
  <c r="F5" i="7" s="1"/>
  <c r="N5" i="7" a="1"/>
  <c r="N5" i="7" s="1"/>
  <c r="V5" i="7" a="1"/>
  <c r="V5" i="7" s="1"/>
  <c r="AD5" i="7" a="1"/>
  <c r="AD5" i="7" s="1"/>
  <c r="AL5" i="7" a="1"/>
  <c r="AL5" i="7" s="1"/>
  <c r="AT5" i="7" a="1"/>
  <c r="AT5" i="7" s="1"/>
  <c r="BA5" i="7" a="1"/>
  <c r="BA5" i="7" s="1"/>
  <c r="BF5" i="7" a="1"/>
  <c r="BF5" i="7" s="1"/>
  <c r="BR5" i="7" a="1"/>
  <c r="BR5" i="7" s="1"/>
  <c r="BW5" i="7" a="1"/>
  <c r="BW5" i="7" s="1"/>
  <c r="CJ5" i="7" a="1"/>
  <c r="CJ5" i="7" s="1"/>
  <c r="CO5" i="7" a="1"/>
  <c r="CO5" i="7" s="1"/>
  <c r="G5" i="7" a="1"/>
  <c r="G5" i="7" s="1"/>
  <c r="O5" i="7" a="1"/>
  <c r="O5" i="7" s="1"/>
  <c r="W5" i="7" a="1"/>
  <c r="W5" i="7" s="1"/>
  <c r="AE5" i="7" a="1"/>
  <c r="AE5" i="7" s="1"/>
  <c r="AM5" i="7" a="1"/>
  <c r="AM5" i="7" s="1"/>
  <c r="AU5" i="7" a="1"/>
  <c r="AU5" i="7" s="1"/>
  <c r="BM5" i="7" a="1"/>
  <c r="BM5" i="7" s="1"/>
  <c r="BS5" i="7" a="1"/>
  <c r="BS5" i="7" s="1"/>
  <c r="BX5" i="7" a="1"/>
  <c r="BX5" i="7" s="1"/>
  <c r="CD5" i="7" a="1"/>
  <c r="CD5" i="7" s="1"/>
  <c r="CP5" i="7" a="1"/>
  <c r="CP5" i="7" s="1"/>
  <c r="H5" i="7" a="1"/>
  <c r="H5" i="7" s="1"/>
  <c r="P5" i="7" a="1"/>
  <c r="P5" i="7" s="1"/>
  <c r="X5" i="7" a="1"/>
  <c r="X5" i="7" s="1"/>
  <c r="AF5" i="7" a="1"/>
  <c r="AF5" i="7" s="1"/>
  <c r="AN5" i="7" a="1"/>
  <c r="AN5" i="7" s="1"/>
  <c r="AV5" i="7" a="1"/>
  <c r="AV5" i="7" s="1"/>
  <c r="BB5" i="7" a="1"/>
  <c r="BB5" i="7" s="1"/>
  <c r="BG5" i="7" a="1"/>
  <c r="BG5" i="7" s="1"/>
  <c r="BT5" i="7" a="1"/>
  <c r="BT5" i="7" s="1"/>
  <c r="BY5" i="7" a="1"/>
  <c r="BY5" i="7" s="1"/>
  <c r="CK5" i="7" a="1"/>
  <c r="CK5" i="7" s="1"/>
  <c r="CQ5" i="7" a="1"/>
  <c r="CQ5" i="7" s="1"/>
  <c r="J5" i="7" a="1"/>
  <c r="J5" i="7" s="1"/>
  <c r="R5" i="7" a="1"/>
  <c r="R5" i="7" s="1"/>
  <c r="Z5" i="7" a="1"/>
  <c r="Z5" i="7" s="1"/>
  <c r="AH5" i="7" a="1"/>
  <c r="AH5" i="7" s="1"/>
  <c r="AP5" i="7" a="1"/>
  <c r="AP5" i="7" s="1"/>
  <c r="AX5" i="7" a="1"/>
  <c r="AX5" i="7" s="1"/>
  <c r="BD5" i="7" a="1"/>
  <c r="BD5" i="7" s="1"/>
  <c r="BI5" i="7" a="1"/>
  <c r="BI5" i="7" s="1"/>
  <c r="BU5" i="7" a="1"/>
  <c r="BU5" i="7" s="1"/>
  <c r="CA5" i="7" a="1"/>
  <c r="CA5" i="7" s="1"/>
  <c r="CF5" i="7" a="1"/>
  <c r="CF5" i="7" s="1"/>
  <c r="CL5" i="7" a="1"/>
  <c r="CL5" i="7" s="1"/>
  <c r="C5" i="7" a="1"/>
  <c r="C5" i="7" s="1"/>
  <c r="K5" i="7" a="1"/>
  <c r="K5" i="7" s="1"/>
  <c r="S5" i="7" a="1"/>
  <c r="S5" i="7" s="1"/>
  <c r="AA5" i="7" a="1"/>
  <c r="AA5" i="7" s="1"/>
  <c r="AI5" i="7" a="1"/>
  <c r="AI5" i="7" s="1"/>
  <c r="AQ5" i="7" a="1"/>
  <c r="AQ5" i="7" s="1"/>
  <c r="AY5" i="7" a="1"/>
  <c r="AY5" i="7" s="1"/>
  <c r="BJ5" i="7" a="1"/>
  <c r="BJ5" i="7" s="1"/>
  <c r="BO5" i="7" a="1"/>
  <c r="BO5" i="7" s="1"/>
  <c r="CB5" i="7" a="1"/>
  <c r="CB5" i="7" s="1"/>
  <c r="CG5" i="7" a="1"/>
  <c r="CG5" i="7" s="1"/>
  <c r="CS5" i="7" a="1"/>
  <c r="CS5" i="7" s="1"/>
  <c r="D5" i="7" a="1"/>
  <c r="D5" i="7" s="1"/>
  <c r="L5" i="7" a="1"/>
  <c r="L5" i="7" s="1"/>
  <c r="T5" i="7" a="1"/>
  <c r="T5" i="7" s="1"/>
  <c r="AB5" i="7" a="1"/>
  <c r="AB5" i="7" s="1"/>
  <c r="AJ5" i="7" a="1"/>
  <c r="AJ5" i="7" s="1"/>
  <c r="AR5" i="7" a="1"/>
  <c r="AR5" i="7" s="1"/>
  <c r="AZ5" i="7" a="1"/>
  <c r="AZ5" i="7" s="1"/>
  <c r="BE5" i="7" a="1"/>
  <c r="BE5" i="7" s="1"/>
  <c r="BK5" i="7" a="1"/>
  <c r="BK5" i="7" s="1"/>
  <c r="BP5" i="7" a="1"/>
  <c r="BP5" i="7" s="1"/>
  <c r="BV5" i="7" a="1"/>
  <c r="BV5" i="7" s="1"/>
  <c r="CH5" i="7" a="1"/>
  <c r="CH5" i="7" s="1"/>
  <c r="CM5" i="7" a="1"/>
  <c r="CM5" i="7" s="1"/>
  <c r="I5" i="7" a="1"/>
  <c r="I5" i="7" s="1"/>
  <c r="BN5" i="7" a="1"/>
  <c r="BN5" i="7" s="1"/>
  <c r="AO5" i="7" a="1"/>
  <c r="AO5" i="7" s="1"/>
  <c r="AW5" i="7" a="1"/>
  <c r="AW5" i="7" s="1"/>
  <c r="CR5" i="7" a="1"/>
  <c r="CR5" i="7" s="1"/>
  <c r="BC5" i="7" a="1"/>
  <c r="BC5" i="7" s="1"/>
  <c r="Y5" i="7" a="1"/>
  <c r="Y5" i="7" s="1"/>
  <c r="BH5" i="7" a="1"/>
  <c r="BH5" i="7" s="1"/>
  <c r="BZ5" i="7" a="1"/>
  <c r="BZ5" i="7" s="1"/>
  <c r="Q5" i="7" a="1"/>
  <c r="Q5" i="7" s="1"/>
  <c r="AG5" i="7" a="1"/>
  <c r="AG5" i="7" s="1"/>
  <c r="CE5" i="7" a="1"/>
  <c r="CE5" i="7" s="1"/>
  <c r="B5" i="7" a="1"/>
  <c r="B5" i="7" s="1"/>
  <c r="C11" i="7" a="1"/>
  <c r="C11" i="7" s="1"/>
  <c r="P11" i="7" a="1"/>
  <c r="P11" i="7" s="1"/>
  <c r="W11" i="7" a="1"/>
  <c r="W11" i="7" s="1"/>
  <c r="AD11" i="7" a="1"/>
  <c r="AD11" i="7" s="1"/>
  <c r="AP11" i="7" a="1"/>
  <c r="AP11" i="7" s="1"/>
  <c r="AV11" i="7" a="1"/>
  <c r="AV11" i="7" s="1"/>
  <c r="BB11" i="7" a="1"/>
  <c r="BB11" i="7" s="1"/>
  <c r="BT11" i="7" a="1"/>
  <c r="BT11" i="7" s="1"/>
  <c r="BY11" i="7" a="1"/>
  <c r="BY11" i="7" s="1"/>
  <c r="CE11" i="7" a="1"/>
  <c r="CE11" i="7" s="1"/>
  <c r="CJ11" i="7" a="1"/>
  <c r="CJ11" i="7" s="1"/>
  <c r="CQ11" i="7" a="1"/>
  <c r="CQ11" i="7" s="1"/>
  <c r="D11" i="7" a="1"/>
  <c r="D11" i="7" s="1"/>
  <c r="L11" i="7" a="1"/>
  <c r="L11" i="7" s="1"/>
  <c r="T11" i="7" a="1"/>
  <c r="T11" i="7" s="1"/>
  <c r="AA11" i="7" a="1"/>
  <c r="AA11" i="7" s="1"/>
  <c r="AH11" i="7" a="1"/>
  <c r="AH11" i="7" s="1"/>
  <c r="AW11" i="7" a="1"/>
  <c r="AW11" i="7" s="1"/>
  <c r="BK11" i="7" a="1"/>
  <c r="BK11" i="7" s="1"/>
  <c r="BP11" i="7" a="1"/>
  <c r="BP11" i="7" s="1"/>
  <c r="BW11" i="7" a="1"/>
  <c r="BW11" i="7" s="1"/>
  <c r="CR11" i="7" a="1"/>
  <c r="CR11" i="7" s="1"/>
  <c r="F11" i="7" a="1"/>
  <c r="F11" i="7" s="1"/>
  <c r="N11" i="7" a="1"/>
  <c r="N11" i="7" s="1"/>
  <c r="AF11" i="7" a="1"/>
  <c r="AF11" i="7" s="1"/>
  <c r="AN11" i="7" a="1"/>
  <c r="AN11" i="7" s="1"/>
  <c r="BD11" i="7" a="1"/>
  <c r="BD11" i="7" s="1"/>
  <c r="BL11" i="7" a="1"/>
  <c r="BL11" i="7" s="1"/>
  <c r="BS11" i="7" a="1"/>
  <c r="BS11" i="7" s="1"/>
  <c r="CA11" i="7" a="1"/>
  <c r="CA11" i="7" s="1"/>
  <c r="CO11" i="7" a="1"/>
  <c r="CO11" i="7" s="1"/>
  <c r="G11" i="7" a="1"/>
  <c r="G11" i="7" s="1"/>
  <c r="O11" i="7" a="1"/>
  <c r="O11" i="7" s="1"/>
  <c r="X11" i="7" a="1"/>
  <c r="X11" i="7" s="1"/>
  <c r="AO11" i="7" a="1"/>
  <c r="AO11" i="7" s="1"/>
  <c r="BE11" i="7" a="1"/>
  <c r="BE11" i="7" s="1"/>
  <c r="CH11" i="7" a="1"/>
  <c r="CH11" i="7" s="1"/>
  <c r="CP11" i="7" a="1"/>
  <c r="CP11" i="7" s="1"/>
  <c r="Y11" i="7" a="1"/>
  <c r="Y11" i="7" s="1"/>
  <c r="AJ11" i="7" a="1"/>
  <c r="AJ11" i="7" s="1"/>
  <c r="AT11" i="7" a="1"/>
  <c r="AT11" i="7" s="1"/>
  <c r="BF11" i="7" a="1"/>
  <c r="BF11" i="7" s="1"/>
  <c r="BO11" i="7" a="1"/>
  <c r="BO11" i="7" s="1"/>
  <c r="CI11" i="7" a="1"/>
  <c r="CI11" i="7" s="1"/>
  <c r="M11" i="7" a="1"/>
  <c r="M11" i="7" s="1"/>
  <c r="Z11" i="7" a="1"/>
  <c r="Z11" i="7" s="1"/>
  <c r="AK11" i="7" a="1"/>
  <c r="AK11" i="7" s="1"/>
  <c r="AU11" i="7" a="1"/>
  <c r="AU11" i="7" s="1"/>
  <c r="BG11" i="7" a="1"/>
  <c r="BG11" i="7" s="1"/>
  <c r="BZ11" i="7" a="1"/>
  <c r="BZ11" i="7" s="1"/>
  <c r="Q11" i="7" a="1"/>
  <c r="Q11" i="7" s="1"/>
  <c r="AB11" i="7" a="1"/>
  <c r="AB11" i="7" s="1"/>
  <c r="AL11" i="7" a="1"/>
  <c r="AL11" i="7" s="1"/>
  <c r="AX11" i="7" a="1"/>
  <c r="AX11" i="7" s="1"/>
  <c r="BH11" i="7" a="1"/>
  <c r="BH11" i="7" s="1"/>
  <c r="BQ11" i="7" a="1"/>
  <c r="BQ11" i="7" s="1"/>
  <c r="CB11" i="7" a="1"/>
  <c r="CB11" i="7" s="1"/>
  <c r="CK11" i="7" a="1"/>
  <c r="CK11" i="7" s="1"/>
  <c r="E11" i="7" a="1"/>
  <c r="E11" i="7" s="1"/>
  <c r="R11" i="7" a="1"/>
  <c r="R11" i="7" s="1"/>
  <c r="AC11" i="7" a="1"/>
  <c r="AC11" i="7" s="1"/>
  <c r="AM11" i="7" a="1"/>
  <c r="AM11" i="7" s="1"/>
  <c r="AY11" i="7" a="1"/>
  <c r="AY11" i="7" s="1"/>
  <c r="BI11" i="7" a="1"/>
  <c r="BI11" i="7" s="1"/>
  <c r="BR11" i="7" a="1"/>
  <c r="BR11" i="7" s="1"/>
  <c r="CC11" i="7" a="1"/>
  <c r="CC11" i="7" s="1"/>
  <c r="CL11" i="7" a="1"/>
  <c r="CL11" i="7" s="1"/>
  <c r="H11" i="7" a="1"/>
  <c r="H11" i="7" s="1"/>
  <c r="S11" i="7" a="1"/>
  <c r="S11" i="7" s="1"/>
  <c r="AE11" i="7" a="1"/>
  <c r="AE11" i="7" s="1"/>
  <c r="AQ11" i="7" a="1"/>
  <c r="AQ11" i="7" s="1"/>
  <c r="AZ11" i="7" a="1"/>
  <c r="AZ11" i="7" s="1"/>
  <c r="BJ11" i="7" a="1"/>
  <c r="BJ11" i="7" s="1"/>
  <c r="BU11" i="7" a="1"/>
  <c r="BU11" i="7" s="1"/>
  <c r="CD11" i="7" a="1"/>
  <c r="CD11" i="7" s="1"/>
  <c r="CM11" i="7" a="1"/>
  <c r="CM11" i="7" s="1"/>
  <c r="I11" i="7" a="1"/>
  <c r="I11" i="7" s="1"/>
  <c r="U11" i="7" a="1"/>
  <c r="U11" i="7" s="1"/>
  <c r="AR11" i="7" a="1"/>
  <c r="AR11" i="7" s="1"/>
  <c r="BA11" i="7" a="1"/>
  <c r="BA11" i="7" s="1"/>
  <c r="CN11" i="7" a="1"/>
  <c r="CN11" i="7" s="1"/>
  <c r="J11" i="7" a="1"/>
  <c r="J11" i="7" s="1"/>
  <c r="AG11" i="7" a="1"/>
  <c r="AG11" i="7" s="1"/>
  <c r="BM11" i="7" a="1"/>
  <c r="BM11" i="7" s="1"/>
  <c r="BV11" i="7" a="1"/>
  <c r="BV11" i="7" s="1"/>
  <c r="CF11" i="7" a="1"/>
  <c r="CF11" i="7" s="1"/>
  <c r="K11" i="7" a="1"/>
  <c r="K11" i="7" s="1"/>
  <c r="V11" i="7" a="1"/>
  <c r="V11" i="7" s="1"/>
  <c r="AI11" i="7" a="1"/>
  <c r="AI11" i="7" s="1"/>
  <c r="AS11" i="7" a="1"/>
  <c r="AS11" i="7" s="1"/>
  <c r="BC11" i="7" a="1"/>
  <c r="BC11" i="7" s="1"/>
  <c r="BN11" i="7" a="1"/>
  <c r="BN11" i="7" s="1"/>
  <c r="BX11" i="7" a="1"/>
  <c r="BX11" i="7" s="1"/>
  <c r="CG11" i="7" a="1"/>
  <c r="CG11" i="7" s="1"/>
  <c r="CS11" i="7" a="1"/>
  <c r="CS11" i="7" s="1"/>
  <c r="B11" i="7" a="1"/>
  <c r="B11" i="7" s="1"/>
  <c r="L16" i="7" a="1"/>
  <c r="L16" i="7" s="1"/>
  <c r="X16" i="7" a="1"/>
  <c r="X16" i="7" s="1"/>
  <c r="AD16" i="7" a="1"/>
  <c r="AD16" i="7" s="1"/>
  <c r="AO16" i="7" a="1"/>
  <c r="AO16" i="7" s="1"/>
  <c r="BA16" i="7" a="1"/>
  <c r="BA16" i="7" s="1"/>
  <c r="BG16" i="7" a="1"/>
  <c r="BG16" i="7" s="1"/>
  <c r="CD16" i="7" a="1"/>
  <c r="CD16" i="7" s="1"/>
  <c r="CI16" i="7" a="1"/>
  <c r="CI16" i="7" s="1"/>
  <c r="CO16" i="7" a="1"/>
  <c r="CO16" i="7" s="1"/>
  <c r="C16" i="7" a="1"/>
  <c r="C16" i="7" s="1"/>
  <c r="I16" i="7" a="1"/>
  <c r="I16" i="7" s="1"/>
  <c r="Q16" i="7" a="1"/>
  <c r="Q16" i="7" s="1"/>
  <c r="AK16" i="7" a="1"/>
  <c r="AK16" i="7" s="1"/>
  <c r="AQ16" i="7" a="1"/>
  <c r="AQ16" i="7" s="1"/>
  <c r="AX16" i="7" a="1"/>
  <c r="AX16" i="7" s="1"/>
  <c r="BE16" i="7" a="1"/>
  <c r="BE16" i="7" s="1"/>
  <c r="BK16" i="7" a="1"/>
  <c r="BK16" i="7" s="1"/>
  <c r="BS16" i="7" a="1"/>
  <c r="BS16" i="7" s="1"/>
  <c r="BY16" i="7" a="1"/>
  <c r="BY16" i="7" s="1"/>
  <c r="CE16" i="7" a="1"/>
  <c r="CE16" i="7" s="1"/>
  <c r="D16" i="7" a="1"/>
  <c r="D16" i="7" s="1"/>
  <c r="K16" i="7" a="1"/>
  <c r="K16" i="7" s="1"/>
  <c r="AH16" i="7" a="1"/>
  <c r="AH16" i="7" s="1"/>
  <c r="AP16" i="7" a="1"/>
  <c r="AP16" i="7" s="1"/>
  <c r="AW16" i="7" a="1"/>
  <c r="AW16" i="7" s="1"/>
  <c r="BF16" i="7" a="1"/>
  <c r="BF16" i="7" s="1"/>
  <c r="BM16" i="7" a="1"/>
  <c r="BM16" i="7" s="1"/>
  <c r="BU16" i="7" a="1"/>
  <c r="BU16" i="7" s="1"/>
  <c r="CB16" i="7" a="1"/>
  <c r="CB16" i="7" s="1"/>
  <c r="F16" i="7" a="1"/>
  <c r="F16" i="7" s="1"/>
  <c r="N16" i="7" a="1"/>
  <c r="N16" i="7" s="1"/>
  <c r="U16" i="7" a="1"/>
  <c r="U16" i="7" s="1"/>
  <c r="AB16" i="7" a="1"/>
  <c r="AB16" i="7" s="1"/>
  <c r="AJ16" i="7" a="1"/>
  <c r="AJ16" i="7" s="1"/>
  <c r="AR16" i="7" a="1"/>
  <c r="AR16" i="7" s="1"/>
  <c r="AY16" i="7" a="1"/>
  <c r="AY16" i="7" s="1"/>
  <c r="BO16" i="7" a="1"/>
  <c r="BO16" i="7" s="1"/>
  <c r="CC16" i="7" a="1"/>
  <c r="CC16" i="7" s="1"/>
  <c r="CJ16" i="7" a="1"/>
  <c r="CJ16" i="7" s="1"/>
  <c r="CR16" i="7" a="1"/>
  <c r="CR16" i="7" s="1"/>
  <c r="R16" i="7" a="1"/>
  <c r="R16" i="7" s="1"/>
  <c r="Y16" i="7" a="1"/>
  <c r="Y16" i="7" s="1"/>
  <c r="AN16" i="7" a="1"/>
  <c r="AN16" i="7" s="1"/>
  <c r="AV16" i="7" a="1"/>
  <c r="AV16" i="7" s="1"/>
  <c r="BT16" i="7" a="1"/>
  <c r="BT16" i="7" s="1"/>
  <c r="CA16" i="7" a="1"/>
  <c r="CA16" i="7" s="1"/>
  <c r="CG16" i="7" a="1"/>
  <c r="CG16" i="7" s="1"/>
  <c r="CN16" i="7" a="1"/>
  <c r="CN16" i="7" s="1"/>
  <c r="E16" i="7" a="1"/>
  <c r="E16" i="7" s="1"/>
  <c r="AC16" i="7" a="1"/>
  <c r="AC16" i="7" s="1"/>
  <c r="BB16" i="7" a="1"/>
  <c r="BB16" i="7" s="1"/>
  <c r="BN16" i="7" a="1"/>
  <c r="BN16" i="7" s="1"/>
  <c r="BZ16" i="7" a="1"/>
  <c r="BZ16" i="7" s="1"/>
  <c r="CK16" i="7" a="1"/>
  <c r="CK16" i="7" s="1"/>
  <c r="G16" i="7" a="1"/>
  <c r="G16" i="7" s="1"/>
  <c r="S16" i="7" a="1"/>
  <c r="S16" i="7" s="1"/>
  <c r="AE16" i="7" a="1"/>
  <c r="AE16" i="7" s="1"/>
  <c r="BC16" i="7" a="1"/>
  <c r="BC16" i="7" s="1"/>
  <c r="BP16" i="7" a="1"/>
  <c r="BP16" i="7" s="1"/>
  <c r="CL16" i="7" a="1"/>
  <c r="CL16" i="7" s="1"/>
  <c r="T16" i="7" a="1"/>
  <c r="T16" i="7" s="1"/>
  <c r="AF16" i="7" a="1"/>
  <c r="AF16" i="7" s="1"/>
  <c r="J16" i="7" a="1"/>
  <c r="J16" i="7" s="1"/>
  <c r="W16" i="7" a="1"/>
  <c r="W16" i="7" s="1"/>
  <c r="AI16" i="7" a="1"/>
  <c r="AI16" i="7" s="1"/>
  <c r="AU16" i="7" a="1"/>
  <c r="AU16" i="7" s="1"/>
  <c r="BH16" i="7" a="1"/>
  <c r="BH16" i="7" s="1"/>
  <c r="CQ16" i="7" a="1"/>
  <c r="CQ16" i="7" s="1"/>
  <c r="M16" i="7" a="1"/>
  <c r="M16" i="7" s="1"/>
  <c r="AL16" i="7" a="1"/>
  <c r="AL16" i="7" s="1"/>
  <c r="BI16" i="7" a="1"/>
  <c r="BI16" i="7" s="1"/>
  <c r="BV16" i="7" a="1"/>
  <c r="BV16" i="7" s="1"/>
  <c r="CF16" i="7" a="1"/>
  <c r="CF16" i="7" s="1"/>
  <c r="O16" i="7" a="1"/>
  <c r="O16" i="7" s="1"/>
  <c r="Z16" i="7" a="1"/>
  <c r="Z16" i="7" s="1"/>
  <c r="AM16" i="7" a="1"/>
  <c r="AM16" i="7" s="1"/>
  <c r="BJ16" i="7" a="1"/>
  <c r="BJ16" i="7" s="1"/>
  <c r="BW16" i="7" a="1"/>
  <c r="BW16" i="7" s="1"/>
  <c r="CH16" i="7" a="1"/>
  <c r="CH16" i="7" s="1"/>
  <c r="CS16" i="7" a="1"/>
  <c r="CS16" i="7" s="1"/>
  <c r="AG16" i="7" a="1"/>
  <c r="AG16" i="7" s="1"/>
  <c r="BQ16" i="7" a="1"/>
  <c r="BQ16" i="7" s="1"/>
  <c r="BR16" i="7" a="1"/>
  <c r="BR16" i="7" s="1"/>
  <c r="AS16" i="7" a="1"/>
  <c r="AS16" i="7" s="1"/>
  <c r="BX16" i="7" a="1"/>
  <c r="BX16" i="7" s="1"/>
  <c r="H16" i="7" a="1"/>
  <c r="H16" i="7" s="1"/>
  <c r="AZ16" i="7" a="1"/>
  <c r="AZ16" i="7" s="1"/>
  <c r="P16" i="7" a="1"/>
  <c r="P16" i="7" s="1"/>
  <c r="BD16" i="7" a="1"/>
  <c r="BD16" i="7" s="1"/>
  <c r="V16" i="7" a="1"/>
  <c r="V16" i="7" s="1"/>
  <c r="CM16" i="7" a="1"/>
  <c r="CM16" i="7" s="1"/>
  <c r="AT16" i="7" a="1"/>
  <c r="AT16" i="7" s="1"/>
  <c r="BL16" i="7" a="1"/>
  <c r="BL16" i="7" s="1"/>
  <c r="CP16" i="7" a="1"/>
  <c r="CP16" i="7" s="1"/>
  <c r="AA16" i="7" a="1"/>
  <c r="AA16" i="7" s="1"/>
  <c r="B16" i="7" a="1"/>
  <c r="B16" i="7" s="1"/>
  <c r="F24" i="7" a="1"/>
  <c r="F24" i="7" s="1"/>
  <c r="L24" i="7" a="1"/>
  <c r="L24" i="7" s="1"/>
  <c r="S24" i="7" a="1"/>
  <c r="S24" i="7" s="1"/>
  <c r="Y24" i="7" a="1"/>
  <c r="Y24" i="7" s="1"/>
  <c r="AE24" i="7" a="1"/>
  <c r="AE24" i="7" s="1"/>
  <c r="AP24" i="7" a="1"/>
  <c r="AP24" i="7" s="1"/>
  <c r="BA24" i="7" a="1"/>
  <c r="BA24" i="7" s="1"/>
  <c r="BG24" i="7" a="1"/>
  <c r="BG24" i="7" s="1"/>
  <c r="BM24" i="7" a="1"/>
  <c r="BM24" i="7" s="1"/>
  <c r="BT24" i="7" a="1"/>
  <c r="BT24" i="7" s="1"/>
  <c r="CE24" i="7" a="1"/>
  <c r="CE24" i="7" s="1"/>
  <c r="CQ24" i="7" a="1"/>
  <c r="CQ24" i="7" s="1"/>
  <c r="H24" i="7" a="1"/>
  <c r="H24" i="7" s="1"/>
  <c r="P24" i="7" a="1"/>
  <c r="P24" i="7" s="1"/>
  <c r="W24" i="7" a="1"/>
  <c r="W24" i="7" s="1"/>
  <c r="AC24" i="7" a="1"/>
  <c r="AC24" i="7" s="1"/>
  <c r="AJ24" i="7" a="1"/>
  <c r="AJ24" i="7" s="1"/>
  <c r="AQ24" i="7" a="1"/>
  <c r="AQ24" i="7" s="1"/>
  <c r="BD24" i="7" a="1"/>
  <c r="BD24" i="7" s="1"/>
  <c r="BJ24" i="7" a="1"/>
  <c r="BJ24" i="7" s="1"/>
  <c r="BQ24" i="7" a="1"/>
  <c r="BQ24" i="7" s="1"/>
  <c r="BX24" i="7" a="1"/>
  <c r="BX24" i="7" s="1"/>
  <c r="I24" i="7" a="1"/>
  <c r="I24" i="7" s="1"/>
  <c r="Q24" i="7" a="1"/>
  <c r="Q24" i="7" s="1"/>
  <c r="X24" i="7" a="1"/>
  <c r="X24" i="7" s="1"/>
  <c r="AD24" i="7" a="1"/>
  <c r="AD24" i="7" s="1"/>
  <c r="AK24" i="7" a="1"/>
  <c r="AK24" i="7" s="1"/>
  <c r="AX24" i="7" a="1"/>
  <c r="AX24" i="7" s="1"/>
  <c r="BK24" i="7" a="1"/>
  <c r="BK24" i="7" s="1"/>
  <c r="BR24" i="7" a="1"/>
  <c r="BR24" i="7" s="1"/>
  <c r="BY24" i="7" a="1"/>
  <c r="BY24" i="7" s="1"/>
  <c r="CF24" i="7" a="1"/>
  <c r="CF24" i="7" s="1"/>
  <c r="CM24" i="7" a="1"/>
  <c r="CM24" i="7" s="1"/>
  <c r="CS24" i="7" a="1"/>
  <c r="CS24" i="7" s="1"/>
  <c r="AL24" i="7" a="1"/>
  <c r="AL24" i="7" s="1"/>
  <c r="AR24" i="7" a="1"/>
  <c r="AR24" i="7" s="1"/>
  <c r="AY24" i="7" a="1"/>
  <c r="AY24" i="7" s="1"/>
  <c r="BE24" i="7" a="1"/>
  <c r="BE24" i="7" s="1"/>
  <c r="BS24" i="7" a="1"/>
  <c r="BS24" i="7" s="1"/>
  <c r="BZ24" i="7" a="1"/>
  <c r="BZ24" i="7" s="1"/>
  <c r="C24" i="7" a="1"/>
  <c r="C24" i="7" s="1"/>
  <c r="K24" i="7" a="1"/>
  <c r="K24" i="7" s="1"/>
  <c r="AA24" i="7" a="1"/>
  <c r="AA24" i="7" s="1"/>
  <c r="AG24" i="7" a="1"/>
  <c r="AG24" i="7" s="1"/>
  <c r="AN24" i="7" a="1"/>
  <c r="AN24" i="7" s="1"/>
  <c r="AT24" i="7" a="1"/>
  <c r="AT24" i="7" s="1"/>
  <c r="AZ24" i="7" a="1"/>
  <c r="AZ24" i="7" s="1"/>
  <c r="BF24" i="7" a="1"/>
  <c r="BF24" i="7" s="1"/>
  <c r="BU24" i="7" a="1"/>
  <c r="BU24" i="7" s="1"/>
  <c r="CB24" i="7" a="1"/>
  <c r="CB24" i="7" s="1"/>
  <c r="CH24" i="7" a="1"/>
  <c r="CH24" i="7" s="1"/>
  <c r="CO24" i="7" a="1"/>
  <c r="CO24" i="7" s="1"/>
  <c r="D24" i="7" a="1"/>
  <c r="D24" i="7" s="1"/>
  <c r="M24" i="7" a="1"/>
  <c r="M24" i="7" s="1"/>
  <c r="T24" i="7" a="1"/>
  <c r="T24" i="7" s="1"/>
  <c r="AU24" i="7" a="1"/>
  <c r="AU24" i="7" s="1"/>
  <c r="BH24" i="7" a="1"/>
  <c r="BH24" i="7" s="1"/>
  <c r="BN24" i="7" a="1"/>
  <c r="BN24" i="7" s="1"/>
  <c r="BV24" i="7" a="1"/>
  <c r="BV24" i="7" s="1"/>
  <c r="CI24" i="7" a="1"/>
  <c r="CI24" i="7" s="1"/>
  <c r="E24" i="7" a="1"/>
  <c r="E24" i="7" s="1"/>
  <c r="N24" i="7" a="1"/>
  <c r="N24" i="7" s="1"/>
  <c r="U24" i="7" a="1"/>
  <c r="U24" i="7" s="1"/>
  <c r="AB24" i="7" a="1"/>
  <c r="AB24" i="7" s="1"/>
  <c r="AH24" i="7" a="1"/>
  <c r="AH24" i="7" s="1"/>
  <c r="AO24" i="7" a="1"/>
  <c r="AO24" i="7" s="1"/>
  <c r="AV24" i="7" a="1"/>
  <c r="AV24" i="7" s="1"/>
  <c r="BB24" i="7" a="1"/>
  <c r="BB24" i="7" s="1"/>
  <c r="BO24" i="7" a="1"/>
  <c r="BO24" i="7" s="1"/>
  <c r="BW24" i="7" a="1"/>
  <c r="BW24" i="7" s="1"/>
  <c r="CC24" i="7" a="1"/>
  <c r="CC24" i="7" s="1"/>
  <c r="CJ24" i="7" a="1"/>
  <c r="CJ24" i="7" s="1"/>
  <c r="CP24" i="7" a="1"/>
  <c r="CP24" i="7" s="1"/>
  <c r="J24" i="7" a="1"/>
  <c r="J24" i="7" s="1"/>
  <c r="AM24" i="7" a="1"/>
  <c r="AM24" i="7" s="1"/>
  <c r="BL24" i="7" a="1"/>
  <c r="BL24" i="7" s="1"/>
  <c r="CK24" i="7" a="1"/>
  <c r="CK24" i="7" s="1"/>
  <c r="O24" i="7" a="1"/>
  <c r="O24" i="7" s="1"/>
  <c r="BP24" i="7" a="1"/>
  <c r="BP24" i="7" s="1"/>
  <c r="CL24" i="7" a="1"/>
  <c r="CL24" i="7" s="1"/>
  <c r="R24" i="7" a="1"/>
  <c r="R24" i="7" s="1"/>
  <c r="AS24" i="7" a="1"/>
  <c r="AS24" i="7" s="1"/>
  <c r="CN24" i="7" a="1"/>
  <c r="CN24" i="7" s="1"/>
  <c r="V24" i="7" a="1"/>
  <c r="V24" i="7" s="1"/>
  <c r="AW24" i="7" a="1"/>
  <c r="AW24" i="7" s="1"/>
  <c r="Z24" i="7" a="1"/>
  <c r="Z24" i="7" s="1"/>
  <c r="CA24" i="7" a="1"/>
  <c r="CA24" i="7" s="1"/>
  <c r="CR24" i="7" a="1"/>
  <c r="CR24" i="7" s="1"/>
  <c r="BC24" i="7" a="1"/>
  <c r="BC24" i="7" s="1"/>
  <c r="AF24" i="7" a="1"/>
  <c r="AF24" i="7" s="1"/>
  <c r="CD24" i="7" a="1"/>
  <c r="CD24" i="7" s="1"/>
  <c r="G24" i="7" a="1"/>
  <c r="G24" i="7" s="1"/>
  <c r="AI24" i="7" a="1"/>
  <c r="AI24" i="7" s="1"/>
  <c r="BI24" i="7" a="1"/>
  <c r="BI24" i="7" s="1"/>
  <c r="CG24" i="7" a="1"/>
  <c r="CG24" i="7" s="1"/>
  <c r="B24" i="7" a="1"/>
  <c r="B24" i="7" s="1"/>
  <c r="C34" i="7" a="1"/>
  <c r="C34" i="7" s="1"/>
  <c r="I34" i="7" a="1"/>
  <c r="I34" i="7" s="1"/>
  <c r="U34" i="7" a="1"/>
  <c r="U34" i="7" s="1"/>
  <c r="Z34" i="7" a="1"/>
  <c r="Z34" i="7" s="1"/>
  <c r="AF34" i="7" a="1"/>
  <c r="AF34" i="7" s="1"/>
  <c r="AW34" i="7" a="1"/>
  <c r="AW34" i="7" s="1"/>
  <c r="BC34" i="7" a="1"/>
  <c r="BC34" i="7" s="1"/>
  <c r="BI34" i="7" a="1"/>
  <c r="BI34" i="7" s="1"/>
  <c r="BO34" i="7" a="1"/>
  <c r="BO34" i="7" s="1"/>
  <c r="BU34" i="7" a="1"/>
  <c r="BU34" i="7" s="1"/>
  <c r="CG34" i="7" a="1"/>
  <c r="CG34" i="7" s="1"/>
  <c r="CL34" i="7" a="1"/>
  <c r="CL34" i="7" s="1"/>
  <c r="CR34" i="7" a="1"/>
  <c r="CR34" i="7" s="1"/>
  <c r="F34" i="7" a="1"/>
  <c r="F34" i="7" s="1"/>
  <c r="T34" i="7" a="1"/>
  <c r="T34" i="7" s="1"/>
  <c r="AA34" i="7" a="1"/>
  <c r="AA34" i="7" s="1"/>
  <c r="AH34" i="7" a="1"/>
  <c r="AH34" i="7" s="1"/>
  <c r="AN34" i="7" a="1"/>
  <c r="AN34" i="7" s="1"/>
  <c r="BH34" i="7" a="1"/>
  <c r="BH34" i="7" s="1"/>
  <c r="BV34" i="7" a="1"/>
  <c r="BV34" i="7" s="1"/>
  <c r="CB34" i="7" a="1"/>
  <c r="CB34" i="7" s="1"/>
  <c r="CO34" i="7" a="1"/>
  <c r="CO34" i="7" s="1"/>
  <c r="J34" i="7" a="1"/>
  <c r="J34" i="7" s="1"/>
  <c r="X34" i="7" a="1"/>
  <c r="X34" i="7" s="1"/>
  <c r="AE34" i="7" a="1"/>
  <c r="AE34" i="7" s="1"/>
  <c r="AM34" i="7" a="1"/>
  <c r="AM34" i="7" s="1"/>
  <c r="AU34" i="7" a="1"/>
  <c r="AU34" i="7" s="1"/>
  <c r="K34" i="7" a="1"/>
  <c r="K34" i="7" s="1"/>
  <c r="Q34" i="7" a="1"/>
  <c r="Q34" i="7" s="1"/>
  <c r="Y34" i="7" a="1"/>
  <c r="Y34" i="7" s="1"/>
  <c r="AG34" i="7" a="1"/>
  <c r="AG34" i="7" s="1"/>
  <c r="AO34" i="7" a="1"/>
  <c r="AO34" i="7" s="1"/>
  <c r="AV34" i="7" a="1"/>
  <c r="AV34" i="7" s="1"/>
  <c r="BD34" i="7" a="1"/>
  <c r="BD34" i="7" s="1"/>
  <c r="BK34" i="7" a="1"/>
  <c r="BK34" i="7" s="1"/>
  <c r="BR34" i="7" a="1"/>
  <c r="BR34" i="7" s="1"/>
  <c r="BZ34" i="7" a="1"/>
  <c r="BZ34" i="7" s="1"/>
  <c r="CH34" i="7" a="1"/>
  <c r="CH34" i="7" s="1"/>
  <c r="CP34" i="7" a="1"/>
  <c r="CP34" i="7" s="1"/>
  <c r="D34" i="7" a="1"/>
  <c r="D34" i="7" s="1"/>
  <c r="L34" i="7" a="1"/>
  <c r="L34" i="7" s="1"/>
  <c r="R34" i="7" a="1"/>
  <c r="R34" i="7" s="1"/>
  <c r="AP34" i="7" a="1"/>
  <c r="AP34" i="7" s="1"/>
  <c r="BE34" i="7" a="1"/>
  <c r="BE34" i="7" s="1"/>
  <c r="BL34" i="7" a="1"/>
  <c r="BL34" i="7" s="1"/>
  <c r="BS34" i="7" a="1"/>
  <c r="BS34" i="7" s="1"/>
  <c r="CA34" i="7" a="1"/>
  <c r="CA34" i="7" s="1"/>
  <c r="CI34" i="7" a="1"/>
  <c r="CI34" i="7" s="1"/>
  <c r="E34" i="7" a="1"/>
  <c r="E34" i="7" s="1"/>
  <c r="P34" i="7" a="1"/>
  <c r="P34" i="7" s="1"/>
  <c r="AC34" i="7" a="1"/>
  <c r="AC34" i="7" s="1"/>
  <c r="AQ34" i="7" a="1"/>
  <c r="AQ34" i="7" s="1"/>
  <c r="BA34" i="7" a="1"/>
  <c r="BA34" i="7" s="1"/>
  <c r="BN34" i="7" a="1"/>
  <c r="BN34" i="7" s="1"/>
  <c r="BY34" i="7" a="1"/>
  <c r="BY34" i="7" s="1"/>
  <c r="B34" i="7" a="1"/>
  <c r="B34" i="7" s="1"/>
  <c r="S34" i="7" a="1"/>
  <c r="S34" i="7" s="1"/>
  <c r="AD34" i="7" a="1"/>
  <c r="AD34" i="7" s="1"/>
  <c r="AR34" i="7" a="1"/>
  <c r="AR34" i="7" s="1"/>
  <c r="BB34" i="7" a="1"/>
  <c r="BB34" i="7" s="1"/>
  <c r="BP34" i="7" a="1"/>
  <c r="BP34" i="7" s="1"/>
  <c r="CM34" i="7" a="1"/>
  <c r="CM34" i="7" s="1"/>
  <c r="H34" i="7" a="1"/>
  <c r="H34" i="7" s="1"/>
  <c r="V34" i="7" a="1"/>
  <c r="V34" i="7" s="1"/>
  <c r="AI34" i="7" a="1"/>
  <c r="AI34" i="7" s="1"/>
  <c r="BF34" i="7" a="1"/>
  <c r="BF34" i="7" s="1"/>
  <c r="BQ34" i="7" a="1"/>
  <c r="BQ34" i="7" s="1"/>
  <c r="CD34" i="7" a="1"/>
  <c r="CD34" i="7" s="1"/>
  <c r="CQ34" i="7" a="1"/>
  <c r="CQ34" i="7" s="1"/>
  <c r="M34" i="7" a="1"/>
  <c r="M34" i="7" s="1"/>
  <c r="W34" i="7" a="1"/>
  <c r="W34" i="7" s="1"/>
  <c r="AX34" i="7" a="1"/>
  <c r="AX34" i="7" s="1"/>
  <c r="BW34" i="7" a="1"/>
  <c r="BW34" i="7" s="1"/>
  <c r="CF34" i="7" a="1"/>
  <c r="CF34" i="7" s="1"/>
  <c r="O34" i="7" a="1"/>
  <c r="O34" i="7" s="1"/>
  <c r="AL34" i="7" a="1"/>
  <c r="AL34" i="7" s="1"/>
  <c r="AZ34" i="7" a="1"/>
  <c r="AZ34" i="7" s="1"/>
  <c r="BM34" i="7" a="1"/>
  <c r="BM34" i="7" s="1"/>
  <c r="CK34" i="7" a="1"/>
  <c r="CK34" i="7" s="1"/>
  <c r="N34" i="7" a="1"/>
  <c r="N34" i="7" s="1"/>
  <c r="AB34" i="7" a="1"/>
  <c r="AB34" i="7" s="1"/>
  <c r="AK34" i="7" a="1"/>
  <c r="AK34" i="7" s="1"/>
  <c r="AY34" i="7" a="1"/>
  <c r="AY34" i="7" s="1"/>
  <c r="BJ34" i="7" a="1"/>
  <c r="BJ34" i="7" s="1"/>
  <c r="BX34" i="7" a="1"/>
  <c r="BX34" i="7" s="1"/>
  <c r="CJ34" i="7" a="1"/>
  <c r="CJ34" i="7" s="1"/>
  <c r="CC34" i="7" a="1"/>
  <c r="CC34" i="7" s="1"/>
  <c r="AJ34" i="7" a="1"/>
  <c r="AJ34" i="7" s="1"/>
  <c r="CE34" i="7" a="1"/>
  <c r="CE34" i="7" s="1"/>
  <c r="AS34" i="7" a="1"/>
  <c r="AS34" i="7" s="1"/>
  <c r="CN34" i="7" a="1"/>
  <c r="CN34" i="7" s="1"/>
  <c r="AT34" i="7" a="1"/>
  <c r="AT34" i="7" s="1"/>
  <c r="CS34" i="7" a="1"/>
  <c r="CS34" i="7" s="1"/>
  <c r="G34" i="7" a="1"/>
  <c r="G34" i="7" s="1"/>
  <c r="BG34" i="7" a="1"/>
  <c r="BG34" i="7" s="1"/>
  <c r="BT34" i="7" a="1"/>
  <c r="BT34" i="7" s="1"/>
  <c r="F28" i="7" a="1"/>
  <c r="F28" i="7" s="1"/>
  <c r="R28" i="7" a="1"/>
  <c r="R28" i="7" s="1"/>
  <c r="Y28" i="7" a="1"/>
  <c r="Y28" i="7" s="1"/>
  <c r="AE28" i="7" a="1"/>
  <c r="AE28" i="7" s="1"/>
  <c r="AM28" i="7" a="1"/>
  <c r="AM28" i="7" s="1"/>
  <c r="AY28" i="7" a="1"/>
  <c r="AY28" i="7" s="1"/>
  <c r="BD28" i="7" a="1"/>
  <c r="BD28" i="7" s="1"/>
  <c r="BK28" i="7" a="1"/>
  <c r="BK28" i="7" s="1"/>
  <c r="BV28" i="7" a="1"/>
  <c r="BV28" i="7" s="1"/>
  <c r="CB28" i="7" a="1"/>
  <c r="CB28" i="7" s="1"/>
  <c r="CH28" i="7" a="1"/>
  <c r="CH28" i="7" s="1"/>
  <c r="H28" i="7" a="1"/>
  <c r="H28" i="7" s="1"/>
  <c r="N28" i="7" a="1"/>
  <c r="N28" i="7" s="1"/>
  <c r="T28" i="7" a="1"/>
  <c r="T28" i="7" s="1"/>
  <c r="AA28" i="7" a="1"/>
  <c r="AA28" i="7" s="1"/>
  <c r="AG28" i="7" a="1"/>
  <c r="AG28" i="7" s="1"/>
  <c r="AN28" i="7" a="1"/>
  <c r="AN28" i="7" s="1"/>
  <c r="AS28" i="7" a="1"/>
  <c r="AS28" i="7" s="1"/>
  <c r="AZ28" i="7" a="1"/>
  <c r="AZ28" i="7" s="1"/>
  <c r="BF28" i="7" a="1"/>
  <c r="BF28" i="7" s="1"/>
  <c r="BL28" i="7" a="1"/>
  <c r="BL28" i="7" s="1"/>
  <c r="CC28" i="7" a="1"/>
  <c r="CC28" i="7" s="1"/>
  <c r="D28" i="7" a="1"/>
  <c r="D28" i="7" s="1"/>
  <c r="L28" i="7" a="1"/>
  <c r="L28" i="7" s="1"/>
  <c r="AC28" i="7" a="1"/>
  <c r="AC28" i="7" s="1"/>
  <c r="AL28" i="7" a="1"/>
  <c r="AL28" i="7" s="1"/>
  <c r="AT28" i="7" a="1"/>
  <c r="AT28" i="7" s="1"/>
  <c r="BJ28" i="7" a="1"/>
  <c r="BJ28" i="7" s="1"/>
  <c r="BR28" i="7" a="1"/>
  <c r="BR28" i="7" s="1"/>
  <c r="CG28" i="7" a="1"/>
  <c r="CG28" i="7" s="1"/>
  <c r="CP28" i="7" a="1"/>
  <c r="CP28" i="7" s="1"/>
  <c r="M28" i="7" a="1"/>
  <c r="M28" i="7" s="1"/>
  <c r="V28" i="7" a="1"/>
  <c r="V28" i="7" s="1"/>
  <c r="AF28" i="7" a="1"/>
  <c r="AF28" i="7" s="1"/>
  <c r="BI28" i="7" a="1"/>
  <c r="BI28" i="7" s="1"/>
  <c r="BQ28" i="7" a="1"/>
  <c r="BQ28" i="7" s="1"/>
  <c r="BZ28" i="7" a="1"/>
  <c r="BZ28" i="7" s="1"/>
  <c r="CJ28" i="7" a="1"/>
  <c r="CJ28" i="7" s="1"/>
  <c r="E28" i="7" a="1"/>
  <c r="E28" i="7" s="1"/>
  <c r="O28" i="7" a="1"/>
  <c r="O28" i="7" s="1"/>
  <c r="W28" i="7" a="1"/>
  <c r="W28" i="7" s="1"/>
  <c r="AH28" i="7" a="1"/>
  <c r="AH28" i="7" s="1"/>
  <c r="AP28" i="7" a="1"/>
  <c r="AP28" i="7" s="1"/>
  <c r="BS28" i="7" a="1"/>
  <c r="BS28" i="7" s="1"/>
  <c r="CA28" i="7" a="1"/>
  <c r="CA28" i="7" s="1"/>
  <c r="CK28" i="7" a="1"/>
  <c r="CK28" i="7" s="1"/>
  <c r="CS28" i="7" a="1"/>
  <c r="CS28" i="7" s="1"/>
  <c r="P28" i="7" a="1"/>
  <c r="P28" i="7" s="1"/>
  <c r="X28" i="7" a="1"/>
  <c r="X28" i="7" s="1"/>
  <c r="AI28" i="7" a="1"/>
  <c r="AI28" i="7" s="1"/>
  <c r="AQ28" i="7" a="1"/>
  <c r="AQ28" i="7" s="1"/>
  <c r="BA28" i="7" a="1"/>
  <c r="BA28" i="7" s="1"/>
  <c r="BT28" i="7" a="1"/>
  <c r="BT28" i="7" s="1"/>
  <c r="CL28" i="7" a="1"/>
  <c r="CL28" i="7" s="1"/>
  <c r="C28" i="7" a="1"/>
  <c r="C28" i="7" s="1"/>
  <c r="U28" i="7" a="1"/>
  <c r="U28" i="7" s="1"/>
  <c r="AD28" i="7" a="1"/>
  <c r="AD28" i="7" s="1"/>
  <c r="AO28" i="7" a="1"/>
  <c r="AO28" i="7" s="1"/>
  <c r="AX28" i="7" a="1"/>
  <c r="AX28" i="7" s="1"/>
  <c r="BH28" i="7" a="1"/>
  <c r="BH28" i="7" s="1"/>
  <c r="BP28" i="7" a="1"/>
  <c r="BP28" i="7" s="1"/>
  <c r="BY28" i="7" a="1"/>
  <c r="BY28" i="7" s="1"/>
  <c r="CI28" i="7" a="1"/>
  <c r="CI28" i="7" s="1"/>
  <c r="CR28" i="7" a="1"/>
  <c r="CR28" i="7" s="1"/>
  <c r="J28" i="7" a="1"/>
  <c r="J28" i="7" s="1"/>
  <c r="AB28" i="7" a="1"/>
  <c r="AB28" i="7" s="1"/>
  <c r="AV28" i="7" a="1"/>
  <c r="AV28" i="7" s="1"/>
  <c r="BN28" i="7" a="1"/>
  <c r="BN28" i="7" s="1"/>
  <c r="CF28" i="7" a="1"/>
  <c r="CF28" i="7" s="1"/>
  <c r="K28" i="7" a="1"/>
  <c r="K28" i="7" s="1"/>
  <c r="AW28" i="7" a="1"/>
  <c r="AW28" i="7" s="1"/>
  <c r="BO28" i="7" a="1"/>
  <c r="BO28" i="7" s="1"/>
  <c r="Q28" i="7" a="1"/>
  <c r="Q28" i="7" s="1"/>
  <c r="AK28" i="7" a="1"/>
  <c r="AK28" i="7" s="1"/>
  <c r="BC28" i="7" a="1"/>
  <c r="BC28" i="7" s="1"/>
  <c r="BU28" i="7" a="1"/>
  <c r="BU28" i="7" s="1"/>
  <c r="CN28" i="7" a="1"/>
  <c r="CN28" i="7" s="1"/>
  <c r="AJ28" i="7" a="1"/>
  <c r="AJ28" i="7" s="1"/>
  <c r="BB28" i="7" a="1"/>
  <c r="BB28" i="7" s="1"/>
  <c r="CM28" i="7" a="1"/>
  <c r="CM28" i="7" s="1"/>
  <c r="BE28" i="7" a="1"/>
  <c r="BE28" i="7" s="1"/>
  <c r="BW28" i="7" a="1"/>
  <c r="BW28" i="7" s="1"/>
  <c r="CO28" i="7" a="1"/>
  <c r="CO28" i="7" s="1"/>
  <c r="G28" i="7" a="1"/>
  <c r="G28" i="7" s="1"/>
  <c r="Z28" i="7" a="1"/>
  <c r="Z28" i="7" s="1"/>
  <c r="AR28" i="7" a="1"/>
  <c r="AR28" i="7" s="1"/>
  <c r="CD28" i="7" a="1"/>
  <c r="CD28" i="7" s="1"/>
  <c r="B28" i="7" a="1"/>
  <c r="B28" i="7" s="1"/>
  <c r="I28" i="7" a="1"/>
  <c r="I28" i="7" s="1"/>
  <c r="AU28" i="7" a="1"/>
  <c r="AU28" i="7" s="1"/>
  <c r="BM28" i="7" a="1"/>
  <c r="BM28" i="7" s="1"/>
  <c r="CE28" i="7" a="1"/>
  <c r="CE28" i="7" s="1"/>
  <c r="S28" i="7" a="1"/>
  <c r="S28" i="7" s="1"/>
  <c r="BG28" i="7" a="1"/>
  <c r="BG28" i="7" s="1"/>
  <c r="BX28" i="7" a="1"/>
  <c r="BX28" i="7" s="1"/>
  <c r="CQ28" i="7" a="1"/>
  <c r="CQ28" i="7" s="1"/>
  <c r="D22" i="27" l="1"/>
  <c r="H40" i="27"/>
  <c r="F17" i="27"/>
  <c r="E97" i="27"/>
  <c r="C50" i="24"/>
  <c r="D36" i="27"/>
  <c r="E68" i="27"/>
  <c r="E5" i="27"/>
  <c r="C86" i="27"/>
  <c r="D18" i="27"/>
  <c r="D28" i="24"/>
  <c r="D8" i="24"/>
  <c r="H15" i="27"/>
  <c r="D87" i="27"/>
  <c r="C52" i="27"/>
  <c r="F37" i="27"/>
  <c r="D46" i="27"/>
  <c r="C94" i="24"/>
  <c r="E72" i="27"/>
  <c r="H19" i="27"/>
  <c r="G45" i="27"/>
  <c r="D30" i="24"/>
  <c r="C11" i="27"/>
  <c r="E49" i="27"/>
  <c r="C88" i="27"/>
  <c r="E12" i="27"/>
  <c r="C52" i="24"/>
  <c r="C20" i="24"/>
  <c r="G93" i="27"/>
  <c r="F39" i="27"/>
  <c r="G27" i="27"/>
  <c r="F20" i="27"/>
  <c r="C92" i="27"/>
  <c r="G90" i="27"/>
  <c r="G6" i="27"/>
  <c r="D47" i="27"/>
  <c r="D84" i="24"/>
  <c r="C95" i="24"/>
  <c r="D42" i="27"/>
  <c r="C55" i="27"/>
  <c r="C31" i="24"/>
  <c r="C50" i="27"/>
  <c r="E43" i="27"/>
  <c r="D28" i="27"/>
  <c r="E61" i="27"/>
  <c r="C78" i="27"/>
  <c r="F79" i="27"/>
  <c r="H64" i="27"/>
  <c r="D81" i="24"/>
  <c r="H60" i="27"/>
  <c r="C76" i="24"/>
  <c r="F59" i="27"/>
  <c r="H58" i="27"/>
  <c r="E59" i="27"/>
  <c r="D58" i="24"/>
  <c r="G58" i="27"/>
  <c r="D57" i="24"/>
  <c r="H59" i="27"/>
  <c r="F58" i="27"/>
  <c r="C59" i="27"/>
  <c r="E86" i="27"/>
  <c r="C58" i="24"/>
  <c r="G59" i="27"/>
  <c r="C58" i="27"/>
  <c r="D58" i="27"/>
  <c r="C57" i="24"/>
  <c r="E58" i="27"/>
  <c r="D59" i="27"/>
  <c r="G56" i="27" l="1"/>
  <c r="D96" i="24"/>
  <c r="D97" i="27"/>
  <c r="F97" i="27"/>
  <c r="G97" i="27"/>
  <c r="C97" i="27"/>
  <c r="C96" i="24"/>
  <c r="H97" i="27"/>
  <c r="D93" i="24"/>
  <c r="D29" i="24"/>
  <c r="E29" i="27"/>
  <c r="G29" i="27"/>
  <c r="H29" i="27"/>
  <c r="C29" i="27"/>
  <c r="C85" i="24"/>
  <c r="F29" i="27"/>
  <c r="D39" i="24"/>
  <c r="D26" i="24"/>
  <c r="C28" i="24"/>
  <c r="G71" i="27"/>
  <c r="D29" i="27"/>
  <c r="F40" i="27"/>
  <c r="E40" i="27"/>
  <c r="C39" i="24"/>
  <c r="H94" i="27"/>
  <c r="C27" i="27"/>
  <c r="H12" i="27"/>
  <c r="C42" i="27"/>
  <c r="E27" i="27"/>
  <c r="D90" i="27"/>
  <c r="C93" i="24"/>
  <c r="E94" i="27"/>
  <c r="F86" i="27"/>
  <c r="D52" i="27"/>
  <c r="F42" i="27"/>
  <c r="D86" i="27"/>
  <c r="G86" i="27"/>
  <c r="G7" i="27"/>
  <c r="D99" i="27"/>
  <c r="F99" i="27"/>
  <c r="D98" i="24"/>
  <c r="E99" i="27"/>
  <c r="G99" i="27"/>
  <c r="F27" i="27"/>
  <c r="H99" i="27"/>
  <c r="H27" i="27"/>
  <c r="C10" i="24"/>
  <c r="G11" i="27"/>
  <c r="D11" i="27"/>
  <c r="H11" i="27"/>
  <c r="D27" i="27"/>
  <c r="D10" i="24"/>
  <c r="C26" i="24"/>
  <c r="H43" i="27"/>
  <c r="H53" i="27"/>
  <c r="G25" i="27"/>
  <c r="C25" i="27"/>
  <c r="E25" i="27"/>
  <c r="C9" i="27"/>
  <c r="C72" i="24"/>
  <c r="G76" i="27"/>
  <c r="F33" i="27"/>
  <c r="C21" i="27"/>
  <c r="G49" i="27"/>
  <c r="D5" i="27"/>
  <c r="C48" i="24"/>
  <c r="C22" i="24"/>
  <c r="C49" i="27"/>
  <c r="D23" i="27"/>
  <c r="H49" i="27"/>
  <c r="H23" i="27"/>
  <c r="G23" i="27"/>
  <c r="F43" i="27"/>
  <c r="E51" i="27"/>
  <c r="C23" i="27"/>
  <c r="D22" i="24"/>
  <c r="D51" i="27"/>
  <c r="G21" i="27"/>
  <c r="D21" i="27"/>
  <c r="G51" i="27"/>
  <c r="F9" i="27"/>
  <c r="H21" i="27"/>
  <c r="D4" i="24"/>
  <c r="F21" i="27"/>
  <c r="E21" i="27"/>
  <c r="F85" i="27"/>
  <c r="F49" i="27"/>
  <c r="E23" i="27"/>
  <c r="F23" i="27"/>
  <c r="D50" i="24"/>
  <c r="D49" i="27"/>
  <c r="D48" i="24"/>
  <c r="F69" i="27"/>
  <c r="D46" i="24"/>
  <c r="C69" i="27"/>
  <c r="D98" i="27"/>
  <c r="C41" i="27"/>
  <c r="E98" i="27"/>
  <c r="C32" i="24"/>
  <c r="F41" i="27"/>
  <c r="D41" i="27"/>
  <c r="C97" i="24"/>
  <c r="G98" i="27"/>
  <c r="F98" i="27"/>
  <c r="C40" i="24"/>
  <c r="G54" i="27"/>
  <c r="C68" i="24"/>
  <c r="C46" i="24"/>
  <c r="F10" i="27"/>
  <c r="G53" i="27"/>
  <c r="F57" i="27"/>
  <c r="H69" i="27"/>
  <c r="F53" i="27"/>
  <c r="C53" i="27"/>
  <c r="D53" i="27"/>
  <c r="F18" i="27"/>
  <c r="F45" i="27"/>
  <c r="E33" i="27"/>
  <c r="C44" i="24"/>
  <c r="G68" i="27"/>
  <c r="E50" i="27"/>
  <c r="F44" i="27"/>
  <c r="F68" i="27"/>
  <c r="C67" i="24"/>
  <c r="E45" i="27"/>
  <c r="E44" i="27"/>
  <c r="C16" i="24"/>
  <c r="D32" i="24"/>
  <c r="C44" i="27"/>
  <c r="H68" i="27"/>
  <c r="C43" i="24"/>
  <c r="D44" i="27"/>
  <c r="C33" i="27"/>
  <c r="H33" i="27"/>
  <c r="G44" i="27"/>
  <c r="D43" i="24"/>
  <c r="D68" i="27"/>
  <c r="E34" i="27"/>
  <c r="G33" i="27"/>
  <c r="F34" i="27"/>
  <c r="D33" i="27"/>
  <c r="C45" i="27"/>
  <c r="C68" i="27"/>
  <c r="D45" i="27"/>
  <c r="D49" i="24"/>
  <c r="H44" i="27"/>
  <c r="E17" i="27"/>
  <c r="C17" i="27"/>
  <c r="D67" i="24"/>
  <c r="C12" i="24"/>
  <c r="C48" i="27"/>
  <c r="F38" i="27"/>
  <c r="C35" i="24"/>
  <c r="F36" i="27"/>
  <c r="G38" i="27"/>
  <c r="G36" i="27"/>
  <c r="D48" i="27"/>
  <c r="D41" i="24"/>
  <c r="C12" i="27"/>
  <c r="D40" i="27"/>
  <c r="C24" i="24"/>
  <c r="F25" i="27"/>
  <c r="C99" i="27"/>
  <c r="D69" i="27"/>
  <c r="D40" i="24"/>
  <c r="H42" i="27"/>
  <c r="G40" i="27"/>
  <c r="H86" i="27"/>
  <c r="F94" i="27"/>
  <c r="F52" i="27"/>
  <c r="G94" i="27"/>
  <c r="D54" i="27"/>
  <c r="F11" i="27"/>
  <c r="G72" i="27"/>
  <c r="D85" i="24"/>
  <c r="E36" i="27"/>
  <c r="C34" i="24"/>
  <c r="D35" i="24"/>
  <c r="G42" i="27"/>
  <c r="C29" i="24"/>
  <c r="D52" i="24"/>
  <c r="D89" i="24"/>
  <c r="E38" i="27"/>
  <c r="C38" i="27"/>
  <c r="C32" i="27"/>
  <c r="C41" i="24"/>
  <c r="C98" i="24"/>
  <c r="C40" i="27"/>
  <c r="F32" i="27"/>
  <c r="G69" i="27"/>
  <c r="C47" i="24"/>
  <c r="D37" i="27"/>
  <c r="E11" i="27"/>
  <c r="C57" i="27"/>
  <c r="F56" i="27"/>
  <c r="C94" i="27"/>
  <c r="C55" i="24"/>
  <c r="H25" i="27"/>
  <c r="D25" i="27"/>
  <c r="H98" i="27"/>
  <c r="D24" i="24"/>
  <c r="H41" i="27"/>
  <c r="C49" i="24"/>
  <c r="D4" i="27"/>
  <c r="C3" i="24"/>
  <c r="C4" i="27"/>
  <c r="E41" i="27"/>
  <c r="G41" i="27"/>
  <c r="E54" i="27"/>
  <c r="G4" i="27"/>
  <c r="H93" i="27"/>
  <c r="C98" i="27"/>
  <c r="D97" i="24"/>
  <c r="F7" i="27"/>
  <c r="E4" i="27"/>
  <c r="E57" i="27"/>
  <c r="C36" i="27"/>
  <c r="C56" i="24"/>
  <c r="H48" i="27"/>
  <c r="C19" i="24"/>
  <c r="G13" i="27"/>
  <c r="H38" i="27"/>
  <c r="D95" i="27"/>
  <c r="D56" i="24"/>
  <c r="D47" i="24"/>
  <c r="H47" i="27"/>
  <c r="E53" i="27"/>
  <c r="H36" i="27"/>
  <c r="D94" i="24"/>
  <c r="C37" i="24"/>
  <c r="G48" i="27"/>
  <c r="E95" i="27"/>
  <c r="E47" i="27"/>
  <c r="G95" i="27"/>
  <c r="C95" i="27"/>
  <c r="D7" i="24"/>
  <c r="E48" i="27"/>
  <c r="D57" i="27"/>
  <c r="F48" i="27"/>
  <c r="D37" i="24"/>
  <c r="F95" i="27"/>
  <c r="G20" i="27"/>
  <c r="D38" i="27"/>
  <c r="H95" i="27"/>
  <c r="E15" i="12"/>
  <c r="E20" i="27"/>
  <c r="H85" i="27"/>
  <c r="D20" i="27"/>
  <c r="C56" i="27"/>
  <c r="E56" i="27"/>
  <c r="F19" i="27"/>
  <c r="D55" i="24"/>
  <c r="G19" i="27"/>
  <c r="C18" i="24"/>
  <c r="E18" i="27"/>
  <c r="G24" i="27"/>
  <c r="E35" i="27"/>
  <c r="D65" i="27"/>
  <c r="D43" i="27"/>
  <c r="E19" i="27"/>
  <c r="G47" i="27"/>
  <c r="D18" i="24"/>
  <c r="H56" i="27"/>
  <c r="D19" i="27"/>
  <c r="D56" i="27"/>
  <c r="C19" i="27"/>
  <c r="D17" i="24"/>
  <c r="C60" i="24"/>
  <c r="C83" i="24"/>
  <c r="D84" i="27"/>
  <c r="C53" i="24"/>
  <c r="D38" i="24"/>
  <c r="F55" i="27"/>
  <c r="E30" i="27"/>
  <c r="F84" i="27"/>
  <c r="D51" i="24"/>
  <c r="G84" i="27"/>
  <c r="D17" i="27"/>
  <c r="C14" i="24"/>
  <c r="E39" i="27"/>
  <c r="G52" i="27"/>
  <c r="E55" i="27"/>
  <c r="C54" i="27"/>
  <c r="D39" i="27"/>
  <c r="H74" i="27"/>
  <c r="H72" i="27"/>
  <c r="C54" i="24"/>
  <c r="D30" i="27"/>
  <c r="G30" i="27"/>
  <c r="H52" i="27"/>
  <c r="H54" i="27"/>
  <c r="C39" i="27"/>
  <c r="D16" i="24"/>
  <c r="F54" i="27"/>
  <c r="D72" i="27"/>
  <c r="C72" i="27"/>
  <c r="H55" i="27"/>
  <c r="H39" i="27"/>
  <c r="G39" i="27"/>
  <c r="C51" i="24"/>
  <c r="F72" i="27"/>
  <c r="D92" i="24"/>
  <c r="H17" i="27"/>
  <c r="G17" i="27"/>
  <c r="E52" i="27"/>
  <c r="C71" i="24"/>
  <c r="D53" i="24"/>
  <c r="G78" i="27"/>
  <c r="D71" i="24"/>
  <c r="D78" i="27"/>
  <c r="C30" i="27"/>
  <c r="C38" i="24"/>
  <c r="F30" i="27"/>
  <c r="H30" i="27"/>
  <c r="D64" i="24"/>
  <c r="H78" i="27"/>
  <c r="C65" i="27"/>
  <c r="C77" i="24"/>
  <c r="E78" i="27"/>
  <c r="D32" i="27"/>
  <c r="D77" i="24"/>
  <c r="I30" i="12"/>
  <c r="J75" i="12"/>
  <c r="F20" i="12"/>
  <c r="E85" i="12"/>
  <c r="E13" i="12"/>
  <c r="K19" i="12"/>
  <c r="F13" i="27"/>
  <c r="D6" i="24"/>
  <c r="F12" i="27"/>
  <c r="E89" i="27"/>
  <c r="G10" i="27"/>
  <c r="D10" i="27"/>
  <c r="C8" i="24"/>
  <c r="D3" i="24"/>
  <c r="C6" i="24"/>
  <c r="D89" i="27"/>
  <c r="D77" i="27"/>
  <c r="H4" i="27"/>
  <c r="F4" i="27"/>
  <c r="G85" i="27"/>
  <c r="C7" i="27"/>
  <c r="C89" i="27"/>
  <c r="E9" i="27"/>
  <c r="E13" i="27"/>
  <c r="G9" i="27"/>
  <c r="E46" i="27"/>
  <c r="D9" i="27"/>
  <c r="D14" i="24"/>
  <c r="E87" i="27"/>
  <c r="C10" i="27"/>
  <c r="C87" i="27"/>
  <c r="D15" i="27"/>
  <c r="E15" i="27"/>
  <c r="G15" i="27"/>
  <c r="D13" i="27"/>
  <c r="C13" i="27"/>
  <c r="H10" i="27"/>
  <c r="D11" i="24"/>
  <c r="H87" i="27"/>
  <c r="C86" i="24"/>
  <c r="C15" i="27"/>
  <c r="J66" i="12"/>
  <c r="G89" i="27"/>
  <c r="H89" i="27"/>
  <c r="D12" i="27"/>
  <c r="E10" i="27"/>
  <c r="D86" i="24"/>
  <c r="F89" i="27"/>
  <c r="D9" i="24"/>
  <c r="D12" i="24"/>
  <c r="F15" i="27"/>
  <c r="H7" i="27"/>
  <c r="E7" i="27"/>
  <c r="G77" i="27"/>
  <c r="D88" i="24"/>
  <c r="C88" i="24"/>
  <c r="F78" i="27"/>
  <c r="H13" i="27"/>
  <c r="C11" i="24"/>
  <c r="F87" i="27"/>
  <c r="E77" i="27"/>
  <c r="D7" i="27"/>
  <c r="F63" i="27"/>
  <c r="C9" i="24"/>
  <c r="H9" i="27"/>
  <c r="D73" i="27"/>
  <c r="G12" i="27"/>
  <c r="G87" i="27"/>
  <c r="D16" i="12"/>
  <c r="C64" i="24"/>
  <c r="D88" i="27"/>
  <c r="D87" i="24"/>
  <c r="H75" i="27"/>
  <c r="D45" i="24"/>
  <c r="E96" i="27"/>
  <c r="C5" i="24"/>
  <c r="D27" i="24"/>
  <c r="C27" i="24"/>
  <c r="D83" i="24"/>
  <c r="C84" i="27"/>
  <c r="H84" i="27"/>
  <c r="D33" i="24"/>
  <c r="H96" i="27"/>
  <c r="G22" i="27"/>
  <c r="H28" i="27"/>
  <c r="F92" i="27"/>
  <c r="D91" i="24"/>
  <c r="G46" i="27"/>
  <c r="C46" i="27"/>
  <c r="C92" i="24"/>
  <c r="H77" i="27"/>
  <c r="H92" i="27"/>
  <c r="D21" i="24"/>
  <c r="D5" i="24"/>
  <c r="C70" i="27"/>
  <c r="F75" i="27"/>
  <c r="F88" i="27"/>
  <c r="H65" i="27"/>
  <c r="C87" i="24"/>
  <c r="E22" i="27"/>
  <c r="E84" i="27"/>
  <c r="E92" i="27"/>
  <c r="C45" i="24"/>
  <c r="G65" i="27"/>
  <c r="D92" i="27"/>
  <c r="C21" i="24"/>
  <c r="D95" i="24"/>
  <c r="C96" i="27"/>
  <c r="G88" i="27"/>
  <c r="H88" i="27"/>
  <c r="E28" i="27"/>
  <c r="H46" i="27"/>
  <c r="D6" i="27"/>
  <c r="E93" i="27"/>
  <c r="E65" i="27"/>
  <c r="G34" i="27"/>
  <c r="G75" i="27"/>
  <c r="C34" i="27"/>
  <c r="E88" i="27"/>
  <c r="F46" i="27"/>
  <c r="D76" i="24"/>
  <c r="C22" i="27"/>
  <c r="C77" i="27"/>
  <c r="C33" i="24"/>
  <c r="F93" i="27"/>
  <c r="D93" i="27"/>
  <c r="D96" i="27"/>
  <c r="F96" i="27"/>
  <c r="H34" i="27"/>
  <c r="D34" i="27"/>
  <c r="F22" i="27"/>
  <c r="H22" i="27"/>
  <c r="C93" i="27"/>
  <c r="C6" i="27"/>
  <c r="G57" i="27"/>
  <c r="G96" i="27"/>
  <c r="C75" i="27"/>
  <c r="D44" i="24"/>
  <c r="D50" i="27"/>
  <c r="G50" i="27"/>
  <c r="C20" i="27"/>
  <c r="E85" i="27"/>
  <c r="E90" i="27"/>
  <c r="H45" i="27"/>
  <c r="C91" i="24"/>
  <c r="G43" i="27"/>
  <c r="C85" i="27"/>
  <c r="H73" i="27"/>
  <c r="H35" i="27"/>
  <c r="E6" i="27"/>
  <c r="E70" i="27"/>
  <c r="E63" i="27"/>
  <c r="C47" i="27"/>
  <c r="G32" i="27"/>
  <c r="C42" i="24"/>
  <c r="D19" i="24"/>
  <c r="C84" i="24"/>
  <c r="C63" i="27"/>
  <c r="F70" i="27"/>
  <c r="C62" i="24"/>
  <c r="G70" i="27"/>
  <c r="C69" i="24"/>
  <c r="D68" i="24"/>
  <c r="D31" i="24"/>
  <c r="D74" i="24"/>
  <c r="F90" i="27"/>
  <c r="D54" i="24"/>
  <c r="F62" i="27"/>
  <c r="D85" i="27"/>
  <c r="D55" i="27"/>
  <c r="C90" i="27"/>
  <c r="D20" i="24"/>
  <c r="D75" i="27"/>
  <c r="C43" i="27"/>
  <c r="H50" i="27"/>
  <c r="G61" i="27"/>
  <c r="D69" i="24"/>
  <c r="F6" i="27"/>
  <c r="E62" i="27"/>
  <c r="G63" i="27"/>
  <c r="D62" i="24"/>
  <c r="H67" i="27"/>
  <c r="H61" i="27"/>
  <c r="D63" i="27"/>
  <c r="H32" i="27"/>
  <c r="E75" i="27"/>
  <c r="E32" i="27"/>
  <c r="H57" i="27"/>
  <c r="E69" i="27"/>
  <c r="G67" i="27"/>
  <c r="H20" i="27"/>
  <c r="G92" i="27"/>
  <c r="H90" i="27"/>
  <c r="H6" i="27"/>
  <c r="D42" i="24"/>
  <c r="H62" i="27"/>
  <c r="C89" i="24"/>
  <c r="H63" i="27"/>
  <c r="C65" i="24"/>
  <c r="C63" i="24"/>
  <c r="E91" i="27"/>
  <c r="C90" i="24"/>
  <c r="D14" i="27"/>
  <c r="D16" i="27"/>
  <c r="C30" i="24"/>
  <c r="G74" i="27"/>
  <c r="D75" i="24"/>
  <c r="H16" i="27"/>
  <c r="D15" i="24"/>
  <c r="F24" i="27"/>
  <c r="F14" i="27"/>
  <c r="G66" i="27"/>
  <c r="E16" i="27"/>
  <c r="F67" i="27"/>
  <c r="H76" i="27"/>
  <c r="F65" i="27"/>
  <c r="H51" i="27"/>
  <c r="E71" i="27"/>
  <c r="G28" i="27"/>
  <c r="F50" i="27"/>
  <c r="D94" i="27"/>
  <c r="C91" i="27"/>
  <c r="D73" i="24"/>
  <c r="D62" i="27"/>
  <c r="C61" i="27"/>
  <c r="E26" i="27"/>
  <c r="C8" i="27"/>
  <c r="E8" i="27"/>
  <c r="E31" i="27"/>
  <c r="F8" i="27"/>
  <c r="G5" i="27"/>
  <c r="C23" i="24"/>
  <c r="E76" i="27"/>
  <c r="C66" i="24"/>
  <c r="C74" i="24"/>
  <c r="H24" i="27"/>
  <c r="D67" i="27"/>
  <c r="D35" i="27"/>
  <c r="C24" i="27"/>
  <c r="E14" i="27"/>
  <c r="F16" i="27"/>
  <c r="H66" i="27"/>
  <c r="D23" i="24"/>
  <c r="C14" i="27"/>
  <c r="F77" i="27"/>
  <c r="E42" i="27"/>
  <c r="C5" i="27"/>
  <c r="F47" i="27"/>
  <c r="G55" i="27"/>
  <c r="F28" i="27"/>
  <c r="H70" i="27"/>
  <c r="C51" i="27"/>
  <c r="D25" i="24"/>
  <c r="G18" i="27"/>
  <c r="E64" i="27"/>
  <c r="D61" i="27"/>
  <c r="D71" i="27"/>
  <c r="H5" i="27"/>
  <c r="C15" i="24"/>
  <c r="D70" i="27"/>
  <c r="D8" i="27"/>
  <c r="H31" i="27"/>
  <c r="H8" i="27"/>
  <c r="G62" i="27"/>
  <c r="H71" i="27"/>
  <c r="G64" i="27"/>
  <c r="G14" i="27"/>
  <c r="D34" i="24"/>
  <c r="C36" i="24"/>
  <c r="E74" i="27"/>
  <c r="C18" i="27"/>
  <c r="F76" i="27"/>
  <c r="F73" i="27"/>
  <c r="E24" i="27"/>
  <c r="D13" i="24"/>
  <c r="H18" i="27"/>
  <c r="E73" i="27"/>
  <c r="H37" i="27"/>
  <c r="C4" i="24"/>
  <c r="C37" i="27"/>
  <c r="F5" i="27"/>
  <c r="H26" i="27"/>
  <c r="D90" i="24"/>
  <c r="F51" i="27"/>
  <c r="G31" i="27"/>
  <c r="C28" i="27"/>
  <c r="F71" i="27"/>
  <c r="C25" i="24"/>
  <c r="D60" i="24"/>
  <c r="C31" i="27"/>
  <c r="C61" i="24"/>
  <c r="C66" i="27"/>
  <c r="G16" i="27"/>
  <c r="D70" i="24"/>
  <c r="D61" i="24"/>
  <c r="C62" i="27"/>
  <c r="F31" i="27"/>
  <c r="G8" i="27"/>
  <c r="D66" i="24"/>
  <c r="F35" i="27"/>
  <c r="D66" i="27"/>
  <c r="F66" i="27"/>
  <c r="F74" i="27"/>
  <c r="C73" i="27"/>
  <c r="D91" i="27"/>
  <c r="G26" i="27"/>
  <c r="H91" i="27"/>
  <c r="F91" i="27"/>
  <c r="D31" i="27"/>
  <c r="C7" i="24"/>
  <c r="F61" i="27"/>
  <c r="C73" i="24"/>
  <c r="G37" i="27"/>
  <c r="C67" i="27"/>
  <c r="D65" i="24"/>
  <c r="G91" i="27"/>
  <c r="E37" i="27"/>
  <c r="C16" i="27"/>
  <c r="E67" i="27"/>
  <c r="D76" i="27"/>
  <c r="C17" i="24"/>
  <c r="E66" i="27"/>
  <c r="C35" i="27"/>
  <c r="D24" i="27"/>
  <c r="G73" i="27"/>
  <c r="D74" i="27"/>
  <c r="C71" i="27"/>
  <c r="C76" i="27"/>
  <c r="G35" i="27"/>
  <c r="C26" i="27"/>
  <c r="D26" i="27"/>
  <c r="C75" i="24"/>
  <c r="C13" i="24"/>
  <c r="C70" i="24"/>
  <c r="F26" i="27"/>
  <c r="D36" i="24"/>
  <c r="H14" i="27"/>
  <c r="C74" i="27"/>
  <c r="D72" i="24"/>
  <c r="C83" i="27"/>
  <c r="H83" i="27"/>
  <c r="C82" i="24"/>
  <c r="D79" i="27"/>
  <c r="D82" i="24"/>
  <c r="C79" i="27"/>
  <c r="C78" i="24"/>
  <c r="E83" i="27"/>
  <c r="D64" i="27"/>
  <c r="H79" i="27"/>
  <c r="F82" i="27"/>
  <c r="C82" i="27"/>
  <c r="D82" i="27"/>
  <c r="F64" i="27"/>
  <c r="D83" i="27"/>
  <c r="C64" i="27"/>
  <c r="F83" i="27"/>
  <c r="G83" i="27"/>
  <c r="G79" i="27"/>
  <c r="D78" i="24"/>
  <c r="E79" i="27"/>
  <c r="D63" i="24"/>
  <c r="E82" i="27"/>
  <c r="G82" i="27"/>
  <c r="C81" i="24"/>
  <c r="H82" i="27"/>
  <c r="G60" i="27"/>
  <c r="C59" i="24"/>
  <c r="F60" i="27"/>
  <c r="D60" i="27"/>
  <c r="D59" i="24"/>
  <c r="E60" i="27"/>
  <c r="C60" i="27"/>
  <c r="D80" i="27"/>
  <c r="C79" i="24"/>
  <c r="D81" i="27"/>
  <c r="F81" i="27"/>
  <c r="D80" i="24"/>
  <c r="H80" i="27"/>
  <c r="G81" i="27"/>
  <c r="H81" i="27"/>
  <c r="G80" i="27"/>
  <c r="C80" i="27"/>
  <c r="C80" i="24"/>
  <c r="C81" i="27"/>
  <c r="D79" i="24"/>
  <c r="E80" i="27"/>
  <c r="E81" i="27"/>
  <c r="F80" i="27"/>
  <c r="L61" i="12" l="1"/>
  <c r="L15" i="12"/>
  <c r="C78" i="12"/>
  <c r="I25" i="12"/>
  <c r="D10" i="12"/>
  <c r="G52" i="12"/>
  <c r="C95" i="12"/>
  <c r="H15" i="12"/>
  <c r="F15" i="12"/>
  <c r="D15" i="12"/>
  <c r="K15" i="12"/>
  <c r="I15" i="12"/>
  <c r="E77" i="12"/>
  <c r="I37" i="12"/>
  <c r="K74" i="12"/>
  <c r="G27" i="12"/>
  <c r="J15" i="12"/>
  <c r="G15" i="12"/>
  <c r="C15" i="12"/>
  <c r="I20" i="12"/>
  <c r="H89" i="12"/>
  <c r="G32" i="12"/>
  <c r="H2" i="12"/>
  <c r="G12" i="12"/>
  <c r="K12" i="12"/>
  <c r="I3" i="12"/>
  <c r="D12" i="12"/>
  <c r="E12" i="12"/>
  <c r="J12" i="12"/>
  <c r="L12" i="12"/>
  <c r="H21" i="12"/>
  <c r="C9" i="12"/>
  <c r="C3" i="12"/>
  <c r="H12" i="12"/>
  <c r="F17" i="12"/>
  <c r="J43" i="12"/>
  <c r="C36" i="12"/>
  <c r="L96" i="12"/>
  <c r="D64" i="12"/>
  <c r="J67" i="12"/>
  <c r="L20" i="12"/>
  <c r="J20" i="12"/>
  <c r="J3" i="12"/>
  <c r="E3" i="12"/>
  <c r="K3" i="12"/>
  <c r="L3" i="12"/>
  <c r="H3" i="12"/>
  <c r="L97" i="12"/>
  <c r="D3" i="12"/>
  <c r="E80" i="12"/>
  <c r="L66" i="12"/>
  <c r="K66" i="12"/>
  <c r="J62" i="12"/>
  <c r="F3" i="12"/>
  <c r="K55" i="12"/>
  <c r="G3" i="12"/>
  <c r="I12" i="12"/>
  <c r="F12" i="12"/>
  <c r="I66" i="12"/>
  <c r="C12" i="12"/>
  <c r="F66" i="12"/>
  <c r="I46" i="12"/>
  <c r="D18" i="12"/>
  <c r="L39" i="12"/>
  <c r="L88" i="12"/>
  <c r="D21" i="12"/>
  <c r="E21" i="12"/>
  <c r="G21" i="12"/>
  <c r="I21" i="12"/>
  <c r="C21" i="12"/>
  <c r="D83" i="12"/>
  <c r="I75" i="12"/>
  <c r="J63" i="12"/>
  <c r="J21" i="12"/>
  <c r="H88" i="12"/>
  <c r="K21" i="12"/>
  <c r="F49" i="12"/>
  <c r="G20" i="12"/>
  <c r="F75" i="12"/>
  <c r="K88" i="12"/>
  <c r="G75" i="12"/>
  <c r="E88" i="12"/>
  <c r="D88" i="12"/>
  <c r="H75" i="12"/>
  <c r="G23" i="12"/>
  <c r="J88" i="12"/>
  <c r="C75" i="12"/>
  <c r="G81" i="12"/>
  <c r="H20" i="12"/>
  <c r="L75" i="12"/>
  <c r="K20" i="12"/>
  <c r="C88" i="12"/>
  <c r="K75" i="12"/>
  <c r="C20" i="12"/>
  <c r="H8" i="12"/>
  <c r="E75" i="12"/>
  <c r="D75" i="12"/>
  <c r="H66" i="12"/>
  <c r="G66" i="12"/>
  <c r="K27" i="12"/>
  <c r="D66" i="12"/>
  <c r="E66" i="12"/>
  <c r="C66" i="12"/>
  <c r="L27" i="12"/>
  <c r="C27" i="12"/>
  <c r="I27" i="12"/>
  <c r="F53" i="12"/>
  <c r="K11" i="12"/>
  <c r="G16" i="12"/>
  <c r="C16" i="12"/>
  <c r="H16" i="12"/>
  <c r="I11" i="12"/>
  <c r="J16" i="12"/>
  <c r="E5" i="12"/>
  <c r="E16" i="12"/>
  <c r="L85" i="12"/>
  <c r="G85" i="12"/>
  <c r="K16" i="12"/>
  <c r="E20" i="12"/>
  <c r="F16" i="12"/>
  <c r="G58" i="12"/>
  <c r="K85" i="12"/>
  <c r="E87" i="12"/>
  <c r="F21" i="12"/>
  <c r="F88" i="12"/>
  <c r="I88" i="12"/>
  <c r="G88" i="12"/>
  <c r="D20" i="12"/>
  <c r="F85" i="12"/>
  <c r="G53" i="12"/>
  <c r="C51" i="12"/>
  <c r="J53" i="12"/>
  <c r="L87" i="12"/>
  <c r="I16" i="12"/>
  <c r="L53" i="12"/>
  <c r="D53" i="12"/>
  <c r="G5" i="12"/>
  <c r="I87" i="12"/>
  <c r="H87" i="12"/>
  <c r="D87" i="12"/>
  <c r="H5" i="12"/>
  <c r="C87" i="12"/>
  <c r="K5" i="12"/>
  <c r="E53" i="12"/>
  <c r="H53" i="12"/>
  <c r="C53" i="12"/>
  <c r="D5" i="12"/>
  <c r="G87" i="12"/>
  <c r="I53" i="12"/>
  <c r="K53" i="12"/>
  <c r="F11" i="12"/>
  <c r="C91" i="12"/>
  <c r="H85" i="12"/>
  <c r="D19" i="12"/>
  <c r="I85" i="12"/>
  <c r="I5" i="12"/>
  <c r="J87" i="12"/>
  <c r="J85" i="12"/>
  <c r="J47" i="12"/>
  <c r="F5" i="12"/>
  <c r="L5" i="12"/>
  <c r="C5" i="12"/>
  <c r="D85" i="12"/>
  <c r="G13" i="12"/>
  <c r="J5" i="12"/>
  <c r="H11" i="12"/>
  <c r="E11" i="12"/>
  <c r="I13" i="12"/>
  <c r="G71" i="12"/>
  <c r="F13" i="12"/>
  <c r="H50" i="12"/>
  <c r="H13" i="12"/>
  <c r="J13" i="12"/>
  <c r="G11" i="12"/>
  <c r="K13" i="12"/>
  <c r="D13" i="12"/>
  <c r="C13" i="12"/>
  <c r="L13" i="12"/>
  <c r="C85" i="12"/>
  <c r="G19" i="12"/>
  <c r="C19" i="12"/>
  <c r="F19" i="12"/>
  <c r="L19" i="12"/>
  <c r="J19" i="12"/>
  <c r="E19" i="12"/>
  <c r="H19" i="12"/>
  <c r="L21" i="12"/>
  <c r="J11" i="12"/>
  <c r="I19" i="12"/>
  <c r="L16" i="12"/>
  <c r="L34" i="12"/>
  <c r="K87" i="12"/>
  <c r="F87" i="12"/>
  <c r="J92" i="12"/>
  <c r="L92" i="12"/>
  <c r="C92" i="12"/>
  <c r="I22" i="12"/>
  <c r="L11" i="12"/>
  <c r="D11" i="12"/>
  <c r="C11" i="12"/>
  <c r="E48" i="12"/>
  <c r="L4" i="12"/>
  <c r="E4" i="12"/>
  <c r="J4" i="12"/>
  <c r="C4" i="12"/>
  <c r="H4" i="12"/>
  <c r="F4" i="12"/>
  <c r="I4" i="12"/>
  <c r="K4" i="12"/>
  <c r="D4" i="12"/>
  <c r="G4" i="12"/>
  <c r="E92" i="12"/>
  <c r="H95" i="12"/>
  <c r="K92" i="12"/>
  <c r="F92" i="12"/>
  <c r="G92" i="12"/>
  <c r="D92" i="12"/>
  <c r="H92" i="12"/>
  <c r="C84" i="12"/>
  <c r="F84" i="12"/>
  <c r="G84" i="12"/>
  <c r="J84" i="12"/>
  <c r="L84" i="12"/>
  <c r="K84" i="12"/>
  <c r="I84" i="12"/>
  <c r="H84" i="12"/>
  <c r="E84" i="12"/>
  <c r="D84" i="12"/>
  <c r="D7" i="12"/>
  <c r="K7" i="12"/>
  <c r="F7" i="12"/>
  <c r="J7" i="12"/>
  <c r="C7" i="12"/>
  <c r="I7" i="12"/>
  <c r="G7" i="12"/>
  <c r="H7" i="12"/>
  <c r="E7" i="12"/>
  <c r="L7" i="12"/>
  <c r="G72" i="12"/>
  <c r="L72" i="12"/>
  <c r="J72" i="12"/>
  <c r="C72" i="12"/>
  <c r="K72" i="12"/>
  <c r="F72" i="12"/>
  <c r="I72" i="12"/>
  <c r="D72" i="12"/>
  <c r="E72" i="12"/>
  <c r="H72" i="12"/>
  <c r="E27" i="12"/>
  <c r="H27" i="12"/>
  <c r="D27" i="12"/>
  <c r="J93" i="12"/>
  <c r="H93" i="12"/>
  <c r="G93" i="12"/>
  <c r="E93" i="12"/>
  <c r="F93" i="12"/>
  <c r="L93" i="12"/>
  <c r="C93" i="12"/>
  <c r="D93" i="12"/>
  <c r="I93" i="12"/>
  <c r="K93" i="12"/>
  <c r="F25" i="12"/>
  <c r="I14" i="12"/>
  <c r="J14" i="12"/>
  <c r="H14" i="12"/>
  <c r="G14" i="12"/>
  <c r="F14" i="12"/>
  <c r="E14" i="12"/>
  <c r="L14" i="12"/>
  <c r="D14" i="12"/>
  <c r="C14" i="12"/>
  <c r="K14" i="12"/>
  <c r="K60" i="12"/>
  <c r="C60" i="12"/>
  <c r="J60" i="12"/>
  <c r="F60" i="12"/>
  <c r="I60" i="12"/>
  <c r="L60" i="12"/>
  <c r="H60" i="12"/>
  <c r="E60" i="12"/>
  <c r="G60" i="12"/>
  <c r="D60" i="12"/>
  <c r="J78" i="12"/>
  <c r="G78" i="12"/>
  <c r="H78" i="12"/>
  <c r="L78" i="12"/>
  <c r="K61" i="12"/>
  <c r="G61" i="12"/>
  <c r="E61" i="12"/>
  <c r="J33" i="12"/>
  <c r="H33" i="12"/>
  <c r="D33" i="12"/>
  <c r="G33" i="12"/>
  <c r="E33" i="12"/>
  <c r="L33" i="12"/>
  <c r="I33" i="12"/>
  <c r="F33" i="12"/>
  <c r="K33" i="12"/>
  <c r="C33" i="12"/>
  <c r="E52" i="12"/>
  <c r="L52" i="12"/>
  <c r="F52" i="12"/>
  <c r="D52" i="12"/>
  <c r="K52" i="12"/>
  <c r="I52" i="12"/>
  <c r="C52" i="12"/>
  <c r="L41" i="12"/>
  <c r="E41" i="12"/>
  <c r="C41" i="12"/>
  <c r="G41" i="12"/>
  <c r="F41" i="12"/>
  <c r="J41" i="12"/>
  <c r="H41" i="12"/>
  <c r="I41" i="12"/>
  <c r="D41" i="12"/>
  <c r="K41" i="12"/>
  <c r="I92" i="12"/>
  <c r="F27" i="12"/>
  <c r="L42" i="12"/>
  <c r="I42" i="12"/>
  <c r="K42" i="12"/>
  <c r="J42" i="12"/>
  <c r="H42" i="12"/>
  <c r="D42" i="12"/>
  <c r="G42" i="12"/>
  <c r="F42" i="12"/>
  <c r="E42" i="12"/>
  <c r="C42" i="12"/>
  <c r="J27" i="12"/>
  <c r="G95" i="12"/>
  <c r="E44" i="12"/>
  <c r="K44" i="12"/>
  <c r="G44" i="12"/>
  <c r="C44" i="12"/>
  <c r="L44" i="12"/>
  <c r="I44" i="12"/>
  <c r="J44" i="12"/>
  <c r="F44" i="12"/>
  <c r="H44" i="12"/>
  <c r="D44" i="12"/>
  <c r="F79" i="12"/>
  <c r="L79" i="12"/>
  <c r="E79" i="12"/>
  <c r="H79" i="12"/>
  <c r="J79" i="12"/>
  <c r="D79" i="12"/>
  <c r="K79" i="12"/>
  <c r="C79" i="12"/>
  <c r="I79" i="12"/>
  <c r="G79" i="12"/>
  <c r="I68" i="12"/>
  <c r="K68" i="12"/>
  <c r="F68" i="12"/>
  <c r="H68" i="12"/>
  <c r="E68" i="12"/>
  <c r="C68" i="12"/>
  <c r="G68" i="12"/>
  <c r="L68" i="12"/>
  <c r="D68" i="12"/>
  <c r="J68" i="12"/>
  <c r="F31" i="12"/>
  <c r="E31" i="12"/>
  <c r="L31" i="12"/>
  <c r="K31" i="12"/>
  <c r="G31" i="12"/>
  <c r="D31" i="12"/>
  <c r="H31" i="12"/>
  <c r="I31" i="12"/>
  <c r="C31" i="12"/>
  <c r="J31" i="12"/>
  <c r="L69" i="12"/>
  <c r="F69" i="12"/>
  <c r="D69" i="12"/>
  <c r="E69" i="12"/>
  <c r="C69" i="12"/>
  <c r="K69" i="12"/>
  <c r="J69" i="12"/>
  <c r="I69" i="12"/>
  <c r="H69" i="12"/>
  <c r="G69" i="12"/>
  <c r="G24" i="12"/>
  <c r="K24" i="12"/>
  <c r="L24" i="12"/>
  <c r="F24" i="12"/>
  <c r="I24" i="12"/>
  <c r="J24" i="12"/>
  <c r="H24" i="12"/>
  <c r="D24" i="12"/>
  <c r="E24" i="12"/>
  <c r="C24" i="12"/>
  <c r="F45" i="12"/>
  <c r="I45" i="12"/>
  <c r="H45" i="12"/>
  <c r="K45" i="12"/>
  <c r="E45" i="12"/>
  <c r="C45" i="12"/>
  <c r="D45" i="12"/>
  <c r="J45" i="12"/>
  <c r="L45" i="12"/>
  <c r="G45" i="12"/>
  <c r="E73" i="12"/>
  <c r="I73" i="12"/>
  <c r="C73" i="12"/>
  <c r="D73" i="12"/>
  <c r="H73" i="12"/>
  <c r="F73" i="12"/>
  <c r="G73" i="12"/>
  <c r="K73" i="12"/>
  <c r="L73" i="12"/>
  <c r="J73" i="12"/>
  <c r="J30" i="12"/>
  <c r="J54" i="12"/>
  <c r="I54" i="12"/>
  <c r="L54" i="12"/>
  <c r="K54" i="12"/>
  <c r="C54" i="12"/>
  <c r="F54" i="12"/>
  <c r="E54" i="12"/>
  <c r="G54" i="12"/>
  <c r="H54" i="12"/>
  <c r="D54" i="12"/>
  <c r="I29" i="12"/>
  <c r="L29" i="12"/>
  <c r="E29" i="12"/>
  <c r="C29" i="12"/>
  <c r="H29" i="12"/>
  <c r="D29" i="12"/>
  <c r="G29" i="12"/>
  <c r="F29" i="12"/>
  <c r="K29" i="12"/>
  <c r="J29" i="12"/>
  <c r="J94" i="12"/>
  <c r="G94" i="12"/>
  <c r="F94" i="12"/>
  <c r="E94" i="12"/>
  <c r="D94" i="12"/>
  <c r="H94" i="12"/>
  <c r="I94" i="12"/>
  <c r="K94" i="12"/>
  <c r="L94" i="12"/>
  <c r="C94" i="12"/>
  <c r="D30" i="12"/>
  <c r="E30" i="12"/>
  <c r="K30" i="12"/>
  <c r="G30" i="12"/>
  <c r="L30" i="12"/>
  <c r="F30" i="12"/>
  <c r="H30" i="12"/>
  <c r="C38" i="12"/>
  <c r="J38" i="12"/>
  <c r="G38" i="12"/>
  <c r="I38" i="12"/>
  <c r="D38" i="12"/>
  <c r="K38" i="12"/>
  <c r="F38" i="12"/>
  <c r="E38" i="12"/>
  <c r="L38" i="12"/>
  <c r="H38" i="12"/>
  <c r="C30" i="12"/>
  <c r="G28" i="12"/>
  <c r="K28" i="12"/>
  <c r="H28" i="12"/>
  <c r="D28" i="12"/>
  <c r="E28" i="12"/>
  <c r="I28" i="12"/>
  <c r="C28" i="12"/>
  <c r="J28" i="12"/>
  <c r="L28" i="12"/>
  <c r="F28" i="12"/>
  <c r="F78" i="12" l="1"/>
  <c r="K78" i="12"/>
  <c r="E78" i="12"/>
  <c r="D78" i="12"/>
  <c r="I95" i="12"/>
  <c r="I78" i="12"/>
  <c r="D95" i="12"/>
  <c r="F95" i="12"/>
  <c r="J95" i="12"/>
  <c r="E95" i="12"/>
  <c r="H25" i="12"/>
  <c r="J61" i="12"/>
  <c r="C61" i="12"/>
  <c r="H61" i="12"/>
  <c r="I61" i="12"/>
  <c r="F61" i="12"/>
  <c r="D61" i="12"/>
  <c r="H74" i="12"/>
  <c r="L74" i="12"/>
  <c r="K95" i="12"/>
  <c r="L95" i="12"/>
  <c r="I74" i="12"/>
  <c r="E74" i="12"/>
  <c r="K25" i="12"/>
  <c r="J25" i="12"/>
  <c r="G25" i="12"/>
  <c r="L25" i="12"/>
  <c r="E25" i="12"/>
  <c r="D25" i="12"/>
  <c r="C25" i="12"/>
  <c r="J77" i="12"/>
  <c r="C77" i="12"/>
  <c r="F77" i="12"/>
  <c r="G77" i="12"/>
  <c r="F59" i="12"/>
  <c r="K10" i="12"/>
  <c r="E10" i="12"/>
  <c r="L10" i="12"/>
  <c r="H10" i="12"/>
  <c r="G10" i="12"/>
  <c r="I10" i="12"/>
  <c r="F10" i="12"/>
  <c r="J10" i="12"/>
  <c r="C10" i="12"/>
  <c r="G74" i="12"/>
  <c r="H52" i="12"/>
  <c r="I18" i="12"/>
  <c r="F74" i="12"/>
  <c r="D74" i="12"/>
  <c r="J52" i="12"/>
  <c r="D26" i="12"/>
  <c r="F70" i="12"/>
  <c r="D37" i="12"/>
  <c r="K37" i="12"/>
  <c r="L37" i="12"/>
  <c r="E37" i="12"/>
  <c r="G37" i="12"/>
  <c r="C37" i="12"/>
  <c r="H18" i="12"/>
  <c r="H77" i="12"/>
  <c r="K77" i="12"/>
  <c r="I77" i="12"/>
  <c r="L77" i="12"/>
  <c r="D77" i="12"/>
  <c r="F37" i="12"/>
  <c r="H37" i="12"/>
  <c r="J37" i="12"/>
  <c r="F40" i="12"/>
  <c r="H40" i="12"/>
  <c r="I40" i="12"/>
  <c r="C40" i="12"/>
  <c r="G40" i="12"/>
  <c r="K40" i="12"/>
  <c r="E40" i="12"/>
  <c r="D40" i="12"/>
  <c r="L40" i="12"/>
  <c r="J40" i="12"/>
  <c r="K76" i="12"/>
  <c r="J74" i="12"/>
  <c r="C74" i="12"/>
  <c r="E18" i="12"/>
  <c r="D17" i="12"/>
  <c r="F43" i="12"/>
  <c r="H90" i="12"/>
  <c r="E35" i="12"/>
  <c r="F80" i="12"/>
  <c r="F39" i="12"/>
  <c r="H67" i="12"/>
  <c r="H39" i="12"/>
  <c r="E67" i="12"/>
  <c r="C67" i="12"/>
  <c r="C17" i="12"/>
  <c r="L17" i="12"/>
  <c r="D43" i="12"/>
  <c r="I43" i="12"/>
  <c r="C43" i="12"/>
  <c r="I89" i="12"/>
  <c r="E89" i="12"/>
  <c r="D2" i="12"/>
  <c r="D89" i="12"/>
  <c r="H17" i="12"/>
  <c r="E17" i="12"/>
  <c r="I17" i="12"/>
  <c r="J17" i="12"/>
  <c r="G62" i="12"/>
  <c r="E82" i="12"/>
  <c r="K89" i="12"/>
  <c r="K2" i="12"/>
  <c r="C2" i="12"/>
  <c r="L2" i="12"/>
  <c r="I2" i="12"/>
  <c r="E2" i="12"/>
  <c r="C89" i="12"/>
  <c r="L89" i="12"/>
  <c r="J2" i="12"/>
  <c r="G89" i="12"/>
  <c r="F89" i="12"/>
  <c r="F2" i="12"/>
  <c r="G2" i="12"/>
  <c r="J89" i="12"/>
  <c r="L35" i="12"/>
  <c r="D35" i="12"/>
  <c r="C35" i="12"/>
  <c r="F35" i="12"/>
  <c r="L18" i="12"/>
  <c r="J18" i="12"/>
  <c r="F18" i="12"/>
  <c r="G18" i="12"/>
  <c r="C18" i="12"/>
  <c r="K18" i="12"/>
  <c r="J32" i="12"/>
  <c r="F32" i="12"/>
  <c r="G43" i="12"/>
  <c r="K65" i="12"/>
  <c r="F67" i="12"/>
  <c r="E97" i="12"/>
  <c r="E43" i="12"/>
  <c r="K43" i="12"/>
  <c r="C32" i="12"/>
  <c r="H97" i="12"/>
  <c r="L43" i="12"/>
  <c r="C97" i="12"/>
  <c r="H43" i="12"/>
  <c r="G35" i="12"/>
  <c r="H35" i="12"/>
  <c r="E96" i="12"/>
  <c r="I32" i="12"/>
  <c r="G17" i="12"/>
  <c r="K17" i="12"/>
  <c r="L67" i="12"/>
  <c r="E32" i="12"/>
  <c r="G67" i="12"/>
  <c r="K32" i="12"/>
  <c r="H32" i="12"/>
  <c r="K67" i="12"/>
  <c r="L32" i="12"/>
  <c r="D32" i="12"/>
  <c r="I35" i="12"/>
  <c r="E64" i="12"/>
  <c r="J9" i="12"/>
  <c r="G97" i="12"/>
  <c r="I64" i="12"/>
  <c r="H96" i="12"/>
  <c r="I96" i="12"/>
  <c r="C26" i="12"/>
  <c r="F9" i="12"/>
  <c r="D36" i="12"/>
  <c r="K64" i="12"/>
  <c r="J64" i="12"/>
  <c r="E36" i="12"/>
  <c r="L64" i="12"/>
  <c r="C64" i="12"/>
  <c r="H9" i="12"/>
  <c r="D9" i="12"/>
  <c r="I9" i="12"/>
  <c r="H55" i="12"/>
  <c r="L9" i="12"/>
  <c r="G64" i="12"/>
  <c r="H64" i="12"/>
  <c r="F64" i="12"/>
  <c r="G9" i="12"/>
  <c r="E9" i="12"/>
  <c r="J35" i="12"/>
  <c r="K35" i="12"/>
  <c r="K9" i="12"/>
  <c r="G39" i="12"/>
  <c r="D67" i="12"/>
  <c r="I39" i="12"/>
  <c r="J39" i="12"/>
  <c r="I67" i="12"/>
  <c r="D39" i="12"/>
  <c r="L36" i="12"/>
  <c r="F55" i="12"/>
  <c r="G36" i="12"/>
  <c r="I55" i="12"/>
  <c r="J55" i="12"/>
  <c r="I36" i="12"/>
  <c r="F36" i="12"/>
  <c r="L55" i="12"/>
  <c r="H36" i="12"/>
  <c r="C39" i="12"/>
  <c r="J36" i="12"/>
  <c r="J83" i="12"/>
  <c r="K36" i="12"/>
  <c r="J96" i="12"/>
  <c r="C96" i="12"/>
  <c r="G96" i="12"/>
  <c r="F96" i="12"/>
  <c r="K96" i="12"/>
  <c r="D96" i="12"/>
  <c r="J97" i="12"/>
  <c r="K97" i="12"/>
  <c r="I97" i="12"/>
  <c r="F97" i="12"/>
  <c r="D97" i="12"/>
  <c r="H80" i="12"/>
  <c r="D55" i="12"/>
  <c r="J80" i="12"/>
  <c r="L80" i="12"/>
  <c r="E51" i="12"/>
  <c r="D62" i="12"/>
  <c r="E62" i="12"/>
  <c r="F62" i="12"/>
  <c r="I62" i="12"/>
  <c r="G26" i="12"/>
  <c r="E39" i="12"/>
  <c r="K39" i="12"/>
  <c r="C63" i="12"/>
  <c r="H62" i="12"/>
  <c r="L26" i="12"/>
  <c r="C62" i="12"/>
  <c r="I26" i="12"/>
  <c r="G63" i="12"/>
  <c r="K62" i="12"/>
  <c r="L62" i="12"/>
  <c r="I83" i="12"/>
  <c r="G55" i="12"/>
  <c r="C83" i="12"/>
  <c r="G83" i="12"/>
  <c r="L83" i="12"/>
  <c r="E83" i="12"/>
  <c r="H83" i="12"/>
  <c r="K83" i="12"/>
  <c r="C55" i="12"/>
  <c r="E55" i="12"/>
  <c r="F83" i="12"/>
  <c r="G51" i="12"/>
  <c r="I51" i="12"/>
  <c r="K46" i="12"/>
  <c r="J23" i="12"/>
  <c r="I23" i="12"/>
  <c r="C80" i="12"/>
  <c r="J51" i="12"/>
  <c r="K80" i="12"/>
  <c r="H91" i="12"/>
  <c r="C46" i="12"/>
  <c r="E46" i="12"/>
  <c r="D46" i="12"/>
  <c r="L51" i="12"/>
  <c r="I80" i="12"/>
  <c r="K51" i="12"/>
  <c r="D80" i="12"/>
  <c r="H46" i="12"/>
  <c r="H51" i="12"/>
  <c r="D51" i="12"/>
  <c r="G80" i="12"/>
  <c r="F51" i="12"/>
  <c r="J46" i="12"/>
  <c r="F46" i="12"/>
  <c r="L46" i="12"/>
  <c r="G46" i="12"/>
  <c r="E63" i="12"/>
  <c r="J26" i="12"/>
  <c r="K26" i="12"/>
  <c r="F63" i="12"/>
  <c r="E26" i="12"/>
  <c r="F26" i="12"/>
  <c r="H63" i="12"/>
  <c r="C23" i="12"/>
  <c r="L63" i="12"/>
  <c r="H26" i="12"/>
  <c r="D23" i="12"/>
  <c r="D63" i="12"/>
  <c r="F23" i="12"/>
  <c r="I63" i="12"/>
  <c r="L23" i="12"/>
  <c r="E23" i="12"/>
  <c r="G57" i="12"/>
  <c r="F57" i="12"/>
  <c r="H57" i="12"/>
  <c r="C57" i="12"/>
  <c r="D57" i="12"/>
  <c r="J57" i="12"/>
  <c r="I57" i="12"/>
  <c r="K57" i="12"/>
  <c r="L57" i="12"/>
  <c r="E57" i="12"/>
  <c r="H23" i="12"/>
  <c r="K63" i="12"/>
  <c r="K23" i="12"/>
  <c r="D56" i="12"/>
  <c r="G56" i="12"/>
  <c r="I56" i="12"/>
  <c r="E56" i="12"/>
  <c r="L56" i="12"/>
  <c r="K56" i="12"/>
  <c r="F56" i="12"/>
  <c r="H56" i="12"/>
  <c r="J56" i="12"/>
  <c r="C56" i="12"/>
  <c r="D49" i="12"/>
  <c r="H49" i="12"/>
  <c r="J49" i="12"/>
  <c r="I49" i="12"/>
  <c r="L49" i="12"/>
  <c r="K49" i="12"/>
  <c r="E49" i="12"/>
  <c r="G49" i="12"/>
  <c r="C49" i="12"/>
  <c r="E81" i="12"/>
  <c r="C8" i="12"/>
  <c r="K81" i="12"/>
  <c r="I81" i="12"/>
  <c r="D8" i="12"/>
  <c r="F81" i="12"/>
  <c r="J8" i="12"/>
  <c r="C47" i="12"/>
  <c r="L81" i="12"/>
  <c r="G8" i="12"/>
  <c r="D81" i="12"/>
  <c r="K47" i="12"/>
  <c r="C81" i="12"/>
  <c r="I8" i="12"/>
  <c r="F8" i="12"/>
  <c r="L8" i="12"/>
  <c r="H81" i="12"/>
  <c r="E8" i="12"/>
  <c r="K8" i="12"/>
  <c r="J81" i="12"/>
  <c r="E58" i="12"/>
  <c r="L47" i="12"/>
  <c r="I47" i="12"/>
  <c r="F47" i="12"/>
  <c r="H47" i="12"/>
  <c r="J58" i="12"/>
  <c r="D47" i="12"/>
  <c r="E47" i="12"/>
  <c r="G47" i="12"/>
  <c r="K70" i="12"/>
  <c r="E70" i="12"/>
  <c r="K58" i="12"/>
  <c r="I70" i="12"/>
  <c r="I58" i="12"/>
  <c r="L70" i="12"/>
  <c r="J70" i="12"/>
  <c r="D70" i="12"/>
  <c r="G34" i="12"/>
  <c r="I34" i="12"/>
  <c r="G70" i="12"/>
  <c r="K34" i="12"/>
  <c r="H70" i="12"/>
  <c r="F34" i="12"/>
  <c r="C70" i="12"/>
  <c r="C34" i="12"/>
  <c r="C58" i="12"/>
  <c r="H58" i="12"/>
  <c r="D58" i="12"/>
  <c r="D34" i="12"/>
  <c r="L50" i="12"/>
  <c r="L58" i="12"/>
  <c r="F58" i="12"/>
  <c r="C71" i="12"/>
  <c r="K71" i="12"/>
  <c r="H71" i="12"/>
  <c r="D71" i="12"/>
  <c r="E71" i="12"/>
  <c r="I71" i="12"/>
  <c r="K48" i="12"/>
  <c r="F71" i="12"/>
  <c r="K50" i="12"/>
  <c r="L71" i="12"/>
  <c r="J71" i="12"/>
  <c r="H34" i="12"/>
  <c r="G91" i="12"/>
  <c r="L91" i="12"/>
  <c r="I91" i="12"/>
  <c r="K91" i="12"/>
  <c r="E34" i="12"/>
  <c r="J34" i="12"/>
  <c r="I50" i="12"/>
  <c r="D91" i="12"/>
  <c r="E91" i="12"/>
  <c r="J91" i="12"/>
  <c r="C50" i="12"/>
  <c r="F91" i="12"/>
  <c r="F50" i="12"/>
  <c r="E50" i="12"/>
  <c r="J50" i="12"/>
  <c r="D50" i="12"/>
  <c r="G50" i="12"/>
  <c r="L48" i="12"/>
  <c r="L22" i="12"/>
  <c r="K22" i="12"/>
  <c r="D22" i="12"/>
  <c r="E22" i="12"/>
  <c r="F22" i="12"/>
  <c r="J22" i="12"/>
  <c r="G22" i="12"/>
  <c r="H22" i="12"/>
  <c r="C22" i="12"/>
  <c r="G76" i="12"/>
  <c r="D48" i="12"/>
  <c r="H76" i="12"/>
  <c r="H48" i="12"/>
  <c r="D76" i="12"/>
  <c r="J48" i="12"/>
  <c r="F48" i="12"/>
  <c r="C48" i="12"/>
  <c r="G48" i="12"/>
  <c r="D59" i="12"/>
  <c r="F76" i="12"/>
  <c r="I48" i="12"/>
  <c r="H6" i="12"/>
  <c r="K6" i="12"/>
  <c r="F6" i="12"/>
  <c r="D6" i="12"/>
  <c r="E6" i="12"/>
  <c r="I6" i="12"/>
  <c r="J6" i="12"/>
  <c r="C6" i="12"/>
  <c r="L6" i="12"/>
  <c r="G6" i="12"/>
  <c r="K59" i="12"/>
  <c r="L59" i="12"/>
  <c r="L76" i="12"/>
  <c r="D86" i="12"/>
  <c r="G86" i="12"/>
  <c r="F86" i="12"/>
  <c r="K86" i="12"/>
  <c r="L86" i="12"/>
  <c r="E86" i="12"/>
  <c r="C86" i="12"/>
  <c r="I86" i="12"/>
  <c r="H86" i="12"/>
  <c r="J86" i="12"/>
  <c r="G59" i="12"/>
  <c r="I76" i="12"/>
  <c r="L90" i="12"/>
  <c r="C59" i="12"/>
  <c r="I59" i="12"/>
  <c r="L82" i="12"/>
  <c r="D82" i="12"/>
  <c r="F65" i="12"/>
  <c r="I65" i="12"/>
  <c r="E65" i="12"/>
  <c r="C65" i="12"/>
  <c r="L65" i="12"/>
  <c r="J65" i="12"/>
  <c r="H65" i="12"/>
  <c r="G65" i="12"/>
  <c r="J90" i="12"/>
  <c r="D90" i="12"/>
  <c r="H82" i="12"/>
  <c r="G82" i="12"/>
  <c r="J59" i="12"/>
  <c r="J76" i="12"/>
  <c r="D65" i="12"/>
  <c r="K90" i="12"/>
  <c r="F82" i="12"/>
  <c r="G90" i="12"/>
  <c r="E59" i="12"/>
  <c r="C76" i="12"/>
  <c r="I90" i="12"/>
  <c r="C90" i="12"/>
  <c r="H59" i="12"/>
  <c r="K82" i="12"/>
  <c r="J82" i="12"/>
  <c r="E90" i="12"/>
  <c r="F90" i="12"/>
  <c r="C82" i="12"/>
  <c r="E76" i="12"/>
  <c r="I8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<sst xmlns="http://schemas.openxmlformats.org/spreadsheetml/2006/main" count="14426" uniqueCount="532">
  <si>
    <t>Steve Arnott</t>
  </si>
  <si>
    <t>Humphrey Goodman</t>
  </si>
  <si>
    <t>Ted Hastings</t>
  </si>
  <si>
    <t>Neville Parker</t>
  </si>
  <si>
    <t>Christopher Foyle</t>
  </si>
  <si>
    <t>Robbie Lewis</t>
  </si>
  <si>
    <t>Richard Poole</t>
  </si>
  <si>
    <t>Kate Fleming</t>
  </si>
  <si>
    <t>Ellie Miller</t>
  </si>
  <si>
    <t>Jackson Brodie</t>
  </si>
  <si>
    <t>Cormoran Strike</t>
  </si>
  <si>
    <t>Marcella Backland</t>
  </si>
  <si>
    <t>Jack Frost</t>
  </si>
  <si>
    <t>John Watson</t>
  </si>
  <si>
    <t>Jim Taggart</t>
  </si>
  <si>
    <t>Tom Barnaby</t>
  </si>
  <si>
    <t>Endeavour Morse</t>
  </si>
  <si>
    <t>Catherine Cawood</t>
  </si>
  <si>
    <t>Cassie Stuart</t>
  </si>
  <si>
    <t>Jane Marple</t>
  </si>
  <si>
    <t>Vera Stanhope</t>
  </si>
  <si>
    <t>Frank Hathaway</t>
  </si>
  <si>
    <t>Alec Hardy</t>
  </si>
  <si>
    <t>James Hathaway</t>
  </si>
  <si>
    <t>John Luther</t>
  </si>
  <si>
    <t>John Barnaby</t>
  </si>
  <si>
    <t>Jack Mooney</t>
  </si>
  <si>
    <t>Sunny Khan</t>
  </si>
  <si>
    <t>Sherlock Holmes</t>
  </si>
  <si>
    <t>Jonathan Creek</t>
  </si>
  <si>
    <t>Hercule Poirot</t>
  </si>
  <si>
    <t>Stella Gibson</t>
  </si>
  <si>
    <t>Robin Ellacott</t>
  </si>
  <si>
    <t>Adam Dalgliesh</t>
  </si>
  <si>
    <t>Competence Level</t>
  </si>
  <si>
    <t>Numeric</t>
  </si>
  <si>
    <t>No Knowledge</t>
  </si>
  <si>
    <t>Awareness</t>
  </si>
  <si>
    <t>Working</t>
  </si>
  <si>
    <t>Practitioner</t>
  </si>
  <si>
    <t>Expert</t>
  </si>
  <si>
    <t>Service Delivery</t>
  </si>
  <si>
    <t>Service Operations</t>
  </si>
  <si>
    <t xml:space="preserve">Service Resilience </t>
  </si>
  <si>
    <t>Service Improvement</t>
  </si>
  <si>
    <t>Future Roles</t>
  </si>
  <si>
    <t>Competency</t>
  </si>
  <si>
    <t>Service Desk</t>
  </si>
  <si>
    <t>Fulfilment</t>
  </si>
  <si>
    <t>Governance</t>
  </si>
  <si>
    <t>Infrastructure</t>
  </si>
  <si>
    <t>Research Computing</t>
  </si>
  <si>
    <t>Applications &amp; Data</t>
  </si>
  <si>
    <t>Resilience</t>
  </si>
  <si>
    <t>DevOps</t>
  </si>
  <si>
    <t>Principal Engineers</t>
  </si>
  <si>
    <t xml:space="preserve"> </t>
  </si>
  <si>
    <t>Assistant Systems Analyst</t>
  </si>
  <si>
    <t>Systems Analyst</t>
  </si>
  <si>
    <t>Senior Systems Analyst SD</t>
  </si>
  <si>
    <t>Service Desk Lead</t>
  </si>
  <si>
    <t>Senior Systems Analyst Ful</t>
  </si>
  <si>
    <t>Problem Analyst</t>
  </si>
  <si>
    <t>Fulfilment Lead</t>
  </si>
  <si>
    <t>Junior Systems Administrator</t>
  </si>
  <si>
    <t>Systems Administrator</t>
  </si>
  <si>
    <t>Senior Systems Administrator</t>
  </si>
  <si>
    <t>Service Fulfilment Lead</t>
  </si>
  <si>
    <t>Major incident manager</t>
  </si>
  <si>
    <t>Service Delivery Manager</t>
  </si>
  <si>
    <t>Assistant Systems Administrator</t>
  </si>
  <si>
    <t xml:space="preserve"> Systems Administrator</t>
  </si>
  <si>
    <t>Senior Network Adminsitrator</t>
  </si>
  <si>
    <t>Infrastructure Specialist</t>
  </si>
  <si>
    <t>Infrastructure Lead</t>
  </si>
  <si>
    <t xml:space="preserve">Assistant Systems Engineer </t>
  </si>
  <si>
    <t>Systems Engineer</t>
  </si>
  <si>
    <t>Senior Systems Engineer</t>
  </si>
  <si>
    <t>Research Computing  Lead</t>
  </si>
  <si>
    <t>Assistant Developer</t>
  </si>
  <si>
    <t>Assistant Software Engineer</t>
  </si>
  <si>
    <t>Software Engineer</t>
  </si>
  <si>
    <t>Senior Software Engineer</t>
  </si>
  <si>
    <t>Software Engineering Lead</t>
  </si>
  <si>
    <t>Service Operations Manager</t>
  </si>
  <si>
    <t>Service Resilience Analyst</t>
  </si>
  <si>
    <t>Senior Systems Administrator 
(Vulnerabilities)</t>
  </si>
  <si>
    <t>Junior IT Governance Administrator</t>
  </si>
  <si>
    <t>Systems Administrator (Governance)</t>
  </si>
  <si>
    <t>Senior Systems Administrator (Governance)</t>
  </si>
  <si>
    <t>Assistant Software Engineer DO</t>
  </si>
  <si>
    <t>Software Engineer 
(DevOps)</t>
  </si>
  <si>
    <t>Senior Software Engineer 
(DevOps)</t>
  </si>
  <si>
    <t>Service Resilience Manager</t>
  </si>
  <si>
    <t>Technical Relationship Lead</t>
  </si>
  <si>
    <t>Principal Engineer
(Research Computing)</t>
  </si>
  <si>
    <t>Principal Engineer
(Infrastructure)</t>
  </si>
  <si>
    <t>Principal Engineer 
(Linux)</t>
  </si>
  <si>
    <t>Principal Engineer EdTech</t>
  </si>
  <si>
    <t>Web Service Designer</t>
  </si>
  <si>
    <t>Senior Web Service Designer</t>
  </si>
  <si>
    <t xml:space="preserve"> Database Administrator</t>
  </si>
  <si>
    <t>Senior Database Administrator</t>
  </si>
  <si>
    <t>Change and Release manager</t>
  </si>
  <si>
    <t>Solutions Architect</t>
  </si>
  <si>
    <t>CoSECore1</t>
  </si>
  <si>
    <t>Asset Management</t>
  </si>
  <si>
    <t>Managing the full life cycle of assets from acquisition, operation, maintenance to disposal.</t>
  </si>
  <si>
    <t>CoSECore2</t>
  </si>
  <si>
    <t>Change Control</t>
  </si>
  <si>
    <t>Assessing risks associated with proposed changes and ensuring changes to products, services or systems are controlled and coordinated.</t>
  </si>
  <si>
    <t>CoSECore3</t>
  </si>
  <si>
    <t>Customer Service Support</t>
  </si>
  <si>
    <t>Managing and operating customer service or service desk functions.</t>
  </si>
  <si>
    <t>CoSECore5</t>
  </si>
  <si>
    <t>Incident management</t>
  </si>
  <si>
    <t>Coordinating responses to incident reports, minimising negative impacts and restoring service as quickly as possible.</t>
  </si>
  <si>
    <t>CoSECore6</t>
  </si>
  <si>
    <t>Information security</t>
  </si>
  <si>
    <t>Defining and operating a framework of security controls and security management strategies.</t>
  </si>
  <si>
    <t>CoSECore7</t>
  </si>
  <si>
    <t>Personal data protection</t>
  </si>
  <si>
    <t>Implementing and operating a framework of controls and management strategies to promote compliance with personal data legislation.</t>
  </si>
  <si>
    <t>CoSESvc07</t>
  </si>
  <si>
    <t>Problem management</t>
  </si>
  <si>
    <t>Managing the life cycle of all problems that have occurred or could occur in delivering a service.</t>
  </si>
  <si>
    <t>CoSESvc10</t>
  </si>
  <si>
    <t>Service catalogue management</t>
  </si>
  <si>
    <t>Providing a source of consistent information about available services and products to customers and users.</t>
  </si>
  <si>
    <t>CoSESvc11</t>
  </si>
  <si>
    <t>Service level management</t>
  </si>
  <si>
    <t>Agreeing targets for service levels and assessing, monitoring, and managing the delivery of services against the targets.</t>
  </si>
  <si>
    <t>CoSESvc01</t>
  </si>
  <si>
    <t>Availability Management</t>
  </si>
  <si>
    <t>Ensuring that services deliver agreed levels of availability to meet the current and future needs of the business.</t>
  </si>
  <si>
    <t>CoSESvc02</t>
  </si>
  <si>
    <t>Capacity management</t>
  </si>
  <si>
    <t>Ensuring that service components have the capacity and performance to meet current and planned business needs.</t>
  </si>
  <si>
    <t>CoSESvc03</t>
  </si>
  <si>
    <t>Configuration Management</t>
  </si>
  <si>
    <t>Planning, identifying, controlling, accounting for and auditing of configuration items (CIs) and their interrelationships.</t>
  </si>
  <si>
    <t>CoSESvc04</t>
  </si>
  <si>
    <t>Continuity Management</t>
  </si>
  <si>
    <t>Developing, implementing and testing a business continuity framework.</t>
  </si>
  <si>
    <t>CoSECore4</t>
  </si>
  <si>
    <t>Demand Management</t>
  </si>
  <si>
    <t>Analysing and proactively managing business demand for new services or modifications to existing service features or volumes.</t>
  </si>
  <si>
    <t>CoSESvc05</t>
  </si>
  <si>
    <t>Knowledge management</t>
  </si>
  <si>
    <t>Managing vital knowledge to create value for the organisation.</t>
  </si>
  <si>
    <t>CoSESvc06</t>
  </si>
  <si>
    <t>Methods and tools</t>
  </si>
  <si>
    <t>Ensuring methods and tools are adopted and used effectively throughout the organisation.</t>
  </si>
  <si>
    <t>CoSESvc08</t>
  </si>
  <si>
    <t>Release and deployment</t>
  </si>
  <si>
    <t>Applying the processes, systems and functions required to make new and changed services and features available for use.</t>
  </si>
  <si>
    <t>N/A</t>
  </si>
  <si>
    <t>CoSESvc09</t>
  </si>
  <si>
    <t>Service acceptance</t>
  </si>
  <si>
    <t>Managing the process to obtain formal confirmation that service acceptance criteria have been met.</t>
  </si>
  <si>
    <t>CoSESvc12</t>
  </si>
  <si>
    <t>Stakeholder relationship management</t>
  </si>
  <si>
    <t>Influencing stakeholder attitudes, decisions, and actions for mutual benefit.</t>
  </si>
  <si>
    <t>CoSESvc14</t>
  </si>
  <si>
    <t>Storage management</t>
  </si>
  <si>
    <t>Planning, implementing and optimising the technologies and processes used for data storage.</t>
  </si>
  <si>
    <t>CoSESec01</t>
  </si>
  <si>
    <t>Digital Forensics</t>
  </si>
  <si>
    <t>Recovering and investigating material found in digital devices.</t>
  </si>
  <si>
    <t>CoSESec02</t>
  </si>
  <si>
    <t>Penetration testing</t>
  </si>
  <si>
    <t>Testing the effectiveness of security controls by emulating the tools and techniques of likely attackers.</t>
  </si>
  <si>
    <t>CoSESec03</t>
  </si>
  <si>
    <t>Security Operations</t>
  </si>
  <si>
    <t>Delivering management, technical and administrative services to implement security controls and security management strategies.</t>
  </si>
  <si>
    <t>CoSESec04</t>
  </si>
  <si>
    <t>Threat Intelligence</t>
  </si>
  <si>
    <t>Developing and sharing actionable insights on current and potential security threats to the success or integrity of an organisation.</t>
  </si>
  <si>
    <t>CoSESec05</t>
  </si>
  <si>
    <t>Vulnerability assessment</t>
  </si>
  <si>
    <t>Identifying and classifying security vulnerabilities in networks, systems and applications and mitigating or eliminating their impact.</t>
  </si>
  <si>
    <t>CoSESec06</t>
  </si>
  <si>
    <t>Vulnerability Research</t>
  </si>
  <si>
    <t>Conducting applied research to discover, evaluate and mitigate new or unknown security vulnerabilities and weaknesses.</t>
  </si>
  <si>
    <t>CoseMgt01</t>
  </si>
  <si>
    <t>Competency assessment</t>
  </si>
  <si>
    <t>Assessing knowledge, skills, competency and behaviours by any means, whether formal or informal, against frameworks such as SFIA.</t>
  </si>
  <si>
    <t>CoseMgt03</t>
  </si>
  <si>
    <t>Financial management</t>
  </si>
  <si>
    <t>Supporting the effective use and control of financial resources.</t>
  </si>
  <si>
    <t>CoseMgt04</t>
  </si>
  <si>
    <t>Organisation design and implementation</t>
  </si>
  <si>
    <t>Planning, designing and implementing an integrated organisation structure and culture.</t>
  </si>
  <si>
    <t>CoseMgt05</t>
  </si>
  <si>
    <t>Organisational capability development</t>
  </si>
  <si>
    <t>Providing leadership, advice and implementation support to assess organisational capabilities and to identify, prioritise and implement improvements.</t>
  </si>
  <si>
    <t>CoseMgt06</t>
  </si>
  <si>
    <t>Organisational change management</t>
  </si>
  <si>
    <t>Planning, designing and implementing activities to transition the organisation and people to the required future state.</t>
  </si>
  <si>
    <t>CoseMgt07</t>
  </si>
  <si>
    <t>Performance Management</t>
  </si>
  <si>
    <t>Improving organisational performance by developing the performance of individuals and workgroups to meet agreed objectives with measurable results.</t>
  </si>
  <si>
    <t>CoseMgt08</t>
  </si>
  <si>
    <t>Professional Development</t>
  </si>
  <si>
    <t>Facilitating the professional development of individuals in line with their career goals and organisational requirements.</t>
  </si>
  <si>
    <t>CoseMgt09</t>
  </si>
  <si>
    <t>Strategic Planning</t>
  </si>
  <si>
    <t>Creating and maintaining a strategy to align organisational actions, plans and resources with business objectives.</t>
  </si>
  <si>
    <t>Workforce Planning</t>
  </si>
  <si>
    <t>Estimating the demand for people and skills and planning the supply needed to meet that demand.</t>
  </si>
  <si>
    <t>CoSEGov01</t>
  </si>
  <si>
    <t>Audit</t>
  </si>
  <si>
    <t>Delivering independent, risk-based assessments of the effectiveness of processes, the controls, and the compliance environment of an organisation.</t>
  </si>
  <si>
    <t>CoSEGov02</t>
  </si>
  <si>
    <t>Contract management</t>
  </si>
  <si>
    <t>Managing and controlling the operation of formal contracts for the supply of products and services.</t>
  </si>
  <si>
    <t>CoSEGov03</t>
  </si>
  <si>
    <t>Feasibility assessment</t>
  </si>
  <si>
    <t>Defining, evaluating and describing business change options for financial, technical and business feasibility, and strategic alignment.</t>
  </si>
  <si>
    <t>CoSEGov04</t>
  </si>
  <si>
    <t>Defining and operating a framework for making decisions, managing stakeholder relationships, and identifying legitimate authority.</t>
  </si>
  <si>
    <t>CoSEGov05</t>
  </si>
  <si>
    <t>Risk management</t>
  </si>
  <si>
    <t>Planning and implementing organisation-wide processes and procedures for the management of risk to the success or integrity of the enterprise.</t>
  </si>
  <si>
    <t>CoSEGov06</t>
  </si>
  <si>
    <t>Sourcing</t>
  </si>
  <si>
    <t>Managing, or providing advice on, the procurement or commissioning of products and services.</t>
  </si>
  <si>
    <t>CoSEGov07</t>
  </si>
  <si>
    <t>Supplier management</t>
  </si>
  <si>
    <t>Aligning the organisation’s supplier performance objectives and activities with sourcing strategies and plans, balancing costs, efficiencies and service quality.</t>
  </si>
  <si>
    <t>CoSEGov08</t>
  </si>
  <si>
    <t>Sustainability</t>
  </si>
  <si>
    <t>Providing advice, assistance and leadership to enable the organisation to minimise negative environmental impact.</t>
  </si>
  <si>
    <t>CoSETec15</t>
  </si>
  <si>
    <t>Acceptance testing</t>
  </si>
  <si>
    <t>Validating systems, products, business processes or services to determine whether the acceptance criteria have been satisfied.</t>
  </si>
  <si>
    <t>CoSETec16</t>
  </si>
  <si>
    <t>Application support</t>
  </si>
  <si>
    <t>Delivering management, technical and administrative services to support and maintain live applications.</t>
  </si>
  <si>
    <t>CoSETec17</t>
  </si>
  <si>
    <t>Data Engineering</t>
  </si>
  <si>
    <t>Designing, building, operationalising, securing and monitoring data pipelines and data stores.</t>
  </si>
  <si>
    <t>CoSETec18</t>
  </si>
  <si>
    <t>Data Management</t>
  </si>
  <si>
    <t>Developing and implementing plans, policies, and practices that control, protect and optimise the value of data assets.</t>
  </si>
  <si>
    <t>CoSETec19</t>
  </si>
  <si>
    <t>Data Modelling and Design</t>
  </si>
  <si>
    <t>Developing models and diagrams to represent and communicate data requirements and data assets.</t>
  </si>
  <si>
    <t>CoSETec20</t>
  </si>
  <si>
    <t>Data science</t>
  </si>
  <si>
    <t>Applying mathematics, statistics, data mining and predictive modelling techniques to gain insights, predict behaviours and generate value from data.</t>
  </si>
  <si>
    <t>CoSETec21</t>
  </si>
  <si>
    <t>Data visualisation</t>
  </si>
  <si>
    <t>Facilitating understanding of data by displaying concepts, ideas, and facts using graphical representations.</t>
  </si>
  <si>
    <t>CoSETec22</t>
  </si>
  <si>
    <t>Database Administration</t>
  </si>
  <si>
    <t>Installing, configuring, monitoring, maintaining and improving the performance of databases and data stores.</t>
  </si>
  <si>
    <t>CoSETec23</t>
  </si>
  <si>
    <t>Database Design</t>
  </si>
  <si>
    <t>Specifying, designing and maintaining mechanisms for storing and accessing data.</t>
  </si>
  <si>
    <t>CoSETec24</t>
  </si>
  <si>
    <t>Hardware design</t>
  </si>
  <si>
    <t>Specifying a hardware design model for a defined system architecture.</t>
  </si>
  <si>
    <t>CoSETec25</t>
  </si>
  <si>
    <t>High Performance Computing</t>
  </si>
  <si>
    <t>Using advanced computer systems and special programming techniques to solve complex computational problems.</t>
  </si>
  <si>
    <t>CoSETec26</t>
  </si>
  <si>
    <t>Information assurance</t>
  </si>
  <si>
    <t>Protecting against and managing risks related to the use, storage and transmission of data and information systems.</t>
  </si>
  <si>
    <t>CoSETec27</t>
  </si>
  <si>
    <t>Information management</t>
  </si>
  <si>
    <t>Planning, implementing and controlling the full life cycle management of digitally organised information and records.</t>
  </si>
  <si>
    <t>CoSETec28</t>
  </si>
  <si>
    <t>Deploying, configuring and operating IT Infrastructure.</t>
  </si>
  <si>
    <t>CoSETec29</t>
  </si>
  <si>
    <t>Network design</t>
  </si>
  <si>
    <t>Designing communication networks to support strategic and operational requirements and producing network strategies, architectures, policies and related documentation.</t>
  </si>
  <si>
    <t>CoSETec30</t>
  </si>
  <si>
    <t>Network Analytics</t>
  </si>
  <si>
    <t>Use of advanced tools to diagnose netweork issues, traffic shaping, packet loss</t>
  </si>
  <si>
    <t>CoSETec31</t>
  </si>
  <si>
    <t>Network support</t>
  </si>
  <si>
    <t>Providing maintenance and support services for communications networks.</t>
  </si>
  <si>
    <t>CoSETec32</t>
  </si>
  <si>
    <t>Programming/software development</t>
  </si>
  <si>
    <t>Developing software components to deliver value to stakeholders.</t>
  </si>
  <si>
    <t>CoSETec33</t>
  </si>
  <si>
    <t>Real-time/embedded systems development</t>
  </si>
  <si>
    <t>Designing and developing reliable real-time software typically within embedded systems.</t>
  </si>
  <si>
    <t>CoSETec34</t>
  </si>
  <si>
    <t>Requirements definition and management</t>
  </si>
  <si>
    <t>Managing requirements through the entire delivery and operational life cycle.</t>
  </si>
  <si>
    <t>CoSETec35</t>
  </si>
  <si>
    <t>Software configuration</t>
  </si>
  <si>
    <t>Designing and deploying software product configurations into software environments or platforms.</t>
  </si>
  <si>
    <t>CoSETec36</t>
  </si>
  <si>
    <t>Software design</t>
  </si>
  <si>
    <t>Specifying and designing software to meet defined requirements by following agreed design standards and principles.</t>
  </si>
  <si>
    <t>CoSETec37</t>
  </si>
  <si>
    <t>Solution architecture</t>
  </si>
  <si>
    <t>Developing and communicating a multi-dimensional solution architecture to deliver agreed business outcomes.</t>
  </si>
  <si>
    <t>CoSETec38</t>
  </si>
  <si>
    <t>System software</t>
  </si>
  <si>
    <t>Installing, managing, controlling, deploying and maintaining infrastructure systems software, to meet operational needs and service levels.</t>
  </si>
  <si>
    <t>CoSETec39</t>
  </si>
  <si>
    <t>Systems and software life cycle engineering</t>
  </si>
  <si>
    <t>Establishing and deploying an environment for developing, continually improving, and securely operating software and systems products and services.</t>
  </si>
  <si>
    <t>CoSETec40</t>
  </si>
  <si>
    <t>Systems design</t>
  </si>
  <si>
    <t>Designing systems to meet specified requirements and agreed systems architectures.</t>
  </si>
  <si>
    <t>CoSETec41</t>
  </si>
  <si>
    <t>Systems development management</t>
  </si>
  <si>
    <t>Planning, estimating and executing systems development work to time, budget and quality targets.</t>
  </si>
  <si>
    <t>CoSETec42</t>
  </si>
  <si>
    <t>Systems installation and removal</t>
  </si>
  <si>
    <t>Installing and testing, or decommissioning and removing, systems or system components.</t>
  </si>
  <si>
    <t>CoSETec43</t>
  </si>
  <si>
    <t>Testing</t>
  </si>
  <si>
    <t>Investigating products, systems and services to assess behaviour and whether this meets specified or unspecified requirements and characteristics.</t>
  </si>
  <si>
    <t>CoSETec45</t>
  </si>
  <si>
    <t>Innovation</t>
  </si>
  <si>
    <t>Identifying, prioritising, incubating and exploiting opportunities provided by information, communication and digital technologies.</t>
  </si>
  <si>
    <t>CoSETec46</t>
  </si>
  <si>
    <t>Specialist Advice</t>
  </si>
  <si>
    <t>Providing authoritative advice and direction in a specialist area.</t>
  </si>
  <si>
    <t>CoseMgt02</t>
  </si>
  <si>
    <t>Emerging technology monitoring</t>
  </si>
  <si>
    <t>Identifying and assessing new and emerging technologies, products, services, methods and techniques.</t>
  </si>
  <si>
    <t>Systems integration and build</t>
  </si>
  <si>
    <t>Planning, implementing and controlling activities to synthesise system components to create operational systems, products or services.</t>
  </si>
  <si>
    <t>Audio Visual</t>
  </si>
  <si>
    <t xml:space="preserve">Setting up and supporting of multimedia equipment such as TV screens, Projectors, microphones and speakers. </t>
  </si>
  <si>
    <t>Augmented Reality</t>
  </si>
  <si>
    <t>CoSEBus01</t>
  </si>
  <si>
    <t>Benefits management</t>
  </si>
  <si>
    <t>Forecasting, planning and monitoring the emergence and effective realisation of anticipated benefits from projects and programmes.</t>
  </si>
  <si>
    <t>CoSEBus02</t>
  </si>
  <si>
    <t>Business administration</t>
  </si>
  <si>
    <t>Managing and performing administrative services and tasks to enable individuals, teams and organisations to succeed in their objectives.</t>
  </si>
  <si>
    <t>CoSEBus03</t>
  </si>
  <si>
    <t>Business intelligence</t>
  </si>
  <si>
    <t>Developing, producing and delivering regular and one-off management information to provide insights and aid decision-making.</t>
  </si>
  <si>
    <t>CoSEBus04</t>
  </si>
  <si>
    <t>Business modelling</t>
  </si>
  <si>
    <t>Producing abstract or distilled representations of real-world, business or gaming situations.</t>
  </si>
  <si>
    <t>CoSEBus05</t>
  </si>
  <si>
    <t>Business process improvement</t>
  </si>
  <si>
    <t>Creating new and potentially disruptive approaches to performing business activities.</t>
  </si>
  <si>
    <t>CoSEBus06</t>
  </si>
  <si>
    <t>Business situation analysis</t>
  </si>
  <si>
    <t>Investigating business situations to define recommendations for improvement action.</t>
  </si>
  <si>
    <t>CoSEBus07</t>
  </si>
  <si>
    <t>Programme management</t>
  </si>
  <si>
    <t>Identifying, planning and coordinating a set of related projects and activities in support of specific business strategies and objectives.</t>
  </si>
  <si>
    <t>CoSEBus08</t>
  </si>
  <si>
    <t>Project management</t>
  </si>
  <si>
    <t>Delivering agreed outcomes from projects using appropriate management techniques, collaboration, leadership and governance.</t>
  </si>
  <si>
    <t>CoSEBus09</t>
  </si>
  <si>
    <t>Quality assurance</t>
  </si>
  <si>
    <t>Assuring, through ongoing and periodic assessments and reviews, that the organisation’s quality objectives are being met.</t>
  </si>
  <si>
    <t>Total</t>
  </si>
  <si>
    <t>Score</t>
  </si>
  <si>
    <t>CoSETec47</t>
  </si>
  <si>
    <t>Setting up and supporting of technology that integrates a computer-generated image on a user's view of the real world, thus providing a composite view.</t>
  </si>
  <si>
    <t>Name</t>
  </si>
  <si>
    <t>New Role</t>
  </si>
  <si>
    <t xml:space="preserve">Competency </t>
  </si>
  <si>
    <t>Desired Description</t>
  </si>
  <si>
    <t>Comp Area</t>
  </si>
  <si>
    <t>Desired Level</t>
  </si>
  <si>
    <t>ActuaL</t>
  </si>
  <si>
    <t>Knowledge Gap</t>
  </si>
  <si>
    <t>Actual Copied (VLOOKUP)</t>
  </si>
  <si>
    <t>Business</t>
  </si>
  <si>
    <t>Service</t>
  </si>
  <si>
    <t>Technical</t>
  </si>
  <si>
    <t>Core</t>
  </si>
  <si>
    <t>Security</t>
  </si>
  <si>
    <t>Management</t>
  </si>
  <si>
    <t>Senior Systems Analyst</t>
  </si>
  <si>
    <t>Principal Engineer Linux</t>
  </si>
  <si>
    <t>George Gently</t>
  </si>
  <si>
    <t xml:space="preserve">Audio Visual </t>
  </si>
  <si>
    <t xml:space="preserve">Augmented Reality </t>
  </si>
  <si>
    <t xml:space="preserve">Technical </t>
  </si>
  <si>
    <t xml:space="preserve">Governance </t>
  </si>
  <si>
    <t xml:space="preserve">Competence  </t>
  </si>
  <si>
    <t xml:space="preserve">Count of SFIA Level 4 </t>
  </si>
  <si>
    <t>Count of SFIA Level 3</t>
  </si>
  <si>
    <t>Count of SFIA Level 2</t>
  </si>
  <si>
    <t>Count of SFIA Level 1</t>
  </si>
  <si>
    <t>Count of SFIA Level 0</t>
  </si>
  <si>
    <t>Count of SFIA Level N/A</t>
  </si>
  <si>
    <t>Competence Family</t>
  </si>
  <si>
    <t>Competence</t>
  </si>
  <si>
    <t>4 points deficit</t>
  </si>
  <si>
    <t>3 points deficit</t>
  </si>
  <si>
    <t>2 points deficit</t>
  </si>
  <si>
    <t>1 points deficit</t>
  </si>
  <si>
    <t>Required level</t>
  </si>
  <si>
    <t>1 points surplus</t>
  </si>
  <si>
    <t>2 points surplus</t>
  </si>
  <si>
    <t>3 points surplus</t>
  </si>
  <si>
    <t>4 points surplus</t>
  </si>
  <si>
    <t>Mangement</t>
  </si>
  <si>
    <t>Training</t>
  </si>
  <si>
    <t>https://www.linkedin.com/learning/server-administration-essential-training/asset-management?contextUrn=urn%3Ali%3AlearningCollection%3A7221868768841416704&amp;standalone=true&amp;u=26205482</t>
  </si>
  <si>
    <t>https://www.linkedin.com/learning/it-service-management-foundations-problem-management?u=26205482</t>
  </si>
  <si>
    <t>Row Labels</t>
  </si>
  <si>
    <t>Sum of N/A</t>
  </si>
  <si>
    <t>Sum of No Knowledge</t>
  </si>
  <si>
    <t>Sum of Awareness</t>
  </si>
  <si>
    <t>Sum of Working</t>
  </si>
  <si>
    <t>Sum of Practitioner</t>
  </si>
  <si>
    <t>Sum of Expert</t>
  </si>
  <si>
    <t>Grand Total</t>
  </si>
  <si>
    <t>Sum of 4 points deficit</t>
  </si>
  <si>
    <t>Sum of 3 points deficit</t>
  </si>
  <si>
    <t>Sum of 2 points deficit</t>
  </si>
  <si>
    <t>Sum of 1 points deficit</t>
  </si>
  <si>
    <t>Sum of Required level</t>
  </si>
  <si>
    <t>Sum of 1 points surplus</t>
  </si>
  <si>
    <t>Sum of 2 points surplus</t>
  </si>
  <si>
    <t>Sum of 3 points surplus</t>
  </si>
  <si>
    <t>Sum of Actual</t>
  </si>
  <si>
    <t>Alexander Johnstone</t>
  </si>
  <si>
    <t>Andrew Fraser</t>
  </si>
  <si>
    <t>Arlene Sloan</t>
  </si>
  <si>
    <t>Carissa Chan</t>
  </si>
  <si>
    <t xml:space="preserve">Daniel England </t>
  </si>
  <si>
    <t>Dave Thom</t>
  </si>
  <si>
    <t>Derek Hamilton</t>
  </si>
  <si>
    <t>Eduoard Lacoste</t>
  </si>
  <si>
    <t>Finlay Maciver</t>
  </si>
  <si>
    <t>Garfield Tait</t>
  </si>
  <si>
    <t>Grant Quinn</t>
  </si>
  <si>
    <t>Hugh McGarrigle</t>
  </si>
  <si>
    <t>Iain McFie</t>
  </si>
  <si>
    <t>Joseph Phillips</t>
  </si>
  <si>
    <t>Lila O'Leary</t>
  </si>
  <si>
    <t>Norman Gray</t>
  </si>
  <si>
    <t>Raymond Brasas</t>
  </si>
  <si>
    <t>Robert Nugent</t>
  </si>
  <si>
    <t>Russell McInnes</t>
  </si>
  <si>
    <t>Scott Cunnachie</t>
  </si>
  <si>
    <t>Sebastian Wilson</t>
  </si>
  <si>
    <t>Stuart Mackay</t>
  </si>
  <si>
    <t>Walter Robinson</t>
  </si>
  <si>
    <t>Daniel McAllister</t>
  </si>
  <si>
    <t>Euan Begg</t>
  </si>
  <si>
    <t>David Sneddon</t>
  </si>
  <si>
    <t>Colin Abercrombie</t>
  </si>
  <si>
    <t>Arafat Khattak</t>
  </si>
  <si>
    <t>Alexander Beavers</t>
  </si>
  <si>
    <t>Core Total</t>
  </si>
  <si>
    <t>Practicioner</t>
  </si>
  <si>
    <t>Sum of Practicioner</t>
  </si>
  <si>
    <t>Sherlock</t>
  </si>
  <si>
    <t>Holmes</t>
  </si>
  <si>
    <t>John</t>
  </si>
  <si>
    <t>Watson</t>
  </si>
  <si>
    <t>Hercule</t>
  </si>
  <si>
    <t>Poirot</t>
  </si>
  <si>
    <t>Jane</t>
  </si>
  <si>
    <t>Marple</t>
  </si>
  <si>
    <t>Endeavour</t>
  </si>
  <si>
    <t>Morse</t>
  </si>
  <si>
    <t>Robbie</t>
  </si>
  <si>
    <t>Lewis</t>
  </si>
  <si>
    <t>James</t>
  </si>
  <si>
    <t>Hathaway</t>
  </si>
  <si>
    <t>Vera</t>
  </si>
  <si>
    <t>Stanhope</t>
  </si>
  <si>
    <t>Jack</t>
  </si>
  <si>
    <t>Frost</t>
  </si>
  <si>
    <t>Christopher</t>
  </si>
  <si>
    <t>Foyle</t>
  </si>
  <si>
    <t>Tom</t>
  </si>
  <si>
    <t>Barnaby</t>
  </si>
  <si>
    <t>Jim</t>
  </si>
  <si>
    <t>Taggart</t>
  </si>
  <si>
    <t>Catherine</t>
  </si>
  <si>
    <t>Cawood</t>
  </si>
  <si>
    <t>Alec</t>
  </si>
  <si>
    <t>Hardy</t>
  </si>
  <si>
    <t>Ellie</t>
  </si>
  <si>
    <t>Miller</t>
  </si>
  <si>
    <t>Steve</t>
  </si>
  <si>
    <t>Arnott</t>
  </si>
  <si>
    <t>Kate</t>
  </si>
  <si>
    <t>Fleming</t>
  </si>
  <si>
    <t>Ted</t>
  </si>
  <si>
    <t>Hastings</t>
  </si>
  <si>
    <t>Luther</t>
  </si>
  <si>
    <t>Marcella</t>
  </si>
  <si>
    <t>Backland</t>
  </si>
  <si>
    <t>Richard</t>
  </si>
  <si>
    <t>Poole</t>
  </si>
  <si>
    <t>Humphrey</t>
  </si>
  <si>
    <t>Goodman</t>
  </si>
  <si>
    <t>Mooney</t>
  </si>
  <si>
    <t>Neville</t>
  </si>
  <si>
    <t>Parker</t>
  </si>
  <si>
    <t>Stella</t>
  </si>
  <si>
    <t>Gibson</t>
  </si>
  <si>
    <t>Adam</t>
  </si>
  <si>
    <t>Dalgliesh</t>
  </si>
  <si>
    <t>Jimmy</t>
  </si>
  <si>
    <t>Perez</t>
  </si>
  <si>
    <t>Jackson</t>
  </si>
  <si>
    <t>Brodie</t>
  </si>
  <si>
    <t>Cormoran</t>
  </si>
  <si>
    <t>Strike</t>
  </si>
  <si>
    <t>Robin</t>
  </si>
  <si>
    <t>Ellacott</t>
  </si>
  <si>
    <t>Jonathan</t>
  </si>
  <si>
    <t>Creek</t>
  </si>
  <si>
    <t>Sunny</t>
  </si>
  <si>
    <t>Khan</t>
  </si>
  <si>
    <t>Cassie</t>
  </si>
  <si>
    <t>Stuart</t>
  </si>
  <si>
    <t>Frank</t>
  </si>
  <si>
    <t>Luella</t>
  </si>
  <si>
    <t>Shakespeare</t>
  </si>
  <si>
    <t>George</t>
  </si>
  <si>
    <t>Gently</t>
  </si>
  <si>
    <t>Gene</t>
  </si>
  <si>
    <t>Hunt</t>
  </si>
  <si>
    <t>Alex</t>
  </si>
  <si>
    <t>Drake</t>
  </si>
  <si>
    <t>Sarah</t>
  </si>
  <si>
    <t>Collins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</si>
</sst>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u/>
      <sz val="11"/>
      <color theme="1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0.5"/>
      <color theme="1"/>
      <name val="Arial"/>
      <family val="2"/>
    </font>
    <font>
      <sz val="10.5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0"/>
      <name val="Arial"/>
      <family val="2"/>
    </font>
    <font>
      <u/>
      <sz val="12"/>
      <color theme="10"/>
      <name val="Aptos Narrow"/>
      <family val="2"/>
      <scheme val="minor"/>
    </font>
    <font>
      <b/>
      <sz val="11"/>
      <color rgb="FFFF0000"/>
      <name val="Arial"/>
      <family val="2"/>
    </font>
    <font>
      <b/>
      <sz val="13.5"/>
      <color theme="1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7B3E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gray0625">
        <bgColor theme="5" tint="0.79998168889431442"/>
      </patternFill>
    </fill>
    <fill>
      <patternFill patternType="solid">
        <fgColor rgb="FFC9DAF8"/>
        <bgColor rgb="FFC9DAF8"/>
      </patternFill>
    </fill>
    <fill>
      <patternFill patternType="solid">
        <fgColor rgb="FFFCE8B2"/>
        <bgColor rgb="FFFCE8B2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theme="4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1" fillId="0" borderId="0"/>
    <xf numFmtId="0" fontId="20" fillId="0" borderId="0" applyNumberFormat="0" applyFill="0" applyBorder="0" applyAlignment="0" applyProtection="0"/>
  </cellStyleXfs>
  <cellXfs count="2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6" fillId="0" borderId="1" xfId="0" applyFont="1" applyBorder="1" applyAlignment="1">
      <alignment horizontal="center" vertical="center" textRotation="90" wrapText="1"/>
    </xf>
    <xf numFmtId="0" fontId="6" fillId="8" borderId="1" xfId="0" applyFont="1" applyFill="1" applyBorder="1" applyAlignment="1">
      <alignment horizontal="center" vertical="center" textRotation="90" wrapText="1"/>
    </xf>
    <xf numFmtId="0" fontId="10" fillId="0" borderId="1" xfId="1" applyFont="1" applyBorder="1" applyAlignment="1">
      <alignment horizontal="center" textRotation="90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10" borderId="1" xfId="0" applyFont="1" applyFill="1" applyBorder="1" applyAlignment="1">
      <alignment horizontal="center" vertical="center" textRotation="90" wrapText="1"/>
    </xf>
    <xf numFmtId="0" fontId="6" fillId="11" borderId="1" xfId="0" applyFont="1" applyFill="1" applyBorder="1" applyAlignment="1">
      <alignment horizontal="center" vertical="center" textRotation="90" wrapText="1"/>
    </xf>
    <xf numFmtId="0" fontId="6" fillId="12" borderId="1" xfId="0" applyFont="1" applyFill="1" applyBorder="1" applyAlignment="1">
      <alignment horizontal="center" vertical="center" textRotation="90" wrapText="1"/>
    </xf>
    <xf numFmtId="0" fontId="6" fillId="6" borderId="1" xfId="0" applyFont="1" applyFill="1" applyBorder="1" applyAlignment="1">
      <alignment horizontal="center" vertical="center" textRotation="90" wrapText="1"/>
    </xf>
    <xf numFmtId="0" fontId="6" fillId="13" borderId="1" xfId="0" applyFont="1" applyFill="1" applyBorder="1" applyAlignment="1">
      <alignment horizontal="center" vertical="center" textRotation="90" wrapText="1"/>
    </xf>
    <xf numFmtId="0" fontId="6" fillId="14" borderId="1" xfId="0" applyFont="1" applyFill="1" applyBorder="1" applyAlignment="1">
      <alignment horizontal="center" vertical="center" textRotation="90" wrapText="1"/>
    </xf>
    <xf numFmtId="0" fontId="6" fillId="15" borderId="1" xfId="0" applyFont="1" applyFill="1" applyBorder="1" applyAlignment="1">
      <alignment horizontal="center" vertical="center" textRotation="90" wrapText="1"/>
    </xf>
    <xf numFmtId="0" fontId="6" fillId="16" borderId="1" xfId="0" applyFont="1" applyFill="1" applyBorder="1" applyAlignment="1">
      <alignment horizontal="center" vertical="center" textRotation="90" wrapText="1"/>
    </xf>
    <xf numFmtId="0" fontId="6" fillId="17" borderId="1" xfId="0" applyFont="1" applyFill="1" applyBorder="1" applyAlignment="1">
      <alignment horizontal="center" textRotation="90"/>
    </xf>
    <xf numFmtId="0" fontId="11" fillId="0" borderId="0" xfId="0" applyFont="1"/>
    <xf numFmtId="0" fontId="2" fillId="0" borderId="1" xfId="1" applyBorder="1" applyAlignment="1">
      <alignment horizontal="center" textRotation="90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19" borderId="17" xfId="0" applyFont="1" applyFill="1" applyBorder="1" applyAlignment="1">
      <alignment vertical="center" wrapText="1"/>
    </xf>
    <xf numFmtId="0" fontId="13" fillId="19" borderId="18" xfId="0" applyFont="1" applyFill="1" applyBorder="1" applyAlignment="1">
      <alignment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49" fontId="15" fillId="20" borderId="1" xfId="1" applyNumberFormat="1" applyFont="1" applyFill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49" fontId="15" fillId="20" borderId="25" xfId="1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49" fontId="15" fillId="20" borderId="32" xfId="1" applyNumberFormat="1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44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5" fillId="0" borderId="0" xfId="0" applyFont="1" applyAlignment="1">
      <alignment horizontal="right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21" borderId="29" xfId="0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22" borderId="48" xfId="0" applyFont="1" applyFill="1" applyBorder="1" applyAlignment="1">
      <alignment horizontal="center" vertical="center"/>
    </xf>
    <xf numFmtId="0" fontId="14" fillId="23" borderId="49" xfId="0" applyFont="1" applyFill="1" applyBorder="1" applyAlignment="1">
      <alignment horizontal="center" vertical="center"/>
    </xf>
    <xf numFmtId="0" fontId="14" fillId="9" borderId="50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24" borderId="17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9" fillId="18" borderId="55" xfId="0" applyFont="1" applyFill="1" applyBorder="1" applyAlignment="1">
      <alignment horizontal="center" vertical="center" wrapText="1"/>
    </xf>
    <xf numFmtId="0" fontId="19" fillId="18" borderId="56" xfId="0" applyFont="1" applyFill="1" applyBorder="1" applyAlignment="1">
      <alignment horizontal="center" vertical="center" wrapText="1"/>
    </xf>
    <xf numFmtId="0" fontId="13" fillId="25" borderId="2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25" borderId="8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center" vertical="center" wrapText="1"/>
    </xf>
    <xf numFmtId="0" fontId="13" fillId="25" borderId="9" xfId="0" applyFont="1" applyFill="1" applyBorder="1" applyAlignment="1">
      <alignment horizontal="center" vertical="center" wrapText="1"/>
    </xf>
    <xf numFmtId="0" fontId="13" fillId="26" borderId="1" xfId="0" applyFont="1" applyFill="1" applyBorder="1" applyAlignment="1">
      <alignment horizontal="center" vertical="center" wrapText="1"/>
    </xf>
    <xf numFmtId="0" fontId="13" fillId="27" borderId="1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26" borderId="9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13" fillId="28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26" borderId="25" xfId="0" applyFont="1" applyFill="1" applyBorder="1" applyAlignment="1">
      <alignment horizontal="center" vertical="center" wrapText="1"/>
    </xf>
    <xf numFmtId="0" fontId="13" fillId="26" borderId="28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27" borderId="3" xfId="0" applyFont="1" applyFill="1" applyBorder="1" applyAlignment="1">
      <alignment horizontal="center" vertical="center" wrapText="1"/>
    </xf>
    <xf numFmtId="0" fontId="13" fillId="26" borderId="29" xfId="0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9" xfId="0" applyFont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0" fillId="0" borderId="1" xfId="0" applyBorder="1"/>
    <xf numFmtId="0" fontId="6" fillId="17" borderId="1" xfId="0" applyFont="1" applyFill="1" applyBorder="1" applyAlignment="1">
      <alignment horizontal="center" vertical="center" textRotation="90"/>
    </xf>
    <xf numFmtId="0" fontId="7" fillId="29" borderId="1" xfId="0" applyFont="1" applyFill="1" applyBorder="1"/>
    <xf numFmtId="0" fontId="15" fillId="0" borderId="3" xfId="0" applyFont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15" fillId="21" borderId="29" xfId="0" applyFont="1" applyFill="1" applyBorder="1" applyAlignment="1">
      <alignment horizontal="center" vertical="center" wrapText="1"/>
    </xf>
    <xf numFmtId="0" fontId="15" fillId="22" borderId="48" xfId="0" applyFont="1" applyFill="1" applyBorder="1" applyAlignment="1">
      <alignment horizontal="center" vertical="center"/>
    </xf>
    <xf numFmtId="0" fontId="15" fillId="23" borderId="49" xfId="0" applyFont="1" applyFill="1" applyBorder="1" applyAlignment="1">
      <alignment horizontal="center" vertical="center"/>
    </xf>
    <xf numFmtId="0" fontId="15" fillId="9" borderId="5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textRotation="90" wrapText="1"/>
    </xf>
    <xf numFmtId="0" fontId="0" fillId="0" borderId="1" xfId="0" pivotButton="1" applyBorder="1" applyAlignment="1">
      <alignment horizontal="left" vertical="center"/>
    </xf>
    <xf numFmtId="0" fontId="14" fillId="0" borderId="23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63" xfId="0" applyFont="1" applyBorder="1" applyAlignment="1">
      <alignment vertical="center" wrapText="1"/>
    </xf>
    <xf numFmtId="0" fontId="15" fillId="0" borderId="64" xfId="0" applyFont="1" applyBorder="1" applyAlignment="1">
      <alignment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2" fillId="0" borderId="0" xfId="0" applyFont="1" applyAlignment="1">
      <alignment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15" borderId="10" xfId="0" applyFont="1" applyFill="1" applyBorder="1" applyAlignment="1">
      <alignment horizontal="center"/>
    </xf>
    <xf numFmtId="0" fontId="1" fillId="15" borderId="1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4">
    <cellStyle name="Hyperlink" xfId="1" builtinId="8"/>
    <cellStyle name="Hyperlink 2" xfId="3" xr:uid="{D3F1E4E3-6E0F-408C-9959-CC652D86BC00}"/>
    <cellStyle name="Normal" xfId="0" builtinId="0"/>
    <cellStyle name="Normal 2" xfId="2" xr:uid="{1C0BFF8C-BD7D-418B-86A6-E2340DE47DA3}"/>
  </cellStyles>
  <dxfs count="323"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7B3E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C7B3E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alignment horizontal="center"/>
    </dxf>
    <dxf>
      <alignment horizontal="center"/>
    </dxf>
    <dxf>
      <alignment textRotation="90"/>
    </dxf>
    <dxf>
      <alignment textRotation="90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vertical="bottom"/>
    </dxf>
    <dxf>
      <alignment vertical="bottom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bottom"/>
    </dxf>
    <dxf>
      <alignment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[CoSE IT Training Modeller 2026 v2 Anon.xlsx]Competence Analysis!PivotTable11</c:name>
    <c:fmtId val="4"/>
  </c:pivotSource>
  <c:chart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'Competence Analysis'!$M$3</c:f>
              <c:strCache>
                <c:ptCount val="1"/>
                <c:pt idx="0">
                  <c:v>Sum of N/A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'Competence Analysis'!$L$4:$L$21</c:f>
              <c:multiLvlStrCache>
                <c:ptCount val="15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Digital Forensics</c:v>
                  </c:pt>
                  <c:pt idx="10">
                    <c:v>Penetration testing</c:v>
                  </c:pt>
                  <c:pt idx="11">
                    <c:v>Security Operations</c:v>
                  </c:pt>
                  <c:pt idx="12">
                    <c:v>Threat Intelligence</c:v>
                  </c:pt>
                  <c:pt idx="13">
                    <c:v>Vulnerability assessment</c:v>
                  </c:pt>
                  <c:pt idx="14">
                    <c:v>Vulnerability Research</c:v>
                  </c:pt>
                </c:lvl>
                <c:lvl>
                  <c:pt idx="0">
                    <c:v>Core</c:v>
                  </c:pt>
                  <c:pt idx="9">
                    <c:v>Security</c:v>
                  </c:pt>
                </c:lvl>
              </c:multiLvlStrCache>
            </c:multiLvlStrRef>
          </c:cat>
          <c:val>
            <c:numRef>
              <c:f>'Competence Analysis'!$M$4:$M$21</c:f>
              <c:numCache>
                <c:formatCode>General</c:formatCode>
                <c:ptCount val="1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6-42FB-8787-E87B596FF1E9}"/>
            </c:ext>
          </c:extLst>
        </c:ser>
        <c:ser>
          <c:idx val="1"/>
          <c:order val="1"/>
          <c:tx>
            <c:strRef>
              <c:f>'Competence Analysis'!$N$3</c:f>
              <c:strCache>
                <c:ptCount val="1"/>
                <c:pt idx="0">
                  <c:v>Sum of No Knowledge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'Competence Analysis'!$L$4:$L$21</c:f>
              <c:multiLvlStrCache>
                <c:ptCount val="15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Digital Forensics</c:v>
                  </c:pt>
                  <c:pt idx="10">
                    <c:v>Penetration testing</c:v>
                  </c:pt>
                  <c:pt idx="11">
                    <c:v>Security Operations</c:v>
                  </c:pt>
                  <c:pt idx="12">
                    <c:v>Threat Intelligence</c:v>
                  </c:pt>
                  <c:pt idx="13">
                    <c:v>Vulnerability assessment</c:v>
                  </c:pt>
                  <c:pt idx="14">
                    <c:v>Vulnerability Research</c:v>
                  </c:pt>
                </c:lvl>
                <c:lvl>
                  <c:pt idx="0">
                    <c:v>Core</c:v>
                  </c:pt>
                  <c:pt idx="9">
                    <c:v>Security</c:v>
                  </c:pt>
                </c:lvl>
              </c:multiLvlStrCache>
            </c:multiLvlStrRef>
          </c:cat>
          <c:val>
            <c:numRef>
              <c:f>'Competence Analysis'!$N$4:$N$21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5</c:v>
                </c:pt>
                <c:pt idx="13">
                  <c:v>2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6-42FB-8787-E87B596FF1E9}"/>
            </c:ext>
          </c:extLst>
        </c:ser>
        <c:ser>
          <c:idx val="2"/>
          <c:order val="2"/>
          <c:tx>
            <c:strRef>
              <c:f>'Competence Analysis'!$O$3</c:f>
              <c:strCache>
                <c:ptCount val="1"/>
                <c:pt idx="0">
                  <c:v>Sum of Awareness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'Competence Analysis'!$L$4:$L$21</c:f>
              <c:multiLvlStrCache>
                <c:ptCount val="15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Digital Forensics</c:v>
                  </c:pt>
                  <c:pt idx="10">
                    <c:v>Penetration testing</c:v>
                  </c:pt>
                  <c:pt idx="11">
                    <c:v>Security Operations</c:v>
                  </c:pt>
                  <c:pt idx="12">
                    <c:v>Threat Intelligence</c:v>
                  </c:pt>
                  <c:pt idx="13">
                    <c:v>Vulnerability assessment</c:v>
                  </c:pt>
                  <c:pt idx="14">
                    <c:v>Vulnerability Research</c:v>
                  </c:pt>
                </c:lvl>
                <c:lvl>
                  <c:pt idx="0">
                    <c:v>Core</c:v>
                  </c:pt>
                  <c:pt idx="9">
                    <c:v>Security</c:v>
                  </c:pt>
                </c:lvl>
              </c:multiLvlStrCache>
            </c:multiLvlStrRef>
          </c:cat>
          <c:val>
            <c:numRef>
              <c:f>'Competence Analysis'!$O$4:$O$21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6</c:v>
                </c:pt>
                <c:pt idx="9">
                  <c:v>14</c:v>
                </c:pt>
                <c:pt idx="10">
                  <c:v>14</c:v>
                </c:pt>
                <c:pt idx="11">
                  <c:v>3</c:v>
                </c:pt>
                <c:pt idx="12">
                  <c:v>12</c:v>
                </c:pt>
                <c:pt idx="13">
                  <c:v>5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6-42FB-8787-E87B596FF1E9}"/>
            </c:ext>
          </c:extLst>
        </c:ser>
        <c:ser>
          <c:idx val="3"/>
          <c:order val="3"/>
          <c:tx>
            <c:strRef>
              <c:f>'Competence Analysis'!$P$3</c:f>
              <c:strCache>
                <c:ptCount val="1"/>
                <c:pt idx="0">
                  <c:v>Sum of Working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'Competence Analysis'!$L$4:$L$21</c:f>
              <c:multiLvlStrCache>
                <c:ptCount val="15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Digital Forensics</c:v>
                  </c:pt>
                  <c:pt idx="10">
                    <c:v>Penetration testing</c:v>
                  </c:pt>
                  <c:pt idx="11">
                    <c:v>Security Operations</c:v>
                  </c:pt>
                  <c:pt idx="12">
                    <c:v>Threat Intelligence</c:v>
                  </c:pt>
                  <c:pt idx="13">
                    <c:v>Vulnerability assessment</c:v>
                  </c:pt>
                  <c:pt idx="14">
                    <c:v>Vulnerability Research</c:v>
                  </c:pt>
                </c:lvl>
                <c:lvl>
                  <c:pt idx="0">
                    <c:v>Core</c:v>
                  </c:pt>
                  <c:pt idx="9">
                    <c:v>Security</c:v>
                  </c:pt>
                </c:lvl>
              </c:multiLvlStrCache>
            </c:multiLvlStrRef>
          </c:cat>
          <c:val>
            <c:numRef>
              <c:f>'Competence Analysis'!$P$4:$P$21</c:f>
              <c:numCache>
                <c:formatCode>General</c:formatCode>
                <c:ptCount val="15"/>
                <c:pt idx="0">
                  <c:v>12</c:v>
                </c:pt>
                <c:pt idx="1">
                  <c:v>11</c:v>
                </c:pt>
                <c:pt idx="2">
                  <c:v>5</c:v>
                </c:pt>
                <c:pt idx="3">
                  <c:v>5</c:v>
                </c:pt>
                <c:pt idx="4">
                  <c:v>15</c:v>
                </c:pt>
                <c:pt idx="5">
                  <c:v>6</c:v>
                </c:pt>
                <c:pt idx="6">
                  <c:v>9</c:v>
                </c:pt>
                <c:pt idx="7">
                  <c:v>7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13</c:v>
                </c:pt>
                <c:pt idx="12">
                  <c:v>8</c:v>
                </c:pt>
                <c:pt idx="13">
                  <c:v>16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36-42FB-8787-E87B596FF1E9}"/>
            </c:ext>
          </c:extLst>
        </c:ser>
        <c:ser>
          <c:idx val="4"/>
          <c:order val="4"/>
          <c:tx>
            <c:strRef>
              <c:f>'Competence Analysis'!$Q$3</c:f>
              <c:strCache>
                <c:ptCount val="1"/>
                <c:pt idx="0">
                  <c:v>Sum of Practitioner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'Competence Analysis'!$L$4:$L$21</c:f>
              <c:multiLvlStrCache>
                <c:ptCount val="15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Digital Forensics</c:v>
                  </c:pt>
                  <c:pt idx="10">
                    <c:v>Penetration testing</c:v>
                  </c:pt>
                  <c:pt idx="11">
                    <c:v>Security Operations</c:v>
                  </c:pt>
                  <c:pt idx="12">
                    <c:v>Threat Intelligence</c:v>
                  </c:pt>
                  <c:pt idx="13">
                    <c:v>Vulnerability assessment</c:v>
                  </c:pt>
                  <c:pt idx="14">
                    <c:v>Vulnerability Research</c:v>
                  </c:pt>
                </c:lvl>
                <c:lvl>
                  <c:pt idx="0">
                    <c:v>Core</c:v>
                  </c:pt>
                  <c:pt idx="9">
                    <c:v>Security</c:v>
                  </c:pt>
                </c:lvl>
              </c:multiLvlStrCache>
            </c:multiLvlStrRef>
          </c:cat>
          <c:val>
            <c:numRef>
              <c:f>'Competence Analysis'!$Q$4:$Q$21</c:f>
              <c:numCache>
                <c:formatCode>General</c:formatCode>
                <c:ptCount val="15"/>
                <c:pt idx="0">
                  <c:v>12</c:v>
                </c:pt>
                <c:pt idx="1">
                  <c:v>15</c:v>
                </c:pt>
                <c:pt idx="2">
                  <c:v>15</c:v>
                </c:pt>
                <c:pt idx="3">
                  <c:v>16</c:v>
                </c:pt>
                <c:pt idx="4">
                  <c:v>13</c:v>
                </c:pt>
                <c:pt idx="5">
                  <c:v>20</c:v>
                </c:pt>
                <c:pt idx="6">
                  <c:v>15</c:v>
                </c:pt>
                <c:pt idx="7">
                  <c:v>15</c:v>
                </c:pt>
                <c:pt idx="8">
                  <c:v>10</c:v>
                </c:pt>
                <c:pt idx="9">
                  <c:v>4</c:v>
                </c:pt>
                <c:pt idx="10">
                  <c:v>2</c:v>
                </c:pt>
                <c:pt idx="11">
                  <c:v>10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36-42FB-8787-E87B596FF1E9}"/>
            </c:ext>
          </c:extLst>
        </c:ser>
        <c:ser>
          <c:idx val="5"/>
          <c:order val="5"/>
          <c:tx>
            <c:strRef>
              <c:f>'Competence Analysis'!$R$3</c:f>
              <c:strCache>
                <c:ptCount val="1"/>
                <c:pt idx="0">
                  <c:v>Sum of Expert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  <a:sp3d/>
          </c:spPr>
          <c:invertIfNegative val="0"/>
          <c:cat>
            <c:multiLvlStrRef>
              <c:f>'Competence Analysis'!$L$4:$L$21</c:f>
              <c:multiLvlStrCache>
                <c:ptCount val="15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Digital Forensics</c:v>
                  </c:pt>
                  <c:pt idx="10">
                    <c:v>Penetration testing</c:v>
                  </c:pt>
                  <c:pt idx="11">
                    <c:v>Security Operations</c:v>
                  </c:pt>
                  <c:pt idx="12">
                    <c:v>Threat Intelligence</c:v>
                  </c:pt>
                  <c:pt idx="13">
                    <c:v>Vulnerability assessment</c:v>
                  </c:pt>
                  <c:pt idx="14">
                    <c:v>Vulnerability Research</c:v>
                  </c:pt>
                </c:lvl>
                <c:lvl>
                  <c:pt idx="0">
                    <c:v>Core</c:v>
                  </c:pt>
                  <c:pt idx="9">
                    <c:v>Security</c:v>
                  </c:pt>
                </c:lvl>
              </c:multiLvlStrCache>
            </c:multiLvlStrRef>
          </c:cat>
          <c:val>
            <c:numRef>
              <c:f>'Competence Analysis'!$R$4:$R$21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36-42FB-8787-E87B596FF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2667376"/>
        <c:axId val="892659216"/>
        <c:axId val="0"/>
      </c:bar3DChart>
      <c:catAx>
        <c:axId val="89266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59216"/>
        <c:crosses val="autoZero"/>
        <c:auto val="1"/>
        <c:lblAlgn val="ctr"/>
        <c:lblOffset val="100"/>
        <c:noMultiLvlLbl val="0"/>
      </c:catAx>
      <c:valAx>
        <c:axId val="8926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6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[CoSE IT Training Modeller 2026 v2 Anon.xlsx]Competence Gap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Competence</a:t>
            </a:r>
            <a:r>
              <a:rPr lang="en-US" b="1" baseline="0"/>
              <a:t> Gap Analysis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'Competence Gap Analysis'!$B$3</c:f>
              <c:strCache>
                <c:ptCount val="1"/>
                <c:pt idx="0">
                  <c:v>Sum of 4 points deficit</c:v>
                </c:pt>
              </c:strCache>
            </c:strRef>
          </c:tx>
          <c:spPr>
            <a:solidFill>
              <a:srgbClr val="7030A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'Competence Gap Analysis'!$A$4:$A$79</c:f>
              <c:multiLvlStrCache>
                <c:ptCount val="70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Digital Forensics</c:v>
                  </c:pt>
                  <c:pt idx="18">
                    <c:v>Penetration testing</c:v>
                  </c:pt>
                  <c:pt idx="19">
                    <c:v>Security Operations</c:v>
                  </c:pt>
                  <c:pt idx="20">
                    <c:v>Threat Intelligence</c:v>
                  </c:pt>
                  <c:pt idx="21">
                    <c:v>Vulnerability assessment</c:v>
                  </c:pt>
                  <c:pt idx="22">
                    <c:v>Vulnerability Research</c:v>
                  </c:pt>
                  <c:pt idx="23">
                    <c:v>Availability Management</c:v>
                  </c:pt>
                  <c:pt idx="24">
                    <c:v>Capacity management</c:v>
                  </c:pt>
                  <c:pt idx="25">
                    <c:v>Configuration Management</c:v>
                  </c:pt>
                  <c:pt idx="26">
                    <c:v>Continuity Management</c:v>
                  </c:pt>
                  <c:pt idx="27">
                    <c:v>Demand Management</c:v>
                  </c:pt>
                  <c:pt idx="28">
                    <c:v>Acceptance testing</c:v>
                  </c:pt>
                  <c:pt idx="29">
                    <c:v>Application support</c:v>
                  </c:pt>
                  <c:pt idx="30">
                    <c:v>Audio Visual</c:v>
                  </c:pt>
                  <c:pt idx="31">
                    <c:v>Augmented Reality</c:v>
                  </c:pt>
                  <c:pt idx="32">
                    <c:v>Data Engineering</c:v>
                  </c:pt>
                  <c:pt idx="33">
                    <c:v>Data Management</c:v>
                  </c:pt>
                  <c:pt idx="34">
                    <c:v>Data Modelling and Design</c:v>
                  </c:pt>
                  <c:pt idx="35">
                    <c:v>Data science</c:v>
                  </c:pt>
                  <c:pt idx="36">
                    <c:v>Data visualisation</c:v>
                  </c:pt>
                  <c:pt idx="37">
                    <c:v>Database Administration</c:v>
                  </c:pt>
                  <c:pt idx="38">
                    <c:v>Database Design</c:v>
                  </c:pt>
                  <c:pt idx="39">
                    <c:v>Emerging technology monitoring</c:v>
                  </c:pt>
                  <c:pt idx="40">
                    <c:v>Hardware design</c:v>
                  </c:pt>
                  <c:pt idx="41">
                    <c:v>High Performance Computing</c:v>
                  </c:pt>
                  <c:pt idx="42">
                    <c:v>Information assurance</c:v>
                  </c:pt>
                  <c:pt idx="43">
                    <c:v>Information management</c:v>
                  </c:pt>
                  <c:pt idx="44">
                    <c:v>Infrastructure</c:v>
                  </c:pt>
                  <c:pt idx="45">
                    <c:v>Innovation</c:v>
                  </c:pt>
                  <c:pt idx="46">
                    <c:v>Knowledge management</c:v>
                  </c:pt>
                  <c:pt idx="47">
                    <c:v>Methods and tools</c:v>
                  </c:pt>
                  <c:pt idx="48">
                    <c:v>Network Analytics</c:v>
                  </c:pt>
                  <c:pt idx="49">
                    <c:v>Network design</c:v>
                  </c:pt>
                  <c:pt idx="50">
                    <c:v>Network support</c:v>
                  </c:pt>
                  <c:pt idx="51">
                    <c:v>Programming/software development</c:v>
                  </c:pt>
                  <c:pt idx="52">
                    <c:v>Real-time/embedded systems development</c:v>
                  </c:pt>
                  <c:pt idx="53">
                    <c:v>Release and deployment</c:v>
                  </c:pt>
                  <c:pt idx="54">
                    <c:v>Requirements definition and management</c:v>
                  </c:pt>
                  <c:pt idx="55">
                    <c:v>Research Computing</c:v>
                  </c:pt>
                  <c:pt idx="56">
                    <c:v>Service acceptance</c:v>
                  </c:pt>
                  <c:pt idx="57">
                    <c:v>Software configuration</c:v>
                  </c:pt>
                  <c:pt idx="58">
                    <c:v>Software design</c:v>
                  </c:pt>
                  <c:pt idx="59">
                    <c:v>Solution architecture</c:v>
                  </c:pt>
                  <c:pt idx="60">
                    <c:v>Specialist Advice</c:v>
                  </c:pt>
                  <c:pt idx="61">
                    <c:v>Stakeholder relationship management</c:v>
                  </c:pt>
                  <c:pt idx="62">
                    <c:v>Storage management</c:v>
                  </c:pt>
                  <c:pt idx="63">
                    <c:v>System software</c:v>
                  </c:pt>
                  <c:pt idx="64">
                    <c:v>Systems and software life cycle engineering</c:v>
                  </c:pt>
                  <c:pt idx="65">
                    <c:v>Systems design</c:v>
                  </c:pt>
                  <c:pt idx="66">
                    <c:v>Systems development management</c:v>
                  </c:pt>
                  <c:pt idx="67">
                    <c:v>Systems installation and removal</c:v>
                  </c:pt>
                  <c:pt idx="68">
                    <c:v>Systems integration and build</c:v>
                  </c:pt>
                  <c:pt idx="69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</c:v>
                  </c:pt>
                  <c:pt idx="17">
                    <c:v>Security</c:v>
                  </c:pt>
                  <c:pt idx="23">
                    <c:v>Service</c:v>
                  </c:pt>
                  <c:pt idx="28">
                    <c:v>Technical</c:v>
                  </c:pt>
                </c:lvl>
              </c:multiLvlStrCache>
            </c:multiLvlStrRef>
          </c:cat>
          <c:val>
            <c:numRef>
              <c:f>'Competence Gap Analysis'!$B$4:$B$79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1-4F8C-BA0F-4E45253959A9}"/>
            </c:ext>
          </c:extLst>
        </c:ser>
        <c:ser>
          <c:idx val="1"/>
          <c:order val="1"/>
          <c:tx>
            <c:strRef>
              <c:f>'Competence Gap Analysis'!$C$3</c:f>
              <c:strCache>
                <c:ptCount val="1"/>
                <c:pt idx="0">
                  <c:v>Sum of 3 points deficit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'Competence Gap Analysis'!$A$4:$A$79</c:f>
              <c:multiLvlStrCache>
                <c:ptCount val="70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Digital Forensics</c:v>
                  </c:pt>
                  <c:pt idx="18">
                    <c:v>Penetration testing</c:v>
                  </c:pt>
                  <c:pt idx="19">
                    <c:v>Security Operations</c:v>
                  </c:pt>
                  <c:pt idx="20">
                    <c:v>Threat Intelligence</c:v>
                  </c:pt>
                  <c:pt idx="21">
                    <c:v>Vulnerability assessment</c:v>
                  </c:pt>
                  <c:pt idx="22">
                    <c:v>Vulnerability Research</c:v>
                  </c:pt>
                  <c:pt idx="23">
                    <c:v>Availability Management</c:v>
                  </c:pt>
                  <c:pt idx="24">
                    <c:v>Capacity management</c:v>
                  </c:pt>
                  <c:pt idx="25">
                    <c:v>Configuration Management</c:v>
                  </c:pt>
                  <c:pt idx="26">
                    <c:v>Continuity Management</c:v>
                  </c:pt>
                  <c:pt idx="27">
                    <c:v>Demand Management</c:v>
                  </c:pt>
                  <c:pt idx="28">
                    <c:v>Acceptance testing</c:v>
                  </c:pt>
                  <c:pt idx="29">
                    <c:v>Application support</c:v>
                  </c:pt>
                  <c:pt idx="30">
                    <c:v>Audio Visual</c:v>
                  </c:pt>
                  <c:pt idx="31">
                    <c:v>Augmented Reality</c:v>
                  </c:pt>
                  <c:pt idx="32">
                    <c:v>Data Engineering</c:v>
                  </c:pt>
                  <c:pt idx="33">
                    <c:v>Data Management</c:v>
                  </c:pt>
                  <c:pt idx="34">
                    <c:v>Data Modelling and Design</c:v>
                  </c:pt>
                  <c:pt idx="35">
                    <c:v>Data science</c:v>
                  </c:pt>
                  <c:pt idx="36">
                    <c:v>Data visualisation</c:v>
                  </c:pt>
                  <c:pt idx="37">
                    <c:v>Database Administration</c:v>
                  </c:pt>
                  <c:pt idx="38">
                    <c:v>Database Design</c:v>
                  </c:pt>
                  <c:pt idx="39">
                    <c:v>Emerging technology monitoring</c:v>
                  </c:pt>
                  <c:pt idx="40">
                    <c:v>Hardware design</c:v>
                  </c:pt>
                  <c:pt idx="41">
                    <c:v>High Performance Computing</c:v>
                  </c:pt>
                  <c:pt idx="42">
                    <c:v>Information assurance</c:v>
                  </c:pt>
                  <c:pt idx="43">
                    <c:v>Information management</c:v>
                  </c:pt>
                  <c:pt idx="44">
                    <c:v>Infrastructure</c:v>
                  </c:pt>
                  <c:pt idx="45">
                    <c:v>Innovation</c:v>
                  </c:pt>
                  <c:pt idx="46">
                    <c:v>Knowledge management</c:v>
                  </c:pt>
                  <c:pt idx="47">
                    <c:v>Methods and tools</c:v>
                  </c:pt>
                  <c:pt idx="48">
                    <c:v>Network Analytics</c:v>
                  </c:pt>
                  <c:pt idx="49">
                    <c:v>Network design</c:v>
                  </c:pt>
                  <c:pt idx="50">
                    <c:v>Network support</c:v>
                  </c:pt>
                  <c:pt idx="51">
                    <c:v>Programming/software development</c:v>
                  </c:pt>
                  <c:pt idx="52">
                    <c:v>Real-time/embedded systems development</c:v>
                  </c:pt>
                  <c:pt idx="53">
                    <c:v>Release and deployment</c:v>
                  </c:pt>
                  <c:pt idx="54">
                    <c:v>Requirements definition and management</c:v>
                  </c:pt>
                  <c:pt idx="55">
                    <c:v>Research Computing</c:v>
                  </c:pt>
                  <c:pt idx="56">
                    <c:v>Service acceptance</c:v>
                  </c:pt>
                  <c:pt idx="57">
                    <c:v>Software configuration</c:v>
                  </c:pt>
                  <c:pt idx="58">
                    <c:v>Software design</c:v>
                  </c:pt>
                  <c:pt idx="59">
                    <c:v>Solution architecture</c:v>
                  </c:pt>
                  <c:pt idx="60">
                    <c:v>Specialist Advice</c:v>
                  </c:pt>
                  <c:pt idx="61">
                    <c:v>Stakeholder relationship management</c:v>
                  </c:pt>
                  <c:pt idx="62">
                    <c:v>Storage management</c:v>
                  </c:pt>
                  <c:pt idx="63">
                    <c:v>System software</c:v>
                  </c:pt>
                  <c:pt idx="64">
                    <c:v>Systems and software life cycle engineering</c:v>
                  </c:pt>
                  <c:pt idx="65">
                    <c:v>Systems design</c:v>
                  </c:pt>
                  <c:pt idx="66">
                    <c:v>Systems development management</c:v>
                  </c:pt>
                  <c:pt idx="67">
                    <c:v>Systems installation and removal</c:v>
                  </c:pt>
                  <c:pt idx="68">
                    <c:v>Systems integration and build</c:v>
                  </c:pt>
                  <c:pt idx="69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</c:v>
                  </c:pt>
                  <c:pt idx="17">
                    <c:v>Security</c:v>
                  </c:pt>
                  <c:pt idx="23">
                    <c:v>Service</c:v>
                  </c:pt>
                  <c:pt idx="28">
                    <c:v>Technical</c:v>
                  </c:pt>
                </c:lvl>
              </c:multiLvlStrCache>
            </c:multiLvlStrRef>
          </c:cat>
          <c:val>
            <c:numRef>
              <c:f>'Competence Gap Analysis'!$C$4:$C$79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1-4F8C-BA0F-4E45253959A9}"/>
            </c:ext>
          </c:extLst>
        </c:ser>
        <c:ser>
          <c:idx val="2"/>
          <c:order val="2"/>
          <c:tx>
            <c:strRef>
              <c:f>'Competence Gap Analysis'!$D$3</c:f>
              <c:strCache>
                <c:ptCount val="1"/>
                <c:pt idx="0">
                  <c:v>Sum of 2 points deficit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'Competence Gap Analysis'!$A$4:$A$79</c:f>
              <c:multiLvlStrCache>
                <c:ptCount val="70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Digital Forensics</c:v>
                  </c:pt>
                  <c:pt idx="18">
                    <c:v>Penetration testing</c:v>
                  </c:pt>
                  <c:pt idx="19">
                    <c:v>Security Operations</c:v>
                  </c:pt>
                  <c:pt idx="20">
                    <c:v>Threat Intelligence</c:v>
                  </c:pt>
                  <c:pt idx="21">
                    <c:v>Vulnerability assessment</c:v>
                  </c:pt>
                  <c:pt idx="22">
                    <c:v>Vulnerability Research</c:v>
                  </c:pt>
                  <c:pt idx="23">
                    <c:v>Availability Management</c:v>
                  </c:pt>
                  <c:pt idx="24">
                    <c:v>Capacity management</c:v>
                  </c:pt>
                  <c:pt idx="25">
                    <c:v>Configuration Management</c:v>
                  </c:pt>
                  <c:pt idx="26">
                    <c:v>Continuity Management</c:v>
                  </c:pt>
                  <c:pt idx="27">
                    <c:v>Demand Management</c:v>
                  </c:pt>
                  <c:pt idx="28">
                    <c:v>Acceptance testing</c:v>
                  </c:pt>
                  <c:pt idx="29">
                    <c:v>Application support</c:v>
                  </c:pt>
                  <c:pt idx="30">
                    <c:v>Audio Visual</c:v>
                  </c:pt>
                  <c:pt idx="31">
                    <c:v>Augmented Reality</c:v>
                  </c:pt>
                  <c:pt idx="32">
                    <c:v>Data Engineering</c:v>
                  </c:pt>
                  <c:pt idx="33">
                    <c:v>Data Management</c:v>
                  </c:pt>
                  <c:pt idx="34">
                    <c:v>Data Modelling and Design</c:v>
                  </c:pt>
                  <c:pt idx="35">
                    <c:v>Data science</c:v>
                  </c:pt>
                  <c:pt idx="36">
                    <c:v>Data visualisation</c:v>
                  </c:pt>
                  <c:pt idx="37">
                    <c:v>Database Administration</c:v>
                  </c:pt>
                  <c:pt idx="38">
                    <c:v>Database Design</c:v>
                  </c:pt>
                  <c:pt idx="39">
                    <c:v>Emerging technology monitoring</c:v>
                  </c:pt>
                  <c:pt idx="40">
                    <c:v>Hardware design</c:v>
                  </c:pt>
                  <c:pt idx="41">
                    <c:v>High Performance Computing</c:v>
                  </c:pt>
                  <c:pt idx="42">
                    <c:v>Information assurance</c:v>
                  </c:pt>
                  <c:pt idx="43">
                    <c:v>Information management</c:v>
                  </c:pt>
                  <c:pt idx="44">
                    <c:v>Infrastructure</c:v>
                  </c:pt>
                  <c:pt idx="45">
                    <c:v>Innovation</c:v>
                  </c:pt>
                  <c:pt idx="46">
                    <c:v>Knowledge management</c:v>
                  </c:pt>
                  <c:pt idx="47">
                    <c:v>Methods and tools</c:v>
                  </c:pt>
                  <c:pt idx="48">
                    <c:v>Network Analytics</c:v>
                  </c:pt>
                  <c:pt idx="49">
                    <c:v>Network design</c:v>
                  </c:pt>
                  <c:pt idx="50">
                    <c:v>Network support</c:v>
                  </c:pt>
                  <c:pt idx="51">
                    <c:v>Programming/software development</c:v>
                  </c:pt>
                  <c:pt idx="52">
                    <c:v>Real-time/embedded systems development</c:v>
                  </c:pt>
                  <c:pt idx="53">
                    <c:v>Release and deployment</c:v>
                  </c:pt>
                  <c:pt idx="54">
                    <c:v>Requirements definition and management</c:v>
                  </c:pt>
                  <c:pt idx="55">
                    <c:v>Research Computing</c:v>
                  </c:pt>
                  <c:pt idx="56">
                    <c:v>Service acceptance</c:v>
                  </c:pt>
                  <c:pt idx="57">
                    <c:v>Software configuration</c:v>
                  </c:pt>
                  <c:pt idx="58">
                    <c:v>Software design</c:v>
                  </c:pt>
                  <c:pt idx="59">
                    <c:v>Solution architecture</c:v>
                  </c:pt>
                  <c:pt idx="60">
                    <c:v>Specialist Advice</c:v>
                  </c:pt>
                  <c:pt idx="61">
                    <c:v>Stakeholder relationship management</c:v>
                  </c:pt>
                  <c:pt idx="62">
                    <c:v>Storage management</c:v>
                  </c:pt>
                  <c:pt idx="63">
                    <c:v>System software</c:v>
                  </c:pt>
                  <c:pt idx="64">
                    <c:v>Systems and software life cycle engineering</c:v>
                  </c:pt>
                  <c:pt idx="65">
                    <c:v>Systems design</c:v>
                  </c:pt>
                  <c:pt idx="66">
                    <c:v>Systems development management</c:v>
                  </c:pt>
                  <c:pt idx="67">
                    <c:v>Systems installation and removal</c:v>
                  </c:pt>
                  <c:pt idx="68">
                    <c:v>Systems integration and build</c:v>
                  </c:pt>
                  <c:pt idx="69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</c:v>
                  </c:pt>
                  <c:pt idx="17">
                    <c:v>Security</c:v>
                  </c:pt>
                  <c:pt idx="23">
                    <c:v>Service</c:v>
                  </c:pt>
                  <c:pt idx="28">
                    <c:v>Technical</c:v>
                  </c:pt>
                </c:lvl>
              </c:multiLvlStrCache>
            </c:multiLvlStrRef>
          </c:cat>
          <c:val>
            <c:numRef>
              <c:f>'Competence Gap Analysis'!$D$4:$D$79</c:f>
              <c:numCache>
                <c:formatCode>General</c:formatCode>
                <c:ptCount val="70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8</c:v>
                </c:pt>
                <c:pt idx="10">
                  <c:v>8</c:v>
                </c:pt>
                <c:pt idx="11">
                  <c:v>3</c:v>
                </c:pt>
                <c:pt idx="12">
                  <c:v>7</c:v>
                </c:pt>
                <c:pt idx="13">
                  <c:v>8</c:v>
                </c:pt>
                <c:pt idx="14">
                  <c:v>4</c:v>
                </c:pt>
                <c:pt idx="15">
                  <c:v>8</c:v>
                </c:pt>
                <c:pt idx="16">
                  <c:v>0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5</c:v>
                </c:pt>
                <c:pt idx="41">
                  <c:v>0</c:v>
                </c:pt>
                <c:pt idx="42">
                  <c:v>5</c:v>
                </c:pt>
                <c:pt idx="43">
                  <c:v>5</c:v>
                </c:pt>
                <c:pt idx="44">
                  <c:v>2</c:v>
                </c:pt>
                <c:pt idx="45">
                  <c:v>4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4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0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5</c:v>
                </c:pt>
                <c:pt idx="60">
                  <c:v>2</c:v>
                </c:pt>
                <c:pt idx="61">
                  <c:v>6</c:v>
                </c:pt>
                <c:pt idx="62">
                  <c:v>2</c:v>
                </c:pt>
                <c:pt idx="63">
                  <c:v>3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3</c:v>
                </c:pt>
                <c:pt idx="6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51-4F8C-BA0F-4E45253959A9}"/>
            </c:ext>
          </c:extLst>
        </c:ser>
        <c:ser>
          <c:idx val="3"/>
          <c:order val="3"/>
          <c:tx>
            <c:strRef>
              <c:f>'Competence Gap Analysis'!$E$3</c:f>
              <c:strCache>
                <c:ptCount val="1"/>
                <c:pt idx="0">
                  <c:v>Sum of 1 points deficit</c:v>
                </c:pt>
              </c:strCache>
            </c:strRef>
          </c:tx>
          <c:spPr>
            <a:solidFill>
              <a:srgbClr val="FF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'Competence Gap Analysis'!$A$4:$A$79</c:f>
              <c:multiLvlStrCache>
                <c:ptCount val="70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Digital Forensics</c:v>
                  </c:pt>
                  <c:pt idx="18">
                    <c:v>Penetration testing</c:v>
                  </c:pt>
                  <c:pt idx="19">
                    <c:v>Security Operations</c:v>
                  </c:pt>
                  <c:pt idx="20">
                    <c:v>Threat Intelligence</c:v>
                  </c:pt>
                  <c:pt idx="21">
                    <c:v>Vulnerability assessment</c:v>
                  </c:pt>
                  <c:pt idx="22">
                    <c:v>Vulnerability Research</c:v>
                  </c:pt>
                  <c:pt idx="23">
                    <c:v>Availability Management</c:v>
                  </c:pt>
                  <c:pt idx="24">
                    <c:v>Capacity management</c:v>
                  </c:pt>
                  <c:pt idx="25">
                    <c:v>Configuration Management</c:v>
                  </c:pt>
                  <c:pt idx="26">
                    <c:v>Continuity Management</c:v>
                  </c:pt>
                  <c:pt idx="27">
                    <c:v>Demand Management</c:v>
                  </c:pt>
                  <c:pt idx="28">
                    <c:v>Acceptance testing</c:v>
                  </c:pt>
                  <c:pt idx="29">
                    <c:v>Application support</c:v>
                  </c:pt>
                  <c:pt idx="30">
                    <c:v>Audio Visual</c:v>
                  </c:pt>
                  <c:pt idx="31">
                    <c:v>Augmented Reality</c:v>
                  </c:pt>
                  <c:pt idx="32">
                    <c:v>Data Engineering</c:v>
                  </c:pt>
                  <c:pt idx="33">
                    <c:v>Data Management</c:v>
                  </c:pt>
                  <c:pt idx="34">
                    <c:v>Data Modelling and Design</c:v>
                  </c:pt>
                  <c:pt idx="35">
                    <c:v>Data science</c:v>
                  </c:pt>
                  <c:pt idx="36">
                    <c:v>Data visualisation</c:v>
                  </c:pt>
                  <c:pt idx="37">
                    <c:v>Database Administration</c:v>
                  </c:pt>
                  <c:pt idx="38">
                    <c:v>Database Design</c:v>
                  </c:pt>
                  <c:pt idx="39">
                    <c:v>Emerging technology monitoring</c:v>
                  </c:pt>
                  <c:pt idx="40">
                    <c:v>Hardware design</c:v>
                  </c:pt>
                  <c:pt idx="41">
                    <c:v>High Performance Computing</c:v>
                  </c:pt>
                  <c:pt idx="42">
                    <c:v>Information assurance</c:v>
                  </c:pt>
                  <c:pt idx="43">
                    <c:v>Information management</c:v>
                  </c:pt>
                  <c:pt idx="44">
                    <c:v>Infrastructure</c:v>
                  </c:pt>
                  <c:pt idx="45">
                    <c:v>Innovation</c:v>
                  </c:pt>
                  <c:pt idx="46">
                    <c:v>Knowledge management</c:v>
                  </c:pt>
                  <c:pt idx="47">
                    <c:v>Methods and tools</c:v>
                  </c:pt>
                  <c:pt idx="48">
                    <c:v>Network Analytics</c:v>
                  </c:pt>
                  <c:pt idx="49">
                    <c:v>Network design</c:v>
                  </c:pt>
                  <c:pt idx="50">
                    <c:v>Network support</c:v>
                  </c:pt>
                  <c:pt idx="51">
                    <c:v>Programming/software development</c:v>
                  </c:pt>
                  <c:pt idx="52">
                    <c:v>Real-time/embedded systems development</c:v>
                  </c:pt>
                  <c:pt idx="53">
                    <c:v>Release and deployment</c:v>
                  </c:pt>
                  <c:pt idx="54">
                    <c:v>Requirements definition and management</c:v>
                  </c:pt>
                  <c:pt idx="55">
                    <c:v>Research Computing</c:v>
                  </c:pt>
                  <c:pt idx="56">
                    <c:v>Service acceptance</c:v>
                  </c:pt>
                  <c:pt idx="57">
                    <c:v>Software configuration</c:v>
                  </c:pt>
                  <c:pt idx="58">
                    <c:v>Software design</c:v>
                  </c:pt>
                  <c:pt idx="59">
                    <c:v>Solution architecture</c:v>
                  </c:pt>
                  <c:pt idx="60">
                    <c:v>Specialist Advice</c:v>
                  </c:pt>
                  <c:pt idx="61">
                    <c:v>Stakeholder relationship management</c:v>
                  </c:pt>
                  <c:pt idx="62">
                    <c:v>Storage management</c:v>
                  </c:pt>
                  <c:pt idx="63">
                    <c:v>System software</c:v>
                  </c:pt>
                  <c:pt idx="64">
                    <c:v>Systems and software life cycle engineering</c:v>
                  </c:pt>
                  <c:pt idx="65">
                    <c:v>Systems design</c:v>
                  </c:pt>
                  <c:pt idx="66">
                    <c:v>Systems development management</c:v>
                  </c:pt>
                  <c:pt idx="67">
                    <c:v>Systems installation and removal</c:v>
                  </c:pt>
                  <c:pt idx="68">
                    <c:v>Systems integration and build</c:v>
                  </c:pt>
                  <c:pt idx="69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</c:v>
                  </c:pt>
                  <c:pt idx="17">
                    <c:v>Security</c:v>
                  </c:pt>
                  <c:pt idx="23">
                    <c:v>Service</c:v>
                  </c:pt>
                  <c:pt idx="28">
                    <c:v>Technical</c:v>
                  </c:pt>
                </c:lvl>
              </c:multiLvlStrCache>
            </c:multiLvlStrRef>
          </c:cat>
          <c:val>
            <c:numRef>
              <c:f>'Competence Gap Analysis'!$E$4:$E$79</c:f>
              <c:numCache>
                <c:formatCode>General</c:formatCode>
                <c:ptCount val="70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15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10</c:v>
                </c:pt>
                <c:pt idx="9">
                  <c:v>11</c:v>
                </c:pt>
                <c:pt idx="10">
                  <c:v>4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8</c:v>
                </c:pt>
                <c:pt idx="16">
                  <c:v>5</c:v>
                </c:pt>
                <c:pt idx="17">
                  <c:v>2</c:v>
                </c:pt>
                <c:pt idx="18">
                  <c:v>4</c:v>
                </c:pt>
                <c:pt idx="19">
                  <c:v>11</c:v>
                </c:pt>
                <c:pt idx="20">
                  <c:v>2</c:v>
                </c:pt>
                <c:pt idx="21">
                  <c:v>8</c:v>
                </c:pt>
                <c:pt idx="22">
                  <c:v>1</c:v>
                </c:pt>
                <c:pt idx="23">
                  <c:v>9</c:v>
                </c:pt>
                <c:pt idx="24">
                  <c:v>4</c:v>
                </c:pt>
                <c:pt idx="25">
                  <c:v>4</c:v>
                </c:pt>
                <c:pt idx="26">
                  <c:v>12</c:v>
                </c:pt>
                <c:pt idx="27">
                  <c:v>14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6</c:v>
                </c:pt>
                <c:pt idx="42">
                  <c:v>12</c:v>
                </c:pt>
                <c:pt idx="43">
                  <c:v>6</c:v>
                </c:pt>
                <c:pt idx="44">
                  <c:v>5</c:v>
                </c:pt>
                <c:pt idx="45">
                  <c:v>3</c:v>
                </c:pt>
                <c:pt idx="46">
                  <c:v>5</c:v>
                </c:pt>
                <c:pt idx="47">
                  <c:v>11</c:v>
                </c:pt>
                <c:pt idx="48">
                  <c:v>6</c:v>
                </c:pt>
                <c:pt idx="49">
                  <c:v>7</c:v>
                </c:pt>
                <c:pt idx="50">
                  <c:v>7</c:v>
                </c:pt>
                <c:pt idx="51">
                  <c:v>4</c:v>
                </c:pt>
                <c:pt idx="52">
                  <c:v>1</c:v>
                </c:pt>
                <c:pt idx="53">
                  <c:v>8</c:v>
                </c:pt>
                <c:pt idx="54">
                  <c:v>4</c:v>
                </c:pt>
                <c:pt idx="55">
                  <c:v>8</c:v>
                </c:pt>
                <c:pt idx="56">
                  <c:v>9</c:v>
                </c:pt>
                <c:pt idx="57">
                  <c:v>4</c:v>
                </c:pt>
                <c:pt idx="58">
                  <c:v>3</c:v>
                </c:pt>
                <c:pt idx="59">
                  <c:v>5</c:v>
                </c:pt>
                <c:pt idx="60">
                  <c:v>4</c:v>
                </c:pt>
                <c:pt idx="61">
                  <c:v>3</c:v>
                </c:pt>
                <c:pt idx="62">
                  <c:v>6</c:v>
                </c:pt>
                <c:pt idx="63">
                  <c:v>3</c:v>
                </c:pt>
                <c:pt idx="64">
                  <c:v>1</c:v>
                </c:pt>
                <c:pt idx="65">
                  <c:v>4</c:v>
                </c:pt>
                <c:pt idx="66">
                  <c:v>2</c:v>
                </c:pt>
                <c:pt idx="67">
                  <c:v>4</c:v>
                </c:pt>
                <c:pt idx="68">
                  <c:v>9</c:v>
                </c:pt>
                <c:pt idx="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51-4F8C-BA0F-4E45253959A9}"/>
            </c:ext>
          </c:extLst>
        </c:ser>
        <c:ser>
          <c:idx val="4"/>
          <c:order val="4"/>
          <c:tx>
            <c:strRef>
              <c:f>'Competence Gap Analysis'!$F$3</c:f>
              <c:strCache>
                <c:ptCount val="1"/>
                <c:pt idx="0">
                  <c:v>Sum of Required level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'Competence Gap Analysis'!$A$4:$A$79</c:f>
              <c:multiLvlStrCache>
                <c:ptCount val="70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Digital Forensics</c:v>
                  </c:pt>
                  <c:pt idx="18">
                    <c:v>Penetration testing</c:v>
                  </c:pt>
                  <c:pt idx="19">
                    <c:v>Security Operations</c:v>
                  </c:pt>
                  <c:pt idx="20">
                    <c:v>Threat Intelligence</c:v>
                  </c:pt>
                  <c:pt idx="21">
                    <c:v>Vulnerability assessment</c:v>
                  </c:pt>
                  <c:pt idx="22">
                    <c:v>Vulnerability Research</c:v>
                  </c:pt>
                  <c:pt idx="23">
                    <c:v>Availability Management</c:v>
                  </c:pt>
                  <c:pt idx="24">
                    <c:v>Capacity management</c:v>
                  </c:pt>
                  <c:pt idx="25">
                    <c:v>Configuration Management</c:v>
                  </c:pt>
                  <c:pt idx="26">
                    <c:v>Continuity Management</c:v>
                  </c:pt>
                  <c:pt idx="27">
                    <c:v>Demand Management</c:v>
                  </c:pt>
                  <c:pt idx="28">
                    <c:v>Acceptance testing</c:v>
                  </c:pt>
                  <c:pt idx="29">
                    <c:v>Application support</c:v>
                  </c:pt>
                  <c:pt idx="30">
                    <c:v>Audio Visual</c:v>
                  </c:pt>
                  <c:pt idx="31">
                    <c:v>Augmented Reality</c:v>
                  </c:pt>
                  <c:pt idx="32">
                    <c:v>Data Engineering</c:v>
                  </c:pt>
                  <c:pt idx="33">
                    <c:v>Data Management</c:v>
                  </c:pt>
                  <c:pt idx="34">
                    <c:v>Data Modelling and Design</c:v>
                  </c:pt>
                  <c:pt idx="35">
                    <c:v>Data science</c:v>
                  </c:pt>
                  <c:pt idx="36">
                    <c:v>Data visualisation</c:v>
                  </c:pt>
                  <c:pt idx="37">
                    <c:v>Database Administration</c:v>
                  </c:pt>
                  <c:pt idx="38">
                    <c:v>Database Design</c:v>
                  </c:pt>
                  <c:pt idx="39">
                    <c:v>Emerging technology monitoring</c:v>
                  </c:pt>
                  <c:pt idx="40">
                    <c:v>Hardware design</c:v>
                  </c:pt>
                  <c:pt idx="41">
                    <c:v>High Performance Computing</c:v>
                  </c:pt>
                  <c:pt idx="42">
                    <c:v>Information assurance</c:v>
                  </c:pt>
                  <c:pt idx="43">
                    <c:v>Information management</c:v>
                  </c:pt>
                  <c:pt idx="44">
                    <c:v>Infrastructure</c:v>
                  </c:pt>
                  <c:pt idx="45">
                    <c:v>Innovation</c:v>
                  </c:pt>
                  <c:pt idx="46">
                    <c:v>Knowledge management</c:v>
                  </c:pt>
                  <c:pt idx="47">
                    <c:v>Methods and tools</c:v>
                  </c:pt>
                  <c:pt idx="48">
                    <c:v>Network Analytics</c:v>
                  </c:pt>
                  <c:pt idx="49">
                    <c:v>Network design</c:v>
                  </c:pt>
                  <c:pt idx="50">
                    <c:v>Network support</c:v>
                  </c:pt>
                  <c:pt idx="51">
                    <c:v>Programming/software development</c:v>
                  </c:pt>
                  <c:pt idx="52">
                    <c:v>Real-time/embedded systems development</c:v>
                  </c:pt>
                  <c:pt idx="53">
                    <c:v>Release and deployment</c:v>
                  </c:pt>
                  <c:pt idx="54">
                    <c:v>Requirements definition and management</c:v>
                  </c:pt>
                  <c:pt idx="55">
                    <c:v>Research Computing</c:v>
                  </c:pt>
                  <c:pt idx="56">
                    <c:v>Service acceptance</c:v>
                  </c:pt>
                  <c:pt idx="57">
                    <c:v>Software configuration</c:v>
                  </c:pt>
                  <c:pt idx="58">
                    <c:v>Software design</c:v>
                  </c:pt>
                  <c:pt idx="59">
                    <c:v>Solution architecture</c:v>
                  </c:pt>
                  <c:pt idx="60">
                    <c:v>Specialist Advice</c:v>
                  </c:pt>
                  <c:pt idx="61">
                    <c:v>Stakeholder relationship management</c:v>
                  </c:pt>
                  <c:pt idx="62">
                    <c:v>Storage management</c:v>
                  </c:pt>
                  <c:pt idx="63">
                    <c:v>System software</c:v>
                  </c:pt>
                  <c:pt idx="64">
                    <c:v>Systems and software life cycle engineering</c:v>
                  </c:pt>
                  <c:pt idx="65">
                    <c:v>Systems design</c:v>
                  </c:pt>
                  <c:pt idx="66">
                    <c:v>Systems development management</c:v>
                  </c:pt>
                  <c:pt idx="67">
                    <c:v>Systems installation and removal</c:v>
                  </c:pt>
                  <c:pt idx="68">
                    <c:v>Systems integration and build</c:v>
                  </c:pt>
                  <c:pt idx="69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</c:v>
                  </c:pt>
                  <c:pt idx="17">
                    <c:v>Security</c:v>
                  </c:pt>
                  <c:pt idx="23">
                    <c:v>Service</c:v>
                  </c:pt>
                  <c:pt idx="28">
                    <c:v>Technical</c:v>
                  </c:pt>
                </c:lvl>
              </c:multiLvlStrCache>
            </c:multiLvlStrRef>
          </c:cat>
          <c:val>
            <c:numRef>
              <c:f>'Competence Gap Analysis'!$F$4:$F$79</c:f>
              <c:numCache>
                <c:formatCode>General</c:formatCode>
                <c:ptCount val="70"/>
                <c:pt idx="0">
                  <c:v>11</c:v>
                </c:pt>
                <c:pt idx="1">
                  <c:v>18</c:v>
                </c:pt>
                <c:pt idx="2">
                  <c:v>17</c:v>
                </c:pt>
                <c:pt idx="3">
                  <c:v>8</c:v>
                </c:pt>
                <c:pt idx="4">
                  <c:v>13</c:v>
                </c:pt>
                <c:pt idx="5">
                  <c:v>19</c:v>
                </c:pt>
                <c:pt idx="6">
                  <c:v>17</c:v>
                </c:pt>
                <c:pt idx="7">
                  <c:v>11</c:v>
                </c:pt>
                <c:pt idx="8">
                  <c:v>10</c:v>
                </c:pt>
                <c:pt idx="9">
                  <c:v>8</c:v>
                </c:pt>
                <c:pt idx="10">
                  <c:v>7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9</c:v>
                </c:pt>
                <c:pt idx="15">
                  <c:v>8</c:v>
                </c:pt>
                <c:pt idx="16">
                  <c:v>17</c:v>
                </c:pt>
                <c:pt idx="17">
                  <c:v>4</c:v>
                </c:pt>
                <c:pt idx="18">
                  <c:v>6</c:v>
                </c:pt>
                <c:pt idx="19">
                  <c:v>9</c:v>
                </c:pt>
                <c:pt idx="20">
                  <c:v>6</c:v>
                </c:pt>
                <c:pt idx="21">
                  <c:v>12</c:v>
                </c:pt>
                <c:pt idx="22">
                  <c:v>8</c:v>
                </c:pt>
                <c:pt idx="23">
                  <c:v>12</c:v>
                </c:pt>
                <c:pt idx="24">
                  <c:v>6</c:v>
                </c:pt>
                <c:pt idx="25">
                  <c:v>15</c:v>
                </c:pt>
                <c:pt idx="26">
                  <c:v>11</c:v>
                </c:pt>
                <c:pt idx="27">
                  <c:v>5</c:v>
                </c:pt>
                <c:pt idx="28">
                  <c:v>13</c:v>
                </c:pt>
                <c:pt idx="29">
                  <c:v>12</c:v>
                </c:pt>
                <c:pt idx="30">
                  <c:v>2</c:v>
                </c:pt>
                <c:pt idx="31">
                  <c:v>7</c:v>
                </c:pt>
                <c:pt idx="32">
                  <c:v>9</c:v>
                </c:pt>
                <c:pt idx="33">
                  <c:v>5</c:v>
                </c:pt>
                <c:pt idx="34">
                  <c:v>8</c:v>
                </c:pt>
                <c:pt idx="35">
                  <c:v>13</c:v>
                </c:pt>
                <c:pt idx="36">
                  <c:v>5</c:v>
                </c:pt>
                <c:pt idx="37">
                  <c:v>10</c:v>
                </c:pt>
                <c:pt idx="38">
                  <c:v>6</c:v>
                </c:pt>
                <c:pt idx="39">
                  <c:v>6</c:v>
                </c:pt>
                <c:pt idx="40">
                  <c:v>9</c:v>
                </c:pt>
                <c:pt idx="41">
                  <c:v>14</c:v>
                </c:pt>
                <c:pt idx="42">
                  <c:v>8</c:v>
                </c:pt>
                <c:pt idx="43">
                  <c:v>15</c:v>
                </c:pt>
                <c:pt idx="44">
                  <c:v>14</c:v>
                </c:pt>
                <c:pt idx="45">
                  <c:v>13</c:v>
                </c:pt>
                <c:pt idx="46">
                  <c:v>18</c:v>
                </c:pt>
                <c:pt idx="47">
                  <c:v>10</c:v>
                </c:pt>
                <c:pt idx="48">
                  <c:v>9</c:v>
                </c:pt>
                <c:pt idx="49">
                  <c:v>8</c:v>
                </c:pt>
                <c:pt idx="50">
                  <c:v>13</c:v>
                </c:pt>
                <c:pt idx="51">
                  <c:v>6</c:v>
                </c:pt>
                <c:pt idx="52">
                  <c:v>15</c:v>
                </c:pt>
                <c:pt idx="53">
                  <c:v>9</c:v>
                </c:pt>
                <c:pt idx="54">
                  <c:v>6</c:v>
                </c:pt>
                <c:pt idx="55">
                  <c:v>11</c:v>
                </c:pt>
                <c:pt idx="56">
                  <c:v>7</c:v>
                </c:pt>
                <c:pt idx="57">
                  <c:v>4</c:v>
                </c:pt>
                <c:pt idx="58">
                  <c:v>7</c:v>
                </c:pt>
                <c:pt idx="59">
                  <c:v>12</c:v>
                </c:pt>
                <c:pt idx="60">
                  <c:v>7</c:v>
                </c:pt>
                <c:pt idx="61">
                  <c:v>17</c:v>
                </c:pt>
                <c:pt idx="62">
                  <c:v>10</c:v>
                </c:pt>
                <c:pt idx="63">
                  <c:v>3</c:v>
                </c:pt>
                <c:pt idx="64">
                  <c:v>6</c:v>
                </c:pt>
                <c:pt idx="65">
                  <c:v>4</c:v>
                </c:pt>
                <c:pt idx="66">
                  <c:v>11</c:v>
                </c:pt>
                <c:pt idx="67">
                  <c:v>7</c:v>
                </c:pt>
                <c:pt idx="68">
                  <c:v>13</c:v>
                </c:pt>
                <c:pt idx="6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51-4F8C-BA0F-4E45253959A9}"/>
            </c:ext>
          </c:extLst>
        </c:ser>
        <c:ser>
          <c:idx val="5"/>
          <c:order val="5"/>
          <c:tx>
            <c:strRef>
              <c:f>'Competence Gap Analysis'!$G$3</c:f>
              <c:strCache>
                <c:ptCount val="1"/>
                <c:pt idx="0">
                  <c:v>Sum of 1 points surplus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'Competence Gap Analysis'!$A$4:$A$79</c:f>
              <c:multiLvlStrCache>
                <c:ptCount val="70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Digital Forensics</c:v>
                  </c:pt>
                  <c:pt idx="18">
                    <c:v>Penetration testing</c:v>
                  </c:pt>
                  <c:pt idx="19">
                    <c:v>Security Operations</c:v>
                  </c:pt>
                  <c:pt idx="20">
                    <c:v>Threat Intelligence</c:v>
                  </c:pt>
                  <c:pt idx="21">
                    <c:v>Vulnerability assessment</c:v>
                  </c:pt>
                  <c:pt idx="22">
                    <c:v>Vulnerability Research</c:v>
                  </c:pt>
                  <c:pt idx="23">
                    <c:v>Availability Management</c:v>
                  </c:pt>
                  <c:pt idx="24">
                    <c:v>Capacity management</c:v>
                  </c:pt>
                  <c:pt idx="25">
                    <c:v>Configuration Management</c:v>
                  </c:pt>
                  <c:pt idx="26">
                    <c:v>Continuity Management</c:v>
                  </c:pt>
                  <c:pt idx="27">
                    <c:v>Demand Management</c:v>
                  </c:pt>
                  <c:pt idx="28">
                    <c:v>Acceptance testing</c:v>
                  </c:pt>
                  <c:pt idx="29">
                    <c:v>Application support</c:v>
                  </c:pt>
                  <c:pt idx="30">
                    <c:v>Audio Visual</c:v>
                  </c:pt>
                  <c:pt idx="31">
                    <c:v>Augmented Reality</c:v>
                  </c:pt>
                  <c:pt idx="32">
                    <c:v>Data Engineering</c:v>
                  </c:pt>
                  <c:pt idx="33">
                    <c:v>Data Management</c:v>
                  </c:pt>
                  <c:pt idx="34">
                    <c:v>Data Modelling and Design</c:v>
                  </c:pt>
                  <c:pt idx="35">
                    <c:v>Data science</c:v>
                  </c:pt>
                  <c:pt idx="36">
                    <c:v>Data visualisation</c:v>
                  </c:pt>
                  <c:pt idx="37">
                    <c:v>Database Administration</c:v>
                  </c:pt>
                  <c:pt idx="38">
                    <c:v>Database Design</c:v>
                  </c:pt>
                  <c:pt idx="39">
                    <c:v>Emerging technology monitoring</c:v>
                  </c:pt>
                  <c:pt idx="40">
                    <c:v>Hardware design</c:v>
                  </c:pt>
                  <c:pt idx="41">
                    <c:v>High Performance Computing</c:v>
                  </c:pt>
                  <c:pt idx="42">
                    <c:v>Information assurance</c:v>
                  </c:pt>
                  <c:pt idx="43">
                    <c:v>Information management</c:v>
                  </c:pt>
                  <c:pt idx="44">
                    <c:v>Infrastructure</c:v>
                  </c:pt>
                  <c:pt idx="45">
                    <c:v>Innovation</c:v>
                  </c:pt>
                  <c:pt idx="46">
                    <c:v>Knowledge management</c:v>
                  </c:pt>
                  <c:pt idx="47">
                    <c:v>Methods and tools</c:v>
                  </c:pt>
                  <c:pt idx="48">
                    <c:v>Network Analytics</c:v>
                  </c:pt>
                  <c:pt idx="49">
                    <c:v>Network design</c:v>
                  </c:pt>
                  <c:pt idx="50">
                    <c:v>Network support</c:v>
                  </c:pt>
                  <c:pt idx="51">
                    <c:v>Programming/software development</c:v>
                  </c:pt>
                  <c:pt idx="52">
                    <c:v>Real-time/embedded systems development</c:v>
                  </c:pt>
                  <c:pt idx="53">
                    <c:v>Release and deployment</c:v>
                  </c:pt>
                  <c:pt idx="54">
                    <c:v>Requirements definition and management</c:v>
                  </c:pt>
                  <c:pt idx="55">
                    <c:v>Research Computing</c:v>
                  </c:pt>
                  <c:pt idx="56">
                    <c:v>Service acceptance</c:v>
                  </c:pt>
                  <c:pt idx="57">
                    <c:v>Software configuration</c:v>
                  </c:pt>
                  <c:pt idx="58">
                    <c:v>Software design</c:v>
                  </c:pt>
                  <c:pt idx="59">
                    <c:v>Solution architecture</c:v>
                  </c:pt>
                  <c:pt idx="60">
                    <c:v>Specialist Advice</c:v>
                  </c:pt>
                  <c:pt idx="61">
                    <c:v>Stakeholder relationship management</c:v>
                  </c:pt>
                  <c:pt idx="62">
                    <c:v>Storage management</c:v>
                  </c:pt>
                  <c:pt idx="63">
                    <c:v>System software</c:v>
                  </c:pt>
                  <c:pt idx="64">
                    <c:v>Systems and software life cycle engineering</c:v>
                  </c:pt>
                  <c:pt idx="65">
                    <c:v>Systems design</c:v>
                  </c:pt>
                  <c:pt idx="66">
                    <c:v>Systems development management</c:v>
                  </c:pt>
                  <c:pt idx="67">
                    <c:v>Systems installation and removal</c:v>
                  </c:pt>
                  <c:pt idx="68">
                    <c:v>Systems integration and build</c:v>
                  </c:pt>
                  <c:pt idx="69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</c:v>
                  </c:pt>
                  <c:pt idx="17">
                    <c:v>Security</c:v>
                  </c:pt>
                  <c:pt idx="23">
                    <c:v>Service</c:v>
                  </c:pt>
                  <c:pt idx="28">
                    <c:v>Technical</c:v>
                  </c:pt>
                </c:lvl>
              </c:multiLvlStrCache>
            </c:multiLvlStrRef>
          </c:cat>
          <c:val>
            <c:numRef>
              <c:f>'Competence Gap Analysis'!$G$4:$G$79</c:f>
              <c:numCache>
                <c:formatCode>General</c:formatCode>
                <c:ptCount val="70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14</c:v>
                </c:pt>
                <c:pt idx="4">
                  <c:v>1</c:v>
                </c:pt>
                <c:pt idx="5">
                  <c:v>4</c:v>
                </c:pt>
                <c:pt idx="6">
                  <c:v>9</c:v>
                </c:pt>
                <c:pt idx="7">
                  <c:v>12</c:v>
                </c:pt>
                <c:pt idx="8">
                  <c:v>7</c:v>
                </c:pt>
                <c:pt idx="9">
                  <c:v>2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11</c:v>
                </c:pt>
                <c:pt idx="18">
                  <c:v>9</c:v>
                </c:pt>
                <c:pt idx="19">
                  <c:v>3</c:v>
                </c:pt>
                <c:pt idx="20">
                  <c:v>9</c:v>
                </c:pt>
                <c:pt idx="21">
                  <c:v>2</c:v>
                </c:pt>
                <c:pt idx="22">
                  <c:v>16</c:v>
                </c:pt>
                <c:pt idx="23">
                  <c:v>7</c:v>
                </c:pt>
                <c:pt idx="24">
                  <c:v>5</c:v>
                </c:pt>
                <c:pt idx="25">
                  <c:v>8</c:v>
                </c:pt>
                <c:pt idx="26">
                  <c:v>2</c:v>
                </c:pt>
                <c:pt idx="27">
                  <c:v>5</c:v>
                </c:pt>
                <c:pt idx="28">
                  <c:v>8</c:v>
                </c:pt>
                <c:pt idx="29">
                  <c:v>6</c:v>
                </c:pt>
                <c:pt idx="30">
                  <c:v>10</c:v>
                </c:pt>
                <c:pt idx="31">
                  <c:v>15</c:v>
                </c:pt>
                <c:pt idx="32">
                  <c:v>10</c:v>
                </c:pt>
                <c:pt idx="33">
                  <c:v>11</c:v>
                </c:pt>
                <c:pt idx="34">
                  <c:v>11</c:v>
                </c:pt>
                <c:pt idx="35">
                  <c:v>9</c:v>
                </c:pt>
                <c:pt idx="36">
                  <c:v>14</c:v>
                </c:pt>
                <c:pt idx="37">
                  <c:v>10</c:v>
                </c:pt>
                <c:pt idx="38">
                  <c:v>11</c:v>
                </c:pt>
                <c:pt idx="39">
                  <c:v>11</c:v>
                </c:pt>
                <c:pt idx="40">
                  <c:v>8</c:v>
                </c:pt>
                <c:pt idx="41">
                  <c:v>5</c:v>
                </c:pt>
                <c:pt idx="42">
                  <c:v>3</c:v>
                </c:pt>
                <c:pt idx="43">
                  <c:v>1</c:v>
                </c:pt>
                <c:pt idx="44">
                  <c:v>6</c:v>
                </c:pt>
                <c:pt idx="45">
                  <c:v>3</c:v>
                </c:pt>
                <c:pt idx="46">
                  <c:v>5</c:v>
                </c:pt>
                <c:pt idx="47">
                  <c:v>5</c:v>
                </c:pt>
                <c:pt idx="48">
                  <c:v>6</c:v>
                </c:pt>
                <c:pt idx="49">
                  <c:v>3</c:v>
                </c:pt>
                <c:pt idx="50">
                  <c:v>7</c:v>
                </c:pt>
                <c:pt idx="51">
                  <c:v>12</c:v>
                </c:pt>
                <c:pt idx="52">
                  <c:v>10</c:v>
                </c:pt>
                <c:pt idx="53">
                  <c:v>6</c:v>
                </c:pt>
                <c:pt idx="54">
                  <c:v>10</c:v>
                </c:pt>
                <c:pt idx="55">
                  <c:v>7</c:v>
                </c:pt>
                <c:pt idx="56">
                  <c:v>4</c:v>
                </c:pt>
                <c:pt idx="57">
                  <c:v>7</c:v>
                </c:pt>
                <c:pt idx="58">
                  <c:v>15</c:v>
                </c:pt>
                <c:pt idx="59">
                  <c:v>7</c:v>
                </c:pt>
                <c:pt idx="60">
                  <c:v>8</c:v>
                </c:pt>
                <c:pt idx="61">
                  <c:v>2</c:v>
                </c:pt>
                <c:pt idx="62">
                  <c:v>7</c:v>
                </c:pt>
                <c:pt idx="63">
                  <c:v>6</c:v>
                </c:pt>
                <c:pt idx="64">
                  <c:v>11</c:v>
                </c:pt>
                <c:pt idx="65">
                  <c:v>10</c:v>
                </c:pt>
                <c:pt idx="66">
                  <c:v>9</c:v>
                </c:pt>
                <c:pt idx="67">
                  <c:v>11</c:v>
                </c:pt>
                <c:pt idx="68">
                  <c:v>2</c:v>
                </c:pt>
                <c:pt idx="6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51-4F8C-BA0F-4E45253959A9}"/>
            </c:ext>
          </c:extLst>
        </c:ser>
        <c:ser>
          <c:idx val="6"/>
          <c:order val="6"/>
          <c:tx>
            <c:strRef>
              <c:f>'Competence Gap Analysis'!$H$3</c:f>
              <c:strCache>
                <c:ptCount val="1"/>
                <c:pt idx="0">
                  <c:v>Sum of 2 points surplus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'Competence Gap Analysis'!$A$4:$A$79</c:f>
              <c:multiLvlStrCache>
                <c:ptCount val="70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Digital Forensics</c:v>
                  </c:pt>
                  <c:pt idx="18">
                    <c:v>Penetration testing</c:v>
                  </c:pt>
                  <c:pt idx="19">
                    <c:v>Security Operations</c:v>
                  </c:pt>
                  <c:pt idx="20">
                    <c:v>Threat Intelligence</c:v>
                  </c:pt>
                  <c:pt idx="21">
                    <c:v>Vulnerability assessment</c:v>
                  </c:pt>
                  <c:pt idx="22">
                    <c:v>Vulnerability Research</c:v>
                  </c:pt>
                  <c:pt idx="23">
                    <c:v>Availability Management</c:v>
                  </c:pt>
                  <c:pt idx="24">
                    <c:v>Capacity management</c:v>
                  </c:pt>
                  <c:pt idx="25">
                    <c:v>Configuration Management</c:v>
                  </c:pt>
                  <c:pt idx="26">
                    <c:v>Continuity Management</c:v>
                  </c:pt>
                  <c:pt idx="27">
                    <c:v>Demand Management</c:v>
                  </c:pt>
                  <c:pt idx="28">
                    <c:v>Acceptance testing</c:v>
                  </c:pt>
                  <c:pt idx="29">
                    <c:v>Application support</c:v>
                  </c:pt>
                  <c:pt idx="30">
                    <c:v>Audio Visual</c:v>
                  </c:pt>
                  <c:pt idx="31">
                    <c:v>Augmented Reality</c:v>
                  </c:pt>
                  <c:pt idx="32">
                    <c:v>Data Engineering</c:v>
                  </c:pt>
                  <c:pt idx="33">
                    <c:v>Data Management</c:v>
                  </c:pt>
                  <c:pt idx="34">
                    <c:v>Data Modelling and Design</c:v>
                  </c:pt>
                  <c:pt idx="35">
                    <c:v>Data science</c:v>
                  </c:pt>
                  <c:pt idx="36">
                    <c:v>Data visualisation</c:v>
                  </c:pt>
                  <c:pt idx="37">
                    <c:v>Database Administration</c:v>
                  </c:pt>
                  <c:pt idx="38">
                    <c:v>Database Design</c:v>
                  </c:pt>
                  <c:pt idx="39">
                    <c:v>Emerging technology monitoring</c:v>
                  </c:pt>
                  <c:pt idx="40">
                    <c:v>Hardware design</c:v>
                  </c:pt>
                  <c:pt idx="41">
                    <c:v>High Performance Computing</c:v>
                  </c:pt>
                  <c:pt idx="42">
                    <c:v>Information assurance</c:v>
                  </c:pt>
                  <c:pt idx="43">
                    <c:v>Information management</c:v>
                  </c:pt>
                  <c:pt idx="44">
                    <c:v>Infrastructure</c:v>
                  </c:pt>
                  <c:pt idx="45">
                    <c:v>Innovation</c:v>
                  </c:pt>
                  <c:pt idx="46">
                    <c:v>Knowledge management</c:v>
                  </c:pt>
                  <c:pt idx="47">
                    <c:v>Methods and tools</c:v>
                  </c:pt>
                  <c:pt idx="48">
                    <c:v>Network Analytics</c:v>
                  </c:pt>
                  <c:pt idx="49">
                    <c:v>Network design</c:v>
                  </c:pt>
                  <c:pt idx="50">
                    <c:v>Network support</c:v>
                  </c:pt>
                  <c:pt idx="51">
                    <c:v>Programming/software development</c:v>
                  </c:pt>
                  <c:pt idx="52">
                    <c:v>Real-time/embedded systems development</c:v>
                  </c:pt>
                  <c:pt idx="53">
                    <c:v>Release and deployment</c:v>
                  </c:pt>
                  <c:pt idx="54">
                    <c:v>Requirements definition and management</c:v>
                  </c:pt>
                  <c:pt idx="55">
                    <c:v>Research Computing</c:v>
                  </c:pt>
                  <c:pt idx="56">
                    <c:v>Service acceptance</c:v>
                  </c:pt>
                  <c:pt idx="57">
                    <c:v>Software configuration</c:v>
                  </c:pt>
                  <c:pt idx="58">
                    <c:v>Software design</c:v>
                  </c:pt>
                  <c:pt idx="59">
                    <c:v>Solution architecture</c:v>
                  </c:pt>
                  <c:pt idx="60">
                    <c:v>Specialist Advice</c:v>
                  </c:pt>
                  <c:pt idx="61">
                    <c:v>Stakeholder relationship management</c:v>
                  </c:pt>
                  <c:pt idx="62">
                    <c:v>Storage management</c:v>
                  </c:pt>
                  <c:pt idx="63">
                    <c:v>System software</c:v>
                  </c:pt>
                  <c:pt idx="64">
                    <c:v>Systems and software life cycle engineering</c:v>
                  </c:pt>
                  <c:pt idx="65">
                    <c:v>Systems design</c:v>
                  </c:pt>
                  <c:pt idx="66">
                    <c:v>Systems development management</c:v>
                  </c:pt>
                  <c:pt idx="67">
                    <c:v>Systems installation and removal</c:v>
                  </c:pt>
                  <c:pt idx="68">
                    <c:v>Systems integration and build</c:v>
                  </c:pt>
                  <c:pt idx="69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</c:v>
                  </c:pt>
                  <c:pt idx="17">
                    <c:v>Security</c:v>
                  </c:pt>
                  <c:pt idx="23">
                    <c:v>Service</c:v>
                  </c:pt>
                  <c:pt idx="28">
                    <c:v>Technical</c:v>
                  </c:pt>
                </c:lvl>
              </c:multiLvlStrCache>
            </c:multiLvlStrRef>
          </c:cat>
          <c:val>
            <c:numRef>
              <c:f>'Competence Gap Analysis'!$H$4:$H$79</c:f>
              <c:numCache>
                <c:formatCode>General</c:formatCode>
                <c:ptCount val="7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6</c:v>
                </c:pt>
                <c:pt idx="15">
                  <c:v>1</c:v>
                </c:pt>
                <c:pt idx="16">
                  <c:v>3</c:v>
                </c:pt>
                <c:pt idx="17">
                  <c:v>7</c:v>
                </c:pt>
                <c:pt idx="18">
                  <c:v>3</c:v>
                </c:pt>
                <c:pt idx="19">
                  <c:v>0</c:v>
                </c:pt>
                <c:pt idx="20">
                  <c:v>5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10</c:v>
                </c:pt>
                <c:pt idx="25">
                  <c:v>2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9</c:v>
                </c:pt>
                <c:pt idx="30">
                  <c:v>11</c:v>
                </c:pt>
                <c:pt idx="31">
                  <c:v>2</c:v>
                </c:pt>
                <c:pt idx="32">
                  <c:v>4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3</c:v>
                </c:pt>
                <c:pt idx="38">
                  <c:v>5</c:v>
                </c:pt>
                <c:pt idx="39">
                  <c:v>6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1</c:v>
                </c:pt>
                <c:pt idx="47">
                  <c:v>2</c:v>
                </c:pt>
                <c:pt idx="48">
                  <c:v>6</c:v>
                </c:pt>
                <c:pt idx="49">
                  <c:v>5</c:v>
                </c:pt>
                <c:pt idx="50">
                  <c:v>2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4</c:v>
                </c:pt>
                <c:pt idx="57">
                  <c:v>10</c:v>
                </c:pt>
                <c:pt idx="58">
                  <c:v>2</c:v>
                </c:pt>
                <c:pt idx="59">
                  <c:v>0</c:v>
                </c:pt>
                <c:pt idx="60">
                  <c:v>3</c:v>
                </c:pt>
                <c:pt idx="61">
                  <c:v>0</c:v>
                </c:pt>
                <c:pt idx="62">
                  <c:v>4</c:v>
                </c:pt>
                <c:pt idx="63">
                  <c:v>7</c:v>
                </c:pt>
                <c:pt idx="64">
                  <c:v>6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3</c:v>
                </c:pt>
                <c:pt idx="6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51-4F8C-BA0F-4E45253959A9}"/>
            </c:ext>
          </c:extLst>
        </c:ser>
        <c:ser>
          <c:idx val="7"/>
          <c:order val="7"/>
          <c:tx>
            <c:strRef>
              <c:f>'Competence Gap Analysis'!$I$3</c:f>
              <c:strCache>
                <c:ptCount val="1"/>
                <c:pt idx="0">
                  <c:v>Sum of 3 points surplus</c:v>
                </c:pt>
              </c:strCache>
            </c:strRef>
          </c:tx>
          <c:spPr>
            <a:solidFill>
              <a:srgbClr val="00B05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'Competence Gap Analysis'!$A$4:$A$79</c:f>
              <c:multiLvlStrCache>
                <c:ptCount val="70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Digital Forensics</c:v>
                  </c:pt>
                  <c:pt idx="18">
                    <c:v>Penetration testing</c:v>
                  </c:pt>
                  <c:pt idx="19">
                    <c:v>Security Operations</c:v>
                  </c:pt>
                  <c:pt idx="20">
                    <c:v>Threat Intelligence</c:v>
                  </c:pt>
                  <c:pt idx="21">
                    <c:v>Vulnerability assessment</c:v>
                  </c:pt>
                  <c:pt idx="22">
                    <c:v>Vulnerability Research</c:v>
                  </c:pt>
                  <c:pt idx="23">
                    <c:v>Availability Management</c:v>
                  </c:pt>
                  <c:pt idx="24">
                    <c:v>Capacity management</c:v>
                  </c:pt>
                  <c:pt idx="25">
                    <c:v>Configuration Management</c:v>
                  </c:pt>
                  <c:pt idx="26">
                    <c:v>Continuity Management</c:v>
                  </c:pt>
                  <c:pt idx="27">
                    <c:v>Demand Management</c:v>
                  </c:pt>
                  <c:pt idx="28">
                    <c:v>Acceptance testing</c:v>
                  </c:pt>
                  <c:pt idx="29">
                    <c:v>Application support</c:v>
                  </c:pt>
                  <c:pt idx="30">
                    <c:v>Audio Visual</c:v>
                  </c:pt>
                  <c:pt idx="31">
                    <c:v>Augmented Reality</c:v>
                  </c:pt>
                  <c:pt idx="32">
                    <c:v>Data Engineering</c:v>
                  </c:pt>
                  <c:pt idx="33">
                    <c:v>Data Management</c:v>
                  </c:pt>
                  <c:pt idx="34">
                    <c:v>Data Modelling and Design</c:v>
                  </c:pt>
                  <c:pt idx="35">
                    <c:v>Data science</c:v>
                  </c:pt>
                  <c:pt idx="36">
                    <c:v>Data visualisation</c:v>
                  </c:pt>
                  <c:pt idx="37">
                    <c:v>Database Administration</c:v>
                  </c:pt>
                  <c:pt idx="38">
                    <c:v>Database Design</c:v>
                  </c:pt>
                  <c:pt idx="39">
                    <c:v>Emerging technology monitoring</c:v>
                  </c:pt>
                  <c:pt idx="40">
                    <c:v>Hardware design</c:v>
                  </c:pt>
                  <c:pt idx="41">
                    <c:v>High Performance Computing</c:v>
                  </c:pt>
                  <c:pt idx="42">
                    <c:v>Information assurance</c:v>
                  </c:pt>
                  <c:pt idx="43">
                    <c:v>Information management</c:v>
                  </c:pt>
                  <c:pt idx="44">
                    <c:v>Infrastructure</c:v>
                  </c:pt>
                  <c:pt idx="45">
                    <c:v>Innovation</c:v>
                  </c:pt>
                  <c:pt idx="46">
                    <c:v>Knowledge management</c:v>
                  </c:pt>
                  <c:pt idx="47">
                    <c:v>Methods and tools</c:v>
                  </c:pt>
                  <c:pt idx="48">
                    <c:v>Network Analytics</c:v>
                  </c:pt>
                  <c:pt idx="49">
                    <c:v>Network design</c:v>
                  </c:pt>
                  <c:pt idx="50">
                    <c:v>Network support</c:v>
                  </c:pt>
                  <c:pt idx="51">
                    <c:v>Programming/software development</c:v>
                  </c:pt>
                  <c:pt idx="52">
                    <c:v>Real-time/embedded systems development</c:v>
                  </c:pt>
                  <c:pt idx="53">
                    <c:v>Release and deployment</c:v>
                  </c:pt>
                  <c:pt idx="54">
                    <c:v>Requirements definition and management</c:v>
                  </c:pt>
                  <c:pt idx="55">
                    <c:v>Research Computing</c:v>
                  </c:pt>
                  <c:pt idx="56">
                    <c:v>Service acceptance</c:v>
                  </c:pt>
                  <c:pt idx="57">
                    <c:v>Software configuration</c:v>
                  </c:pt>
                  <c:pt idx="58">
                    <c:v>Software design</c:v>
                  </c:pt>
                  <c:pt idx="59">
                    <c:v>Solution architecture</c:v>
                  </c:pt>
                  <c:pt idx="60">
                    <c:v>Specialist Advice</c:v>
                  </c:pt>
                  <c:pt idx="61">
                    <c:v>Stakeholder relationship management</c:v>
                  </c:pt>
                  <c:pt idx="62">
                    <c:v>Storage management</c:v>
                  </c:pt>
                  <c:pt idx="63">
                    <c:v>System software</c:v>
                  </c:pt>
                  <c:pt idx="64">
                    <c:v>Systems and software life cycle engineering</c:v>
                  </c:pt>
                  <c:pt idx="65">
                    <c:v>Systems design</c:v>
                  </c:pt>
                  <c:pt idx="66">
                    <c:v>Systems development management</c:v>
                  </c:pt>
                  <c:pt idx="67">
                    <c:v>Systems installation and removal</c:v>
                  </c:pt>
                  <c:pt idx="68">
                    <c:v>Systems integration and build</c:v>
                  </c:pt>
                  <c:pt idx="69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</c:v>
                  </c:pt>
                  <c:pt idx="17">
                    <c:v>Security</c:v>
                  </c:pt>
                  <c:pt idx="23">
                    <c:v>Service</c:v>
                  </c:pt>
                  <c:pt idx="28">
                    <c:v>Technical</c:v>
                  </c:pt>
                </c:lvl>
              </c:multiLvlStrCache>
            </c:multiLvlStrRef>
          </c:cat>
          <c:val>
            <c:numRef>
              <c:f>'Competence Gap Analysis'!$I$4:$I$79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6</c:v>
                </c:pt>
                <c:pt idx="34">
                  <c:v>3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6</c:v>
                </c:pt>
                <c:pt idx="39">
                  <c:v>4</c:v>
                </c:pt>
                <c:pt idx="40">
                  <c:v>3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3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0</c:v>
                </c:pt>
                <c:pt idx="51">
                  <c:v>3</c:v>
                </c:pt>
                <c:pt idx="52">
                  <c:v>0</c:v>
                </c:pt>
                <c:pt idx="53">
                  <c:v>1</c:v>
                </c:pt>
                <c:pt idx="54">
                  <c:v>4</c:v>
                </c:pt>
                <c:pt idx="55">
                  <c:v>1</c:v>
                </c:pt>
                <c:pt idx="56">
                  <c:v>0</c:v>
                </c:pt>
                <c:pt idx="57">
                  <c:v>5</c:v>
                </c:pt>
                <c:pt idx="58">
                  <c:v>2</c:v>
                </c:pt>
                <c:pt idx="59">
                  <c:v>0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4</c:v>
                </c:pt>
                <c:pt idx="64">
                  <c:v>2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1-4043-BAE5-2A602BD6A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338704"/>
        <c:axId val="768431232"/>
      </c:barChart>
      <c:catAx>
        <c:axId val="130333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31232"/>
        <c:crosses val="autoZero"/>
        <c:auto val="1"/>
        <c:lblAlgn val="ctr"/>
        <c:lblOffset val="100"/>
        <c:noMultiLvlLbl val="0"/>
      </c:catAx>
      <c:valAx>
        <c:axId val="7684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[CoSE IT Training Modeller 2026 v2 Anon.xlsx]High Skill Analysis!PivotTable8</c:name>
    <c:fmtId val="1"/>
  </c:pivotSource>
  <c:chart>
    <c:autoTitleDeleted val="0"/>
    <c:pivotFmts>
      <c:pivotFmt>
        <c:idx val="0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'High Skill Analysis'!$H$2</c:f>
              <c:strCache>
                <c:ptCount val="1"/>
                <c:pt idx="0">
                  <c:v>Sum of Expert</c:v>
                </c:pt>
              </c:strCache>
            </c:strRef>
          </c:tx>
          <c:spPr>
            <a:solidFill>
              <a:srgbClr val="7030A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'High Skill Analysis'!$G$3:$G$96</c:f>
              <c:multiLvlStrCache>
                <c:ptCount val="87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Audit</c:v>
                  </c:pt>
                  <c:pt idx="18">
                    <c:v>Competency assessment</c:v>
                  </c:pt>
                  <c:pt idx="19">
                    <c:v>Contract management</c:v>
                  </c:pt>
                  <c:pt idx="20">
                    <c:v>Feasibility assessment</c:v>
                  </c:pt>
                  <c:pt idx="21">
                    <c:v>Financial management</c:v>
                  </c:pt>
                  <c:pt idx="22">
                    <c:v>Governance</c:v>
                  </c:pt>
                  <c:pt idx="23">
                    <c:v>Organisation design and implementation</c:v>
                  </c:pt>
                  <c:pt idx="24">
                    <c:v>Organisational capability development</c:v>
                  </c:pt>
                  <c:pt idx="25">
                    <c:v>Organisational change management</c:v>
                  </c:pt>
                  <c:pt idx="26">
                    <c:v>Performance Management</c:v>
                  </c:pt>
                  <c:pt idx="27">
                    <c:v>Professional Development</c:v>
                  </c:pt>
                  <c:pt idx="28">
                    <c:v>Risk management</c:v>
                  </c:pt>
                  <c:pt idx="29">
                    <c:v>Sourcing</c:v>
                  </c:pt>
                  <c:pt idx="30">
                    <c:v>Strategic Planning</c:v>
                  </c:pt>
                  <c:pt idx="31">
                    <c:v>Supplier management</c:v>
                  </c:pt>
                  <c:pt idx="32">
                    <c:v>Sustainability</c:v>
                  </c:pt>
                  <c:pt idx="33">
                    <c:v>Workforce Planning</c:v>
                  </c:pt>
                  <c:pt idx="34">
                    <c:v>Digital Forensics</c:v>
                  </c:pt>
                  <c:pt idx="35">
                    <c:v>Penetration testing</c:v>
                  </c:pt>
                  <c:pt idx="36">
                    <c:v>Security Operations</c:v>
                  </c:pt>
                  <c:pt idx="37">
                    <c:v>Threat Intelligence</c:v>
                  </c:pt>
                  <c:pt idx="38">
                    <c:v>Vulnerability assessment</c:v>
                  </c:pt>
                  <c:pt idx="39">
                    <c:v>Vulnerability Research</c:v>
                  </c:pt>
                  <c:pt idx="40">
                    <c:v>Availability Management</c:v>
                  </c:pt>
                  <c:pt idx="41">
                    <c:v>Capacity management</c:v>
                  </c:pt>
                  <c:pt idx="42">
                    <c:v>Configuration Management</c:v>
                  </c:pt>
                  <c:pt idx="43">
                    <c:v>Continuity Management</c:v>
                  </c:pt>
                  <c:pt idx="44">
                    <c:v>Demand Management</c:v>
                  </c:pt>
                  <c:pt idx="45">
                    <c:v>Acceptance testing</c:v>
                  </c:pt>
                  <c:pt idx="46">
                    <c:v>Application support</c:v>
                  </c:pt>
                  <c:pt idx="47">
                    <c:v>Audio Visual</c:v>
                  </c:pt>
                  <c:pt idx="48">
                    <c:v>Augmented Reality</c:v>
                  </c:pt>
                  <c:pt idx="49">
                    <c:v>Data Engineering</c:v>
                  </c:pt>
                  <c:pt idx="50">
                    <c:v>Data Management</c:v>
                  </c:pt>
                  <c:pt idx="51">
                    <c:v>Data Modelling and Design</c:v>
                  </c:pt>
                  <c:pt idx="52">
                    <c:v>Data science</c:v>
                  </c:pt>
                  <c:pt idx="53">
                    <c:v>Data visualisation</c:v>
                  </c:pt>
                  <c:pt idx="54">
                    <c:v>Database Administration</c:v>
                  </c:pt>
                  <c:pt idx="55">
                    <c:v>Database Design</c:v>
                  </c:pt>
                  <c:pt idx="56">
                    <c:v>Emerging technology monitoring</c:v>
                  </c:pt>
                  <c:pt idx="57">
                    <c:v>Hardware design</c:v>
                  </c:pt>
                  <c:pt idx="58">
                    <c:v>High Performance Computing</c:v>
                  </c:pt>
                  <c:pt idx="59">
                    <c:v>Information assurance</c:v>
                  </c:pt>
                  <c:pt idx="60">
                    <c:v>Information management</c:v>
                  </c:pt>
                  <c:pt idx="61">
                    <c:v>Infrastructure</c:v>
                  </c:pt>
                  <c:pt idx="62">
                    <c:v>Innovation</c:v>
                  </c:pt>
                  <c:pt idx="63">
                    <c:v>Knowledge management</c:v>
                  </c:pt>
                  <c:pt idx="64">
                    <c:v>Methods and tools</c:v>
                  </c:pt>
                  <c:pt idx="65">
                    <c:v>Network Analytics</c:v>
                  </c:pt>
                  <c:pt idx="66">
                    <c:v>Network design</c:v>
                  </c:pt>
                  <c:pt idx="67">
                    <c:v>Network support</c:v>
                  </c:pt>
                  <c:pt idx="68">
                    <c:v>Programming/software development</c:v>
                  </c:pt>
                  <c:pt idx="69">
                    <c:v>Real-time/embedded systems development</c:v>
                  </c:pt>
                  <c:pt idx="70">
                    <c:v>Release and deployment</c:v>
                  </c:pt>
                  <c:pt idx="71">
                    <c:v>Requirements definition and management</c:v>
                  </c:pt>
                  <c:pt idx="72">
                    <c:v>Research Computing</c:v>
                  </c:pt>
                  <c:pt idx="73">
                    <c:v>Service acceptance</c:v>
                  </c:pt>
                  <c:pt idx="74">
                    <c:v>Software configuration</c:v>
                  </c:pt>
                  <c:pt idx="75">
                    <c:v>Software design</c:v>
                  </c:pt>
                  <c:pt idx="76">
                    <c:v>Solution architecture</c:v>
                  </c:pt>
                  <c:pt idx="77">
                    <c:v>Specialist Advice</c:v>
                  </c:pt>
                  <c:pt idx="78">
                    <c:v>Stakeholder relationship management</c:v>
                  </c:pt>
                  <c:pt idx="79">
                    <c:v>Storage management</c:v>
                  </c:pt>
                  <c:pt idx="80">
                    <c:v>System software</c:v>
                  </c:pt>
                  <c:pt idx="81">
                    <c:v>Systems and software life cycle engineering</c:v>
                  </c:pt>
                  <c:pt idx="82">
                    <c:v>Systems design</c:v>
                  </c:pt>
                  <c:pt idx="83">
                    <c:v>Systems development management</c:v>
                  </c:pt>
                  <c:pt idx="84">
                    <c:v>Systems installation and removal</c:v>
                  </c:pt>
                  <c:pt idx="85">
                    <c:v>Systems integration and build</c:v>
                  </c:pt>
                  <c:pt idx="86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 </c:v>
                  </c:pt>
                  <c:pt idx="17">
                    <c:v>Management</c:v>
                  </c:pt>
                  <c:pt idx="34">
                    <c:v>Security</c:v>
                  </c:pt>
                  <c:pt idx="40">
                    <c:v>Service</c:v>
                  </c:pt>
                  <c:pt idx="45">
                    <c:v>Technical </c:v>
                  </c:pt>
                </c:lvl>
              </c:multiLvlStrCache>
            </c:multiLvlStrRef>
          </c:cat>
          <c:val>
            <c:numRef>
              <c:f>'High Skill Analysis'!$H$3:$H$96</c:f>
              <c:numCache>
                <c:formatCode>General</c:formatCode>
                <c:ptCount val="87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0</c:v>
                </c:pt>
                <c:pt idx="46">
                  <c:v>5</c:v>
                </c:pt>
                <c:pt idx="47">
                  <c:v>3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1</c:v>
                </c:pt>
                <c:pt idx="61">
                  <c:v>5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3</c:v>
                </c:pt>
                <c:pt idx="71">
                  <c:v>0</c:v>
                </c:pt>
                <c:pt idx="72">
                  <c:v>4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7</c:v>
                </c:pt>
                <c:pt idx="78">
                  <c:v>2</c:v>
                </c:pt>
                <c:pt idx="79">
                  <c:v>2</c:v>
                </c:pt>
                <c:pt idx="80">
                  <c:v>5</c:v>
                </c:pt>
                <c:pt idx="81">
                  <c:v>0</c:v>
                </c:pt>
                <c:pt idx="82">
                  <c:v>2</c:v>
                </c:pt>
                <c:pt idx="83">
                  <c:v>1</c:v>
                </c:pt>
                <c:pt idx="84">
                  <c:v>8</c:v>
                </c:pt>
                <c:pt idx="85">
                  <c:v>1</c:v>
                </c:pt>
                <c:pt idx="8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F-4F8E-8455-1B7D4B96015E}"/>
            </c:ext>
          </c:extLst>
        </c:ser>
        <c:ser>
          <c:idx val="1"/>
          <c:order val="1"/>
          <c:tx>
            <c:strRef>
              <c:f>'High Skill Analysis'!$I$2</c:f>
              <c:strCache>
                <c:ptCount val="1"/>
                <c:pt idx="0">
                  <c:v>Sum of Practicioner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multiLvlStrRef>
              <c:f>'High Skill Analysis'!$G$3:$G$96</c:f>
              <c:multiLvlStrCache>
                <c:ptCount val="87"/>
                <c:lvl>
                  <c:pt idx="0">
                    <c:v>Asset Management</c:v>
                  </c:pt>
                  <c:pt idx="1">
                    <c:v>Change Control</c:v>
                  </c:pt>
                  <c:pt idx="2">
                    <c:v>Customer Service Support</c:v>
                  </c:pt>
                  <c:pt idx="3">
                    <c:v>Incident management</c:v>
                  </c:pt>
                  <c:pt idx="4">
                    <c:v>Information security</c:v>
                  </c:pt>
                  <c:pt idx="5">
                    <c:v>Personal data protection</c:v>
                  </c:pt>
                  <c:pt idx="6">
                    <c:v>Problem management</c:v>
                  </c:pt>
                  <c:pt idx="7">
                    <c:v>Service catalogue management</c:v>
                  </c:pt>
                  <c:pt idx="8">
                    <c:v>Service level management</c:v>
                  </c:pt>
                  <c:pt idx="9">
                    <c:v>Audit</c:v>
                  </c:pt>
                  <c:pt idx="10">
                    <c:v>Contract management</c:v>
                  </c:pt>
                  <c:pt idx="11">
                    <c:v>Feasibility assessment</c:v>
                  </c:pt>
                  <c:pt idx="12">
                    <c:v>Governance</c:v>
                  </c:pt>
                  <c:pt idx="13">
                    <c:v>Risk management</c:v>
                  </c:pt>
                  <c:pt idx="14">
                    <c:v>Sourcing</c:v>
                  </c:pt>
                  <c:pt idx="15">
                    <c:v>Supplier management</c:v>
                  </c:pt>
                  <c:pt idx="16">
                    <c:v>Sustainability</c:v>
                  </c:pt>
                  <c:pt idx="17">
                    <c:v>Audit</c:v>
                  </c:pt>
                  <c:pt idx="18">
                    <c:v>Competency assessment</c:v>
                  </c:pt>
                  <c:pt idx="19">
                    <c:v>Contract management</c:v>
                  </c:pt>
                  <c:pt idx="20">
                    <c:v>Feasibility assessment</c:v>
                  </c:pt>
                  <c:pt idx="21">
                    <c:v>Financial management</c:v>
                  </c:pt>
                  <c:pt idx="22">
                    <c:v>Governance</c:v>
                  </c:pt>
                  <c:pt idx="23">
                    <c:v>Organisation design and implementation</c:v>
                  </c:pt>
                  <c:pt idx="24">
                    <c:v>Organisational capability development</c:v>
                  </c:pt>
                  <c:pt idx="25">
                    <c:v>Organisational change management</c:v>
                  </c:pt>
                  <c:pt idx="26">
                    <c:v>Performance Management</c:v>
                  </c:pt>
                  <c:pt idx="27">
                    <c:v>Professional Development</c:v>
                  </c:pt>
                  <c:pt idx="28">
                    <c:v>Risk management</c:v>
                  </c:pt>
                  <c:pt idx="29">
                    <c:v>Sourcing</c:v>
                  </c:pt>
                  <c:pt idx="30">
                    <c:v>Strategic Planning</c:v>
                  </c:pt>
                  <c:pt idx="31">
                    <c:v>Supplier management</c:v>
                  </c:pt>
                  <c:pt idx="32">
                    <c:v>Sustainability</c:v>
                  </c:pt>
                  <c:pt idx="33">
                    <c:v>Workforce Planning</c:v>
                  </c:pt>
                  <c:pt idx="34">
                    <c:v>Digital Forensics</c:v>
                  </c:pt>
                  <c:pt idx="35">
                    <c:v>Penetration testing</c:v>
                  </c:pt>
                  <c:pt idx="36">
                    <c:v>Security Operations</c:v>
                  </c:pt>
                  <c:pt idx="37">
                    <c:v>Threat Intelligence</c:v>
                  </c:pt>
                  <c:pt idx="38">
                    <c:v>Vulnerability assessment</c:v>
                  </c:pt>
                  <c:pt idx="39">
                    <c:v>Vulnerability Research</c:v>
                  </c:pt>
                  <c:pt idx="40">
                    <c:v>Availability Management</c:v>
                  </c:pt>
                  <c:pt idx="41">
                    <c:v>Capacity management</c:v>
                  </c:pt>
                  <c:pt idx="42">
                    <c:v>Configuration Management</c:v>
                  </c:pt>
                  <c:pt idx="43">
                    <c:v>Continuity Management</c:v>
                  </c:pt>
                  <c:pt idx="44">
                    <c:v>Demand Management</c:v>
                  </c:pt>
                  <c:pt idx="45">
                    <c:v>Acceptance testing</c:v>
                  </c:pt>
                  <c:pt idx="46">
                    <c:v>Application support</c:v>
                  </c:pt>
                  <c:pt idx="47">
                    <c:v>Audio Visual</c:v>
                  </c:pt>
                  <c:pt idx="48">
                    <c:v>Augmented Reality</c:v>
                  </c:pt>
                  <c:pt idx="49">
                    <c:v>Data Engineering</c:v>
                  </c:pt>
                  <c:pt idx="50">
                    <c:v>Data Management</c:v>
                  </c:pt>
                  <c:pt idx="51">
                    <c:v>Data Modelling and Design</c:v>
                  </c:pt>
                  <c:pt idx="52">
                    <c:v>Data science</c:v>
                  </c:pt>
                  <c:pt idx="53">
                    <c:v>Data visualisation</c:v>
                  </c:pt>
                  <c:pt idx="54">
                    <c:v>Database Administration</c:v>
                  </c:pt>
                  <c:pt idx="55">
                    <c:v>Database Design</c:v>
                  </c:pt>
                  <c:pt idx="56">
                    <c:v>Emerging technology monitoring</c:v>
                  </c:pt>
                  <c:pt idx="57">
                    <c:v>Hardware design</c:v>
                  </c:pt>
                  <c:pt idx="58">
                    <c:v>High Performance Computing</c:v>
                  </c:pt>
                  <c:pt idx="59">
                    <c:v>Information assurance</c:v>
                  </c:pt>
                  <c:pt idx="60">
                    <c:v>Information management</c:v>
                  </c:pt>
                  <c:pt idx="61">
                    <c:v>Infrastructure</c:v>
                  </c:pt>
                  <c:pt idx="62">
                    <c:v>Innovation</c:v>
                  </c:pt>
                  <c:pt idx="63">
                    <c:v>Knowledge management</c:v>
                  </c:pt>
                  <c:pt idx="64">
                    <c:v>Methods and tools</c:v>
                  </c:pt>
                  <c:pt idx="65">
                    <c:v>Network Analytics</c:v>
                  </c:pt>
                  <c:pt idx="66">
                    <c:v>Network design</c:v>
                  </c:pt>
                  <c:pt idx="67">
                    <c:v>Network support</c:v>
                  </c:pt>
                  <c:pt idx="68">
                    <c:v>Programming/software development</c:v>
                  </c:pt>
                  <c:pt idx="69">
                    <c:v>Real-time/embedded systems development</c:v>
                  </c:pt>
                  <c:pt idx="70">
                    <c:v>Release and deployment</c:v>
                  </c:pt>
                  <c:pt idx="71">
                    <c:v>Requirements definition and management</c:v>
                  </c:pt>
                  <c:pt idx="72">
                    <c:v>Research Computing</c:v>
                  </c:pt>
                  <c:pt idx="73">
                    <c:v>Service acceptance</c:v>
                  </c:pt>
                  <c:pt idx="74">
                    <c:v>Software configuration</c:v>
                  </c:pt>
                  <c:pt idx="75">
                    <c:v>Software design</c:v>
                  </c:pt>
                  <c:pt idx="76">
                    <c:v>Solution architecture</c:v>
                  </c:pt>
                  <c:pt idx="77">
                    <c:v>Specialist Advice</c:v>
                  </c:pt>
                  <c:pt idx="78">
                    <c:v>Stakeholder relationship management</c:v>
                  </c:pt>
                  <c:pt idx="79">
                    <c:v>Storage management</c:v>
                  </c:pt>
                  <c:pt idx="80">
                    <c:v>System software</c:v>
                  </c:pt>
                  <c:pt idx="81">
                    <c:v>Systems and software life cycle engineering</c:v>
                  </c:pt>
                  <c:pt idx="82">
                    <c:v>Systems design</c:v>
                  </c:pt>
                  <c:pt idx="83">
                    <c:v>Systems development management</c:v>
                  </c:pt>
                  <c:pt idx="84">
                    <c:v>Systems installation and removal</c:v>
                  </c:pt>
                  <c:pt idx="85">
                    <c:v>Systems integration and build</c:v>
                  </c:pt>
                  <c:pt idx="86">
                    <c:v>Testing</c:v>
                  </c:pt>
                </c:lvl>
                <c:lvl>
                  <c:pt idx="0">
                    <c:v>Core</c:v>
                  </c:pt>
                  <c:pt idx="9">
                    <c:v>Governance </c:v>
                  </c:pt>
                  <c:pt idx="17">
                    <c:v>Management</c:v>
                  </c:pt>
                  <c:pt idx="34">
                    <c:v>Security</c:v>
                  </c:pt>
                  <c:pt idx="40">
                    <c:v>Service</c:v>
                  </c:pt>
                  <c:pt idx="45">
                    <c:v>Technical </c:v>
                  </c:pt>
                </c:lvl>
              </c:multiLvlStrCache>
            </c:multiLvlStrRef>
          </c:cat>
          <c:val>
            <c:numRef>
              <c:f>'High Skill Analysis'!$I$3:$I$96</c:f>
              <c:numCache>
                <c:formatCode>General</c:formatCode>
                <c:ptCount val="87"/>
                <c:pt idx="0">
                  <c:v>12</c:v>
                </c:pt>
                <c:pt idx="1">
                  <c:v>15</c:v>
                </c:pt>
                <c:pt idx="2">
                  <c:v>15</c:v>
                </c:pt>
                <c:pt idx="3">
                  <c:v>16</c:v>
                </c:pt>
                <c:pt idx="4">
                  <c:v>13</c:v>
                </c:pt>
                <c:pt idx="5">
                  <c:v>20</c:v>
                </c:pt>
                <c:pt idx="6">
                  <c:v>15</c:v>
                </c:pt>
                <c:pt idx="7">
                  <c:v>15</c:v>
                </c:pt>
                <c:pt idx="8">
                  <c:v>10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8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4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8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2</c:v>
                </c:pt>
                <c:pt idx="36">
                  <c:v>10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8</c:v>
                </c:pt>
                <c:pt idx="41">
                  <c:v>5</c:v>
                </c:pt>
                <c:pt idx="42">
                  <c:v>10</c:v>
                </c:pt>
                <c:pt idx="43">
                  <c:v>3</c:v>
                </c:pt>
                <c:pt idx="44">
                  <c:v>2</c:v>
                </c:pt>
                <c:pt idx="45">
                  <c:v>7</c:v>
                </c:pt>
                <c:pt idx="46">
                  <c:v>9</c:v>
                </c:pt>
                <c:pt idx="47">
                  <c:v>7</c:v>
                </c:pt>
                <c:pt idx="48">
                  <c:v>2</c:v>
                </c:pt>
                <c:pt idx="49">
                  <c:v>4</c:v>
                </c:pt>
                <c:pt idx="50">
                  <c:v>6</c:v>
                </c:pt>
                <c:pt idx="51">
                  <c:v>3</c:v>
                </c:pt>
                <c:pt idx="52">
                  <c:v>0</c:v>
                </c:pt>
                <c:pt idx="53">
                  <c:v>3</c:v>
                </c:pt>
                <c:pt idx="54">
                  <c:v>7</c:v>
                </c:pt>
                <c:pt idx="55">
                  <c:v>6</c:v>
                </c:pt>
                <c:pt idx="56">
                  <c:v>12</c:v>
                </c:pt>
                <c:pt idx="57">
                  <c:v>6</c:v>
                </c:pt>
                <c:pt idx="58">
                  <c:v>1</c:v>
                </c:pt>
                <c:pt idx="59">
                  <c:v>6</c:v>
                </c:pt>
                <c:pt idx="60">
                  <c:v>6</c:v>
                </c:pt>
                <c:pt idx="61">
                  <c:v>9</c:v>
                </c:pt>
                <c:pt idx="62">
                  <c:v>8</c:v>
                </c:pt>
                <c:pt idx="63">
                  <c:v>12</c:v>
                </c:pt>
                <c:pt idx="64">
                  <c:v>14</c:v>
                </c:pt>
                <c:pt idx="65">
                  <c:v>4</c:v>
                </c:pt>
                <c:pt idx="66">
                  <c:v>3</c:v>
                </c:pt>
                <c:pt idx="67">
                  <c:v>9</c:v>
                </c:pt>
                <c:pt idx="68">
                  <c:v>4</c:v>
                </c:pt>
                <c:pt idx="69">
                  <c:v>1</c:v>
                </c:pt>
                <c:pt idx="70">
                  <c:v>7</c:v>
                </c:pt>
                <c:pt idx="71">
                  <c:v>6</c:v>
                </c:pt>
                <c:pt idx="72">
                  <c:v>1</c:v>
                </c:pt>
                <c:pt idx="73">
                  <c:v>4</c:v>
                </c:pt>
                <c:pt idx="74">
                  <c:v>7</c:v>
                </c:pt>
                <c:pt idx="75">
                  <c:v>5</c:v>
                </c:pt>
                <c:pt idx="76">
                  <c:v>5</c:v>
                </c:pt>
                <c:pt idx="77">
                  <c:v>9</c:v>
                </c:pt>
                <c:pt idx="78">
                  <c:v>13</c:v>
                </c:pt>
                <c:pt idx="79">
                  <c:v>10</c:v>
                </c:pt>
                <c:pt idx="80">
                  <c:v>6</c:v>
                </c:pt>
                <c:pt idx="81">
                  <c:v>7</c:v>
                </c:pt>
                <c:pt idx="82">
                  <c:v>10</c:v>
                </c:pt>
                <c:pt idx="83">
                  <c:v>3</c:v>
                </c:pt>
                <c:pt idx="84">
                  <c:v>11</c:v>
                </c:pt>
                <c:pt idx="85">
                  <c:v>7</c:v>
                </c:pt>
                <c:pt idx="8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F-4F8E-8455-1B7D4B960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509136"/>
        <c:axId val="186509616"/>
      </c:barChart>
      <c:catAx>
        <c:axId val="18650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9616"/>
        <c:crosses val="autoZero"/>
        <c:auto val="1"/>
        <c:lblAlgn val="ctr"/>
        <c:lblOffset val="100"/>
        <c:noMultiLvlLbl val="0"/>
      </c:catAx>
      <c:valAx>
        <c:axId val="18650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457695</xdr:colOff>
      <xdr:row>2</xdr:row>
      <xdr:rowOff>9585</xdr:rowOff>
    </xdr:from>
    <xdr:to>
      <xdr:col>45</xdr:col>
      <xdr:colOff>86592</xdr:colOff>
      <xdr:row>8</xdr:row>
      <xdr:rowOff>123701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C4BED-CF00-9F09-0D79-917E2EABD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1</xdr:row>
      <xdr:rowOff>121927</xdr:rowOff>
    </xdr:from>
    <xdr:to>
      <xdr:col>33</xdr:col>
      <xdr:colOff>429342</xdr:colOff>
      <xdr:row>36</xdr:row>
      <xdr:rowOff>164791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48B04-5836-2EC2-8EDD-8072D95D0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</xdr:row>
      <xdr:rowOff>23811</xdr:rowOff>
    </xdr:from>
    <xdr:to>
      <xdr:col>24</xdr:col>
      <xdr:colOff>19050</xdr:colOff>
      <xdr:row>30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C8987C-25A7-09AC-4AAA-2BF00894B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la-my.sharepoint.com/personal/william_morrison_glasgow_ac_uk/Documents/Staff/Skills/CoSE%20IT%20Training%20Modeller%202026%20v2.xlsx" TargetMode="External"/><Relationship Id="rId1" Type="http://schemas.openxmlformats.org/officeDocument/2006/relationships/externalLinkPath" Target="CoSE%20IT%20Training%20Modeller%202026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ff"/>
      <sheetName val="SFIA Level"/>
      <sheetName val="Competence"/>
      <sheetName val="Baseline"/>
      <sheetName val="Master"/>
      <sheetName val="Competence Heatmap"/>
      <sheetName val="Skills Gap"/>
      <sheetName val="Skills Gap Heatmap"/>
      <sheetName val="Skills Gap Heatmap (largest)"/>
      <sheetName val="Competence Analysis"/>
      <sheetName val="Competence Gap Analysis"/>
      <sheetName val="Legacy Master"/>
      <sheetName val="Competence By Area"/>
      <sheetName val="High Skill Analysis"/>
      <sheetName val="Training Plan (All staff)"/>
      <sheetName val="Training Plan 2526"/>
      <sheetName val="Summary"/>
      <sheetName val="TopUp"/>
      <sheetName val="Spend to-date"/>
      <sheetName val="ITIL V4 Foundation"/>
      <sheetName val="Service"/>
      <sheetName val="Training Log"/>
      <sheetName val="Anonymised names"/>
      <sheetName val="Master_Original (2)"/>
      <sheetName val="Master_Original"/>
    </sheetNames>
    <sheetDataSet>
      <sheetData sheetId="0"/>
      <sheetData sheetId="1">
        <row r="2">
          <cell r="A2" t="str">
            <v>No Knowledge</v>
          </cell>
          <cell r="B2">
            <v>0</v>
          </cell>
        </row>
        <row r="3">
          <cell r="A3" t="str">
            <v>Awareness</v>
          </cell>
          <cell r="B3">
            <v>1</v>
          </cell>
        </row>
        <row r="4">
          <cell r="A4" t="str">
            <v>Working</v>
          </cell>
          <cell r="B4">
            <v>2</v>
          </cell>
        </row>
        <row r="5">
          <cell r="A5" t="str">
            <v>Practitioner</v>
          </cell>
          <cell r="B5">
            <v>3</v>
          </cell>
        </row>
        <row r="6">
          <cell r="A6" t="str">
            <v>Expert</v>
          </cell>
          <cell r="B6">
            <v>4</v>
          </cell>
        </row>
      </sheetData>
      <sheetData sheetId="2">
        <row r="12">
          <cell r="B12" t="str">
            <v>Asset Management</v>
          </cell>
        </row>
        <row r="13">
          <cell r="B13" t="str">
            <v>Change Control</v>
          </cell>
        </row>
        <row r="14">
          <cell r="B14" t="str">
            <v>Customer Service Support</v>
          </cell>
        </row>
        <row r="15">
          <cell r="B15" t="str">
            <v>Incident management</v>
          </cell>
        </row>
        <row r="16">
          <cell r="B16" t="str">
            <v>Information security</v>
          </cell>
        </row>
        <row r="17">
          <cell r="B17" t="str">
            <v>Personal data protection</v>
          </cell>
        </row>
        <row r="18">
          <cell r="B18" t="str">
            <v>Problem management</v>
          </cell>
        </row>
        <row r="19">
          <cell r="B19" t="str">
            <v>Service catalogue management</v>
          </cell>
        </row>
        <row r="20">
          <cell r="B20" t="str">
            <v>Service level management</v>
          </cell>
        </row>
        <row r="21">
          <cell r="B21" t="str">
            <v>Availability Management</v>
          </cell>
        </row>
        <row r="22">
          <cell r="B22" t="str">
            <v>Capacity management</v>
          </cell>
        </row>
        <row r="23">
          <cell r="B23" t="str">
            <v>Configuration Management</v>
          </cell>
        </row>
        <row r="24">
          <cell r="B24" t="str">
            <v>Continuity Management</v>
          </cell>
        </row>
        <row r="25">
          <cell r="B25" t="str">
            <v>Demand Management</v>
          </cell>
        </row>
        <row r="26">
          <cell r="B26" t="str">
            <v>Knowledge management</v>
          </cell>
        </row>
        <row r="27">
          <cell r="B27" t="str">
            <v>Methods and tools</v>
          </cell>
        </row>
        <row r="28">
          <cell r="B28" t="str">
            <v>Release and deployment</v>
          </cell>
        </row>
        <row r="29">
          <cell r="B29" t="str">
            <v>Service acceptance</v>
          </cell>
        </row>
        <row r="30">
          <cell r="B30" t="str">
            <v>Stakeholder relationship management</v>
          </cell>
        </row>
        <row r="31">
          <cell r="B31" t="str">
            <v>Storage management</v>
          </cell>
        </row>
        <row r="32">
          <cell r="B32" t="str">
            <v>Digital Forensics</v>
          </cell>
        </row>
        <row r="33">
          <cell r="B33" t="str">
            <v>Penetration testing</v>
          </cell>
        </row>
        <row r="34">
          <cell r="B34" t="str">
            <v>Security Operations</v>
          </cell>
        </row>
        <row r="35">
          <cell r="B35" t="str">
            <v>Threat Intelligence</v>
          </cell>
        </row>
        <row r="36">
          <cell r="B36" t="str">
            <v>Vulnerability assessment</v>
          </cell>
        </row>
        <row r="37">
          <cell r="B37" t="str">
            <v>Vulnerability Research</v>
          </cell>
        </row>
        <row r="38">
          <cell r="B38" t="str">
            <v>Competency assessment</v>
          </cell>
        </row>
        <row r="39">
          <cell r="B39" t="str">
            <v>Financial management</v>
          </cell>
        </row>
        <row r="40">
          <cell r="B40" t="str">
            <v>Organisation design and implementation</v>
          </cell>
        </row>
        <row r="41">
          <cell r="B41" t="str">
            <v>Organisational capability development</v>
          </cell>
        </row>
        <row r="42">
          <cell r="B42" t="str">
            <v>Organisational change management</v>
          </cell>
        </row>
        <row r="43">
          <cell r="B43" t="str">
            <v>Performance Management</v>
          </cell>
        </row>
        <row r="44">
          <cell r="B44" t="str">
            <v>Professional Development</v>
          </cell>
        </row>
        <row r="45">
          <cell r="B45" t="str">
            <v>Strategic Planning</v>
          </cell>
        </row>
        <row r="46">
          <cell r="B46" t="str">
            <v>Workforce Planning</v>
          </cell>
        </row>
        <row r="47">
          <cell r="B47" t="str">
            <v>Audit</v>
          </cell>
        </row>
        <row r="48">
          <cell r="B48" t="str">
            <v>Contract management</v>
          </cell>
        </row>
        <row r="49">
          <cell r="B49" t="str">
            <v>Feasibility assessment</v>
          </cell>
        </row>
        <row r="50">
          <cell r="B50" t="str">
            <v>Governance</v>
          </cell>
        </row>
        <row r="51">
          <cell r="B51" t="str">
            <v>Risk management</v>
          </cell>
        </row>
        <row r="52">
          <cell r="B52" t="str">
            <v>Sourcing</v>
          </cell>
        </row>
        <row r="53">
          <cell r="B53" t="str">
            <v>Supplier management</v>
          </cell>
        </row>
        <row r="54">
          <cell r="B54" t="str">
            <v>Sustainability</v>
          </cell>
        </row>
        <row r="55">
          <cell r="B55" t="str">
            <v>Acceptance testing</v>
          </cell>
        </row>
        <row r="56">
          <cell r="B56" t="str">
            <v>Application support</v>
          </cell>
        </row>
        <row r="57">
          <cell r="B57" t="str">
            <v>Data Engineering</v>
          </cell>
        </row>
        <row r="58">
          <cell r="B58" t="str">
            <v>Data Management</v>
          </cell>
        </row>
        <row r="59">
          <cell r="B59" t="str">
            <v>Data Modelling and Design</v>
          </cell>
        </row>
        <row r="60">
          <cell r="B60" t="str">
            <v>Data science</v>
          </cell>
        </row>
        <row r="61">
          <cell r="B61" t="str">
            <v>Data visualisation</v>
          </cell>
        </row>
        <row r="62">
          <cell r="B62" t="str">
            <v>Database Administration</v>
          </cell>
        </row>
        <row r="63">
          <cell r="B63" t="str">
            <v>Database Design</v>
          </cell>
        </row>
        <row r="64">
          <cell r="B64" t="str">
            <v>Hardware design</v>
          </cell>
        </row>
        <row r="65">
          <cell r="B65" t="str">
            <v>High Performance Computing</v>
          </cell>
        </row>
        <row r="66">
          <cell r="B66" t="str">
            <v>Research Computing</v>
          </cell>
        </row>
        <row r="67">
          <cell r="B67" t="str">
            <v>Information assurance</v>
          </cell>
        </row>
        <row r="68">
          <cell r="B68" t="str">
            <v>Information management</v>
          </cell>
        </row>
        <row r="69">
          <cell r="B69" t="str">
            <v>Infrastructure</v>
          </cell>
        </row>
        <row r="70">
          <cell r="B70" t="str">
            <v>Network design</v>
          </cell>
        </row>
        <row r="71">
          <cell r="B71" t="str">
            <v>Network Analytics</v>
          </cell>
        </row>
        <row r="72">
          <cell r="B72" t="str">
            <v>Network support</v>
          </cell>
        </row>
        <row r="73">
          <cell r="B73" t="str">
            <v>Programming/software development</v>
          </cell>
        </row>
        <row r="74">
          <cell r="B74" t="str">
            <v>Real-time/embedded systems development</v>
          </cell>
        </row>
        <row r="75">
          <cell r="B75" t="str">
            <v>Requirements definition and management</v>
          </cell>
        </row>
        <row r="76">
          <cell r="B76" t="str">
            <v>Software configuration</v>
          </cell>
        </row>
        <row r="77">
          <cell r="B77" t="str">
            <v>Software design</v>
          </cell>
        </row>
        <row r="78">
          <cell r="B78" t="str">
            <v>Solution architecture</v>
          </cell>
        </row>
        <row r="79">
          <cell r="B79" t="str">
            <v>System software</v>
          </cell>
        </row>
        <row r="80">
          <cell r="B80" t="str">
            <v>Systems and software life cycle engineering</v>
          </cell>
        </row>
        <row r="81">
          <cell r="B81" t="str">
            <v>Systems design</v>
          </cell>
        </row>
        <row r="82">
          <cell r="B82" t="str">
            <v>Systems development management</v>
          </cell>
        </row>
        <row r="83">
          <cell r="B83" t="str">
            <v>Systems installation and removal</v>
          </cell>
        </row>
        <row r="84">
          <cell r="B84" t="str">
            <v>Testing</v>
          </cell>
        </row>
        <row r="85">
          <cell r="B85" t="str">
            <v>Innovation</v>
          </cell>
        </row>
        <row r="86">
          <cell r="B86" t="str">
            <v>Specialist Advice</v>
          </cell>
        </row>
        <row r="87">
          <cell r="B87" t="str">
            <v>Emerging technology monitoring</v>
          </cell>
        </row>
        <row r="88">
          <cell r="B88" t="str">
            <v>Systems integration and build</v>
          </cell>
        </row>
        <row r="89">
          <cell r="B89" t="str">
            <v>Audio Visual</v>
          </cell>
        </row>
        <row r="90">
          <cell r="B90" t="str">
            <v>Augmented Reality</v>
          </cell>
        </row>
        <row r="91">
          <cell r="B91" t="str">
            <v>Benefits management</v>
          </cell>
        </row>
        <row r="92">
          <cell r="B92" t="str">
            <v>Business administration</v>
          </cell>
        </row>
        <row r="93">
          <cell r="B93" t="str">
            <v>Business intelligence</v>
          </cell>
        </row>
        <row r="94">
          <cell r="B94" t="str">
            <v>Business modelling</v>
          </cell>
        </row>
        <row r="95">
          <cell r="B95" t="str">
            <v>Business process improvement</v>
          </cell>
        </row>
        <row r="96">
          <cell r="B96" t="str">
            <v>Business situation analysis</v>
          </cell>
        </row>
        <row r="97">
          <cell r="B97" t="str">
            <v>Programme management</v>
          </cell>
        </row>
        <row r="98">
          <cell r="B98" t="str">
            <v>Project management</v>
          </cell>
        </row>
        <row r="99">
          <cell r="B99" t="str">
            <v>Quality assurance</v>
          </cell>
        </row>
      </sheetData>
      <sheetData sheetId="3">
        <row r="3">
          <cell r="D3" t="str">
            <v>Assistant Systems Analyst</v>
          </cell>
          <cell r="E3" t="str">
            <v>Systems Analyst</v>
          </cell>
          <cell r="F3" t="str">
            <v>Senior Systems Analyst SD</v>
          </cell>
          <cell r="G3" t="str">
            <v>Service Desk Lead</v>
          </cell>
          <cell r="H3" t="str">
            <v>Senior Systems Analyst Ful</v>
          </cell>
          <cell r="I3" t="str">
            <v>Problem Analyst</v>
          </cell>
          <cell r="J3" t="str">
            <v>Fulfilment Lead</v>
          </cell>
          <cell r="K3" t="str">
            <v>Junior Systems Administrator</v>
          </cell>
          <cell r="L3" t="str">
            <v>Systems Administrator</v>
          </cell>
          <cell r="M3" t="str">
            <v>Senior Systems Administrator</v>
          </cell>
          <cell r="N3" t="str">
            <v>Service Fulfilment Lead</v>
          </cell>
          <cell r="O3" t="str">
            <v>Major incident manager</v>
          </cell>
          <cell r="P3" t="str">
            <v>Service Delivery Manager</v>
          </cell>
          <cell r="Q3" t="str">
            <v>Assistant Systems Administrator</v>
          </cell>
          <cell r="R3" t="str">
            <v xml:space="preserve"> Systems Administrator</v>
          </cell>
          <cell r="S3" t="str">
            <v>Senior Systems Administrator</v>
          </cell>
          <cell r="T3" t="str">
            <v>Senior Network Adminsitrator</v>
          </cell>
          <cell r="U3" t="str">
            <v>Infrastructure Specialist</v>
          </cell>
          <cell r="V3" t="str">
            <v>Infrastructure Lead</v>
          </cell>
          <cell r="W3" t="str">
            <v xml:space="preserve">Assistant Systems Engineer </v>
          </cell>
          <cell r="X3" t="str">
            <v>Systems Engineer</v>
          </cell>
          <cell r="Y3" t="str">
            <v>Senior Systems Engineer</v>
          </cell>
          <cell r="Z3" t="str">
            <v>Research Computing  Lead</v>
          </cell>
          <cell r="AA3" t="str">
            <v>Assistant Developer</v>
          </cell>
          <cell r="AB3" t="str">
            <v>Assistant Software Engineer</v>
          </cell>
          <cell r="AC3" t="str">
            <v>Software Engineer</v>
          </cell>
          <cell r="AD3" t="str">
            <v>Senior Software Engineer</v>
          </cell>
          <cell r="AE3" t="str">
            <v>Software Engineering Lead</v>
          </cell>
          <cell r="AF3" t="str">
            <v>Service Operations Manager</v>
          </cell>
          <cell r="AG3" t="str">
            <v>Service Resilience Analyst</v>
          </cell>
          <cell r="AH3" t="str">
            <v>Senior Systems Administrator 
(Vulnerabilities)</v>
          </cell>
          <cell r="AI3" t="str">
            <v>Junior IT Governance Administrator</v>
          </cell>
          <cell r="AJ3" t="str">
            <v>Systems Administrator (Governance)</v>
          </cell>
          <cell r="AK3" t="str">
            <v>Senior Systems Administrator (Governance)</v>
          </cell>
          <cell r="AL3" t="str">
            <v>Assistant Software Engineer DO</v>
          </cell>
          <cell r="AM3" t="str">
            <v>Software Engineer 
(DevOps)</v>
          </cell>
          <cell r="AN3" t="str">
            <v>Senior Software Engineer 
(DevOps)</v>
          </cell>
          <cell r="AO3" t="str">
            <v>Service Resilience Manager</v>
          </cell>
          <cell r="AP3" t="str">
            <v>Technical Relationship Lead</v>
          </cell>
          <cell r="AQ3" t="str">
            <v>Principal Engineer
(Research Computing)</v>
          </cell>
          <cell r="AR3" t="str">
            <v>Principal Engineer
(Infrastructure)</v>
          </cell>
          <cell r="AS3" t="str">
            <v>Principal Engineer 
(Linux)</v>
          </cell>
          <cell r="AT3" t="str">
            <v>Principal Engineer EdTech</v>
          </cell>
          <cell r="AU3" t="str">
            <v>Web Service Designer</v>
          </cell>
          <cell r="AV3" t="str">
            <v>Senior Web Service Designer</v>
          </cell>
          <cell r="AW3" t="str">
            <v xml:space="preserve"> Database Administrator</v>
          </cell>
          <cell r="AX3" t="str">
            <v>Senior Database Administrator</v>
          </cell>
          <cell r="AY3" t="str">
            <v>Change and Release manager</v>
          </cell>
          <cell r="AZ3" t="str">
            <v>Solutions Architect</v>
          </cell>
        </row>
        <row r="4">
          <cell r="B4" t="str">
            <v>Asset Management</v>
          </cell>
          <cell r="D4" t="str">
            <v>Working</v>
          </cell>
          <cell r="E4" t="str">
            <v>Working</v>
          </cell>
          <cell r="F4" t="str">
            <v>Working</v>
          </cell>
          <cell r="G4" t="str">
            <v>Practitioner</v>
          </cell>
          <cell r="H4" t="str">
            <v>Practitioner</v>
          </cell>
          <cell r="I4" t="str">
            <v>Practitioner</v>
          </cell>
          <cell r="J4" t="str">
            <v>Practitioner</v>
          </cell>
          <cell r="K4" t="str">
            <v>Working</v>
          </cell>
          <cell r="L4" t="str">
            <v>Working</v>
          </cell>
          <cell r="M4" t="str">
            <v>Practitioner</v>
          </cell>
          <cell r="N4" t="str">
            <v>Practitioner</v>
          </cell>
          <cell r="O4" t="str">
            <v>Practitioner</v>
          </cell>
          <cell r="P4" t="str">
            <v>Practitioner</v>
          </cell>
          <cell r="Q4" t="str">
            <v>Working</v>
          </cell>
          <cell r="R4" t="str">
            <v>Working</v>
          </cell>
          <cell r="S4" t="str">
            <v>Working</v>
          </cell>
          <cell r="T4" t="str">
            <v>Working</v>
          </cell>
          <cell r="U4" t="str">
            <v>Working</v>
          </cell>
          <cell r="V4" t="str">
            <v>Working</v>
          </cell>
          <cell r="W4" t="str">
            <v>Working</v>
          </cell>
          <cell r="X4" t="str">
            <v>Working</v>
          </cell>
          <cell r="Y4" t="str">
            <v>Working</v>
          </cell>
          <cell r="Z4" t="str">
            <v>Working</v>
          </cell>
          <cell r="AA4" t="str">
            <v>Working</v>
          </cell>
          <cell r="AB4" t="str">
            <v>Working</v>
          </cell>
          <cell r="AC4" t="str">
            <v>Working</v>
          </cell>
          <cell r="AD4" t="str">
            <v>Working</v>
          </cell>
          <cell r="AE4" t="str">
            <v>Working</v>
          </cell>
          <cell r="AF4" t="str">
            <v>Practitioner</v>
          </cell>
          <cell r="AG4" t="str">
            <v>Working</v>
          </cell>
          <cell r="AH4" t="str">
            <v>Working</v>
          </cell>
          <cell r="AI4" t="str">
            <v>Working</v>
          </cell>
          <cell r="AJ4" t="str">
            <v>Practitioner</v>
          </cell>
          <cell r="AK4" t="str">
            <v>Expert</v>
          </cell>
          <cell r="AL4" t="str">
            <v>Working</v>
          </cell>
          <cell r="AM4" t="str">
            <v>Working</v>
          </cell>
          <cell r="AN4" t="str">
            <v>Working</v>
          </cell>
          <cell r="AO4" t="str">
            <v>Working</v>
          </cell>
          <cell r="AP4" t="str">
            <v>Practitioner</v>
          </cell>
          <cell r="AQ4" t="str">
            <v>Practitioner</v>
          </cell>
          <cell r="AR4" t="str">
            <v>Practitioner</v>
          </cell>
          <cell r="AS4" t="str">
            <v>Practitioner</v>
          </cell>
          <cell r="AT4" t="str">
            <v>Practitioner</v>
          </cell>
          <cell r="AU4" t="str">
            <v>Practitioner</v>
          </cell>
          <cell r="AV4" t="str">
            <v>Working</v>
          </cell>
          <cell r="AW4" t="str">
            <v>Working</v>
          </cell>
          <cell r="AX4" t="str">
            <v>Working</v>
          </cell>
          <cell r="AY4" t="str">
            <v>Expert</v>
          </cell>
          <cell r="AZ4" t="str">
            <v>Expert</v>
          </cell>
        </row>
        <row r="5">
          <cell r="B5" t="str">
            <v>Change Control</v>
          </cell>
          <cell r="D5" t="str">
            <v>Working</v>
          </cell>
          <cell r="E5" t="str">
            <v>Working</v>
          </cell>
          <cell r="F5" t="str">
            <v>Practitioner</v>
          </cell>
          <cell r="G5" t="str">
            <v>Expert</v>
          </cell>
          <cell r="H5" t="str">
            <v>Practitioner</v>
          </cell>
          <cell r="I5" t="str">
            <v>Practitioner</v>
          </cell>
          <cell r="J5" t="str">
            <v>Expert</v>
          </cell>
          <cell r="K5" t="str">
            <v>Working</v>
          </cell>
          <cell r="L5" t="str">
            <v>Working</v>
          </cell>
          <cell r="M5" t="str">
            <v>Practitioner</v>
          </cell>
          <cell r="N5" t="str">
            <v>Practitioner</v>
          </cell>
          <cell r="O5" t="str">
            <v>Practitioner</v>
          </cell>
          <cell r="P5" t="str">
            <v>Expert</v>
          </cell>
          <cell r="Q5" t="str">
            <v>Working</v>
          </cell>
          <cell r="R5" t="str">
            <v>Practitioner</v>
          </cell>
          <cell r="S5" t="str">
            <v>Practitioner</v>
          </cell>
          <cell r="T5" t="str">
            <v>Practitioner</v>
          </cell>
          <cell r="U5" t="str">
            <v>Practitioner</v>
          </cell>
          <cell r="V5" t="str">
            <v>Practitioner</v>
          </cell>
          <cell r="W5" t="str">
            <v>Working</v>
          </cell>
          <cell r="X5" t="str">
            <v>Working</v>
          </cell>
          <cell r="Y5" t="str">
            <v>Working</v>
          </cell>
          <cell r="Z5" t="str">
            <v>Practitioner</v>
          </cell>
          <cell r="AA5" t="str">
            <v>Working</v>
          </cell>
          <cell r="AB5" t="str">
            <v>Practitioner</v>
          </cell>
          <cell r="AC5" t="str">
            <v>Practitioner</v>
          </cell>
          <cell r="AD5" t="str">
            <v>Practitioner</v>
          </cell>
          <cell r="AE5" t="str">
            <v>Practitioner</v>
          </cell>
          <cell r="AF5" t="str">
            <v>Practitioner</v>
          </cell>
          <cell r="AG5" t="str">
            <v>Working</v>
          </cell>
          <cell r="AH5" t="str">
            <v>Practitioner</v>
          </cell>
          <cell r="AI5" t="str">
            <v>Awareness</v>
          </cell>
          <cell r="AJ5" t="str">
            <v>Working</v>
          </cell>
          <cell r="AK5" t="str">
            <v>Working</v>
          </cell>
          <cell r="AL5" t="str">
            <v>Working</v>
          </cell>
          <cell r="AM5" t="str">
            <v>Working</v>
          </cell>
          <cell r="AN5" t="str">
            <v>Working</v>
          </cell>
          <cell r="AO5" t="str">
            <v>Practitioner</v>
          </cell>
          <cell r="AP5" t="str">
            <v>Practitioner</v>
          </cell>
          <cell r="AQ5" t="str">
            <v>Practitioner</v>
          </cell>
          <cell r="AR5" t="str">
            <v>Practitioner</v>
          </cell>
          <cell r="AS5" t="str">
            <v>Practitioner</v>
          </cell>
          <cell r="AT5" t="str">
            <v>Practitioner</v>
          </cell>
          <cell r="AU5" t="str">
            <v>Practitioner</v>
          </cell>
          <cell r="AV5" t="str">
            <v>Practitioner</v>
          </cell>
          <cell r="AW5" t="str">
            <v>Practitioner</v>
          </cell>
          <cell r="AX5" t="str">
            <v>Practitioner</v>
          </cell>
        </row>
        <row r="6">
          <cell r="B6" t="str">
            <v>Customer Service Support</v>
          </cell>
          <cell r="D6" t="str">
            <v>Working</v>
          </cell>
          <cell r="E6" t="str">
            <v>Practitioner</v>
          </cell>
          <cell r="F6" t="str">
            <v>Practitioner</v>
          </cell>
          <cell r="G6" t="str">
            <v>Expert</v>
          </cell>
          <cell r="H6" t="str">
            <v>Practitioner</v>
          </cell>
          <cell r="I6" t="str">
            <v>Practitioner</v>
          </cell>
          <cell r="J6" t="str">
            <v>Expert</v>
          </cell>
          <cell r="K6" t="str">
            <v>Working</v>
          </cell>
          <cell r="L6" t="str">
            <v>Practitioner</v>
          </cell>
          <cell r="M6" t="str">
            <v>Practitioner</v>
          </cell>
          <cell r="N6" t="str">
            <v>Practitioner</v>
          </cell>
          <cell r="O6" t="str">
            <v>Practitioner</v>
          </cell>
          <cell r="P6" t="str">
            <v>Expert</v>
          </cell>
          <cell r="Q6" t="str">
            <v>Working</v>
          </cell>
          <cell r="R6" t="str">
            <v>Practitioner</v>
          </cell>
          <cell r="S6" t="str">
            <v>Practitioner</v>
          </cell>
          <cell r="T6" t="str">
            <v>Practitioner</v>
          </cell>
          <cell r="U6" t="str">
            <v>Practitioner</v>
          </cell>
          <cell r="V6" t="str">
            <v>Practitioner</v>
          </cell>
          <cell r="W6" t="str">
            <v>Working</v>
          </cell>
          <cell r="X6" t="str">
            <v>Practitioner</v>
          </cell>
          <cell r="Y6" t="str">
            <v>Practitioner</v>
          </cell>
          <cell r="Z6" t="str">
            <v>Practitioner</v>
          </cell>
          <cell r="AA6" t="str">
            <v>Working</v>
          </cell>
          <cell r="AB6" t="str">
            <v>Practitioner</v>
          </cell>
          <cell r="AC6" t="str">
            <v>Practitioner</v>
          </cell>
          <cell r="AD6" t="str">
            <v>Practitioner</v>
          </cell>
          <cell r="AE6" t="str">
            <v>Practitioner</v>
          </cell>
          <cell r="AF6" t="str">
            <v>Practitioner</v>
          </cell>
          <cell r="AG6" t="str">
            <v>Practitioner</v>
          </cell>
          <cell r="AH6" t="str">
            <v>Practitioner</v>
          </cell>
          <cell r="AI6" t="str">
            <v>Working</v>
          </cell>
          <cell r="AJ6" t="str">
            <v>Practitioner</v>
          </cell>
          <cell r="AK6" t="str">
            <v>Practitioner</v>
          </cell>
          <cell r="AL6" t="str">
            <v>Practitioner</v>
          </cell>
          <cell r="AM6" t="str">
            <v>Practitioner</v>
          </cell>
          <cell r="AN6" t="str">
            <v>Practitioner</v>
          </cell>
          <cell r="AO6" t="str">
            <v>Practitioner</v>
          </cell>
          <cell r="AP6" t="str">
            <v>Practitioner</v>
          </cell>
          <cell r="AQ6" t="str">
            <v>Practitioner</v>
          </cell>
          <cell r="AR6" t="str">
            <v>Practitioner</v>
          </cell>
          <cell r="AS6" t="str">
            <v>Practitioner</v>
          </cell>
          <cell r="AT6" t="str">
            <v>Practitioner</v>
          </cell>
          <cell r="AU6" t="str">
            <v>Working</v>
          </cell>
          <cell r="AV6" t="str">
            <v>Working</v>
          </cell>
          <cell r="AW6" t="str">
            <v>Working</v>
          </cell>
          <cell r="AX6" t="str">
            <v>Working</v>
          </cell>
          <cell r="AY6" t="str">
            <v>Working</v>
          </cell>
          <cell r="AZ6" t="str">
            <v>Working</v>
          </cell>
        </row>
        <row r="7">
          <cell r="B7" t="str">
            <v>Incident management</v>
          </cell>
          <cell r="D7" t="str">
            <v>Working</v>
          </cell>
          <cell r="E7" t="str">
            <v>Working</v>
          </cell>
          <cell r="F7" t="str">
            <v>Practitioner</v>
          </cell>
          <cell r="G7" t="str">
            <v>Expert</v>
          </cell>
          <cell r="H7" t="str">
            <v>Practitioner</v>
          </cell>
          <cell r="I7" t="str">
            <v>Practitioner</v>
          </cell>
          <cell r="J7" t="str">
            <v>Expert</v>
          </cell>
          <cell r="K7" t="str">
            <v>Working</v>
          </cell>
          <cell r="L7" t="str">
            <v>Practitioner</v>
          </cell>
          <cell r="M7" t="str">
            <v>Practitioner</v>
          </cell>
          <cell r="N7" t="str">
            <v>Practitioner</v>
          </cell>
          <cell r="O7" t="str">
            <v>Practitioner</v>
          </cell>
          <cell r="P7" t="str">
            <v>Practitioner</v>
          </cell>
          <cell r="Q7" t="str">
            <v>Working</v>
          </cell>
          <cell r="R7" t="str">
            <v>Working</v>
          </cell>
          <cell r="S7" t="str">
            <v>Working</v>
          </cell>
          <cell r="T7" t="str">
            <v>Working</v>
          </cell>
          <cell r="U7" t="str">
            <v>Working</v>
          </cell>
          <cell r="V7" t="str">
            <v>Working</v>
          </cell>
          <cell r="W7" t="str">
            <v>Working</v>
          </cell>
          <cell r="X7" t="str">
            <v>Working</v>
          </cell>
          <cell r="Y7" t="str">
            <v>Working</v>
          </cell>
          <cell r="Z7" t="str">
            <v>Working</v>
          </cell>
          <cell r="AA7" t="str">
            <v>Working</v>
          </cell>
          <cell r="AB7" t="str">
            <v>Working</v>
          </cell>
          <cell r="AC7" t="str">
            <v>Working</v>
          </cell>
          <cell r="AD7" t="str">
            <v>Practitioner</v>
          </cell>
          <cell r="AE7" t="str">
            <v>Practitioner</v>
          </cell>
          <cell r="AF7" t="str">
            <v>Practitioner</v>
          </cell>
          <cell r="AG7" t="str">
            <v>Working</v>
          </cell>
          <cell r="AH7" t="str">
            <v>Working</v>
          </cell>
          <cell r="AI7" t="str">
            <v>Working</v>
          </cell>
          <cell r="AJ7" t="str">
            <v>Practitioner</v>
          </cell>
          <cell r="AK7" t="str">
            <v>Practitioner</v>
          </cell>
          <cell r="AL7" t="str">
            <v>Working</v>
          </cell>
          <cell r="AM7" t="str">
            <v>Working</v>
          </cell>
          <cell r="AN7" t="str">
            <v>Working</v>
          </cell>
          <cell r="AO7" t="str">
            <v>Practitioner</v>
          </cell>
          <cell r="AP7" t="str">
            <v>Practitioner</v>
          </cell>
          <cell r="AQ7" t="str">
            <v>Practitioner</v>
          </cell>
          <cell r="AR7" t="str">
            <v>Practitioner</v>
          </cell>
          <cell r="AS7" t="str">
            <v>Practitioner</v>
          </cell>
          <cell r="AT7" t="str">
            <v>Practitioner</v>
          </cell>
          <cell r="AU7" t="str">
            <v>Practitioner</v>
          </cell>
          <cell r="AV7" t="str">
            <v>Practitioner</v>
          </cell>
          <cell r="AW7" t="str">
            <v>Practitioner</v>
          </cell>
          <cell r="AX7" t="str">
            <v>Practitioner</v>
          </cell>
        </row>
        <row r="8">
          <cell r="B8" t="str">
            <v>Information security</v>
          </cell>
          <cell r="D8" t="str">
            <v>Working</v>
          </cell>
          <cell r="E8" t="str">
            <v>Working</v>
          </cell>
          <cell r="F8" t="str">
            <v>Practitioner</v>
          </cell>
          <cell r="G8" t="str">
            <v>Practitioner</v>
          </cell>
          <cell r="H8" t="str">
            <v>Practitioner</v>
          </cell>
          <cell r="I8" t="str">
            <v>Practitioner</v>
          </cell>
          <cell r="J8" t="str">
            <v>Practitioner</v>
          </cell>
          <cell r="K8" t="str">
            <v>Working</v>
          </cell>
          <cell r="L8" t="str">
            <v>Working</v>
          </cell>
          <cell r="M8" t="str">
            <v>Practitioner</v>
          </cell>
          <cell r="N8" t="str">
            <v>Practitioner</v>
          </cell>
          <cell r="O8" t="str">
            <v>Practitioner</v>
          </cell>
          <cell r="P8" t="str">
            <v>Practitioner</v>
          </cell>
          <cell r="Q8" t="str">
            <v>Working</v>
          </cell>
          <cell r="R8" t="str">
            <v>Practitioner</v>
          </cell>
          <cell r="S8" t="str">
            <v>Practitioner</v>
          </cell>
          <cell r="T8" t="str">
            <v>Practitioner</v>
          </cell>
          <cell r="U8" t="str">
            <v>Practitioner</v>
          </cell>
          <cell r="V8" t="str">
            <v>Practitioner</v>
          </cell>
          <cell r="W8" t="str">
            <v>Working</v>
          </cell>
          <cell r="X8" t="str">
            <v>Practitioner</v>
          </cell>
          <cell r="Y8" t="str">
            <v>Practitioner</v>
          </cell>
          <cell r="Z8" t="str">
            <v>Practitioner</v>
          </cell>
          <cell r="AA8" t="str">
            <v>Working</v>
          </cell>
          <cell r="AB8" t="str">
            <v>Working</v>
          </cell>
          <cell r="AC8" t="str">
            <v>Practitioner</v>
          </cell>
          <cell r="AD8" t="str">
            <v>Practitioner</v>
          </cell>
          <cell r="AE8" t="str">
            <v>Practitioner</v>
          </cell>
          <cell r="AF8" t="str">
            <v>Practitioner</v>
          </cell>
          <cell r="AG8" t="str">
            <v>Practitioner</v>
          </cell>
          <cell r="AH8" t="str">
            <v>Practitioner</v>
          </cell>
          <cell r="AI8" t="str">
            <v>Working</v>
          </cell>
          <cell r="AJ8" t="str">
            <v>Working</v>
          </cell>
          <cell r="AK8" t="str">
            <v>Practitioner</v>
          </cell>
          <cell r="AL8" t="str">
            <v>Practitioner</v>
          </cell>
          <cell r="AM8" t="str">
            <v>Practitioner</v>
          </cell>
          <cell r="AN8" t="str">
            <v>Practitioner</v>
          </cell>
          <cell r="AO8" t="str">
            <v>Expert</v>
          </cell>
          <cell r="AP8" t="str">
            <v>Practitioner</v>
          </cell>
          <cell r="AQ8" t="str">
            <v>Practitioner</v>
          </cell>
          <cell r="AR8" t="str">
            <v>Practitioner</v>
          </cell>
          <cell r="AS8" t="str">
            <v>Practitioner</v>
          </cell>
          <cell r="AT8" t="str">
            <v>Practitioner</v>
          </cell>
          <cell r="AU8" t="str">
            <v>Practitioner</v>
          </cell>
          <cell r="AV8" t="str">
            <v>Practitioner</v>
          </cell>
          <cell r="AW8" t="str">
            <v>Practitioner</v>
          </cell>
          <cell r="AX8" t="str">
            <v>Practitioner</v>
          </cell>
          <cell r="AY8" t="str">
            <v>Practitioner</v>
          </cell>
          <cell r="AZ8" t="str">
            <v>Practitioner</v>
          </cell>
        </row>
        <row r="9">
          <cell r="B9" t="str">
            <v>Personal data protection</v>
          </cell>
          <cell r="D9" t="str">
            <v>Working</v>
          </cell>
          <cell r="E9" t="str">
            <v>Practitioner</v>
          </cell>
          <cell r="F9" t="str">
            <v>Practitioner</v>
          </cell>
          <cell r="G9" t="str">
            <v>Practitioner</v>
          </cell>
          <cell r="H9" t="str">
            <v>Practitioner</v>
          </cell>
          <cell r="I9" t="str">
            <v>Practitioner</v>
          </cell>
          <cell r="J9" t="str">
            <v>Practitioner</v>
          </cell>
          <cell r="K9" t="str">
            <v>Working</v>
          </cell>
          <cell r="L9" t="str">
            <v>Practitioner</v>
          </cell>
          <cell r="M9" t="str">
            <v>Practitioner</v>
          </cell>
          <cell r="N9" t="str">
            <v>Practitioner</v>
          </cell>
          <cell r="O9" t="str">
            <v>Practitioner</v>
          </cell>
          <cell r="P9" t="str">
            <v>Practitioner</v>
          </cell>
          <cell r="Q9" t="str">
            <v>Practitioner</v>
          </cell>
          <cell r="R9" t="str">
            <v>Practitioner</v>
          </cell>
          <cell r="S9" t="str">
            <v>Practitioner</v>
          </cell>
          <cell r="T9" t="str">
            <v>Practitioner</v>
          </cell>
          <cell r="U9" t="str">
            <v>Practitioner</v>
          </cell>
          <cell r="V9" t="str">
            <v>Practitioner</v>
          </cell>
          <cell r="W9" t="str">
            <v>Practitioner</v>
          </cell>
          <cell r="X9" t="str">
            <v>Practitioner</v>
          </cell>
          <cell r="Y9" t="str">
            <v>Practitioner</v>
          </cell>
          <cell r="Z9" t="str">
            <v>Practitioner</v>
          </cell>
          <cell r="AA9" t="str">
            <v>Working</v>
          </cell>
          <cell r="AB9" t="str">
            <v>Working</v>
          </cell>
          <cell r="AC9" t="str">
            <v>Practitioner</v>
          </cell>
          <cell r="AD9" t="str">
            <v>Practitioner</v>
          </cell>
          <cell r="AE9" t="str">
            <v>Practitioner</v>
          </cell>
          <cell r="AF9" t="str">
            <v>Practitioner</v>
          </cell>
          <cell r="AG9" t="str">
            <v>Practitioner</v>
          </cell>
          <cell r="AH9" t="str">
            <v>Practitioner</v>
          </cell>
          <cell r="AI9" t="str">
            <v>Working</v>
          </cell>
          <cell r="AJ9" t="str">
            <v>Practitioner</v>
          </cell>
          <cell r="AK9" t="str">
            <v>Practitioner</v>
          </cell>
          <cell r="AL9" t="str">
            <v>Practitioner</v>
          </cell>
          <cell r="AM9" t="str">
            <v>Practitioner</v>
          </cell>
          <cell r="AN9" t="str">
            <v>Practitioner</v>
          </cell>
          <cell r="AO9" t="str">
            <v>Expert</v>
          </cell>
          <cell r="AP9" t="str">
            <v>Practitioner</v>
          </cell>
          <cell r="AQ9" t="str">
            <v>Practitioner</v>
          </cell>
          <cell r="AR9" t="str">
            <v>Practitioner</v>
          </cell>
          <cell r="AS9" t="str">
            <v>Practitioner</v>
          </cell>
          <cell r="AT9" t="str">
            <v>Practitioner</v>
          </cell>
          <cell r="AU9" t="str">
            <v>Working</v>
          </cell>
          <cell r="AV9" t="str">
            <v>Working</v>
          </cell>
          <cell r="AW9" t="str">
            <v>Working</v>
          </cell>
          <cell r="AX9" t="str">
            <v>Working</v>
          </cell>
          <cell r="AY9" t="str">
            <v>Working</v>
          </cell>
          <cell r="AZ9" t="str">
            <v>Working</v>
          </cell>
        </row>
        <row r="10">
          <cell r="B10" t="str">
            <v>Problem management</v>
          </cell>
          <cell r="D10" t="str">
            <v>Working</v>
          </cell>
          <cell r="E10" t="str">
            <v>Working</v>
          </cell>
          <cell r="F10" t="str">
            <v>Practitioner</v>
          </cell>
          <cell r="G10" t="str">
            <v>Expert</v>
          </cell>
          <cell r="H10" t="str">
            <v>Practitioner</v>
          </cell>
          <cell r="I10" t="str">
            <v>Expert</v>
          </cell>
          <cell r="J10" t="str">
            <v>Expert</v>
          </cell>
          <cell r="K10" t="str">
            <v>Working</v>
          </cell>
          <cell r="L10" t="str">
            <v>Working</v>
          </cell>
          <cell r="M10" t="str">
            <v>Working</v>
          </cell>
          <cell r="N10" t="str">
            <v>Working</v>
          </cell>
          <cell r="O10" t="str">
            <v>Practitioner</v>
          </cell>
          <cell r="P10" t="str">
            <v>Expert</v>
          </cell>
          <cell r="Q10" t="str">
            <v>Working</v>
          </cell>
          <cell r="R10" t="str">
            <v>Working</v>
          </cell>
          <cell r="S10" t="str">
            <v>Practitioner</v>
          </cell>
          <cell r="T10" t="str">
            <v>Practitioner</v>
          </cell>
          <cell r="U10" t="str">
            <v>Expert</v>
          </cell>
          <cell r="V10" t="str">
            <v>Expert</v>
          </cell>
          <cell r="W10" t="str">
            <v>Working</v>
          </cell>
          <cell r="X10" t="str">
            <v>Working</v>
          </cell>
          <cell r="Y10" t="str">
            <v>Practitioner</v>
          </cell>
          <cell r="Z10" t="str">
            <v>Working</v>
          </cell>
          <cell r="AA10" t="str">
            <v>Awareness</v>
          </cell>
          <cell r="AB10" t="str">
            <v>Working</v>
          </cell>
          <cell r="AC10" t="str">
            <v>Working</v>
          </cell>
          <cell r="AD10" t="str">
            <v>Working</v>
          </cell>
          <cell r="AE10" t="str">
            <v>Working</v>
          </cell>
          <cell r="AF10" t="str">
            <v>Working</v>
          </cell>
          <cell r="AG10" t="str">
            <v>Working</v>
          </cell>
          <cell r="AH10" t="str">
            <v>Practitioner</v>
          </cell>
          <cell r="AI10" t="str">
            <v>Working</v>
          </cell>
          <cell r="AJ10" t="str">
            <v>Working</v>
          </cell>
          <cell r="AK10" t="str">
            <v>Working</v>
          </cell>
          <cell r="AL10" t="str">
            <v>Working</v>
          </cell>
          <cell r="AM10" t="str">
            <v>Working</v>
          </cell>
          <cell r="AN10" t="str">
            <v>Working</v>
          </cell>
          <cell r="AO10" t="str">
            <v>Working</v>
          </cell>
          <cell r="AP10" t="str">
            <v>Working</v>
          </cell>
          <cell r="AQ10" t="str">
            <v>Working</v>
          </cell>
          <cell r="AR10" t="str">
            <v>Working</v>
          </cell>
          <cell r="AS10" t="str">
            <v>Working</v>
          </cell>
          <cell r="AT10" t="str">
            <v>Working</v>
          </cell>
          <cell r="AU10" t="str">
            <v>Working</v>
          </cell>
          <cell r="AV10" t="str">
            <v>Working</v>
          </cell>
          <cell r="AW10" t="str">
            <v>Working</v>
          </cell>
          <cell r="AX10" t="str">
            <v>Working</v>
          </cell>
          <cell r="AY10" t="str">
            <v>Working</v>
          </cell>
          <cell r="AZ10" t="str">
            <v>Working</v>
          </cell>
        </row>
        <row r="11">
          <cell r="B11" t="str">
            <v>Service catalogue management</v>
          </cell>
          <cell r="D11" t="str">
            <v>Working</v>
          </cell>
          <cell r="E11" t="str">
            <v>Working</v>
          </cell>
          <cell r="F11" t="str">
            <v>Practitioner</v>
          </cell>
          <cell r="G11" t="str">
            <v>Expert</v>
          </cell>
          <cell r="H11" t="str">
            <v>Practitioner</v>
          </cell>
          <cell r="I11" t="str">
            <v>Practitioner</v>
          </cell>
          <cell r="J11" t="str">
            <v>Expert</v>
          </cell>
          <cell r="K11" t="str">
            <v>Working</v>
          </cell>
          <cell r="L11" t="str">
            <v>Working</v>
          </cell>
          <cell r="M11" t="str">
            <v>Working</v>
          </cell>
          <cell r="N11" t="str">
            <v>Working</v>
          </cell>
          <cell r="O11" t="str">
            <v>Practitioner</v>
          </cell>
          <cell r="P11" t="str">
            <v>Expert</v>
          </cell>
          <cell r="Q11" t="str">
            <v>Working</v>
          </cell>
          <cell r="R11" t="str">
            <v>Working</v>
          </cell>
          <cell r="S11" t="str">
            <v>Practitioner</v>
          </cell>
          <cell r="T11" t="str">
            <v>Practitioner</v>
          </cell>
          <cell r="U11" t="str">
            <v>Expert</v>
          </cell>
          <cell r="V11" t="str">
            <v>Expert</v>
          </cell>
          <cell r="W11" t="str">
            <v>Working</v>
          </cell>
          <cell r="X11" t="str">
            <v>Working</v>
          </cell>
          <cell r="Y11" t="str">
            <v>Practitioner</v>
          </cell>
          <cell r="Z11" t="str">
            <v>Working</v>
          </cell>
          <cell r="AA11" t="str">
            <v>Awareness</v>
          </cell>
          <cell r="AB11" t="str">
            <v>Working</v>
          </cell>
          <cell r="AC11" t="str">
            <v>Working</v>
          </cell>
          <cell r="AD11" t="str">
            <v>Working</v>
          </cell>
          <cell r="AE11" t="str">
            <v>Working</v>
          </cell>
          <cell r="AF11" t="str">
            <v>Working</v>
          </cell>
          <cell r="AG11" t="str">
            <v>Working</v>
          </cell>
          <cell r="AH11" t="str">
            <v>Practitioner</v>
          </cell>
          <cell r="AI11" t="str">
            <v>Working</v>
          </cell>
          <cell r="AJ11" t="str">
            <v>Working</v>
          </cell>
          <cell r="AK11" t="str">
            <v>Working</v>
          </cell>
          <cell r="AL11" t="str">
            <v>Working</v>
          </cell>
          <cell r="AM11" t="str">
            <v>Working</v>
          </cell>
          <cell r="AN11" t="str">
            <v>Working</v>
          </cell>
          <cell r="AO11" t="str">
            <v>Working</v>
          </cell>
          <cell r="AP11" t="str">
            <v>Working</v>
          </cell>
          <cell r="AQ11" t="str">
            <v>Working</v>
          </cell>
          <cell r="AR11" t="str">
            <v>Working</v>
          </cell>
          <cell r="AS11" t="str">
            <v>Working</v>
          </cell>
          <cell r="AT11" t="str">
            <v>Working</v>
          </cell>
          <cell r="AU11" t="str">
            <v>Working</v>
          </cell>
          <cell r="AV11" t="str">
            <v>Working</v>
          </cell>
          <cell r="AW11" t="str">
            <v>Working</v>
          </cell>
          <cell r="AX11" t="str">
            <v>Working</v>
          </cell>
          <cell r="AY11" t="str">
            <v>Working</v>
          </cell>
          <cell r="AZ11" t="str">
            <v>Working</v>
          </cell>
        </row>
        <row r="12">
          <cell r="B12" t="str">
            <v>Service level management</v>
          </cell>
          <cell r="D12" t="str">
            <v>Working</v>
          </cell>
          <cell r="E12" t="str">
            <v>Working</v>
          </cell>
          <cell r="F12" t="str">
            <v>Practitioner</v>
          </cell>
          <cell r="G12" t="str">
            <v>Expert</v>
          </cell>
          <cell r="H12" t="str">
            <v>Working</v>
          </cell>
          <cell r="I12" t="str">
            <v>Working</v>
          </cell>
          <cell r="J12" t="str">
            <v>Expert</v>
          </cell>
          <cell r="K12" t="str">
            <v>Working</v>
          </cell>
          <cell r="L12" t="str">
            <v>Working</v>
          </cell>
          <cell r="M12" t="str">
            <v>Practitioner</v>
          </cell>
          <cell r="N12" t="str">
            <v>Practitioner</v>
          </cell>
          <cell r="O12" t="str">
            <v>Practitioner</v>
          </cell>
          <cell r="P12" t="str">
            <v>Expert</v>
          </cell>
          <cell r="Q12" t="str">
            <v>Working</v>
          </cell>
          <cell r="R12" t="str">
            <v>Working</v>
          </cell>
          <cell r="S12" t="str">
            <v>Practitioner</v>
          </cell>
          <cell r="T12" t="str">
            <v>Practitioner</v>
          </cell>
          <cell r="U12" t="str">
            <v>Expert</v>
          </cell>
          <cell r="V12" t="str">
            <v>Expert</v>
          </cell>
          <cell r="W12" t="str">
            <v>Working</v>
          </cell>
          <cell r="X12" t="str">
            <v>Working</v>
          </cell>
          <cell r="Y12" t="str">
            <v>Practitioner</v>
          </cell>
          <cell r="Z12" t="str">
            <v>Working</v>
          </cell>
          <cell r="AA12" t="str">
            <v>Awareness</v>
          </cell>
          <cell r="AB12" t="str">
            <v>Working</v>
          </cell>
          <cell r="AC12" t="str">
            <v>Working</v>
          </cell>
          <cell r="AD12" t="str">
            <v>Working</v>
          </cell>
          <cell r="AE12" t="str">
            <v>Working</v>
          </cell>
          <cell r="AF12" t="str">
            <v>Working</v>
          </cell>
          <cell r="AG12" t="str">
            <v>Working</v>
          </cell>
          <cell r="AH12" t="str">
            <v>Practitioner</v>
          </cell>
          <cell r="AI12" t="str">
            <v>No Knowledge</v>
          </cell>
          <cell r="AJ12" t="str">
            <v>Working</v>
          </cell>
          <cell r="AK12" t="str">
            <v>Working</v>
          </cell>
          <cell r="AL12" t="str">
            <v>Working</v>
          </cell>
          <cell r="AM12" t="str">
            <v>Working</v>
          </cell>
          <cell r="AN12" t="str">
            <v>Working</v>
          </cell>
          <cell r="AO12" t="str">
            <v>Working</v>
          </cell>
          <cell r="AP12" t="str">
            <v>Working</v>
          </cell>
          <cell r="AQ12" t="str">
            <v>Working</v>
          </cell>
          <cell r="AR12" t="str">
            <v>Working</v>
          </cell>
          <cell r="AS12" t="str">
            <v>Working</v>
          </cell>
          <cell r="AT12" t="str">
            <v>Working</v>
          </cell>
          <cell r="AU12" t="str">
            <v>Working</v>
          </cell>
          <cell r="AV12" t="str">
            <v>Working</v>
          </cell>
          <cell r="AW12" t="str">
            <v>Working</v>
          </cell>
          <cell r="AX12" t="str">
            <v>Working</v>
          </cell>
          <cell r="AY12" t="str">
            <v>Working</v>
          </cell>
          <cell r="AZ12" t="str">
            <v>Working</v>
          </cell>
        </row>
        <row r="13">
          <cell r="B13" t="str">
            <v>Availability Management</v>
          </cell>
          <cell r="D13" t="str">
            <v>Awareness</v>
          </cell>
          <cell r="E13" t="str">
            <v>Awareness</v>
          </cell>
          <cell r="F13" t="str">
            <v>Working</v>
          </cell>
          <cell r="G13" t="str">
            <v>Working</v>
          </cell>
          <cell r="H13" t="str">
            <v>Working</v>
          </cell>
          <cell r="I13" t="str">
            <v>Working</v>
          </cell>
          <cell r="J13" t="str">
            <v>Working</v>
          </cell>
          <cell r="K13" t="str">
            <v>Awareness</v>
          </cell>
          <cell r="L13" t="str">
            <v>Awareness</v>
          </cell>
          <cell r="M13" t="str">
            <v>Awareness</v>
          </cell>
          <cell r="N13" t="str">
            <v>Awareness</v>
          </cell>
          <cell r="O13" t="str">
            <v>Expert</v>
          </cell>
          <cell r="P13" t="str">
            <v>Expert</v>
          </cell>
          <cell r="Q13" t="str">
            <v>Working</v>
          </cell>
          <cell r="R13" t="str">
            <v>Working</v>
          </cell>
          <cell r="S13" t="str">
            <v>Practitioner</v>
          </cell>
          <cell r="T13" t="str">
            <v>Practitioner</v>
          </cell>
          <cell r="U13" t="str">
            <v>Expert</v>
          </cell>
          <cell r="V13" t="str">
            <v>Expert</v>
          </cell>
          <cell r="W13" t="str">
            <v>Working</v>
          </cell>
          <cell r="X13" t="str">
            <v>Working</v>
          </cell>
          <cell r="Y13" t="str">
            <v>Practitioner</v>
          </cell>
          <cell r="Z13" t="str">
            <v>Working</v>
          </cell>
          <cell r="AA13" t="str">
            <v>Awareness</v>
          </cell>
          <cell r="AB13" t="str">
            <v>Working</v>
          </cell>
          <cell r="AC13" t="str">
            <v>Working</v>
          </cell>
          <cell r="AD13" t="str">
            <v>Working</v>
          </cell>
          <cell r="AE13" t="str">
            <v>Working</v>
          </cell>
          <cell r="AF13" t="str">
            <v>Practitioner</v>
          </cell>
          <cell r="AG13" t="str">
            <v>Practitioner</v>
          </cell>
          <cell r="AH13" t="str">
            <v>Practitioner</v>
          </cell>
          <cell r="AI13" t="str">
            <v>Awareness</v>
          </cell>
          <cell r="AJ13" t="str">
            <v>Awareness</v>
          </cell>
          <cell r="AK13" t="str">
            <v>Awareness</v>
          </cell>
          <cell r="AL13" t="str">
            <v>Working</v>
          </cell>
          <cell r="AM13" t="str">
            <v>Working</v>
          </cell>
          <cell r="AN13" t="str">
            <v>Working</v>
          </cell>
          <cell r="AO13" t="str">
            <v>Expert</v>
          </cell>
          <cell r="AP13" t="str">
            <v>Practitioner</v>
          </cell>
          <cell r="AQ13" t="str">
            <v>Practitioner</v>
          </cell>
          <cell r="AR13" t="str">
            <v>Practitioner</v>
          </cell>
          <cell r="AS13" t="str">
            <v>Practitioner</v>
          </cell>
          <cell r="AT13" t="str">
            <v>Practitioner</v>
          </cell>
          <cell r="AY13" t="str">
            <v>Practitioner</v>
          </cell>
          <cell r="AZ13" t="str">
            <v>Practitioner</v>
          </cell>
        </row>
        <row r="14">
          <cell r="B14" t="str">
            <v>Capacity management</v>
          </cell>
          <cell r="D14" t="str">
            <v>No Knowledge</v>
          </cell>
          <cell r="E14" t="str">
            <v>No Knowledge</v>
          </cell>
          <cell r="F14" t="str">
            <v>No Knowledge</v>
          </cell>
          <cell r="G14" t="str">
            <v>No Knowledge</v>
          </cell>
          <cell r="H14" t="str">
            <v>No Knowledge</v>
          </cell>
          <cell r="I14" t="str">
            <v>No Knowledge</v>
          </cell>
          <cell r="J14" t="str">
            <v>No Knowledge</v>
          </cell>
          <cell r="K14" t="str">
            <v>Awareness</v>
          </cell>
          <cell r="L14" t="str">
            <v>No Knowledge</v>
          </cell>
          <cell r="M14" t="str">
            <v>No Knowledge</v>
          </cell>
          <cell r="N14" t="str">
            <v>No Knowledge</v>
          </cell>
          <cell r="O14" t="str">
            <v>Working</v>
          </cell>
          <cell r="P14" t="str">
            <v>Working</v>
          </cell>
          <cell r="Q14" t="str">
            <v>Working</v>
          </cell>
          <cell r="R14" t="str">
            <v>Working</v>
          </cell>
          <cell r="S14" t="str">
            <v>Practitioner</v>
          </cell>
          <cell r="T14" t="str">
            <v>Practitioner</v>
          </cell>
          <cell r="U14" t="str">
            <v>Expert</v>
          </cell>
          <cell r="V14" t="str">
            <v>Expert</v>
          </cell>
          <cell r="W14" t="str">
            <v>Working</v>
          </cell>
          <cell r="X14" t="str">
            <v>Working</v>
          </cell>
          <cell r="Y14" t="str">
            <v>Practitioner</v>
          </cell>
          <cell r="Z14" t="str">
            <v>No Knowledge</v>
          </cell>
          <cell r="AA14" t="str">
            <v>Awareness</v>
          </cell>
          <cell r="AB14" t="str">
            <v>Working</v>
          </cell>
          <cell r="AC14" t="str">
            <v>Working</v>
          </cell>
          <cell r="AD14" t="str">
            <v>Working</v>
          </cell>
          <cell r="AE14" t="str">
            <v>Working</v>
          </cell>
          <cell r="AF14" t="str">
            <v>Practitioner</v>
          </cell>
          <cell r="AG14" t="str">
            <v>No Knowledge</v>
          </cell>
          <cell r="AH14" t="str">
            <v>Practitioner</v>
          </cell>
          <cell r="AI14" t="str">
            <v>Awareness</v>
          </cell>
          <cell r="AJ14" t="str">
            <v>No Knowledge</v>
          </cell>
          <cell r="AK14" t="str">
            <v>No Knowledge</v>
          </cell>
          <cell r="AL14" t="str">
            <v>No Knowledge</v>
          </cell>
          <cell r="AM14" t="str">
            <v>No Knowledge</v>
          </cell>
          <cell r="AN14" t="str">
            <v>No Knowledge</v>
          </cell>
          <cell r="AO14" t="str">
            <v>No Knowledge</v>
          </cell>
          <cell r="AP14" t="str">
            <v>Practitioner</v>
          </cell>
          <cell r="AQ14" t="str">
            <v>Practitioner</v>
          </cell>
          <cell r="AR14" t="str">
            <v>Practitioner</v>
          </cell>
          <cell r="AS14" t="str">
            <v>Practitioner</v>
          </cell>
          <cell r="AT14" t="str">
            <v>Practitioner</v>
          </cell>
        </row>
        <row r="15">
          <cell r="B15" t="str">
            <v>Configuration Management</v>
          </cell>
          <cell r="D15" t="str">
            <v>Awareness</v>
          </cell>
          <cell r="E15" t="str">
            <v>Awareness</v>
          </cell>
          <cell r="F15" t="str">
            <v>Awareness</v>
          </cell>
          <cell r="G15" t="str">
            <v>Awareness</v>
          </cell>
          <cell r="H15" t="str">
            <v>Awareness</v>
          </cell>
          <cell r="I15" t="str">
            <v>Awareness</v>
          </cell>
          <cell r="J15" t="str">
            <v>Awareness</v>
          </cell>
          <cell r="K15" t="str">
            <v>Awareness</v>
          </cell>
          <cell r="L15" t="str">
            <v>Awareness</v>
          </cell>
          <cell r="M15" t="str">
            <v>Working</v>
          </cell>
          <cell r="N15" t="str">
            <v>Working</v>
          </cell>
          <cell r="O15" t="str">
            <v>Working</v>
          </cell>
          <cell r="P15" t="str">
            <v>Working</v>
          </cell>
          <cell r="Q15" t="str">
            <v>Working</v>
          </cell>
          <cell r="R15" t="str">
            <v>Working</v>
          </cell>
          <cell r="S15" t="str">
            <v>Practitioner</v>
          </cell>
          <cell r="T15" t="str">
            <v>Practitioner</v>
          </cell>
          <cell r="U15" t="str">
            <v>Expert</v>
          </cell>
          <cell r="V15" t="str">
            <v>Expert</v>
          </cell>
          <cell r="W15" t="str">
            <v>Working</v>
          </cell>
          <cell r="X15" t="str">
            <v>Working</v>
          </cell>
          <cell r="Y15" t="str">
            <v>Practitioner</v>
          </cell>
          <cell r="Z15" t="str">
            <v>Working</v>
          </cell>
          <cell r="AA15" t="str">
            <v>Awareness</v>
          </cell>
          <cell r="AB15" t="str">
            <v>Working</v>
          </cell>
          <cell r="AC15" t="str">
            <v>Working</v>
          </cell>
          <cell r="AD15" t="str">
            <v>Working</v>
          </cell>
          <cell r="AE15" t="str">
            <v>Working</v>
          </cell>
          <cell r="AF15" t="str">
            <v>Practitioner</v>
          </cell>
          <cell r="AG15" t="str">
            <v>No Knowledge</v>
          </cell>
          <cell r="AH15" t="str">
            <v>Practitioner</v>
          </cell>
          <cell r="AI15" t="str">
            <v>Awareness</v>
          </cell>
          <cell r="AJ15" t="str">
            <v>No Knowledge</v>
          </cell>
          <cell r="AK15" t="str">
            <v>No Knowledge</v>
          </cell>
          <cell r="AL15" t="str">
            <v>Working</v>
          </cell>
          <cell r="AM15" t="str">
            <v>Working</v>
          </cell>
          <cell r="AN15" t="str">
            <v>Working</v>
          </cell>
          <cell r="AO15" t="str">
            <v>No Knowledge</v>
          </cell>
          <cell r="AP15" t="str">
            <v>Practitioner</v>
          </cell>
          <cell r="AQ15" t="str">
            <v>Practitioner</v>
          </cell>
          <cell r="AR15" t="str">
            <v>Practitioner</v>
          </cell>
          <cell r="AS15" t="str">
            <v>Practitioner</v>
          </cell>
          <cell r="AT15" t="str">
            <v>Practitioner</v>
          </cell>
        </row>
        <row r="16">
          <cell r="B16" t="str">
            <v>Continuity Management</v>
          </cell>
          <cell r="D16" t="str">
            <v>Awareness</v>
          </cell>
          <cell r="E16" t="str">
            <v>Awareness</v>
          </cell>
          <cell r="F16" t="str">
            <v>Awareness</v>
          </cell>
          <cell r="G16" t="str">
            <v>Awareness</v>
          </cell>
          <cell r="H16" t="str">
            <v>Awareness</v>
          </cell>
          <cell r="I16" t="str">
            <v>Awareness</v>
          </cell>
          <cell r="J16" t="str">
            <v>Awareness</v>
          </cell>
          <cell r="K16" t="str">
            <v>Awareness</v>
          </cell>
          <cell r="L16" t="str">
            <v>Awareness</v>
          </cell>
          <cell r="M16" t="str">
            <v>Awareness</v>
          </cell>
          <cell r="N16" t="str">
            <v>Awareness</v>
          </cell>
          <cell r="O16" t="str">
            <v>Practitioner</v>
          </cell>
          <cell r="P16" t="str">
            <v>Practitioner</v>
          </cell>
          <cell r="Q16" t="str">
            <v>Working</v>
          </cell>
          <cell r="R16" t="str">
            <v>Working</v>
          </cell>
          <cell r="S16" t="str">
            <v>Practitioner</v>
          </cell>
          <cell r="T16" t="str">
            <v>Practitioner</v>
          </cell>
          <cell r="U16" t="str">
            <v>Expert</v>
          </cell>
          <cell r="V16" t="str">
            <v>Expert</v>
          </cell>
          <cell r="W16" t="str">
            <v>Working</v>
          </cell>
          <cell r="X16" t="str">
            <v>Working</v>
          </cell>
          <cell r="Y16" t="str">
            <v>Practitioner</v>
          </cell>
          <cell r="Z16" t="str">
            <v>Working</v>
          </cell>
          <cell r="AA16" t="str">
            <v>Awareness</v>
          </cell>
          <cell r="AB16" t="str">
            <v>Working</v>
          </cell>
          <cell r="AC16" t="str">
            <v>Working</v>
          </cell>
          <cell r="AD16" t="str">
            <v>Working</v>
          </cell>
          <cell r="AE16" t="str">
            <v>Working</v>
          </cell>
          <cell r="AF16" t="str">
            <v>Practitioner</v>
          </cell>
          <cell r="AG16" t="str">
            <v>Practitioner</v>
          </cell>
          <cell r="AH16" t="str">
            <v>Practitioner</v>
          </cell>
          <cell r="AI16" t="str">
            <v>Awareness</v>
          </cell>
          <cell r="AJ16" t="str">
            <v>Awareness</v>
          </cell>
          <cell r="AK16" t="str">
            <v>Awareness</v>
          </cell>
          <cell r="AL16" t="str">
            <v>Working</v>
          </cell>
          <cell r="AM16" t="str">
            <v>Working</v>
          </cell>
          <cell r="AN16" t="str">
            <v>Working</v>
          </cell>
          <cell r="AO16" t="str">
            <v>Practitioner</v>
          </cell>
          <cell r="AP16" t="str">
            <v>Practitioner</v>
          </cell>
          <cell r="AQ16" t="str">
            <v>Practitioner</v>
          </cell>
          <cell r="AR16" t="str">
            <v>Practitioner</v>
          </cell>
          <cell r="AS16" t="str">
            <v>Practitioner</v>
          </cell>
          <cell r="AT16" t="str">
            <v>Practitioner</v>
          </cell>
          <cell r="AU16" t="str">
            <v>Practitioner</v>
          </cell>
          <cell r="AV16" t="str">
            <v>Practitioner</v>
          </cell>
          <cell r="AW16" t="str">
            <v>Practitioner</v>
          </cell>
          <cell r="AX16" t="str">
            <v>Practitioner</v>
          </cell>
        </row>
        <row r="17">
          <cell r="B17" t="str">
            <v>Demand Management</v>
          </cell>
          <cell r="D17" t="str">
            <v>Awareness</v>
          </cell>
          <cell r="E17" t="str">
            <v>Awareness</v>
          </cell>
          <cell r="F17" t="str">
            <v>Awareness</v>
          </cell>
          <cell r="G17" t="str">
            <v>Awareness</v>
          </cell>
          <cell r="H17" t="str">
            <v>Awareness</v>
          </cell>
          <cell r="I17" t="str">
            <v>Awareness</v>
          </cell>
          <cell r="J17" t="str">
            <v>Awareness</v>
          </cell>
          <cell r="K17" t="str">
            <v>Awareness</v>
          </cell>
          <cell r="L17" t="str">
            <v>Working</v>
          </cell>
          <cell r="M17" t="str">
            <v>Working</v>
          </cell>
          <cell r="N17" t="str">
            <v>Working</v>
          </cell>
          <cell r="O17" t="str">
            <v>Working</v>
          </cell>
          <cell r="P17" t="str">
            <v>Expert</v>
          </cell>
          <cell r="Q17" t="str">
            <v>Working</v>
          </cell>
          <cell r="R17" t="str">
            <v>Practitioner</v>
          </cell>
          <cell r="S17" t="str">
            <v>Practitioner</v>
          </cell>
          <cell r="T17" t="str">
            <v>Practitioner</v>
          </cell>
          <cell r="U17" t="str">
            <v>Practitioner</v>
          </cell>
          <cell r="V17" t="str">
            <v>Practitioner</v>
          </cell>
          <cell r="W17" t="str">
            <v>Working</v>
          </cell>
          <cell r="X17" t="str">
            <v>Practitioner</v>
          </cell>
          <cell r="Y17" t="str">
            <v>Practitioner</v>
          </cell>
          <cell r="Z17" t="str">
            <v>Practitioner</v>
          </cell>
          <cell r="AA17" t="str">
            <v>Awareness</v>
          </cell>
          <cell r="AB17" t="str">
            <v>Working</v>
          </cell>
          <cell r="AC17" t="str">
            <v>Working</v>
          </cell>
          <cell r="AD17" t="str">
            <v>Practitioner</v>
          </cell>
          <cell r="AE17" t="str">
            <v>Practitioner</v>
          </cell>
          <cell r="AF17" t="str">
            <v>Practitioner</v>
          </cell>
          <cell r="AG17" t="str">
            <v>Practitioner</v>
          </cell>
          <cell r="AH17" t="str">
            <v>Practitioner</v>
          </cell>
          <cell r="AI17" t="str">
            <v>Awareness</v>
          </cell>
          <cell r="AJ17" t="str">
            <v>Working</v>
          </cell>
          <cell r="AK17" t="str">
            <v>Working</v>
          </cell>
          <cell r="AL17" t="str">
            <v>Practitioner</v>
          </cell>
          <cell r="AM17" t="str">
            <v>Practitioner</v>
          </cell>
          <cell r="AN17" t="str">
            <v>Practitioner</v>
          </cell>
          <cell r="AO17" t="str">
            <v>Practitioner</v>
          </cell>
          <cell r="AP17" t="str">
            <v>Practitioner</v>
          </cell>
          <cell r="AQ17" t="str">
            <v>Practitioner</v>
          </cell>
          <cell r="AR17" t="str">
            <v>Practitioner</v>
          </cell>
          <cell r="AS17" t="str">
            <v>Practitioner</v>
          </cell>
          <cell r="AT17" t="str">
            <v>Practitioner</v>
          </cell>
          <cell r="AU17" t="str">
            <v>Working</v>
          </cell>
          <cell r="AV17" t="str">
            <v>Working</v>
          </cell>
          <cell r="AW17" t="str">
            <v>Working</v>
          </cell>
          <cell r="AX17" t="str">
            <v>Working</v>
          </cell>
        </row>
        <row r="18">
          <cell r="B18" t="str">
            <v>Knowledge management</v>
          </cell>
          <cell r="D18" t="str">
            <v>Working</v>
          </cell>
          <cell r="E18" t="str">
            <v>Working</v>
          </cell>
          <cell r="F18" t="str">
            <v>Working</v>
          </cell>
          <cell r="G18" t="str">
            <v>Working</v>
          </cell>
          <cell r="H18" t="str">
            <v>Working</v>
          </cell>
          <cell r="I18" t="str">
            <v>Working</v>
          </cell>
          <cell r="J18" t="str">
            <v>Working</v>
          </cell>
          <cell r="K18" t="str">
            <v>Working</v>
          </cell>
          <cell r="L18" t="str">
            <v>Working</v>
          </cell>
          <cell r="M18" t="str">
            <v>Working</v>
          </cell>
          <cell r="N18" t="str">
            <v>Working</v>
          </cell>
          <cell r="O18" t="str">
            <v>Working</v>
          </cell>
          <cell r="P18" t="str">
            <v>Practitioner</v>
          </cell>
          <cell r="Q18" t="str">
            <v>Working</v>
          </cell>
          <cell r="R18" t="str">
            <v>Working</v>
          </cell>
          <cell r="S18" t="str">
            <v>Practitioner</v>
          </cell>
          <cell r="T18" t="str">
            <v>Practitioner</v>
          </cell>
          <cell r="U18" t="str">
            <v>Expert</v>
          </cell>
          <cell r="V18" t="str">
            <v>Expert</v>
          </cell>
          <cell r="W18" t="str">
            <v>Working</v>
          </cell>
          <cell r="X18" t="str">
            <v>Working</v>
          </cell>
          <cell r="Y18" t="str">
            <v>Practitioner</v>
          </cell>
          <cell r="Z18" t="str">
            <v>Working</v>
          </cell>
          <cell r="AA18" t="str">
            <v>Awareness</v>
          </cell>
          <cell r="AB18" t="str">
            <v>Working</v>
          </cell>
          <cell r="AC18" t="str">
            <v>Working</v>
          </cell>
          <cell r="AD18" t="str">
            <v>Practitioner</v>
          </cell>
          <cell r="AE18" t="str">
            <v>Practitioner</v>
          </cell>
          <cell r="AF18" t="str">
            <v>Practitioner</v>
          </cell>
          <cell r="AG18" t="str">
            <v>Practitioner</v>
          </cell>
          <cell r="AH18" t="str">
            <v>Practitioner</v>
          </cell>
          <cell r="AI18" t="str">
            <v>Working</v>
          </cell>
          <cell r="AJ18" t="str">
            <v>Working</v>
          </cell>
          <cell r="AK18" t="str">
            <v>Working</v>
          </cell>
          <cell r="AL18" t="str">
            <v>Working</v>
          </cell>
          <cell r="AM18" t="str">
            <v>Working</v>
          </cell>
          <cell r="AN18" t="str">
            <v>Working</v>
          </cell>
          <cell r="AO18" t="str">
            <v>Practitioner</v>
          </cell>
          <cell r="AP18" t="str">
            <v>Practitioner</v>
          </cell>
          <cell r="AQ18" t="str">
            <v>Practitioner</v>
          </cell>
          <cell r="AR18" t="str">
            <v>Practitioner</v>
          </cell>
          <cell r="AS18" t="str">
            <v>Practitioner</v>
          </cell>
          <cell r="AT18" t="str">
            <v>Practitioner</v>
          </cell>
        </row>
        <row r="19">
          <cell r="B19" t="str">
            <v>Methods and tools</v>
          </cell>
          <cell r="D19" t="str">
            <v>Awareness</v>
          </cell>
          <cell r="E19" t="str">
            <v>Awareness</v>
          </cell>
          <cell r="F19" t="str">
            <v>Awareness</v>
          </cell>
          <cell r="G19" t="str">
            <v>Awareness</v>
          </cell>
          <cell r="H19" t="str">
            <v>Awareness</v>
          </cell>
          <cell r="I19" t="str">
            <v>Practitioner</v>
          </cell>
          <cell r="J19" t="str">
            <v>Awareness</v>
          </cell>
          <cell r="K19" t="str">
            <v>Awareness</v>
          </cell>
          <cell r="L19" t="str">
            <v>Working</v>
          </cell>
          <cell r="M19" t="str">
            <v>Working</v>
          </cell>
          <cell r="N19" t="str">
            <v>Practitioner</v>
          </cell>
          <cell r="O19" t="str">
            <v>Expert</v>
          </cell>
          <cell r="P19" t="str">
            <v>Expert</v>
          </cell>
          <cell r="Q19" t="str">
            <v>Working</v>
          </cell>
          <cell r="R19" t="str">
            <v>Working</v>
          </cell>
          <cell r="S19" t="str">
            <v>Practitioner</v>
          </cell>
          <cell r="T19" t="str">
            <v>Practitioner</v>
          </cell>
          <cell r="U19" t="str">
            <v>Expert</v>
          </cell>
          <cell r="V19" t="str">
            <v>Expert</v>
          </cell>
          <cell r="W19" t="str">
            <v>Working</v>
          </cell>
          <cell r="X19" t="str">
            <v>Working</v>
          </cell>
          <cell r="Y19" t="str">
            <v>Practitioner</v>
          </cell>
          <cell r="Z19" t="str">
            <v>Practitioner</v>
          </cell>
          <cell r="AA19" t="str">
            <v>Awareness</v>
          </cell>
          <cell r="AB19" t="str">
            <v>Working</v>
          </cell>
          <cell r="AC19" t="str">
            <v>Practitioner</v>
          </cell>
          <cell r="AD19" t="str">
            <v>Expert</v>
          </cell>
          <cell r="AE19" t="str">
            <v>Expert</v>
          </cell>
          <cell r="AF19" t="str">
            <v>Practitioner</v>
          </cell>
          <cell r="AG19" t="str">
            <v>Practitioner</v>
          </cell>
          <cell r="AH19" t="str">
            <v>Practitioner</v>
          </cell>
          <cell r="AI19" t="str">
            <v>Awareness</v>
          </cell>
          <cell r="AJ19" t="str">
            <v>Awareness</v>
          </cell>
          <cell r="AK19" t="str">
            <v>Awareness</v>
          </cell>
          <cell r="AL19" t="str">
            <v>Practitioner</v>
          </cell>
          <cell r="AM19" t="str">
            <v>Practitioner</v>
          </cell>
          <cell r="AN19" t="str">
            <v>Expert</v>
          </cell>
          <cell r="AO19" t="str">
            <v>Practitioner</v>
          </cell>
          <cell r="AP19" t="str">
            <v>Practitioner</v>
          </cell>
          <cell r="AQ19" t="str">
            <v>Practitioner</v>
          </cell>
          <cell r="AR19" t="str">
            <v>Practitioner</v>
          </cell>
          <cell r="AS19" t="str">
            <v>Practitioner</v>
          </cell>
          <cell r="AT19" t="str">
            <v>Practitioner</v>
          </cell>
        </row>
        <row r="20">
          <cell r="B20" t="str">
            <v>Release and deployment</v>
          </cell>
          <cell r="D20" t="str">
            <v>No Knowledge</v>
          </cell>
          <cell r="E20" t="str">
            <v>No Knowledge</v>
          </cell>
          <cell r="F20" t="str">
            <v>No Knowledge</v>
          </cell>
          <cell r="G20" t="str">
            <v>Awareness</v>
          </cell>
          <cell r="H20" t="str">
            <v>Awareness</v>
          </cell>
          <cell r="I20" t="str">
            <v>Awareness</v>
          </cell>
          <cell r="J20" t="str">
            <v>Awareness</v>
          </cell>
          <cell r="K20" t="str">
            <v>No Knowledge</v>
          </cell>
          <cell r="L20" t="str">
            <v>No Knowledge</v>
          </cell>
          <cell r="M20" t="str">
            <v>No Knowledge</v>
          </cell>
          <cell r="N20" t="str">
            <v>No Knowledge</v>
          </cell>
          <cell r="O20" t="str">
            <v>No Knowledge</v>
          </cell>
          <cell r="P20" t="str">
            <v>Working</v>
          </cell>
          <cell r="Q20" t="str">
            <v>Working</v>
          </cell>
          <cell r="R20" t="str">
            <v>Working</v>
          </cell>
          <cell r="S20" t="str">
            <v>Practitioner</v>
          </cell>
          <cell r="T20" t="str">
            <v>Practitioner</v>
          </cell>
          <cell r="U20" t="str">
            <v>Expert</v>
          </cell>
          <cell r="V20" t="str">
            <v>Expert</v>
          </cell>
          <cell r="W20" t="str">
            <v>Working</v>
          </cell>
          <cell r="X20" t="str">
            <v>Working</v>
          </cell>
          <cell r="Y20" t="str">
            <v>Practitioner</v>
          </cell>
          <cell r="Z20" t="str">
            <v>Practitioner</v>
          </cell>
          <cell r="AA20" t="str">
            <v>Awareness</v>
          </cell>
          <cell r="AB20" t="str">
            <v>Working</v>
          </cell>
          <cell r="AC20" t="str">
            <v>Practitioner</v>
          </cell>
          <cell r="AD20" t="str">
            <v>Expert</v>
          </cell>
          <cell r="AE20" t="str">
            <v>Expert</v>
          </cell>
          <cell r="AF20" t="str">
            <v>Practitioner</v>
          </cell>
          <cell r="AG20" t="str">
            <v>Practitioner</v>
          </cell>
          <cell r="AH20" t="str">
            <v>Practitioner</v>
          </cell>
          <cell r="AI20" t="str">
            <v>N/A</v>
          </cell>
          <cell r="AJ20" t="str">
            <v>No Knowledge</v>
          </cell>
          <cell r="AK20" t="str">
            <v>No Knowledge</v>
          </cell>
          <cell r="AL20" t="str">
            <v>Practitioner</v>
          </cell>
          <cell r="AM20" t="str">
            <v>Practitioner</v>
          </cell>
          <cell r="AN20" t="str">
            <v>Expert</v>
          </cell>
          <cell r="AO20" t="str">
            <v>Expert</v>
          </cell>
          <cell r="AP20" t="str">
            <v>Practitioner</v>
          </cell>
          <cell r="AQ20" t="str">
            <v>Practitioner</v>
          </cell>
          <cell r="AR20" t="str">
            <v>Practitioner</v>
          </cell>
          <cell r="AS20" t="str">
            <v>Practitioner</v>
          </cell>
          <cell r="AT20" t="str">
            <v>Practitioner</v>
          </cell>
        </row>
        <row r="21">
          <cell r="B21" t="str">
            <v>Service acceptance</v>
          </cell>
          <cell r="D21" t="str">
            <v>No Knowledge</v>
          </cell>
          <cell r="E21" t="str">
            <v>No Knowledge</v>
          </cell>
          <cell r="F21" t="str">
            <v>No Knowledge</v>
          </cell>
          <cell r="G21" t="str">
            <v>Practitioner</v>
          </cell>
          <cell r="H21" t="str">
            <v>Working</v>
          </cell>
          <cell r="I21" t="str">
            <v>Working</v>
          </cell>
          <cell r="J21" t="str">
            <v>Practitioner</v>
          </cell>
          <cell r="K21" t="str">
            <v>No Knowledge</v>
          </cell>
          <cell r="L21" t="str">
            <v>No Knowledge</v>
          </cell>
          <cell r="M21" t="str">
            <v>No Knowledge</v>
          </cell>
          <cell r="N21" t="str">
            <v>No Knowledge</v>
          </cell>
          <cell r="O21" t="str">
            <v>Practitioner</v>
          </cell>
          <cell r="P21" t="str">
            <v>Expert</v>
          </cell>
          <cell r="Q21" t="str">
            <v>Working</v>
          </cell>
          <cell r="R21" t="str">
            <v>Working</v>
          </cell>
          <cell r="S21" t="str">
            <v>Practitioner</v>
          </cell>
          <cell r="T21" t="str">
            <v>Practitioner</v>
          </cell>
          <cell r="U21" t="str">
            <v>Expert</v>
          </cell>
          <cell r="V21" t="str">
            <v>Expert</v>
          </cell>
          <cell r="W21" t="str">
            <v>Working</v>
          </cell>
          <cell r="X21" t="str">
            <v>Working</v>
          </cell>
          <cell r="Y21" t="str">
            <v>Practitioner</v>
          </cell>
          <cell r="Z21" t="str">
            <v>Practitioner</v>
          </cell>
          <cell r="AA21" t="str">
            <v>Awareness</v>
          </cell>
          <cell r="AB21" t="str">
            <v>Working</v>
          </cell>
          <cell r="AC21" t="str">
            <v>Practitioner</v>
          </cell>
          <cell r="AD21" t="str">
            <v>Expert</v>
          </cell>
          <cell r="AE21" t="str">
            <v>Expert</v>
          </cell>
          <cell r="AF21" t="str">
            <v>Practitioner</v>
          </cell>
          <cell r="AG21" t="str">
            <v>Practitioner</v>
          </cell>
          <cell r="AH21" t="str">
            <v>Practitioner</v>
          </cell>
          <cell r="AI21" t="str">
            <v>N/A</v>
          </cell>
          <cell r="AJ21" t="str">
            <v>No Knowledge</v>
          </cell>
          <cell r="AK21" t="str">
            <v>No Knowledge</v>
          </cell>
          <cell r="AL21" t="str">
            <v>Practitioner</v>
          </cell>
          <cell r="AM21" t="str">
            <v>Practitioner</v>
          </cell>
          <cell r="AN21" t="str">
            <v>Expert</v>
          </cell>
          <cell r="AO21" t="str">
            <v>Practitioner</v>
          </cell>
          <cell r="AP21" t="str">
            <v>Practitioner</v>
          </cell>
          <cell r="AQ21" t="str">
            <v>Practitioner</v>
          </cell>
          <cell r="AR21" t="str">
            <v>Practitioner</v>
          </cell>
          <cell r="AS21" t="str">
            <v>Practitioner</v>
          </cell>
          <cell r="AT21" t="str">
            <v>Practitioner</v>
          </cell>
        </row>
        <row r="22">
          <cell r="B22" t="str">
            <v>Stakeholder relationship management</v>
          </cell>
          <cell r="D22" t="str">
            <v>Awareness</v>
          </cell>
          <cell r="E22" t="str">
            <v>Working</v>
          </cell>
          <cell r="F22" t="str">
            <v>Practitioner</v>
          </cell>
          <cell r="G22" t="str">
            <v>Practitioner</v>
          </cell>
          <cell r="H22" t="str">
            <v>Practitioner</v>
          </cell>
          <cell r="I22" t="str">
            <v>Expert</v>
          </cell>
          <cell r="J22" t="str">
            <v>Practitioner</v>
          </cell>
          <cell r="K22" t="str">
            <v>Awareness</v>
          </cell>
          <cell r="L22" t="str">
            <v>Working</v>
          </cell>
          <cell r="M22" t="str">
            <v>Practitioner</v>
          </cell>
          <cell r="N22" t="str">
            <v>Practitioner</v>
          </cell>
          <cell r="O22" t="str">
            <v>Practitioner</v>
          </cell>
          <cell r="P22" t="str">
            <v>Expert</v>
          </cell>
          <cell r="Q22" t="str">
            <v>Working</v>
          </cell>
          <cell r="R22" t="str">
            <v>Working</v>
          </cell>
          <cell r="S22" t="str">
            <v>Practitioner</v>
          </cell>
          <cell r="T22" t="str">
            <v>Practitioner</v>
          </cell>
          <cell r="U22" t="str">
            <v>Expert</v>
          </cell>
          <cell r="V22" t="str">
            <v>Expert</v>
          </cell>
          <cell r="W22" t="str">
            <v>Working</v>
          </cell>
          <cell r="X22" t="str">
            <v>Working</v>
          </cell>
          <cell r="Y22" t="str">
            <v>Practitioner</v>
          </cell>
          <cell r="Z22" t="str">
            <v>Working</v>
          </cell>
          <cell r="AA22" t="str">
            <v>Awareness</v>
          </cell>
          <cell r="AB22" t="str">
            <v>Working</v>
          </cell>
          <cell r="AC22" t="str">
            <v>Working</v>
          </cell>
          <cell r="AD22" t="str">
            <v>Practitioner</v>
          </cell>
          <cell r="AE22" t="str">
            <v>Practitioner</v>
          </cell>
          <cell r="AF22" t="str">
            <v>Practitioner</v>
          </cell>
          <cell r="AG22" t="str">
            <v>Practitioner</v>
          </cell>
          <cell r="AH22" t="str">
            <v>Practitioner</v>
          </cell>
          <cell r="AI22" t="str">
            <v>Awareness</v>
          </cell>
          <cell r="AJ22" t="str">
            <v>Working</v>
          </cell>
          <cell r="AK22" t="str">
            <v>Working</v>
          </cell>
          <cell r="AL22" t="str">
            <v>Working</v>
          </cell>
          <cell r="AM22" t="str">
            <v>Working</v>
          </cell>
          <cell r="AN22" t="str">
            <v>Practitioner</v>
          </cell>
          <cell r="AO22" t="str">
            <v>Practitioner</v>
          </cell>
          <cell r="AP22" t="str">
            <v>Practitioner</v>
          </cell>
          <cell r="AQ22" t="str">
            <v>Practitioner</v>
          </cell>
          <cell r="AR22" t="str">
            <v>Practitioner</v>
          </cell>
          <cell r="AS22" t="str">
            <v>Practitioner</v>
          </cell>
          <cell r="AT22" t="str">
            <v>Practitioner</v>
          </cell>
          <cell r="AY22" t="str">
            <v>Practitioner</v>
          </cell>
          <cell r="AZ22" t="str">
            <v>Practitioner</v>
          </cell>
        </row>
        <row r="23">
          <cell r="B23" t="str">
            <v>Storage management</v>
          </cell>
          <cell r="D23" t="str">
            <v>Awareness</v>
          </cell>
          <cell r="E23" t="str">
            <v>Working</v>
          </cell>
          <cell r="F23" t="str">
            <v>Working</v>
          </cell>
          <cell r="G23" t="str">
            <v>Working</v>
          </cell>
          <cell r="H23" t="str">
            <v>Working</v>
          </cell>
          <cell r="I23" t="str">
            <v>Working</v>
          </cell>
          <cell r="J23" t="str">
            <v>Working</v>
          </cell>
          <cell r="K23" t="str">
            <v>Awareness</v>
          </cell>
          <cell r="L23" t="str">
            <v>Working</v>
          </cell>
          <cell r="M23" t="str">
            <v>Working</v>
          </cell>
          <cell r="N23" t="str">
            <v>Working</v>
          </cell>
          <cell r="O23" t="str">
            <v>Working</v>
          </cell>
          <cell r="P23" t="str">
            <v>Working</v>
          </cell>
          <cell r="Q23" t="str">
            <v>Working</v>
          </cell>
          <cell r="R23" t="str">
            <v>Working</v>
          </cell>
          <cell r="S23" t="str">
            <v>Practitioner</v>
          </cell>
          <cell r="T23" t="str">
            <v>Practitioner</v>
          </cell>
          <cell r="U23" t="str">
            <v>Expert</v>
          </cell>
          <cell r="V23" t="str">
            <v>Expert</v>
          </cell>
          <cell r="W23" t="str">
            <v>Working</v>
          </cell>
          <cell r="X23" t="str">
            <v>Working</v>
          </cell>
          <cell r="Y23" t="str">
            <v>Practitioner</v>
          </cell>
          <cell r="Z23" t="str">
            <v>Awareness</v>
          </cell>
          <cell r="AA23" t="str">
            <v>Awareness</v>
          </cell>
          <cell r="AB23" t="str">
            <v>Awareness</v>
          </cell>
          <cell r="AC23" t="str">
            <v>Awareness</v>
          </cell>
          <cell r="AD23" t="str">
            <v>Awareness</v>
          </cell>
          <cell r="AE23" t="str">
            <v>Awareness</v>
          </cell>
          <cell r="AF23" t="str">
            <v>Practitioner</v>
          </cell>
          <cell r="AG23" t="str">
            <v>Awareness</v>
          </cell>
          <cell r="AH23" t="str">
            <v>Practitioner</v>
          </cell>
          <cell r="AI23" t="str">
            <v>Awareness</v>
          </cell>
          <cell r="AJ23" t="str">
            <v>Working</v>
          </cell>
          <cell r="AK23" t="str">
            <v>Working</v>
          </cell>
          <cell r="AL23" t="str">
            <v>Awareness</v>
          </cell>
          <cell r="AM23" t="str">
            <v>Awareness</v>
          </cell>
          <cell r="AN23" t="str">
            <v>Awareness</v>
          </cell>
          <cell r="AO23" t="str">
            <v>Awareness</v>
          </cell>
          <cell r="AP23" t="str">
            <v>Practitioner</v>
          </cell>
          <cell r="AQ23" t="str">
            <v>Practitioner</v>
          </cell>
          <cell r="AR23" t="str">
            <v>Practitioner</v>
          </cell>
          <cell r="AS23" t="str">
            <v>Practitioner</v>
          </cell>
          <cell r="AT23" t="str">
            <v>Practitioner</v>
          </cell>
        </row>
        <row r="24">
          <cell r="B24" t="str">
            <v>Digital Forensics</v>
          </cell>
          <cell r="D24" t="str">
            <v>No Knowledge</v>
          </cell>
          <cell r="E24" t="str">
            <v>No Knowledge</v>
          </cell>
          <cell r="F24" t="str">
            <v>No Knowledge</v>
          </cell>
          <cell r="G24" t="str">
            <v>No Knowledge</v>
          </cell>
          <cell r="H24" t="str">
            <v>No Knowledge</v>
          </cell>
          <cell r="I24" t="str">
            <v>No Knowledge</v>
          </cell>
          <cell r="J24" t="str">
            <v>No Knowledge</v>
          </cell>
          <cell r="K24" t="str">
            <v>No Knowledge</v>
          </cell>
          <cell r="L24" t="str">
            <v>No Knowledge</v>
          </cell>
          <cell r="M24" t="str">
            <v>No Knowledge</v>
          </cell>
          <cell r="N24" t="str">
            <v>No Knowledge</v>
          </cell>
          <cell r="O24" t="str">
            <v>No Knowledge</v>
          </cell>
          <cell r="P24" t="str">
            <v>No Knowledge</v>
          </cell>
          <cell r="Q24" t="str">
            <v>No Knowledge</v>
          </cell>
          <cell r="R24" t="str">
            <v>No Knowledge</v>
          </cell>
          <cell r="S24" t="str">
            <v>No Knowledge</v>
          </cell>
          <cell r="T24" t="str">
            <v>No Knowledge</v>
          </cell>
          <cell r="U24" t="str">
            <v>No Knowledge</v>
          </cell>
          <cell r="V24" t="str">
            <v>No Knowledge</v>
          </cell>
          <cell r="W24" t="str">
            <v>Working</v>
          </cell>
          <cell r="X24" t="str">
            <v>Working</v>
          </cell>
          <cell r="Y24" t="str">
            <v>Working</v>
          </cell>
          <cell r="Z24" t="str">
            <v>Awareness</v>
          </cell>
          <cell r="AA24" t="str">
            <v>Working</v>
          </cell>
          <cell r="AB24" t="str">
            <v>Working</v>
          </cell>
          <cell r="AC24" t="str">
            <v>Practitioner</v>
          </cell>
          <cell r="AD24" t="str">
            <v>Practitioner</v>
          </cell>
          <cell r="AE24" t="str">
            <v>Practitioner</v>
          </cell>
          <cell r="AF24" t="str">
            <v>Practitioner</v>
          </cell>
          <cell r="AG24" t="str">
            <v>Practitioner</v>
          </cell>
          <cell r="AH24" t="str">
            <v>No Knowledge</v>
          </cell>
          <cell r="AI24" t="str">
            <v>No Knowledge</v>
          </cell>
          <cell r="AJ24" t="str">
            <v>No Knowledge</v>
          </cell>
          <cell r="AK24" t="str">
            <v>No Knowledge</v>
          </cell>
          <cell r="AL24" t="str">
            <v>Working</v>
          </cell>
          <cell r="AM24" t="str">
            <v>Practitioner</v>
          </cell>
          <cell r="AN24" t="str">
            <v>Practitioner</v>
          </cell>
          <cell r="AO24" t="str">
            <v>Expert</v>
          </cell>
          <cell r="AP24" t="str">
            <v>Practitioner</v>
          </cell>
          <cell r="AQ24" t="str">
            <v>Practitioner</v>
          </cell>
          <cell r="AR24" t="str">
            <v>Practitioner</v>
          </cell>
          <cell r="AS24" t="str">
            <v>Practitioner</v>
          </cell>
          <cell r="AT24" t="str">
            <v>Practitioner</v>
          </cell>
          <cell r="AU24" t="str">
            <v>Expert</v>
          </cell>
          <cell r="AV24" t="str">
            <v>Expert</v>
          </cell>
          <cell r="AW24" t="str">
            <v>Expert</v>
          </cell>
          <cell r="AX24" t="str">
            <v>Expert</v>
          </cell>
        </row>
        <row r="25">
          <cell r="B25" t="str">
            <v>Penetration testing</v>
          </cell>
          <cell r="D25" t="str">
            <v>No Knowledge</v>
          </cell>
          <cell r="E25" t="str">
            <v>No Knowledge</v>
          </cell>
          <cell r="F25" t="str">
            <v>No Knowledge</v>
          </cell>
          <cell r="G25" t="str">
            <v>No Knowledge</v>
          </cell>
          <cell r="H25" t="str">
            <v>No Knowledge</v>
          </cell>
          <cell r="I25" t="str">
            <v>No Knowledge</v>
          </cell>
          <cell r="J25" t="str">
            <v>No Knowledge</v>
          </cell>
          <cell r="K25" t="str">
            <v>No Knowledge</v>
          </cell>
          <cell r="L25" t="str">
            <v>No Knowledge</v>
          </cell>
          <cell r="M25" t="str">
            <v>No Knowledge</v>
          </cell>
          <cell r="N25" t="str">
            <v>No Knowledge</v>
          </cell>
          <cell r="O25" t="str">
            <v>No Knowledge</v>
          </cell>
          <cell r="P25" t="str">
            <v>Awareness</v>
          </cell>
          <cell r="Q25" t="str">
            <v>Awareness</v>
          </cell>
          <cell r="R25" t="str">
            <v>Awareness</v>
          </cell>
          <cell r="S25" t="str">
            <v>Working</v>
          </cell>
          <cell r="T25" t="str">
            <v>Working</v>
          </cell>
          <cell r="U25" t="str">
            <v>Practitioner</v>
          </cell>
          <cell r="V25" t="str">
            <v>Practitioner</v>
          </cell>
          <cell r="W25" t="str">
            <v>Awareness</v>
          </cell>
          <cell r="X25" t="str">
            <v>Awareness</v>
          </cell>
          <cell r="Y25" t="str">
            <v>Working</v>
          </cell>
          <cell r="Z25" t="str">
            <v>Working</v>
          </cell>
          <cell r="AA25" t="str">
            <v>Working</v>
          </cell>
          <cell r="AB25" t="str">
            <v>Working</v>
          </cell>
          <cell r="AC25" t="str">
            <v>Working</v>
          </cell>
          <cell r="AD25" t="str">
            <v>Practitioner</v>
          </cell>
          <cell r="AE25" t="str">
            <v>Practitioner</v>
          </cell>
          <cell r="AF25" t="str">
            <v>Practitioner</v>
          </cell>
          <cell r="AG25" t="str">
            <v>Practitioner</v>
          </cell>
          <cell r="AH25" t="str">
            <v>Working</v>
          </cell>
          <cell r="AI25" t="str">
            <v>No Knowledge</v>
          </cell>
          <cell r="AJ25" t="str">
            <v>No Knowledge</v>
          </cell>
          <cell r="AK25" t="str">
            <v>No Knowledge</v>
          </cell>
          <cell r="AL25" t="str">
            <v>Practitioner</v>
          </cell>
          <cell r="AM25" t="str">
            <v>Practitioner</v>
          </cell>
          <cell r="AN25" t="str">
            <v>Expert</v>
          </cell>
          <cell r="AO25" t="str">
            <v>Expert</v>
          </cell>
          <cell r="AP25" t="str">
            <v>Practitioner</v>
          </cell>
          <cell r="AQ25" t="str">
            <v>Practitioner</v>
          </cell>
          <cell r="AR25" t="str">
            <v>Practitioner</v>
          </cell>
          <cell r="AS25" t="str">
            <v>Practitioner</v>
          </cell>
          <cell r="AT25" t="str">
            <v>Practitioner</v>
          </cell>
          <cell r="AU25" t="str">
            <v>Expert</v>
          </cell>
          <cell r="AV25" t="str">
            <v>Expert</v>
          </cell>
          <cell r="AW25" t="str">
            <v>Expert</v>
          </cell>
          <cell r="AX25" t="str">
            <v>Expert</v>
          </cell>
        </row>
        <row r="26">
          <cell r="B26" t="str">
            <v>Security Operations</v>
          </cell>
          <cell r="D26" t="str">
            <v>Awareness</v>
          </cell>
          <cell r="E26" t="str">
            <v>Working</v>
          </cell>
          <cell r="F26" t="str">
            <v>Practitioner</v>
          </cell>
          <cell r="G26" t="str">
            <v>Practitioner</v>
          </cell>
          <cell r="H26" t="str">
            <v>Practitioner</v>
          </cell>
          <cell r="I26" t="str">
            <v>Practitioner</v>
          </cell>
          <cell r="J26" t="str">
            <v>Practitioner</v>
          </cell>
          <cell r="K26" t="str">
            <v>Awareness</v>
          </cell>
          <cell r="L26" t="str">
            <v>Working</v>
          </cell>
          <cell r="M26" t="str">
            <v>Practitioner</v>
          </cell>
          <cell r="N26" t="str">
            <v>Practitioner</v>
          </cell>
          <cell r="O26" t="str">
            <v>No Knowledge</v>
          </cell>
          <cell r="P26" t="str">
            <v>Practitioner</v>
          </cell>
          <cell r="Q26" t="str">
            <v>Awareness</v>
          </cell>
          <cell r="R26" t="str">
            <v>Working</v>
          </cell>
          <cell r="S26" t="str">
            <v>Practitioner</v>
          </cell>
          <cell r="T26" t="str">
            <v>Practitioner</v>
          </cell>
          <cell r="U26" t="str">
            <v>Practitioner</v>
          </cell>
          <cell r="V26" t="str">
            <v>Practitioner</v>
          </cell>
          <cell r="W26" t="str">
            <v>Working</v>
          </cell>
          <cell r="X26" t="str">
            <v>Working</v>
          </cell>
          <cell r="Y26" t="str">
            <v>Practitioner</v>
          </cell>
          <cell r="Z26" t="str">
            <v>Practitioner</v>
          </cell>
          <cell r="AA26" t="str">
            <v>Working</v>
          </cell>
          <cell r="AB26" t="str">
            <v>Working</v>
          </cell>
          <cell r="AC26" t="str">
            <v>Practitioner</v>
          </cell>
          <cell r="AD26" t="str">
            <v>Practitioner</v>
          </cell>
          <cell r="AE26" t="str">
            <v>Practitioner</v>
          </cell>
          <cell r="AF26" t="str">
            <v>Expert</v>
          </cell>
          <cell r="AG26" t="str">
            <v>Practitioner</v>
          </cell>
          <cell r="AH26" t="str">
            <v>Practitioner</v>
          </cell>
          <cell r="AI26" t="str">
            <v>Awareness</v>
          </cell>
          <cell r="AJ26" t="str">
            <v>Working</v>
          </cell>
          <cell r="AK26" t="str">
            <v>Practitioner</v>
          </cell>
          <cell r="AL26" t="str">
            <v>Practitioner</v>
          </cell>
          <cell r="AM26" t="str">
            <v>Practitioner</v>
          </cell>
          <cell r="AN26" t="str">
            <v>Expert</v>
          </cell>
          <cell r="AO26" t="str">
            <v>Expert</v>
          </cell>
          <cell r="AP26" t="str">
            <v>Expert</v>
          </cell>
          <cell r="AQ26" t="str">
            <v>Expert</v>
          </cell>
          <cell r="AR26" t="str">
            <v>Expert</v>
          </cell>
          <cell r="AS26" t="str">
            <v>Expert</v>
          </cell>
          <cell r="AT26" t="str">
            <v>Expert</v>
          </cell>
          <cell r="AU26" t="str">
            <v>Expert</v>
          </cell>
          <cell r="AV26" t="str">
            <v>Expert</v>
          </cell>
          <cell r="AW26" t="str">
            <v>Expert</v>
          </cell>
          <cell r="AX26" t="str">
            <v>Expert</v>
          </cell>
        </row>
        <row r="27">
          <cell r="B27" t="str">
            <v>Threat Intelligence</v>
          </cell>
          <cell r="D27" t="str">
            <v>No Knowledge</v>
          </cell>
          <cell r="E27" t="str">
            <v>No Knowledge</v>
          </cell>
          <cell r="F27" t="str">
            <v>No Knowledge</v>
          </cell>
          <cell r="G27" t="str">
            <v>No Knowledge</v>
          </cell>
          <cell r="H27" t="str">
            <v>No Knowledge</v>
          </cell>
          <cell r="I27" t="str">
            <v>No Knowledge</v>
          </cell>
          <cell r="J27" t="str">
            <v>No Knowledge</v>
          </cell>
          <cell r="K27" t="str">
            <v>No Knowledge</v>
          </cell>
          <cell r="L27" t="str">
            <v>No Knowledge</v>
          </cell>
          <cell r="M27" t="str">
            <v>No Knowledge</v>
          </cell>
          <cell r="N27" t="str">
            <v>No Knowledge</v>
          </cell>
          <cell r="O27" t="str">
            <v>No Knowledge</v>
          </cell>
          <cell r="P27" t="str">
            <v>No Knowledge</v>
          </cell>
          <cell r="Q27" t="str">
            <v>No Knowledge</v>
          </cell>
          <cell r="R27" t="str">
            <v>No Knowledge</v>
          </cell>
          <cell r="S27" t="str">
            <v>Awareness</v>
          </cell>
          <cell r="T27" t="str">
            <v>Awareness</v>
          </cell>
          <cell r="U27" t="str">
            <v>Working</v>
          </cell>
          <cell r="V27" t="str">
            <v>Working</v>
          </cell>
          <cell r="W27" t="str">
            <v>Awareness</v>
          </cell>
          <cell r="X27" t="str">
            <v>Awareness</v>
          </cell>
          <cell r="Y27" t="str">
            <v>Working</v>
          </cell>
          <cell r="Z27" t="str">
            <v>Working</v>
          </cell>
          <cell r="AA27" t="str">
            <v>Awareness</v>
          </cell>
          <cell r="AB27" t="str">
            <v>Working</v>
          </cell>
          <cell r="AC27" t="str">
            <v>Working</v>
          </cell>
          <cell r="AD27" t="str">
            <v>Practitioner</v>
          </cell>
          <cell r="AE27" t="str">
            <v>Practitioner</v>
          </cell>
          <cell r="AF27" t="str">
            <v>Expert</v>
          </cell>
          <cell r="AG27" t="str">
            <v>Practitioner</v>
          </cell>
          <cell r="AH27" t="str">
            <v>Awareness</v>
          </cell>
          <cell r="AI27" t="str">
            <v>No Knowledge</v>
          </cell>
          <cell r="AJ27" t="str">
            <v>No Knowledge</v>
          </cell>
          <cell r="AK27" t="str">
            <v>No Knowledge</v>
          </cell>
          <cell r="AL27" t="str">
            <v>Practitioner</v>
          </cell>
          <cell r="AM27" t="str">
            <v>Practitioner</v>
          </cell>
          <cell r="AN27" t="str">
            <v>Expert</v>
          </cell>
          <cell r="AO27" t="str">
            <v>Expert</v>
          </cell>
          <cell r="AP27" t="str">
            <v>Expert</v>
          </cell>
          <cell r="AQ27" t="str">
            <v>Expert</v>
          </cell>
          <cell r="AR27" t="str">
            <v>Expert</v>
          </cell>
          <cell r="AS27" t="str">
            <v>Expert</v>
          </cell>
          <cell r="AT27" t="str">
            <v>Expert</v>
          </cell>
          <cell r="AU27" t="str">
            <v>Expert</v>
          </cell>
          <cell r="AV27" t="str">
            <v>Expert</v>
          </cell>
          <cell r="AW27" t="str">
            <v>Expert</v>
          </cell>
          <cell r="AX27" t="str">
            <v>Expert</v>
          </cell>
        </row>
        <row r="28">
          <cell r="B28" t="str">
            <v>Vulnerability assessment</v>
          </cell>
          <cell r="D28" t="str">
            <v>Awareness</v>
          </cell>
          <cell r="E28" t="str">
            <v>Working</v>
          </cell>
          <cell r="F28" t="str">
            <v>Working</v>
          </cell>
          <cell r="G28" t="str">
            <v>Working</v>
          </cell>
          <cell r="H28" t="str">
            <v>Working</v>
          </cell>
          <cell r="I28" t="str">
            <v>Working</v>
          </cell>
          <cell r="J28" t="str">
            <v>Working</v>
          </cell>
          <cell r="K28" t="str">
            <v>Awareness</v>
          </cell>
          <cell r="L28" t="str">
            <v>Working</v>
          </cell>
          <cell r="M28" t="str">
            <v>Working</v>
          </cell>
          <cell r="N28" t="str">
            <v>Working</v>
          </cell>
          <cell r="O28" t="str">
            <v>No Knowledge</v>
          </cell>
          <cell r="P28" t="str">
            <v>Working</v>
          </cell>
          <cell r="Q28" t="str">
            <v>Awareness</v>
          </cell>
          <cell r="R28" t="str">
            <v>Working</v>
          </cell>
          <cell r="S28" t="str">
            <v>Practitioner</v>
          </cell>
          <cell r="T28" t="str">
            <v>Practitioner</v>
          </cell>
          <cell r="U28" t="str">
            <v>Practitioner</v>
          </cell>
          <cell r="V28" t="str">
            <v>Practitioner</v>
          </cell>
          <cell r="W28" t="str">
            <v>Working</v>
          </cell>
          <cell r="X28" t="str">
            <v>Working</v>
          </cell>
          <cell r="Y28" t="str">
            <v>Working</v>
          </cell>
          <cell r="Z28" t="str">
            <v>Practitioner</v>
          </cell>
          <cell r="AA28" t="str">
            <v>Working</v>
          </cell>
          <cell r="AB28" t="str">
            <v>Working</v>
          </cell>
          <cell r="AC28" t="str">
            <v>Working</v>
          </cell>
          <cell r="AD28" t="str">
            <v>Practitioner</v>
          </cell>
          <cell r="AE28" t="str">
            <v>Practitioner</v>
          </cell>
          <cell r="AF28" t="str">
            <v>Expert</v>
          </cell>
          <cell r="AG28" t="str">
            <v>Practitioner</v>
          </cell>
          <cell r="AH28" t="str">
            <v>Practitioner</v>
          </cell>
          <cell r="AI28" t="str">
            <v>Awareness</v>
          </cell>
          <cell r="AJ28" t="str">
            <v>Working</v>
          </cell>
          <cell r="AK28" t="str">
            <v>Working</v>
          </cell>
          <cell r="AL28" t="str">
            <v>Practitioner</v>
          </cell>
          <cell r="AM28" t="str">
            <v>Practitioner</v>
          </cell>
          <cell r="AN28" t="str">
            <v>Expert</v>
          </cell>
          <cell r="AO28" t="str">
            <v>Expert</v>
          </cell>
          <cell r="AP28" t="str">
            <v>Expert</v>
          </cell>
          <cell r="AQ28" t="str">
            <v>Expert</v>
          </cell>
          <cell r="AR28" t="str">
            <v>Expert</v>
          </cell>
          <cell r="AS28" t="str">
            <v>Expert</v>
          </cell>
          <cell r="AT28" t="str">
            <v>Expert</v>
          </cell>
          <cell r="AU28" t="str">
            <v>No Knowledge</v>
          </cell>
          <cell r="AV28" t="str">
            <v>No Knowledge</v>
          </cell>
          <cell r="AW28" t="str">
            <v>No Knowledge</v>
          </cell>
          <cell r="AX28" t="str">
            <v>No Knowledge</v>
          </cell>
        </row>
        <row r="29">
          <cell r="B29" t="str">
            <v>Vulnerability Research</v>
          </cell>
          <cell r="D29" t="str">
            <v>No Knowledge</v>
          </cell>
          <cell r="E29" t="str">
            <v>No Knowledge</v>
          </cell>
          <cell r="F29" t="str">
            <v>No Knowledge</v>
          </cell>
          <cell r="G29" t="str">
            <v>No Knowledge</v>
          </cell>
          <cell r="H29" t="str">
            <v>No Knowledge</v>
          </cell>
          <cell r="I29" t="str">
            <v>No Knowledge</v>
          </cell>
          <cell r="J29" t="str">
            <v>No Knowledge</v>
          </cell>
          <cell r="K29" t="str">
            <v>No Knowledge</v>
          </cell>
          <cell r="L29" t="str">
            <v>No Knowledge</v>
          </cell>
          <cell r="M29" t="str">
            <v>No Knowledge</v>
          </cell>
          <cell r="N29" t="str">
            <v>No Knowledge</v>
          </cell>
          <cell r="O29" t="str">
            <v>No Knowledge</v>
          </cell>
          <cell r="P29" t="str">
            <v>No Knowledge</v>
          </cell>
          <cell r="Q29" t="str">
            <v>No Knowledge</v>
          </cell>
          <cell r="R29" t="str">
            <v>No Knowledge</v>
          </cell>
          <cell r="S29" t="str">
            <v>Awareness</v>
          </cell>
          <cell r="T29" t="str">
            <v>Awareness</v>
          </cell>
          <cell r="U29" t="str">
            <v>Working</v>
          </cell>
          <cell r="V29" t="str">
            <v>Working</v>
          </cell>
          <cell r="W29" t="str">
            <v>Awareness</v>
          </cell>
          <cell r="X29" t="str">
            <v>Awareness</v>
          </cell>
          <cell r="Y29" t="str">
            <v>Awareness</v>
          </cell>
          <cell r="Z29" t="str">
            <v>Awareness</v>
          </cell>
          <cell r="AA29" t="str">
            <v>No Knowledge</v>
          </cell>
          <cell r="AB29" t="str">
            <v>No Knowledge</v>
          </cell>
          <cell r="AC29" t="str">
            <v>No Knowledge</v>
          </cell>
          <cell r="AD29" t="str">
            <v>No Knowledge</v>
          </cell>
          <cell r="AE29" t="str">
            <v>No Knowledge</v>
          </cell>
          <cell r="AF29" t="str">
            <v>No Knowledge</v>
          </cell>
          <cell r="AG29" t="str">
            <v>Practitioner</v>
          </cell>
          <cell r="AH29" t="str">
            <v>Awareness</v>
          </cell>
          <cell r="AI29" t="str">
            <v>No Knowledge</v>
          </cell>
          <cell r="AJ29" t="str">
            <v>No Knowledge</v>
          </cell>
          <cell r="AK29" t="str">
            <v>No Knowledge</v>
          </cell>
          <cell r="AL29" t="str">
            <v>No Knowledge</v>
          </cell>
          <cell r="AM29" t="str">
            <v>No Knowledge</v>
          </cell>
          <cell r="AN29" t="str">
            <v>No Knowledge</v>
          </cell>
          <cell r="AO29" t="str">
            <v>Expert</v>
          </cell>
          <cell r="AP29" t="str">
            <v>No Knowledge</v>
          </cell>
          <cell r="AQ29" t="str">
            <v>No Knowledge</v>
          </cell>
          <cell r="AR29" t="str">
            <v>No Knowledge</v>
          </cell>
          <cell r="AS29" t="str">
            <v>No Knowledge</v>
          </cell>
          <cell r="AT29" t="str">
            <v>No Knowledge</v>
          </cell>
          <cell r="AU29" t="str">
            <v>Awareness</v>
          </cell>
          <cell r="AV29" t="str">
            <v>Awareness</v>
          </cell>
          <cell r="AW29" t="str">
            <v>Awareness</v>
          </cell>
          <cell r="AX29" t="str">
            <v>Awareness</v>
          </cell>
          <cell r="AY29" t="str">
            <v>Awareness</v>
          </cell>
          <cell r="AZ29" t="str">
            <v>Awareness</v>
          </cell>
        </row>
        <row r="30">
          <cell r="B30" t="str">
            <v>Competency assessment</v>
          </cell>
          <cell r="D30" t="str">
            <v>Awareness</v>
          </cell>
          <cell r="E30" t="str">
            <v>Awareness</v>
          </cell>
          <cell r="F30" t="str">
            <v>Awareness</v>
          </cell>
          <cell r="G30" t="str">
            <v>Working</v>
          </cell>
          <cell r="H30" t="str">
            <v>Awareness</v>
          </cell>
          <cell r="I30" t="str">
            <v>Awareness</v>
          </cell>
          <cell r="J30" t="str">
            <v>Working</v>
          </cell>
          <cell r="K30" t="str">
            <v>Awareness</v>
          </cell>
          <cell r="L30" t="str">
            <v>Awareness</v>
          </cell>
          <cell r="M30" t="str">
            <v>Awareness</v>
          </cell>
          <cell r="N30" t="str">
            <v>Working</v>
          </cell>
          <cell r="O30" t="str">
            <v>Awareness</v>
          </cell>
          <cell r="P30" t="str">
            <v>Practitioner</v>
          </cell>
          <cell r="Q30" t="str">
            <v>Awareness</v>
          </cell>
          <cell r="R30" t="str">
            <v>Awareness</v>
          </cell>
          <cell r="S30" t="str">
            <v>Awareness</v>
          </cell>
          <cell r="T30" t="str">
            <v>Awareness</v>
          </cell>
          <cell r="U30" t="str">
            <v>Awareness</v>
          </cell>
          <cell r="V30" t="str">
            <v>Working</v>
          </cell>
          <cell r="W30" t="str">
            <v>Awareness</v>
          </cell>
          <cell r="X30" t="str">
            <v>Awareness</v>
          </cell>
          <cell r="Y30" t="str">
            <v>Awareness</v>
          </cell>
          <cell r="Z30" t="str">
            <v>Working</v>
          </cell>
          <cell r="AA30" t="str">
            <v>Awareness</v>
          </cell>
          <cell r="AB30" t="str">
            <v>Awareness</v>
          </cell>
          <cell r="AC30" t="str">
            <v>Awareness</v>
          </cell>
          <cell r="AD30" t="str">
            <v>Awareness</v>
          </cell>
          <cell r="AE30" t="str">
            <v>Awareness</v>
          </cell>
          <cell r="AF30" t="str">
            <v>Practitioner</v>
          </cell>
          <cell r="AG30" t="str">
            <v>Awareness</v>
          </cell>
          <cell r="AH30" t="str">
            <v>Awareness</v>
          </cell>
          <cell r="AI30" t="str">
            <v>Awareness</v>
          </cell>
          <cell r="AJ30" t="str">
            <v>Awareness</v>
          </cell>
          <cell r="AK30" t="str">
            <v>Working</v>
          </cell>
          <cell r="AL30" t="str">
            <v>Awareness</v>
          </cell>
          <cell r="AM30" t="str">
            <v>Awareness</v>
          </cell>
          <cell r="AN30" t="str">
            <v>Awareness</v>
          </cell>
          <cell r="AO30" t="str">
            <v>Practitioner</v>
          </cell>
          <cell r="AP30" t="str">
            <v>Practitioner</v>
          </cell>
          <cell r="AQ30" t="str">
            <v>Working</v>
          </cell>
          <cell r="AR30" t="str">
            <v>Working</v>
          </cell>
          <cell r="AS30" t="str">
            <v>Working</v>
          </cell>
          <cell r="AT30" t="str">
            <v>Working</v>
          </cell>
          <cell r="AU30" t="str">
            <v>Awareness</v>
          </cell>
          <cell r="AV30" t="str">
            <v>Awareness</v>
          </cell>
          <cell r="AW30" t="str">
            <v>Awareness</v>
          </cell>
          <cell r="AX30" t="str">
            <v>Awareness</v>
          </cell>
          <cell r="AY30" t="str">
            <v>Awareness</v>
          </cell>
          <cell r="AZ30" t="str">
            <v>Awareness</v>
          </cell>
        </row>
        <row r="31">
          <cell r="B31" t="str">
            <v>Financial management</v>
          </cell>
          <cell r="D31" t="str">
            <v>Awareness</v>
          </cell>
          <cell r="E31" t="str">
            <v>Awareness</v>
          </cell>
          <cell r="F31" t="str">
            <v>Awareness</v>
          </cell>
          <cell r="G31" t="str">
            <v>Working</v>
          </cell>
          <cell r="H31" t="str">
            <v>Awareness</v>
          </cell>
          <cell r="I31" t="str">
            <v>Awareness</v>
          </cell>
          <cell r="J31" t="str">
            <v>Working</v>
          </cell>
          <cell r="K31" t="str">
            <v>Working</v>
          </cell>
          <cell r="L31" t="str">
            <v>Working</v>
          </cell>
          <cell r="M31" t="str">
            <v>Working</v>
          </cell>
          <cell r="N31" t="str">
            <v>Working</v>
          </cell>
          <cell r="O31" t="str">
            <v>Awareness</v>
          </cell>
          <cell r="P31" t="str">
            <v>Awareness</v>
          </cell>
          <cell r="Q31" t="str">
            <v>Awareness</v>
          </cell>
          <cell r="R31" t="str">
            <v>Awareness</v>
          </cell>
          <cell r="S31" t="str">
            <v>Awareness</v>
          </cell>
          <cell r="T31" t="str">
            <v>Awareness</v>
          </cell>
          <cell r="U31" t="str">
            <v>Working</v>
          </cell>
          <cell r="V31" t="str">
            <v>Working</v>
          </cell>
          <cell r="W31" t="str">
            <v>No Knowledge</v>
          </cell>
          <cell r="X31" t="str">
            <v>No Knowledge</v>
          </cell>
          <cell r="Y31" t="str">
            <v>No Knowledge</v>
          </cell>
          <cell r="Z31" t="str">
            <v>Working</v>
          </cell>
          <cell r="AA31" t="str">
            <v>No Knowledge</v>
          </cell>
          <cell r="AB31" t="str">
            <v>No Knowledge</v>
          </cell>
          <cell r="AC31" t="str">
            <v>No Knowledge</v>
          </cell>
          <cell r="AD31" t="str">
            <v>No Knowledge</v>
          </cell>
          <cell r="AE31" t="str">
            <v>No Knowledge</v>
          </cell>
          <cell r="AF31" t="str">
            <v>Awareness</v>
          </cell>
          <cell r="AG31" t="str">
            <v>Awareness</v>
          </cell>
          <cell r="AH31" t="str">
            <v>Awareness</v>
          </cell>
          <cell r="AI31" t="str">
            <v>Awareness</v>
          </cell>
          <cell r="AJ31" t="str">
            <v>Working</v>
          </cell>
          <cell r="AK31" t="str">
            <v>Working</v>
          </cell>
          <cell r="AL31" t="str">
            <v>No Knowledge</v>
          </cell>
          <cell r="AM31" t="str">
            <v>No Knowledge</v>
          </cell>
          <cell r="AN31" t="str">
            <v>No Knowledge</v>
          </cell>
          <cell r="AO31" t="str">
            <v>Awareness</v>
          </cell>
          <cell r="AP31" t="str">
            <v>Awareness</v>
          </cell>
          <cell r="AQ31" t="str">
            <v>Practitioner</v>
          </cell>
          <cell r="AR31" t="str">
            <v>Practitioner</v>
          </cell>
          <cell r="AS31" t="str">
            <v>Practitioner</v>
          </cell>
          <cell r="AT31" t="str">
            <v>Practitioner</v>
          </cell>
          <cell r="AU31" t="str">
            <v>No Knowledge</v>
          </cell>
          <cell r="AV31" t="str">
            <v>No Knowledge</v>
          </cell>
          <cell r="AW31" t="str">
            <v>No Knowledge</v>
          </cell>
          <cell r="AX31" t="str">
            <v>No Knowledge</v>
          </cell>
          <cell r="AY31" t="str">
            <v>N/A</v>
          </cell>
          <cell r="AZ31" t="str">
            <v>N/A</v>
          </cell>
        </row>
        <row r="32">
          <cell r="B32" t="str">
            <v>Organisation design and implementation</v>
          </cell>
          <cell r="D32" t="str">
            <v>No Knowledge</v>
          </cell>
          <cell r="E32" t="str">
            <v>No Knowledge</v>
          </cell>
          <cell r="F32" t="str">
            <v>No Knowledge</v>
          </cell>
          <cell r="G32" t="str">
            <v>No Knowledge</v>
          </cell>
          <cell r="H32" t="str">
            <v>No Knowledge</v>
          </cell>
          <cell r="I32" t="str">
            <v>No Knowledge</v>
          </cell>
          <cell r="J32" t="str">
            <v>No Knowledge</v>
          </cell>
          <cell r="K32" t="str">
            <v>No Knowledge</v>
          </cell>
          <cell r="L32" t="str">
            <v>No Knowledge</v>
          </cell>
          <cell r="M32" t="str">
            <v>No Knowledge</v>
          </cell>
          <cell r="N32" t="str">
            <v>No Knowledge</v>
          </cell>
          <cell r="O32" t="str">
            <v>No Knowledge</v>
          </cell>
          <cell r="P32" t="str">
            <v>Awareness</v>
          </cell>
          <cell r="Q32" t="str">
            <v>No Knowledge</v>
          </cell>
          <cell r="R32" t="str">
            <v>No Knowledge</v>
          </cell>
          <cell r="S32" t="str">
            <v>No Knowledge</v>
          </cell>
          <cell r="T32" t="str">
            <v>No Knowledge</v>
          </cell>
          <cell r="U32" t="str">
            <v>No Knowledge</v>
          </cell>
          <cell r="V32" t="str">
            <v>No Knowledge</v>
          </cell>
          <cell r="W32" t="str">
            <v>No Knowledge</v>
          </cell>
          <cell r="X32" t="str">
            <v>No Knowledge</v>
          </cell>
          <cell r="Y32" t="str">
            <v>No Knowledge</v>
          </cell>
          <cell r="Z32" t="str">
            <v>No Knowledge</v>
          </cell>
          <cell r="AA32" t="str">
            <v>No Knowledge</v>
          </cell>
          <cell r="AB32" t="str">
            <v>No Knowledge</v>
          </cell>
          <cell r="AC32" t="str">
            <v>No Knowledge</v>
          </cell>
          <cell r="AD32" t="str">
            <v>No Knowledge</v>
          </cell>
          <cell r="AE32" t="str">
            <v>No Knowledge</v>
          </cell>
          <cell r="AF32" t="str">
            <v>Awareness</v>
          </cell>
          <cell r="AG32" t="str">
            <v>No Knowledge</v>
          </cell>
          <cell r="AH32" t="str">
            <v>No Knowledge</v>
          </cell>
          <cell r="AI32" t="str">
            <v>No Knowledge</v>
          </cell>
          <cell r="AJ32" t="str">
            <v>No Knowledge</v>
          </cell>
          <cell r="AK32" t="str">
            <v>No Knowledge</v>
          </cell>
          <cell r="AL32" t="str">
            <v>No Knowledge</v>
          </cell>
          <cell r="AM32" t="str">
            <v>No Knowledge</v>
          </cell>
          <cell r="AN32" t="str">
            <v>No Knowledge</v>
          </cell>
          <cell r="AO32" t="str">
            <v>Awareness</v>
          </cell>
          <cell r="AP32" t="str">
            <v>Awareness</v>
          </cell>
          <cell r="AQ32" t="str">
            <v>No Knowledge</v>
          </cell>
          <cell r="AR32" t="str">
            <v>No Knowledge</v>
          </cell>
          <cell r="AS32" t="str">
            <v>No Knowledge</v>
          </cell>
          <cell r="AT32" t="str">
            <v>No Knowledge</v>
          </cell>
          <cell r="AU32" t="str">
            <v>No Knowledge</v>
          </cell>
          <cell r="AV32" t="str">
            <v>No Knowledge</v>
          </cell>
          <cell r="AW32" t="str">
            <v>No Knowledge</v>
          </cell>
          <cell r="AX32" t="str">
            <v>No Knowledge</v>
          </cell>
          <cell r="AY32" t="str">
            <v>N/A</v>
          </cell>
          <cell r="AZ32" t="str">
            <v>N/A</v>
          </cell>
        </row>
        <row r="33">
          <cell r="B33" t="str">
            <v>Organisational capability development</v>
          </cell>
          <cell r="D33" t="str">
            <v>No Knowledge</v>
          </cell>
          <cell r="E33" t="str">
            <v>No Knowledge</v>
          </cell>
          <cell r="F33" t="str">
            <v>No Knowledge</v>
          </cell>
          <cell r="G33" t="str">
            <v>No Knowledge</v>
          </cell>
          <cell r="H33" t="str">
            <v>No Knowledge</v>
          </cell>
          <cell r="I33" t="str">
            <v>No Knowledge</v>
          </cell>
          <cell r="J33" t="str">
            <v>No Knowledge</v>
          </cell>
          <cell r="K33" t="str">
            <v>No Knowledge</v>
          </cell>
          <cell r="L33" t="str">
            <v>No Knowledge</v>
          </cell>
          <cell r="M33" t="str">
            <v>No Knowledge</v>
          </cell>
          <cell r="N33" t="str">
            <v>No Knowledge</v>
          </cell>
          <cell r="O33" t="str">
            <v>No Knowledge</v>
          </cell>
          <cell r="P33" t="str">
            <v>Awareness</v>
          </cell>
          <cell r="Q33" t="str">
            <v>No Knowledge</v>
          </cell>
          <cell r="R33" t="str">
            <v>No Knowledge</v>
          </cell>
          <cell r="S33" t="str">
            <v>No Knowledge</v>
          </cell>
          <cell r="T33" t="str">
            <v>No Knowledge</v>
          </cell>
          <cell r="U33" t="str">
            <v>No Knowledge</v>
          </cell>
          <cell r="V33" t="str">
            <v>No Knowledge</v>
          </cell>
          <cell r="W33" t="str">
            <v>No Knowledge</v>
          </cell>
          <cell r="X33" t="str">
            <v>No Knowledge</v>
          </cell>
          <cell r="Y33" t="str">
            <v>No Knowledge</v>
          </cell>
          <cell r="Z33" t="str">
            <v>No Knowledge</v>
          </cell>
          <cell r="AA33" t="str">
            <v>No Knowledge</v>
          </cell>
          <cell r="AB33" t="str">
            <v>No Knowledge</v>
          </cell>
          <cell r="AC33" t="str">
            <v>No Knowledge</v>
          </cell>
          <cell r="AD33" t="str">
            <v>No Knowledge</v>
          </cell>
          <cell r="AE33" t="str">
            <v>No Knowledge</v>
          </cell>
          <cell r="AF33" t="str">
            <v>Awareness</v>
          </cell>
          <cell r="AG33" t="str">
            <v>No Knowledge</v>
          </cell>
          <cell r="AH33" t="str">
            <v>No Knowledge</v>
          </cell>
          <cell r="AI33" t="str">
            <v>No Knowledge</v>
          </cell>
          <cell r="AJ33" t="str">
            <v>No Knowledge</v>
          </cell>
          <cell r="AK33" t="str">
            <v>No Knowledge</v>
          </cell>
          <cell r="AL33" t="str">
            <v>No Knowledge</v>
          </cell>
          <cell r="AM33" t="str">
            <v>No Knowledge</v>
          </cell>
          <cell r="AN33" t="str">
            <v>No Knowledge</v>
          </cell>
          <cell r="AO33" t="str">
            <v>Awareness</v>
          </cell>
          <cell r="AP33" t="str">
            <v>Awareness</v>
          </cell>
          <cell r="AQ33" t="str">
            <v>No Knowledge</v>
          </cell>
          <cell r="AR33" t="str">
            <v>No Knowledge</v>
          </cell>
          <cell r="AS33" t="str">
            <v>No Knowledge</v>
          </cell>
          <cell r="AT33" t="str">
            <v>No Knowledge</v>
          </cell>
          <cell r="AU33" t="str">
            <v>No Knowledge</v>
          </cell>
          <cell r="AV33" t="str">
            <v>No Knowledge</v>
          </cell>
          <cell r="AW33" t="str">
            <v>No Knowledge</v>
          </cell>
          <cell r="AX33" t="str">
            <v>No Knowledge</v>
          </cell>
          <cell r="AY33" t="str">
            <v>N/A</v>
          </cell>
          <cell r="AZ33" t="str">
            <v>N/A</v>
          </cell>
        </row>
        <row r="34">
          <cell r="B34" t="str">
            <v>Organisational change management</v>
          </cell>
          <cell r="D34" t="str">
            <v>No Knowledge</v>
          </cell>
          <cell r="E34" t="str">
            <v>No Knowledge</v>
          </cell>
          <cell r="F34" t="str">
            <v>No Knowledge</v>
          </cell>
          <cell r="G34" t="str">
            <v>Awareness</v>
          </cell>
          <cell r="H34" t="str">
            <v>No Knowledge</v>
          </cell>
          <cell r="I34" t="str">
            <v>No Knowledge</v>
          </cell>
          <cell r="J34" t="str">
            <v>Awareness</v>
          </cell>
          <cell r="K34" t="str">
            <v>No Knowledge</v>
          </cell>
          <cell r="L34" t="str">
            <v>No Knowledge</v>
          </cell>
          <cell r="M34" t="str">
            <v>No Knowledge</v>
          </cell>
          <cell r="N34" t="str">
            <v>No Knowledge</v>
          </cell>
          <cell r="O34" t="str">
            <v>No Knowledge</v>
          </cell>
          <cell r="P34" t="str">
            <v>Working</v>
          </cell>
          <cell r="Q34" t="str">
            <v>No Knowledge</v>
          </cell>
          <cell r="R34" t="str">
            <v>No Knowledge</v>
          </cell>
          <cell r="S34" t="str">
            <v>No Knowledge</v>
          </cell>
          <cell r="T34" t="str">
            <v>No Knowledge</v>
          </cell>
          <cell r="U34" t="str">
            <v>Awareness</v>
          </cell>
          <cell r="V34" t="str">
            <v>Awareness</v>
          </cell>
          <cell r="W34" t="str">
            <v>No Knowledge</v>
          </cell>
          <cell r="X34" t="str">
            <v>No Knowledge</v>
          </cell>
          <cell r="Y34" t="str">
            <v>No Knowledge</v>
          </cell>
          <cell r="Z34" t="str">
            <v>Awareness</v>
          </cell>
          <cell r="AA34" t="str">
            <v>No Knowledge</v>
          </cell>
          <cell r="AB34" t="str">
            <v>No Knowledge</v>
          </cell>
          <cell r="AC34" t="str">
            <v>No Knowledge</v>
          </cell>
          <cell r="AD34" t="str">
            <v>No Knowledge</v>
          </cell>
          <cell r="AE34" t="str">
            <v>No Knowledge</v>
          </cell>
          <cell r="AF34" t="str">
            <v>Working</v>
          </cell>
          <cell r="AG34" t="str">
            <v>No Knowledge</v>
          </cell>
          <cell r="AH34" t="str">
            <v>No Knowledge</v>
          </cell>
          <cell r="AI34" t="str">
            <v>N/A</v>
          </cell>
          <cell r="AJ34" t="str">
            <v>No Knowledge</v>
          </cell>
          <cell r="AK34" t="str">
            <v>No Knowledge</v>
          </cell>
          <cell r="AL34" t="str">
            <v>No Knowledge</v>
          </cell>
          <cell r="AM34" t="str">
            <v>No Knowledge</v>
          </cell>
          <cell r="AN34" t="str">
            <v>No Knowledge</v>
          </cell>
          <cell r="AO34" t="str">
            <v>No Knowledge</v>
          </cell>
          <cell r="AP34" t="str">
            <v>Awareness</v>
          </cell>
          <cell r="AQ34" t="str">
            <v>No Knowledge</v>
          </cell>
          <cell r="AR34" t="str">
            <v>No Knowledge</v>
          </cell>
          <cell r="AS34" t="str">
            <v>No Knowledge</v>
          </cell>
          <cell r="AT34" t="str">
            <v>No Knowledge</v>
          </cell>
          <cell r="AU34" t="str">
            <v>No Knowledge</v>
          </cell>
          <cell r="AV34" t="str">
            <v>No Knowledge</v>
          </cell>
          <cell r="AW34" t="str">
            <v>No Knowledge</v>
          </cell>
          <cell r="AX34" t="str">
            <v>No Knowledge</v>
          </cell>
          <cell r="AY34" t="str">
            <v>N/A</v>
          </cell>
          <cell r="AZ34" t="str">
            <v>N/A</v>
          </cell>
        </row>
        <row r="35">
          <cell r="B35" t="str">
            <v>Performance Management</v>
          </cell>
          <cell r="D35" t="str">
            <v>No Knowledge</v>
          </cell>
          <cell r="E35" t="str">
            <v>No Knowledge</v>
          </cell>
          <cell r="F35" t="str">
            <v>No Knowledge</v>
          </cell>
          <cell r="G35" t="str">
            <v>Working</v>
          </cell>
          <cell r="H35" t="str">
            <v>No Knowledge</v>
          </cell>
          <cell r="I35" t="str">
            <v>No Knowledge</v>
          </cell>
          <cell r="J35" t="str">
            <v>Working</v>
          </cell>
          <cell r="K35" t="str">
            <v>No Knowledge</v>
          </cell>
          <cell r="L35" t="str">
            <v>No Knowledge</v>
          </cell>
          <cell r="M35" t="str">
            <v>No Knowledge</v>
          </cell>
          <cell r="N35" t="str">
            <v>Working</v>
          </cell>
          <cell r="O35" t="str">
            <v>No Knowledge</v>
          </cell>
          <cell r="P35" t="str">
            <v>Working</v>
          </cell>
          <cell r="Q35" t="str">
            <v>No Knowledge</v>
          </cell>
          <cell r="R35" t="str">
            <v>No Knowledge</v>
          </cell>
          <cell r="S35" t="str">
            <v>No Knowledge</v>
          </cell>
          <cell r="T35" t="str">
            <v>No Knowledge</v>
          </cell>
          <cell r="U35" t="str">
            <v>Awareness</v>
          </cell>
          <cell r="V35" t="str">
            <v>Working</v>
          </cell>
          <cell r="W35" t="str">
            <v>No Knowledge</v>
          </cell>
          <cell r="X35" t="str">
            <v>No Knowledge</v>
          </cell>
          <cell r="Y35" t="str">
            <v>No Knowledge</v>
          </cell>
          <cell r="Z35" t="str">
            <v>Working</v>
          </cell>
          <cell r="AA35" t="str">
            <v>No Knowledge</v>
          </cell>
          <cell r="AB35" t="str">
            <v>Awareness</v>
          </cell>
          <cell r="AC35" t="str">
            <v>Awareness</v>
          </cell>
          <cell r="AD35" t="str">
            <v>Awareness</v>
          </cell>
          <cell r="AE35" t="str">
            <v>Awareness</v>
          </cell>
          <cell r="AF35" t="str">
            <v>Working</v>
          </cell>
          <cell r="AG35" t="str">
            <v>No Knowledge</v>
          </cell>
          <cell r="AH35" t="str">
            <v>No Knowledge</v>
          </cell>
          <cell r="AI35" t="str">
            <v>N/A</v>
          </cell>
          <cell r="AJ35" t="str">
            <v>No Knowledge</v>
          </cell>
          <cell r="AK35" t="str">
            <v>Working</v>
          </cell>
          <cell r="AL35" t="str">
            <v>No Knowledge</v>
          </cell>
          <cell r="AM35" t="str">
            <v>No Knowledge</v>
          </cell>
          <cell r="AN35" t="str">
            <v>No Knowledge</v>
          </cell>
          <cell r="AO35" t="str">
            <v>Working</v>
          </cell>
          <cell r="AP35" t="str">
            <v>No Knowledge</v>
          </cell>
          <cell r="AQ35" t="str">
            <v>No Knowledge</v>
          </cell>
          <cell r="AR35" t="str">
            <v>No Knowledge</v>
          </cell>
          <cell r="AS35" t="str">
            <v>No Knowledge</v>
          </cell>
          <cell r="AT35" t="str">
            <v>No Knowledge</v>
          </cell>
          <cell r="AU35" t="str">
            <v>Awareness</v>
          </cell>
          <cell r="AV35" t="str">
            <v>Awareness</v>
          </cell>
          <cell r="AW35" t="str">
            <v>Awareness</v>
          </cell>
          <cell r="AX35" t="str">
            <v>Awareness</v>
          </cell>
          <cell r="AY35" t="str">
            <v>Awareness</v>
          </cell>
          <cell r="AZ35" t="str">
            <v>Awareness</v>
          </cell>
        </row>
        <row r="36">
          <cell r="B36" t="str">
            <v>Professional Development</v>
          </cell>
          <cell r="D36" t="str">
            <v>Awareness</v>
          </cell>
          <cell r="E36" t="str">
            <v>Awareness</v>
          </cell>
          <cell r="F36" t="str">
            <v>Awareness</v>
          </cell>
          <cell r="G36" t="str">
            <v>Working</v>
          </cell>
          <cell r="H36" t="str">
            <v>Awareness</v>
          </cell>
          <cell r="I36" t="str">
            <v>Awareness</v>
          </cell>
          <cell r="J36" t="str">
            <v>Working</v>
          </cell>
          <cell r="K36" t="str">
            <v>No Knowledge</v>
          </cell>
          <cell r="L36" t="str">
            <v>No Knowledge</v>
          </cell>
          <cell r="M36" t="str">
            <v>No Knowledge</v>
          </cell>
          <cell r="N36" t="str">
            <v>Working</v>
          </cell>
          <cell r="O36" t="str">
            <v>No Knowledge</v>
          </cell>
          <cell r="P36" t="str">
            <v>Practitioner</v>
          </cell>
          <cell r="Q36" t="str">
            <v>Awareness</v>
          </cell>
          <cell r="R36" t="str">
            <v>Awareness</v>
          </cell>
          <cell r="S36" t="str">
            <v>Awareness</v>
          </cell>
          <cell r="T36" t="str">
            <v>Awareness</v>
          </cell>
          <cell r="U36" t="str">
            <v>Awareness</v>
          </cell>
          <cell r="V36" t="str">
            <v>Working</v>
          </cell>
          <cell r="W36" t="str">
            <v>Awareness</v>
          </cell>
          <cell r="X36" t="str">
            <v>Awareness</v>
          </cell>
          <cell r="Y36" t="str">
            <v>Awareness</v>
          </cell>
          <cell r="Z36" t="str">
            <v>Working</v>
          </cell>
          <cell r="AA36" t="str">
            <v>Working</v>
          </cell>
          <cell r="AB36" t="str">
            <v>Working</v>
          </cell>
          <cell r="AC36" t="str">
            <v>Working</v>
          </cell>
          <cell r="AD36" t="str">
            <v>Working</v>
          </cell>
          <cell r="AE36" t="str">
            <v>Working</v>
          </cell>
          <cell r="AF36" t="str">
            <v>Practitioner</v>
          </cell>
          <cell r="AG36" t="str">
            <v>Awareness</v>
          </cell>
          <cell r="AH36" t="str">
            <v>Awareness</v>
          </cell>
          <cell r="AI36" t="str">
            <v>Awareness</v>
          </cell>
          <cell r="AJ36" t="str">
            <v>Awareness</v>
          </cell>
          <cell r="AK36" t="str">
            <v>Awareness</v>
          </cell>
          <cell r="AL36" t="str">
            <v>Awareness</v>
          </cell>
          <cell r="AM36" t="str">
            <v>Awareness</v>
          </cell>
          <cell r="AN36" t="str">
            <v>Awareness</v>
          </cell>
          <cell r="AO36" t="str">
            <v>Practitioner</v>
          </cell>
          <cell r="AP36" t="str">
            <v>Awareness</v>
          </cell>
          <cell r="AQ36" t="str">
            <v>Awareness</v>
          </cell>
          <cell r="AR36" t="str">
            <v>Awareness</v>
          </cell>
          <cell r="AS36" t="str">
            <v>Awareness</v>
          </cell>
          <cell r="AT36" t="str">
            <v>Awareness</v>
          </cell>
          <cell r="AU36" t="str">
            <v>N/A</v>
          </cell>
          <cell r="AV36" t="str">
            <v>N/A</v>
          </cell>
          <cell r="AW36" t="str">
            <v>N/A</v>
          </cell>
          <cell r="AX36" t="str">
            <v>N/A</v>
          </cell>
          <cell r="AY36" t="str">
            <v>N/A</v>
          </cell>
          <cell r="AZ36" t="str">
            <v>N/A</v>
          </cell>
        </row>
        <row r="37">
          <cell r="B37" t="str">
            <v>Strategic Planning</v>
          </cell>
          <cell r="D37" t="str">
            <v>No Knowledge</v>
          </cell>
          <cell r="E37" t="str">
            <v>No Knowledge</v>
          </cell>
          <cell r="F37" t="str">
            <v>No Knowledge</v>
          </cell>
          <cell r="G37" t="str">
            <v>Awareness</v>
          </cell>
          <cell r="H37" t="str">
            <v>No Knowledge</v>
          </cell>
          <cell r="I37" t="str">
            <v>No Knowledge</v>
          </cell>
          <cell r="J37" t="str">
            <v>Awareness</v>
          </cell>
          <cell r="K37" t="str">
            <v>No Knowledge</v>
          </cell>
          <cell r="L37" t="str">
            <v>No Knowledge</v>
          </cell>
          <cell r="M37" t="str">
            <v>No Knowledge</v>
          </cell>
          <cell r="N37" t="str">
            <v>No Knowledge</v>
          </cell>
          <cell r="O37" t="str">
            <v>No Knowledge</v>
          </cell>
          <cell r="P37" t="str">
            <v>Working</v>
          </cell>
          <cell r="Q37" t="str">
            <v>No Knowledge</v>
          </cell>
          <cell r="R37" t="str">
            <v>No Knowledge</v>
          </cell>
          <cell r="S37" t="str">
            <v>No Knowledge</v>
          </cell>
          <cell r="T37" t="str">
            <v>No Knowledge</v>
          </cell>
          <cell r="U37" t="str">
            <v>Awareness</v>
          </cell>
          <cell r="V37" t="str">
            <v>Awareness</v>
          </cell>
          <cell r="W37" t="str">
            <v>No Knowledge</v>
          </cell>
          <cell r="X37" t="str">
            <v>No Knowledge</v>
          </cell>
          <cell r="Y37" t="str">
            <v>No Knowledge</v>
          </cell>
          <cell r="Z37" t="str">
            <v>Awareness</v>
          </cell>
          <cell r="AA37" t="str">
            <v>No Knowledge</v>
          </cell>
          <cell r="AB37" t="str">
            <v>No Knowledge</v>
          </cell>
          <cell r="AC37" t="str">
            <v>No Knowledge</v>
          </cell>
          <cell r="AD37" t="str">
            <v>No Knowledge</v>
          </cell>
          <cell r="AE37" t="str">
            <v>No Knowledge</v>
          </cell>
          <cell r="AF37" t="str">
            <v>Working</v>
          </cell>
          <cell r="AG37" t="str">
            <v>No Knowledge</v>
          </cell>
          <cell r="AH37" t="str">
            <v>No Knowledge</v>
          </cell>
          <cell r="AI37" t="str">
            <v>N/A</v>
          </cell>
          <cell r="AJ37" t="str">
            <v>No Knowledge</v>
          </cell>
          <cell r="AK37" t="str">
            <v>No Knowledge</v>
          </cell>
          <cell r="AL37" t="str">
            <v>No Knowledge</v>
          </cell>
          <cell r="AM37" t="str">
            <v>No Knowledge</v>
          </cell>
          <cell r="AN37" t="str">
            <v>No Knowledge</v>
          </cell>
          <cell r="AO37" t="str">
            <v>Working</v>
          </cell>
          <cell r="AP37" t="str">
            <v>Working</v>
          </cell>
          <cell r="AQ37" t="str">
            <v>Working</v>
          </cell>
          <cell r="AR37" t="str">
            <v>Working</v>
          </cell>
          <cell r="AS37" t="str">
            <v>Working</v>
          </cell>
          <cell r="AT37" t="str">
            <v>Working</v>
          </cell>
          <cell r="AU37" t="str">
            <v>N/A</v>
          </cell>
          <cell r="AV37" t="str">
            <v>N/A</v>
          </cell>
          <cell r="AW37" t="str">
            <v>N/A</v>
          </cell>
          <cell r="AX37" t="str">
            <v>N/A</v>
          </cell>
          <cell r="AY37" t="str">
            <v>N/A</v>
          </cell>
          <cell r="AZ37" t="str">
            <v>N/A</v>
          </cell>
        </row>
        <row r="38">
          <cell r="B38" t="str">
            <v>Workforce Planning</v>
          </cell>
          <cell r="D38" t="str">
            <v>No Knowledge</v>
          </cell>
          <cell r="E38" t="str">
            <v>No Knowledge</v>
          </cell>
          <cell r="F38" t="str">
            <v>No Knowledge</v>
          </cell>
          <cell r="G38" t="str">
            <v>Working</v>
          </cell>
          <cell r="H38" t="str">
            <v>No Knowledge</v>
          </cell>
          <cell r="I38" t="str">
            <v>No Knowledge</v>
          </cell>
          <cell r="J38" t="str">
            <v>Working</v>
          </cell>
          <cell r="K38" t="str">
            <v>No Knowledge</v>
          </cell>
          <cell r="L38" t="str">
            <v>No Knowledge</v>
          </cell>
          <cell r="M38" t="str">
            <v>No Knowledge</v>
          </cell>
          <cell r="N38" t="str">
            <v>Working</v>
          </cell>
          <cell r="O38" t="str">
            <v>No Knowledge</v>
          </cell>
          <cell r="P38" t="str">
            <v>Practitioner</v>
          </cell>
          <cell r="Q38" t="str">
            <v>No Knowledge</v>
          </cell>
          <cell r="R38" t="str">
            <v>No Knowledge</v>
          </cell>
          <cell r="S38" t="str">
            <v>No Knowledge</v>
          </cell>
          <cell r="T38" t="str">
            <v>No Knowledge</v>
          </cell>
          <cell r="U38" t="str">
            <v>Awareness</v>
          </cell>
          <cell r="V38" t="str">
            <v>Working</v>
          </cell>
          <cell r="W38" t="str">
            <v>No Knowledge</v>
          </cell>
          <cell r="X38" t="str">
            <v>No Knowledge</v>
          </cell>
          <cell r="Y38" t="str">
            <v>No Knowledge</v>
          </cell>
          <cell r="Z38" t="str">
            <v>Working</v>
          </cell>
          <cell r="AA38" t="str">
            <v>No Knowledge</v>
          </cell>
          <cell r="AB38" t="str">
            <v>No Knowledge</v>
          </cell>
          <cell r="AC38" t="str">
            <v>No Knowledge</v>
          </cell>
          <cell r="AD38" t="str">
            <v>No Knowledge</v>
          </cell>
          <cell r="AE38" t="str">
            <v>No Knowledge</v>
          </cell>
          <cell r="AF38" t="str">
            <v>Practitioner</v>
          </cell>
          <cell r="AG38" t="str">
            <v>No Knowledge</v>
          </cell>
          <cell r="AH38" t="str">
            <v>No Knowledge</v>
          </cell>
          <cell r="AI38" t="str">
            <v>N/A</v>
          </cell>
          <cell r="AJ38" t="str">
            <v>No Knowledge</v>
          </cell>
          <cell r="AK38" t="str">
            <v>Working</v>
          </cell>
          <cell r="AL38" t="str">
            <v>No Knowledge</v>
          </cell>
          <cell r="AM38" t="str">
            <v>No Knowledge</v>
          </cell>
          <cell r="AN38" t="str">
            <v>No Knowledge</v>
          </cell>
          <cell r="AO38" t="str">
            <v>Practitioner</v>
          </cell>
          <cell r="AP38" t="str">
            <v>Working</v>
          </cell>
          <cell r="AQ38" t="str">
            <v>Working</v>
          </cell>
          <cell r="AR38" t="str">
            <v>Working</v>
          </cell>
          <cell r="AS38" t="str">
            <v>Working</v>
          </cell>
          <cell r="AT38" t="str">
            <v>Working</v>
          </cell>
        </row>
        <row r="39">
          <cell r="B39" t="str">
            <v>Audit</v>
          </cell>
          <cell r="D39" t="str">
            <v>Awareness</v>
          </cell>
          <cell r="E39" t="str">
            <v>Awareness</v>
          </cell>
          <cell r="F39" t="str">
            <v>Working</v>
          </cell>
          <cell r="G39" t="str">
            <v>Working</v>
          </cell>
          <cell r="H39" t="str">
            <v>Working</v>
          </cell>
          <cell r="I39" t="str">
            <v>Working</v>
          </cell>
          <cell r="J39" t="str">
            <v>Working</v>
          </cell>
          <cell r="K39" t="str">
            <v>Awareness</v>
          </cell>
          <cell r="L39" t="str">
            <v>Working</v>
          </cell>
          <cell r="M39" t="str">
            <v>Working</v>
          </cell>
          <cell r="N39" t="str">
            <v>Practitioner</v>
          </cell>
          <cell r="O39" t="str">
            <v>No Knowledge</v>
          </cell>
          <cell r="P39" t="str">
            <v>Working</v>
          </cell>
          <cell r="Q39" t="str">
            <v>Working</v>
          </cell>
          <cell r="R39" t="str">
            <v>Working</v>
          </cell>
          <cell r="S39" t="str">
            <v>Working</v>
          </cell>
          <cell r="T39" t="str">
            <v>Working</v>
          </cell>
          <cell r="U39" t="str">
            <v>Working</v>
          </cell>
          <cell r="V39" t="str">
            <v>Working</v>
          </cell>
          <cell r="W39" t="str">
            <v>Working</v>
          </cell>
          <cell r="X39" t="str">
            <v>Working</v>
          </cell>
          <cell r="Y39" t="str">
            <v>Working</v>
          </cell>
          <cell r="Z39" t="str">
            <v>Practitioner</v>
          </cell>
          <cell r="AA39" t="str">
            <v>Awareness</v>
          </cell>
          <cell r="AB39" t="str">
            <v>Working</v>
          </cell>
          <cell r="AC39" t="str">
            <v>Working</v>
          </cell>
          <cell r="AD39" t="str">
            <v>Practitioner</v>
          </cell>
          <cell r="AE39" t="str">
            <v>Practitioner</v>
          </cell>
          <cell r="AF39" t="str">
            <v>Practitioner</v>
          </cell>
          <cell r="AG39" t="str">
            <v>Practitioner</v>
          </cell>
          <cell r="AH39" t="str">
            <v>Working</v>
          </cell>
          <cell r="AI39" t="str">
            <v>Awareness</v>
          </cell>
          <cell r="AJ39" t="str">
            <v>Working</v>
          </cell>
          <cell r="AK39" t="str">
            <v>Working</v>
          </cell>
          <cell r="AL39" t="str">
            <v>Working</v>
          </cell>
          <cell r="AM39" t="str">
            <v>Working</v>
          </cell>
          <cell r="AN39" t="str">
            <v>Practitioner</v>
          </cell>
          <cell r="AO39" t="str">
            <v>Expert</v>
          </cell>
          <cell r="AP39" t="str">
            <v>Practitioner</v>
          </cell>
          <cell r="AQ39" t="str">
            <v>Practitioner</v>
          </cell>
          <cell r="AR39" t="str">
            <v>Practitioner</v>
          </cell>
          <cell r="AS39" t="str">
            <v>Practitioner</v>
          </cell>
          <cell r="AT39" t="str">
            <v>Practitioner</v>
          </cell>
          <cell r="AY39" t="str">
            <v>Practitioner</v>
          </cell>
          <cell r="AZ39" t="str">
            <v>Practitioner</v>
          </cell>
        </row>
        <row r="40">
          <cell r="B40" t="str">
            <v>Contract management</v>
          </cell>
          <cell r="D40" t="str">
            <v>No Knowledge</v>
          </cell>
          <cell r="E40" t="str">
            <v>No Knowledge</v>
          </cell>
          <cell r="F40" t="str">
            <v>No Knowledge</v>
          </cell>
          <cell r="G40" t="str">
            <v>No Knowledge</v>
          </cell>
          <cell r="H40" t="str">
            <v>No Knowledge</v>
          </cell>
          <cell r="I40" t="str">
            <v>No Knowledge</v>
          </cell>
          <cell r="J40" t="str">
            <v>No Knowledge</v>
          </cell>
          <cell r="K40" t="str">
            <v>Awareness</v>
          </cell>
          <cell r="L40" t="str">
            <v>Working</v>
          </cell>
          <cell r="M40" t="str">
            <v>Working</v>
          </cell>
          <cell r="N40" t="str">
            <v>Expert</v>
          </cell>
          <cell r="O40" t="str">
            <v>No Knowledge</v>
          </cell>
          <cell r="P40" t="str">
            <v>Working</v>
          </cell>
          <cell r="Q40" t="str">
            <v>Working</v>
          </cell>
          <cell r="R40" t="str">
            <v>Working</v>
          </cell>
          <cell r="S40" t="str">
            <v>Working</v>
          </cell>
          <cell r="T40" t="str">
            <v>Working</v>
          </cell>
          <cell r="U40" t="str">
            <v>Working</v>
          </cell>
          <cell r="V40" t="str">
            <v>Working</v>
          </cell>
          <cell r="W40" t="str">
            <v>Awareness</v>
          </cell>
          <cell r="X40" t="str">
            <v>Awareness</v>
          </cell>
          <cell r="Y40" t="str">
            <v>Awareness</v>
          </cell>
          <cell r="Z40" t="str">
            <v>Practitioner</v>
          </cell>
          <cell r="AA40" t="str">
            <v>Awareness</v>
          </cell>
          <cell r="AB40" t="str">
            <v>Awareness</v>
          </cell>
          <cell r="AC40" t="str">
            <v>Awareness</v>
          </cell>
          <cell r="AD40" t="str">
            <v>Practitioner</v>
          </cell>
          <cell r="AE40" t="str">
            <v>Practitioner</v>
          </cell>
          <cell r="AF40" t="str">
            <v>Practitioner</v>
          </cell>
          <cell r="AG40" t="str">
            <v>Practitioner</v>
          </cell>
          <cell r="AH40" t="str">
            <v>Working</v>
          </cell>
          <cell r="AI40" t="str">
            <v>Working</v>
          </cell>
          <cell r="AJ40" t="str">
            <v>Working</v>
          </cell>
          <cell r="AK40" t="str">
            <v>Practitioner</v>
          </cell>
          <cell r="AL40" t="str">
            <v>Working</v>
          </cell>
          <cell r="AM40" t="str">
            <v>No Knowledge</v>
          </cell>
          <cell r="AN40" t="str">
            <v>Practitioner</v>
          </cell>
          <cell r="AO40" t="str">
            <v>Practitioner</v>
          </cell>
          <cell r="AP40" t="str">
            <v>Practitioner</v>
          </cell>
          <cell r="AQ40" t="str">
            <v>Practitioner</v>
          </cell>
          <cell r="AR40" t="str">
            <v>Practitioner</v>
          </cell>
          <cell r="AS40" t="str">
            <v>Practitioner</v>
          </cell>
          <cell r="AT40" t="str">
            <v>Practitioner</v>
          </cell>
          <cell r="AY40" t="str">
            <v>Practitioner</v>
          </cell>
          <cell r="AZ40" t="str">
            <v>Practitioner</v>
          </cell>
        </row>
        <row r="41">
          <cell r="B41" t="str">
            <v>Feasibility assessment</v>
          </cell>
          <cell r="D41" t="str">
            <v>No Knowledge</v>
          </cell>
          <cell r="E41" t="str">
            <v>No Knowledge</v>
          </cell>
          <cell r="F41" t="str">
            <v>No Knowledge</v>
          </cell>
          <cell r="G41" t="str">
            <v>No Knowledge</v>
          </cell>
          <cell r="H41" t="str">
            <v>No Knowledge</v>
          </cell>
          <cell r="I41" t="str">
            <v>No Knowledge</v>
          </cell>
          <cell r="J41" t="str">
            <v>No Knowledge</v>
          </cell>
          <cell r="K41" t="str">
            <v>Awareness</v>
          </cell>
          <cell r="L41" t="str">
            <v>Working</v>
          </cell>
          <cell r="M41" t="str">
            <v>Working</v>
          </cell>
          <cell r="N41" t="str">
            <v>Working</v>
          </cell>
          <cell r="O41" t="str">
            <v>No Knowledge</v>
          </cell>
          <cell r="P41" t="str">
            <v>Working</v>
          </cell>
          <cell r="Q41" t="str">
            <v>Awareness</v>
          </cell>
          <cell r="R41" t="str">
            <v>Awareness</v>
          </cell>
          <cell r="S41" t="str">
            <v>Working</v>
          </cell>
          <cell r="T41" t="str">
            <v>Working</v>
          </cell>
          <cell r="U41" t="str">
            <v>Working</v>
          </cell>
          <cell r="V41" t="str">
            <v>Working</v>
          </cell>
          <cell r="W41" t="str">
            <v>Awareness</v>
          </cell>
          <cell r="X41" t="str">
            <v>Working</v>
          </cell>
          <cell r="Y41" t="str">
            <v>Awareness</v>
          </cell>
          <cell r="Z41" t="str">
            <v>Practitioner</v>
          </cell>
          <cell r="AA41" t="str">
            <v>Awareness</v>
          </cell>
          <cell r="AB41" t="str">
            <v>Working</v>
          </cell>
          <cell r="AC41" t="str">
            <v>Working</v>
          </cell>
          <cell r="AD41" t="str">
            <v>Practitioner</v>
          </cell>
          <cell r="AE41" t="str">
            <v>Practitioner</v>
          </cell>
          <cell r="AF41" t="str">
            <v>Practitioner</v>
          </cell>
          <cell r="AG41" t="str">
            <v>Working</v>
          </cell>
          <cell r="AH41" t="str">
            <v>Working</v>
          </cell>
          <cell r="AI41" t="str">
            <v>N/A</v>
          </cell>
          <cell r="AJ41" t="str">
            <v>No Knowledge</v>
          </cell>
          <cell r="AK41" t="str">
            <v>No Knowledge</v>
          </cell>
          <cell r="AL41" t="str">
            <v>Working</v>
          </cell>
          <cell r="AM41" t="str">
            <v>No Knowledge</v>
          </cell>
          <cell r="AN41" t="str">
            <v>Practitioner</v>
          </cell>
          <cell r="AO41" t="str">
            <v>Working</v>
          </cell>
          <cell r="AP41" t="str">
            <v>Practitioner</v>
          </cell>
          <cell r="AQ41" t="str">
            <v>Practitioner</v>
          </cell>
          <cell r="AR41" t="str">
            <v>Practitioner</v>
          </cell>
          <cell r="AS41" t="str">
            <v>Practitioner</v>
          </cell>
          <cell r="AT41" t="str">
            <v>Practitioner</v>
          </cell>
        </row>
        <row r="42">
          <cell r="B42" t="str">
            <v>Governance</v>
          </cell>
          <cell r="D42" t="str">
            <v>Awareness</v>
          </cell>
          <cell r="E42" t="str">
            <v>Awareness</v>
          </cell>
          <cell r="F42" t="str">
            <v>Awareness</v>
          </cell>
          <cell r="G42" t="str">
            <v>Working</v>
          </cell>
          <cell r="H42" t="str">
            <v>Awareness</v>
          </cell>
          <cell r="I42" t="str">
            <v>Awareness</v>
          </cell>
          <cell r="J42" t="str">
            <v>Working</v>
          </cell>
          <cell r="K42" t="str">
            <v>Awareness</v>
          </cell>
          <cell r="L42" t="str">
            <v>Working</v>
          </cell>
          <cell r="M42" t="str">
            <v>Working</v>
          </cell>
          <cell r="N42" t="str">
            <v>Working</v>
          </cell>
          <cell r="O42" t="str">
            <v>No Knowledge</v>
          </cell>
          <cell r="P42" t="str">
            <v>Working</v>
          </cell>
          <cell r="Q42" t="str">
            <v>Awareness</v>
          </cell>
          <cell r="R42" t="str">
            <v>Awareness</v>
          </cell>
          <cell r="S42" t="str">
            <v>Awareness</v>
          </cell>
          <cell r="T42" t="str">
            <v>Awareness</v>
          </cell>
          <cell r="U42" t="str">
            <v>Practitioner</v>
          </cell>
          <cell r="V42" t="str">
            <v>Practitioner</v>
          </cell>
          <cell r="W42" t="str">
            <v>Working</v>
          </cell>
          <cell r="X42" t="str">
            <v>Working</v>
          </cell>
          <cell r="Y42" t="str">
            <v>Awareness</v>
          </cell>
          <cell r="Z42" t="str">
            <v>Practitioner</v>
          </cell>
          <cell r="AA42" t="str">
            <v>Awareness</v>
          </cell>
          <cell r="AB42" t="str">
            <v>Working</v>
          </cell>
          <cell r="AC42" t="str">
            <v>Working</v>
          </cell>
          <cell r="AD42" t="str">
            <v>Practitioner</v>
          </cell>
          <cell r="AE42" t="str">
            <v>Practitioner</v>
          </cell>
          <cell r="AF42" t="str">
            <v>Practitioner</v>
          </cell>
          <cell r="AG42" t="str">
            <v>Practitioner</v>
          </cell>
          <cell r="AH42" t="str">
            <v>Awareness</v>
          </cell>
          <cell r="AI42" t="str">
            <v>Working</v>
          </cell>
          <cell r="AJ42" t="str">
            <v>Practitioner</v>
          </cell>
          <cell r="AK42" t="str">
            <v>Expert</v>
          </cell>
          <cell r="AL42" t="str">
            <v>Working</v>
          </cell>
          <cell r="AM42" t="str">
            <v>Working</v>
          </cell>
          <cell r="AN42" t="str">
            <v>Practitioner</v>
          </cell>
          <cell r="AO42" t="str">
            <v>Practitioner</v>
          </cell>
          <cell r="AP42" t="str">
            <v>Practitioner</v>
          </cell>
          <cell r="AQ42" t="str">
            <v>Practitioner</v>
          </cell>
          <cell r="AR42" t="str">
            <v>Practitioner</v>
          </cell>
          <cell r="AS42" t="str">
            <v>Practitioner</v>
          </cell>
          <cell r="AT42" t="str">
            <v>Practitioner</v>
          </cell>
        </row>
        <row r="43">
          <cell r="B43" t="str">
            <v>Risk management</v>
          </cell>
          <cell r="D43" t="str">
            <v>No Knowledge</v>
          </cell>
          <cell r="E43" t="str">
            <v>No Knowledge</v>
          </cell>
          <cell r="F43" t="str">
            <v>No Knowledge</v>
          </cell>
          <cell r="G43" t="str">
            <v>No Knowledge</v>
          </cell>
          <cell r="H43" t="str">
            <v>No Knowledge</v>
          </cell>
          <cell r="I43" t="str">
            <v>No Knowledge</v>
          </cell>
          <cell r="J43" t="str">
            <v>No Knowledge</v>
          </cell>
          <cell r="K43" t="str">
            <v>No Knowledge</v>
          </cell>
          <cell r="L43" t="str">
            <v>No Knowledge</v>
          </cell>
          <cell r="M43" t="str">
            <v>No Knowledge</v>
          </cell>
          <cell r="N43" t="str">
            <v>Working</v>
          </cell>
          <cell r="O43" t="str">
            <v>No Knowledge</v>
          </cell>
          <cell r="P43" t="str">
            <v>Practitioner</v>
          </cell>
          <cell r="Q43" t="str">
            <v>Awareness</v>
          </cell>
          <cell r="R43" t="str">
            <v>Awareness</v>
          </cell>
          <cell r="S43" t="str">
            <v>Awareness</v>
          </cell>
          <cell r="T43" t="str">
            <v>Awareness</v>
          </cell>
          <cell r="U43" t="str">
            <v>Practitioner</v>
          </cell>
          <cell r="V43" t="str">
            <v>Practitioner</v>
          </cell>
          <cell r="W43" t="str">
            <v>Working</v>
          </cell>
          <cell r="X43" t="str">
            <v>Working</v>
          </cell>
          <cell r="Y43" t="str">
            <v>No Knowledge</v>
          </cell>
          <cell r="Z43" t="str">
            <v>Practitioner</v>
          </cell>
          <cell r="AA43" t="str">
            <v>Awareness</v>
          </cell>
          <cell r="AB43" t="str">
            <v>Working</v>
          </cell>
          <cell r="AC43" t="str">
            <v>Working</v>
          </cell>
          <cell r="AD43" t="str">
            <v>Working</v>
          </cell>
          <cell r="AE43" t="str">
            <v>Working</v>
          </cell>
          <cell r="AF43" t="str">
            <v>Practitioner</v>
          </cell>
          <cell r="AG43" t="str">
            <v>Practitioner</v>
          </cell>
          <cell r="AH43" t="str">
            <v>Awareness</v>
          </cell>
          <cell r="AI43" t="str">
            <v>Awareness</v>
          </cell>
          <cell r="AJ43" t="str">
            <v>Working</v>
          </cell>
          <cell r="AK43" t="str">
            <v>Working</v>
          </cell>
          <cell r="AL43" t="str">
            <v>Working</v>
          </cell>
          <cell r="AM43" t="str">
            <v>Working</v>
          </cell>
          <cell r="AN43" t="str">
            <v>Practitioner</v>
          </cell>
          <cell r="AO43" t="str">
            <v>Practitioner</v>
          </cell>
          <cell r="AP43" t="str">
            <v>Practitioner</v>
          </cell>
          <cell r="AQ43" t="str">
            <v>Practitioner</v>
          </cell>
          <cell r="AR43" t="str">
            <v>Practitioner</v>
          </cell>
          <cell r="AS43" t="str">
            <v>Practitioner</v>
          </cell>
          <cell r="AT43" t="str">
            <v>Practitioner</v>
          </cell>
        </row>
        <row r="44">
          <cell r="B44" t="str">
            <v>Sourcing</v>
          </cell>
          <cell r="D44" t="str">
            <v>Awareness</v>
          </cell>
          <cell r="E44" t="str">
            <v>Awareness</v>
          </cell>
          <cell r="F44" t="str">
            <v>Awareness</v>
          </cell>
          <cell r="G44" t="str">
            <v>Awareness</v>
          </cell>
          <cell r="H44" t="str">
            <v>Awareness</v>
          </cell>
          <cell r="I44" t="str">
            <v>Awareness</v>
          </cell>
          <cell r="J44" t="str">
            <v>Awareness</v>
          </cell>
          <cell r="K44" t="str">
            <v>Awareness</v>
          </cell>
          <cell r="L44" t="str">
            <v>Working</v>
          </cell>
          <cell r="M44" t="str">
            <v>Practitioner</v>
          </cell>
          <cell r="N44" t="str">
            <v>Practitioner</v>
          </cell>
          <cell r="O44" t="str">
            <v>No Knowledge</v>
          </cell>
          <cell r="P44" t="str">
            <v>Practitioner</v>
          </cell>
          <cell r="Q44" t="str">
            <v>Awareness</v>
          </cell>
          <cell r="R44" t="str">
            <v>Awareness</v>
          </cell>
          <cell r="S44" t="str">
            <v>Awareness</v>
          </cell>
          <cell r="T44" t="str">
            <v>Awareness</v>
          </cell>
          <cell r="U44" t="str">
            <v>Awareness</v>
          </cell>
          <cell r="V44" t="str">
            <v>Awareness</v>
          </cell>
          <cell r="W44" t="str">
            <v>Working</v>
          </cell>
          <cell r="X44" t="str">
            <v>Working</v>
          </cell>
          <cell r="Y44" t="str">
            <v>Awareness</v>
          </cell>
          <cell r="Z44" t="str">
            <v>Practitioner</v>
          </cell>
          <cell r="AA44" t="str">
            <v>Awareness</v>
          </cell>
          <cell r="AB44" t="str">
            <v>Working</v>
          </cell>
          <cell r="AC44" t="str">
            <v>Working</v>
          </cell>
          <cell r="AD44" t="str">
            <v>Practitioner</v>
          </cell>
          <cell r="AE44" t="str">
            <v>Practitioner</v>
          </cell>
          <cell r="AF44" t="str">
            <v>Practitioner</v>
          </cell>
          <cell r="AG44" t="str">
            <v>Working</v>
          </cell>
          <cell r="AH44" t="str">
            <v>Awareness</v>
          </cell>
          <cell r="AI44" t="str">
            <v>Awareness</v>
          </cell>
          <cell r="AJ44" t="str">
            <v>Working</v>
          </cell>
          <cell r="AK44" t="str">
            <v>Working</v>
          </cell>
          <cell r="AL44" t="str">
            <v>Working</v>
          </cell>
          <cell r="AM44" t="str">
            <v>Working</v>
          </cell>
          <cell r="AN44" t="str">
            <v>Practitioner</v>
          </cell>
          <cell r="AO44" t="str">
            <v>Practitioner</v>
          </cell>
          <cell r="AP44" t="str">
            <v>Practitioner</v>
          </cell>
          <cell r="AQ44" t="str">
            <v>Practitioner</v>
          </cell>
          <cell r="AR44" t="str">
            <v>Practitioner</v>
          </cell>
          <cell r="AS44" t="str">
            <v>Practitioner</v>
          </cell>
          <cell r="AT44" t="str">
            <v>Practitioner</v>
          </cell>
        </row>
        <row r="45">
          <cell r="B45" t="str">
            <v>Supplier management</v>
          </cell>
          <cell r="D45" t="str">
            <v>No Knowledge</v>
          </cell>
          <cell r="E45" t="str">
            <v>Awareness</v>
          </cell>
          <cell r="F45" t="str">
            <v>Awareness</v>
          </cell>
          <cell r="G45" t="str">
            <v>Working</v>
          </cell>
          <cell r="H45" t="str">
            <v>Awareness</v>
          </cell>
          <cell r="I45" t="str">
            <v>Awareness</v>
          </cell>
          <cell r="J45" t="str">
            <v>Working</v>
          </cell>
          <cell r="K45" t="str">
            <v>Awareness</v>
          </cell>
          <cell r="L45" t="str">
            <v>Practitioner</v>
          </cell>
          <cell r="M45" t="str">
            <v>Practitioner</v>
          </cell>
          <cell r="N45" t="str">
            <v>Practitioner</v>
          </cell>
          <cell r="O45" t="str">
            <v>Practitioner</v>
          </cell>
          <cell r="P45" t="str">
            <v>Practitioner</v>
          </cell>
          <cell r="Q45" t="str">
            <v>Awareness</v>
          </cell>
          <cell r="R45" t="str">
            <v>Working</v>
          </cell>
          <cell r="S45" t="str">
            <v>Working</v>
          </cell>
          <cell r="T45" t="str">
            <v>Working</v>
          </cell>
          <cell r="U45" t="str">
            <v>Practitioner</v>
          </cell>
          <cell r="V45" t="str">
            <v>Practitioner</v>
          </cell>
          <cell r="W45" t="str">
            <v>Working</v>
          </cell>
          <cell r="X45" t="str">
            <v>Working</v>
          </cell>
          <cell r="Y45" t="str">
            <v>Awareness</v>
          </cell>
          <cell r="Z45" t="str">
            <v>Practitioner</v>
          </cell>
          <cell r="AA45" t="str">
            <v>Awareness</v>
          </cell>
          <cell r="AB45" t="str">
            <v>Working</v>
          </cell>
          <cell r="AC45" t="str">
            <v>Working</v>
          </cell>
          <cell r="AD45" t="str">
            <v>Practitioner</v>
          </cell>
          <cell r="AE45" t="str">
            <v>Practitioner</v>
          </cell>
          <cell r="AF45" t="str">
            <v>Practitioner</v>
          </cell>
          <cell r="AG45" t="str">
            <v>Practitioner</v>
          </cell>
          <cell r="AH45" t="str">
            <v>Working</v>
          </cell>
          <cell r="AI45" t="str">
            <v>Awareness</v>
          </cell>
          <cell r="AJ45" t="str">
            <v>Practitioner</v>
          </cell>
          <cell r="AK45" t="str">
            <v>Practitioner</v>
          </cell>
          <cell r="AL45" t="str">
            <v>Working</v>
          </cell>
          <cell r="AM45" t="str">
            <v>Working</v>
          </cell>
          <cell r="AN45" t="str">
            <v>Practitioner</v>
          </cell>
          <cell r="AO45" t="str">
            <v>Practitioner</v>
          </cell>
          <cell r="AP45" t="str">
            <v>Practitioner</v>
          </cell>
          <cell r="AQ45" t="str">
            <v>Practitioner</v>
          </cell>
          <cell r="AR45" t="str">
            <v>Practitioner</v>
          </cell>
          <cell r="AS45" t="str">
            <v>Practitioner</v>
          </cell>
          <cell r="AT45" t="str">
            <v>Practitioner</v>
          </cell>
          <cell r="AU45" t="str">
            <v>Awareness</v>
          </cell>
          <cell r="AV45" t="str">
            <v>Awareness</v>
          </cell>
          <cell r="AW45" t="str">
            <v>Awareness</v>
          </cell>
          <cell r="AX45" t="str">
            <v>Awareness</v>
          </cell>
          <cell r="AY45" t="str">
            <v>Awareness</v>
          </cell>
          <cell r="AZ45" t="str">
            <v>Working</v>
          </cell>
        </row>
        <row r="46">
          <cell r="B46" t="str">
            <v>Sustainability</v>
          </cell>
          <cell r="D46" t="str">
            <v>Awareness</v>
          </cell>
          <cell r="E46" t="str">
            <v>Awareness</v>
          </cell>
          <cell r="F46" t="str">
            <v>Awareness</v>
          </cell>
          <cell r="G46" t="str">
            <v>Awareness</v>
          </cell>
          <cell r="H46" t="str">
            <v>Awareness</v>
          </cell>
          <cell r="I46" t="str">
            <v>Awareness</v>
          </cell>
          <cell r="J46" t="str">
            <v>Awareness</v>
          </cell>
          <cell r="K46" t="str">
            <v>Awareness</v>
          </cell>
          <cell r="L46" t="str">
            <v>Awareness</v>
          </cell>
          <cell r="M46" t="str">
            <v>Awareness</v>
          </cell>
          <cell r="N46" t="str">
            <v>Awareness</v>
          </cell>
          <cell r="O46" t="str">
            <v>Awareness</v>
          </cell>
          <cell r="P46" t="str">
            <v>Awareness</v>
          </cell>
          <cell r="Q46" t="str">
            <v>Awareness</v>
          </cell>
          <cell r="R46" t="str">
            <v>Awareness</v>
          </cell>
          <cell r="S46" t="str">
            <v>Awareness</v>
          </cell>
          <cell r="T46" t="str">
            <v>Awareness</v>
          </cell>
          <cell r="U46" t="str">
            <v>Awareness</v>
          </cell>
          <cell r="V46" t="str">
            <v>Awareness</v>
          </cell>
          <cell r="W46" t="str">
            <v>Awareness</v>
          </cell>
          <cell r="X46" t="str">
            <v>Awareness</v>
          </cell>
          <cell r="Y46" t="str">
            <v>Awareness</v>
          </cell>
          <cell r="Z46" t="str">
            <v>Awareness</v>
          </cell>
          <cell r="AA46" t="str">
            <v>Awareness</v>
          </cell>
          <cell r="AB46" t="str">
            <v>Awareness</v>
          </cell>
          <cell r="AC46" t="str">
            <v>Awareness</v>
          </cell>
          <cell r="AD46" t="str">
            <v>Awareness</v>
          </cell>
          <cell r="AE46" t="str">
            <v>Awareness</v>
          </cell>
          <cell r="AF46" t="str">
            <v>Awareness</v>
          </cell>
          <cell r="AG46" t="str">
            <v>Awareness</v>
          </cell>
          <cell r="AH46" t="str">
            <v>Awareness</v>
          </cell>
          <cell r="AI46" t="str">
            <v>Awareness</v>
          </cell>
          <cell r="AJ46" t="str">
            <v>Awareness</v>
          </cell>
          <cell r="AK46" t="str">
            <v>Awareness</v>
          </cell>
          <cell r="AL46" t="str">
            <v>Awareness</v>
          </cell>
          <cell r="AM46" t="str">
            <v>Awareness</v>
          </cell>
          <cell r="AN46" t="str">
            <v>Awareness</v>
          </cell>
          <cell r="AO46" t="str">
            <v>Awareness</v>
          </cell>
          <cell r="AP46" t="str">
            <v>Awareness</v>
          </cell>
          <cell r="AQ46" t="str">
            <v>Awareness</v>
          </cell>
          <cell r="AR46" t="str">
            <v>Awareness</v>
          </cell>
          <cell r="AS46" t="str">
            <v>Awareness</v>
          </cell>
          <cell r="AT46" t="str">
            <v>Awareness</v>
          </cell>
          <cell r="AU46" t="str">
            <v>Working</v>
          </cell>
          <cell r="AV46" t="str">
            <v>Working</v>
          </cell>
          <cell r="AW46" t="str">
            <v>Practitioner</v>
          </cell>
          <cell r="AX46" t="str">
            <v>Practitioner</v>
          </cell>
          <cell r="AY46" t="str">
            <v>Practitioner</v>
          </cell>
          <cell r="AZ46" t="str">
            <v>Practitioner</v>
          </cell>
        </row>
        <row r="47">
          <cell r="B47" t="str">
            <v>Acceptance testing</v>
          </cell>
          <cell r="D47" t="str">
            <v>Awareness</v>
          </cell>
          <cell r="E47" t="str">
            <v>Awareness</v>
          </cell>
          <cell r="F47" t="str">
            <v>Awareness</v>
          </cell>
          <cell r="G47" t="str">
            <v>Awareness</v>
          </cell>
          <cell r="H47" t="str">
            <v>Awareness</v>
          </cell>
          <cell r="I47" t="str">
            <v>Awareness</v>
          </cell>
          <cell r="J47" t="str">
            <v>Awareness</v>
          </cell>
          <cell r="K47" t="str">
            <v>Awareness</v>
          </cell>
          <cell r="L47" t="str">
            <v>Working</v>
          </cell>
          <cell r="M47" t="str">
            <v>Working</v>
          </cell>
          <cell r="N47" t="str">
            <v>Practitioner</v>
          </cell>
          <cell r="O47" t="str">
            <v>No Knowledge</v>
          </cell>
          <cell r="P47" t="str">
            <v>Practitioner</v>
          </cell>
          <cell r="Q47" t="str">
            <v>Working</v>
          </cell>
          <cell r="R47" t="str">
            <v>Working</v>
          </cell>
          <cell r="S47" t="str">
            <v>Working</v>
          </cell>
          <cell r="T47" t="str">
            <v>Working</v>
          </cell>
          <cell r="U47" t="str">
            <v>Working</v>
          </cell>
          <cell r="V47" t="str">
            <v>Working</v>
          </cell>
          <cell r="W47" t="str">
            <v>Working</v>
          </cell>
          <cell r="X47" t="str">
            <v>Working</v>
          </cell>
          <cell r="Y47" t="str">
            <v>Working</v>
          </cell>
          <cell r="Z47" t="str">
            <v>Working</v>
          </cell>
          <cell r="AA47" t="str">
            <v>Awareness</v>
          </cell>
          <cell r="AB47" t="str">
            <v>Working</v>
          </cell>
          <cell r="AC47" t="str">
            <v>Working</v>
          </cell>
          <cell r="AD47" t="str">
            <v>Practitioner</v>
          </cell>
          <cell r="AE47" t="str">
            <v>Practitioner</v>
          </cell>
          <cell r="AF47" t="str">
            <v>Practitioner</v>
          </cell>
          <cell r="AG47" t="str">
            <v>Practitioner</v>
          </cell>
          <cell r="AH47" t="str">
            <v>Working</v>
          </cell>
          <cell r="AI47" t="str">
            <v>N/A</v>
          </cell>
          <cell r="AJ47" t="str">
            <v>No Knowledge</v>
          </cell>
          <cell r="AK47" t="str">
            <v>No Knowledge</v>
          </cell>
          <cell r="AL47" t="str">
            <v>Working</v>
          </cell>
          <cell r="AM47" t="str">
            <v>Working</v>
          </cell>
          <cell r="AN47" t="str">
            <v>Practitioner</v>
          </cell>
          <cell r="AO47" t="str">
            <v>Practitioner</v>
          </cell>
          <cell r="AP47" t="str">
            <v>Practitioner</v>
          </cell>
          <cell r="AQ47" t="str">
            <v>Practitioner</v>
          </cell>
          <cell r="AR47" t="str">
            <v>Practitioner</v>
          </cell>
          <cell r="AS47" t="str">
            <v>Practitioner</v>
          </cell>
          <cell r="AT47" t="str">
            <v>Practitioner</v>
          </cell>
          <cell r="AU47" t="str">
            <v>Practitioner</v>
          </cell>
          <cell r="AV47" t="str">
            <v>Practitioner</v>
          </cell>
          <cell r="AW47" t="str">
            <v>Practitioner</v>
          </cell>
          <cell r="AX47" t="str">
            <v>Practitioner</v>
          </cell>
        </row>
        <row r="48">
          <cell r="B48" t="str">
            <v>Application support</v>
          </cell>
          <cell r="D48" t="str">
            <v>Awareness</v>
          </cell>
          <cell r="E48" t="str">
            <v>Working</v>
          </cell>
          <cell r="F48" t="str">
            <v>Working</v>
          </cell>
          <cell r="G48" t="str">
            <v>Working</v>
          </cell>
          <cell r="H48" t="str">
            <v>Working</v>
          </cell>
          <cell r="I48" t="str">
            <v>Working</v>
          </cell>
          <cell r="J48" t="str">
            <v>Working</v>
          </cell>
          <cell r="K48" t="str">
            <v>Awareness</v>
          </cell>
          <cell r="L48" t="str">
            <v>Working</v>
          </cell>
          <cell r="M48" t="str">
            <v>Working</v>
          </cell>
          <cell r="N48" t="str">
            <v>Working</v>
          </cell>
          <cell r="O48" t="str">
            <v>No Knowledge</v>
          </cell>
          <cell r="P48" t="str">
            <v>Working</v>
          </cell>
          <cell r="Q48" t="str">
            <v>Awareness</v>
          </cell>
          <cell r="R48" t="str">
            <v>Awareness</v>
          </cell>
          <cell r="S48" t="str">
            <v>Awareness</v>
          </cell>
          <cell r="T48" t="str">
            <v>Awareness</v>
          </cell>
          <cell r="U48" t="str">
            <v>Awareness</v>
          </cell>
          <cell r="V48" t="str">
            <v>Awareness</v>
          </cell>
          <cell r="W48" t="str">
            <v>Awareness</v>
          </cell>
          <cell r="X48" t="str">
            <v>Working</v>
          </cell>
          <cell r="Y48" t="str">
            <v>Working</v>
          </cell>
          <cell r="Z48" t="str">
            <v>Working</v>
          </cell>
          <cell r="AA48" t="str">
            <v>Awareness</v>
          </cell>
          <cell r="AB48" t="str">
            <v>Working</v>
          </cell>
          <cell r="AC48" t="str">
            <v>Practitioner</v>
          </cell>
          <cell r="AD48" t="str">
            <v>Practitioner</v>
          </cell>
          <cell r="AE48" t="str">
            <v>Practitioner</v>
          </cell>
          <cell r="AF48" t="str">
            <v>Working</v>
          </cell>
          <cell r="AG48" t="str">
            <v>Awareness</v>
          </cell>
          <cell r="AH48" t="str">
            <v>Awareness</v>
          </cell>
          <cell r="AI48" t="str">
            <v>N/A</v>
          </cell>
          <cell r="AJ48" t="str">
            <v>No Knowledge</v>
          </cell>
          <cell r="AK48" t="str">
            <v>No Knowledge</v>
          </cell>
          <cell r="AL48" t="str">
            <v>Practitioner</v>
          </cell>
          <cell r="AM48" t="str">
            <v>Practitioner</v>
          </cell>
          <cell r="AN48" t="str">
            <v>Practitioner</v>
          </cell>
          <cell r="AO48" t="str">
            <v>Awareness</v>
          </cell>
          <cell r="AP48" t="str">
            <v>Practitioner</v>
          </cell>
          <cell r="AQ48" t="str">
            <v>Working</v>
          </cell>
          <cell r="AR48" t="str">
            <v>Working</v>
          </cell>
          <cell r="AS48" t="str">
            <v>Working</v>
          </cell>
          <cell r="AT48" t="str">
            <v>Working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No Knowledge</v>
          </cell>
          <cell r="AZ48" t="str">
            <v>No Knowledge</v>
          </cell>
        </row>
        <row r="49">
          <cell r="B49" t="str">
            <v>Data Engineering</v>
          </cell>
          <cell r="D49" t="str">
            <v>No Knowledge</v>
          </cell>
          <cell r="E49" t="str">
            <v>No Knowledge</v>
          </cell>
          <cell r="F49" t="str">
            <v>No Knowledge</v>
          </cell>
          <cell r="G49" t="str">
            <v>No Knowledge</v>
          </cell>
          <cell r="H49" t="str">
            <v>No Knowledge</v>
          </cell>
          <cell r="I49" t="str">
            <v>No Knowledge</v>
          </cell>
          <cell r="J49" t="str">
            <v>No Knowledge</v>
          </cell>
          <cell r="K49" t="str">
            <v>No Knowledge</v>
          </cell>
          <cell r="L49" t="str">
            <v>No Knowledge</v>
          </cell>
          <cell r="M49" t="str">
            <v>No Knowledge</v>
          </cell>
          <cell r="N49" t="str">
            <v>No Knowledge</v>
          </cell>
          <cell r="O49" t="str">
            <v>No Knowledge</v>
          </cell>
          <cell r="P49" t="str">
            <v>No Knowledge</v>
          </cell>
          <cell r="Q49" t="str">
            <v>No Knowledge</v>
          </cell>
          <cell r="R49" t="str">
            <v>No Knowledge</v>
          </cell>
          <cell r="S49" t="str">
            <v>No Knowledge</v>
          </cell>
          <cell r="T49" t="str">
            <v>No Knowledge</v>
          </cell>
          <cell r="U49" t="str">
            <v>No Knowledge</v>
          </cell>
          <cell r="V49" t="str">
            <v>No Knowledge</v>
          </cell>
          <cell r="W49" t="str">
            <v>No Knowledge</v>
          </cell>
          <cell r="X49" t="str">
            <v>No Knowledge</v>
          </cell>
          <cell r="Y49" t="str">
            <v>No Knowledge</v>
          </cell>
          <cell r="Z49" t="str">
            <v>Practitioner</v>
          </cell>
          <cell r="AA49" t="str">
            <v>No Knowledge</v>
          </cell>
          <cell r="AB49" t="str">
            <v>Awareness</v>
          </cell>
          <cell r="AC49" t="str">
            <v>Awareness</v>
          </cell>
          <cell r="AD49" t="str">
            <v>Awareness</v>
          </cell>
          <cell r="AE49" t="str">
            <v>Awareness</v>
          </cell>
          <cell r="AF49" t="str">
            <v>No Knowledge</v>
          </cell>
          <cell r="AG49" t="str">
            <v>No Knowledge</v>
          </cell>
          <cell r="AH49" t="str">
            <v>No Knowledge</v>
          </cell>
          <cell r="AI49" t="str">
            <v>No Knowledge</v>
          </cell>
          <cell r="AJ49" t="str">
            <v>No Knowledge</v>
          </cell>
          <cell r="AK49" t="str">
            <v>No Knowledge</v>
          </cell>
          <cell r="AL49" t="str">
            <v>Working</v>
          </cell>
          <cell r="AM49" t="str">
            <v>Practitioner</v>
          </cell>
          <cell r="AN49" t="str">
            <v>Practitioner</v>
          </cell>
          <cell r="AO49" t="str">
            <v>No Knowledge</v>
          </cell>
          <cell r="AP49" t="str">
            <v>No Knowledge</v>
          </cell>
          <cell r="AQ49" t="str">
            <v>No Knowledge</v>
          </cell>
          <cell r="AR49" t="str">
            <v>No Knowledge</v>
          </cell>
          <cell r="AS49" t="str">
            <v>No Knowledge</v>
          </cell>
          <cell r="AT49" t="str">
            <v>No Knowledge</v>
          </cell>
          <cell r="AU49" t="str">
            <v>No Knowledge</v>
          </cell>
          <cell r="AV49" t="str">
            <v>No Knowledge</v>
          </cell>
          <cell r="AW49" t="str">
            <v>No Knowledge</v>
          </cell>
          <cell r="AX49" t="str">
            <v>No Knowledge</v>
          </cell>
          <cell r="AY49" t="str">
            <v>No Knowledge</v>
          </cell>
          <cell r="AZ49" t="str">
            <v>No Knowledge</v>
          </cell>
        </row>
        <row r="50">
          <cell r="B50" t="str">
            <v>Data Management</v>
          </cell>
          <cell r="D50" t="str">
            <v>No Knowledge</v>
          </cell>
          <cell r="E50" t="str">
            <v>No Knowledge</v>
          </cell>
          <cell r="F50" t="str">
            <v>No Knowledge</v>
          </cell>
          <cell r="G50" t="str">
            <v>No Knowledge</v>
          </cell>
          <cell r="H50" t="str">
            <v>No Knowledge</v>
          </cell>
          <cell r="I50" t="str">
            <v>No Knowledge</v>
          </cell>
          <cell r="J50" t="str">
            <v>No Knowledge</v>
          </cell>
          <cell r="K50" t="str">
            <v>No Knowledge</v>
          </cell>
          <cell r="L50" t="str">
            <v>No Knowledge</v>
          </cell>
          <cell r="M50" t="str">
            <v>No Knowledge</v>
          </cell>
          <cell r="N50" t="str">
            <v>No Knowledge</v>
          </cell>
          <cell r="O50" t="str">
            <v>No Knowledge</v>
          </cell>
          <cell r="P50" t="str">
            <v>No Knowledge</v>
          </cell>
          <cell r="Q50" t="str">
            <v>No Knowledge</v>
          </cell>
          <cell r="R50" t="str">
            <v>No Knowledge</v>
          </cell>
          <cell r="S50" t="str">
            <v>No Knowledge</v>
          </cell>
          <cell r="T50" t="str">
            <v>No Knowledge</v>
          </cell>
          <cell r="U50" t="str">
            <v>No Knowledge</v>
          </cell>
          <cell r="V50" t="str">
            <v>No Knowledge</v>
          </cell>
          <cell r="W50" t="str">
            <v>No Knowledge</v>
          </cell>
          <cell r="X50" t="str">
            <v>No Knowledge</v>
          </cell>
          <cell r="Y50" t="str">
            <v>No Knowledge</v>
          </cell>
          <cell r="Z50" t="str">
            <v>Practitioner</v>
          </cell>
          <cell r="AA50" t="str">
            <v>No Knowledge</v>
          </cell>
          <cell r="AB50" t="str">
            <v>No Knowledge</v>
          </cell>
          <cell r="AC50" t="str">
            <v>No Knowledge</v>
          </cell>
          <cell r="AD50" t="str">
            <v>No Knowledge</v>
          </cell>
          <cell r="AE50" t="str">
            <v>No Knowledge</v>
          </cell>
          <cell r="AF50" t="str">
            <v>No Knowledge</v>
          </cell>
          <cell r="AG50" t="str">
            <v>No Knowledge</v>
          </cell>
          <cell r="AH50" t="str">
            <v>No Knowledge</v>
          </cell>
          <cell r="AI50" t="str">
            <v>No Knowledge</v>
          </cell>
          <cell r="AJ50" t="str">
            <v>No Knowledge</v>
          </cell>
          <cell r="AK50" t="str">
            <v>No Knowledge</v>
          </cell>
          <cell r="AL50" t="str">
            <v>No Knowledge</v>
          </cell>
          <cell r="AM50" t="str">
            <v>No Knowledge</v>
          </cell>
          <cell r="AN50" t="str">
            <v>No Knowledge</v>
          </cell>
          <cell r="AO50" t="str">
            <v>No Knowledge</v>
          </cell>
          <cell r="AP50" t="str">
            <v>No Knowledge</v>
          </cell>
          <cell r="AQ50" t="str">
            <v>No Knowledge</v>
          </cell>
          <cell r="AR50" t="str">
            <v>No Knowledge</v>
          </cell>
          <cell r="AS50" t="str">
            <v>No Knowledge</v>
          </cell>
          <cell r="AT50" t="str">
            <v>No Knowledge</v>
          </cell>
          <cell r="AU50" t="str">
            <v>No Knowledge</v>
          </cell>
          <cell r="AV50" t="str">
            <v>No Knowledge</v>
          </cell>
          <cell r="AW50" t="str">
            <v>No Knowledge</v>
          </cell>
          <cell r="AX50" t="str">
            <v>No Knowledge</v>
          </cell>
          <cell r="AY50" t="str">
            <v>No Knowledge</v>
          </cell>
          <cell r="AZ50" t="str">
            <v>No Knowledge</v>
          </cell>
        </row>
        <row r="51">
          <cell r="B51" t="str">
            <v>Data Modelling and Design</v>
          </cell>
          <cell r="D51" t="str">
            <v>No Knowledge</v>
          </cell>
          <cell r="E51" t="str">
            <v>No Knowledge</v>
          </cell>
          <cell r="F51" t="str">
            <v>No Knowledge</v>
          </cell>
          <cell r="G51" t="str">
            <v>No Knowledge</v>
          </cell>
          <cell r="H51" t="str">
            <v>No Knowledge</v>
          </cell>
          <cell r="I51" t="str">
            <v>No Knowledge</v>
          </cell>
          <cell r="J51" t="str">
            <v>No Knowledge</v>
          </cell>
          <cell r="K51" t="str">
            <v>No Knowledge</v>
          </cell>
          <cell r="L51" t="str">
            <v>No Knowledge</v>
          </cell>
          <cell r="M51" t="str">
            <v>No Knowledge</v>
          </cell>
          <cell r="N51" t="str">
            <v>No Knowledge</v>
          </cell>
          <cell r="O51" t="str">
            <v>No Knowledge</v>
          </cell>
          <cell r="P51" t="str">
            <v>No Knowledge</v>
          </cell>
          <cell r="Q51" t="str">
            <v>No Knowledge</v>
          </cell>
          <cell r="R51" t="str">
            <v>No Knowledge</v>
          </cell>
          <cell r="S51" t="str">
            <v>No Knowledge</v>
          </cell>
          <cell r="T51" t="str">
            <v>No Knowledge</v>
          </cell>
          <cell r="U51" t="str">
            <v>No Knowledge</v>
          </cell>
          <cell r="V51" t="str">
            <v>No Knowledge</v>
          </cell>
          <cell r="W51" t="str">
            <v>No Knowledge</v>
          </cell>
          <cell r="X51" t="str">
            <v>No Knowledge</v>
          </cell>
          <cell r="Y51" t="str">
            <v>No Knowledge</v>
          </cell>
          <cell r="Z51" t="str">
            <v>Practitioner</v>
          </cell>
          <cell r="AA51" t="str">
            <v>No Knowledge</v>
          </cell>
          <cell r="AB51" t="str">
            <v>No Knowledge</v>
          </cell>
          <cell r="AC51" t="str">
            <v>No Knowledge</v>
          </cell>
          <cell r="AD51" t="str">
            <v>No Knowledge</v>
          </cell>
          <cell r="AE51" t="str">
            <v>No Knowledge</v>
          </cell>
          <cell r="AF51" t="str">
            <v>No Knowledge</v>
          </cell>
          <cell r="AG51" t="str">
            <v>No Knowledge</v>
          </cell>
          <cell r="AH51" t="str">
            <v>No Knowledge</v>
          </cell>
          <cell r="AI51" t="str">
            <v>No Knowledge</v>
          </cell>
          <cell r="AJ51" t="str">
            <v>No Knowledge</v>
          </cell>
          <cell r="AK51" t="str">
            <v>No Knowledge</v>
          </cell>
          <cell r="AL51" t="str">
            <v>No Knowledge</v>
          </cell>
          <cell r="AM51" t="str">
            <v>No Knowledge</v>
          </cell>
          <cell r="AN51" t="str">
            <v>No Knowledge</v>
          </cell>
          <cell r="AO51" t="str">
            <v>No Knowledge</v>
          </cell>
          <cell r="AP51" t="str">
            <v>No Knowledge</v>
          </cell>
          <cell r="AQ51" t="str">
            <v>No Knowledge</v>
          </cell>
          <cell r="AR51" t="str">
            <v>No Knowledge</v>
          </cell>
          <cell r="AS51" t="str">
            <v>No Knowledge</v>
          </cell>
          <cell r="AT51" t="str">
            <v>No Knowledge</v>
          </cell>
          <cell r="AU51" t="str">
            <v>No Knowledge</v>
          </cell>
          <cell r="AV51" t="str">
            <v>No Knowledge</v>
          </cell>
          <cell r="AW51" t="str">
            <v>No Knowledge</v>
          </cell>
          <cell r="AX51" t="str">
            <v>No Knowledge</v>
          </cell>
          <cell r="AY51" t="str">
            <v>No Knowledge</v>
          </cell>
          <cell r="AZ51" t="str">
            <v>No Knowledge</v>
          </cell>
        </row>
        <row r="52">
          <cell r="B52" t="str">
            <v>Data science</v>
          </cell>
          <cell r="D52" t="str">
            <v>No Knowledge</v>
          </cell>
          <cell r="E52" t="str">
            <v>No Knowledge</v>
          </cell>
          <cell r="F52" t="str">
            <v>No Knowledge</v>
          </cell>
          <cell r="G52" t="str">
            <v>No Knowledge</v>
          </cell>
          <cell r="H52" t="str">
            <v>No Knowledge</v>
          </cell>
          <cell r="I52" t="str">
            <v>No Knowledge</v>
          </cell>
          <cell r="J52" t="str">
            <v>No Knowledge</v>
          </cell>
          <cell r="K52" t="str">
            <v>No Knowledge</v>
          </cell>
          <cell r="L52" t="str">
            <v>No Knowledge</v>
          </cell>
          <cell r="M52" t="str">
            <v>No Knowledge</v>
          </cell>
          <cell r="N52" t="str">
            <v>No Knowledge</v>
          </cell>
          <cell r="O52" t="str">
            <v>No Knowledge</v>
          </cell>
          <cell r="P52" t="str">
            <v>No Knowledge</v>
          </cell>
          <cell r="Q52" t="str">
            <v>No Knowledge</v>
          </cell>
          <cell r="R52" t="str">
            <v>No Knowledge</v>
          </cell>
          <cell r="S52" t="str">
            <v>No Knowledge</v>
          </cell>
          <cell r="T52" t="str">
            <v>No Knowledge</v>
          </cell>
          <cell r="U52" t="str">
            <v>No Knowledge</v>
          </cell>
          <cell r="V52" t="str">
            <v>No Knowledge</v>
          </cell>
          <cell r="W52" t="str">
            <v>No Knowledge</v>
          </cell>
          <cell r="X52" t="str">
            <v>No Knowledge</v>
          </cell>
          <cell r="Y52" t="str">
            <v>No Knowledge</v>
          </cell>
          <cell r="Z52" t="str">
            <v>Practitioner</v>
          </cell>
          <cell r="AA52" t="str">
            <v>No Knowledge</v>
          </cell>
          <cell r="AB52" t="str">
            <v>No Knowledge</v>
          </cell>
          <cell r="AC52" t="str">
            <v>No Knowledge</v>
          </cell>
          <cell r="AD52" t="str">
            <v>No Knowledge</v>
          </cell>
          <cell r="AE52" t="str">
            <v>No Knowledge</v>
          </cell>
          <cell r="AF52" t="str">
            <v>No Knowledge</v>
          </cell>
          <cell r="AG52" t="str">
            <v>No Knowledge</v>
          </cell>
          <cell r="AH52" t="str">
            <v>No Knowledge</v>
          </cell>
          <cell r="AI52" t="str">
            <v>No Knowledge</v>
          </cell>
          <cell r="AJ52" t="str">
            <v>No Knowledge</v>
          </cell>
          <cell r="AK52" t="str">
            <v>No Knowledge</v>
          </cell>
          <cell r="AL52" t="str">
            <v>No Knowledge</v>
          </cell>
          <cell r="AM52" t="str">
            <v>No Knowledge</v>
          </cell>
          <cell r="AN52" t="str">
            <v>No Knowledge</v>
          </cell>
          <cell r="AO52" t="str">
            <v>No Knowledge</v>
          </cell>
          <cell r="AP52" t="str">
            <v>No Knowledge</v>
          </cell>
          <cell r="AQ52" t="str">
            <v>No Knowledge</v>
          </cell>
          <cell r="AR52" t="str">
            <v>No Knowledge</v>
          </cell>
          <cell r="AS52" t="str">
            <v>No Knowledge</v>
          </cell>
          <cell r="AT52" t="str">
            <v>No Knowledge</v>
          </cell>
          <cell r="AU52" t="str">
            <v>No Knowledge</v>
          </cell>
          <cell r="AV52" t="str">
            <v>No Knowledge</v>
          </cell>
          <cell r="AW52" t="str">
            <v>No Knowledge</v>
          </cell>
          <cell r="AX52" t="str">
            <v>No Knowledge</v>
          </cell>
          <cell r="AY52" t="str">
            <v>No Knowledge</v>
          </cell>
          <cell r="AZ52" t="str">
            <v>No Knowledge</v>
          </cell>
        </row>
        <row r="53">
          <cell r="B53" t="str">
            <v>Data visualisation</v>
          </cell>
          <cell r="D53" t="str">
            <v>No Knowledge</v>
          </cell>
          <cell r="E53" t="str">
            <v>No Knowledge</v>
          </cell>
          <cell r="F53" t="str">
            <v>No Knowledge</v>
          </cell>
          <cell r="G53" t="str">
            <v>No Knowledge</v>
          </cell>
          <cell r="H53" t="str">
            <v>No Knowledge</v>
          </cell>
          <cell r="I53" t="str">
            <v>No Knowledge</v>
          </cell>
          <cell r="J53" t="str">
            <v>No Knowledge</v>
          </cell>
          <cell r="K53" t="str">
            <v>No Knowledge</v>
          </cell>
          <cell r="L53" t="str">
            <v>No Knowledge</v>
          </cell>
          <cell r="M53" t="str">
            <v>No Knowledge</v>
          </cell>
          <cell r="N53" t="str">
            <v>No Knowledge</v>
          </cell>
          <cell r="O53" t="str">
            <v>No Knowledge</v>
          </cell>
          <cell r="P53" t="str">
            <v>No Knowledge</v>
          </cell>
          <cell r="Q53" t="str">
            <v>No Knowledge</v>
          </cell>
          <cell r="R53" t="str">
            <v>No Knowledge</v>
          </cell>
          <cell r="S53" t="str">
            <v>No Knowledge</v>
          </cell>
          <cell r="T53" t="str">
            <v>No Knowledge</v>
          </cell>
          <cell r="U53" t="str">
            <v>No Knowledge</v>
          </cell>
          <cell r="V53" t="str">
            <v>No Knowledge</v>
          </cell>
          <cell r="W53" t="str">
            <v>No Knowledge</v>
          </cell>
          <cell r="X53" t="str">
            <v>No Knowledge</v>
          </cell>
          <cell r="Y53" t="str">
            <v>No Knowledge</v>
          </cell>
          <cell r="Z53" t="str">
            <v>Practitioner</v>
          </cell>
          <cell r="AA53" t="str">
            <v>No Knowledge</v>
          </cell>
          <cell r="AB53" t="str">
            <v>No Knowledge</v>
          </cell>
          <cell r="AC53" t="str">
            <v>No Knowledge</v>
          </cell>
          <cell r="AD53" t="str">
            <v>No Knowledge</v>
          </cell>
          <cell r="AE53" t="str">
            <v>No Knowledge</v>
          </cell>
          <cell r="AF53" t="str">
            <v>No Knowledge</v>
          </cell>
          <cell r="AG53" t="str">
            <v>No Knowledge</v>
          </cell>
          <cell r="AH53" t="str">
            <v>No Knowledge</v>
          </cell>
          <cell r="AI53" t="str">
            <v>No Knowledge</v>
          </cell>
          <cell r="AJ53" t="str">
            <v>No Knowledge</v>
          </cell>
          <cell r="AK53" t="str">
            <v>No Knowledge</v>
          </cell>
          <cell r="AL53" t="str">
            <v>No Knowledge</v>
          </cell>
          <cell r="AM53" t="str">
            <v>No Knowledge</v>
          </cell>
          <cell r="AN53" t="str">
            <v>No Knowledge</v>
          </cell>
          <cell r="AO53" t="str">
            <v>No Knowledge</v>
          </cell>
          <cell r="AP53" t="str">
            <v>No Knowledge</v>
          </cell>
          <cell r="AQ53" t="str">
            <v>No Knowledge</v>
          </cell>
          <cell r="AR53" t="str">
            <v>No Knowledge</v>
          </cell>
          <cell r="AS53" t="str">
            <v>No Knowledge</v>
          </cell>
          <cell r="AT53" t="str">
            <v>No Knowledge</v>
          </cell>
          <cell r="AU53" t="str">
            <v>Working</v>
          </cell>
          <cell r="AV53" t="str">
            <v>Working</v>
          </cell>
          <cell r="AW53" t="str">
            <v>Practitioner</v>
          </cell>
          <cell r="AX53" t="str">
            <v>Practitioner</v>
          </cell>
          <cell r="AY53" t="str">
            <v>Awareness</v>
          </cell>
          <cell r="AZ53" t="str">
            <v>Awareness</v>
          </cell>
        </row>
        <row r="54">
          <cell r="B54" t="str">
            <v>Database Administration</v>
          </cell>
          <cell r="D54" t="str">
            <v>No Knowledge</v>
          </cell>
          <cell r="E54" t="str">
            <v>No Knowledge</v>
          </cell>
          <cell r="F54" t="str">
            <v>No Knowledge</v>
          </cell>
          <cell r="G54" t="str">
            <v>No Knowledge</v>
          </cell>
          <cell r="H54" t="str">
            <v>No Knowledge</v>
          </cell>
          <cell r="I54" t="str">
            <v>No Knowledge</v>
          </cell>
          <cell r="J54" t="str">
            <v>No Knowledge</v>
          </cell>
          <cell r="K54" t="str">
            <v>No Knowledge</v>
          </cell>
          <cell r="L54" t="str">
            <v>No Knowledge</v>
          </cell>
          <cell r="M54" t="str">
            <v>No Knowledge</v>
          </cell>
          <cell r="N54" t="str">
            <v>No Knowledge</v>
          </cell>
          <cell r="O54" t="str">
            <v>No Knowledge</v>
          </cell>
          <cell r="P54" t="str">
            <v>No Knowledge</v>
          </cell>
          <cell r="Q54" t="str">
            <v>Working</v>
          </cell>
          <cell r="R54" t="str">
            <v>Working</v>
          </cell>
          <cell r="S54" t="str">
            <v>Working</v>
          </cell>
          <cell r="T54" t="str">
            <v>Working</v>
          </cell>
          <cell r="U54" t="str">
            <v>Working</v>
          </cell>
          <cell r="V54" t="str">
            <v>Working</v>
          </cell>
          <cell r="W54" t="str">
            <v>Working</v>
          </cell>
          <cell r="X54" t="str">
            <v>Working</v>
          </cell>
          <cell r="Y54" t="str">
            <v>Working</v>
          </cell>
          <cell r="Z54" t="str">
            <v>Working</v>
          </cell>
          <cell r="AA54" t="str">
            <v>Awareness</v>
          </cell>
          <cell r="AB54" t="str">
            <v>Awareness</v>
          </cell>
          <cell r="AC54" t="str">
            <v>Working</v>
          </cell>
          <cell r="AD54" t="str">
            <v>Working</v>
          </cell>
          <cell r="AE54" t="str">
            <v>Working</v>
          </cell>
          <cell r="AF54" t="str">
            <v>Awareness</v>
          </cell>
          <cell r="AG54" t="str">
            <v>Awareness</v>
          </cell>
          <cell r="AH54" t="str">
            <v>Working</v>
          </cell>
          <cell r="AI54" t="str">
            <v>No Knowledge</v>
          </cell>
          <cell r="AJ54" t="str">
            <v>No Knowledge</v>
          </cell>
          <cell r="AK54" t="str">
            <v>No Knowledge</v>
          </cell>
          <cell r="AL54" t="str">
            <v>Working</v>
          </cell>
          <cell r="AM54" t="str">
            <v>Working</v>
          </cell>
          <cell r="AN54" t="str">
            <v>Working</v>
          </cell>
          <cell r="AO54" t="str">
            <v>Awareness</v>
          </cell>
          <cell r="AP54" t="str">
            <v>Awareness</v>
          </cell>
          <cell r="AQ54" t="str">
            <v>Practitioner</v>
          </cell>
          <cell r="AR54" t="str">
            <v>Practitioner</v>
          </cell>
          <cell r="AS54" t="str">
            <v>Practitioner</v>
          </cell>
          <cell r="AT54" t="str">
            <v>Practitioner</v>
          </cell>
          <cell r="AU54" t="str">
            <v>No Knowledge</v>
          </cell>
          <cell r="AV54" t="str">
            <v>No Knowledge</v>
          </cell>
          <cell r="AW54" t="str">
            <v>No Knowledge</v>
          </cell>
          <cell r="AX54" t="str">
            <v>No Knowledge</v>
          </cell>
          <cell r="AY54" t="str">
            <v>N/A</v>
          </cell>
          <cell r="AZ54" t="str">
            <v>N/A</v>
          </cell>
        </row>
        <row r="55">
          <cell r="B55" t="str">
            <v>Database Design</v>
          </cell>
          <cell r="D55" t="str">
            <v>No Knowledge</v>
          </cell>
          <cell r="E55" t="str">
            <v>No Knowledge</v>
          </cell>
          <cell r="F55" t="str">
            <v>No Knowledge</v>
          </cell>
          <cell r="G55" t="str">
            <v>No Knowledge</v>
          </cell>
          <cell r="H55" t="str">
            <v>No Knowledge</v>
          </cell>
          <cell r="I55" t="str">
            <v>No Knowledge</v>
          </cell>
          <cell r="J55" t="str">
            <v>No Knowledge</v>
          </cell>
          <cell r="K55" t="str">
            <v>No Knowledge</v>
          </cell>
          <cell r="L55" t="str">
            <v>No Knowledge</v>
          </cell>
          <cell r="M55" t="str">
            <v>No Knowledge</v>
          </cell>
          <cell r="N55" t="str">
            <v>No Knowledge</v>
          </cell>
          <cell r="O55" t="str">
            <v>No Knowledge</v>
          </cell>
          <cell r="P55" t="str">
            <v>No Knowledge</v>
          </cell>
          <cell r="Q55" t="str">
            <v>No Knowledge</v>
          </cell>
          <cell r="R55" t="str">
            <v>No Knowledge</v>
          </cell>
          <cell r="S55" t="str">
            <v>No Knowledge</v>
          </cell>
          <cell r="T55" t="str">
            <v>No Knowledge</v>
          </cell>
          <cell r="U55" t="str">
            <v>No Knowledge</v>
          </cell>
          <cell r="V55" t="str">
            <v>No Knowledge</v>
          </cell>
          <cell r="W55" t="str">
            <v>No Knowledge</v>
          </cell>
          <cell r="X55" t="str">
            <v>Awareness</v>
          </cell>
          <cell r="Y55" t="str">
            <v>Awareness</v>
          </cell>
          <cell r="Z55" t="str">
            <v>No Knowledge</v>
          </cell>
          <cell r="AA55" t="str">
            <v>No Knowledge</v>
          </cell>
          <cell r="AB55" t="str">
            <v>Awareness</v>
          </cell>
          <cell r="AC55" t="str">
            <v>Working</v>
          </cell>
          <cell r="AD55" t="str">
            <v>Working</v>
          </cell>
          <cell r="AE55" t="str">
            <v>Working</v>
          </cell>
          <cell r="AF55" t="str">
            <v>No Knowledge</v>
          </cell>
          <cell r="AG55" t="str">
            <v>Working</v>
          </cell>
          <cell r="AH55" t="str">
            <v>No Knowledge</v>
          </cell>
          <cell r="AI55" t="str">
            <v>No Knowledge</v>
          </cell>
          <cell r="AJ55" t="str">
            <v>No Knowledge</v>
          </cell>
          <cell r="AK55" t="str">
            <v>No Knowledge</v>
          </cell>
          <cell r="AL55" t="str">
            <v>No Knowledge</v>
          </cell>
          <cell r="AM55" t="str">
            <v>No Knowledge</v>
          </cell>
          <cell r="AN55" t="str">
            <v>No Knowledge</v>
          </cell>
          <cell r="AO55" t="str">
            <v>Practitioner</v>
          </cell>
          <cell r="AP55" t="str">
            <v>No Knowledge</v>
          </cell>
          <cell r="AQ55" t="str">
            <v>No Knowledge</v>
          </cell>
          <cell r="AR55" t="str">
            <v>No Knowledge</v>
          </cell>
          <cell r="AS55" t="str">
            <v>No Knowledge</v>
          </cell>
          <cell r="AT55" t="str">
            <v>No Knowledge</v>
          </cell>
        </row>
        <row r="56">
          <cell r="B56" t="str">
            <v>Hardware design</v>
          </cell>
          <cell r="D56" t="str">
            <v>No Knowledge</v>
          </cell>
          <cell r="E56" t="str">
            <v>No Knowledge</v>
          </cell>
          <cell r="F56" t="str">
            <v>No Knowledge</v>
          </cell>
          <cell r="G56" t="str">
            <v>No Knowledge</v>
          </cell>
          <cell r="H56" t="str">
            <v>No Knowledge</v>
          </cell>
          <cell r="I56" t="str">
            <v>Working</v>
          </cell>
          <cell r="J56" t="str">
            <v>No Knowledge</v>
          </cell>
          <cell r="K56" t="str">
            <v>No Knowledge</v>
          </cell>
          <cell r="L56" t="str">
            <v>No Knowledge</v>
          </cell>
          <cell r="M56" t="str">
            <v>No Knowledge</v>
          </cell>
          <cell r="N56" t="str">
            <v>No Knowledge</v>
          </cell>
          <cell r="O56" t="str">
            <v>No Knowledge</v>
          </cell>
          <cell r="P56" t="str">
            <v>No Knowledge</v>
          </cell>
          <cell r="Q56" t="str">
            <v>Working</v>
          </cell>
          <cell r="R56" t="str">
            <v>Practitioner</v>
          </cell>
          <cell r="S56" t="str">
            <v>Practitioner</v>
          </cell>
          <cell r="T56" t="str">
            <v>Working</v>
          </cell>
          <cell r="U56" t="str">
            <v>Expert</v>
          </cell>
          <cell r="V56" t="str">
            <v>Practitioner</v>
          </cell>
          <cell r="W56" t="str">
            <v>Awareness</v>
          </cell>
          <cell r="X56" t="str">
            <v>Working</v>
          </cell>
          <cell r="Y56" t="str">
            <v>Practitioner</v>
          </cell>
          <cell r="Z56" t="str">
            <v>Working</v>
          </cell>
          <cell r="AA56" t="str">
            <v>No Knowledge</v>
          </cell>
          <cell r="AB56" t="str">
            <v>No Knowledge</v>
          </cell>
          <cell r="AC56" t="str">
            <v>No Knowledge</v>
          </cell>
          <cell r="AD56" t="str">
            <v>No Knowledge</v>
          </cell>
          <cell r="AE56" t="str">
            <v>No Knowledge</v>
          </cell>
          <cell r="AF56" t="str">
            <v>Practitioner</v>
          </cell>
          <cell r="AG56" t="str">
            <v>Working</v>
          </cell>
          <cell r="AH56" t="str">
            <v>Practitioner</v>
          </cell>
          <cell r="AI56" t="str">
            <v>No Knowledge</v>
          </cell>
          <cell r="AJ56" t="str">
            <v>No Knowledge</v>
          </cell>
          <cell r="AK56" t="str">
            <v>No Knowledge</v>
          </cell>
          <cell r="AL56" t="str">
            <v>No Knowledge</v>
          </cell>
          <cell r="AM56" t="str">
            <v>No Knowledge</v>
          </cell>
          <cell r="AN56" t="str">
            <v>No Knowledge</v>
          </cell>
          <cell r="AO56" t="str">
            <v>Working</v>
          </cell>
          <cell r="AP56" t="str">
            <v>Practitioner</v>
          </cell>
          <cell r="AQ56" t="str">
            <v>Expert</v>
          </cell>
          <cell r="AR56" t="str">
            <v>Expert</v>
          </cell>
          <cell r="AS56" t="str">
            <v>Practitioner</v>
          </cell>
          <cell r="AT56" t="str">
            <v>Practitioner</v>
          </cell>
        </row>
        <row r="57">
          <cell r="B57" t="str">
            <v>High Performance Computing</v>
          </cell>
          <cell r="D57" t="str">
            <v>Awareness</v>
          </cell>
          <cell r="E57" t="str">
            <v>Awareness</v>
          </cell>
          <cell r="F57" t="str">
            <v>Awareness</v>
          </cell>
          <cell r="G57" t="str">
            <v>Awareness</v>
          </cell>
          <cell r="H57" t="str">
            <v>Awareness</v>
          </cell>
          <cell r="I57" t="str">
            <v>Awareness</v>
          </cell>
          <cell r="J57" t="str">
            <v>Awareness</v>
          </cell>
          <cell r="K57" t="str">
            <v>Awareness</v>
          </cell>
          <cell r="L57" t="str">
            <v>Awareness</v>
          </cell>
          <cell r="M57" t="str">
            <v>Awareness</v>
          </cell>
          <cell r="N57" t="str">
            <v>Awareness</v>
          </cell>
          <cell r="O57" t="str">
            <v>No Knowledge</v>
          </cell>
          <cell r="P57" t="str">
            <v>Awareness</v>
          </cell>
          <cell r="Q57" t="str">
            <v>Awareness</v>
          </cell>
          <cell r="R57" t="str">
            <v>Awareness</v>
          </cell>
          <cell r="S57" t="str">
            <v>Awareness</v>
          </cell>
          <cell r="T57" t="str">
            <v>Awareness</v>
          </cell>
          <cell r="U57" t="str">
            <v>Working</v>
          </cell>
          <cell r="V57" t="str">
            <v>Working</v>
          </cell>
          <cell r="W57" t="str">
            <v>Working</v>
          </cell>
          <cell r="X57" t="str">
            <v>Practitioner</v>
          </cell>
          <cell r="Y57" t="str">
            <v>Expert</v>
          </cell>
          <cell r="Z57" t="str">
            <v>Working</v>
          </cell>
          <cell r="AA57" t="str">
            <v>No Knowledge</v>
          </cell>
          <cell r="AB57" t="str">
            <v>No Knowledge</v>
          </cell>
          <cell r="AC57" t="str">
            <v>No Knowledge</v>
          </cell>
          <cell r="AD57" t="str">
            <v>No Knowledge</v>
          </cell>
          <cell r="AE57" t="str">
            <v>No Knowledge</v>
          </cell>
          <cell r="AF57" t="str">
            <v>Practitioner</v>
          </cell>
          <cell r="AG57" t="str">
            <v>Awareness</v>
          </cell>
          <cell r="AH57" t="str">
            <v>Awareness</v>
          </cell>
          <cell r="AI57" t="str">
            <v>Awareness</v>
          </cell>
          <cell r="AJ57" t="str">
            <v>Awareness</v>
          </cell>
          <cell r="AK57" t="str">
            <v>Awareness</v>
          </cell>
          <cell r="AL57" t="str">
            <v>No Knowledge</v>
          </cell>
          <cell r="AM57" t="str">
            <v>No Knowledge</v>
          </cell>
          <cell r="AN57" t="str">
            <v>No Knowledge</v>
          </cell>
          <cell r="AO57" t="str">
            <v>Awareness</v>
          </cell>
          <cell r="AP57" t="str">
            <v>Working</v>
          </cell>
          <cell r="AQ57" t="str">
            <v>Expert</v>
          </cell>
          <cell r="AR57" t="str">
            <v>Working</v>
          </cell>
          <cell r="AS57" t="str">
            <v>Practitioner</v>
          </cell>
          <cell r="AT57" t="str">
            <v>Practitioner</v>
          </cell>
        </row>
        <row r="58">
          <cell r="B58" t="str">
            <v>Research Computing</v>
          </cell>
          <cell r="D58" t="str">
            <v>Awareness</v>
          </cell>
          <cell r="E58" t="str">
            <v>Awareness</v>
          </cell>
          <cell r="F58" t="str">
            <v>Awareness</v>
          </cell>
          <cell r="G58" t="str">
            <v>Awareness</v>
          </cell>
          <cell r="H58" t="str">
            <v>Awareness</v>
          </cell>
          <cell r="I58" t="str">
            <v>Awareness</v>
          </cell>
          <cell r="J58" t="str">
            <v>Awareness</v>
          </cell>
          <cell r="K58" t="str">
            <v>Awareness</v>
          </cell>
          <cell r="L58" t="str">
            <v>Awareness</v>
          </cell>
          <cell r="M58" t="str">
            <v>Awareness</v>
          </cell>
          <cell r="N58" t="str">
            <v>Awareness</v>
          </cell>
          <cell r="O58" t="str">
            <v>No Knowledge</v>
          </cell>
          <cell r="P58" t="str">
            <v>Awareness</v>
          </cell>
          <cell r="Q58" t="str">
            <v>Awareness</v>
          </cell>
          <cell r="R58" t="str">
            <v>Awareness</v>
          </cell>
          <cell r="S58" t="str">
            <v>Awareness</v>
          </cell>
          <cell r="T58" t="str">
            <v>Awareness</v>
          </cell>
          <cell r="U58" t="str">
            <v>Working</v>
          </cell>
          <cell r="V58" t="str">
            <v>Working</v>
          </cell>
          <cell r="W58" t="str">
            <v>Working</v>
          </cell>
          <cell r="X58" t="str">
            <v>Practitioner</v>
          </cell>
          <cell r="Y58" t="str">
            <v>Expert</v>
          </cell>
          <cell r="Z58" t="str">
            <v>Working</v>
          </cell>
          <cell r="AA58" t="str">
            <v>No Knowledge</v>
          </cell>
          <cell r="AB58" t="str">
            <v>No Knowledge</v>
          </cell>
          <cell r="AC58" t="str">
            <v>Awareness</v>
          </cell>
          <cell r="AD58" t="str">
            <v>Awareness</v>
          </cell>
          <cell r="AE58" t="str">
            <v>Awareness</v>
          </cell>
          <cell r="AF58" t="str">
            <v>Practitioner</v>
          </cell>
          <cell r="AG58" t="str">
            <v>Awareness</v>
          </cell>
          <cell r="AH58" t="str">
            <v>Awareness</v>
          </cell>
          <cell r="AI58" t="str">
            <v>Awareness</v>
          </cell>
          <cell r="AJ58" t="str">
            <v>Awareness</v>
          </cell>
          <cell r="AK58" t="str">
            <v>Awareness</v>
          </cell>
          <cell r="AL58" t="str">
            <v>No Knowledge</v>
          </cell>
          <cell r="AM58" t="str">
            <v>No Knowledge</v>
          </cell>
          <cell r="AN58" t="str">
            <v>No Knowledge</v>
          </cell>
          <cell r="AO58" t="str">
            <v>Awareness</v>
          </cell>
          <cell r="AP58" t="str">
            <v>Working</v>
          </cell>
          <cell r="AQ58" t="str">
            <v>Expert</v>
          </cell>
          <cell r="AR58" t="str">
            <v>Working</v>
          </cell>
          <cell r="AS58" t="str">
            <v>Practitioner</v>
          </cell>
          <cell r="AT58" t="str">
            <v>Practitioner</v>
          </cell>
          <cell r="AY58" t="str">
            <v>Expert</v>
          </cell>
          <cell r="AZ58" t="str">
            <v>Expert</v>
          </cell>
        </row>
        <row r="59">
          <cell r="B59" t="str">
            <v>Information assurance</v>
          </cell>
          <cell r="D59" t="str">
            <v>Working</v>
          </cell>
          <cell r="E59" t="str">
            <v>Working</v>
          </cell>
          <cell r="F59" t="str">
            <v>Practitioner</v>
          </cell>
          <cell r="G59" t="str">
            <v>Practitioner</v>
          </cell>
          <cell r="H59" t="str">
            <v>Practitioner</v>
          </cell>
          <cell r="I59" t="str">
            <v>Practitioner</v>
          </cell>
          <cell r="J59" t="str">
            <v>Practitioner</v>
          </cell>
          <cell r="K59" t="str">
            <v>Working</v>
          </cell>
          <cell r="L59" t="str">
            <v>Working</v>
          </cell>
          <cell r="M59" t="str">
            <v>Working</v>
          </cell>
          <cell r="N59" t="str">
            <v>Practitioner</v>
          </cell>
          <cell r="O59" t="str">
            <v>Practitioner</v>
          </cell>
          <cell r="P59" t="str">
            <v>Practitioner</v>
          </cell>
          <cell r="Q59" t="str">
            <v>Working</v>
          </cell>
          <cell r="R59" t="str">
            <v>Working</v>
          </cell>
          <cell r="S59" t="str">
            <v>Practitioner</v>
          </cell>
          <cell r="T59" t="str">
            <v>Working</v>
          </cell>
          <cell r="U59" t="str">
            <v>Practitioner</v>
          </cell>
          <cell r="V59" t="str">
            <v>Practitioner</v>
          </cell>
          <cell r="W59" t="str">
            <v>Working</v>
          </cell>
          <cell r="X59" t="str">
            <v>Practitioner</v>
          </cell>
          <cell r="Y59" t="str">
            <v>Practitioner</v>
          </cell>
          <cell r="Z59" t="str">
            <v>Practitioner</v>
          </cell>
          <cell r="AA59" t="str">
            <v>Awareness</v>
          </cell>
          <cell r="AB59" t="str">
            <v>Working</v>
          </cell>
          <cell r="AC59" t="str">
            <v>Practitioner</v>
          </cell>
          <cell r="AD59" t="str">
            <v>Practitioner</v>
          </cell>
          <cell r="AE59" t="str">
            <v>Practitioner</v>
          </cell>
          <cell r="AF59" t="str">
            <v>Expert</v>
          </cell>
          <cell r="AG59" t="str">
            <v>Expert</v>
          </cell>
          <cell r="AH59" t="str">
            <v>Practitioner</v>
          </cell>
          <cell r="AI59" t="str">
            <v>Working</v>
          </cell>
          <cell r="AJ59" t="str">
            <v>Working</v>
          </cell>
          <cell r="AK59" t="str">
            <v>Practitioner</v>
          </cell>
          <cell r="AL59" t="str">
            <v>Practitioner</v>
          </cell>
          <cell r="AM59" t="str">
            <v>No Knowledge</v>
          </cell>
          <cell r="AN59" t="str">
            <v>Practitioner</v>
          </cell>
          <cell r="AO59" t="str">
            <v>Expert</v>
          </cell>
          <cell r="AP59" t="str">
            <v>Practitioner</v>
          </cell>
          <cell r="AQ59" t="str">
            <v>Expert</v>
          </cell>
          <cell r="AR59" t="str">
            <v>Expert</v>
          </cell>
          <cell r="AS59" t="str">
            <v>Expert</v>
          </cell>
          <cell r="AT59" t="str">
            <v>Expert</v>
          </cell>
          <cell r="AY59" t="str">
            <v>Practitioner</v>
          </cell>
          <cell r="AZ59" t="str">
            <v>Practitioner</v>
          </cell>
        </row>
        <row r="60">
          <cell r="B60" t="str">
            <v>Information management</v>
          </cell>
          <cell r="D60" t="str">
            <v>Awareness</v>
          </cell>
          <cell r="E60" t="str">
            <v>Awareness</v>
          </cell>
          <cell r="F60" t="str">
            <v>Awareness</v>
          </cell>
          <cell r="G60" t="str">
            <v>Awareness</v>
          </cell>
          <cell r="H60" t="str">
            <v>Awareness</v>
          </cell>
          <cell r="I60" t="str">
            <v>Awareness</v>
          </cell>
          <cell r="J60" t="str">
            <v>Awareness</v>
          </cell>
          <cell r="K60" t="str">
            <v>Awareness</v>
          </cell>
          <cell r="L60" t="str">
            <v>Awareness</v>
          </cell>
          <cell r="M60" t="str">
            <v>Awareness</v>
          </cell>
          <cell r="N60" t="str">
            <v>Awareness</v>
          </cell>
          <cell r="O60" t="str">
            <v>Awareness</v>
          </cell>
          <cell r="P60" t="str">
            <v>Awareness</v>
          </cell>
          <cell r="Q60" t="str">
            <v>Working</v>
          </cell>
          <cell r="R60" t="str">
            <v>Practitioner</v>
          </cell>
          <cell r="S60" t="str">
            <v>Practitioner</v>
          </cell>
          <cell r="T60" t="str">
            <v>Working</v>
          </cell>
          <cell r="U60" t="str">
            <v>Expert</v>
          </cell>
          <cell r="V60" t="str">
            <v>Practitioner</v>
          </cell>
          <cell r="W60" t="str">
            <v>Working</v>
          </cell>
          <cell r="X60" t="str">
            <v>Practitioner</v>
          </cell>
          <cell r="Y60" t="str">
            <v>Practitioner</v>
          </cell>
          <cell r="Z60" t="str">
            <v>Practitioner</v>
          </cell>
          <cell r="AA60" t="str">
            <v>Awareness</v>
          </cell>
          <cell r="AB60" t="str">
            <v>Working</v>
          </cell>
          <cell r="AC60" t="str">
            <v>Practitioner</v>
          </cell>
          <cell r="AD60" t="str">
            <v>Practitioner</v>
          </cell>
          <cell r="AE60" t="str">
            <v>Practitioner</v>
          </cell>
          <cell r="AF60" t="str">
            <v>Practitioner</v>
          </cell>
          <cell r="AG60" t="str">
            <v>Practitioner</v>
          </cell>
          <cell r="AH60" t="str">
            <v>Practitioner</v>
          </cell>
          <cell r="AI60" t="str">
            <v>Awareness</v>
          </cell>
          <cell r="AJ60" t="str">
            <v>Awareness</v>
          </cell>
          <cell r="AK60" t="str">
            <v>Awareness</v>
          </cell>
          <cell r="AL60" t="str">
            <v>Practitioner</v>
          </cell>
          <cell r="AM60" t="str">
            <v>No Knowledge</v>
          </cell>
          <cell r="AN60" t="str">
            <v>Practitioner</v>
          </cell>
          <cell r="AO60" t="str">
            <v>Practitioner</v>
          </cell>
          <cell r="AP60" t="str">
            <v>Practitioner</v>
          </cell>
          <cell r="AQ60" t="str">
            <v>Practitioner</v>
          </cell>
          <cell r="AR60" t="str">
            <v>Practitioner</v>
          </cell>
          <cell r="AS60" t="str">
            <v>Practitioner</v>
          </cell>
          <cell r="AT60" t="str">
            <v>Practitioner</v>
          </cell>
          <cell r="AY60" t="str">
            <v>Practitioner</v>
          </cell>
          <cell r="AZ60" t="str">
            <v>Practitioner</v>
          </cell>
        </row>
        <row r="61">
          <cell r="B61" t="str">
            <v>Infrastructure</v>
          </cell>
          <cell r="D61" t="str">
            <v>Awareness</v>
          </cell>
          <cell r="E61" t="str">
            <v>Awareness</v>
          </cell>
          <cell r="F61" t="str">
            <v>Working</v>
          </cell>
          <cell r="G61" t="str">
            <v>Working</v>
          </cell>
          <cell r="H61" t="str">
            <v>Working</v>
          </cell>
          <cell r="I61" t="str">
            <v>Practitioner</v>
          </cell>
          <cell r="J61" t="str">
            <v>Working</v>
          </cell>
          <cell r="K61" t="str">
            <v>Awareness</v>
          </cell>
          <cell r="L61" t="str">
            <v>Working</v>
          </cell>
          <cell r="M61" t="str">
            <v>Working</v>
          </cell>
          <cell r="N61" t="str">
            <v>Working</v>
          </cell>
          <cell r="O61" t="str">
            <v>N/A</v>
          </cell>
          <cell r="P61" t="str">
            <v>Working</v>
          </cell>
          <cell r="Q61" t="str">
            <v>Working</v>
          </cell>
          <cell r="R61" t="str">
            <v>Working</v>
          </cell>
          <cell r="S61" t="str">
            <v>Expert</v>
          </cell>
          <cell r="T61" t="str">
            <v>Working</v>
          </cell>
          <cell r="U61" t="str">
            <v>Expert</v>
          </cell>
          <cell r="V61" t="str">
            <v>Expert</v>
          </cell>
          <cell r="W61" t="str">
            <v>Working</v>
          </cell>
          <cell r="X61" t="str">
            <v>Practitioner</v>
          </cell>
          <cell r="Y61" t="str">
            <v>Expert</v>
          </cell>
          <cell r="Z61" t="str">
            <v>Working</v>
          </cell>
          <cell r="AA61" t="str">
            <v>Awareness</v>
          </cell>
          <cell r="AB61" t="str">
            <v>Working</v>
          </cell>
          <cell r="AC61" t="str">
            <v>Working</v>
          </cell>
          <cell r="AD61" t="str">
            <v>Working</v>
          </cell>
          <cell r="AE61" t="str">
            <v>Working</v>
          </cell>
          <cell r="AF61" t="str">
            <v>Practitioner</v>
          </cell>
          <cell r="AG61" t="str">
            <v>Working</v>
          </cell>
          <cell r="AH61" t="str">
            <v>Expert</v>
          </cell>
          <cell r="AI61" t="str">
            <v>Awareness</v>
          </cell>
          <cell r="AJ61" t="str">
            <v>Awareness</v>
          </cell>
          <cell r="AK61" t="str">
            <v>Working</v>
          </cell>
          <cell r="AL61" t="str">
            <v>Working</v>
          </cell>
          <cell r="AM61" t="str">
            <v>Working</v>
          </cell>
          <cell r="AN61" t="str">
            <v>Working</v>
          </cell>
          <cell r="AO61" t="str">
            <v>Working</v>
          </cell>
          <cell r="AP61" t="str">
            <v>Practitioner</v>
          </cell>
          <cell r="AQ61" t="str">
            <v>Expert</v>
          </cell>
          <cell r="AR61" t="str">
            <v>Expert</v>
          </cell>
          <cell r="AS61" t="str">
            <v>Practitioner</v>
          </cell>
          <cell r="AT61" t="str">
            <v>Practitioner</v>
          </cell>
          <cell r="AY61" t="str">
            <v>Working</v>
          </cell>
          <cell r="AZ61" t="str">
            <v>Working</v>
          </cell>
        </row>
        <row r="62">
          <cell r="B62" t="str">
            <v>Network design</v>
          </cell>
          <cell r="D62" t="str">
            <v>No Knowledge</v>
          </cell>
          <cell r="E62" t="str">
            <v>No Knowledge</v>
          </cell>
          <cell r="F62" t="str">
            <v>No Knowledge</v>
          </cell>
          <cell r="G62" t="str">
            <v>No Knowledge</v>
          </cell>
          <cell r="H62" t="str">
            <v>No Knowledge</v>
          </cell>
          <cell r="I62" t="str">
            <v>No Knowledge</v>
          </cell>
          <cell r="J62" t="str">
            <v>No Knowledge</v>
          </cell>
          <cell r="K62" t="str">
            <v>No Knowledge</v>
          </cell>
          <cell r="L62" t="str">
            <v>No Knowledge</v>
          </cell>
          <cell r="M62" t="str">
            <v>No Knowledge</v>
          </cell>
          <cell r="N62" t="str">
            <v>No Knowledge</v>
          </cell>
          <cell r="O62" t="str">
            <v>No Knowledge</v>
          </cell>
          <cell r="P62" t="str">
            <v>No Knowledge</v>
          </cell>
          <cell r="Q62" t="str">
            <v>No Knowledge</v>
          </cell>
          <cell r="R62" t="str">
            <v>Working</v>
          </cell>
          <cell r="S62" t="str">
            <v>Practitioner</v>
          </cell>
          <cell r="T62" t="str">
            <v>Expert</v>
          </cell>
          <cell r="U62" t="str">
            <v>Practitioner</v>
          </cell>
          <cell r="V62" t="str">
            <v>Practitioner</v>
          </cell>
          <cell r="W62" t="str">
            <v>Awareness</v>
          </cell>
          <cell r="X62" t="str">
            <v>Awareness</v>
          </cell>
          <cell r="Y62" t="str">
            <v>Awareness</v>
          </cell>
          <cell r="Z62" t="str">
            <v>Practitioner</v>
          </cell>
          <cell r="AA62" t="str">
            <v>Awareness</v>
          </cell>
          <cell r="AB62" t="str">
            <v>Awareness</v>
          </cell>
          <cell r="AC62" t="str">
            <v>Awareness</v>
          </cell>
          <cell r="AD62" t="str">
            <v>Awareness</v>
          </cell>
          <cell r="AE62" t="str">
            <v>Awareness</v>
          </cell>
          <cell r="AF62" t="str">
            <v>Working</v>
          </cell>
          <cell r="AG62" t="str">
            <v>Working</v>
          </cell>
          <cell r="AH62" t="str">
            <v>Practitioner</v>
          </cell>
          <cell r="AI62" t="str">
            <v>No Knowledge</v>
          </cell>
          <cell r="AJ62" t="str">
            <v>No Knowledge</v>
          </cell>
          <cell r="AK62" t="str">
            <v>No Knowledge</v>
          </cell>
          <cell r="AL62" t="str">
            <v>Awareness</v>
          </cell>
          <cell r="AM62" t="str">
            <v>No Knowledge</v>
          </cell>
          <cell r="AN62" t="str">
            <v>Awareness</v>
          </cell>
          <cell r="AO62" t="str">
            <v>Working</v>
          </cell>
          <cell r="AP62" t="str">
            <v>Working</v>
          </cell>
          <cell r="AQ62" t="str">
            <v>Working</v>
          </cell>
          <cell r="AR62" t="str">
            <v>Working</v>
          </cell>
          <cell r="AS62" t="str">
            <v>Working</v>
          </cell>
          <cell r="AT62" t="str">
            <v>Working</v>
          </cell>
          <cell r="AY62" t="str">
            <v>Working</v>
          </cell>
          <cell r="AZ62" t="str">
            <v>Working</v>
          </cell>
        </row>
        <row r="63">
          <cell r="B63" t="str">
            <v>Network Analytics</v>
          </cell>
          <cell r="D63" t="str">
            <v>No Knowledge</v>
          </cell>
          <cell r="E63" t="str">
            <v>No Knowledge</v>
          </cell>
          <cell r="F63" t="str">
            <v>No Knowledge</v>
          </cell>
          <cell r="G63" t="str">
            <v>No Knowledge</v>
          </cell>
          <cell r="H63" t="str">
            <v>No Knowledge</v>
          </cell>
          <cell r="I63" t="str">
            <v>No Knowledge</v>
          </cell>
          <cell r="J63" t="str">
            <v>No Knowledge</v>
          </cell>
          <cell r="K63" t="str">
            <v>No Knowledge</v>
          </cell>
          <cell r="L63" t="str">
            <v>No Knowledge</v>
          </cell>
          <cell r="M63" t="str">
            <v>No Knowledge</v>
          </cell>
          <cell r="N63" t="str">
            <v>No Knowledge</v>
          </cell>
          <cell r="O63" t="str">
            <v>No Knowledge</v>
          </cell>
          <cell r="P63" t="str">
            <v>No Knowledge</v>
          </cell>
          <cell r="Q63" t="str">
            <v>No Knowledge</v>
          </cell>
          <cell r="R63" t="str">
            <v>Working</v>
          </cell>
          <cell r="S63" t="str">
            <v>Practitioner</v>
          </cell>
          <cell r="T63" t="str">
            <v>Expert</v>
          </cell>
          <cell r="U63" t="str">
            <v>Practitioner</v>
          </cell>
          <cell r="V63" t="str">
            <v>Practitioner</v>
          </cell>
          <cell r="W63" t="str">
            <v>No Knowledge</v>
          </cell>
          <cell r="X63" t="str">
            <v>No Knowledge</v>
          </cell>
          <cell r="Y63" t="str">
            <v>No Knowledge</v>
          </cell>
          <cell r="Z63" t="str">
            <v>No Knowledge</v>
          </cell>
          <cell r="AA63" t="str">
            <v>No Knowledge</v>
          </cell>
          <cell r="AB63" t="str">
            <v>No Knowledge</v>
          </cell>
          <cell r="AC63" t="str">
            <v>No Knowledge</v>
          </cell>
          <cell r="AD63" t="str">
            <v>No Knowledge</v>
          </cell>
          <cell r="AE63" t="str">
            <v>No Knowledge</v>
          </cell>
          <cell r="AF63" t="str">
            <v>Working</v>
          </cell>
          <cell r="AG63" t="str">
            <v>Working</v>
          </cell>
          <cell r="AH63" t="str">
            <v>Practitioner</v>
          </cell>
          <cell r="AI63" t="str">
            <v>No Knowledge</v>
          </cell>
          <cell r="AJ63" t="str">
            <v>No Knowledge</v>
          </cell>
          <cell r="AK63" t="str">
            <v>No Knowledge</v>
          </cell>
          <cell r="AL63" t="str">
            <v>No Knowledge</v>
          </cell>
          <cell r="AM63" t="str">
            <v>No Knowledge</v>
          </cell>
          <cell r="AN63" t="str">
            <v>No Knowledge</v>
          </cell>
          <cell r="AO63" t="str">
            <v>Working</v>
          </cell>
          <cell r="AP63" t="str">
            <v>Working</v>
          </cell>
          <cell r="AQ63" t="str">
            <v>Working</v>
          </cell>
          <cell r="AR63" t="str">
            <v>Working</v>
          </cell>
          <cell r="AS63" t="str">
            <v>Working</v>
          </cell>
          <cell r="AT63" t="str">
            <v>Working</v>
          </cell>
          <cell r="AY63" t="str">
            <v>Working</v>
          </cell>
          <cell r="AZ63" t="str">
            <v>Working</v>
          </cell>
        </row>
        <row r="64">
          <cell r="B64" t="str">
            <v>Network support</v>
          </cell>
          <cell r="D64" t="str">
            <v>Awareness</v>
          </cell>
          <cell r="E64" t="str">
            <v>Working</v>
          </cell>
          <cell r="F64" t="str">
            <v>Working</v>
          </cell>
          <cell r="G64" t="str">
            <v>Working</v>
          </cell>
          <cell r="H64" t="str">
            <v>Working</v>
          </cell>
          <cell r="I64" t="str">
            <v>Working</v>
          </cell>
          <cell r="J64" t="str">
            <v>Working</v>
          </cell>
          <cell r="K64" t="str">
            <v>Awareness</v>
          </cell>
          <cell r="L64" t="str">
            <v>Working</v>
          </cell>
          <cell r="M64" t="str">
            <v>Working</v>
          </cell>
          <cell r="N64" t="str">
            <v>Working</v>
          </cell>
          <cell r="O64" t="str">
            <v>No Knowledge</v>
          </cell>
          <cell r="P64" t="str">
            <v>Working</v>
          </cell>
          <cell r="Q64" t="str">
            <v>Working</v>
          </cell>
          <cell r="R64" t="str">
            <v>Practitioner</v>
          </cell>
          <cell r="S64" t="str">
            <v>Practitioner</v>
          </cell>
          <cell r="T64" t="str">
            <v>Expert</v>
          </cell>
          <cell r="U64" t="str">
            <v>Practitioner</v>
          </cell>
          <cell r="V64" t="str">
            <v>Practitioner</v>
          </cell>
          <cell r="W64" t="str">
            <v>Awareness</v>
          </cell>
          <cell r="X64" t="str">
            <v>Awareness</v>
          </cell>
          <cell r="Y64" t="str">
            <v>Awareness</v>
          </cell>
          <cell r="Z64" t="str">
            <v>Practitioner</v>
          </cell>
          <cell r="AA64" t="str">
            <v>No Knowledge</v>
          </cell>
          <cell r="AB64" t="str">
            <v>No Knowledge</v>
          </cell>
          <cell r="AC64" t="str">
            <v>No Knowledge</v>
          </cell>
          <cell r="AD64" t="str">
            <v>No Knowledge</v>
          </cell>
          <cell r="AE64" t="str">
            <v>No Knowledge</v>
          </cell>
          <cell r="AF64" t="str">
            <v>Working</v>
          </cell>
          <cell r="AG64" t="str">
            <v>Working</v>
          </cell>
          <cell r="AH64" t="str">
            <v>Practitioner</v>
          </cell>
          <cell r="AI64" t="str">
            <v>Awareness</v>
          </cell>
          <cell r="AJ64" t="str">
            <v>Awareness</v>
          </cell>
          <cell r="AK64" t="str">
            <v>Awareness</v>
          </cell>
          <cell r="AL64" t="str">
            <v>No Knowledge</v>
          </cell>
          <cell r="AM64" t="str">
            <v>No Knowledge</v>
          </cell>
          <cell r="AN64" t="str">
            <v>No Knowledge</v>
          </cell>
          <cell r="AO64" t="str">
            <v>Working</v>
          </cell>
          <cell r="AP64" t="str">
            <v>Working</v>
          </cell>
          <cell r="AQ64" t="str">
            <v>Working</v>
          </cell>
          <cell r="AR64" t="str">
            <v>Working</v>
          </cell>
          <cell r="AS64" t="str">
            <v>Working</v>
          </cell>
          <cell r="AT64" t="str">
            <v>Working</v>
          </cell>
        </row>
        <row r="65">
          <cell r="B65" t="str">
            <v>Programming/software development</v>
          </cell>
          <cell r="D65" t="str">
            <v>No Knowledge</v>
          </cell>
          <cell r="E65" t="str">
            <v>No Knowledge</v>
          </cell>
          <cell r="F65" t="str">
            <v>No Knowledge</v>
          </cell>
          <cell r="G65" t="str">
            <v>No Knowledge</v>
          </cell>
          <cell r="H65" t="str">
            <v>No Knowledge</v>
          </cell>
          <cell r="I65" t="str">
            <v>No Knowledge</v>
          </cell>
          <cell r="J65" t="str">
            <v>No Knowledge</v>
          </cell>
          <cell r="K65" t="str">
            <v>No Knowledge</v>
          </cell>
          <cell r="L65" t="str">
            <v>No Knowledge</v>
          </cell>
          <cell r="M65" t="str">
            <v>No Knowledge</v>
          </cell>
          <cell r="N65" t="str">
            <v>No Knowledge</v>
          </cell>
          <cell r="O65" t="str">
            <v>No Knowledge</v>
          </cell>
          <cell r="P65" t="str">
            <v>No Knowledge</v>
          </cell>
          <cell r="Q65" t="str">
            <v>No Knowledge</v>
          </cell>
          <cell r="R65" t="str">
            <v>No Knowledge</v>
          </cell>
          <cell r="S65" t="str">
            <v>No Knowledge</v>
          </cell>
          <cell r="T65" t="str">
            <v>No Knowledge</v>
          </cell>
          <cell r="U65" t="str">
            <v>No Knowledge</v>
          </cell>
          <cell r="V65" t="str">
            <v>No Knowledge</v>
          </cell>
          <cell r="W65" t="str">
            <v>Awareness</v>
          </cell>
          <cell r="X65" t="str">
            <v>Working</v>
          </cell>
          <cell r="Y65" t="str">
            <v>Working</v>
          </cell>
          <cell r="Z65" t="str">
            <v>Awareness</v>
          </cell>
          <cell r="AA65" t="str">
            <v>Awareness</v>
          </cell>
          <cell r="AB65" t="str">
            <v>Working</v>
          </cell>
          <cell r="AC65" t="str">
            <v>Practitioner</v>
          </cell>
          <cell r="AD65" t="str">
            <v>Expert</v>
          </cell>
          <cell r="AE65" t="str">
            <v>Expert</v>
          </cell>
          <cell r="AF65" t="str">
            <v>Working</v>
          </cell>
          <cell r="AG65" t="str">
            <v>No Knowledge</v>
          </cell>
          <cell r="AH65" t="str">
            <v>No Knowledge</v>
          </cell>
          <cell r="AI65" t="str">
            <v>No Knowledge</v>
          </cell>
          <cell r="AJ65" t="str">
            <v>No Knowledge</v>
          </cell>
          <cell r="AK65" t="str">
            <v>No Knowledge</v>
          </cell>
          <cell r="AL65" t="str">
            <v>Practitioner</v>
          </cell>
          <cell r="AM65" t="str">
            <v>No Knowledge</v>
          </cell>
          <cell r="AN65" t="str">
            <v>Expert</v>
          </cell>
          <cell r="AO65" t="str">
            <v>No Knowledge</v>
          </cell>
          <cell r="AP65" t="str">
            <v>Working</v>
          </cell>
          <cell r="AQ65" t="str">
            <v>Working</v>
          </cell>
          <cell r="AR65" t="str">
            <v>Working</v>
          </cell>
          <cell r="AS65" t="str">
            <v>Practitioner</v>
          </cell>
          <cell r="AT65" t="str">
            <v>Practitioner</v>
          </cell>
          <cell r="AY65" t="str">
            <v>No Knowledge</v>
          </cell>
          <cell r="AZ65" t="str">
            <v>No Knowledge</v>
          </cell>
        </row>
        <row r="66">
          <cell r="B66" t="str">
            <v>Real-time/embedded systems development</v>
          </cell>
          <cell r="D66" t="str">
            <v>No Knowledge</v>
          </cell>
          <cell r="E66" t="str">
            <v>No Knowledge</v>
          </cell>
          <cell r="F66" t="str">
            <v>No Knowledge</v>
          </cell>
          <cell r="G66" t="str">
            <v>No Knowledge</v>
          </cell>
          <cell r="H66" t="str">
            <v>No Knowledge</v>
          </cell>
          <cell r="I66" t="str">
            <v>No Knowledge</v>
          </cell>
          <cell r="J66" t="str">
            <v>No Knowledge</v>
          </cell>
          <cell r="K66" t="str">
            <v>No Knowledge</v>
          </cell>
          <cell r="L66" t="str">
            <v>No Knowledge</v>
          </cell>
          <cell r="M66" t="str">
            <v>No Knowledge</v>
          </cell>
          <cell r="N66" t="str">
            <v>No Knowledge</v>
          </cell>
          <cell r="O66" t="str">
            <v>No Knowledge</v>
          </cell>
          <cell r="P66" t="str">
            <v>No Knowledge</v>
          </cell>
          <cell r="Q66" t="str">
            <v>No Knowledge</v>
          </cell>
          <cell r="R66" t="str">
            <v>No Knowledge</v>
          </cell>
          <cell r="S66" t="str">
            <v>No Knowledge</v>
          </cell>
          <cell r="T66" t="str">
            <v>No Knowledge</v>
          </cell>
          <cell r="U66" t="str">
            <v>No Knowledge</v>
          </cell>
          <cell r="V66" t="str">
            <v>No Knowledge</v>
          </cell>
          <cell r="W66" t="str">
            <v>No Knowledge</v>
          </cell>
          <cell r="X66" t="str">
            <v>No Knowledge</v>
          </cell>
          <cell r="Y66" t="str">
            <v>No Knowledge</v>
          </cell>
          <cell r="Z66" t="str">
            <v>Awareness</v>
          </cell>
          <cell r="AA66" t="str">
            <v>No Knowledge</v>
          </cell>
          <cell r="AB66" t="str">
            <v>Awareness</v>
          </cell>
          <cell r="AC66" t="str">
            <v>Awareness</v>
          </cell>
          <cell r="AD66" t="str">
            <v>Expert</v>
          </cell>
          <cell r="AE66" t="str">
            <v>Expert</v>
          </cell>
          <cell r="AF66" t="str">
            <v>No Knowledge</v>
          </cell>
          <cell r="AG66" t="str">
            <v>No Knowledge</v>
          </cell>
          <cell r="AH66" t="str">
            <v>No Knowledge</v>
          </cell>
          <cell r="AI66" t="str">
            <v>No Knowledge</v>
          </cell>
          <cell r="AJ66" t="str">
            <v>No Knowledge</v>
          </cell>
          <cell r="AK66" t="str">
            <v>No Knowledge</v>
          </cell>
          <cell r="AL66" t="str">
            <v>Practitioner</v>
          </cell>
          <cell r="AM66" t="str">
            <v>No Knowledge</v>
          </cell>
          <cell r="AN66" t="str">
            <v>Expert</v>
          </cell>
          <cell r="AO66" t="str">
            <v>No Knowledge</v>
          </cell>
          <cell r="AP66" t="str">
            <v>No Knowledge</v>
          </cell>
          <cell r="AQ66" t="str">
            <v>Awareness</v>
          </cell>
          <cell r="AR66" t="str">
            <v>Awareness</v>
          </cell>
          <cell r="AS66" t="str">
            <v>Awareness</v>
          </cell>
          <cell r="AT66" t="str">
            <v>Awareness</v>
          </cell>
          <cell r="AY66" t="str">
            <v>Practitioner</v>
          </cell>
          <cell r="AZ66" t="str">
            <v>Practitioner</v>
          </cell>
        </row>
        <row r="67">
          <cell r="B67" t="str">
            <v>Requirements definition and management</v>
          </cell>
          <cell r="D67" t="str">
            <v>No Knowledge</v>
          </cell>
          <cell r="E67" t="str">
            <v>No Knowledge</v>
          </cell>
          <cell r="F67" t="str">
            <v>No Knowledge</v>
          </cell>
          <cell r="G67" t="str">
            <v>No Knowledge</v>
          </cell>
          <cell r="H67" t="str">
            <v>No Knowledge</v>
          </cell>
          <cell r="I67" t="str">
            <v>No Knowledge</v>
          </cell>
          <cell r="J67" t="str">
            <v>No Knowledge</v>
          </cell>
          <cell r="K67" t="str">
            <v>No Knowledge</v>
          </cell>
          <cell r="L67" t="str">
            <v>No Knowledge</v>
          </cell>
          <cell r="M67" t="str">
            <v>No Knowledge</v>
          </cell>
          <cell r="N67" t="str">
            <v>No Knowledge</v>
          </cell>
          <cell r="O67" t="str">
            <v>No Knowledge</v>
          </cell>
          <cell r="P67" t="str">
            <v>No Knowledge</v>
          </cell>
          <cell r="Q67" t="str">
            <v>No Knowledge</v>
          </cell>
          <cell r="R67" t="str">
            <v>No Knowledge</v>
          </cell>
          <cell r="S67" t="str">
            <v>No Knowledge</v>
          </cell>
          <cell r="T67" t="str">
            <v>No Knowledge</v>
          </cell>
          <cell r="U67" t="str">
            <v>No Knowledge</v>
          </cell>
          <cell r="V67" t="str">
            <v>No Knowledge</v>
          </cell>
          <cell r="W67" t="str">
            <v>No Knowledge</v>
          </cell>
          <cell r="X67" t="str">
            <v>No Knowledge</v>
          </cell>
          <cell r="Y67" t="str">
            <v>No Knowledge</v>
          </cell>
          <cell r="Z67" t="str">
            <v>Awareness</v>
          </cell>
          <cell r="AA67" t="str">
            <v>No Knowledge</v>
          </cell>
          <cell r="AB67" t="str">
            <v>Working</v>
          </cell>
          <cell r="AC67" t="str">
            <v>Practitioner</v>
          </cell>
          <cell r="AD67" t="str">
            <v>Practitioner</v>
          </cell>
          <cell r="AE67" t="str">
            <v>Expert</v>
          </cell>
          <cell r="AF67" t="str">
            <v>Practitioner</v>
          </cell>
          <cell r="AG67" t="str">
            <v>Practitioner</v>
          </cell>
          <cell r="AH67" t="str">
            <v>No Knowledge</v>
          </cell>
          <cell r="AI67" t="str">
            <v>No Knowledge</v>
          </cell>
          <cell r="AJ67" t="str">
            <v>No Knowledge</v>
          </cell>
          <cell r="AK67" t="str">
            <v>No Knowledge</v>
          </cell>
          <cell r="AL67" t="str">
            <v>Practitioner</v>
          </cell>
          <cell r="AM67" t="str">
            <v>No Knowledge</v>
          </cell>
          <cell r="AN67" t="str">
            <v>Expert</v>
          </cell>
          <cell r="AO67" t="str">
            <v>Practitioner</v>
          </cell>
          <cell r="AP67" t="str">
            <v>Practitioner</v>
          </cell>
          <cell r="AQ67" t="str">
            <v>Practitioner</v>
          </cell>
          <cell r="AR67" t="str">
            <v>Practitioner</v>
          </cell>
          <cell r="AS67" t="str">
            <v>Practitioner</v>
          </cell>
          <cell r="AT67" t="str">
            <v>Practitioner</v>
          </cell>
          <cell r="AY67" t="str">
            <v>Awareness</v>
          </cell>
          <cell r="AZ67" t="str">
            <v>Awareness</v>
          </cell>
        </row>
        <row r="68">
          <cell r="B68" t="str">
            <v>Software configuration</v>
          </cell>
          <cell r="D68" t="str">
            <v>No Knowledge</v>
          </cell>
          <cell r="E68" t="str">
            <v>No Knowledge</v>
          </cell>
          <cell r="F68" t="str">
            <v>No Knowledge</v>
          </cell>
          <cell r="G68" t="str">
            <v>No Knowledge</v>
          </cell>
          <cell r="H68" t="str">
            <v>No Knowledge</v>
          </cell>
          <cell r="I68" t="str">
            <v>No Knowledge</v>
          </cell>
          <cell r="J68" t="str">
            <v>No Knowledge</v>
          </cell>
          <cell r="K68" t="str">
            <v>No Knowledge</v>
          </cell>
          <cell r="L68" t="str">
            <v>No Knowledge</v>
          </cell>
          <cell r="M68" t="str">
            <v>No Knowledge</v>
          </cell>
          <cell r="N68" t="str">
            <v>No Knowledge</v>
          </cell>
          <cell r="O68" t="str">
            <v>No Knowledge</v>
          </cell>
          <cell r="P68" t="str">
            <v>No Knowledge</v>
          </cell>
          <cell r="Q68" t="str">
            <v>No Knowledge</v>
          </cell>
          <cell r="R68" t="str">
            <v>No Knowledge</v>
          </cell>
          <cell r="S68" t="str">
            <v>No Knowledge</v>
          </cell>
          <cell r="T68" t="str">
            <v>No Knowledge</v>
          </cell>
          <cell r="U68" t="str">
            <v>No Knowledge</v>
          </cell>
          <cell r="V68" t="str">
            <v>No Knowledge</v>
          </cell>
          <cell r="W68" t="str">
            <v>No Knowledge</v>
          </cell>
          <cell r="X68" t="str">
            <v>No Knowledge</v>
          </cell>
          <cell r="Y68" t="str">
            <v>No Knowledge</v>
          </cell>
          <cell r="Z68" t="str">
            <v>Awareness</v>
          </cell>
          <cell r="AA68" t="str">
            <v>No Knowledge</v>
          </cell>
          <cell r="AB68" t="str">
            <v>Working</v>
          </cell>
          <cell r="AC68" t="str">
            <v>Practitioner</v>
          </cell>
          <cell r="AD68" t="str">
            <v>Practitioner</v>
          </cell>
          <cell r="AE68" t="str">
            <v>Expert</v>
          </cell>
          <cell r="AF68" t="str">
            <v>Awareness</v>
          </cell>
          <cell r="AG68" t="str">
            <v>Awareness</v>
          </cell>
          <cell r="AH68" t="str">
            <v>No Knowledge</v>
          </cell>
          <cell r="AI68" t="str">
            <v>No Knowledge</v>
          </cell>
          <cell r="AJ68" t="str">
            <v>No Knowledge</v>
          </cell>
          <cell r="AK68" t="str">
            <v>No Knowledge</v>
          </cell>
          <cell r="AL68" t="str">
            <v>Practitioner</v>
          </cell>
          <cell r="AM68" t="str">
            <v>No Knowledge</v>
          </cell>
          <cell r="AN68" t="str">
            <v>Expert</v>
          </cell>
          <cell r="AO68" t="str">
            <v>Awareness</v>
          </cell>
          <cell r="AP68" t="str">
            <v>Awareness</v>
          </cell>
          <cell r="AQ68" t="str">
            <v>Awareness</v>
          </cell>
          <cell r="AR68" t="str">
            <v>Awareness</v>
          </cell>
          <cell r="AS68" t="str">
            <v>Awareness</v>
          </cell>
          <cell r="AT68" t="str">
            <v>Awareness</v>
          </cell>
          <cell r="AY68" t="str">
            <v>Awareness</v>
          </cell>
          <cell r="AZ68" t="str">
            <v>Awareness</v>
          </cell>
        </row>
        <row r="69">
          <cell r="B69" t="str">
            <v>Software design</v>
          </cell>
          <cell r="D69" t="str">
            <v>No Knowledge</v>
          </cell>
          <cell r="E69" t="str">
            <v>No Knowledge</v>
          </cell>
          <cell r="F69" t="str">
            <v>No Knowledge</v>
          </cell>
          <cell r="G69" t="str">
            <v>No Knowledge</v>
          </cell>
          <cell r="H69" t="str">
            <v>No Knowledge</v>
          </cell>
          <cell r="I69" t="str">
            <v>No Knowledge</v>
          </cell>
          <cell r="J69" t="str">
            <v>No Knowledge</v>
          </cell>
          <cell r="K69" t="str">
            <v>No Knowledge</v>
          </cell>
          <cell r="L69" t="str">
            <v>No Knowledge</v>
          </cell>
          <cell r="M69" t="str">
            <v>No Knowledge</v>
          </cell>
          <cell r="N69" t="str">
            <v>No Knowledge</v>
          </cell>
          <cell r="O69" t="str">
            <v>No Knowledge</v>
          </cell>
          <cell r="P69" t="str">
            <v>No Knowledge</v>
          </cell>
          <cell r="Q69" t="str">
            <v>No Knowledge</v>
          </cell>
          <cell r="R69" t="str">
            <v>No Knowledge</v>
          </cell>
          <cell r="S69" t="str">
            <v>No Knowledge</v>
          </cell>
          <cell r="T69" t="str">
            <v>No Knowledge</v>
          </cell>
          <cell r="U69" t="str">
            <v>No Knowledge</v>
          </cell>
          <cell r="V69" t="str">
            <v>No Knowledge</v>
          </cell>
          <cell r="W69" t="str">
            <v>No Knowledge</v>
          </cell>
          <cell r="X69" t="str">
            <v>No Knowledge</v>
          </cell>
          <cell r="Y69" t="str">
            <v>No Knowledge</v>
          </cell>
          <cell r="Z69" t="str">
            <v>Awareness</v>
          </cell>
          <cell r="AA69" t="str">
            <v>No Knowledge</v>
          </cell>
          <cell r="AB69" t="str">
            <v>Practitioner</v>
          </cell>
          <cell r="AC69" t="str">
            <v>Practitioner</v>
          </cell>
          <cell r="AD69" t="str">
            <v>Expert</v>
          </cell>
          <cell r="AE69" t="str">
            <v>Expert</v>
          </cell>
          <cell r="AF69" t="str">
            <v>Awareness</v>
          </cell>
          <cell r="AG69" t="str">
            <v>Awareness</v>
          </cell>
          <cell r="AH69" t="str">
            <v>No Knowledge</v>
          </cell>
          <cell r="AI69" t="str">
            <v>No Knowledge</v>
          </cell>
          <cell r="AJ69" t="str">
            <v>No Knowledge</v>
          </cell>
          <cell r="AK69" t="str">
            <v>No Knowledge</v>
          </cell>
          <cell r="AL69" t="str">
            <v>Practitioner</v>
          </cell>
          <cell r="AM69" t="str">
            <v>No Knowledge</v>
          </cell>
          <cell r="AN69" t="str">
            <v>Expert</v>
          </cell>
          <cell r="AO69" t="str">
            <v>Awareness</v>
          </cell>
          <cell r="AP69" t="str">
            <v>Awareness</v>
          </cell>
          <cell r="AQ69" t="str">
            <v>Awareness</v>
          </cell>
          <cell r="AR69" t="str">
            <v>Awareness</v>
          </cell>
          <cell r="AS69" t="str">
            <v>Awareness</v>
          </cell>
          <cell r="AT69" t="str">
            <v>Awareness</v>
          </cell>
          <cell r="AU69" t="str">
            <v>Working</v>
          </cell>
          <cell r="AV69" t="str">
            <v>Working</v>
          </cell>
          <cell r="AW69" t="str">
            <v>Working</v>
          </cell>
          <cell r="AX69" t="str">
            <v>Working</v>
          </cell>
          <cell r="AY69" t="str">
            <v>Working</v>
          </cell>
          <cell r="AZ69" t="str">
            <v>Working</v>
          </cell>
        </row>
        <row r="70">
          <cell r="B70" t="str">
            <v>Solution architecture</v>
          </cell>
          <cell r="D70" t="str">
            <v>No Knowledge</v>
          </cell>
          <cell r="E70" t="str">
            <v>No Knowledge</v>
          </cell>
          <cell r="F70" t="str">
            <v>No Knowledge</v>
          </cell>
          <cell r="G70" t="str">
            <v>No Knowledge</v>
          </cell>
          <cell r="H70" t="str">
            <v>No Knowledge</v>
          </cell>
          <cell r="I70" t="str">
            <v>No Knowledge</v>
          </cell>
          <cell r="J70" t="str">
            <v>No Knowledge</v>
          </cell>
          <cell r="K70" t="str">
            <v>No Knowledge</v>
          </cell>
          <cell r="L70" t="str">
            <v>No Knowledge</v>
          </cell>
          <cell r="M70" t="str">
            <v>No Knowledge</v>
          </cell>
          <cell r="N70" t="str">
            <v>No Knowledge</v>
          </cell>
          <cell r="O70" t="str">
            <v>No Knowledge</v>
          </cell>
          <cell r="P70" t="str">
            <v>No Knowledge</v>
          </cell>
          <cell r="Q70" t="str">
            <v>Working</v>
          </cell>
          <cell r="R70" t="str">
            <v>Working</v>
          </cell>
          <cell r="S70" t="str">
            <v>Working</v>
          </cell>
          <cell r="T70" t="str">
            <v>Working</v>
          </cell>
          <cell r="U70" t="str">
            <v>Working</v>
          </cell>
          <cell r="V70" t="str">
            <v>Working</v>
          </cell>
          <cell r="W70" t="str">
            <v>Working</v>
          </cell>
          <cell r="X70" t="str">
            <v>Working</v>
          </cell>
          <cell r="Y70" t="str">
            <v>Working</v>
          </cell>
          <cell r="Z70" t="str">
            <v>Working</v>
          </cell>
          <cell r="AA70" t="str">
            <v>No Knowledge</v>
          </cell>
          <cell r="AB70" t="str">
            <v>Awareness</v>
          </cell>
          <cell r="AC70" t="str">
            <v>Awareness</v>
          </cell>
          <cell r="AD70" t="str">
            <v>Working</v>
          </cell>
          <cell r="AE70" t="str">
            <v>Working</v>
          </cell>
          <cell r="AF70" t="str">
            <v>Practitioner</v>
          </cell>
          <cell r="AG70" t="str">
            <v>Working</v>
          </cell>
          <cell r="AH70" t="str">
            <v>Working</v>
          </cell>
          <cell r="AI70" t="str">
            <v>No Knowledge</v>
          </cell>
          <cell r="AJ70" t="str">
            <v>No Knowledge</v>
          </cell>
          <cell r="AK70" t="str">
            <v>No Knowledge</v>
          </cell>
          <cell r="AL70" t="str">
            <v>Working</v>
          </cell>
          <cell r="AM70" t="str">
            <v>Working</v>
          </cell>
          <cell r="AN70" t="str">
            <v>Working</v>
          </cell>
          <cell r="AO70" t="str">
            <v>Working</v>
          </cell>
          <cell r="AP70" t="str">
            <v>Practitioner</v>
          </cell>
          <cell r="AQ70" t="str">
            <v>Practitioner</v>
          </cell>
          <cell r="AR70" t="str">
            <v>Practitioner</v>
          </cell>
          <cell r="AS70" t="str">
            <v>Practitioner</v>
          </cell>
          <cell r="AT70" t="str">
            <v>Practitioner</v>
          </cell>
          <cell r="AY70" t="str">
            <v>Expert</v>
          </cell>
          <cell r="AZ70" t="str">
            <v>Expert</v>
          </cell>
        </row>
        <row r="71">
          <cell r="B71" t="str">
            <v>System software</v>
          </cell>
          <cell r="D71" t="str">
            <v>No Knowledge</v>
          </cell>
          <cell r="E71" t="str">
            <v>No Knowledge</v>
          </cell>
          <cell r="F71" t="str">
            <v>No Knowledge</v>
          </cell>
          <cell r="G71" t="str">
            <v>No Knowledge</v>
          </cell>
          <cell r="H71" t="str">
            <v>No Knowledge</v>
          </cell>
          <cell r="I71" t="str">
            <v>No Knowledge</v>
          </cell>
          <cell r="J71" t="str">
            <v>No Knowledge</v>
          </cell>
          <cell r="K71" t="str">
            <v>No Knowledge</v>
          </cell>
          <cell r="L71" t="str">
            <v>No Knowledge</v>
          </cell>
          <cell r="M71" t="str">
            <v>No Knowledge</v>
          </cell>
          <cell r="N71" t="str">
            <v>No Knowledge</v>
          </cell>
          <cell r="O71" t="str">
            <v>No Knowledge</v>
          </cell>
          <cell r="P71" t="str">
            <v>No Knowledge</v>
          </cell>
          <cell r="Q71" t="str">
            <v>No Knowledge</v>
          </cell>
          <cell r="R71" t="str">
            <v>No Knowledge</v>
          </cell>
          <cell r="S71" t="str">
            <v>No Knowledge</v>
          </cell>
          <cell r="T71" t="str">
            <v>No Knowledge</v>
          </cell>
          <cell r="U71" t="str">
            <v>No Knowledge</v>
          </cell>
          <cell r="V71" t="str">
            <v>No Knowledge</v>
          </cell>
          <cell r="W71" t="str">
            <v>No Knowledge</v>
          </cell>
          <cell r="X71" t="str">
            <v>No Knowledge</v>
          </cell>
          <cell r="Y71" t="str">
            <v>No Knowledge</v>
          </cell>
          <cell r="Z71" t="str">
            <v>Awareness</v>
          </cell>
          <cell r="AA71" t="str">
            <v>Awareness</v>
          </cell>
          <cell r="AB71" t="str">
            <v>Working</v>
          </cell>
          <cell r="AC71" t="str">
            <v>Practitioner</v>
          </cell>
          <cell r="AD71" t="str">
            <v>Expert</v>
          </cell>
          <cell r="AE71" t="str">
            <v>Expert</v>
          </cell>
          <cell r="AF71" t="str">
            <v>Expert</v>
          </cell>
          <cell r="AG71" t="str">
            <v>Working</v>
          </cell>
          <cell r="AH71" t="str">
            <v>No Knowledge</v>
          </cell>
          <cell r="AI71" t="str">
            <v>No Knowledge</v>
          </cell>
          <cell r="AJ71" t="str">
            <v>No Knowledge</v>
          </cell>
          <cell r="AK71" t="str">
            <v>No Knowledge</v>
          </cell>
          <cell r="AL71" t="str">
            <v>Practitioner</v>
          </cell>
          <cell r="AM71" t="str">
            <v>No Knowledge</v>
          </cell>
          <cell r="AN71" t="str">
            <v>Expert</v>
          </cell>
          <cell r="AO71" t="str">
            <v>Working</v>
          </cell>
          <cell r="AP71" t="str">
            <v>Expert</v>
          </cell>
          <cell r="AQ71" t="str">
            <v>Expert</v>
          </cell>
          <cell r="AR71" t="str">
            <v>Expert</v>
          </cell>
          <cell r="AS71" t="str">
            <v>Expert</v>
          </cell>
          <cell r="AT71" t="str">
            <v>Expert</v>
          </cell>
        </row>
        <row r="72">
          <cell r="B72" t="str">
            <v>Systems and software life cycle engineering</v>
          </cell>
          <cell r="D72" t="str">
            <v>No Knowledge</v>
          </cell>
          <cell r="E72" t="str">
            <v>No Knowledge</v>
          </cell>
          <cell r="F72" t="str">
            <v>No Knowledge</v>
          </cell>
          <cell r="G72" t="str">
            <v>No Knowledge</v>
          </cell>
          <cell r="H72" t="str">
            <v>No Knowledge</v>
          </cell>
          <cell r="I72" t="str">
            <v>No Knowledge</v>
          </cell>
          <cell r="J72" t="str">
            <v>No Knowledge</v>
          </cell>
          <cell r="K72" t="str">
            <v>No Knowledge</v>
          </cell>
          <cell r="L72" t="str">
            <v>No Knowledge</v>
          </cell>
          <cell r="M72" t="str">
            <v>No Knowledge</v>
          </cell>
          <cell r="N72" t="str">
            <v>No Knowledge</v>
          </cell>
          <cell r="O72" t="str">
            <v>No Knowledge</v>
          </cell>
          <cell r="P72" t="str">
            <v>No Knowledge</v>
          </cell>
          <cell r="Q72" t="str">
            <v>No Knowledge</v>
          </cell>
          <cell r="R72" t="str">
            <v>No Knowledge</v>
          </cell>
          <cell r="S72" t="str">
            <v>No Knowledge</v>
          </cell>
          <cell r="T72" t="str">
            <v>No Knowledge</v>
          </cell>
          <cell r="U72" t="str">
            <v>No Knowledge</v>
          </cell>
          <cell r="V72" t="str">
            <v>No Knowledge</v>
          </cell>
          <cell r="W72" t="str">
            <v>Working</v>
          </cell>
          <cell r="X72" t="str">
            <v>Working</v>
          </cell>
          <cell r="Y72" t="str">
            <v>Working</v>
          </cell>
          <cell r="Z72" t="str">
            <v>Working</v>
          </cell>
          <cell r="AA72" t="str">
            <v>Awareness</v>
          </cell>
          <cell r="AB72" t="str">
            <v>Working</v>
          </cell>
          <cell r="AC72" t="str">
            <v>Practitioner</v>
          </cell>
          <cell r="AD72" t="str">
            <v>Expert</v>
          </cell>
          <cell r="AE72" t="str">
            <v>Expert</v>
          </cell>
          <cell r="AF72" t="str">
            <v>Expert</v>
          </cell>
          <cell r="AG72" t="str">
            <v>Working</v>
          </cell>
          <cell r="AH72" t="str">
            <v>No Knowledge</v>
          </cell>
          <cell r="AI72" t="str">
            <v>No Knowledge</v>
          </cell>
          <cell r="AJ72" t="str">
            <v>No Knowledge</v>
          </cell>
          <cell r="AK72" t="str">
            <v>No Knowledge</v>
          </cell>
          <cell r="AL72" t="str">
            <v>Practitioner</v>
          </cell>
          <cell r="AM72" t="str">
            <v>No Knowledge</v>
          </cell>
          <cell r="AN72" t="str">
            <v>Expert</v>
          </cell>
          <cell r="AO72" t="str">
            <v>Working</v>
          </cell>
          <cell r="AP72" t="str">
            <v>Expert</v>
          </cell>
          <cell r="AQ72" t="str">
            <v>Expert</v>
          </cell>
          <cell r="AR72" t="str">
            <v>Expert</v>
          </cell>
          <cell r="AS72" t="str">
            <v>Expert</v>
          </cell>
          <cell r="AT72" t="str">
            <v>Expert</v>
          </cell>
        </row>
        <row r="73">
          <cell r="B73" t="str">
            <v>Systems design</v>
          </cell>
          <cell r="D73" t="str">
            <v>No Knowledge</v>
          </cell>
          <cell r="E73" t="str">
            <v>No Knowledge</v>
          </cell>
          <cell r="F73" t="str">
            <v>No Knowledge</v>
          </cell>
          <cell r="G73" t="str">
            <v>No Knowledge</v>
          </cell>
          <cell r="H73" t="str">
            <v>No Knowledge</v>
          </cell>
          <cell r="I73" t="str">
            <v>No Knowledge</v>
          </cell>
          <cell r="J73" t="str">
            <v>No Knowledge</v>
          </cell>
          <cell r="K73" t="str">
            <v>No Knowledge</v>
          </cell>
          <cell r="L73" t="str">
            <v>No Knowledge</v>
          </cell>
          <cell r="M73" t="str">
            <v>No Knowledge</v>
          </cell>
          <cell r="N73" t="str">
            <v>No Knowledge</v>
          </cell>
          <cell r="O73" t="str">
            <v>No Knowledge</v>
          </cell>
          <cell r="P73" t="str">
            <v>No Knowledge</v>
          </cell>
          <cell r="Q73" t="str">
            <v>No Knowledge</v>
          </cell>
          <cell r="R73" t="str">
            <v>No Knowledge</v>
          </cell>
          <cell r="S73" t="str">
            <v>No Knowledge</v>
          </cell>
          <cell r="T73" t="str">
            <v>No Knowledge</v>
          </cell>
          <cell r="U73" t="str">
            <v>No Knowledge</v>
          </cell>
          <cell r="V73" t="str">
            <v>No Knowledge</v>
          </cell>
          <cell r="W73" t="str">
            <v>No Knowledge</v>
          </cell>
          <cell r="X73" t="str">
            <v>No Knowledge</v>
          </cell>
          <cell r="Y73" t="str">
            <v>No Knowledge</v>
          </cell>
          <cell r="Z73" t="str">
            <v>Awareness</v>
          </cell>
          <cell r="AA73" t="str">
            <v>Awareness</v>
          </cell>
          <cell r="AB73" t="str">
            <v>Awareness</v>
          </cell>
          <cell r="AC73" t="str">
            <v>Awareness</v>
          </cell>
          <cell r="AD73" t="str">
            <v>Awareness</v>
          </cell>
          <cell r="AE73" t="str">
            <v>Awareness</v>
          </cell>
          <cell r="AF73" t="str">
            <v>Expert</v>
          </cell>
          <cell r="AG73" t="str">
            <v>Working</v>
          </cell>
          <cell r="AH73" t="str">
            <v>No Knowledge</v>
          </cell>
          <cell r="AI73" t="str">
            <v>No Knowledge</v>
          </cell>
          <cell r="AJ73" t="str">
            <v>No Knowledge</v>
          </cell>
          <cell r="AK73" t="str">
            <v>No Knowledge</v>
          </cell>
          <cell r="AL73" t="str">
            <v>Awareness</v>
          </cell>
          <cell r="AM73" t="str">
            <v>Awareness</v>
          </cell>
          <cell r="AN73" t="str">
            <v>Awareness</v>
          </cell>
          <cell r="AO73" t="str">
            <v>Working</v>
          </cell>
          <cell r="AP73" t="str">
            <v>Expert</v>
          </cell>
          <cell r="AQ73" t="str">
            <v>Expert</v>
          </cell>
          <cell r="AR73" t="str">
            <v>Expert</v>
          </cell>
          <cell r="AS73" t="str">
            <v>Expert</v>
          </cell>
          <cell r="AT73" t="str">
            <v>Expert</v>
          </cell>
        </row>
        <row r="74">
          <cell r="B74" t="str">
            <v>Systems development management</v>
          </cell>
          <cell r="D74" t="str">
            <v>No Knowledge</v>
          </cell>
          <cell r="E74" t="str">
            <v>No Knowledge</v>
          </cell>
          <cell r="F74" t="str">
            <v>No Knowledge</v>
          </cell>
          <cell r="G74" t="str">
            <v>No Knowledge</v>
          </cell>
          <cell r="H74" t="str">
            <v>No Knowledge</v>
          </cell>
          <cell r="I74" t="str">
            <v>No Knowledge</v>
          </cell>
          <cell r="J74" t="str">
            <v>No Knowledge</v>
          </cell>
          <cell r="K74" t="str">
            <v>No Knowledge</v>
          </cell>
          <cell r="L74" t="str">
            <v>No Knowledge</v>
          </cell>
          <cell r="M74" t="str">
            <v>No Knowledge</v>
          </cell>
          <cell r="N74" t="str">
            <v>No Knowledge</v>
          </cell>
          <cell r="O74" t="str">
            <v>No Knowledge</v>
          </cell>
          <cell r="P74" t="str">
            <v>No Knowledge</v>
          </cell>
          <cell r="Q74" t="str">
            <v>No Knowledge</v>
          </cell>
          <cell r="R74" t="str">
            <v>No Knowledge</v>
          </cell>
          <cell r="S74" t="str">
            <v>No Knowledge</v>
          </cell>
          <cell r="T74" t="str">
            <v>No Knowledge</v>
          </cell>
          <cell r="U74" t="str">
            <v>No Knowledge</v>
          </cell>
          <cell r="V74" t="str">
            <v>No Knowledge</v>
          </cell>
          <cell r="W74" t="str">
            <v>No Knowledge</v>
          </cell>
          <cell r="X74" t="str">
            <v>No Knowledge</v>
          </cell>
          <cell r="Y74" t="str">
            <v>No Knowledge</v>
          </cell>
          <cell r="Z74" t="str">
            <v>Awareness</v>
          </cell>
          <cell r="AA74" t="str">
            <v>Awareness</v>
          </cell>
          <cell r="AB74" t="str">
            <v>Awareness</v>
          </cell>
          <cell r="AC74" t="str">
            <v>Awareness</v>
          </cell>
          <cell r="AD74" t="str">
            <v>Awareness</v>
          </cell>
          <cell r="AE74" t="str">
            <v>Awareness</v>
          </cell>
          <cell r="AF74" t="str">
            <v>Practitioner</v>
          </cell>
          <cell r="AG74" t="str">
            <v>Working</v>
          </cell>
          <cell r="AH74" t="str">
            <v>No Knowledge</v>
          </cell>
          <cell r="AI74" t="str">
            <v>No Knowledge</v>
          </cell>
          <cell r="AJ74" t="str">
            <v>No Knowledge</v>
          </cell>
          <cell r="AK74" t="str">
            <v>No Knowledge</v>
          </cell>
          <cell r="AL74" t="str">
            <v>Awareness</v>
          </cell>
          <cell r="AM74" t="str">
            <v>Awareness</v>
          </cell>
          <cell r="AN74" t="str">
            <v>Awareness</v>
          </cell>
          <cell r="AO74" t="str">
            <v>Working</v>
          </cell>
          <cell r="AP74" t="str">
            <v>Practitioner</v>
          </cell>
          <cell r="AQ74" t="str">
            <v>Practitioner</v>
          </cell>
          <cell r="AR74" t="str">
            <v>Practitioner</v>
          </cell>
          <cell r="AS74" t="str">
            <v>Practitioner</v>
          </cell>
          <cell r="AT74" t="str">
            <v>Practitioner</v>
          </cell>
          <cell r="AU74" t="str">
            <v>Working</v>
          </cell>
          <cell r="AV74" t="str">
            <v>Working</v>
          </cell>
          <cell r="AW74" t="str">
            <v>Working</v>
          </cell>
          <cell r="AX74" t="str">
            <v>Working</v>
          </cell>
          <cell r="AY74" t="str">
            <v>Working</v>
          </cell>
          <cell r="AZ74" t="str">
            <v>Working</v>
          </cell>
        </row>
        <row r="75">
          <cell r="B75" t="str">
            <v>Systems installation and removal</v>
          </cell>
          <cell r="D75" t="str">
            <v>Awareness</v>
          </cell>
          <cell r="E75" t="str">
            <v>Working</v>
          </cell>
          <cell r="F75" t="str">
            <v>Practitioner</v>
          </cell>
          <cell r="G75" t="str">
            <v>Practitioner</v>
          </cell>
          <cell r="H75" t="str">
            <v>Practitioner</v>
          </cell>
          <cell r="I75" t="str">
            <v>Practitioner</v>
          </cell>
          <cell r="J75" t="str">
            <v>Practitioner</v>
          </cell>
          <cell r="K75" t="str">
            <v>Working</v>
          </cell>
          <cell r="L75" t="str">
            <v>Working</v>
          </cell>
          <cell r="M75" t="str">
            <v>Working</v>
          </cell>
          <cell r="N75" t="str">
            <v>Working</v>
          </cell>
          <cell r="O75" t="str">
            <v>Working</v>
          </cell>
          <cell r="P75" t="str">
            <v>Working</v>
          </cell>
          <cell r="Q75" t="str">
            <v>Working</v>
          </cell>
          <cell r="R75" t="str">
            <v>Working</v>
          </cell>
          <cell r="S75" t="str">
            <v>Working</v>
          </cell>
          <cell r="T75" t="str">
            <v>Working</v>
          </cell>
          <cell r="U75" t="str">
            <v>Working</v>
          </cell>
          <cell r="V75" t="str">
            <v>Working</v>
          </cell>
          <cell r="W75" t="str">
            <v>Working</v>
          </cell>
          <cell r="X75" t="str">
            <v>Working</v>
          </cell>
          <cell r="Y75" t="str">
            <v>Working</v>
          </cell>
          <cell r="Z75" t="str">
            <v>Practitioner</v>
          </cell>
          <cell r="AA75" t="str">
            <v>Awareness</v>
          </cell>
          <cell r="AB75" t="str">
            <v>Awareness</v>
          </cell>
          <cell r="AC75" t="str">
            <v>Awareness</v>
          </cell>
          <cell r="AD75" t="str">
            <v>Awareness</v>
          </cell>
          <cell r="AE75" t="str">
            <v>Awareness</v>
          </cell>
          <cell r="AF75" t="str">
            <v>Working</v>
          </cell>
          <cell r="AG75" t="str">
            <v>Working</v>
          </cell>
          <cell r="AH75" t="str">
            <v>Working</v>
          </cell>
          <cell r="AI75" t="str">
            <v>Awareness</v>
          </cell>
          <cell r="AJ75" t="str">
            <v>Awareness</v>
          </cell>
          <cell r="AK75" t="str">
            <v>Awareness</v>
          </cell>
          <cell r="AL75" t="str">
            <v>Awareness</v>
          </cell>
          <cell r="AM75" t="str">
            <v>Awareness</v>
          </cell>
          <cell r="AN75" t="str">
            <v>Awareness</v>
          </cell>
          <cell r="AO75" t="str">
            <v>Working</v>
          </cell>
          <cell r="AP75" t="str">
            <v>Working</v>
          </cell>
          <cell r="AQ75" t="str">
            <v>Expert</v>
          </cell>
          <cell r="AR75" t="str">
            <v>Expert</v>
          </cell>
          <cell r="AS75" t="str">
            <v>Expert</v>
          </cell>
          <cell r="AT75" t="str">
            <v>Expert</v>
          </cell>
          <cell r="AU75" t="str">
            <v>Working</v>
          </cell>
          <cell r="AV75" t="str">
            <v>Working</v>
          </cell>
          <cell r="AW75" t="str">
            <v>Working</v>
          </cell>
          <cell r="AY75" t="str">
            <v>Practitioner</v>
          </cell>
          <cell r="AZ75" t="str">
            <v>Practitioner</v>
          </cell>
        </row>
        <row r="76">
          <cell r="B76" t="str">
            <v>Testing</v>
          </cell>
          <cell r="D76" t="str">
            <v>Working</v>
          </cell>
          <cell r="E76" t="str">
            <v>Working</v>
          </cell>
          <cell r="F76" t="str">
            <v>Working</v>
          </cell>
          <cell r="G76" t="str">
            <v>Working</v>
          </cell>
          <cell r="H76" t="str">
            <v>Working</v>
          </cell>
          <cell r="I76" t="str">
            <v>Practitioner</v>
          </cell>
          <cell r="J76" t="str">
            <v>Working</v>
          </cell>
          <cell r="K76" t="str">
            <v>Working</v>
          </cell>
          <cell r="L76" t="str">
            <v>Working</v>
          </cell>
          <cell r="M76" t="str">
            <v>Working</v>
          </cell>
          <cell r="N76" t="str">
            <v>Working</v>
          </cell>
          <cell r="O76" t="str">
            <v>Working</v>
          </cell>
          <cell r="P76" t="str">
            <v>Working</v>
          </cell>
          <cell r="Q76" t="str">
            <v>Awareness</v>
          </cell>
          <cell r="R76" t="str">
            <v>Working</v>
          </cell>
          <cell r="S76" t="str">
            <v>Working</v>
          </cell>
          <cell r="T76" t="str">
            <v>Working</v>
          </cell>
          <cell r="U76" t="str">
            <v>Working</v>
          </cell>
          <cell r="V76" t="str">
            <v>Working</v>
          </cell>
          <cell r="W76" t="str">
            <v>Working</v>
          </cell>
          <cell r="X76" t="str">
            <v>Working</v>
          </cell>
          <cell r="Y76" t="str">
            <v>Working</v>
          </cell>
          <cell r="Z76" t="str">
            <v>Practitioner</v>
          </cell>
          <cell r="AA76" t="str">
            <v>Awareness</v>
          </cell>
          <cell r="AB76" t="str">
            <v>Working</v>
          </cell>
          <cell r="AC76" t="str">
            <v>Practitioner</v>
          </cell>
          <cell r="AD76" t="str">
            <v>Practitioner</v>
          </cell>
          <cell r="AE76" t="str">
            <v>Practitioner</v>
          </cell>
          <cell r="AF76" t="str">
            <v>Practitioner</v>
          </cell>
          <cell r="AG76" t="str">
            <v>Practitioner</v>
          </cell>
          <cell r="AH76" t="str">
            <v>Working</v>
          </cell>
          <cell r="AI76" t="str">
            <v>Working</v>
          </cell>
          <cell r="AJ76" t="str">
            <v>Working</v>
          </cell>
          <cell r="AK76" t="str">
            <v>Working</v>
          </cell>
          <cell r="AL76" t="str">
            <v>Practitioner</v>
          </cell>
          <cell r="AM76" t="str">
            <v>Working</v>
          </cell>
          <cell r="AN76" t="str">
            <v>Practitioner</v>
          </cell>
          <cell r="AO76" t="str">
            <v>Practitioner</v>
          </cell>
          <cell r="AP76" t="str">
            <v>Practitioner</v>
          </cell>
          <cell r="AQ76" t="str">
            <v>Practitioner</v>
          </cell>
          <cell r="AR76" t="str">
            <v>Practitioner</v>
          </cell>
          <cell r="AS76" t="str">
            <v>Practitioner</v>
          </cell>
          <cell r="AT76" t="str">
            <v>Practitioner</v>
          </cell>
        </row>
        <row r="77">
          <cell r="B77" t="str">
            <v>Innovation</v>
          </cell>
          <cell r="D77" t="str">
            <v>No Knowledge</v>
          </cell>
          <cell r="E77" t="str">
            <v>No Knowledge</v>
          </cell>
          <cell r="F77" t="str">
            <v>No Knowledge</v>
          </cell>
          <cell r="G77" t="str">
            <v>No Knowledge</v>
          </cell>
          <cell r="H77" t="str">
            <v>No Knowledge</v>
          </cell>
          <cell r="I77" t="str">
            <v>No Knowledge</v>
          </cell>
          <cell r="J77" t="str">
            <v>No Knowledge</v>
          </cell>
          <cell r="K77" t="str">
            <v>No Knowledge</v>
          </cell>
          <cell r="L77" t="str">
            <v>No Knowledge</v>
          </cell>
          <cell r="M77" t="str">
            <v>No Knowledge</v>
          </cell>
          <cell r="N77" t="str">
            <v>No Knowledge</v>
          </cell>
          <cell r="O77" t="str">
            <v>No Knowledge</v>
          </cell>
          <cell r="P77" t="str">
            <v>No Knowledge</v>
          </cell>
          <cell r="Q77" t="str">
            <v>No Knowledge</v>
          </cell>
          <cell r="R77" t="str">
            <v>No Knowledge</v>
          </cell>
          <cell r="S77" t="str">
            <v>Practitioner</v>
          </cell>
          <cell r="T77" t="str">
            <v>Practitioner</v>
          </cell>
          <cell r="U77" t="str">
            <v>Practitioner</v>
          </cell>
          <cell r="V77" t="str">
            <v>Practitioner</v>
          </cell>
          <cell r="W77" t="str">
            <v>Working</v>
          </cell>
          <cell r="X77" t="str">
            <v>Working</v>
          </cell>
          <cell r="Y77" t="str">
            <v>Working</v>
          </cell>
          <cell r="Z77" t="str">
            <v>Working</v>
          </cell>
          <cell r="AA77" t="str">
            <v>Working</v>
          </cell>
          <cell r="AB77" t="str">
            <v>Working</v>
          </cell>
          <cell r="AC77" t="str">
            <v>Working</v>
          </cell>
          <cell r="AD77" t="str">
            <v>Practitioner</v>
          </cell>
          <cell r="AE77" t="str">
            <v>Practitioner</v>
          </cell>
          <cell r="AF77" t="str">
            <v>Expert</v>
          </cell>
          <cell r="AG77" t="str">
            <v>Practitioner</v>
          </cell>
          <cell r="AH77" t="str">
            <v>Practitioner</v>
          </cell>
          <cell r="AI77" t="str">
            <v>No Knowledge</v>
          </cell>
          <cell r="AJ77" t="str">
            <v>No Knowledge</v>
          </cell>
          <cell r="AK77" t="str">
            <v>No Knowledge</v>
          </cell>
          <cell r="AL77" t="str">
            <v>Working</v>
          </cell>
          <cell r="AM77" t="str">
            <v>Working</v>
          </cell>
          <cell r="AN77" t="str">
            <v>Practitioner</v>
          </cell>
          <cell r="AO77" t="str">
            <v>Practitioner</v>
          </cell>
          <cell r="AP77" t="str">
            <v>Expert</v>
          </cell>
          <cell r="AQ77" t="str">
            <v>Expert</v>
          </cell>
          <cell r="AR77" t="str">
            <v>Expert</v>
          </cell>
          <cell r="AS77" t="str">
            <v>Expert</v>
          </cell>
          <cell r="AT77" t="str">
            <v>Expert</v>
          </cell>
          <cell r="AU77" t="str">
            <v>Working</v>
          </cell>
          <cell r="AV77" t="str">
            <v>Working</v>
          </cell>
          <cell r="AW77" t="str">
            <v>Working</v>
          </cell>
          <cell r="AX77" t="str">
            <v>Working</v>
          </cell>
          <cell r="AY77" t="str">
            <v>Expert</v>
          </cell>
          <cell r="AZ77" t="str">
            <v>Expert</v>
          </cell>
        </row>
        <row r="78">
          <cell r="B78" t="str">
            <v>Specialist Advice</v>
          </cell>
          <cell r="D78" t="str">
            <v>No Knowledge</v>
          </cell>
          <cell r="E78" t="str">
            <v>No Knowledge</v>
          </cell>
          <cell r="F78" t="str">
            <v>No Knowledge</v>
          </cell>
          <cell r="G78" t="str">
            <v>No Knowledge</v>
          </cell>
          <cell r="H78" t="str">
            <v>No Knowledge</v>
          </cell>
          <cell r="I78" t="str">
            <v>Practitioner</v>
          </cell>
          <cell r="J78" t="str">
            <v>No Knowledge</v>
          </cell>
          <cell r="K78" t="str">
            <v>No Knowledge</v>
          </cell>
          <cell r="L78" t="str">
            <v>No Knowledge</v>
          </cell>
          <cell r="M78" t="str">
            <v>No Knowledge</v>
          </cell>
          <cell r="N78" t="str">
            <v>No Knowledge</v>
          </cell>
          <cell r="O78" t="str">
            <v>No Knowledge</v>
          </cell>
          <cell r="P78" t="str">
            <v>Awareness</v>
          </cell>
          <cell r="Q78" t="str">
            <v>No Knowledge</v>
          </cell>
          <cell r="R78" t="str">
            <v>No Knowledge</v>
          </cell>
          <cell r="S78" t="str">
            <v>Practitioner</v>
          </cell>
          <cell r="T78" t="str">
            <v>Practitioner</v>
          </cell>
          <cell r="U78" t="str">
            <v>Practitioner</v>
          </cell>
          <cell r="V78" t="str">
            <v>Practitioner</v>
          </cell>
          <cell r="W78" t="str">
            <v>Working</v>
          </cell>
          <cell r="X78" t="str">
            <v>Working</v>
          </cell>
          <cell r="Y78" t="str">
            <v>Practitioner</v>
          </cell>
          <cell r="Z78" t="str">
            <v>Practitioner</v>
          </cell>
          <cell r="AA78" t="str">
            <v>Working</v>
          </cell>
          <cell r="AB78" t="str">
            <v>Working</v>
          </cell>
          <cell r="AC78" t="str">
            <v>Working</v>
          </cell>
          <cell r="AD78" t="str">
            <v>Practitioner</v>
          </cell>
          <cell r="AE78" t="str">
            <v>Practitioner</v>
          </cell>
          <cell r="AF78" t="str">
            <v>Expert</v>
          </cell>
          <cell r="AG78" t="str">
            <v>Expert</v>
          </cell>
          <cell r="AH78" t="str">
            <v>Practitioner</v>
          </cell>
          <cell r="AI78" t="str">
            <v>No Knowledge</v>
          </cell>
          <cell r="AJ78" t="str">
            <v>No Knowledge</v>
          </cell>
          <cell r="AK78" t="str">
            <v>No Knowledge</v>
          </cell>
          <cell r="AL78" t="str">
            <v>Working</v>
          </cell>
          <cell r="AM78" t="str">
            <v>Working</v>
          </cell>
          <cell r="AN78" t="str">
            <v>Practitioner</v>
          </cell>
          <cell r="AO78" t="str">
            <v>Expert</v>
          </cell>
          <cell r="AP78" t="str">
            <v>Expert</v>
          </cell>
          <cell r="AQ78" t="str">
            <v>Expert</v>
          </cell>
          <cell r="AR78" t="str">
            <v>Expert</v>
          </cell>
          <cell r="AS78" t="str">
            <v>Expert</v>
          </cell>
          <cell r="AT78" t="str">
            <v>Expert</v>
          </cell>
          <cell r="AU78" t="str">
            <v>N/A</v>
          </cell>
          <cell r="AV78" t="str">
            <v>N/A</v>
          </cell>
          <cell r="AW78" t="str">
            <v>N/A</v>
          </cell>
          <cell r="AX78" t="str">
            <v>N/A</v>
          </cell>
          <cell r="AY78" t="str">
            <v>N/A</v>
          </cell>
          <cell r="AZ78" t="str">
            <v>N/A</v>
          </cell>
        </row>
        <row r="79">
          <cell r="B79" t="str">
            <v>Emerging technology monitoring</v>
          </cell>
          <cell r="D79" t="str">
            <v>No Knowledge</v>
          </cell>
          <cell r="E79" t="str">
            <v>No Knowledge</v>
          </cell>
          <cell r="F79" t="str">
            <v>No Knowledge</v>
          </cell>
          <cell r="G79" t="str">
            <v>Working</v>
          </cell>
          <cell r="H79" t="str">
            <v>No Knowledge</v>
          </cell>
          <cell r="I79" t="str">
            <v>No Knowledge</v>
          </cell>
          <cell r="J79" t="str">
            <v>Working</v>
          </cell>
          <cell r="K79" t="str">
            <v>No Knowledge</v>
          </cell>
          <cell r="L79" t="str">
            <v>No Knowledge</v>
          </cell>
          <cell r="M79" t="str">
            <v>No Knowledge</v>
          </cell>
          <cell r="N79" t="str">
            <v>Working</v>
          </cell>
          <cell r="O79" t="str">
            <v>No Knowledge</v>
          </cell>
          <cell r="P79" t="str">
            <v>Practitioner</v>
          </cell>
          <cell r="Q79" t="str">
            <v>No Knowledge</v>
          </cell>
          <cell r="R79" t="str">
            <v>No Knowledge</v>
          </cell>
          <cell r="S79" t="str">
            <v>No Knowledge</v>
          </cell>
          <cell r="T79" t="str">
            <v>No Knowledge</v>
          </cell>
          <cell r="U79" t="str">
            <v>Working</v>
          </cell>
          <cell r="V79" t="str">
            <v>Working</v>
          </cell>
          <cell r="W79" t="str">
            <v>No Knowledge</v>
          </cell>
          <cell r="X79" t="str">
            <v>Awareness</v>
          </cell>
          <cell r="Y79" t="str">
            <v>Working</v>
          </cell>
          <cell r="Z79" t="str">
            <v>Working</v>
          </cell>
          <cell r="AA79" t="str">
            <v>Awareness</v>
          </cell>
          <cell r="AB79" t="str">
            <v>Awareness</v>
          </cell>
          <cell r="AC79" t="str">
            <v>Awareness</v>
          </cell>
          <cell r="AD79" t="str">
            <v>Awareness</v>
          </cell>
          <cell r="AE79" t="str">
            <v>Awareness</v>
          </cell>
          <cell r="AF79" t="str">
            <v>Practitioner</v>
          </cell>
          <cell r="AG79" t="str">
            <v>Working</v>
          </cell>
          <cell r="AH79" t="str">
            <v>No Knowledge</v>
          </cell>
          <cell r="AI79" t="str">
            <v>N/A</v>
          </cell>
          <cell r="AJ79" t="str">
            <v>No Knowledge</v>
          </cell>
          <cell r="AK79" t="str">
            <v>No Knowledge</v>
          </cell>
          <cell r="AL79" t="str">
            <v>Awareness</v>
          </cell>
          <cell r="AM79" t="str">
            <v>Awareness</v>
          </cell>
          <cell r="AN79" t="str">
            <v>Awareness</v>
          </cell>
          <cell r="AO79" t="str">
            <v>Practitioner</v>
          </cell>
          <cell r="AP79" t="str">
            <v>Practitioner</v>
          </cell>
          <cell r="AQ79" t="str">
            <v>Practitioner</v>
          </cell>
          <cell r="AR79" t="str">
            <v>Practitioner</v>
          </cell>
          <cell r="AS79" t="str">
            <v>Practitioner</v>
          </cell>
          <cell r="AT79" t="str">
            <v>Practitioner</v>
          </cell>
        </row>
        <row r="80">
          <cell r="B80" t="str">
            <v>Systems integration and build</v>
          </cell>
          <cell r="D80" t="str">
            <v>Awareness</v>
          </cell>
          <cell r="E80" t="str">
            <v>Working</v>
          </cell>
          <cell r="F80" t="str">
            <v>Practitioner</v>
          </cell>
          <cell r="G80" t="str">
            <v>Practitioner</v>
          </cell>
          <cell r="H80" t="str">
            <v>Practitioner</v>
          </cell>
          <cell r="I80" t="str">
            <v>Practitioner</v>
          </cell>
          <cell r="J80" t="str">
            <v>Practitioner</v>
          </cell>
          <cell r="K80" t="str">
            <v>Awareness</v>
          </cell>
          <cell r="L80" t="str">
            <v>Working</v>
          </cell>
          <cell r="M80" t="str">
            <v>Practitioner</v>
          </cell>
          <cell r="N80" t="str">
            <v>Practitioner</v>
          </cell>
          <cell r="O80" t="str">
            <v>Practitioner</v>
          </cell>
          <cell r="P80" t="str">
            <v>Practitioner</v>
          </cell>
          <cell r="Q80" t="str">
            <v>Practitioner</v>
          </cell>
          <cell r="R80" t="str">
            <v>Practitioner</v>
          </cell>
          <cell r="S80" t="str">
            <v>Practitioner</v>
          </cell>
          <cell r="T80" t="str">
            <v>Practitioner</v>
          </cell>
          <cell r="U80" t="str">
            <v>Practitioner</v>
          </cell>
          <cell r="V80" t="str">
            <v>Practitioner</v>
          </cell>
          <cell r="W80" t="str">
            <v>Working</v>
          </cell>
          <cell r="X80" t="str">
            <v>Working</v>
          </cell>
          <cell r="Y80" t="str">
            <v>Practitioner</v>
          </cell>
          <cell r="Z80" t="str">
            <v>Working</v>
          </cell>
          <cell r="AA80" t="str">
            <v>No Knowledge</v>
          </cell>
          <cell r="AB80" t="str">
            <v>No Knowledge</v>
          </cell>
          <cell r="AC80" t="str">
            <v>No Knowledge</v>
          </cell>
          <cell r="AD80" t="str">
            <v>No Knowledge</v>
          </cell>
          <cell r="AE80" t="str">
            <v>No Knowledge</v>
          </cell>
          <cell r="AF80" t="str">
            <v>Practitioner</v>
          </cell>
          <cell r="AG80" t="str">
            <v>Working</v>
          </cell>
          <cell r="AH80" t="str">
            <v>Practitioner</v>
          </cell>
          <cell r="AI80" t="str">
            <v>Awareness</v>
          </cell>
          <cell r="AJ80" t="str">
            <v>Awareness</v>
          </cell>
          <cell r="AK80" t="str">
            <v>Awareness</v>
          </cell>
          <cell r="AL80" t="str">
            <v>No Knowledge</v>
          </cell>
          <cell r="AM80" t="str">
            <v>No Knowledge</v>
          </cell>
          <cell r="AN80" t="str">
            <v>No Knowledge</v>
          </cell>
          <cell r="AO80" t="str">
            <v>Practitioner</v>
          </cell>
          <cell r="AP80" t="str">
            <v>Practitioner</v>
          </cell>
          <cell r="AQ80" t="str">
            <v>Working</v>
          </cell>
          <cell r="AR80" t="str">
            <v>Working</v>
          </cell>
          <cell r="AS80" t="str">
            <v>Working</v>
          </cell>
          <cell r="AT80" t="str">
            <v>Working</v>
          </cell>
        </row>
        <row r="81">
          <cell r="B81" t="str">
            <v>Audio Visual</v>
          </cell>
          <cell r="D81" t="str">
            <v>Awareness</v>
          </cell>
          <cell r="E81" t="str">
            <v>Awareness</v>
          </cell>
          <cell r="F81" t="str">
            <v>Awareness</v>
          </cell>
          <cell r="G81" t="str">
            <v>Practitioner</v>
          </cell>
          <cell r="H81" t="str">
            <v>Practitioner</v>
          </cell>
          <cell r="I81" t="str">
            <v>Practitioner</v>
          </cell>
          <cell r="J81" t="str">
            <v>Practitioner</v>
          </cell>
          <cell r="K81" t="str">
            <v>Awareness</v>
          </cell>
          <cell r="L81" t="str">
            <v>No Knowledge</v>
          </cell>
          <cell r="M81" t="str">
            <v>Awareness</v>
          </cell>
          <cell r="P81" t="str">
            <v>Working</v>
          </cell>
          <cell r="Q81" t="str">
            <v>No Knowledge</v>
          </cell>
          <cell r="R81" t="str">
            <v>No Knowledge</v>
          </cell>
          <cell r="S81" t="str">
            <v>Awareness</v>
          </cell>
          <cell r="T81" t="str">
            <v>Awareness</v>
          </cell>
          <cell r="U81" t="str">
            <v>Awareness</v>
          </cell>
          <cell r="V81" t="str">
            <v>Awareness</v>
          </cell>
          <cell r="W81" t="str">
            <v>No Knowledge</v>
          </cell>
          <cell r="X81" t="str">
            <v>No Knowledge</v>
          </cell>
          <cell r="Y81" t="str">
            <v>No Knowledge</v>
          </cell>
          <cell r="Z81" t="str">
            <v>No Knowledge</v>
          </cell>
          <cell r="AA81" t="str">
            <v>No Knowledge</v>
          </cell>
          <cell r="AB81" t="str">
            <v>No Knowledge</v>
          </cell>
          <cell r="AC81" t="str">
            <v>No Knowledge</v>
          </cell>
          <cell r="AD81" t="str">
            <v>No Knowledge</v>
          </cell>
          <cell r="AE81" t="str">
            <v>No Knowledge</v>
          </cell>
          <cell r="AF81" t="str">
            <v>Working</v>
          </cell>
          <cell r="AG81" t="str">
            <v>No Knowledge</v>
          </cell>
          <cell r="AH81" t="str">
            <v>Awareness</v>
          </cell>
          <cell r="AJ81" t="str">
            <v>Awareness</v>
          </cell>
          <cell r="AK81" t="str">
            <v>Awareness</v>
          </cell>
          <cell r="AL81" t="str">
            <v>No Knowledge</v>
          </cell>
          <cell r="AM81" t="str">
            <v>No Knowledge</v>
          </cell>
          <cell r="AN81" t="str">
            <v>No Knowledge</v>
          </cell>
          <cell r="AO81" t="str">
            <v>Working</v>
          </cell>
          <cell r="AQ81" t="str">
            <v>No Knowledge</v>
          </cell>
          <cell r="AR81" t="str">
            <v>No Knowledge</v>
          </cell>
          <cell r="AS81" t="str">
            <v>No Knowledge</v>
          </cell>
          <cell r="AT81" t="str">
            <v>No Knowledge</v>
          </cell>
        </row>
        <row r="82">
          <cell r="B82" t="str">
            <v>Augmented Reality</v>
          </cell>
          <cell r="D82" t="str">
            <v>No Knowledge</v>
          </cell>
          <cell r="E82" t="str">
            <v>No Knowledge</v>
          </cell>
          <cell r="F82" t="str">
            <v>No Knowledge</v>
          </cell>
          <cell r="G82" t="str">
            <v>Awareness</v>
          </cell>
          <cell r="H82" t="str">
            <v>Awareness</v>
          </cell>
          <cell r="I82" t="str">
            <v>Awareness</v>
          </cell>
          <cell r="J82" t="str">
            <v>Awareness</v>
          </cell>
          <cell r="K82" t="str">
            <v>Awareness</v>
          </cell>
          <cell r="L82" t="str">
            <v>Awareness</v>
          </cell>
          <cell r="M82" t="str">
            <v>Awareness</v>
          </cell>
          <cell r="N82" t="str">
            <v>Awareness</v>
          </cell>
          <cell r="O82" t="str">
            <v>Awareness</v>
          </cell>
          <cell r="P82" t="str">
            <v>Awareness</v>
          </cell>
          <cell r="Q82" t="str">
            <v>No Knowledge</v>
          </cell>
          <cell r="R82" t="str">
            <v>No Knowledge</v>
          </cell>
          <cell r="S82" t="str">
            <v>No Knowledge</v>
          </cell>
          <cell r="T82" t="str">
            <v>No Knowledge</v>
          </cell>
          <cell r="U82" t="str">
            <v>No Knowledge</v>
          </cell>
          <cell r="V82" t="str">
            <v>No Knowledge</v>
          </cell>
          <cell r="W82" t="str">
            <v>No Knowledge</v>
          </cell>
          <cell r="X82" t="str">
            <v>No Knowledge</v>
          </cell>
          <cell r="Y82" t="str">
            <v>Practitioner</v>
          </cell>
          <cell r="Z82" t="str">
            <v>No Knowledge</v>
          </cell>
          <cell r="AA82" t="str">
            <v>No Knowledge</v>
          </cell>
          <cell r="AB82" t="str">
            <v>No Knowledge</v>
          </cell>
          <cell r="AC82" t="str">
            <v>No Knowledge</v>
          </cell>
          <cell r="AD82" t="str">
            <v>No Knowledge</v>
          </cell>
          <cell r="AE82" t="str">
            <v>No Knowledge</v>
          </cell>
          <cell r="AF82" t="str">
            <v>Working</v>
          </cell>
          <cell r="AG82" t="str">
            <v>No Knowledge</v>
          </cell>
          <cell r="AH82" t="str">
            <v>Awareness</v>
          </cell>
          <cell r="AJ82" t="str">
            <v>Awareness</v>
          </cell>
          <cell r="AK82" t="str">
            <v>Awareness</v>
          </cell>
          <cell r="AL82" t="str">
            <v>No Knowledge</v>
          </cell>
          <cell r="AM82" t="str">
            <v>No Knowledge</v>
          </cell>
          <cell r="AN82" t="str">
            <v>No Knowledge</v>
          </cell>
          <cell r="AO82" t="str">
            <v>Working</v>
          </cell>
          <cell r="AQ82" t="str">
            <v>No Knowledge</v>
          </cell>
          <cell r="AR82" t="str">
            <v>No Knowledge</v>
          </cell>
          <cell r="AS82" t="str">
            <v>No Knowledge</v>
          </cell>
          <cell r="AT82" t="str">
            <v>No Knowledge</v>
          </cell>
        </row>
        <row r="83">
          <cell r="B83" t="str">
            <v>Benefits management</v>
          </cell>
          <cell r="D83" t="str">
            <v>No Knowledge</v>
          </cell>
          <cell r="E83" t="str">
            <v>No Knowledge</v>
          </cell>
          <cell r="F83" t="str">
            <v>No Knowledge</v>
          </cell>
          <cell r="G83" t="str">
            <v>No Knowledge</v>
          </cell>
          <cell r="H83" t="str">
            <v>No Knowledge</v>
          </cell>
          <cell r="I83" t="str">
            <v>No Knowledge</v>
          </cell>
          <cell r="J83" t="str">
            <v>No Knowledge</v>
          </cell>
          <cell r="K83" t="str">
            <v>No Knowledge</v>
          </cell>
          <cell r="L83" t="str">
            <v>No Knowledge</v>
          </cell>
          <cell r="M83" t="str">
            <v>No Knowledge</v>
          </cell>
          <cell r="N83" t="str">
            <v>No Knowledge</v>
          </cell>
          <cell r="O83" t="str">
            <v>No Knowledge</v>
          </cell>
          <cell r="P83" t="str">
            <v>No Knowledge</v>
          </cell>
          <cell r="Q83" t="str">
            <v>Working</v>
          </cell>
          <cell r="R83" t="str">
            <v>Working</v>
          </cell>
          <cell r="S83" t="str">
            <v>Practitioner</v>
          </cell>
          <cell r="T83" t="str">
            <v>Practitioner</v>
          </cell>
          <cell r="U83" t="str">
            <v>Practitioner</v>
          </cell>
          <cell r="V83" t="str">
            <v>Practitioner</v>
          </cell>
          <cell r="W83" t="str">
            <v>Working</v>
          </cell>
          <cell r="X83" t="str">
            <v>Working</v>
          </cell>
          <cell r="Y83" t="str">
            <v>Practitioner</v>
          </cell>
          <cell r="Z83" t="str">
            <v>Practitioner</v>
          </cell>
          <cell r="AA83" t="str">
            <v>No Knowledge</v>
          </cell>
          <cell r="AB83" t="str">
            <v>No Knowledge</v>
          </cell>
          <cell r="AC83" t="str">
            <v>No Knowledge</v>
          </cell>
          <cell r="AD83" t="str">
            <v>No Knowledge</v>
          </cell>
          <cell r="AE83" t="str">
            <v>No Knowledge</v>
          </cell>
          <cell r="AF83" t="str">
            <v>Practitioner</v>
          </cell>
          <cell r="AG83" t="str">
            <v>Working</v>
          </cell>
          <cell r="AH83" t="str">
            <v>Practitioner</v>
          </cell>
          <cell r="AI83" t="str">
            <v>No Knowledge</v>
          </cell>
          <cell r="AJ83" t="str">
            <v>No Knowledge</v>
          </cell>
          <cell r="AK83" t="str">
            <v>No Knowledge</v>
          </cell>
          <cell r="AL83" t="str">
            <v>No Knowledge</v>
          </cell>
          <cell r="AM83" t="str">
            <v>No Knowledge</v>
          </cell>
          <cell r="AN83" t="str">
            <v>No Knowledge</v>
          </cell>
          <cell r="AO83" t="str">
            <v>Working</v>
          </cell>
          <cell r="AP83" t="str">
            <v>Practitioner</v>
          </cell>
          <cell r="AQ83" t="str">
            <v>Working</v>
          </cell>
          <cell r="AR83" t="str">
            <v>Working</v>
          </cell>
          <cell r="AS83" t="str">
            <v>Working</v>
          </cell>
          <cell r="AT83" t="str">
            <v>Working</v>
          </cell>
        </row>
        <row r="84">
          <cell r="B84" t="str">
            <v>Business administration</v>
          </cell>
          <cell r="D84" t="str">
            <v>No Knowledge</v>
          </cell>
          <cell r="E84" t="str">
            <v>No Knowledge</v>
          </cell>
          <cell r="F84" t="str">
            <v>No Knowledge</v>
          </cell>
          <cell r="G84" t="str">
            <v>No Knowledge</v>
          </cell>
          <cell r="H84" t="str">
            <v>No Knowledge</v>
          </cell>
          <cell r="I84" t="str">
            <v>No Knowledge</v>
          </cell>
          <cell r="J84" t="str">
            <v>No Knowledge</v>
          </cell>
          <cell r="K84" t="str">
            <v>No Knowledge</v>
          </cell>
          <cell r="L84" t="str">
            <v>No Knowledge</v>
          </cell>
          <cell r="M84" t="str">
            <v>No Knowledge</v>
          </cell>
          <cell r="N84" t="str">
            <v>No Knowledge</v>
          </cell>
          <cell r="O84" t="str">
            <v>No Knowledge</v>
          </cell>
          <cell r="P84" t="str">
            <v>No Knowledge</v>
          </cell>
          <cell r="Q84" t="str">
            <v>Working</v>
          </cell>
          <cell r="R84" t="str">
            <v>Working</v>
          </cell>
          <cell r="S84" t="str">
            <v>Practitioner</v>
          </cell>
          <cell r="T84" t="str">
            <v>Practitioner</v>
          </cell>
          <cell r="U84" t="str">
            <v>Practitioner</v>
          </cell>
          <cell r="V84" t="str">
            <v>Practitioner</v>
          </cell>
          <cell r="W84" t="str">
            <v>No Knowledge</v>
          </cell>
          <cell r="X84" t="str">
            <v>No Knowledge</v>
          </cell>
          <cell r="Y84" t="str">
            <v>Awareness</v>
          </cell>
          <cell r="Z84" t="str">
            <v>Working</v>
          </cell>
          <cell r="AA84" t="str">
            <v>No Knowledge</v>
          </cell>
          <cell r="AB84" t="str">
            <v>No Knowledge</v>
          </cell>
          <cell r="AC84" t="str">
            <v>No Knowledge</v>
          </cell>
          <cell r="AD84" t="str">
            <v>No Knowledge</v>
          </cell>
          <cell r="AE84" t="str">
            <v>No Knowledge</v>
          </cell>
          <cell r="AF84" t="str">
            <v>Practitioner</v>
          </cell>
          <cell r="AG84" t="str">
            <v>No Knowledge</v>
          </cell>
          <cell r="AH84" t="str">
            <v>Practitioner</v>
          </cell>
          <cell r="AI84" t="str">
            <v>No Knowledge</v>
          </cell>
          <cell r="AJ84" t="str">
            <v>No Knowledge</v>
          </cell>
          <cell r="AK84" t="str">
            <v>No Knowledge</v>
          </cell>
          <cell r="AL84" t="str">
            <v>No Knowledge</v>
          </cell>
          <cell r="AM84" t="str">
            <v>No Knowledge</v>
          </cell>
          <cell r="AN84" t="str">
            <v>No Knowledge</v>
          </cell>
          <cell r="AO84" t="str">
            <v>No Knowledge</v>
          </cell>
          <cell r="AP84" t="str">
            <v>Working</v>
          </cell>
          <cell r="AQ84" t="str">
            <v>Working</v>
          </cell>
          <cell r="AR84" t="str">
            <v>Working</v>
          </cell>
          <cell r="AS84" t="str">
            <v>Working</v>
          </cell>
          <cell r="AT84" t="str">
            <v>Working</v>
          </cell>
        </row>
        <row r="85">
          <cell r="B85" t="str">
            <v>Business intelligence</v>
          </cell>
          <cell r="D85" t="str">
            <v>No Knowledge</v>
          </cell>
          <cell r="E85" t="str">
            <v>No Knowledge</v>
          </cell>
          <cell r="F85" t="str">
            <v>No Knowledge</v>
          </cell>
          <cell r="G85" t="str">
            <v>No Knowledge</v>
          </cell>
          <cell r="H85" t="str">
            <v>No Knowledge</v>
          </cell>
          <cell r="I85" t="str">
            <v>No Knowledge</v>
          </cell>
          <cell r="J85" t="str">
            <v>No Knowledge</v>
          </cell>
          <cell r="K85" t="str">
            <v>No Knowledge</v>
          </cell>
          <cell r="L85" t="str">
            <v>No Knowledge</v>
          </cell>
          <cell r="M85" t="str">
            <v>No Knowledge</v>
          </cell>
          <cell r="N85" t="str">
            <v>No Knowledge</v>
          </cell>
          <cell r="O85" t="str">
            <v>No Knowledge</v>
          </cell>
          <cell r="P85" t="str">
            <v>No Knowledge</v>
          </cell>
          <cell r="Q85" t="str">
            <v>No Knowledge</v>
          </cell>
          <cell r="R85" t="str">
            <v>No Knowledge</v>
          </cell>
          <cell r="S85" t="str">
            <v>Practitioner</v>
          </cell>
          <cell r="T85" t="str">
            <v>Working</v>
          </cell>
          <cell r="U85" t="str">
            <v>Practitioner</v>
          </cell>
          <cell r="V85" t="str">
            <v>Practitioner</v>
          </cell>
          <cell r="W85" t="str">
            <v>No Knowledge</v>
          </cell>
          <cell r="X85" t="str">
            <v>No Knowledge</v>
          </cell>
          <cell r="Y85" t="str">
            <v>No Knowledge</v>
          </cell>
          <cell r="Z85" t="str">
            <v>Working</v>
          </cell>
          <cell r="AA85" t="str">
            <v>No Knowledge</v>
          </cell>
          <cell r="AB85" t="str">
            <v>No Knowledge</v>
          </cell>
          <cell r="AC85" t="str">
            <v>No Knowledge</v>
          </cell>
          <cell r="AD85" t="str">
            <v>No Knowledge</v>
          </cell>
          <cell r="AE85" t="str">
            <v>No Knowledge</v>
          </cell>
          <cell r="AF85" t="str">
            <v>Working</v>
          </cell>
          <cell r="AG85" t="str">
            <v>No Knowledge</v>
          </cell>
          <cell r="AH85" t="str">
            <v>Practitioner</v>
          </cell>
          <cell r="AI85" t="str">
            <v>No Knowledge</v>
          </cell>
          <cell r="AJ85" t="str">
            <v>No Knowledge</v>
          </cell>
          <cell r="AK85" t="str">
            <v>No Knowledge</v>
          </cell>
          <cell r="AL85" t="str">
            <v>No Knowledge</v>
          </cell>
          <cell r="AM85" t="str">
            <v>No Knowledge</v>
          </cell>
          <cell r="AN85" t="str">
            <v>No Knowledge</v>
          </cell>
          <cell r="AO85" t="str">
            <v>No Knowledge</v>
          </cell>
          <cell r="AP85" t="str">
            <v>Practitioner</v>
          </cell>
          <cell r="AQ85" t="str">
            <v>Working</v>
          </cell>
          <cell r="AR85" t="str">
            <v>Working</v>
          </cell>
          <cell r="AS85" t="str">
            <v>Working</v>
          </cell>
          <cell r="AT85" t="str">
            <v>Working</v>
          </cell>
          <cell r="AY85" t="str">
            <v>No Knowledge</v>
          </cell>
          <cell r="AZ85" t="str">
            <v>No Knowledge</v>
          </cell>
        </row>
        <row r="86">
          <cell r="B86" t="str">
            <v>Business modelling</v>
          </cell>
          <cell r="D86" t="str">
            <v>No Knowledge</v>
          </cell>
          <cell r="E86" t="str">
            <v>No Knowledge</v>
          </cell>
          <cell r="F86" t="str">
            <v>No Knowledge</v>
          </cell>
          <cell r="G86" t="str">
            <v>No Knowledge</v>
          </cell>
          <cell r="H86" t="str">
            <v>No Knowledge</v>
          </cell>
          <cell r="I86" t="str">
            <v>No Knowledge</v>
          </cell>
          <cell r="J86" t="str">
            <v>No Knowledge</v>
          </cell>
          <cell r="K86" t="str">
            <v>No Knowledge</v>
          </cell>
          <cell r="L86" t="str">
            <v>No Knowledge</v>
          </cell>
          <cell r="M86" t="str">
            <v>No Knowledge</v>
          </cell>
          <cell r="N86" t="str">
            <v>No Knowledge</v>
          </cell>
          <cell r="O86" t="str">
            <v>No Knowledge</v>
          </cell>
          <cell r="P86" t="str">
            <v>No Knowledge</v>
          </cell>
          <cell r="Q86" t="str">
            <v>No Knowledge</v>
          </cell>
          <cell r="R86" t="str">
            <v>No Knowledge</v>
          </cell>
          <cell r="S86" t="str">
            <v>No Knowledge</v>
          </cell>
          <cell r="T86" t="str">
            <v>Practitioner</v>
          </cell>
          <cell r="U86" t="str">
            <v>Practitioner</v>
          </cell>
          <cell r="V86" t="str">
            <v>Practitioner</v>
          </cell>
          <cell r="W86" t="str">
            <v>No Knowledge</v>
          </cell>
          <cell r="X86" t="str">
            <v>No Knowledge</v>
          </cell>
          <cell r="Y86" t="str">
            <v>No Knowledge</v>
          </cell>
          <cell r="Z86" t="str">
            <v>No Knowledge</v>
          </cell>
          <cell r="AA86" t="str">
            <v>No Knowledge</v>
          </cell>
          <cell r="AB86" t="str">
            <v>No Knowledge</v>
          </cell>
          <cell r="AC86" t="str">
            <v>No Knowledge</v>
          </cell>
          <cell r="AD86" t="str">
            <v>No Knowledge</v>
          </cell>
          <cell r="AE86" t="str">
            <v>No Knowledge</v>
          </cell>
          <cell r="AF86" t="str">
            <v>No Knowledge</v>
          </cell>
          <cell r="AG86" t="str">
            <v>No Knowledge</v>
          </cell>
          <cell r="AH86" t="str">
            <v>No Knowledge</v>
          </cell>
          <cell r="AI86" t="str">
            <v>No Knowledge</v>
          </cell>
          <cell r="AJ86" t="str">
            <v>No Knowledge</v>
          </cell>
          <cell r="AK86" t="str">
            <v>No Knowledge</v>
          </cell>
          <cell r="AL86" t="str">
            <v>No Knowledge</v>
          </cell>
          <cell r="AM86" t="str">
            <v>No Knowledge</v>
          </cell>
          <cell r="AN86" t="str">
            <v>No Knowledge</v>
          </cell>
          <cell r="AO86" t="str">
            <v>No Knowledge</v>
          </cell>
          <cell r="AP86" t="str">
            <v>No Knowledge</v>
          </cell>
          <cell r="AQ86" t="str">
            <v>No Knowledge</v>
          </cell>
          <cell r="AR86" t="str">
            <v>No Knowledge</v>
          </cell>
          <cell r="AS86" t="str">
            <v>No Knowledge</v>
          </cell>
          <cell r="AT86" t="str">
            <v>No Knowledge</v>
          </cell>
        </row>
        <row r="87">
          <cell r="B87" t="str">
            <v>Business process improvement</v>
          </cell>
          <cell r="D87" t="str">
            <v>No Knowledge</v>
          </cell>
          <cell r="E87" t="str">
            <v>No Knowledge</v>
          </cell>
          <cell r="F87" t="str">
            <v>No Knowledge</v>
          </cell>
          <cell r="G87" t="str">
            <v>No Knowledge</v>
          </cell>
          <cell r="H87" t="str">
            <v>No Knowledge</v>
          </cell>
          <cell r="I87" t="str">
            <v>No Knowledge</v>
          </cell>
          <cell r="J87" t="str">
            <v>No Knowledge</v>
          </cell>
          <cell r="K87" t="str">
            <v>No Knowledge</v>
          </cell>
          <cell r="L87" t="str">
            <v>No Knowledge</v>
          </cell>
          <cell r="M87" t="str">
            <v>No Knowledge</v>
          </cell>
          <cell r="N87" t="str">
            <v>No Knowledge</v>
          </cell>
          <cell r="O87" t="str">
            <v>No Knowledge</v>
          </cell>
          <cell r="P87" t="str">
            <v>No Knowledge</v>
          </cell>
          <cell r="Q87" t="str">
            <v>Working</v>
          </cell>
          <cell r="R87" t="str">
            <v>Working</v>
          </cell>
          <cell r="S87" t="str">
            <v>Practitioner</v>
          </cell>
          <cell r="T87" t="str">
            <v>Practitioner</v>
          </cell>
          <cell r="U87" t="str">
            <v>Practitioner</v>
          </cell>
          <cell r="V87" t="str">
            <v>Practitioner</v>
          </cell>
          <cell r="W87" t="str">
            <v>Awareness</v>
          </cell>
          <cell r="X87" t="str">
            <v>Awareness</v>
          </cell>
          <cell r="Y87" t="str">
            <v>Working</v>
          </cell>
          <cell r="Z87" t="str">
            <v>Working</v>
          </cell>
          <cell r="AA87" t="str">
            <v>No Knowledge</v>
          </cell>
          <cell r="AB87" t="str">
            <v>No Knowledge</v>
          </cell>
          <cell r="AC87" t="str">
            <v>No Knowledge</v>
          </cell>
          <cell r="AD87" t="str">
            <v>No Knowledge</v>
          </cell>
          <cell r="AE87" t="str">
            <v>No Knowledge</v>
          </cell>
          <cell r="AF87" t="str">
            <v>Practitioner</v>
          </cell>
          <cell r="AG87" t="str">
            <v>No Knowledge</v>
          </cell>
          <cell r="AH87" t="str">
            <v>Practitioner</v>
          </cell>
          <cell r="AI87" t="str">
            <v>No Knowledge</v>
          </cell>
          <cell r="AJ87" t="str">
            <v>No Knowledge</v>
          </cell>
          <cell r="AK87" t="str">
            <v>No Knowledge</v>
          </cell>
          <cell r="AL87" t="str">
            <v>No Knowledge</v>
          </cell>
          <cell r="AM87" t="str">
            <v>No Knowledge</v>
          </cell>
          <cell r="AN87" t="str">
            <v>No Knowledge</v>
          </cell>
          <cell r="AO87" t="str">
            <v>No Knowledge</v>
          </cell>
          <cell r="AP87" t="str">
            <v>Practitioner</v>
          </cell>
          <cell r="AQ87" t="str">
            <v>Working</v>
          </cell>
          <cell r="AR87" t="str">
            <v>Working</v>
          </cell>
          <cell r="AS87" t="str">
            <v>Working</v>
          </cell>
          <cell r="AT87" t="str">
            <v>Working</v>
          </cell>
        </row>
        <row r="88">
          <cell r="B88" t="str">
            <v>Business situation analysis</v>
          </cell>
          <cell r="D88" t="str">
            <v>No Knowledge</v>
          </cell>
          <cell r="E88" t="str">
            <v>No Knowledge</v>
          </cell>
          <cell r="F88" t="str">
            <v>No Knowledge</v>
          </cell>
          <cell r="G88" t="str">
            <v>No Knowledge</v>
          </cell>
          <cell r="H88" t="str">
            <v>No Knowledge</v>
          </cell>
          <cell r="I88" t="str">
            <v>No Knowledge</v>
          </cell>
          <cell r="J88" t="str">
            <v>No Knowledge</v>
          </cell>
          <cell r="K88" t="str">
            <v>No Knowledge</v>
          </cell>
          <cell r="L88" t="str">
            <v>No Knowledge</v>
          </cell>
          <cell r="M88" t="str">
            <v>No Knowledge</v>
          </cell>
          <cell r="N88" t="str">
            <v>No Knowledge</v>
          </cell>
          <cell r="O88" t="str">
            <v>No Knowledge</v>
          </cell>
          <cell r="P88" t="str">
            <v>No Knowledge</v>
          </cell>
          <cell r="Q88" t="str">
            <v>No Knowledge</v>
          </cell>
          <cell r="R88" t="str">
            <v>No Knowledge</v>
          </cell>
          <cell r="S88" t="str">
            <v>No Knowledge</v>
          </cell>
          <cell r="T88" t="str">
            <v>No Knowledge</v>
          </cell>
          <cell r="U88" t="str">
            <v>No Knowledge</v>
          </cell>
          <cell r="V88" t="str">
            <v>No Knowledge</v>
          </cell>
          <cell r="W88" t="str">
            <v>No Knowledge</v>
          </cell>
          <cell r="X88" t="str">
            <v>No Knowledge</v>
          </cell>
          <cell r="Y88" t="str">
            <v>Working</v>
          </cell>
          <cell r="Z88" t="str">
            <v>Working</v>
          </cell>
          <cell r="AA88" t="str">
            <v>No Knowledge</v>
          </cell>
          <cell r="AB88" t="str">
            <v>No Knowledge</v>
          </cell>
          <cell r="AC88" t="str">
            <v>No Knowledge</v>
          </cell>
          <cell r="AD88" t="str">
            <v>No Knowledge</v>
          </cell>
          <cell r="AE88" t="str">
            <v>No Knowledge</v>
          </cell>
          <cell r="AF88" t="str">
            <v>Practitioner</v>
          </cell>
          <cell r="AG88" t="str">
            <v>No Knowledge</v>
          </cell>
          <cell r="AH88" t="str">
            <v>No Knowledge</v>
          </cell>
          <cell r="AI88" t="str">
            <v>No Knowledge</v>
          </cell>
          <cell r="AJ88" t="str">
            <v>No Knowledge</v>
          </cell>
          <cell r="AK88" t="str">
            <v>No Knowledge</v>
          </cell>
          <cell r="AL88" t="str">
            <v>No Knowledge</v>
          </cell>
          <cell r="AM88" t="str">
            <v>No Knowledge</v>
          </cell>
          <cell r="AN88" t="str">
            <v>No Knowledge</v>
          </cell>
          <cell r="AO88" t="str">
            <v>No Knowledge</v>
          </cell>
          <cell r="AP88" t="str">
            <v>Practitioner</v>
          </cell>
          <cell r="AQ88" t="str">
            <v>Working</v>
          </cell>
          <cell r="AR88" t="str">
            <v>Working</v>
          </cell>
          <cell r="AS88" t="str">
            <v>Working</v>
          </cell>
          <cell r="AT88" t="str">
            <v>Working</v>
          </cell>
        </row>
        <row r="89">
          <cell r="B89" t="str">
            <v>Programme management</v>
          </cell>
          <cell r="D89" t="str">
            <v>No Knowledge</v>
          </cell>
          <cell r="E89" t="str">
            <v>No Knowledge</v>
          </cell>
          <cell r="F89" t="str">
            <v>No Knowledge</v>
          </cell>
          <cell r="G89" t="str">
            <v>No Knowledge</v>
          </cell>
          <cell r="H89" t="str">
            <v>No Knowledge</v>
          </cell>
          <cell r="I89" t="str">
            <v>No Knowledge</v>
          </cell>
          <cell r="J89" t="str">
            <v>No Knowledge</v>
          </cell>
          <cell r="K89" t="str">
            <v>No Knowledge</v>
          </cell>
          <cell r="L89" t="str">
            <v>No Knowledge</v>
          </cell>
          <cell r="M89" t="str">
            <v>No Knowledge</v>
          </cell>
          <cell r="N89" t="str">
            <v>No Knowledge</v>
          </cell>
          <cell r="O89" t="str">
            <v>No Knowledge</v>
          </cell>
          <cell r="P89" t="str">
            <v>No Knowledge</v>
          </cell>
          <cell r="Q89" t="str">
            <v>Working</v>
          </cell>
          <cell r="R89" t="str">
            <v>Working</v>
          </cell>
          <cell r="S89" t="str">
            <v>Practitioner</v>
          </cell>
          <cell r="T89" t="str">
            <v>Practitioner</v>
          </cell>
          <cell r="U89" t="str">
            <v>Practitioner</v>
          </cell>
          <cell r="V89" t="str">
            <v>Practitioner</v>
          </cell>
          <cell r="W89" t="str">
            <v>No Knowledge</v>
          </cell>
          <cell r="X89" t="str">
            <v>No Knowledge</v>
          </cell>
          <cell r="Y89" t="str">
            <v>No Knowledge</v>
          </cell>
          <cell r="Z89" t="str">
            <v>Practitioner</v>
          </cell>
          <cell r="AA89" t="str">
            <v>No Knowledge</v>
          </cell>
          <cell r="AB89" t="str">
            <v>No Knowledge</v>
          </cell>
          <cell r="AC89" t="str">
            <v>No Knowledge</v>
          </cell>
          <cell r="AD89" t="str">
            <v>No Knowledge</v>
          </cell>
          <cell r="AE89" t="str">
            <v>No Knowledge</v>
          </cell>
          <cell r="AF89" t="str">
            <v>Practitioner</v>
          </cell>
          <cell r="AG89" t="str">
            <v>No Knowledge</v>
          </cell>
          <cell r="AH89" t="str">
            <v>Practitioner</v>
          </cell>
          <cell r="AI89" t="str">
            <v>No Knowledge</v>
          </cell>
          <cell r="AJ89" t="str">
            <v>No Knowledge</v>
          </cell>
          <cell r="AK89" t="str">
            <v>No Knowledge</v>
          </cell>
          <cell r="AL89" t="str">
            <v>No Knowledge</v>
          </cell>
          <cell r="AM89" t="str">
            <v>No Knowledge</v>
          </cell>
          <cell r="AN89" t="str">
            <v>No Knowledge</v>
          </cell>
          <cell r="AO89" t="str">
            <v>No Knowledge</v>
          </cell>
          <cell r="AP89" t="str">
            <v>Practitioner</v>
          </cell>
          <cell r="AQ89" t="str">
            <v>Working</v>
          </cell>
          <cell r="AR89" t="str">
            <v>Working</v>
          </cell>
          <cell r="AS89" t="str">
            <v>Working</v>
          </cell>
          <cell r="AT89" t="str">
            <v>Working</v>
          </cell>
        </row>
        <row r="90">
          <cell r="B90" t="str">
            <v>Project management</v>
          </cell>
          <cell r="D90" t="str">
            <v>No Knowledge</v>
          </cell>
          <cell r="E90" t="str">
            <v>No Knowledge</v>
          </cell>
          <cell r="F90" t="str">
            <v>No Knowledge</v>
          </cell>
          <cell r="G90" t="str">
            <v>No Knowledge</v>
          </cell>
          <cell r="H90" t="str">
            <v>No Knowledge</v>
          </cell>
          <cell r="I90" t="str">
            <v>No Knowledge</v>
          </cell>
          <cell r="J90" t="str">
            <v>No Knowledge</v>
          </cell>
          <cell r="K90" t="str">
            <v>No Knowledge</v>
          </cell>
          <cell r="L90" t="str">
            <v>No Knowledge</v>
          </cell>
          <cell r="M90" t="str">
            <v>No Knowledge</v>
          </cell>
          <cell r="N90" t="str">
            <v>No Knowledge</v>
          </cell>
          <cell r="O90" t="str">
            <v>No Knowledge</v>
          </cell>
          <cell r="P90" t="str">
            <v>Awareness</v>
          </cell>
          <cell r="Q90" t="str">
            <v>Working</v>
          </cell>
          <cell r="R90" t="str">
            <v>Working</v>
          </cell>
          <cell r="S90" t="str">
            <v>Practitioner</v>
          </cell>
          <cell r="T90" t="str">
            <v>Practitioner</v>
          </cell>
          <cell r="U90" t="str">
            <v>Practitioner</v>
          </cell>
          <cell r="V90" t="str">
            <v>Practitioner</v>
          </cell>
          <cell r="W90" t="str">
            <v>Awareness</v>
          </cell>
          <cell r="X90" t="str">
            <v>Awareness</v>
          </cell>
          <cell r="Y90" t="str">
            <v>Working</v>
          </cell>
          <cell r="Z90" t="str">
            <v>Practitioner</v>
          </cell>
          <cell r="AA90" t="str">
            <v>No Knowledge</v>
          </cell>
          <cell r="AB90" t="str">
            <v>No Knowledge</v>
          </cell>
          <cell r="AC90" t="str">
            <v>No Knowledge</v>
          </cell>
          <cell r="AD90" t="str">
            <v>No Knowledge</v>
          </cell>
          <cell r="AE90" t="str">
            <v>No Knowledge</v>
          </cell>
          <cell r="AF90" t="str">
            <v>Practitioner</v>
          </cell>
          <cell r="AG90" t="str">
            <v>Working</v>
          </cell>
          <cell r="AH90" t="str">
            <v>Practitioner</v>
          </cell>
          <cell r="AI90" t="str">
            <v>No Knowledge</v>
          </cell>
          <cell r="AJ90" t="str">
            <v>No Knowledge</v>
          </cell>
          <cell r="AK90" t="str">
            <v>No Knowledge</v>
          </cell>
          <cell r="AL90" t="str">
            <v>No Knowledge</v>
          </cell>
          <cell r="AM90" t="str">
            <v>No Knowledge</v>
          </cell>
          <cell r="AN90" t="str">
            <v>No Knowledge</v>
          </cell>
          <cell r="AO90" t="str">
            <v>Working</v>
          </cell>
          <cell r="AP90" t="str">
            <v>Practitioner</v>
          </cell>
          <cell r="AQ90" t="str">
            <v>Working</v>
          </cell>
          <cell r="AR90" t="str">
            <v>Working</v>
          </cell>
          <cell r="AS90" t="str">
            <v>Working</v>
          </cell>
          <cell r="AT90" t="str">
            <v>Working</v>
          </cell>
        </row>
        <row r="91">
          <cell r="B91" t="str">
            <v>Quality assurance</v>
          </cell>
          <cell r="D91" t="str">
            <v>Awareness</v>
          </cell>
          <cell r="E91" t="str">
            <v>Awareness</v>
          </cell>
          <cell r="F91" t="str">
            <v>Working</v>
          </cell>
          <cell r="G91" t="str">
            <v>Working</v>
          </cell>
          <cell r="H91" t="str">
            <v>Working</v>
          </cell>
          <cell r="I91" t="str">
            <v>Working</v>
          </cell>
          <cell r="J91" t="str">
            <v>Working</v>
          </cell>
          <cell r="K91" t="str">
            <v>Awareness</v>
          </cell>
          <cell r="L91" t="str">
            <v>Awareness</v>
          </cell>
          <cell r="M91" t="str">
            <v>Working</v>
          </cell>
          <cell r="N91" t="str">
            <v>Working</v>
          </cell>
          <cell r="O91" t="str">
            <v>Awareness</v>
          </cell>
          <cell r="P91" t="str">
            <v>Working</v>
          </cell>
          <cell r="Q91" t="str">
            <v>Working</v>
          </cell>
          <cell r="R91" t="str">
            <v>Working</v>
          </cell>
          <cell r="S91" t="str">
            <v>Practitioner</v>
          </cell>
          <cell r="T91" t="str">
            <v>Practitioner</v>
          </cell>
          <cell r="U91" t="str">
            <v>Practitioner</v>
          </cell>
          <cell r="V91" t="str">
            <v>Practitioner</v>
          </cell>
          <cell r="W91" t="str">
            <v>Working</v>
          </cell>
          <cell r="X91" t="str">
            <v>Working</v>
          </cell>
          <cell r="Y91" t="str">
            <v>Practitioner</v>
          </cell>
          <cell r="Z91" t="str">
            <v>Practitioner</v>
          </cell>
          <cell r="AA91" t="str">
            <v>No Knowledge</v>
          </cell>
          <cell r="AB91" t="str">
            <v>No Knowledge</v>
          </cell>
          <cell r="AC91" t="str">
            <v>No Knowledge</v>
          </cell>
          <cell r="AD91" t="str">
            <v>No Knowledge</v>
          </cell>
          <cell r="AE91" t="str">
            <v>No Knowledge</v>
          </cell>
          <cell r="AF91" t="str">
            <v>Practitioner</v>
          </cell>
          <cell r="AG91" t="str">
            <v>Practitioner</v>
          </cell>
          <cell r="AH91" t="str">
            <v>Practitioner</v>
          </cell>
          <cell r="AI91" t="str">
            <v>Awareness</v>
          </cell>
          <cell r="AJ91" t="str">
            <v>Awareness</v>
          </cell>
          <cell r="AK91" t="str">
            <v>Working</v>
          </cell>
          <cell r="AL91" t="str">
            <v>No Knowledge</v>
          </cell>
          <cell r="AM91" t="str">
            <v>No Knowledge</v>
          </cell>
          <cell r="AN91" t="str">
            <v>No Knowledge</v>
          </cell>
          <cell r="AO91" t="str">
            <v>Practitioner</v>
          </cell>
          <cell r="AP91" t="str">
            <v>Practitioner</v>
          </cell>
          <cell r="AQ91" t="str">
            <v>Practitioner</v>
          </cell>
          <cell r="AR91" t="str">
            <v>Practitioner</v>
          </cell>
          <cell r="AS91" t="str">
            <v>Practitioner</v>
          </cell>
          <cell r="AT91" t="str">
            <v>Practitioner</v>
          </cell>
          <cell r="AU91" t="e">
            <v>#N/A</v>
          </cell>
          <cell r="AV91" t="e">
            <v>#N/A</v>
          </cell>
          <cell r="AW91" t="e">
            <v>#N/A</v>
          </cell>
          <cell r="AX91" t="e">
            <v>#N/A</v>
          </cell>
          <cell r="AY91" t="e">
            <v>#N/A</v>
          </cell>
          <cell r="AZ91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william_morrison_glasgow_ac_uk/Documents/Documents/Staff/Archive/Skills%20Matrix%20Data%20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Morrison" refreshedDate="45503.532686574072" createdVersion="8" refreshedVersion="8" minRefreshableVersion="3" recordCount="96" xr:uid="{B5F2ADE9-C2D0-4366-97F3-179B878E86EC}">
  <cacheSource type="worksheet">
    <worksheetSource ref="A2:D98" sheet="High Skill Analysis"/>
  </cacheSource>
  <cacheFields count="4">
    <cacheField name="Competence Family" numFmtId="0">
      <sharedItems count="7">
        <s v="Core"/>
        <s v="Service"/>
        <s v="Technical "/>
        <s v="Governance "/>
        <s v="Management"/>
        <s v="Security"/>
        <s v="Business"/>
      </sharedItems>
    </cacheField>
    <cacheField name="Competence  " numFmtId="0">
      <sharedItems count="88">
        <s v="Asset Management"/>
        <s v="Incident management"/>
        <s v="Customer Service Support"/>
        <s v="Problem management"/>
        <s v="Personal data protection"/>
        <s v="Service catalogue management"/>
        <s v="Change Control"/>
        <s v="Information security"/>
        <s v="Service level management"/>
        <s v="Availability Management"/>
        <s v="Capacity management"/>
        <s v="Configuration Management"/>
        <s v="Continuity Management"/>
        <s v="Demand Management"/>
        <s v="Knowledge management"/>
        <s v="Methods and tools"/>
        <s v="Release and deployment"/>
        <s v="Service acceptance"/>
        <s v="Stakeholder relationship management"/>
        <s v="Storage management"/>
        <s v="Acceptance testing"/>
        <s v="Application support"/>
        <s v="Data Engineering"/>
        <s v="Data Management"/>
        <s v="Data Modelling and Design"/>
        <s v="Data science"/>
        <s v="Data visualisation"/>
        <s v="Database Administration"/>
        <s v="Database Design"/>
        <s v="Hardware design"/>
        <s v="High Performance Computing"/>
        <s v="Research Computing"/>
        <s v="Information assurance"/>
        <s v="Information management"/>
        <s v="Infrastructure"/>
        <s v="Network design"/>
        <s v="Network Analytics"/>
        <s v="Network support"/>
        <s v="Programming/software development"/>
        <s v="Real-time/embedded systems development"/>
        <s v="Requirements definition and management"/>
        <s v="Software configuration"/>
        <s v="Software design"/>
        <s v="Solution architecture"/>
        <s v="System software"/>
        <s v="Systems and software life cycle engineering"/>
        <s v="Systems design"/>
        <s v="Systems development management"/>
        <s v="Systems installation and removal"/>
        <s v="Testing"/>
        <s v="Innovation"/>
        <s v="Specialist Advice"/>
        <s v="Emerging technology monitoring"/>
        <s v="Systems integration and build"/>
        <s v="Audio Visual"/>
        <s v="Augmented Reality"/>
        <s v="Audit"/>
        <s v="Contract management"/>
        <s v="Feasibility assessment"/>
        <s v="Governance"/>
        <s v="Risk management"/>
        <s v="Sourcing"/>
        <s v="Supplier management"/>
        <s v="Sustainability"/>
        <s v="Competency assessment"/>
        <s v="Financial management"/>
        <s v="Organisation design and implementation"/>
        <s v="Organisational capability development"/>
        <s v="Organisational change management"/>
        <s v="Performance Management"/>
        <s v="Professional Development"/>
        <s v="Strategic Planning"/>
        <s v="Workforce Planning"/>
        <s v="Digital Forensics"/>
        <s v="Penetration testing"/>
        <s v="Security Operations"/>
        <s v="Threat Intelligence"/>
        <s v="Vulnerability assessment"/>
        <s v="Vulnerability Research"/>
        <s v="Benefits management"/>
        <s v="Business administration"/>
        <s v="Business intelligence"/>
        <s v="Business modelling"/>
        <s v="Business process improvement"/>
        <s v="Business situation analysis"/>
        <s v="Programme management"/>
        <s v="Project management"/>
        <s v="Quality assurance"/>
      </sharedItems>
    </cacheField>
    <cacheField name="Expert" numFmtId="0">
      <sharedItems containsSemiMixedTypes="0" containsString="0" containsNumber="1" containsInteger="1" minValue="0" maxValue="8"/>
    </cacheField>
    <cacheField name="Practicioner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Morrison" refreshedDate="45503.533562268516" createdVersion="8" refreshedVersion="8" minRefreshableVersion="3" recordCount="96" xr:uid="{5DFF0413-B580-482B-BB00-EF38ED20B169}">
  <cacheSource type="worksheet">
    <worksheetSource ref="A1:L97" sheet="Skills Gap"/>
  </cacheSource>
  <cacheFields count="12">
    <cacheField name="Competence Family" numFmtId="0">
      <sharedItems count="7">
        <s v="Core"/>
        <s v="Service"/>
        <s v="Technical"/>
        <s v="Governance"/>
        <s v="Management"/>
        <s v="Security"/>
        <s v="Business"/>
      </sharedItems>
    </cacheField>
    <cacheField name="Competence" numFmtId="0">
      <sharedItems count="88">
        <s v="Asset Management"/>
        <s v="Incident management"/>
        <s v="Customer Service Support"/>
        <s v="Problem management"/>
        <s v="Personal data protection"/>
        <s v="Service catalogue management"/>
        <s v="Change Control"/>
        <s v="Information security"/>
        <s v="Service level management"/>
        <s v="Availability Management"/>
        <s v="Capacity management"/>
        <s v="Configuration Management"/>
        <s v="Continuity Management"/>
        <s v="Demand Management"/>
        <s v="Knowledge management"/>
        <s v="Methods and tools"/>
        <s v="Release and deployment"/>
        <s v="Service acceptance"/>
        <s v="Stakeholder relationship management"/>
        <s v="Storage management"/>
        <s v="Acceptance testing"/>
        <s v="Application support"/>
        <s v="Data Engineering"/>
        <s v="Data Management"/>
        <s v="Data Modelling and Design"/>
        <s v="Data science"/>
        <s v="Data visualisation"/>
        <s v="Database Administration"/>
        <s v="Database Design"/>
        <s v="Hardware design"/>
        <s v="High Performance Computing"/>
        <s v="Research Computing"/>
        <s v="Information assurance"/>
        <s v="Information management"/>
        <s v="Infrastructure"/>
        <s v="Network design"/>
        <s v="Network Analytics"/>
        <s v="Network support"/>
        <s v="Programming/software development"/>
        <s v="Real-time/embedded systems development"/>
        <s v="Requirements definition and management"/>
        <s v="Software configuration"/>
        <s v="Software design"/>
        <s v="Solution architecture"/>
        <s v="System software"/>
        <s v="Systems and software life cycle engineering"/>
        <s v="Systems design"/>
        <s v="Systems development management"/>
        <s v="Systems installation and removal"/>
        <s v="Testing"/>
        <s v="Innovation"/>
        <s v="Specialist Advice"/>
        <s v="Emerging technology monitoring"/>
        <s v="Systems integration and build"/>
        <s v="Audio Visual"/>
        <s v="Augmented Reality"/>
        <s v="Audit"/>
        <s v="Contract management"/>
        <s v="Feasibility assessment"/>
        <s v="Governance"/>
        <s v="Risk management"/>
        <s v="Sourcing"/>
        <s v="Supplier management"/>
        <s v="Sustainability"/>
        <s v="Competency assessment"/>
        <s v="Financial management"/>
        <s v="Organisation design and implementation"/>
        <s v="Organisational capability development"/>
        <s v="Organisational change management"/>
        <s v="Performance Management"/>
        <s v="Professional Development"/>
        <s v="Strategic Planning"/>
        <s v="Workforce Planning"/>
        <s v="Digital Forensics"/>
        <s v="Penetration testing"/>
        <s v="Security Operations"/>
        <s v="Threat Intelligence"/>
        <s v="Vulnerability assessment"/>
        <s v="Vulnerability Research"/>
        <s v="Benefits management"/>
        <s v="Business administration"/>
        <s v="Business intelligence"/>
        <s v="Business modelling"/>
        <s v="Business process improvement"/>
        <s v="Business situation analysis"/>
        <s v="Programme management"/>
        <s v="Project management"/>
        <s v="Quality assurance"/>
      </sharedItems>
    </cacheField>
    <cacheField name="4 points deficit" numFmtId="0">
      <sharedItems containsSemiMixedTypes="0" containsString="0" containsNumber="1" containsInteger="1" minValue="0" maxValue="1"/>
    </cacheField>
    <cacheField name="3 points deficit" numFmtId="0">
      <sharedItems containsSemiMixedTypes="0" containsString="0" containsNumber="1" containsInteger="1" minValue="0" maxValue="5"/>
    </cacheField>
    <cacheField name="2 points deficit" numFmtId="0">
      <sharedItems containsSemiMixedTypes="0" containsString="0" containsNumber="1" containsInteger="1" minValue="0" maxValue="8"/>
    </cacheField>
    <cacheField name="1 points deficit" numFmtId="0">
      <sharedItems containsSemiMixedTypes="0" containsString="0" containsNumber="1" containsInteger="1" minValue="0" maxValue="15"/>
    </cacheField>
    <cacheField name="Required level" numFmtId="0">
      <sharedItems containsSemiMixedTypes="0" containsString="0" containsNumber="1" containsInteger="1" minValue="2" maxValue="19"/>
    </cacheField>
    <cacheField name="1 points surplus" numFmtId="0">
      <sharedItems containsSemiMixedTypes="0" containsString="0" containsNumber="1" containsInteger="1" minValue="1" maxValue="16"/>
    </cacheField>
    <cacheField name="2 points surplus" numFmtId="0">
      <sharedItems containsSemiMixedTypes="0" containsString="0" containsNumber="1" containsInteger="1" minValue="0" maxValue="11"/>
    </cacheField>
    <cacheField name="3 points surplus" numFmtId="0">
      <sharedItems containsSemiMixedTypes="0" containsString="0" containsNumber="1" containsInteger="1" minValue="0" maxValue="6"/>
    </cacheField>
    <cacheField name="4 points surplus" numFmtId="0">
      <sharedItems containsSemiMixedTypes="0" containsString="0" containsNumber="1" containsInteger="1" minValue="0" maxValue="4"/>
    </cacheField>
    <cacheField name="N/A" numFmtId="0">
      <sharedItems containsSemiMixedTypes="0" containsString="0" containsNumber="1" containsInteger="1" minValue="12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Morrison" refreshedDate="45503.540098032405" createdVersion="8" refreshedVersion="8" minRefreshableVersion="3" recordCount="96" xr:uid="{D9030B11-0D5F-4A74-984B-8F658222DBDC}">
  <cacheSource type="worksheet">
    <worksheetSource ref="A3:H99" sheet="Competence Analysis"/>
  </cacheSource>
  <cacheFields count="8">
    <cacheField name="Competence Family" numFmtId="0">
      <sharedItems count="7">
        <s v="Core"/>
        <s v="Service"/>
        <s v="Technical "/>
        <s v="Governance "/>
        <s v="Management"/>
        <s v="Security"/>
        <s v="Business"/>
      </sharedItems>
    </cacheField>
    <cacheField name="Competence" numFmtId="0">
      <sharedItems count="88">
        <s v="Asset Management"/>
        <s v="Incident management"/>
        <s v="Customer Service Support"/>
        <s v="Problem management"/>
        <s v="Personal data protection"/>
        <s v="Service catalogue management"/>
        <s v="Change Control"/>
        <s v="Information security"/>
        <s v="Service level management"/>
        <s v="Availability Management"/>
        <s v="Capacity management"/>
        <s v="Configuration Management"/>
        <s v="Continuity Management"/>
        <s v="Demand Management"/>
        <s v="Knowledge management"/>
        <s v="Methods and tools"/>
        <s v="Release and deployment"/>
        <s v="Service acceptance"/>
        <s v="Stakeholder relationship management"/>
        <s v="Storage management"/>
        <s v="Acceptance testing"/>
        <s v="Application support"/>
        <s v="Data Engineering"/>
        <s v="Data Management"/>
        <s v="Data Modelling and Design"/>
        <s v="Data science"/>
        <s v="Data visualisation"/>
        <s v="Database Administration"/>
        <s v="Database Design"/>
        <s v="Hardware design"/>
        <s v="High Performance Computing"/>
        <s v="Research Computing"/>
        <s v="Information assurance"/>
        <s v="Information management"/>
        <s v="Infrastructure"/>
        <s v="Network design"/>
        <s v="Network Analytics"/>
        <s v="Network support"/>
        <s v="Programming/software development"/>
        <s v="Real-time/embedded systems development"/>
        <s v="Requirements definition and management"/>
        <s v="Software configuration"/>
        <s v="Software design"/>
        <s v="Solution architecture"/>
        <s v="System software"/>
        <s v="Systems and software life cycle engineering"/>
        <s v="Systems design"/>
        <s v="Systems development management"/>
        <s v="Systems installation and removal"/>
        <s v="Testing"/>
        <s v="Innovation"/>
        <s v="Specialist Advice"/>
        <s v="Emerging technology monitoring"/>
        <s v="Systems integration and build"/>
        <s v="Audio Visual"/>
        <s v="Augmented Reality"/>
        <s v="Audit"/>
        <s v="Contract management"/>
        <s v="Feasibility assessment"/>
        <s v="Governance"/>
        <s v="Risk management"/>
        <s v="Sourcing"/>
        <s v="Supplier management"/>
        <s v="Sustainability"/>
        <s v="Competency assessment"/>
        <s v="Financial management"/>
        <s v="Organisation design and implementation"/>
        <s v="Organisational capability development"/>
        <s v="Organisational change management"/>
        <s v="Performance Management"/>
        <s v="Professional Development"/>
        <s v="Strategic Planning"/>
        <s v="Workforce Planning"/>
        <s v="Digital Forensics"/>
        <s v="Penetration testing"/>
        <s v="Security Operations"/>
        <s v="Threat Intelligence"/>
        <s v="Vulnerability assessment"/>
        <s v="Vulnerability Research"/>
        <s v="Benefits management"/>
        <s v="Business administration"/>
        <s v="Business intelligence"/>
        <s v="Business modelling"/>
        <s v="Business process improvement"/>
        <s v="Business situation analysis"/>
        <s v="Programme management"/>
        <s v="Project management"/>
        <s v="Quality assurance"/>
      </sharedItems>
    </cacheField>
    <cacheField name="Expert" numFmtId="0">
      <sharedItems containsSemiMixedTypes="0" containsString="0" containsNumber="1" containsInteger="1" minValue="0" maxValue="8"/>
    </cacheField>
    <cacheField name="Practitioner" numFmtId="0">
      <sharedItems containsSemiMixedTypes="0" containsString="0" containsNumber="1" containsInteger="1" minValue="0" maxValue="20"/>
    </cacheField>
    <cacheField name="Working" numFmtId="0">
      <sharedItems containsSemiMixedTypes="0" containsString="0" containsNumber="1" containsInteger="1" minValue="2" maxValue="20"/>
    </cacheField>
    <cacheField name="Awareness" numFmtId="0">
      <sharedItems containsSemiMixedTypes="0" containsString="0" containsNumber="1" containsInteger="1" minValue="0" maxValue="17"/>
    </cacheField>
    <cacheField name="No Knowledge" numFmtId="0">
      <sharedItems containsSemiMixedTypes="0" containsString="0" containsNumber="1" containsInteger="1" minValue="0" maxValue="19"/>
    </cacheField>
    <cacheField name="N/A" numFmtId="0">
      <sharedItems containsSemiMixedTypes="0" containsString="0" containsNumber="1" containsInteger="1" minValue="12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Brown" refreshedDate="45278.719651967593" createdVersion="8" refreshedVersion="8" minRefreshableVersion="3" recordCount="2552" xr:uid="{29F5ABF8-1B9A-4972-A267-5C4E6DB3C8C8}">
  <cacheSource type="worksheet">
    <worksheetSource ref="A1:E2553" sheet="S A Staff Data" r:id="rId2"/>
  </cacheSource>
  <cacheFields count="5">
    <cacheField name="Name" numFmtId="0">
      <sharedItems count="30">
        <s v="Alexander Beavers"/>
        <s v="Alexander Johnstone"/>
        <s v="Andrew Fraser"/>
        <s v="Arafat Khattak"/>
        <s v="Arlene Sloan"/>
        <s v="Carissa Chan"/>
        <s v="Colin Abercrombie"/>
        <s v="Daniel England "/>
        <s v="Daniel McAllister"/>
        <s v="Dave Thom"/>
        <s v="David Sneddon"/>
        <s v="Derek Hamilton"/>
        <s v="Eduoard Lacoste"/>
        <s v="Euan Begg"/>
        <s v="Finlay Maciver"/>
        <s v="Garfield Tait"/>
        <s v="Grant Quinn"/>
        <s v="Hugh McGarrigle"/>
        <s v="Iain McFie"/>
        <s v="Joseph Phillips"/>
        <s v="Lila O'Leary"/>
        <s v="Norman Gray"/>
        <s v="Raymond Brasas"/>
        <s v="Robert Nugent"/>
        <s v="Russell McInnes"/>
        <s v="Scott Cunnachie"/>
        <s v="Sebastian Wilson"/>
        <s v="Stuart Mackay"/>
        <s v="Walter Robinson"/>
        <s v="William Allan" u="1"/>
      </sharedItems>
    </cacheField>
    <cacheField name="Current Role" numFmtId="0">
      <sharedItems/>
    </cacheField>
    <cacheField name="Comp Area" numFmtId="0">
      <sharedItems count="7">
        <s v="Core"/>
        <s v="Service"/>
        <s v="Security"/>
        <s v="Management"/>
        <s v="Governance"/>
        <s v="Technical"/>
        <s v="Business"/>
      </sharedItems>
    </cacheField>
    <cacheField name="Competency " numFmtId="0">
      <sharedItems count="88">
        <s v="Asset Management"/>
        <s v="Change Control"/>
        <s v="Customer Service Support"/>
        <s v="Incident management"/>
        <s v="Information security"/>
        <s v="Personal data protection"/>
        <s v="Problem management"/>
        <s v="Service catalogue management"/>
        <s v="Service level management"/>
        <s v="Availability Management"/>
        <s v="Capacity management"/>
        <s v="Configuration Management"/>
        <s v="Continuity Management"/>
        <s v="Demand Management"/>
        <s v="Knowledge management"/>
        <s v="Methods and tools"/>
        <s v="Release and deployment"/>
        <s v="Service acceptance"/>
        <s v="Stakeholder relationship management"/>
        <s v="Storage management"/>
        <s v="Digital Forensics"/>
        <s v="Penetration testing"/>
        <s v="Security Operations"/>
        <s v="Threat Intelligence"/>
        <s v="Vulnerability assessment"/>
        <s v="Vulnerability Research"/>
        <s v="Competency assessment"/>
        <s v="Financial management"/>
        <s v="Organisation design and implementation"/>
        <s v="Organisational capability development"/>
        <s v="Organisational change management"/>
        <s v="Performance Management"/>
        <s v="Professional Development"/>
        <s v="Strategic Planning"/>
        <s v="Workforce Planning"/>
        <s v="Audit"/>
        <s v="Contract management"/>
        <s v="Feasibility assessment"/>
        <s v="Governance"/>
        <s v="Risk management"/>
        <s v="Sourcing"/>
        <s v="Supplier management"/>
        <s v="Sustainability"/>
        <s v="Acceptance testing"/>
        <s v="Application support"/>
        <s v="Data Engineering"/>
        <s v="Data Management"/>
        <s v="Data Modelling and Design"/>
        <s v="Data science"/>
        <s v="Data visualisation"/>
        <s v="Database Administration"/>
        <s v="Database Design"/>
        <s v="Hardware design"/>
        <s v="High Performance Computing"/>
        <s v="Research Computing"/>
        <s v="Information assurance"/>
        <s v="Information management"/>
        <s v="Infrastructure"/>
        <s v="Network design"/>
        <s v="Network Analytics"/>
        <s v="Network support"/>
        <s v="Programming/software development"/>
        <s v="Real-time/embedded systems development"/>
        <s v="Requirements definition and management"/>
        <s v="Software configuration"/>
        <s v="Software design"/>
        <s v="Solution architecture"/>
        <s v="System software"/>
        <s v="Systems and software life cycle engineering"/>
        <s v="Systems design"/>
        <s v="Systems development management"/>
        <s v="Systems installation and removal"/>
        <s v="Testing"/>
        <s v="Innovation"/>
        <s v="Specialist Advice"/>
        <s v="Emerging technology monitoring"/>
        <s v="Systems integration and build"/>
        <s v="Audio Visual"/>
        <s v="Augmented Reality"/>
        <s v="Benefits management"/>
        <s v="Business administration"/>
        <s v="Business intelligence"/>
        <s v="Business modelling"/>
        <s v="Business process improvement"/>
        <s v="Business situation analysis"/>
        <s v="Programme management"/>
        <s v="Project management"/>
        <s v="Quality assurance"/>
      </sharedItems>
    </cacheField>
    <cacheField name="Actual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3"/>
    <n v="12"/>
  </r>
  <r>
    <x v="0"/>
    <x v="1"/>
    <n v="8"/>
    <n v="16"/>
  </r>
  <r>
    <x v="0"/>
    <x v="2"/>
    <n v="8"/>
    <n v="15"/>
  </r>
  <r>
    <x v="0"/>
    <x v="3"/>
    <n v="4"/>
    <n v="15"/>
  </r>
  <r>
    <x v="0"/>
    <x v="4"/>
    <n v="4"/>
    <n v="20"/>
  </r>
  <r>
    <x v="0"/>
    <x v="5"/>
    <n v="4"/>
    <n v="15"/>
  </r>
  <r>
    <x v="0"/>
    <x v="6"/>
    <n v="2"/>
    <n v="15"/>
  </r>
  <r>
    <x v="0"/>
    <x v="7"/>
    <n v="0"/>
    <n v="13"/>
  </r>
  <r>
    <x v="0"/>
    <x v="8"/>
    <n v="2"/>
    <n v="10"/>
  </r>
  <r>
    <x v="1"/>
    <x v="9"/>
    <n v="3"/>
    <n v="8"/>
  </r>
  <r>
    <x v="1"/>
    <x v="10"/>
    <n v="4"/>
    <n v="5"/>
  </r>
  <r>
    <x v="1"/>
    <x v="11"/>
    <n v="3"/>
    <n v="10"/>
  </r>
  <r>
    <x v="1"/>
    <x v="12"/>
    <n v="1"/>
    <n v="3"/>
  </r>
  <r>
    <x v="1"/>
    <x v="13"/>
    <n v="3"/>
    <n v="2"/>
  </r>
  <r>
    <x v="2"/>
    <x v="14"/>
    <n v="2"/>
    <n v="12"/>
  </r>
  <r>
    <x v="2"/>
    <x v="15"/>
    <n v="1"/>
    <n v="14"/>
  </r>
  <r>
    <x v="2"/>
    <x v="16"/>
    <n v="3"/>
    <n v="7"/>
  </r>
  <r>
    <x v="2"/>
    <x v="17"/>
    <n v="2"/>
    <n v="4"/>
  </r>
  <r>
    <x v="2"/>
    <x v="18"/>
    <n v="2"/>
    <n v="13"/>
  </r>
  <r>
    <x v="2"/>
    <x v="19"/>
    <n v="2"/>
    <n v="10"/>
  </r>
  <r>
    <x v="2"/>
    <x v="20"/>
    <n v="0"/>
    <n v="7"/>
  </r>
  <r>
    <x v="2"/>
    <x v="21"/>
    <n v="5"/>
    <n v="9"/>
  </r>
  <r>
    <x v="2"/>
    <x v="22"/>
    <n v="1"/>
    <n v="4"/>
  </r>
  <r>
    <x v="2"/>
    <x v="23"/>
    <n v="1"/>
    <n v="6"/>
  </r>
  <r>
    <x v="2"/>
    <x v="24"/>
    <n v="1"/>
    <n v="3"/>
  </r>
  <r>
    <x v="2"/>
    <x v="25"/>
    <n v="1"/>
    <n v="0"/>
  </r>
  <r>
    <x v="2"/>
    <x v="26"/>
    <n v="1"/>
    <n v="3"/>
  </r>
  <r>
    <x v="2"/>
    <x v="27"/>
    <n v="0"/>
    <n v="7"/>
  </r>
  <r>
    <x v="2"/>
    <x v="28"/>
    <n v="0"/>
    <n v="6"/>
  </r>
  <r>
    <x v="2"/>
    <x v="29"/>
    <n v="1"/>
    <n v="6"/>
  </r>
  <r>
    <x v="2"/>
    <x v="30"/>
    <n v="2"/>
    <n v="1"/>
  </r>
  <r>
    <x v="2"/>
    <x v="31"/>
    <n v="4"/>
    <n v="1"/>
  </r>
  <r>
    <x v="2"/>
    <x v="32"/>
    <n v="2"/>
    <n v="6"/>
  </r>
  <r>
    <x v="2"/>
    <x v="33"/>
    <n v="1"/>
    <n v="6"/>
  </r>
  <r>
    <x v="2"/>
    <x v="34"/>
    <n v="5"/>
    <n v="9"/>
  </r>
  <r>
    <x v="2"/>
    <x v="35"/>
    <n v="0"/>
    <n v="3"/>
  </r>
  <r>
    <x v="2"/>
    <x v="36"/>
    <n v="0"/>
    <n v="4"/>
  </r>
  <r>
    <x v="2"/>
    <x v="37"/>
    <n v="0"/>
    <n v="9"/>
  </r>
  <r>
    <x v="2"/>
    <x v="38"/>
    <n v="1"/>
    <n v="4"/>
  </r>
  <r>
    <x v="2"/>
    <x v="39"/>
    <n v="0"/>
    <n v="1"/>
  </r>
  <r>
    <x v="2"/>
    <x v="40"/>
    <n v="0"/>
    <n v="6"/>
  </r>
  <r>
    <x v="2"/>
    <x v="41"/>
    <n v="1"/>
    <n v="7"/>
  </r>
  <r>
    <x v="2"/>
    <x v="42"/>
    <n v="1"/>
    <n v="5"/>
  </r>
  <r>
    <x v="2"/>
    <x v="43"/>
    <n v="1"/>
    <n v="5"/>
  </r>
  <r>
    <x v="2"/>
    <x v="44"/>
    <n v="5"/>
    <n v="6"/>
  </r>
  <r>
    <x v="2"/>
    <x v="45"/>
    <n v="0"/>
    <n v="7"/>
  </r>
  <r>
    <x v="2"/>
    <x v="46"/>
    <n v="2"/>
    <n v="10"/>
  </r>
  <r>
    <x v="2"/>
    <x v="47"/>
    <n v="1"/>
    <n v="3"/>
  </r>
  <r>
    <x v="2"/>
    <x v="48"/>
    <n v="8"/>
    <n v="11"/>
  </r>
  <r>
    <x v="2"/>
    <x v="49"/>
    <n v="3"/>
    <n v="13"/>
  </r>
  <r>
    <x v="2"/>
    <x v="50"/>
    <n v="1"/>
    <n v="8"/>
  </r>
  <r>
    <x v="2"/>
    <x v="51"/>
    <n v="7"/>
    <n v="9"/>
  </r>
  <r>
    <x v="2"/>
    <x v="52"/>
    <n v="0"/>
    <n v="12"/>
  </r>
  <r>
    <x v="2"/>
    <x v="53"/>
    <n v="1"/>
    <n v="7"/>
  </r>
  <r>
    <x v="2"/>
    <x v="54"/>
    <n v="3"/>
    <n v="7"/>
  </r>
  <r>
    <x v="2"/>
    <x v="55"/>
    <n v="0"/>
    <n v="2"/>
  </r>
  <r>
    <x v="3"/>
    <x v="56"/>
    <n v="1"/>
    <n v="2"/>
  </r>
  <r>
    <x v="3"/>
    <x v="57"/>
    <n v="0"/>
    <n v="4"/>
  </r>
  <r>
    <x v="3"/>
    <x v="58"/>
    <n v="1"/>
    <n v="2"/>
  </r>
  <r>
    <x v="3"/>
    <x v="59"/>
    <n v="0"/>
    <n v="4"/>
  </r>
  <r>
    <x v="3"/>
    <x v="60"/>
    <n v="0"/>
    <n v="3"/>
  </r>
  <r>
    <x v="3"/>
    <x v="61"/>
    <n v="1"/>
    <n v="8"/>
  </r>
  <r>
    <x v="3"/>
    <x v="62"/>
    <n v="0"/>
    <n v="3"/>
  </r>
  <r>
    <x v="3"/>
    <x v="63"/>
    <n v="1"/>
    <n v="3"/>
  </r>
  <r>
    <x v="4"/>
    <x v="64"/>
    <n v="2"/>
    <n v="3"/>
  </r>
  <r>
    <x v="4"/>
    <x v="65"/>
    <n v="2"/>
    <n v="5"/>
  </r>
  <r>
    <x v="4"/>
    <x v="66"/>
    <n v="1"/>
    <n v="2"/>
  </r>
  <r>
    <x v="4"/>
    <x v="67"/>
    <n v="2"/>
    <n v="3"/>
  </r>
  <r>
    <x v="4"/>
    <x v="68"/>
    <n v="1"/>
    <n v="2"/>
  </r>
  <r>
    <x v="4"/>
    <x v="69"/>
    <n v="2"/>
    <n v="4"/>
  </r>
  <r>
    <x v="4"/>
    <x v="70"/>
    <n v="1"/>
    <n v="5"/>
  </r>
  <r>
    <x v="4"/>
    <x v="71"/>
    <n v="2"/>
    <n v="2"/>
  </r>
  <r>
    <x v="4"/>
    <x v="72"/>
    <n v="1"/>
    <n v="3"/>
  </r>
  <r>
    <x v="4"/>
    <x v="56"/>
    <n v="1"/>
    <n v="2"/>
  </r>
  <r>
    <x v="4"/>
    <x v="57"/>
    <n v="0"/>
    <n v="4"/>
  </r>
  <r>
    <x v="4"/>
    <x v="58"/>
    <n v="1"/>
    <n v="2"/>
  </r>
  <r>
    <x v="4"/>
    <x v="59"/>
    <n v="0"/>
    <n v="4"/>
  </r>
  <r>
    <x v="4"/>
    <x v="60"/>
    <n v="0"/>
    <n v="3"/>
  </r>
  <r>
    <x v="4"/>
    <x v="61"/>
    <n v="1"/>
    <n v="8"/>
  </r>
  <r>
    <x v="4"/>
    <x v="62"/>
    <n v="0"/>
    <n v="3"/>
  </r>
  <r>
    <x v="4"/>
    <x v="63"/>
    <n v="1"/>
    <n v="3"/>
  </r>
  <r>
    <x v="5"/>
    <x v="73"/>
    <n v="0"/>
    <n v="4"/>
  </r>
  <r>
    <x v="5"/>
    <x v="74"/>
    <n v="0"/>
    <n v="2"/>
  </r>
  <r>
    <x v="5"/>
    <x v="75"/>
    <n v="1"/>
    <n v="10"/>
  </r>
  <r>
    <x v="5"/>
    <x v="76"/>
    <n v="1"/>
    <n v="4"/>
  </r>
  <r>
    <x v="5"/>
    <x v="77"/>
    <n v="2"/>
    <n v="4"/>
  </r>
  <r>
    <x v="5"/>
    <x v="78"/>
    <n v="0"/>
    <n v="3"/>
  </r>
  <r>
    <x v="6"/>
    <x v="79"/>
    <n v="0"/>
    <n v="0"/>
  </r>
  <r>
    <x v="6"/>
    <x v="80"/>
    <n v="1"/>
    <n v="3"/>
  </r>
  <r>
    <x v="6"/>
    <x v="81"/>
    <n v="1"/>
    <n v="2"/>
  </r>
  <r>
    <x v="6"/>
    <x v="82"/>
    <n v="0"/>
    <n v="0"/>
  </r>
  <r>
    <x v="6"/>
    <x v="83"/>
    <n v="0"/>
    <n v="3"/>
  </r>
  <r>
    <x v="6"/>
    <x v="84"/>
    <n v="0"/>
    <n v="0"/>
  </r>
  <r>
    <x v="6"/>
    <x v="85"/>
    <n v="0"/>
    <n v="0"/>
  </r>
  <r>
    <x v="6"/>
    <x v="86"/>
    <n v="2"/>
    <n v="2"/>
  </r>
  <r>
    <x v="6"/>
    <x v="87"/>
    <n v="0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0"/>
    <n v="0"/>
    <n v="3"/>
    <n v="4"/>
    <n v="11"/>
    <n v="10"/>
    <n v="2"/>
    <n v="0"/>
    <n v="0"/>
    <n v="12"/>
  </r>
  <r>
    <x v="0"/>
    <x v="1"/>
    <n v="0"/>
    <n v="0"/>
    <n v="0"/>
    <n v="4"/>
    <n v="8"/>
    <n v="14"/>
    <n v="4"/>
    <n v="0"/>
    <n v="0"/>
    <n v="12"/>
  </r>
  <r>
    <x v="0"/>
    <x v="2"/>
    <n v="0"/>
    <n v="1"/>
    <n v="1"/>
    <n v="5"/>
    <n v="17"/>
    <n v="6"/>
    <n v="0"/>
    <n v="0"/>
    <n v="0"/>
    <n v="12"/>
  </r>
  <r>
    <x v="0"/>
    <x v="3"/>
    <n v="0"/>
    <n v="0"/>
    <n v="0"/>
    <n v="4"/>
    <n v="17"/>
    <n v="9"/>
    <n v="0"/>
    <n v="0"/>
    <n v="0"/>
    <n v="12"/>
  </r>
  <r>
    <x v="0"/>
    <x v="4"/>
    <n v="0"/>
    <n v="0"/>
    <n v="0"/>
    <n v="7"/>
    <n v="19"/>
    <n v="4"/>
    <n v="0"/>
    <n v="0"/>
    <n v="0"/>
    <n v="12"/>
  </r>
  <r>
    <x v="0"/>
    <x v="5"/>
    <n v="0"/>
    <n v="0"/>
    <n v="0"/>
    <n v="6"/>
    <n v="11"/>
    <n v="12"/>
    <n v="0"/>
    <n v="0"/>
    <n v="0"/>
    <n v="13"/>
  </r>
  <r>
    <x v="0"/>
    <x v="6"/>
    <n v="0"/>
    <n v="0"/>
    <n v="1"/>
    <n v="6"/>
    <n v="18"/>
    <n v="5"/>
    <n v="0"/>
    <n v="0"/>
    <n v="0"/>
    <n v="12"/>
  </r>
  <r>
    <x v="0"/>
    <x v="7"/>
    <n v="0"/>
    <n v="0"/>
    <n v="0"/>
    <n v="15"/>
    <n v="13"/>
    <n v="1"/>
    <n v="0"/>
    <n v="0"/>
    <n v="0"/>
    <n v="13"/>
  </r>
  <r>
    <x v="0"/>
    <x v="8"/>
    <n v="0"/>
    <n v="0"/>
    <n v="2"/>
    <n v="10"/>
    <n v="10"/>
    <n v="7"/>
    <n v="0"/>
    <n v="0"/>
    <n v="0"/>
    <n v="13"/>
  </r>
  <r>
    <x v="1"/>
    <x v="9"/>
    <n v="0"/>
    <n v="0"/>
    <n v="1"/>
    <n v="9"/>
    <n v="12"/>
    <n v="7"/>
    <n v="1"/>
    <n v="0"/>
    <n v="0"/>
    <n v="12"/>
  </r>
  <r>
    <x v="1"/>
    <x v="10"/>
    <n v="0"/>
    <n v="0"/>
    <n v="2"/>
    <n v="4"/>
    <n v="6"/>
    <n v="5"/>
    <n v="10"/>
    <n v="1"/>
    <n v="2"/>
    <n v="12"/>
  </r>
  <r>
    <x v="1"/>
    <x v="11"/>
    <n v="0"/>
    <n v="0"/>
    <n v="0"/>
    <n v="4"/>
    <n v="15"/>
    <n v="8"/>
    <n v="2"/>
    <n v="1"/>
    <n v="0"/>
    <n v="12"/>
  </r>
  <r>
    <x v="1"/>
    <x v="12"/>
    <n v="0"/>
    <n v="0"/>
    <n v="3"/>
    <n v="12"/>
    <n v="11"/>
    <n v="2"/>
    <n v="0"/>
    <n v="1"/>
    <n v="0"/>
    <n v="13"/>
  </r>
  <r>
    <x v="1"/>
    <x v="13"/>
    <n v="0"/>
    <n v="1"/>
    <n v="3"/>
    <n v="14"/>
    <n v="5"/>
    <n v="5"/>
    <n v="1"/>
    <n v="1"/>
    <n v="0"/>
    <n v="12"/>
  </r>
  <r>
    <x v="2"/>
    <x v="14"/>
    <n v="0"/>
    <n v="0"/>
    <n v="0"/>
    <n v="5"/>
    <n v="18"/>
    <n v="5"/>
    <n v="1"/>
    <n v="0"/>
    <n v="0"/>
    <n v="13"/>
  </r>
  <r>
    <x v="2"/>
    <x v="15"/>
    <n v="0"/>
    <n v="0"/>
    <n v="1"/>
    <n v="11"/>
    <n v="10"/>
    <n v="5"/>
    <n v="2"/>
    <n v="1"/>
    <n v="0"/>
    <n v="12"/>
  </r>
  <r>
    <x v="2"/>
    <x v="16"/>
    <n v="0"/>
    <n v="1"/>
    <n v="1"/>
    <n v="8"/>
    <n v="9"/>
    <n v="6"/>
    <n v="4"/>
    <n v="1"/>
    <n v="0"/>
    <n v="12"/>
  </r>
  <r>
    <x v="2"/>
    <x v="17"/>
    <n v="0"/>
    <n v="2"/>
    <n v="3"/>
    <n v="9"/>
    <n v="7"/>
    <n v="4"/>
    <n v="4"/>
    <n v="0"/>
    <n v="0"/>
    <n v="13"/>
  </r>
  <r>
    <x v="2"/>
    <x v="18"/>
    <n v="0"/>
    <n v="1"/>
    <n v="6"/>
    <n v="3"/>
    <n v="17"/>
    <n v="2"/>
    <n v="0"/>
    <n v="0"/>
    <n v="0"/>
    <n v="13"/>
  </r>
  <r>
    <x v="2"/>
    <x v="19"/>
    <n v="0"/>
    <n v="0"/>
    <n v="2"/>
    <n v="6"/>
    <n v="10"/>
    <n v="7"/>
    <n v="4"/>
    <n v="0"/>
    <n v="0"/>
    <n v="13"/>
  </r>
  <r>
    <x v="2"/>
    <x v="20"/>
    <n v="0"/>
    <n v="1"/>
    <n v="2"/>
    <n v="5"/>
    <n v="13"/>
    <n v="8"/>
    <n v="1"/>
    <n v="0"/>
    <n v="0"/>
    <n v="12"/>
  </r>
  <r>
    <x v="2"/>
    <x v="21"/>
    <n v="0"/>
    <n v="0"/>
    <n v="0"/>
    <n v="2"/>
    <n v="12"/>
    <n v="6"/>
    <n v="9"/>
    <n v="1"/>
    <n v="0"/>
    <n v="12"/>
  </r>
  <r>
    <x v="2"/>
    <x v="22"/>
    <n v="0"/>
    <n v="0"/>
    <n v="2"/>
    <n v="1"/>
    <n v="9"/>
    <n v="10"/>
    <n v="4"/>
    <n v="3"/>
    <n v="1"/>
    <n v="12"/>
  </r>
  <r>
    <x v="2"/>
    <x v="23"/>
    <n v="0"/>
    <n v="0"/>
    <n v="1"/>
    <n v="0"/>
    <n v="5"/>
    <n v="11"/>
    <n v="6"/>
    <n v="6"/>
    <n v="1"/>
    <n v="12"/>
  </r>
  <r>
    <x v="2"/>
    <x v="24"/>
    <n v="0"/>
    <n v="0"/>
    <n v="0"/>
    <n v="1"/>
    <n v="8"/>
    <n v="11"/>
    <n v="6"/>
    <n v="3"/>
    <n v="1"/>
    <n v="12"/>
  </r>
  <r>
    <x v="2"/>
    <x v="25"/>
    <n v="0"/>
    <n v="0"/>
    <n v="0"/>
    <n v="1"/>
    <n v="13"/>
    <n v="9"/>
    <n v="6"/>
    <n v="0"/>
    <n v="1"/>
    <n v="12"/>
  </r>
  <r>
    <x v="2"/>
    <x v="26"/>
    <n v="0"/>
    <n v="0"/>
    <n v="0"/>
    <n v="1"/>
    <n v="5"/>
    <n v="14"/>
    <n v="6"/>
    <n v="3"/>
    <n v="1"/>
    <n v="12"/>
  </r>
  <r>
    <x v="2"/>
    <x v="27"/>
    <n v="0"/>
    <n v="0"/>
    <n v="2"/>
    <n v="3"/>
    <n v="10"/>
    <n v="10"/>
    <n v="3"/>
    <n v="2"/>
    <n v="0"/>
    <n v="12"/>
  </r>
  <r>
    <x v="2"/>
    <x v="28"/>
    <n v="0"/>
    <n v="0"/>
    <n v="1"/>
    <n v="1"/>
    <n v="6"/>
    <n v="11"/>
    <n v="5"/>
    <n v="6"/>
    <n v="0"/>
    <n v="12"/>
  </r>
  <r>
    <x v="2"/>
    <x v="29"/>
    <n v="0"/>
    <n v="0"/>
    <n v="5"/>
    <n v="2"/>
    <n v="9"/>
    <n v="8"/>
    <n v="2"/>
    <n v="3"/>
    <n v="0"/>
    <n v="13"/>
  </r>
  <r>
    <x v="2"/>
    <x v="30"/>
    <n v="0"/>
    <n v="1"/>
    <n v="0"/>
    <n v="6"/>
    <n v="14"/>
    <n v="5"/>
    <n v="4"/>
    <n v="0"/>
    <n v="0"/>
    <n v="12"/>
  </r>
  <r>
    <x v="2"/>
    <x v="31"/>
    <n v="0"/>
    <n v="0"/>
    <n v="0"/>
    <n v="8"/>
    <n v="11"/>
    <n v="7"/>
    <n v="3"/>
    <n v="1"/>
    <n v="0"/>
    <n v="12"/>
  </r>
  <r>
    <x v="2"/>
    <x v="32"/>
    <n v="0"/>
    <n v="0"/>
    <n v="5"/>
    <n v="12"/>
    <n v="8"/>
    <n v="3"/>
    <n v="2"/>
    <n v="0"/>
    <n v="0"/>
    <n v="12"/>
  </r>
  <r>
    <x v="2"/>
    <x v="33"/>
    <n v="0"/>
    <n v="0"/>
    <n v="5"/>
    <n v="6"/>
    <n v="15"/>
    <n v="1"/>
    <n v="2"/>
    <n v="1"/>
    <n v="0"/>
    <n v="12"/>
  </r>
  <r>
    <x v="2"/>
    <x v="34"/>
    <n v="0"/>
    <n v="0"/>
    <n v="2"/>
    <n v="5"/>
    <n v="14"/>
    <n v="6"/>
    <n v="3"/>
    <n v="0"/>
    <n v="0"/>
    <n v="12"/>
  </r>
  <r>
    <x v="2"/>
    <x v="35"/>
    <n v="0"/>
    <n v="0"/>
    <n v="4"/>
    <n v="7"/>
    <n v="8"/>
    <n v="3"/>
    <n v="5"/>
    <n v="2"/>
    <n v="0"/>
    <n v="13"/>
  </r>
  <r>
    <x v="2"/>
    <x v="36"/>
    <n v="0"/>
    <n v="0"/>
    <n v="1"/>
    <n v="6"/>
    <n v="9"/>
    <n v="6"/>
    <n v="6"/>
    <n v="2"/>
    <n v="0"/>
    <n v="12"/>
  </r>
  <r>
    <x v="2"/>
    <x v="37"/>
    <n v="0"/>
    <n v="0"/>
    <n v="1"/>
    <n v="7"/>
    <n v="13"/>
    <n v="7"/>
    <n v="2"/>
    <n v="0"/>
    <n v="0"/>
    <n v="12"/>
  </r>
  <r>
    <x v="2"/>
    <x v="38"/>
    <n v="0"/>
    <n v="0"/>
    <n v="1"/>
    <n v="4"/>
    <n v="6"/>
    <n v="12"/>
    <n v="4"/>
    <n v="3"/>
    <n v="0"/>
    <n v="12"/>
  </r>
  <r>
    <x v="2"/>
    <x v="39"/>
    <n v="0"/>
    <n v="1"/>
    <n v="0"/>
    <n v="1"/>
    <n v="15"/>
    <n v="10"/>
    <n v="3"/>
    <n v="0"/>
    <n v="0"/>
    <n v="12"/>
  </r>
  <r>
    <x v="2"/>
    <x v="40"/>
    <n v="0"/>
    <n v="0"/>
    <n v="2"/>
    <n v="4"/>
    <n v="6"/>
    <n v="10"/>
    <n v="4"/>
    <n v="4"/>
    <n v="0"/>
    <n v="12"/>
  </r>
  <r>
    <x v="2"/>
    <x v="41"/>
    <n v="0"/>
    <n v="0"/>
    <n v="0"/>
    <n v="4"/>
    <n v="4"/>
    <n v="7"/>
    <n v="10"/>
    <n v="5"/>
    <n v="0"/>
    <n v="12"/>
  </r>
  <r>
    <x v="2"/>
    <x v="42"/>
    <n v="0"/>
    <n v="0"/>
    <n v="0"/>
    <n v="3"/>
    <n v="7"/>
    <n v="15"/>
    <n v="2"/>
    <n v="2"/>
    <n v="1"/>
    <n v="12"/>
  </r>
  <r>
    <x v="2"/>
    <x v="43"/>
    <n v="0"/>
    <n v="0"/>
    <n v="5"/>
    <n v="5"/>
    <n v="12"/>
    <n v="7"/>
    <n v="0"/>
    <n v="0"/>
    <n v="1"/>
    <n v="12"/>
  </r>
  <r>
    <x v="2"/>
    <x v="44"/>
    <n v="0"/>
    <n v="0"/>
    <n v="3"/>
    <n v="3"/>
    <n v="3"/>
    <n v="6"/>
    <n v="7"/>
    <n v="4"/>
    <n v="4"/>
    <n v="12"/>
  </r>
  <r>
    <x v="2"/>
    <x v="45"/>
    <n v="0"/>
    <n v="1"/>
    <n v="3"/>
    <n v="1"/>
    <n v="6"/>
    <n v="11"/>
    <n v="6"/>
    <n v="2"/>
    <n v="0"/>
    <n v="12"/>
  </r>
  <r>
    <x v="2"/>
    <x v="46"/>
    <n v="0"/>
    <n v="0"/>
    <n v="1"/>
    <n v="4"/>
    <n v="4"/>
    <n v="10"/>
    <n v="5"/>
    <n v="4"/>
    <n v="2"/>
    <n v="12"/>
  </r>
  <r>
    <x v="2"/>
    <x v="47"/>
    <n v="0"/>
    <n v="0"/>
    <n v="1"/>
    <n v="2"/>
    <n v="11"/>
    <n v="9"/>
    <n v="6"/>
    <n v="0"/>
    <n v="1"/>
    <n v="12"/>
  </r>
  <r>
    <x v="2"/>
    <x v="48"/>
    <n v="0"/>
    <n v="0"/>
    <n v="1"/>
    <n v="4"/>
    <n v="7"/>
    <n v="11"/>
    <n v="7"/>
    <n v="0"/>
    <n v="0"/>
    <n v="12"/>
  </r>
  <r>
    <x v="2"/>
    <x v="49"/>
    <n v="0"/>
    <n v="0"/>
    <n v="2"/>
    <n v="5"/>
    <n v="10"/>
    <n v="11"/>
    <n v="2"/>
    <n v="0"/>
    <n v="0"/>
    <n v="12"/>
  </r>
  <r>
    <x v="2"/>
    <x v="50"/>
    <n v="0"/>
    <n v="0"/>
    <n v="4"/>
    <n v="3"/>
    <n v="13"/>
    <n v="3"/>
    <n v="4"/>
    <n v="3"/>
    <n v="0"/>
    <n v="12"/>
  </r>
  <r>
    <x v="2"/>
    <x v="51"/>
    <n v="0"/>
    <n v="1"/>
    <n v="2"/>
    <n v="4"/>
    <n v="7"/>
    <n v="8"/>
    <n v="3"/>
    <n v="3"/>
    <n v="2"/>
    <n v="12"/>
  </r>
  <r>
    <x v="2"/>
    <x v="52"/>
    <n v="0"/>
    <n v="0"/>
    <n v="0"/>
    <n v="3"/>
    <n v="6"/>
    <n v="11"/>
    <n v="6"/>
    <n v="4"/>
    <n v="0"/>
    <n v="12"/>
  </r>
  <r>
    <x v="2"/>
    <x v="53"/>
    <n v="0"/>
    <n v="0"/>
    <n v="3"/>
    <n v="9"/>
    <n v="13"/>
    <n v="2"/>
    <n v="3"/>
    <n v="0"/>
    <n v="0"/>
    <n v="12"/>
  </r>
  <r>
    <x v="2"/>
    <x v="54"/>
    <n v="0"/>
    <n v="0"/>
    <n v="0"/>
    <n v="0"/>
    <n v="2"/>
    <n v="10"/>
    <n v="11"/>
    <n v="2"/>
    <n v="0"/>
    <n v="17"/>
  </r>
  <r>
    <x v="2"/>
    <x v="55"/>
    <n v="0"/>
    <n v="0"/>
    <n v="0"/>
    <n v="0"/>
    <n v="7"/>
    <n v="15"/>
    <n v="2"/>
    <n v="1"/>
    <n v="0"/>
    <n v="17"/>
  </r>
  <r>
    <x v="3"/>
    <x v="56"/>
    <n v="0"/>
    <n v="0"/>
    <n v="8"/>
    <n v="11"/>
    <n v="8"/>
    <n v="2"/>
    <n v="1"/>
    <n v="0"/>
    <n v="0"/>
    <n v="12"/>
  </r>
  <r>
    <x v="3"/>
    <x v="57"/>
    <n v="0"/>
    <n v="1"/>
    <n v="8"/>
    <n v="4"/>
    <n v="7"/>
    <n v="7"/>
    <n v="1"/>
    <n v="1"/>
    <n v="0"/>
    <n v="13"/>
  </r>
  <r>
    <x v="3"/>
    <x v="58"/>
    <n v="0"/>
    <n v="2"/>
    <n v="3"/>
    <n v="7"/>
    <n v="10"/>
    <n v="6"/>
    <n v="0"/>
    <n v="0"/>
    <n v="1"/>
    <n v="13"/>
  </r>
  <r>
    <x v="3"/>
    <x v="59"/>
    <n v="1"/>
    <n v="2"/>
    <n v="7"/>
    <n v="7"/>
    <n v="9"/>
    <n v="4"/>
    <n v="0"/>
    <n v="0"/>
    <n v="0"/>
    <n v="12"/>
  </r>
  <r>
    <x v="3"/>
    <x v="60"/>
    <n v="0"/>
    <n v="0"/>
    <n v="8"/>
    <n v="8"/>
    <n v="7"/>
    <n v="4"/>
    <n v="2"/>
    <n v="1"/>
    <n v="0"/>
    <n v="12"/>
  </r>
  <r>
    <x v="3"/>
    <x v="61"/>
    <n v="0"/>
    <n v="1"/>
    <n v="4"/>
    <n v="6"/>
    <n v="9"/>
    <n v="3"/>
    <n v="6"/>
    <n v="1"/>
    <n v="0"/>
    <n v="12"/>
  </r>
  <r>
    <x v="3"/>
    <x v="62"/>
    <n v="0"/>
    <n v="2"/>
    <n v="8"/>
    <n v="8"/>
    <n v="8"/>
    <n v="2"/>
    <n v="1"/>
    <n v="0"/>
    <n v="0"/>
    <n v="13"/>
  </r>
  <r>
    <x v="3"/>
    <x v="63"/>
    <n v="0"/>
    <n v="0"/>
    <n v="0"/>
    <n v="5"/>
    <n v="17"/>
    <n v="4"/>
    <n v="3"/>
    <n v="1"/>
    <n v="0"/>
    <n v="12"/>
  </r>
  <r>
    <x v="4"/>
    <x v="64"/>
    <n v="0"/>
    <n v="0"/>
    <n v="0"/>
    <n v="11"/>
    <n v="10"/>
    <n v="6"/>
    <n v="2"/>
    <n v="0"/>
    <n v="0"/>
    <n v="13"/>
  </r>
  <r>
    <x v="4"/>
    <x v="65"/>
    <n v="0"/>
    <n v="0"/>
    <n v="1"/>
    <n v="6"/>
    <n v="7"/>
    <n v="10"/>
    <n v="5"/>
    <n v="1"/>
    <n v="0"/>
    <n v="12"/>
  </r>
  <r>
    <x v="4"/>
    <x v="66"/>
    <n v="0"/>
    <n v="0"/>
    <n v="0"/>
    <n v="0"/>
    <n v="12"/>
    <n v="9"/>
    <n v="8"/>
    <n v="0"/>
    <n v="1"/>
    <n v="12"/>
  </r>
  <r>
    <x v="4"/>
    <x v="67"/>
    <n v="0"/>
    <n v="0"/>
    <n v="0"/>
    <n v="0"/>
    <n v="7"/>
    <n v="12"/>
    <n v="6"/>
    <n v="4"/>
    <n v="1"/>
    <n v="12"/>
  </r>
  <r>
    <x v="4"/>
    <x v="68"/>
    <n v="0"/>
    <n v="0"/>
    <n v="0"/>
    <n v="0"/>
    <n v="12"/>
    <n v="11"/>
    <n v="5"/>
    <n v="2"/>
    <n v="0"/>
    <n v="12"/>
  </r>
  <r>
    <x v="4"/>
    <x v="69"/>
    <n v="0"/>
    <n v="0"/>
    <n v="2"/>
    <n v="0"/>
    <n v="6"/>
    <n v="14"/>
    <n v="6"/>
    <n v="2"/>
    <n v="0"/>
    <n v="12"/>
  </r>
  <r>
    <x v="4"/>
    <x v="70"/>
    <n v="0"/>
    <n v="0"/>
    <n v="0"/>
    <n v="6"/>
    <n v="13"/>
    <n v="8"/>
    <n v="3"/>
    <n v="0"/>
    <n v="0"/>
    <n v="12"/>
  </r>
  <r>
    <x v="4"/>
    <x v="71"/>
    <n v="0"/>
    <n v="0"/>
    <n v="0"/>
    <n v="1"/>
    <n v="14"/>
    <n v="11"/>
    <n v="2"/>
    <n v="2"/>
    <n v="0"/>
    <n v="12"/>
  </r>
  <r>
    <x v="4"/>
    <x v="72"/>
    <n v="0"/>
    <n v="0"/>
    <n v="1"/>
    <n v="6"/>
    <n v="5"/>
    <n v="13"/>
    <n v="4"/>
    <n v="1"/>
    <n v="0"/>
    <n v="12"/>
  </r>
  <r>
    <x v="4"/>
    <x v="56"/>
    <n v="0"/>
    <n v="0"/>
    <n v="8"/>
    <n v="11"/>
    <n v="8"/>
    <n v="2"/>
    <n v="1"/>
    <n v="0"/>
    <n v="0"/>
    <n v="12"/>
  </r>
  <r>
    <x v="4"/>
    <x v="57"/>
    <n v="0"/>
    <n v="1"/>
    <n v="8"/>
    <n v="4"/>
    <n v="7"/>
    <n v="7"/>
    <n v="1"/>
    <n v="1"/>
    <n v="0"/>
    <n v="13"/>
  </r>
  <r>
    <x v="4"/>
    <x v="58"/>
    <n v="0"/>
    <n v="2"/>
    <n v="3"/>
    <n v="7"/>
    <n v="10"/>
    <n v="6"/>
    <n v="0"/>
    <n v="0"/>
    <n v="1"/>
    <n v="13"/>
  </r>
  <r>
    <x v="4"/>
    <x v="59"/>
    <n v="1"/>
    <n v="2"/>
    <n v="7"/>
    <n v="7"/>
    <n v="9"/>
    <n v="4"/>
    <n v="0"/>
    <n v="0"/>
    <n v="0"/>
    <n v="12"/>
  </r>
  <r>
    <x v="4"/>
    <x v="60"/>
    <n v="0"/>
    <n v="0"/>
    <n v="8"/>
    <n v="8"/>
    <n v="7"/>
    <n v="4"/>
    <n v="2"/>
    <n v="1"/>
    <n v="0"/>
    <n v="12"/>
  </r>
  <r>
    <x v="4"/>
    <x v="61"/>
    <n v="0"/>
    <n v="1"/>
    <n v="4"/>
    <n v="6"/>
    <n v="9"/>
    <n v="3"/>
    <n v="6"/>
    <n v="1"/>
    <n v="0"/>
    <n v="12"/>
  </r>
  <r>
    <x v="4"/>
    <x v="62"/>
    <n v="0"/>
    <n v="2"/>
    <n v="8"/>
    <n v="8"/>
    <n v="8"/>
    <n v="2"/>
    <n v="1"/>
    <n v="0"/>
    <n v="0"/>
    <n v="13"/>
  </r>
  <r>
    <x v="4"/>
    <x v="63"/>
    <n v="0"/>
    <n v="0"/>
    <n v="0"/>
    <n v="5"/>
    <n v="17"/>
    <n v="4"/>
    <n v="3"/>
    <n v="1"/>
    <n v="0"/>
    <n v="12"/>
  </r>
  <r>
    <x v="5"/>
    <x v="73"/>
    <n v="0"/>
    <n v="2"/>
    <n v="3"/>
    <n v="2"/>
    <n v="4"/>
    <n v="11"/>
    <n v="7"/>
    <n v="1"/>
    <n v="0"/>
    <n v="12"/>
  </r>
  <r>
    <x v="5"/>
    <x v="74"/>
    <n v="0"/>
    <n v="2"/>
    <n v="5"/>
    <n v="4"/>
    <n v="6"/>
    <n v="9"/>
    <n v="3"/>
    <n v="0"/>
    <n v="0"/>
    <n v="13"/>
  </r>
  <r>
    <x v="5"/>
    <x v="75"/>
    <n v="0"/>
    <n v="2"/>
    <n v="4"/>
    <n v="11"/>
    <n v="9"/>
    <n v="3"/>
    <n v="0"/>
    <n v="0"/>
    <n v="0"/>
    <n v="13"/>
  </r>
  <r>
    <x v="5"/>
    <x v="76"/>
    <n v="0"/>
    <n v="5"/>
    <n v="2"/>
    <n v="2"/>
    <n v="6"/>
    <n v="9"/>
    <n v="5"/>
    <n v="0"/>
    <n v="1"/>
    <n v="12"/>
  </r>
  <r>
    <x v="5"/>
    <x v="77"/>
    <n v="1"/>
    <n v="2"/>
    <n v="3"/>
    <n v="8"/>
    <n v="12"/>
    <n v="2"/>
    <n v="1"/>
    <n v="0"/>
    <n v="0"/>
    <n v="13"/>
  </r>
  <r>
    <x v="5"/>
    <x v="78"/>
    <n v="0"/>
    <n v="1"/>
    <n v="0"/>
    <n v="1"/>
    <n v="8"/>
    <n v="16"/>
    <n v="3"/>
    <n v="1"/>
    <n v="0"/>
    <n v="12"/>
  </r>
  <r>
    <x v="6"/>
    <x v="79"/>
    <n v="0"/>
    <n v="3"/>
    <n v="6"/>
    <n v="3"/>
    <n v="9"/>
    <n v="5"/>
    <n v="3"/>
    <n v="0"/>
    <n v="0"/>
    <n v="13"/>
  </r>
  <r>
    <x v="6"/>
    <x v="80"/>
    <n v="0"/>
    <n v="0"/>
    <n v="7"/>
    <n v="2"/>
    <n v="7"/>
    <n v="4"/>
    <n v="5"/>
    <n v="3"/>
    <n v="1"/>
    <n v="13"/>
  </r>
  <r>
    <x v="6"/>
    <x v="81"/>
    <n v="0"/>
    <n v="1"/>
    <n v="3"/>
    <n v="2"/>
    <n v="13"/>
    <n v="6"/>
    <n v="1"/>
    <n v="2"/>
    <n v="1"/>
    <n v="13"/>
  </r>
  <r>
    <x v="6"/>
    <x v="82"/>
    <n v="0"/>
    <n v="0"/>
    <n v="2"/>
    <n v="0"/>
    <n v="17"/>
    <n v="8"/>
    <n v="3"/>
    <n v="0"/>
    <n v="0"/>
    <n v="12"/>
  </r>
  <r>
    <x v="6"/>
    <x v="83"/>
    <n v="0"/>
    <n v="2"/>
    <n v="5"/>
    <n v="2"/>
    <n v="15"/>
    <n v="2"/>
    <n v="1"/>
    <n v="2"/>
    <n v="0"/>
    <n v="13"/>
  </r>
  <r>
    <x v="6"/>
    <x v="84"/>
    <n v="0"/>
    <n v="0"/>
    <n v="2"/>
    <n v="2"/>
    <n v="14"/>
    <n v="7"/>
    <n v="5"/>
    <n v="0"/>
    <n v="0"/>
    <n v="12"/>
  </r>
  <r>
    <x v="6"/>
    <x v="85"/>
    <n v="0"/>
    <n v="2"/>
    <n v="4"/>
    <n v="3"/>
    <n v="6"/>
    <n v="9"/>
    <n v="5"/>
    <n v="0"/>
    <n v="0"/>
    <n v="13"/>
  </r>
  <r>
    <x v="6"/>
    <x v="86"/>
    <n v="0"/>
    <n v="1"/>
    <n v="4"/>
    <n v="4"/>
    <n v="5"/>
    <n v="8"/>
    <n v="6"/>
    <n v="1"/>
    <n v="0"/>
    <n v="13"/>
  </r>
  <r>
    <x v="6"/>
    <x v="87"/>
    <n v="0"/>
    <n v="1"/>
    <n v="7"/>
    <n v="6"/>
    <n v="10"/>
    <n v="2"/>
    <n v="2"/>
    <n v="1"/>
    <n v="0"/>
    <n v="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n v="3"/>
    <n v="12"/>
    <n v="12"/>
    <n v="2"/>
    <n v="1"/>
    <n v="12"/>
  </r>
  <r>
    <x v="0"/>
    <x v="1"/>
    <n v="8"/>
    <n v="16"/>
    <n v="5"/>
    <n v="1"/>
    <n v="0"/>
    <n v="12"/>
  </r>
  <r>
    <x v="0"/>
    <x v="2"/>
    <n v="8"/>
    <n v="15"/>
    <n v="5"/>
    <n v="1"/>
    <n v="1"/>
    <n v="12"/>
  </r>
  <r>
    <x v="0"/>
    <x v="3"/>
    <n v="4"/>
    <n v="15"/>
    <n v="9"/>
    <n v="2"/>
    <n v="0"/>
    <n v="12"/>
  </r>
  <r>
    <x v="0"/>
    <x v="4"/>
    <n v="4"/>
    <n v="20"/>
    <n v="6"/>
    <n v="0"/>
    <n v="0"/>
    <n v="12"/>
  </r>
  <r>
    <x v="0"/>
    <x v="5"/>
    <n v="4"/>
    <n v="15"/>
    <n v="7"/>
    <n v="3"/>
    <n v="0"/>
    <n v="13"/>
  </r>
  <r>
    <x v="0"/>
    <x v="6"/>
    <n v="2"/>
    <n v="15"/>
    <n v="11"/>
    <n v="2"/>
    <n v="0"/>
    <n v="12"/>
  </r>
  <r>
    <x v="0"/>
    <x v="7"/>
    <n v="0"/>
    <n v="13"/>
    <n v="15"/>
    <n v="1"/>
    <n v="0"/>
    <n v="13"/>
  </r>
  <r>
    <x v="0"/>
    <x v="8"/>
    <n v="2"/>
    <n v="10"/>
    <n v="10"/>
    <n v="6"/>
    <n v="1"/>
    <n v="13"/>
  </r>
  <r>
    <x v="1"/>
    <x v="9"/>
    <n v="3"/>
    <n v="8"/>
    <n v="12"/>
    <n v="7"/>
    <n v="0"/>
    <n v="12"/>
  </r>
  <r>
    <x v="1"/>
    <x v="10"/>
    <n v="4"/>
    <n v="5"/>
    <n v="12"/>
    <n v="7"/>
    <n v="2"/>
    <n v="12"/>
  </r>
  <r>
    <x v="1"/>
    <x v="11"/>
    <n v="3"/>
    <n v="10"/>
    <n v="6"/>
    <n v="10"/>
    <n v="1"/>
    <n v="12"/>
  </r>
  <r>
    <x v="1"/>
    <x v="12"/>
    <n v="1"/>
    <n v="3"/>
    <n v="9"/>
    <n v="15"/>
    <n v="1"/>
    <n v="13"/>
  </r>
  <r>
    <x v="1"/>
    <x v="13"/>
    <n v="3"/>
    <n v="2"/>
    <n v="16"/>
    <n v="8"/>
    <n v="1"/>
    <n v="12"/>
  </r>
  <r>
    <x v="2"/>
    <x v="14"/>
    <n v="2"/>
    <n v="12"/>
    <n v="13"/>
    <n v="2"/>
    <n v="0"/>
    <n v="13"/>
  </r>
  <r>
    <x v="2"/>
    <x v="15"/>
    <n v="1"/>
    <n v="14"/>
    <n v="10"/>
    <n v="4"/>
    <n v="1"/>
    <n v="12"/>
  </r>
  <r>
    <x v="2"/>
    <x v="16"/>
    <n v="3"/>
    <n v="7"/>
    <n v="13"/>
    <n v="4"/>
    <n v="3"/>
    <n v="12"/>
  </r>
  <r>
    <x v="2"/>
    <x v="17"/>
    <n v="2"/>
    <n v="4"/>
    <n v="11"/>
    <n v="9"/>
    <n v="3"/>
    <n v="13"/>
  </r>
  <r>
    <x v="2"/>
    <x v="18"/>
    <n v="2"/>
    <n v="13"/>
    <n v="7"/>
    <n v="1"/>
    <n v="6"/>
    <n v="13"/>
  </r>
  <r>
    <x v="2"/>
    <x v="19"/>
    <n v="2"/>
    <n v="10"/>
    <n v="10"/>
    <n v="7"/>
    <n v="0"/>
    <n v="13"/>
  </r>
  <r>
    <x v="2"/>
    <x v="20"/>
    <n v="0"/>
    <n v="7"/>
    <n v="9"/>
    <n v="13"/>
    <n v="1"/>
    <n v="12"/>
  </r>
  <r>
    <x v="2"/>
    <x v="21"/>
    <n v="5"/>
    <n v="9"/>
    <n v="13"/>
    <n v="3"/>
    <n v="0"/>
    <n v="12"/>
  </r>
  <r>
    <x v="2"/>
    <x v="22"/>
    <n v="1"/>
    <n v="4"/>
    <n v="6"/>
    <n v="12"/>
    <n v="7"/>
    <n v="12"/>
  </r>
  <r>
    <x v="2"/>
    <x v="23"/>
    <n v="1"/>
    <n v="6"/>
    <n v="6"/>
    <n v="12"/>
    <n v="5"/>
    <n v="12"/>
  </r>
  <r>
    <x v="2"/>
    <x v="24"/>
    <n v="1"/>
    <n v="3"/>
    <n v="7"/>
    <n v="11"/>
    <n v="8"/>
    <n v="12"/>
  </r>
  <r>
    <x v="2"/>
    <x v="25"/>
    <n v="1"/>
    <n v="0"/>
    <n v="7"/>
    <n v="9"/>
    <n v="13"/>
    <n v="12"/>
  </r>
  <r>
    <x v="2"/>
    <x v="26"/>
    <n v="1"/>
    <n v="3"/>
    <n v="7"/>
    <n v="14"/>
    <n v="5"/>
    <n v="12"/>
  </r>
  <r>
    <x v="2"/>
    <x v="27"/>
    <n v="0"/>
    <n v="7"/>
    <n v="10"/>
    <n v="9"/>
    <n v="4"/>
    <n v="12"/>
  </r>
  <r>
    <x v="2"/>
    <x v="28"/>
    <n v="0"/>
    <n v="6"/>
    <n v="6"/>
    <n v="12"/>
    <n v="6"/>
    <n v="12"/>
  </r>
  <r>
    <x v="2"/>
    <x v="29"/>
    <n v="1"/>
    <n v="6"/>
    <n v="7"/>
    <n v="11"/>
    <n v="4"/>
    <n v="13"/>
  </r>
  <r>
    <x v="2"/>
    <x v="30"/>
    <n v="2"/>
    <n v="1"/>
    <n v="7"/>
    <n v="16"/>
    <n v="4"/>
    <n v="12"/>
  </r>
  <r>
    <x v="2"/>
    <x v="31"/>
    <n v="4"/>
    <n v="1"/>
    <n v="7"/>
    <n v="12"/>
    <n v="6"/>
    <n v="12"/>
  </r>
  <r>
    <x v="2"/>
    <x v="32"/>
    <n v="2"/>
    <n v="6"/>
    <n v="20"/>
    <n v="2"/>
    <n v="0"/>
    <n v="12"/>
  </r>
  <r>
    <x v="2"/>
    <x v="33"/>
    <n v="1"/>
    <n v="6"/>
    <n v="8"/>
    <n v="15"/>
    <n v="0"/>
    <n v="12"/>
  </r>
  <r>
    <x v="2"/>
    <x v="34"/>
    <n v="5"/>
    <n v="9"/>
    <n v="11"/>
    <n v="5"/>
    <n v="0"/>
    <n v="12"/>
  </r>
  <r>
    <x v="2"/>
    <x v="35"/>
    <n v="0"/>
    <n v="3"/>
    <n v="9"/>
    <n v="9"/>
    <n v="8"/>
    <n v="13"/>
  </r>
  <r>
    <x v="2"/>
    <x v="36"/>
    <n v="0"/>
    <n v="4"/>
    <n v="12"/>
    <n v="9"/>
    <n v="5"/>
    <n v="12"/>
  </r>
  <r>
    <x v="2"/>
    <x v="37"/>
    <n v="0"/>
    <n v="9"/>
    <n v="14"/>
    <n v="4"/>
    <n v="3"/>
    <n v="12"/>
  </r>
  <r>
    <x v="2"/>
    <x v="38"/>
    <n v="1"/>
    <n v="4"/>
    <n v="6"/>
    <n v="13"/>
    <n v="6"/>
    <n v="12"/>
  </r>
  <r>
    <x v="2"/>
    <x v="39"/>
    <n v="0"/>
    <n v="1"/>
    <n v="3"/>
    <n v="13"/>
    <n v="13"/>
    <n v="12"/>
  </r>
  <r>
    <x v="2"/>
    <x v="40"/>
    <n v="0"/>
    <n v="6"/>
    <n v="8"/>
    <n v="11"/>
    <n v="5"/>
    <n v="12"/>
  </r>
  <r>
    <x v="2"/>
    <x v="41"/>
    <n v="1"/>
    <n v="7"/>
    <n v="9"/>
    <n v="8"/>
    <n v="5"/>
    <n v="12"/>
  </r>
  <r>
    <x v="2"/>
    <x v="42"/>
    <n v="1"/>
    <n v="5"/>
    <n v="3"/>
    <n v="14"/>
    <n v="7"/>
    <n v="12"/>
  </r>
  <r>
    <x v="2"/>
    <x v="43"/>
    <n v="1"/>
    <n v="5"/>
    <n v="3"/>
    <n v="10"/>
    <n v="11"/>
    <n v="12"/>
  </r>
  <r>
    <x v="2"/>
    <x v="44"/>
    <n v="5"/>
    <n v="6"/>
    <n v="10"/>
    <n v="5"/>
    <n v="4"/>
    <n v="12"/>
  </r>
  <r>
    <x v="2"/>
    <x v="45"/>
    <n v="0"/>
    <n v="7"/>
    <n v="8"/>
    <n v="9"/>
    <n v="6"/>
    <n v="12"/>
  </r>
  <r>
    <x v="2"/>
    <x v="46"/>
    <n v="2"/>
    <n v="10"/>
    <n v="4"/>
    <n v="9"/>
    <n v="5"/>
    <n v="12"/>
  </r>
  <r>
    <x v="2"/>
    <x v="47"/>
    <n v="1"/>
    <n v="3"/>
    <n v="9"/>
    <n v="8"/>
    <n v="9"/>
    <n v="12"/>
  </r>
  <r>
    <x v="2"/>
    <x v="48"/>
    <n v="8"/>
    <n v="11"/>
    <n v="8"/>
    <n v="2"/>
    <n v="1"/>
    <n v="12"/>
  </r>
  <r>
    <x v="2"/>
    <x v="49"/>
    <n v="3"/>
    <n v="13"/>
    <n v="10"/>
    <n v="4"/>
    <n v="0"/>
    <n v="12"/>
  </r>
  <r>
    <x v="2"/>
    <x v="50"/>
    <n v="1"/>
    <n v="8"/>
    <n v="11"/>
    <n v="5"/>
    <n v="5"/>
    <n v="12"/>
  </r>
  <r>
    <x v="2"/>
    <x v="51"/>
    <n v="7"/>
    <n v="9"/>
    <n v="6"/>
    <n v="6"/>
    <n v="2"/>
    <n v="12"/>
  </r>
  <r>
    <x v="2"/>
    <x v="52"/>
    <n v="0"/>
    <n v="12"/>
    <n v="9"/>
    <n v="8"/>
    <n v="1"/>
    <n v="12"/>
  </r>
  <r>
    <x v="2"/>
    <x v="53"/>
    <n v="1"/>
    <n v="7"/>
    <n v="15"/>
    <n v="3"/>
    <n v="4"/>
    <n v="12"/>
  </r>
  <r>
    <x v="2"/>
    <x v="54"/>
    <n v="3"/>
    <n v="7"/>
    <n v="11"/>
    <n v="3"/>
    <n v="1"/>
    <n v="17"/>
  </r>
  <r>
    <x v="2"/>
    <x v="55"/>
    <n v="0"/>
    <n v="2"/>
    <n v="2"/>
    <n v="15"/>
    <n v="6"/>
    <n v="17"/>
  </r>
  <r>
    <x v="3"/>
    <x v="56"/>
    <n v="1"/>
    <n v="2"/>
    <n v="7"/>
    <n v="17"/>
    <n v="3"/>
    <n v="12"/>
  </r>
  <r>
    <x v="3"/>
    <x v="57"/>
    <n v="0"/>
    <n v="4"/>
    <n v="4"/>
    <n v="13"/>
    <n v="8"/>
    <n v="13"/>
  </r>
  <r>
    <x v="3"/>
    <x v="58"/>
    <n v="1"/>
    <n v="2"/>
    <n v="3"/>
    <n v="10"/>
    <n v="13"/>
    <n v="13"/>
  </r>
  <r>
    <x v="3"/>
    <x v="59"/>
    <n v="0"/>
    <n v="4"/>
    <n v="5"/>
    <n v="11"/>
    <n v="10"/>
    <n v="12"/>
  </r>
  <r>
    <x v="3"/>
    <x v="60"/>
    <n v="0"/>
    <n v="3"/>
    <n v="7"/>
    <n v="11"/>
    <n v="9"/>
    <n v="12"/>
  </r>
  <r>
    <x v="3"/>
    <x v="61"/>
    <n v="1"/>
    <n v="8"/>
    <n v="5"/>
    <n v="14"/>
    <n v="2"/>
    <n v="12"/>
  </r>
  <r>
    <x v="3"/>
    <x v="62"/>
    <n v="0"/>
    <n v="3"/>
    <n v="6"/>
    <n v="15"/>
    <n v="5"/>
    <n v="13"/>
  </r>
  <r>
    <x v="3"/>
    <x v="63"/>
    <n v="1"/>
    <n v="3"/>
    <n v="4"/>
    <n v="17"/>
    <n v="5"/>
    <n v="12"/>
  </r>
  <r>
    <x v="4"/>
    <x v="64"/>
    <n v="2"/>
    <n v="3"/>
    <n v="6"/>
    <n v="12"/>
    <n v="6"/>
    <n v="13"/>
  </r>
  <r>
    <x v="4"/>
    <x v="65"/>
    <n v="2"/>
    <n v="5"/>
    <n v="10"/>
    <n v="7"/>
    <n v="6"/>
    <n v="12"/>
  </r>
  <r>
    <x v="4"/>
    <x v="66"/>
    <n v="1"/>
    <n v="2"/>
    <n v="7"/>
    <n v="8"/>
    <n v="12"/>
    <n v="12"/>
  </r>
  <r>
    <x v="4"/>
    <x v="67"/>
    <n v="2"/>
    <n v="3"/>
    <n v="7"/>
    <n v="12"/>
    <n v="6"/>
    <n v="12"/>
  </r>
  <r>
    <x v="4"/>
    <x v="68"/>
    <n v="1"/>
    <n v="2"/>
    <n v="8"/>
    <n v="9"/>
    <n v="10"/>
    <n v="12"/>
  </r>
  <r>
    <x v="4"/>
    <x v="69"/>
    <n v="2"/>
    <n v="4"/>
    <n v="7"/>
    <n v="11"/>
    <n v="6"/>
    <n v="12"/>
  </r>
  <r>
    <x v="4"/>
    <x v="70"/>
    <n v="1"/>
    <n v="5"/>
    <n v="8"/>
    <n v="12"/>
    <n v="4"/>
    <n v="12"/>
  </r>
  <r>
    <x v="4"/>
    <x v="71"/>
    <n v="2"/>
    <n v="2"/>
    <n v="5"/>
    <n v="10"/>
    <n v="11"/>
    <n v="12"/>
  </r>
  <r>
    <x v="4"/>
    <x v="72"/>
    <n v="1"/>
    <n v="3"/>
    <n v="6"/>
    <n v="15"/>
    <n v="5"/>
    <n v="12"/>
  </r>
  <r>
    <x v="4"/>
    <x v="56"/>
    <n v="1"/>
    <n v="2"/>
    <n v="7"/>
    <n v="17"/>
    <n v="3"/>
    <n v="12"/>
  </r>
  <r>
    <x v="4"/>
    <x v="57"/>
    <n v="0"/>
    <n v="4"/>
    <n v="4"/>
    <n v="13"/>
    <n v="8"/>
    <n v="13"/>
  </r>
  <r>
    <x v="4"/>
    <x v="58"/>
    <n v="1"/>
    <n v="2"/>
    <n v="3"/>
    <n v="10"/>
    <n v="13"/>
    <n v="13"/>
  </r>
  <r>
    <x v="4"/>
    <x v="59"/>
    <n v="0"/>
    <n v="4"/>
    <n v="5"/>
    <n v="11"/>
    <n v="10"/>
    <n v="12"/>
  </r>
  <r>
    <x v="4"/>
    <x v="60"/>
    <n v="0"/>
    <n v="3"/>
    <n v="7"/>
    <n v="11"/>
    <n v="9"/>
    <n v="12"/>
  </r>
  <r>
    <x v="4"/>
    <x v="61"/>
    <n v="1"/>
    <n v="8"/>
    <n v="5"/>
    <n v="14"/>
    <n v="2"/>
    <n v="12"/>
  </r>
  <r>
    <x v="4"/>
    <x v="62"/>
    <n v="0"/>
    <n v="3"/>
    <n v="6"/>
    <n v="15"/>
    <n v="5"/>
    <n v="13"/>
  </r>
  <r>
    <x v="4"/>
    <x v="63"/>
    <n v="1"/>
    <n v="3"/>
    <n v="4"/>
    <n v="17"/>
    <n v="5"/>
    <n v="12"/>
  </r>
  <r>
    <x v="5"/>
    <x v="73"/>
    <n v="0"/>
    <n v="4"/>
    <n v="9"/>
    <n v="14"/>
    <n v="3"/>
    <n v="12"/>
  </r>
  <r>
    <x v="5"/>
    <x v="74"/>
    <n v="0"/>
    <n v="2"/>
    <n v="10"/>
    <n v="14"/>
    <n v="3"/>
    <n v="13"/>
  </r>
  <r>
    <x v="5"/>
    <x v="75"/>
    <n v="1"/>
    <n v="10"/>
    <n v="13"/>
    <n v="3"/>
    <n v="2"/>
    <n v="13"/>
  </r>
  <r>
    <x v="5"/>
    <x v="76"/>
    <n v="1"/>
    <n v="4"/>
    <n v="8"/>
    <n v="12"/>
    <n v="5"/>
    <n v="12"/>
  </r>
  <r>
    <x v="5"/>
    <x v="77"/>
    <n v="2"/>
    <n v="4"/>
    <n v="16"/>
    <n v="5"/>
    <n v="2"/>
    <n v="13"/>
  </r>
  <r>
    <x v="5"/>
    <x v="78"/>
    <n v="0"/>
    <n v="3"/>
    <n v="6"/>
    <n v="16"/>
    <n v="5"/>
    <n v="12"/>
  </r>
  <r>
    <x v="6"/>
    <x v="79"/>
    <n v="0"/>
    <n v="0"/>
    <n v="5"/>
    <n v="9"/>
    <n v="15"/>
    <n v="13"/>
  </r>
  <r>
    <x v="6"/>
    <x v="80"/>
    <n v="1"/>
    <n v="3"/>
    <n v="8"/>
    <n v="7"/>
    <n v="10"/>
    <n v="13"/>
  </r>
  <r>
    <x v="6"/>
    <x v="81"/>
    <n v="1"/>
    <n v="2"/>
    <n v="4"/>
    <n v="9"/>
    <n v="13"/>
    <n v="13"/>
  </r>
  <r>
    <x v="6"/>
    <x v="82"/>
    <n v="0"/>
    <n v="0"/>
    <n v="3"/>
    <n v="10"/>
    <n v="17"/>
    <n v="12"/>
  </r>
  <r>
    <x v="6"/>
    <x v="83"/>
    <n v="0"/>
    <n v="3"/>
    <n v="2"/>
    <n v="5"/>
    <n v="19"/>
    <n v="13"/>
  </r>
  <r>
    <x v="6"/>
    <x v="84"/>
    <n v="0"/>
    <n v="0"/>
    <n v="5"/>
    <n v="10"/>
    <n v="15"/>
    <n v="12"/>
  </r>
  <r>
    <x v="6"/>
    <x v="85"/>
    <n v="0"/>
    <n v="0"/>
    <n v="8"/>
    <n v="12"/>
    <n v="9"/>
    <n v="13"/>
  </r>
  <r>
    <x v="6"/>
    <x v="86"/>
    <n v="2"/>
    <n v="2"/>
    <n v="7"/>
    <n v="12"/>
    <n v="6"/>
    <n v="13"/>
  </r>
  <r>
    <x v="6"/>
    <x v="87"/>
    <n v="0"/>
    <n v="4"/>
    <n v="7"/>
    <n v="16"/>
    <n v="2"/>
    <n v="1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2">
  <r>
    <x v="0"/>
    <s v="G6 Technician"/>
    <x v="0"/>
    <x v="0"/>
    <n v="0"/>
  </r>
  <r>
    <x v="0"/>
    <s v="G6 Technician"/>
    <x v="0"/>
    <x v="1"/>
    <n v="0"/>
  </r>
  <r>
    <x v="0"/>
    <s v="G6 Technician"/>
    <x v="0"/>
    <x v="2"/>
    <n v="0"/>
  </r>
  <r>
    <x v="0"/>
    <s v="G6 Technician"/>
    <x v="0"/>
    <x v="3"/>
    <n v="0"/>
  </r>
  <r>
    <x v="0"/>
    <s v="G6 Technician"/>
    <x v="0"/>
    <x v="4"/>
    <n v="0"/>
  </r>
  <r>
    <x v="0"/>
    <s v="G6 Technician"/>
    <x v="0"/>
    <x v="5"/>
    <n v="0"/>
  </r>
  <r>
    <x v="0"/>
    <s v="G6 Technician"/>
    <x v="0"/>
    <x v="6"/>
    <n v="0"/>
  </r>
  <r>
    <x v="0"/>
    <s v="G6 Technician"/>
    <x v="0"/>
    <x v="7"/>
    <n v="0"/>
  </r>
  <r>
    <x v="0"/>
    <s v="G6 Technician"/>
    <x v="0"/>
    <x v="8"/>
    <n v="0"/>
  </r>
  <r>
    <x v="0"/>
    <s v="G6 Technician"/>
    <x v="1"/>
    <x v="9"/>
    <n v="0"/>
  </r>
  <r>
    <x v="0"/>
    <s v="G6 Technician"/>
    <x v="1"/>
    <x v="10"/>
    <n v="0"/>
  </r>
  <r>
    <x v="0"/>
    <s v="G6 Technician"/>
    <x v="1"/>
    <x v="11"/>
    <n v="0"/>
  </r>
  <r>
    <x v="0"/>
    <s v="G6 Technician"/>
    <x v="1"/>
    <x v="12"/>
    <n v="0"/>
  </r>
  <r>
    <x v="0"/>
    <s v="G6 Technician"/>
    <x v="1"/>
    <x v="13"/>
    <n v="0"/>
  </r>
  <r>
    <x v="0"/>
    <s v="G6 Technician"/>
    <x v="1"/>
    <x v="14"/>
    <n v="0"/>
  </r>
  <r>
    <x v="0"/>
    <s v="G6 Technician"/>
    <x v="1"/>
    <x v="15"/>
    <n v="0"/>
  </r>
  <r>
    <x v="0"/>
    <s v="G6 Technician"/>
    <x v="1"/>
    <x v="16"/>
    <n v="0"/>
  </r>
  <r>
    <x v="0"/>
    <s v="G6 Technician"/>
    <x v="1"/>
    <x v="17"/>
    <n v="0"/>
  </r>
  <r>
    <x v="0"/>
    <s v="G6 Technician"/>
    <x v="1"/>
    <x v="18"/>
    <n v="0"/>
  </r>
  <r>
    <x v="0"/>
    <s v="G6 Technician"/>
    <x v="1"/>
    <x v="19"/>
    <n v="0"/>
  </r>
  <r>
    <x v="0"/>
    <s v="G6 Technician"/>
    <x v="2"/>
    <x v="20"/>
    <n v="0"/>
  </r>
  <r>
    <x v="0"/>
    <s v="G6 Technician"/>
    <x v="2"/>
    <x v="21"/>
    <n v="0"/>
  </r>
  <r>
    <x v="0"/>
    <s v="G6 Technician"/>
    <x v="2"/>
    <x v="22"/>
    <n v="0"/>
  </r>
  <r>
    <x v="0"/>
    <s v="G6 Technician"/>
    <x v="2"/>
    <x v="23"/>
    <n v="0"/>
  </r>
  <r>
    <x v="0"/>
    <s v="G6 Technician"/>
    <x v="2"/>
    <x v="24"/>
    <n v="0"/>
  </r>
  <r>
    <x v="0"/>
    <s v="G6 Technician"/>
    <x v="2"/>
    <x v="25"/>
    <n v="0"/>
  </r>
  <r>
    <x v="0"/>
    <s v="G6 Technician"/>
    <x v="3"/>
    <x v="26"/>
    <n v="0"/>
  </r>
  <r>
    <x v="0"/>
    <s v="G6 Technician"/>
    <x v="3"/>
    <x v="27"/>
    <n v="0"/>
  </r>
  <r>
    <x v="0"/>
    <s v="G6 Technician"/>
    <x v="3"/>
    <x v="28"/>
    <n v="0"/>
  </r>
  <r>
    <x v="0"/>
    <s v="G6 Technician"/>
    <x v="3"/>
    <x v="29"/>
    <n v="0"/>
  </r>
  <r>
    <x v="0"/>
    <s v="G6 Technician"/>
    <x v="3"/>
    <x v="30"/>
    <n v="0"/>
  </r>
  <r>
    <x v="0"/>
    <s v="G6 Technician"/>
    <x v="3"/>
    <x v="31"/>
    <n v="0"/>
  </r>
  <r>
    <x v="0"/>
    <s v="G6 Technician"/>
    <x v="3"/>
    <x v="32"/>
    <n v="0"/>
  </r>
  <r>
    <x v="0"/>
    <s v="G6 Technician"/>
    <x v="3"/>
    <x v="33"/>
    <n v="0"/>
  </r>
  <r>
    <x v="0"/>
    <s v="G6 Technician"/>
    <x v="3"/>
    <x v="34"/>
    <n v="0"/>
  </r>
  <r>
    <x v="0"/>
    <s v="G6 Technician"/>
    <x v="4"/>
    <x v="35"/>
    <n v="0"/>
  </r>
  <r>
    <x v="0"/>
    <s v="G6 Technician"/>
    <x v="4"/>
    <x v="36"/>
    <n v="0"/>
  </r>
  <r>
    <x v="0"/>
    <s v="G6 Technician"/>
    <x v="4"/>
    <x v="37"/>
    <n v="0"/>
  </r>
  <r>
    <x v="0"/>
    <s v="G6 Technician"/>
    <x v="4"/>
    <x v="38"/>
    <n v="0"/>
  </r>
  <r>
    <x v="0"/>
    <s v="G6 Technician"/>
    <x v="4"/>
    <x v="39"/>
    <n v="0"/>
  </r>
  <r>
    <x v="0"/>
    <s v="G6 Technician"/>
    <x v="4"/>
    <x v="40"/>
    <n v="0"/>
  </r>
  <r>
    <x v="0"/>
    <s v="G6 Technician"/>
    <x v="4"/>
    <x v="41"/>
    <n v="0"/>
  </r>
  <r>
    <x v="0"/>
    <s v="G6 Technician"/>
    <x v="4"/>
    <x v="42"/>
    <n v="0"/>
  </r>
  <r>
    <x v="0"/>
    <s v="G6 Technician"/>
    <x v="5"/>
    <x v="43"/>
    <n v="0"/>
  </r>
  <r>
    <x v="0"/>
    <s v="G6 Technician"/>
    <x v="5"/>
    <x v="44"/>
    <n v="0"/>
  </r>
  <r>
    <x v="0"/>
    <s v="G6 Technician"/>
    <x v="5"/>
    <x v="45"/>
    <n v="0"/>
  </r>
  <r>
    <x v="0"/>
    <s v="G6 Technician"/>
    <x v="5"/>
    <x v="46"/>
    <n v="0"/>
  </r>
  <r>
    <x v="0"/>
    <s v="G6 Technician"/>
    <x v="5"/>
    <x v="47"/>
    <n v="0"/>
  </r>
  <r>
    <x v="0"/>
    <s v="G6 Technician"/>
    <x v="5"/>
    <x v="48"/>
    <n v="0"/>
  </r>
  <r>
    <x v="0"/>
    <s v="G6 Technician"/>
    <x v="5"/>
    <x v="49"/>
    <n v="0"/>
  </r>
  <r>
    <x v="0"/>
    <s v="G6 Technician"/>
    <x v="5"/>
    <x v="50"/>
    <n v="0"/>
  </r>
  <r>
    <x v="0"/>
    <s v="G6 Technician"/>
    <x v="5"/>
    <x v="51"/>
    <n v="0"/>
  </r>
  <r>
    <x v="0"/>
    <s v="G6 Technician"/>
    <x v="5"/>
    <x v="52"/>
    <n v="0"/>
  </r>
  <r>
    <x v="0"/>
    <s v="G6 Technician"/>
    <x v="5"/>
    <x v="53"/>
    <n v="0"/>
  </r>
  <r>
    <x v="0"/>
    <s v="G6 Technician"/>
    <x v="5"/>
    <x v="54"/>
    <n v="0"/>
  </r>
  <r>
    <x v="0"/>
    <s v="G6 Technician"/>
    <x v="5"/>
    <x v="55"/>
    <n v="0"/>
  </r>
  <r>
    <x v="0"/>
    <s v="G6 Technician"/>
    <x v="5"/>
    <x v="56"/>
    <n v="0"/>
  </r>
  <r>
    <x v="0"/>
    <s v="G6 Technician"/>
    <x v="5"/>
    <x v="57"/>
    <n v="0"/>
  </r>
  <r>
    <x v="0"/>
    <s v="G6 Technician"/>
    <x v="5"/>
    <x v="58"/>
    <n v="0"/>
  </r>
  <r>
    <x v="0"/>
    <s v="G6 Technician"/>
    <x v="5"/>
    <x v="59"/>
    <n v="0"/>
  </r>
  <r>
    <x v="0"/>
    <s v="G6 Technician"/>
    <x v="5"/>
    <x v="60"/>
    <n v="0"/>
  </r>
  <r>
    <x v="0"/>
    <s v="G6 Technician"/>
    <x v="5"/>
    <x v="61"/>
    <n v="0"/>
  </r>
  <r>
    <x v="0"/>
    <s v="G6 Technician"/>
    <x v="5"/>
    <x v="62"/>
    <n v="0"/>
  </r>
  <r>
    <x v="0"/>
    <s v="G6 Technician"/>
    <x v="5"/>
    <x v="63"/>
    <n v="0"/>
  </r>
  <r>
    <x v="0"/>
    <s v="G6 Technician"/>
    <x v="5"/>
    <x v="64"/>
    <n v="0"/>
  </r>
  <r>
    <x v="0"/>
    <s v="G6 Technician"/>
    <x v="5"/>
    <x v="65"/>
    <n v="0"/>
  </r>
  <r>
    <x v="0"/>
    <s v="G6 Technician"/>
    <x v="5"/>
    <x v="66"/>
    <n v="0"/>
  </r>
  <r>
    <x v="0"/>
    <s v="G6 Technician"/>
    <x v="5"/>
    <x v="67"/>
    <n v="0"/>
  </r>
  <r>
    <x v="0"/>
    <s v="G6 Technician"/>
    <x v="5"/>
    <x v="68"/>
    <n v="0"/>
  </r>
  <r>
    <x v="0"/>
    <s v="G6 Technician"/>
    <x v="5"/>
    <x v="69"/>
    <n v="0"/>
  </r>
  <r>
    <x v="0"/>
    <s v="G6 Technician"/>
    <x v="5"/>
    <x v="70"/>
    <n v="0"/>
  </r>
  <r>
    <x v="0"/>
    <s v="G6 Technician"/>
    <x v="5"/>
    <x v="71"/>
    <n v="0"/>
  </r>
  <r>
    <x v="0"/>
    <s v="G6 Technician"/>
    <x v="5"/>
    <x v="72"/>
    <n v="0"/>
  </r>
  <r>
    <x v="0"/>
    <s v="G6 Technician"/>
    <x v="5"/>
    <x v="73"/>
    <n v="0"/>
  </r>
  <r>
    <x v="0"/>
    <s v="G6 Technician"/>
    <x v="5"/>
    <x v="74"/>
    <n v="0"/>
  </r>
  <r>
    <x v="0"/>
    <s v="G6 Technician"/>
    <x v="5"/>
    <x v="75"/>
    <n v="0"/>
  </r>
  <r>
    <x v="0"/>
    <s v="G6 Technician"/>
    <x v="5"/>
    <x v="76"/>
    <n v="0"/>
  </r>
  <r>
    <x v="0"/>
    <s v="G6 Technician"/>
    <x v="5"/>
    <x v="77"/>
    <n v="0"/>
  </r>
  <r>
    <x v="0"/>
    <s v="G6 Technician"/>
    <x v="5"/>
    <x v="78"/>
    <n v="0"/>
  </r>
  <r>
    <x v="0"/>
    <s v="G6 Technician"/>
    <x v="6"/>
    <x v="79"/>
    <n v="0"/>
  </r>
  <r>
    <x v="0"/>
    <s v="G6 Technician"/>
    <x v="6"/>
    <x v="80"/>
    <n v="0"/>
  </r>
  <r>
    <x v="0"/>
    <s v="G6 Technician"/>
    <x v="6"/>
    <x v="81"/>
    <n v="0"/>
  </r>
  <r>
    <x v="0"/>
    <s v="G6 Technician"/>
    <x v="6"/>
    <x v="82"/>
    <n v="0"/>
  </r>
  <r>
    <x v="0"/>
    <s v="G6 Technician"/>
    <x v="6"/>
    <x v="83"/>
    <n v="0"/>
  </r>
  <r>
    <x v="0"/>
    <s v="G6 Technician"/>
    <x v="6"/>
    <x v="84"/>
    <n v="0"/>
  </r>
  <r>
    <x v="0"/>
    <s v="G6 Technician"/>
    <x v="6"/>
    <x v="85"/>
    <n v="0"/>
  </r>
  <r>
    <x v="0"/>
    <s v="G6 Technician"/>
    <x v="6"/>
    <x v="86"/>
    <n v="0"/>
  </r>
  <r>
    <x v="0"/>
    <s v="G6 Technician"/>
    <x v="6"/>
    <x v="87"/>
    <n v="0"/>
  </r>
  <r>
    <x v="1"/>
    <s v="G6 Technician"/>
    <x v="0"/>
    <x v="0"/>
    <n v="3"/>
  </r>
  <r>
    <x v="1"/>
    <s v="G6 Technician"/>
    <x v="0"/>
    <x v="1"/>
    <n v="3"/>
  </r>
  <r>
    <x v="1"/>
    <s v="G6 Technician"/>
    <x v="0"/>
    <x v="2"/>
    <n v="3"/>
  </r>
  <r>
    <x v="1"/>
    <s v="G6 Technician"/>
    <x v="0"/>
    <x v="3"/>
    <n v="3"/>
  </r>
  <r>
    <x v="1"/>
    <s v="G6 Technician"/>
    <x v="0"/>
    <x v="4"/>
    <n v="2"/>
  </r>
  <r>
    <x v="1"/>
    <s v="G6 Technician"/>
    <x v="0"/>
    <x v="5"/>
    <n v="3"/>
  </r>
  <r>
    <x v="1"/>
    <s v="G6 Technician"/>
    <x v="0"/>
    <x v="6"/>
    <n v="3"/>
  </r>
  <r>
    <x v="1"/>
    <s v="G6 Technician"/>
    <x v="0"/>
    <x v="7"/>
    <n v="2"/>
  </r>
  <r>
    <x v="1"/>
    <s v="G6 Technician"/>
    <x v="0"/>
    <x v="8"/>
    <n v="2"/>
  </r>
  <r>
    <x v="1"/>
    <s v="G6 Technician"/>
    <x v="1"/>
    <x v="9"/>
    <n v="3"/>
  </r>
  <r>
    <x v="1"/>
    <s v="G6 Technician"/>
    <x v="1"/>
    <x v="10"/>
    <n v="3"/>
  </r>
  <r>
    <x v="1"/>
    <s v="G6 Technician"/>
    <x v="1"/>
    <x v="11"/>
    <n v="3"/>
  </r>
  <r>
    <x v="1"/>
    <s v="G6 Technician"/>
    <x v="1"/>
    <x v="12"/>
    <n v="2"/>
  </r>
  <r>
    <x v="1"/>
    <s v="G6 Technician"/>
    <x v="1"/>
    <x v="13"/>
    <n v="3"/>
  </r>
  <r>
    <x v="1"/>
    <s v="G6 Technician"/>
    <x v="1"/>
    <x v="14"/>
    <n v="2"/>
  </r>
  <r>
    <x v="1"/>
    <s v="G6 Technician"/>
    <x v="1"/>
    <x v="15"/>
    <n v="3"/>
  </r>
  <r>
    <x v="1"/>
    <s v="G6 Technician"/>
    <x v="1"/>
    <x v="16"/>
    <n v="3"/>
  </r>
  <r>
    <x v="1"/>
    <s v="G6 Technician"/>
    <x v="1"/>
    <x v="17"/>
    <n v="1"/>
  </r>
  <r>
    <x v="1"/>
    <s v="G6 Technician"/>
    <x v="1"/>
    <x v="18"/>
    <n v="2"/>
  </r>
  <r>
    <x v="1"/>
    <s v="G6 Technician"/>
    <x v="1"/>
    <x v="19"/>
    <n v="2"/>
  </r>
  <r>
    <x v="1"/>
    <s v="G6 Technician"/>
    <x v="2"/>
    <x v="20"/>
    <n v="1"/>
  </r>
  <r>
    <x v="1"/>
    <s v="G6 Technician"/>
    <x v="2"/>
    <x v="21"/>
    <n v="1"/>
  </r>
  <r>
    <x v="1"/>
    <s v="G6 Technician"/>
    <x v="2"/>
    <x v="22"/>
    <n v="2"/>
  </r>
  <r>
    <x v="1"/>
    <s v="G6 Technician"/>
    <x v="2"/>
    <x v="23"/>
    <n v="1"/>
  </r>
  <r>
    <x v="1"/>
    <s v="G6 Technician"/>
    <x v="2"/>
    <x v="24"/>
    <n v="2"/>
  </r>
  <r>
    <x v="1"/>
    <s v="G6 Technician"/>
    <x v="2"/>
    <x v="25"/>
    <n v="1"/>
  </r>
  <r>
    <x v="1"/>
    <s v="G6 Technician"/>
    <x v="3"/>
    <x v="26"/>
    <n v="0"/>
  </r>
  <r>
    <x v="1"/>
    <s v="G6 Technician"/>
    <x v="3"/>
    <x v="27"/>
    <n v="0"/>
  </r>
  <r>
    <x v="1"/>
    <s v="G6 Technician"/>
    <x v="3"/>
    <x v="28"/>
    <n v="0"/>
  </r>
  <r>
    <x v="1"/>
    <s v="G6 Technician"/>
    <x v="3"/>
    <x v="29"/>
    <n v="0"/>
  </r>
  <r>
    <x v="1"/>
    <s v="G6 Technician"/>
    <x v="3"/>
    <x v="30"/>
    <n v="0"/>
  </r>
  <r>
    <x v="1"/>
    <s v="G6 Technician"/>
    <x v="3"/>
    <x v="31"/>
    <n v="0"/>
  </r>
  <r>
    <x v="1"/>
    <s v="G6 Technician"/>
    <x v="3"/>
    <x v="32"/>
    <n v="0"/>
  </r>
  <r>
    <x v="1"/>
    <s v="G6 Technician"/>
    <x v="3"/>
    <x v="33"/>
    <n v="0"/>
  </r>
  <r>
    <x v="1"/>
    <s v="G6 Technician"/>
    <x v="3"/>
    <x v="34"/>
    <n v="0"/>
  </r>
  <r>
    <x v="1"/>
    <s v="G6 Technician"/>
    <x v="4"/>
    <x v="35"/>
    <n v="1"/>
  </r>
  <r>
    <x v="1"/>
    <s v="G6 Technician"/>
    <x v="4"/>
    <x v="36"/>
    <n v="0"/>
  </r>
  <r>
    <x v="1"/>
    <s v="G6 Technician"/>
    <x v="4"/>
    <x v="37"/>
    <n v="0"/>
  </r>
  <r>
    <x v="1"/>
    <s v="G6 Technician"/>
    <x v="4"/>
    <x v="38"/>
    <n v="0"/>
  </r>
  <r>
    <x v="1"/>
    <s v="G6 Technician"/>
    <x v="4"/>
    <x v="39"/>
    <n v="1"/>
  </r>
  <r>
    <x v="1"/>
    <s v="G6 Technician"/>
    <x v="4"/>
    <x v="40"/>
    <n v="1"/>
  </r>
  <r>
    <x v="1"/>
    <s v="G6 Technician"/>
    <x v="4"/>
    <x v="41"/>
    <n v="0"/>
  </r>
  <r>
    <x v="1"/>
    <s v="G6 Technician"/>
    <x v="4"/>
    <x v="42"/>
    <n v="0"/>
  </r>
  <r>
    <x v="1"/>
    <s v="G6 Technician"/>
    <x v="5"/>
    <x v="43"/>
    <n v="1"/>
  </r>
  <r>
    <x v="1"/>
    <s v="G6 Technician"/>
    <x v="5"/>
    <x v="44"/>
    <n v="3"/>
  </r>
  <r>
    <x v="1"/>
    <s v="G6 Technician"/>
    <x v="5"/>
    <x v="45"/>
    <n v="2"/>
  </r>
  <r>
    <x v="1"/>
    <s v="G6 Technician"/>
    <x v="5"/>
    <x v="46"/>
    <n v="2"/>
  </r>
  <r>
    <x v="1"/>
    <s v="G6 Technician"/>
    <x v="5"/>
    <x v="47"/>
    <n v="1"/>
  </r>
  <r>
    <x v="1"/>
    <s v="G6 Technician"/>
    <x v="5"/>
    <x v="48"/>
    <n v="1"/>
  </r>
  <r>
    <x v="1"/>
    <s v="G6 Technician"/>
    <x v="5"/>
    <x v="49"/>
    <n v="1"/>
  </r>
  <r>
    <x v="1"/>
    <s v="G6 Technician"/>
    <x v="5"/>
    <x v="50"/>
    <n v="2"/>
  </r>
  <r>
    <x v="1"/>
    <s v="G6 Technician"/>
    <x v="5"/>
    <x v="51"/>
    <n v="1"/>
  </r>
  <r>
    <x v="1"/>
    <s v="G6 Technician"/>
    <x v="5"/>
    <x v="52"/>
    <n v="1"/>
  </r>
  <r>
    <x v="1"/>
    <s v="G6 Technician"/>
    <x v="5"/>
    <x v="53"/>
    <n v="1"/>
  </r>
  <r>
    <x v="1"/>
    <s v="G6 Technician"/>
    <x v="5"/>
    <x v="54"/>
    <n v="1"/>
  </r>
  <r>
    <x v="1"/>
    <s v="G6 Technician"/>
    <x v="5"/>
    <x v="55"/>
    <n v="2"/>
  </r>
  <r>
    <x v="1"/>
    <s v="G6 Technician"/>
    <x v="5"/>
    <x v="56"/>
    <n v="2"/>
  </r>
  <r>
    <x v="1"/>
    <s v="G6 Technician"/>
    <x v="5"/>
    <x v="57"/>
    <n v="3"/>
  </r>
  <r>
    <x v="1"/>
    <s v="G6 Technician"/>
    <x v="5"/>
    <x v="58"/>
    <n v="1"/>
  </r>
  <r>
    <x v="1"/>
    <s v="G6 Technician"/>
    <x v="5"/>
    <x v="59"/>
    <n v="2"/>
  </r>
  <r>
    <x v="1"/>
    <s v="G6 Technician"/>
    <x v="5"/>
    <x v="60"/>
    <n v="2"/>
  </r>
  <r>
    <x v="1"/>
    <s v="G6 Technician"/>
    <x v="5"/>
    <x v="61"/>
    <n v="1"/>
  </r>
  <r>
    <x v="1"/>
    <s v="G6 Technician"/>
    <x v="5"/>
    <x v="62"/>
    <n v="1"/>
  </r>
  <r>
    <x v="1"/>
    <s v="G6 Technician"/>
    <x v="5"/>
    <x v="63"/>
    <n v="2"/>
  </r>
  <r>
    <x v="1"/>
    <s v="G6 Technician"/>
    <x v="5"/>
    <x v="64"/>
    <n v="3"/>
  </r>
  <r>
    <x v="1"/>
    <s v="G6 Technician"/>
    <x v="5"/>
    <x v="65"/>
    <n v="1"/>
  </r>
  <r>
    <x v="1"/>
    <s v="G6 Technician"/>
    <x v="5"/>
    <x v="66"/>
    <n v="1"/>
  </r>
  <r>
    <x v="1"/>
    <s v="G6 Technician"/>
    <x v="5"/>
    <x v="67"/>
    <n v="3"/>
  </r>
  <r>
    <x v="1"/>
    <s v="G6 Technician"/>
    <x v="5"/>
    <x v="68"/>
    <n v="2"/>
  </r>
  <r>
    <x v="1"/>
    <s v="G6 Technician"/>
    <x v="5"/>
    <x v="69"/>
    <n v="3"/>
  </r>
  <r>
    <x v="1"/>
    <s v="G6 Technician"/>
    <x v="5"/>
    <x v="70"/>
    <n v="2"/>
  </r>
  <r>
    <x v="1"/>
    <s v="G6 Technician"/>
    <x v="5"/>
    <x v="71"/>
    <n v="3"/>
  </r>
  <r>
    <x v="1"/>
    <s v="G6 Technician"/>
    <x v="5"/>
    <x v="72"/>
    <n v="3"/>
  </r>
  <r>
    <x v="1"/>
    <s v="G6 Technician"/>
    <x v="5"/>
    <x v="73"/>
    <n v="2"/>
  </r>
  <r>
    <x v="1"/>
    <s v="G6 Technician"/>
    <x v="5"/>
    <x v="74"/>
    <n v="2"/>
  </r>
  <r>
    <x v="1"/>
    <s v="G6 Technician"/>
    <x v="5"/>
    <x v="75"/>
    <n v="3"/>
  </r>
  <r>
    <x v="1"/>
    <s v="G6 Technician"/>
    <x v="5"/>
    <x v="76"/>
    <n v="3"/>
  </r>
  <r>
    <x v="1"/>
    <s v="G6 Technician"/>
    <x v="5"/>
    <x v="77"/>
    <n v="3"/>
  </r>
  <r>
    <x v="1"/>
    <s v="G6 Technician"/>
    <x v="5"/>
    <x v="78"/>
    <n v="1"/>
  </r>
  <r>
    <x v="1"/>
    <s v="G6 Technician"/>
    <x v="6"/>
    <x v="79"/>
    <n v="1"/>
  </r>
  <r>
    <x v="1"/>
    <s v="G6 Technician"/>
    <x v="6"/>
    <x v="80"/>
    <n v="0"/>
  </r>
  <r>
    <x v="1"/>
    <s v="G6 Technician"/>
    <x v="6"/>
    <x v="81"/>
    <n v="0"/>
  </r>
  <r>
    <x v="1"/>
    <s v="G6 Technician"/>
    <x v="6"/>
    <x v="82"/>
    <n v="0"/>
  </r>
  <r>
    <x v="1"/>
    <s v="G6 Technician"/>
    <x v="6"/>
    <x v="83"/>
    <n v="0"/>
  </r>
  <r>
    <x v="1"/>
    <s v="G6 Technician"/>
    <x v="6"/>
    <x v="84"/>
    <n v="0"/>
  </r>
  <r>
    <x v="1"/>
    <s v="G6 Technician"/>
    <x v="6"/>
    <x v="85"/>
    <n v="1"/>
  </r>
  <r>
    <x v="1"/>
    <s v="G6 Technician"/>
    <x v="6"/>
    <x v="86"/>
    <n v="1"/>
  </r>
  <r>
    <x v="1"/>
    <s v="G6 Technician"/>
    <x v="6"/>
    <x v="87"/>
    <n v="0"/>
  </r>
  <r>
    <x v="2"/>
    <s v="G5 Technician"/>
    <x v="0"/>
    <x v="0"/>
    <n v="2"/>
  </r>
  <r>
    <x v="2"/>
    <s v="G5 Technician"/>
    <x v="0"/>
    <x v="1"/>
    <n v="1"/>
  </r>
  <r>
    <x v="2"/>
    <s v="G5 Technician"/>
    <x v="0"/>
    <x v="2"/>
    <n v="3"/>
  </r>
  <r>
    <x v="2"/>
    <s v="G5 Technician"/>
    <x v="0"/>
    <x v="3"/>
    <n v="3"/>
  </r>
  <r>
    <x v="2"/>
    <s v="G5 Technician"/>
    <x v="0"/>
    <x v="4"/>
    <n v="1"/>
  </r>
  <r>
    <x v="2"/>
    <s v="G5 Technician"/>
    <x v="0"/>
    <x v="5"/>
    <n v="2"/>
  </r>
  <r>
    <x v="2"/>
    <s v="G5 Technician"/>
    <x v="0"/>
    <x v="6"/>
    <n v="1"/>
  </r>
  <r>
    <x v="2"/>
    <s v="G5 Technician"/>
    <x v="0"/>
    <x v="7"/>
    <n v="3"/>
  </r>
  <r>
    <x v="2"/>
    <s v="G5 Technician"/>
    <x v="0"/>
    <x v="8"/>
    <n v="1"/>
  </r>
  <r>
    <x v="2"/>
    <s v="G5 Technician"/>
    <x v="1"/>
    <x v="9"/>
    <n v="1"/>
  </r>
  <r>
    <x v="2"/>
    <s v="G5 Technician"/>
    <x v="1"/>
    <x v="10"/>
    <n v="2"/>
  </r>
  <r>
    <x v="2"/>
    <s v="G5 Technician"/>
    <x v="1"/>
    <x v="11"/>
    <n v="3"/>
  </r>
  <r>
    <x v="2"/>
    <s v="G5 Technician"/>
    <x v="1"/>
    <x v="12"/>
    <n v="1"/>
  </r>
  <r>
    <x v="2"/>
    <s v="G5 Technician"/>
    <x v="1"/>
    <x v="13"/>
    <n v="2"/>
  </r>
  <r>
    <x v="2"/>
    <s v="G5 Technician"/>
    <x v="1"/>
    <x v="14"/>
    <n v="1"/>
  </r>
  <r>
    <x v="2"/>
    <s v="G5 Technician"/>
    <x v="1"/>
    <x v="15"/>
    <n v="0"/>
  </r>
  <r>
    <x v="2"/>
    <s v="G5 Technician"/>
    <x v="1"/>
    <x v="16"/>
    <n v="2"/>
  </r>
  <r>
    <x v="2"/>
    <s v="G5 Technician"/>
    <x v="1"/>
    <x v="17"/>
    <n v="2"/>
  </r>
  <r>
    <x v="2"/>
    <s v="G5 Technician"/>
    <x v="1"/>
    <x v="18"/>
    <n v="2"/>
  </r>
  <r>
    <x v="2"/>
    <s v="G5 Technician"/>
    <x v="1"/>
    <x v="19"/>
    <n v="1"/>
  </r>
  <r>
    <x v="2"/>
    <s v="G5 Technician"/>
    <x v="2"/>
    <x v="20"/>
    <n v="1"/>
  </r>
  <r>
    <x v="2"/>
    <s v="G5 Technician"/>
    <x v="2"/>
    <x v="21"/>
    <n v="1"/>
  </r>
  <r>
    <x v="2"/>
    <s v="G5 Technician"/>
    <x v="2"/>
    <x v="22"/>
    <n v="1"/>
  </r>
  <r>
    <x v="2"/>
    <s v="G5 Technician"/>
    <x v="2"/>
    <x v="23"/>
    <n v="1"/>
  </r>
  <r>
    <x v="2"/>
    <s v="G5 Technician"/>
    <x v="2"/>
    <x v="24"/>
    <n v="1"/>
  </r>
  <r>
    <x v="2"/>
    <s v="G5 Technician"/>
    <x v="2"/>
    <x v="25"/>
    <n v="1"/>
  </r>
  <r>
    <x v="2"/>
    <s v="G5 Technician"/>
    <x v="3"/>
    <x v="26"/>
    <n v="1"/>
  </r>
  <r>
    <x v="2"/>
    <s v="G5 Technician"/>
    <x v="3"/>
    <x v="27"/>
    <n v="0"/>
  </r>
  <r>
    <x v="2"/>
    <s v="G5 Technician"/>
    <x v="3"/>
    <x v="28"/>
    <n v="0"/>
  </r>
  <r>
    <x v="2"/>
    <s v="G5 Technician"/>
    <x v="3"/>
    <x v="29"/>
    <n v="1"/>
  </r>
  <r>
    <x v="2"/>
    <s v="G5 Technician"/>
    <x v="3"/>
    <x v="30"/>
    <n v="1"/>
  </r>
  <r>
    <x v="2"/>
    <s v="G5 Technician"/>
    <x v="3"/>
    <x v="31"/>
    <n v="1"/>
  </r>
  <r>
    <x v="2"/>
    <s v="G5 Technician"/>
    <x v="3"/>
    <x v="32"/>
    <n v="1"/>
  </r>
  <r>
    <x v="2"/>
    <s v="G5 Technician"/>
    <x v="3"/>
    <x v="33"/>
    <n v="1"/>
  </r>
  <r>
    <x v="2"/>
    <s v="G5 Technician"/>
    <x v="3"/>
    <x v="34"/>
    <n v="1"/>
  </r>
  <r>
    <x v="2"/>
    <s v="G5 Technician"/>
    <x v="4"/>
    <x v="35"/>
    <n v="1"/>
  </r>
  <r>
    <x v="2"/>
    <s v="G5 Technician"/>
    <x v="4"/>
    <x v="36"/>
    <n v="0"/>
  </r>
  <r>
    <x v="2"/>
    <s v="G5 Technician"/>
    <x v="4"/>
    <x v="37"/>
    <n v="0"/>
  </r>
  <r>
    <x v="2"/>
    <s v="G5 Technician"/>
    <x v="4"/>
    <x v="38"/>
    <n v="0"/>
  </r>
  <r>
    <x v="2"/>
    <s v="G5 Technician"/>
    <x v="4"/>
    <x v="39"/>
    <n v="0"/>
  </r>
  <r>
    <x v="2"/>
    <s v="G5 Technician"/>
    <x v="4"/>
    <x v="40"/>
    <n v="1"/>
  </r>
  <r>
    <x v="2"/>
    <s v="G5 Technician"/>
    <x v="4"/>
    <x v="41"/>
    <n v="1"/>
  </r>
  <r>
    <x v="2"/>
    <s v="G5 Technician"/>
    <x v="4"/>
    <x v="42"/>
    <n v="1"/>
  </r>
  <r>
    <x v="2"/>
    <s v="G5 Technician"/>
    <x v="5"/>
    <x v="43"/>
    <n v="1"/>
  </r>
  <r>
    <x v="2"/>
    <s v="G5 Technician"/>
    <x v="5"/>
    <x v="44"/>
    <n v="4"/>
  </r>
  <r>
    <x v="2"/>
    <s v="G5 Technician"/>
    <x v="5"/>
    <x v="45"/>
    <n v="1"/>
  </r>
  <r>
    <x v="2"/>
    <s v="G5 Technician"/>
    <x v="5"/>
    <x v="46"/>
    <n v="1"/>
  </r>
  <r>
    <x v="2"/>
    <s v="G5 Technician"/>
    <x v="5"/>
    <x v="47"/>
    <n v="0"/>
  </r>
  <r>
    <x v="2"/>
    <s v="G5 Technician"/>
    <x v="5"/>
    <x v="48"/>
    <n v="0"/>
  </r>
  <r>
    <x v="2"/>
    <s v="G5 Technician"/>
    <x v="5"/>
    <x v="49"/>
    <n v="0"/>
  </r>
  <r>
    <x v="2"/>
    <s v="G5 Technician"/>
    <x v="5"/>
    <x v="50"/>
    <n v="1"/>
  </r>
  <r>
    <x v="2"/>
    <s v="G5 Technician"/>
    <x v="5"/>
    <x v="51"/>
    <n v="1"/>
  </r>
  <r>
    <x v="2"/>
    <s v="G5 Technician"/>
    <x v="5"/>
    <x v="52"/>
    <n v="1"/>
  </r>
  <r>
    <x v="2"/>
    <s v="G5 Technician"/>
    <x v="5"/>
    <x v="53"/>
    <n v="0"/>
  </r>
  <r>
    <x v="2"/>
    <s v="G5 Technician"/>
    <x v="5"/>
    <x v="54"/>
    <n v="0"/>
  </r>
  <r>
    <x v="2"/>
    <s v="G5 Technician"/>
    <x v="5"/>
    <x v="55"/>
    <n v="2"/>
  </r>
  <r>
    <x v="2"/>
    <s v="G5 Technician"/>
    <x v="5"/>
    <x v="56"/>
    <n v="1"/>
  </r>
  <r>
    <x v="2"/>
    <s v="G5 Technician"/>
    <x v="5"/>
    <x v="57"/>
    <n v="1"/>
  </r>
  <r>
    <x v="2"/>
    <s v="G5 Technician"/>
    <x v="5"/>
    <x v="58"/>
    <n v="1"/>
  </r>
  <r>
    <x v="2"/>
    <s v="G5 Technician"/>
    <x v="5"/>
    <x v="59"/>
    <n v="1"/>
  </r>
  <r>
    <x v="2"/>
    <s v="G5 Technician"/>
    <x v="5"/>
    <x v="60"/>
    <n v="1"/>
  </r>
  <r>
    <x v="2"/>
    <s v="G5 Technician"/>
    <x v="5"/>
    <x v="61"/>
    <n v="2"/>
  </r>
  <r>
    <x v="2"/>
    <s v="G5 Technician"/>
    <x v="5"/>
    <x v="62"/>
    <n v="1"/>
  </r>
  <r>
    <x v="2"/>
    <s v="G5 Technician"/>
    <x v="5"/>
    <x v="63"/>
    <n v="1"/>
  </r>
  <r>
    <x v="2"/>
    <s v="G5 Technician"/>
    <x v="5"/>
    <x v="64"/>
    <n v="1"/>
  </r>
  <r>
    <x v="2"/>
    <s v="G5 Technician"/>
    <x v="5"/>
    <x v="65"/>
    <n v="1"/>
  </r>
  <r>
    <x v="2"/>
    <s v="G5 Technician"/>
    <x v="5"/>
    <x v="66"/>
    <n v="1"/>
  </r>
  <r>
    <x v="2"/>
    <s v="G5 Technician"/>
    <x v="5"/>
    <x v="67"/>
    <n v="4"/>
  </r>
  <r>
    <x v="2"/>
    <s v="G5 Technician"/>
    <x v="5"/>
    <x v="68"/>
    <n v="2"/>
  </r>
  <r>
    <x v="2"/>
    <s v="G5 Technician"/>
    <x v="5"/>
    <x v="69"/>
    <n v="1"/>
  </r>
  <r>
    <x v="2"/>
    <s v="G5 Technician"/>
    <x v="5"/>
    <x v="70"/>
    <n v="1"/>
  </r>
  <r>
    <x v="2"/>
    <s v="G5 Technician"/>
    <x v="5"/>
    <x v="71"/>
    <n v="4"/>
  </r>
  <r>
    <x v="2"/>
    <s v="G5 Technician"/>
    <x v="5"/>
    <x v="72"/>
    <n v="3"/>
  </r>
  <r>
    <x v="2"/>
    <s v="G5 Technician"/>
    <x v="5"/>
    <x v="73"/>
    <n v="2"/>
  </r>
  <r>
    <x v="2"/>
    <s v="G5 Technician"/>
    <x v="5"/>
    <x v="74"/>
    <n v="4"/>
  </r>
  <r>
    <x v="2"/>
    <s v="G5 Technician"/>
    <x v="5"/>
    <x v="75"/>
    <n v="1"/>
  </r>
  <r>
    <x v="2"/>
    <s v="G5 Technician"/>
    <x v="5"/>
    <x v="76"/>
    <n v="1"/>
  </r>
  <r>
    <x v="2"/>
    <s v="G5 Technician"/>
    <x v="5"/>
    <x v="77"/>
    <n v="4"/>
  </r>
  <r>
    <x v="2"/>
    <s v="G5 Technician"/>
    <x v="5"/>
    <x v="78"/>
    <n v="1"/>
  </r>
  <r>
    <x v="2"/>
    <s v="G5 Technician"/>
    <x v="6"/>
    <x v="79"/>
    <n v="0"/>
  </r>
  <r>
    <x v="2"/>
    <s v="G5 Technician"/>
    <x v="6"/>
    <x v="80"/>
    <n v="0"/>
  </r>
  <r>
    <x v="2"/>
    <s v="G5 Technician"/>
    <x v="6"/>
    <x v="81"/>
    <n v="1"/>
  </r>
  <r>
    <x v="2"/>
    <s v="G5 Technician"/>
    <x v="6"/>
    <x v="82"/>
    <n v="0"/>
  </r>
  <r>
    <x v="2"/>
    <s v="G5 Technician"/>
    <x v="6"/>
    <x v="83"/>
    <n v="0"/>
  </r>
  <r>
    <x v="2"/>
    <s v="G5 Technician"/>
    <x v="6"/>
    <x v="84"/>
    <n v="1"/>
  </r>
  <r>
    <x v="2"/>
    <s v="G5 Technician"/>
    <x v="6"/>
    <x v="85"/>
    <n v="2"/>
  </r>
  <r>
    <x v="2"/>
    <s v="G5 Technician"/>
    <x v="6"/>
    <x v="86"/>
    <n v="1"/>
  </r>
  <r>
    <x v="2"/>
    <s v="G5 Technician"/>
    <x v="6"/>
    <x v="87"/>
    <n v="1"/>
  </r>
  <r>
    <x v="3"/>
    <s v="G5 Technician"/>
    <x v="0"/>
    <x v="0"/>
    <n v="0"/>
  </r>
  <r>
    <x v="3"/>
    <s v="G5 Technician"/>
    <x v="0"/>
    <x v="1"/>
    <n v="0"/>
  </r>
  <r>
    <x v="3"/>
    <s v="G5 Technician"/>
    <x v="0"/>
    <x v="2"/>
    <n v="0"/>
  </r>
  <r>
    <x v="3"/>
    <s v="G5 Technician"/>
    <x v="0"/>
    <x v="3"/>
    <n v="0"/>
  </r>
  <r>
    <x v="3"/>
    <s v="G5 Technician"/>
    <x v="0"/>
    <x v="4"/>
    <n v="0"/>
  </r>
  <r>
    <x v="3"/>
    <s v="G5 Technician"/>
    <x v="0"/>
    <x v="5"/>
    <n v="0"/>
  </r>
  <r>
    <x v="3"/>
    <s v="G5 Technician"/>
    <x v="0"/>
    <x v="6"/>
    <n v="0"/>
  </r>
  <r>
    <x v="3"/>
    <s v="G5 Technician"/>
    <x v="0"/>
    <x v="7"/>
    <n v="0"/>
  </r>
  <r>
    <x v="3"/>
    <s v="G5 Technician"/>
    <x v="0"/>
    <x v="8"/>
    <n v="0"/>
  </r>
  <r>
    <x v="3"/>
    <s v="G5 Technician"/>
    <x v="1"/>
    <x v="9"/>
    <n v="0"/>
  </r>
  <r>
    <x v="3"/>
    <s v="G5 Technician"/>
    <x v="1"/>
    <x v="10"/>
    <n v="0"/>
  </r>
  <r>
    <x v="3"/>
    <s v="G5 Technician"/>
    <x v="1"/>
    <x v="11"/>
    <n v="0"/>
  </r>
  <r>
    <x v="3"/>
    <s v="G5 Technician"/>
    <x v="1"/>
    <x v="12"/>
    <n v="0"/>
  </r>
  <r>
    <x v="3"/>
    <s v="G5 Technician"/>
    <x v="1"/>
    <x v="13"/>
    <n v="0"/>
  </r>
  <r>
    <x v="3"/>
    <s v="G5 Technician"/>
    <x v="1"/>
    <x v="14"/>
    <n v="0"/>
  </r>
  <r>
    <x v="3"/>
    <s v="G5 Technician"/>
    <x v="1"/>
    <x v="15"/>
    <n v="0"/>
  </r>
  <r>
    <x v="3"/>
    <s v="G5 Technician"/>
    <x v="1"/>
    <x v="16"/>
    <n v="0"/>
  </r>
  <r>
    <x v="3"/>
    <s v="G5 Technician"/>
    <x v="1"/>
    <x v="17"/>
    <n v="0"/>
  </r>
  <r>
    <x v="3"/>
    <s v="G5 Technician"/>
    <x v="1"/>
    <x v="18"/>
    <n v="0"/>
  </r>
  <r>
    <x v="3"/>
    <s v="G5 Technician"/>
    <x v="1"/>
    <x v="19"/>
    <n v="0"/>
  </r>
  <r>
    <x v="3"/>
    <s v="G5 Technician"/>
    <x v="2"/>
    <x v="20"/>
    <n v="0"/>
  </r>
  <r>
    <x v="3"/>
    <s v="G5 Technician"/>
    <x v="2"/>
    <x v="21"/>
    <n v="0"/>
  </r>
  <r>
    <x v="3"/>
    <s v="G5 Technician"/>
    <x v="2"/>
    <x v="22"/>
    <n v="0"/>
  </r>
  <r>
    <x v="3"/>
    <s v="G5 Technician"/>
    <x v="2"/>
    <x v="23"/>
    <n v="0"/>
  </r>
  <r>
    <x v="3"/>
    <s v="G5 Technician"/>
    <x v="2"/>
    <x v="24"/>
    <n v="0"/>
  </r>
  <r>
    <x v="3"/>
    <s v="G5 Technician"/>
    <x v="2"/>
    <x v="25"/>
    <n v="0"/>
  </r>
  <r>
    <x v="3"/>
    <s v="G5 Technician"/>
    <x v="3"/>
    <x v="26"/>
    <n v="0"/>
  </r>
  <r>
    <x v="3"/>
    <s v="G5 Technician"/>
    <x v="3"/>
    <x v="27"/>
    <n v="0"/>
  </r>
  <r>
    <x v="3"/>
    <s v="G5 Technician"/>
    <x v="3"/>
    <x v="28"/>
    <n v="0"/>
  </r>
  <r>
    <x v="3"/>
    <s v="G5 Technician"/>
    <x v="3"/>
    <x v="29"/>
    <n v="0"/>
  </r>
  <r>
    <x v="3"/>
    <s v="G5 Technician"/>
    <x v="3"/>
    <x v="30"/>
    <n v="0"/>
  </r>
  <r>
    <x v="3"/>
    <s v="G5 Technician"/>
    <x v="3"/>
    <x v="31"/>
    <n v="0"/>
  </r>
  <r>
    <x v="3"/>
    <s v="G5 Technician"/>
    <x v="3"/>
    <x v="32"/>
    <n v="0"/>
  </r>
  <r>
    <x v="3"/>
    <s v="G5 Technician"/>
    <x v="3"/>
    <x v="33"/>
    <n v="0"/>
  </r>
  <r>
    <x v="3"/>
    <s v="G5 Technician"/>
    <x v="3"/>
    <x v="34"/>
    <n v="0"/>
  </r>
  <r>
    <x v="3"/>
    <s v="G5 Technician"/>
    <x v="4"/>
    <x v="35"/>
    <n v="0"/>
  </r>
  <r>
    <x v="3"/>
    <s v="G5 Technician"/>
    <x v="4"/>
    <x v="36"/>
    <n v="0"/>
  </r>
  <r>
    <x v="3"/>
    <s v="G5 Technician"/>
    <x v="4"/>
    <x v="37"/>
    <n v="0"/>
  </r>
  <r>
    <x v="3"/>
    <s v="G5 Technician"/>
    <x v="4"/>
    <x v="38"/>
    <n v="0"/>
  </r>
  <r>
    <x v="3"/>
    <s v="G5 Technician"/>
    <x v="4"/>
    <x v="39"/>
    <n v="0"/>
  </r>
  <r>
    <x v="3"/>
    <s v="G5 Technician"/>
    <x v="4"/>
    <x v="40"/>
    <n v="0"/>
  </r>
  <r>
    <x v="3"/>
    <s v="G5 Technician"/>
    <x v="4"/>
    <x v="41"/>
    <n v="0"/>
  </r>
  <r>
    <x v="3"/>
    <s v="G5 Technician"/>
    <x v="4"/>
    <x v="42"/>
    <n v="0"/>
  </r>
  <r>
    <x v="3"/>
    <s v="G5 Technician"/>
    <x v="5"/>
    <x v="43"/>
    <n v="0"/>
  </r>
  <r>
    <x v="3"/>
    <s v="G5 Technician"/>
    <x v="5"/>
    <x v="44"/>
    <n v="0"/>
  </r>
  <r>
    <x v="3"/>
    <s v="G5 Technician"/>
    <x v="5"/>
    <x v="45"/>
    <n v="0"/>
  </r>
  <r>
    <x v="3"/>
    <s v="G5 Technician"/>
    <x v="5"/>
    <x v="46"/>
    <n v="0"/>
  </r>
  <r>
    <x v="3"/>
    <s v="G5 Technician"/>
    <x v="5"/>
    <x v="47"/>
    <n v="0"/>
  </r>
  <r>
    <x v="3"/>
    <s v="G5 Technician"/>
    <x v="5"/>
    <x v="48"/>
    <n v="0"/>
  </r>
  <r>
    <x v="3"/>
    <s v="G5 Technician"/>
    <x v="5"/>
    <x v="49"/>
    <n v="0"/>
  </r>
  <r>
    <x v="3"/>
    <s v="G5 Technician"/>
    <x v="5"/>
    <x v="50"/>
    <n v="0"/>
  </r>
  <r>
    <x v="3"/>
    <s v="G5 Technician"/>
    <x v="5"/>
    <x v="51"/>
    <n v="0"/>
  </r>
  <r>
    <x v="3"/>
    <s v="G5 Technician"/>
    <x v="5"/>
    <x v="52"/>
    <n v="0"/>
  </r>
  <r>
    <x v="3"/>
    <s v="G5 Technician"/>
    <x v="5"/>
    <x v="53"/>
    <n v="0"/>
  </r>
  <r>
    <x v="3"/>
    <s v="G5 Technician"/>
    <x v="5"/>
    <x v="54"/>
    <n v="0"/>
  </r>
  <r>
    <x v="3"/>
    <s v="G5 Technician"/>
    <x v="5"/>
    <x v="55"/>
    <n v="0"/>
  </r>
  <r>
    <x v="3"/>
    <s v="G5 Technician"/>
    <x v="5"/>
    <x v="56"/>
    <n v="0"/>
  </r>
  <r>
    <x v="3"/>
    <s v="G5 Technician"/>
    <x v="5"/>
    <x v="57"/>
    <n v="0"/>
  </r>
  <r>
    <x v="3"/>
    <s v="G5 Technician"/>
    <x v="5"/>
    <x v="58"/>
    <n v="0"/>
  </r>
  <r>
    <x v="3"/>
    <s v="G5 Technician"/>
    <x v="5"/>
    <x v="59"/>
    <n v="0"/>
  </r>
  <r>
    <x v="3"/>
    <s v="G5 Technician"/>
    <x v="5"/>
    <x v="60"/>
    <n v="0"/>
  </r>
  <r>
    <x v="3"/>
    <s v="G5 Technician"/>
    <x v="5"/>
    <x v="61"/>
    <n v="0"/>
  </r>
  <r>
    <x v="3"/>
    <s v="G5 Technician"/>
    <x v="5"/>
    <x v="62"/>
    <n v="0"/>
  </r>
  <r>
    <x v="3"/>
    <s v="G5 Technician"/>
    <x v="5"/>
    <x v="63"/>
    <n v="0"/>
  </r>
  <r>
    <x v="3"/>
    <s v="G5 Technician"/>
    <x v="5"/>
    <x v="64"/>
    <n v="0"/>
  </r>
  <r>
    <x v="3"/>
    <s v="G5 Technician"/>
    <x v="5"/>
    <x v="65"/>
    <n v="0"/>
  </r>
  <r>
    <x v="3"/>
    <s v="G5 Technician"/>
    <x v="5"/>
    <x v="66"/>
    <n v="0"/>
  </r>
  <r>
    <x v="3"/>
    <s v="G5 Technician"/>
    <x v="5"/>
    <x v="67"/>
    <n v="0"/>
  </r>
  <r>
    <x v="3"/>
    <s v="G5 Technician"/>
    <x v="5"/>
    <x v="68"/>
    <n v="0"/>
  </r>
  <r>
    <x v="3"/>
    <s v="G5 Technician"/>
    <x v="5"/>
    <x v="69"/>
    <n v="0"/>
  </r>
  <r>
    <x v="3"/>
    <s v="G5 Technician"/>
    <x v="5"/>
    <x v="70"/>
    <n v="0"/>
  </r>
  <r>
    <x v="3"/>
    <s v="G5 Technician"/>
    <x v="5"/>
    <x v="71"/>
    <n v="0"/>
  </r>
  <r>
    <x v="3"/>
    <s v="G5 Technician"/>
    <x v="5"/>
    <x v="72"/>
    <n v="0"/>
  </r>
  <r>
    <x v="3"/>
    <s v="G5 Technician"/>
    <x v="5"/>
    <x v="73"/>
    <n v="0"/>
  </r>
  <r>
    <x v="3"/>
    <s v="G5 Technician"/>
    <x v="5"/>
    <x v="74"/>
    <n v="0"/>
  </r>
  <r>
    <x v="3"/>
    <s v="G5 Technician"/>
    <x v="5"/>
    <x v="75"/>
    <n v="0"/>
  </r>
  <r>
    <x v="3"/>
    <s v="G5 Technician"/>
    <x v="5"/>
    <x v="76"/>
    <n v="0"/>
  </r>
  <r>
    <x v="3"/>
    <s v="G5 Technician"/>
    <x v="5"/>
    <x v="77"/>
    <n v="0"/>
  </r>
  <r>
    <x v="3"/>
    <s v="G5 Technician"/>
    <x v="5"/>
    <x v="78"/>
    <n v="0"/>
  </r>
  <r>
    <x v="3"/>
    <s v="G5 Technician"/>
    <x v="6"/>
    <x v="79"/>
    <n v="0"/>
  </r>
  <r>
    <x v="3"/>
    <s v="G5 Technician"/>
    <x v="6"/>
    <x v="80"/>
    <n v="0"/>
  </r>
  <r>
    <x v="3"/>
    <s v="G5 Technician"/>
    <x v="6"/>
    <x v="81"/>
    <n v="0"/>
  </r>
  <r>
    <x v="3"/>
    <s v="G5 Technician"/>
    <x v="6"/>
    <x v="82"/>
    <n v="0"/>
  </r>
  <r>
    <x v="3"/>
    <s v="G5 Technician"/>
    <x v="6"/>
    <x v="83"/>
    <n v="0"/>
  </r>
  <r>
    <x v="3"/>
    <s v="G5 Technician"/>
    <x v="6"/>
    <x v="84"/>
    <n v="0"/>
  </r>
  <r>
    <x v="3"/>
    <s v="G5 Technician"/>
    <x v="6"/>
    <x v="85"/>
    <n v="0"/>
  </r>
  <r>
    <x v="3"/>
    <s v="G5 Technician"/>
    <x v="6"/>
    <x v="86"/>
    <n v="0"/>
  </r>
  <r>
    <x v="3"/>
    <s v="G5 Technician"/>
    <x v="6"/>
    <x v="87"/>
    <n v="0"/>
  </r>
  <r>
    <x v="4"/>
    <s v="G6 Technician"/>
    <x v="0"/>
    <x v="0"/>
    <n v="3"/>
  </r>
  <r>
    <x v="4"/>
    <s v="G6 Technician"/>
    <x v="0"/>
    <x v="1"/>
    <n v="3"/>
  </r>
  <r>
    <x v="4"/>
    <s v="G6 Technician"/>
    <x v="0"/>
    <x v="2"/>
    <n v="3"/>
  </r>
  <r>
    <x v="4"/>
    <s v="G6 Technician"/>
    <x v="0"/>
    <x v="3"/>
    <n v="3"/>
  </r>
  <r>
    <x v="4"/>
    <s v="G6 Technician"/>
    <x v="0"/>
    <x v="4"/>
    <n v="2"/>
  </r>
  <r>
    <x v="4"/>
    <s v="G6 Technician"/>
    <x v="0"/>
    <x v="5"/>
    <n v="3"/>
  </r>
  <r>
    <x v="4"/>
    <s v="G6 Technician"/>
    <x v="0"/>
    <x v="6"/>
    <n v="3"/>
  </r>
  <r>
    <x v="4"/>
    <s v="G6 Technician"/>
    <x v="0"/>
    <x v="7"/>
    <n v="3"/>
  </r>
  <r>
    <x v="4"/>
    <s v="G6 Technician"/>
    <x v="0"/>
    <x v="8"/>
    <n v="2"/>
  </r>
  <r>
    <x v="4"/>
    <s v="G6 Technician"/>
    <x v="1"/>
    <x v="9"/>
    <n v="2"/>
  </r>
  <r>
    <x v="4"/>
    <s v="G6 Technician"/>
    <x v="1"/>
    <x v="10"/>
    <n v="1"/>
  </r>
  <r>
    <x v="4"/>
    <s v="G6 Technician"/>
    <x v="1"/>
    <x v="11"/>
    <n v="1"/>
  </r>
  <r>
    <x v="4"/>
    <s v="G6 Technician"/>
    <x v="1"/>
    <x v="12"/>
    <n v="1"/>
  </r>
  <r>
    <x v="4"/>
    <s v="G6 Technician"/>
    <x v="1"/>
    <x v="13"/>
    <n v="1"/>
  </r>
  <r>
    <x v="4"/>
    <s v="G6 Technician"/>
    <x v="1"/>
    <x v="14"/>
    <n v="3"/>
  </r>
  <r>
    <x v="4"/>
    <s v="G6 Technician"/>
    <x v="1"/>
    <x v="15"/>
    <n v="3"/>
  </r>
  <r>
    <x v="4"/>
    <s v="G6 Technician"/>
    <x v="1"/>
    <x v="16"/>
    <n v="1"/>
  </r>
  <r>
    <x v="4"/>
    <s v="G6 Technician"/>
    <x v="1"/>
    <x v="17"/>
    <n v="0"/>
  </r>
  <r>
    <x v="4"/>
    <s v="G6 Technician"/>
    <x v="1"/>
    <x v="18"/>
    <n v="2"/>
  </r>
  <r>
    <x v="4"/>
    <s v="G6 Technician"/>
    <x v="1"/>
    <x v="19"/>
    <n v="2"/>
  </r>
  <r>
    <x v="4"/>
    <s v="G6 Technician"/>
    <x v="2"/>
    <x v="20"/>
    <n v="2"/>
  </r>
  <r>
    <x v="4"/>
    <s v="G6 Technician"/>
    <x v="2"/>
    <x v="21"/>
    <n v="0"/>
  </r>
  <r>
    <x v="4"/>
    <s v="G6 Technician"/>
    <x v="2"/>
    <x v="22"/>
    <n v="2"/>
  </r>
  <r>
    <x v="4"/>
    <s v="G6 Technician"/>
    <x v="2"/>
    <x v="23"/>
    <n v="1"/>
  </r>
  <r>
    <x v="4"/>
    <s v="G6 Technician"/>
    <x v="2"/>
    <x v="24"/>
    <n v="2"/>
  </r>
  <r>
    <x v="4"/>
    <s v="G6 Technician"/>
    <x v="2"/>
    <x v="25"/>
    <n v="0"/>
  </r>
  <r>
    <x v="4"/>
    <s v="G6 Technician"/>
    <x v="3"/>
    <x v="26"/>
    <n v="1"/>
  </r>
  <r>
    <x v="4"/>
    <s v="G6 Technician"/>
    <x v="3"/>
    <x v="27"/>
    <n v="2"/>
  </r>
  <r>
    <x v="4"/>
    <s v="G6 Technician"/>
    <x v="3"/>
    <x v="28"/>
    <n v="1"/>
  </r>
  <r>
    <x v="4"/>
    <s v="G6 Technician"/>
    <x v="3"/>
    <x v="29"/>
    <n v="1"/>
  </r>
  <r>
    <x v="4"/>
    <s v="G6 Technician"/>
    <x v="3"/>
    <x v="30"/>
    <n v="1"/>
  </r>
  <r>
    <x v="4"/>
    <s v="G6 Technician"/>
    <x v="3"/>
    <x v="31"/>
    <n v="0"/>
  </r>
  <r>
    <x v="4"/>
    <s v="G6 Technician"/>
    <x v="3"/>
    <x v="32"/>
    <n v="1"/>
  </r>
  <r>
    <x v="4"/>
    <s v="G6 Technician"/>
    <x v="3"/>
    <x v="33"/>
    <n v="0"/>
  </r>
  <r>
    <x v="4"/>
    <s v="G6 Technician"/>
    <x v="3"/>
    <x v="34"/>
    <n v="1"/>
  </r>
  <r>
    <x v="4"/>
    <s v="G6 Technician"/>
    <x v="4"/>
    <x v="35"/>
    <n v="1"/>
  </r>
  <r>
    <x v="4"/>
    <s v="G6 Technician"/>
    <x v="4"/>
    <x v="36"/>
    <n v="1"/>
  </r>
  <r>
    <x v="4"/>
    <s v="G6 Technician"/>
    <x v="4"/>
    <x v="37"/>
    <n v="1"/>
  </r>
  <r>
    <x v="4"/>
    <s v="G6 Technician"/>
    <x v="4"/>
    <x v="38"/>
    <n v="1"/>
  </r>
  <r>
    <x v="4"/>
    <s v="G6 Technician"/>
    <x v="4"/>
    <x v="39"/>
    <n v="0"/>
  </r>
  <r>
    <x v="4"/>
    <s v="G6 Technician"/>
    <x v="4"/>
    <x v="40"/>
    <n v="1"/>
  </r>
  <r>
    <x v="4"/>
    <s v="G6 Technician"/>
    <x v="4"/>
    <x v="41"/>
    <n v="1"/>
  </r>
  <r>
    <x v="4"/>
    <s v="G6 Technician"/>
    <x v="4"/>
    <x v="42"/>
    <n v="1"/>
  </r>
  <r>
    <x v="4"/>
    <s v="G6 Technician"/>
    <x v="5"/>
    <x v="43"/>
    <n v="1"/>
  </r>
  <r>
    <x v="4"/>
    <s v="G6 Technician"/>
    <x v="5"/>
    <x v="44"/>
    <n v="2"/>
  </r>
  <r>
    <x v="4"/>
    <s v="G6 Technician"/>
    <x v="5"/>
    <x v="45"/>
    <n v="0"/>
  </r>
  <r>
    <x v="4"/>
    <s v="G6 Technician"/>
    <x v="5"/>
    <x v="46"/>
    <n v="0"/>
  </r>
  <r>
    <x v="4"/>
    <s v="G6 Technician"/>
    <x v="5"/>
    <x v="47"/>
    <n v="0"/>
  </r>
  <r>
    <x v="4"/>
    <s v="G6 Technician"/>
    <x v="5"/>
    <x v="48"/>
    <n v="1"/>
  </r>
  <r>
    <x v="4"/>
    <s v="G6 Technician"/>
    <x v="5"/>
    <x v="49"/>
    <n v="1"/>
  </r>
  <r>
    <x v="4"/>
    <s v="G6 Technician"/>
    <x v="5"/>
    <x v="50"/>
    <n v="1"/>
  </r>
  <r>
    <x v="4"/>
    <s v="G6 Technician"/>
    <x v="5"/>
    <x v="51"/>
    <n v="0"/>
  </r>
  <r>
    <x v="4"/>
    <s v="G6 Technician"/>
    <x v="5"/>
    <x v="52"/>
    <n v="0"/>
  </r>
  <r>
    <x v="4"/>
    <s v="G6 Technician"/>
    <x v="5"/>
    <x v="53"/>
    <n v="1"/>
  </r>
  <r>
    <x v="4"/>
    <s v="G6 Technician"/>
    <x v="5"/>
    <x v="54"/>
    <n v="1"/>
  </r>
  <r>
    <x v="4"/>
    <s v="G6 Technician"/>
    <x v="5"/>
    <x v="55"/>
    <n v="2"/>
  </r>
  <r>
    <x v="4"/>
    <s v="G6 Technician"/>
    <x v="5"/>
    <x v="56"/>
    <n v="1"/>
  </r>
  <r>
    <x v="4"/>
    <s v="G6 Technician"/>
    <x v="5"/>
    <x v="57"/>
    <n v="2"/>
  </r>
  <r>
    <x v="4"/>
    <s v="G6 Technician"/>
    <x v="5"/>
    <x v="58"/>
    <n v="0"/>
  </r>
  <r>
    <x v="4"/>
    <s v="G6 Technician"/>
    <x v="5"/>
    <x v="59"/>
    <n v="1"/>
  </r>
  <r>
    <x v="4"/>
    <s v="G6 Technician"/>
    <x v="5"/>
    <x v="60"/>
    <n v="3"/>
  </r>
  <r>
    <x v="4"/>
    <s v="G6 Technician"/>
    <x v="5"/>
    <x v="61"/>
    <n v="0"/>
  </r>
  <r>
    <x v="4"/>
    <s v="G6 Technician"/>
    <x v="5"/>
    <x v="62"/>
    <n v="0"/>
  </r>
  <r>
    <x v="4"/>
    <s v="G6 Technician"/>
    <x v="5"/>
    <x v="63"/>
    <n v="1"/>
  </r>
  <r>
    <x v="4"/>
    <s v="G6 Technician"/>
    <x v="5"/>
    <x v="64"/>
    <n v="1"/>
  </r>
  <r>
    <x v="4"/>
    <s v="G6 Technician"/>
    <x v="5"/>
    <x v="65"/>
    <n v="0"/>
  </r>
  <r>
    <x v="4"/>
    <s v="G6 Technician"/>
    <x v="5"/>
    <x v="66"/>
    <n v="0"/>
  </r>
  <r>
    <x v="4"/>
    <s v="G6 Technician"/>
    <x v="5"/>
    <x v="67"/>
    <n v="2"/>
  </r>
  <r>
    <x v="4"/>
    <s v="G6 Technician"/>
    <x v="5"/>
    <x v="68"/>
    <n v="1"/>
  </r>
  <r>
    <x v="4"/>
    <s v="G6 Technician"/>
    <x v="5"/>
    <x v="69"/>
    <n v="0"/>
  </r>
  <r>
    <x v="4"/>
    <s v="G6 Technician"/>
    <x v="5"/>
    <x v="70"/>
    <n v="0"/>
  </r>
  <r>
    <x v="4"/>
    <s v="G6 Technician"/>
    <x v="5"/>
    <x v="71"/>
    <n v="3"/>
  </r>
  <r>
    <x v="4"/>
    <s v="G6 Technician"/>
    <x v="5"/>
    <x v="72"/>
    <n v="2"/>
  </r>
  <r>
    <x v="4"/>
    <s v="G6 Technician"/>
    <x v="5"/>
    <x v="73"/>
    <n v="1"/>
  </r>
  <r>
    <x v="4"/>
    <s v="G6 Technician"/>
    <x v="5"/>
    <x v="74"/>
    <n v="1"/>
  </r>
  <r>
    <x v="4"/>
    <s v="G6 Technician"/>
    <x v="5"/>
    <x v="75"/>
    <n v="1"/>
  </r>
  <r>
    <x v="4"/>
    <s v="G6 Technician"/>
    <x v="5"/>
    <x v="76"/>
    <n v="2"/>
  </r>
  <r>
    <x v="4"/>
    <s v="G6 Technician"/>
    <x v="5"/>
    <x v="77"/>
    <n v="3"/>
  </r>
  <r>
    <x v="4"/>
    <s v="G6 Technician"/>
    <x v="5"/>
    <x v="78"/>
    <n v="0"/>
  </r>
  <r>
    <x v="4"/>
    <s v="G6 Technician"/>
    <x v="6"/>
    <x v="79"/>
    <n v="1"/>
  </r>
  <r>
    <x v="4"/>
    <s v="G6 Technician"/>
    <x v="6"/>
    <x v="80"/>
    <n v="2"/>
  </r>
  <r>
    <x v="4"/>
    <s v="G6 Technician"/>
    <x v="6"/>
    <x v="81"/>
    <n v="1"/>
  </r>
  <r>
    <x v="4"/>
    <s v="G6 Technician"/>
    <x v="6"/>
    <x v="82"/>
    <n v="1"/>
  </r>
  <r>
    <x v="4"/>
    <s v="G6 Technician"/>
    <x v="6"/>
    <x v="83"/>
    <n v="1"/>
  </r>
  <r>
    <x v="4"/>
    <s v="G6 Technician"/>
    <x v="6"/>
    <x v="84"/>
    <n v="1"/>
  </r>
  <r>
    <x v="4"/>
    <s v="G6 Technician"/>
    <x v="6"/>
    <x v="85"/>
    <n v="1"/>
  </r>
  <r>
    <x v="4"/>
    <s v="G6 Technician"/>
    <x v="6"/>
    <x v="86"/>
    <n v="1"/>
  </r>
  <r>
    <x v="4"/>
    <s v="G6 Technician"/>
    <x v="6"/>
    <x v="87"/>
    <n v="1"/>
  </r>
  <r>
    <x v="5"/>
    <s v="G5 Developer/Programmer"/>
    <x v="0"/>
    <x v="0"/>
    <n v="2"/>
  </r>
  <r>
    <x v="5"/>
    <s v="G5 Developer/Programmer"/>
    <x v="0"/>
    <x v="1"/>
    <n v="2"/>
  </r>
  <r>
    <x v="5"/>
    <s v="G5 Developer/Programmer"/>
    <x v="0"/>
    <x v="2"/>
    <n v="2"/>
  </r>
  <r>
    <x v="5"/>
    <s v="G5 Developer/Programmer"/>
    <x v="0"/>
    <x v="3"/>
    <n v="2"/>
  </r>
  <r>
    <x v="5"/>
    <s v="G5 Developer/Programmer"/>
    <x v="0"/>
    <x v="4"/>
    <n v="2"/>
  </r>
  <r>
    <x v="5"/>
    <s v="G5 Developer/Programmer"/>
    <x v="0"/>
    <x v="5"/>
    <n v="2"/>
  </r>
  <r>
    <x v="5"/>
    <s v="G5 Developer/Programmer"/>
    <x v="0"/>
    <x v="6"/>
    <n v="2"/>
  </r>
  <r>
    <x v="5"/>
    <s v="G5 Developer/Programmer"/>
    <x v="0"/>
    <x v="7"/>
    <n v="2"/>
  </r>
  <r>
    <x v="5"/>
    <s v="G5 Developer/Programmer"/>
    <x v="0"/>
    <x v="8"/>
    <n v="1"/>
  </r>
  <r>
    <x v="5"/>
    <s v="G5 Developer/Programmer"/>
    <x v="1"/>
    <x v="9"/>
    <n v="1"/>
  </r>
  <r>
    <x v="5"/>
    <s v="G5 Developer/Programmer"/>
    <x v="1"/>
    <x v="10"/>
    <n v="2"/>
  </r>
  <r>
    <x v="5"/>
    <s v="G5 Developer/Programmer"/>
    <x v="1"/>
    <x v="11"/>
    <n v="2"/>
  </r>
  <r>
    <x v="5"/>
    <s v="G5 Developer/Programmer"/>
    <x v="1"/>
    <x v="12"/>
    <n v="1"/>
  </r>
  <r>
    <x v="5"/>
    <s v="G5 Developer/Programmer"/>
    <x v="1"/>
    <x v="13"/>
    <n v="1"/>
  </r>
  <r>
    <x v="5"/>
    <s v="G5 Developer/Programmer"/>
    <x v="1"/>
    <x v="14"/>
    <n v="2"/>
  </r>
  <r>
    <x v="5"/>
    <s v="G5 Developer/Programmer"/>
    <x v="1"/>
    <x v="15"/>
    <n v="2"/>
  </r>
  <r>
    <x v="5"/>
    <s v="G5 Developer/Programmer"/>
    <x v="1"/>
    <x v="16"/>
    <n v="2"/>
  </r>
  <r>
    <x v="5"/>
    <s v="G5 Developer/Programmer"/>
    <x v="1"/>
    <x v="17"/>
    <n v="2"/>
  </r>
  <r>
    <x v="5"/>
    <s v="G5 Developer/Programmer"/>
    <x v="1"/>
    <x v="18"/>
    <n v="2"/>
  </r>
  <r>
    <x v="5"/>
    <s v="G5 Developer/Programmer"/>
    <x v="1"/>
    <x v="19"/>
    <n v="1"/>
  </r>
  <r>
    <x v="5"/>
    <s v="G5 Developer/Programmer"/>
    <x v="2"/>
    <x v="20"/>
    <n v="0"/>
  </r>
  <r>
    <x v="5"/>
    <s v="G5 Developer/Programmer"/>
    <x v="2"/>
    <x v="21"/>
    <n v="1"/>
  </r>
  <r>
    <x v="5"/>
    <s v="G5 Developer/Programmer"/>
    <x v="2"/>
    <x v="22"/>
    <n v="2"/>
  </r>
  <r>
    <x v="5"/>
    <s v="G5 Developer/Programmer"/>
    <x v="2"/>
    <x v="23"/>
    <n v="0"/>
  </r>
  <r>
    <x v="5"/>
    <s v="G5 Developer/Programmer"/>
    <x v="2"/>
    <x v="24"/>
    <n v="1"/>
  </r>
  <r>
    <x v="5"/>
    <s v="G5 Developer/Programmer"/>
    <x v="2"/>
    <x v="25"/>
    <n v="1"/>
  </r>
  <r>
    <x v="5"/>
    <s v="G5 Developer/Programmer"/>
    <x v="3"/>
    <x v="26"/>
    <n v="1"/>
  </r>
  <r>
    <x v="5"/>
    <s v="G5 Developer/Programmer"/>
    <x v="3"/>
    <x v="27"/>
    <n v="1"/>
  </r>
  <r>
    <x v="5"/>
    <s v="G5 Developer/Programmer"/>
    <x v="3"/>
    <x v="28"/>
    <n v="1"/>
  </r>
  <r>
    <x v="5"/>
    <s v="G5 Developer/Programmer"/>
    <x v="3"/>
    <x v="29"/>
    <n v="2"/>
  </r>
  <r>
    <x v="5"/>
    <s v="G5 Developer/Programmer"/>
    <x v="3"/>
    <x v="30"/>
    <n v="1"/>
  </r>
  <r>
    <x v="5"/>
    <s v="G5 Developer/Programmer"/>
    <x v="3"/>
    <x v="31"/>
    <n v="1"/>
  </r>
  <r>
    <x v="5"/>
    <s v="G5 Developer/Programmer"/>
    <x v="3"/>
    <x v="32"/>
    <n v="2"/>
  </r>
  <r>
    <x v="5"/>
    <s v="G5 Developer/Programmer"/>
    <x v="3"/>
    <x v="33"/>
    <n v="1"/>
  </r>
  <r>
    <x v="5"/>
    <s v="G5 Developer/Programmer"/>
    <x v="3"/>
    <x v="34"/>
    <n v="1"/>
  </r>
  <r>
    <x v="5"/>
    <s v="G5 Developer/Programmer"/>
    <x v="4"/>
    <x v="35"/>
    <n v="1"/>
  </r>
  <r>
    <x v="5"/>
    <s v="G5 Developer/Programmer"/>
    <x v="4"/>
    <x v="36"/>
    <n v="1"/>
  </r>
  <r>
    <x v="5"/>
    <s v="G5 Developer/Programmer"/>
    <x v="4"/>
    <x v="37"/>
    <n v="0"/>
  </r>
  <r>
    <x v="5"/>
    <s v="G5 Developer/Programmer"/>
    <x v="4"/>
    <x v="38"/>
    <n v="0"/>
  </r>
  <r>
    <x v="5"/>
    <s v="G5 Developer/Programmer"/>
    <x v="4"/>
    <x v="39"/>
    <n v="1"/>
  </r>
  <r>
    <x v="5"/>
    <s v="G5 Developer/Programmer"/>
    <x v="4"/>
    <x v="40"/>
    <n v="1"/>
  </r>
  <r>
    <x v="5"/>
    <s v="G5 Developer/Programmer"/>
    <x v="4"/>
    <x v="41"/>
    <n v="1"/>
  </r>
  <r>
    <x v="5"/>
    <s v="G5 Developer/Programmer"/>
    <x v="4"/>
    <x v="42"/>
    <n v="1"/>
  </r>
  <r>
    <x v="5"/>
    <s v="G5 Developer/Programmer"/>
    <x v="5"/>
    <x v="43"/>
    <n v="3"/>
  </r>
  <r>
    <x v="5"/>
    <s v="G5 Developer/Programmer"/>
    <x v="5"/>
    <x v="44"/>
    <n v="3"/>
  </r>
  <r>
    <x v="5"/>
    <s v="G5 Developer/Programmer"/>
    <x v="5"/>
    <x v="45"/>
    <n v="3"/>
  </r>
  <r>
    <x v="5"/>
    <s v="G5 Developer/Programmer"/>
    <x v="5"/>
    <x v="46"/>
    <n v="3"/>
  </r>
  <r>
    <x v="5"/>
    <s v="G5 Developer/Programmer"/>
    <x v="5"/>
    <x v="47"/>
    <n v="3"/>
  </r>
  <r>
    <x v="5"/>
    <s v="G5 Developer/Programmer"/>
    <x v="5"/>
    <x v="48"/>
    <n v="2"/>
  </r>
  <r>
    <x v="5"/>
    <s v="G5 Developer/Programmer"/>
    <x v="5"/>
    <x v="49"/>
    <n v="3"/>
  </r>
  <r>
    <x v="5"/>
    <s v="G5 Developer/Programmer"/>
    <x v="5"/>
    <x v="50"/>
    <n v="3"/>
  </r>
  <r>
    <x v="5"/>
    <s v="G5 Developer/Programmer"/>
    <x v="5"/>
    <x v="51"/>
    <n v="3"/>
  </r>
  <r>
    <x v="5"/>
    <s v="G5 Developer/Programmer"/>
    <x v="5"/>
    <x v="52"/>
    <n v="1"/>
  </r>
  <r>
    <x v="5"/>
    <s v="G5 Developer/Programmer"/>
    <x v="5"/>
    <x v="53"/>
    <n v="1"/>
  </r>
  <r>
    <x v="5"/>
    <s v="G5 Developer/Programmer"/>
    <x v="5"/>
    <x v="54"/>
    <n v="1"/>
  </r>
  <r>
    <x v="5"/>
    <s v="G5 Developer/Programmer"/>
    <x v="5"/>
    <x v="55"/>
    <n v="2"/>
  </r>
  <r>
    <x v="5"/>
    <s v="G5 Developer/Programmer"/>
    <x v="5"/>
    <x v="56"/>
    <n v="2"/>
  </r>
  <r>
    <x v="5"/>
    <s v="G5 Developer/Programmer"/>
    <x v="5"/>
    <x v="57"/>
    <n v="2"/>
  </r>
  <r>
    <x v="5"/>
    <s v="G5 Developer/Programmer"/>
    <x v="5"/>
    <x v="58"/>
    <n v="0"/>
  </r>
  <r>
    <x v="5"/>
    <s v="G5 Developer/Programmer"/>
    <x v="5"/>
    <x v="59"/>
    <n v="0"/>
  </r>
  <r>
    <x v="5"/>
    <s v="G5 Developer/Programmer"/>
    <x v="5"/>
    <x v="60"/>
    <n v="0"/>
  </r>
  <r>
    <x v="5"/>
    <s v="G5 Developer/Programmer"/>
    <x v="5"/>
    <x v="61"/>
    <n v="3"/>
  </r>
  <r>
    <x v="5"/>
    <s v="G5 Developer/Programmer"/>
    <x v="5"/>
    <x v="62"/>
    <n v="0"/>
  </r>
  <r>
    <x v="5"/>
    <s v="G5 Developer/Programmer"/>
    <x v="5"/>
    <x v="63"/>
    <n v="3"/>
  </r>
  <r>
    <x v="5"/>
    <s v="G5 Developer/Programmer"/>
    <x v="5"/>
    <x v="64"/>
    <n v="2"/>
  </r>
  <r>
    <x v="5"/>
    <s v="G5 Developer/Programmer"/>
    <x v="5"/>
    <x v="65"/>
    <n v="3"/>
  </r>
  <r>
    <x v="5"/>
    <s v="G5 Developer/Programmer"/>
    <x v="5"/>
    <x v="66"/>
    <n v="1"/>
  </r>
  <r>
    <x v="5"/>
    <s v="G5 Developer/Programmer"/>
    <x v="5"/>
    <x v="67"/>
    <n v="1"/>
  </r>
  <r>
    <x v="5"/>
    <s v="G5 Developer/Programmer"/>
    <x v="5"/>
    <x v="68"/>
    <n v="2"/>
  </r>
  <r>
    <x v="5"/>
    <s v="G5 Developer/Programmer"/>
    <x v="5"/>
    <x v="69"/>
    <n v="0"/>
  </r>
  <r>
    <x v="5"/>
    <s v="G5 Developer/Programmer"/>
    <x v="5"/>
    <x v="70"/>
    <n v="0"/>
  </r>
  <r>
    <x v="5"/>
    <s v="G5 Developer/Programmer"/>
    <x v="5"/>
    <x v="71"/>
    <n v="1"/>
  </r>
  <r>
    <x v="5"/>
    <s v="G5 Developer/Programmer"/>
    <x v="5"/>
    <x v="72"/>
    <n v="3"/>
  </r>
  <r>
    <x v="5"/>
    <s v="G5 Developer/Programmer"/>
    <x v="5"/>
    <x v="73"/>
    <n v="2"/>
  </r>
  <r>
    <x v="5"/>
    <s v="G5 Developer/Programmer"/>
    <x v="5"/>
    <x v="74"/>
    <n v="2"/>
  </r>
  <r>
    <x v="5"/>
    <s v="G5 Developer/Programmer"/>
    <x v="5"/>
    <x v="75"/>
    <n v="3"/>
  </r>
  <r>
    <x v="5"/>
    <s v="G5 Developer/Programmer"/>
    <x v="5"/>
    <x v="76"/>
    <n v="0"/>
  </r>
  <r>
    <x v="5"/>
    <s v="G5 Developer/Programmer"/>
    <x v="5"/>
    <x v="77"/>
    <n v="2"/>
  </r>
  <r>
    <x v="5"/>
    <s v="G5 Developer/Programmer"/>
    <x v="5"/>
    <x v="78"/>
    <n v="1"/>
  </r>
  <r>
    <x v="5"/>
    <s v="G5 Developer/Programmer"/>
    <x v="6"/>
    <x v="79"/>
    <n v="0"/>
  </r>
  <r>
    <x v="5"/>
    <s v="G5 Developer/Programmer"/>
    <x v="6"/>
    <x v="80"/>
    <n v="2"/>
  </r>
  <r>
    <x v="5"/>
    <s v="G5 Developer/Programmer"/>
    <x v="6"/>
    <x v="81"/>
    <n v="2"/>
  </r>
  <r>
    <x v="5"/>
    <s v="G5 Developer/Programmer"/>
    <x v="6"/>
    <x v="82"/>
    <n v="1"/>
  </r>
  <r>
    <x v="5"/>
    <s v="G5 Developer/Programmer"/>
    <x v="6"/>
    <x v="83"/>
    <n v="0"/>
  </r>
  <r>
    <x v="5"/>
    <s v="G5 Developer/Programmer"/>
    <x v="6"/>
    <x v="84"/>
    <n v="1"/>
  </r>
  <r>
    <x v="5"/>
    <s v="G5 Developer/Programmer"/>
    <x v="6"/>
    <x v="85"/>
    <n v="0"/>
  </r>
  <r>
    <x v="5"/>
    <s v="G5 Developer/Programmer"/>
    <x v="6"/>
    <x v="86"/>
    <n v="1"/>
  </r>
  <r>
    <x v="5"/>
    <s v="G5 Developer/Programmer"/>
    <x v="6"/>
    <x v="87"/>
    <n v="2"/>
  </r>
  <r>
    <x v="6"/>
    <s v="G4 Technician"/>
    <x v="0"/>
    <x v="0"/>
    <n v="3"/>
  </r>
  <r>
    <x v="6"/>
    <s v="G4 Technician"/>
    <x v="0"/>
    <x v="1"/>
    <n v="2"/>
  </r>
  <r>
    <x v="6"/>
    <s v="G4 Technician"/>
    <x v="0"/>
    <x v="2"/>
    <n v="3"/>
  </r>
  <r>
    <x v="6"/>
    <s v="G4 Technician"/>
    <x v="0"/>
    <x v="3"/>
    <n v="3"/>
  </r>
  <r>
    <x v="6"/>
    <s v="G4 Technician"/>
    <x v="0"/>
    <x v="4"/>
    <n v="2"/>
  </r>
  <r>
    <x v="6"/>
    <s v="G4 Technician"/>
    <x v="0"/>
    <x v="5"/>
    <n v="3"/>
  </r>
  <r>
    <x v="6"/>
    <s v="G4 Technician"/>
    <x v="0"/>
    <x v="6"/>
    <n v="3"/>
  </r>
  <r>
    <x v="6"/>
    <s v="G4 Technician"/>
    <x v="0"/>
    <x v="7"/>
    <n v="3"/>
  </r>
  <r>
    <x v="6"/>
    <s v="G4 Technician"/>
    <x v="0"/>
    <x v="8"/>
    <n v="2"/>
  </r>
  <r>
    <x v="6"/>
    <s v="G4 Technician"/>
    <x v="1"/>
    <x v="9"/>
    <n v="1"/>
  </r>
  <r>
    <x v="6"/>
    <s v="G4 Technician"/>
    <x v="1"/>
    <x v="10"/>
    <n v="1"/>
  </r>
  <r>
    <x v="6"/>
    <s v="G4 Technician"/>
    <x v="1"/>
    <x v="11"/>
    <n v="1"/>
  </r>
  <r>
    <x v="6"/>
    <s v="G4 Technician"/>
    <x v="1"/>
    <x v="12"/>
    <n v="1"/>
  </r>
  <r>
    <x v="6"/>
    <s v="G4 Technician"/>
    <x v="1"/>
    <x v="13"/>
    <n v="2"/>
  </r>
  <r>
    <x v="6"/>
    <s v="G4 Technician"/>
    <x v="1"/>
    <x v="14"/>
    <n v="2"/>
  </r>
  <r>
    <x v="6"/>
    <s v="G4 Technician"/>
    <x v="1"/>
    <x v="15"/>
    <n v="2"/>
  </r>
  <r>
    <x v="6"/>
    <s v="G4 Technician"/>
    <x v="1"/>
    <x v="16"/>
    <n v="2"/>
  </r>
  <r>
    <x v="6"/>
    <s v="G4 Technician"/>
    <x v="1"/>
    <x v="17"/>
    <n v="1"/>
  </r>
  <r>
    <x v="6"/>
    <s v="G4 Technician"/>
    <x v="1"/>
    <x v="18"/>
    <n v="2"/>
  </r>
  <r>
    <x v="6"/>
    <s v="G4 Technician"/>
    <x v="1"/>
    <x v="19"/>
    <n v="2"/>
  </r>
  <r>
    <x v="6"/>
    <s v="G4 Technician"/>
    <x v="2"/>
    <x v="20"/>
    <n v="2"/>
  </r>
  <r>
    <x v="6"/>
    <s v="G4 Technician"/>
    <x v="2"/>
    <x v="21"/>
    <n v="1"/>
  </r>
  <r>
    <x v="6"/>
    <s v="G4 Technician"/>
    <x v="2"/>
    <x v="22"/>
    <n v="2"/>
  </r>
  <r>
    <x v="6"/>
    <s v="G4 Technician"/>
    <x v="2"/>
    <x v="23"/>
    <n v="1"/>
  </r>
  <r>
    <x v="6"/>
    <s v="G4 Technician"/>
    <x v="2"/>
    <x v="24"/>
    <n v="2"/>
  </r>
  <r>
    <x v="6"/>
    <s v="G4 Technician"/>
    <x v="2"/>
    <x v="25"/>
    <n v="0"/>
  </r>
  <r>
    <x v="6"/>
    <s v="G4 Technician"/>
    <x v="3"/>
    <x v="26"/>
    <n v="1"/>
  </r>
  <r>
    <x v="6"/>
    <s v="G4 Technician"/>
    <x v="3"/>
    <x v="27"/>
    <n v="1"/>
  </r>
  <r>
    <x v="6"/>
    <s v="G4 Technician"/>
    <x v="3"/>
    <x v="28"/>
    <n v="0"/>
  </r>
  <r>
    <x v="6"/>
    <s v="G4 Technician"/>
    <x v="3"/>
    <x v="29"/>
    <n v="0"/>
  </r>
  <r>
    <x v="6"/>
    <s v="G4 Technician"/>
    <x v="3"/>
    <x v="30"/>
    <n v="0"/>
  </r>
  <r>
    <x v="6"/>
    <s v="G4 Technician"/>
    <x v="3"/>
    <x v="31"/>
    <n v="0"/>
  </r>
  <r>
    <x v="6"/>
    <s v="G4 Technician"/>
    <x v="3"/>
    <x v="32"/>
    <n v="1"/>
  </r>
  <r>
    <x v="6"/>
    <s v="G4 Technician"/>
    <x v="3"/>
    <x v="33"/>
    <n v="0"/>
  </r>
  <r>
    <x v="6"/>
    <s v="G4 Technician"/>
    <x v="3"/>
    <x v="34"/>
    <n v="1"/>
  </r>
  <r>
    <x v="6"/>
    <s v="G4 Technician"/>
    <x v="4"/>
    <x v="35"/>
    <n v="1"/>
  </r>
  <r>
    <x v="6"/>
    <s v="G4 Technician"/>
    <x v="4"/>
    <x v="36"/>
    <n v="0"/>
  </r>
  <r>
    <x v="6"/>
    <s v="G4 Technician"/>
    <x v="4"/>
    <x v="37"/>
    <n v="0"/>
  </r>
  <r>
    <x v="6"/>
    <s v="G4 Technician"/>
    <x v="4"/>
    <x v="38"/>
    <n v="1"/>
  </r>
  <r>
    <x v="6"/>
    <s v="G4 Technician"/>
    <x v="4"/>
    <x v="39"/>
    <n v="0"/>
  </r>
  <r>
    <x v="6"/>
    <s v="G4 Technician"/>
    <x v="4"/>
    <x v="40"/>
    <n v="1"/>
  </r>
  <r>
    <x v="6"/>
    <s v="G4 Technician"/>
    <x v="4"/>
    <x v="41"/>
    <n v="1"/>
  </r>
  <r>
    <x v="6"/>
    <s v="G4 Technician"/>
    <x v="4"/>
    <x v="42"/>
    <n v="1"/>
  </r>
  <r>
    <x v="6"/>
    <s v="G4 Technician"/>
    <x v="5"/>
    <x v="43"/>
    <n v="1"/>
  </r>
  <r>
    <x v="6"/>
    <s v="G4 Technician"/>
    <x v="5"/>
    <x v="44"/>
    <n v="2"/>
  </r>
  <r>
    <x v="6"/>
    <s v="G4 Technician"/>
    <x v="5"/>
    <x v="45"/>
    <n v="0"/>
  </r>
  <r>
    <x v="6"/>
    <s v="G4 Technician"/>
    <x v="5"/>
    <x v="46"/>
    <n v="0"/>
  </r>
  <r>
    <x v="6"/>
    <s v="G4 Technician"/>
    <x v="5"/>
    <x v="47"/>
    <n v="0"/>
  </r>
  <r>
    <x v="6"/>
    <s v="G4 Technician"/>
    <x v="5"/>
    <x v="48"/>
    <n v="0"/>
  </r>
  <r>
    <x v="6"/>
    <s v="G4 Technician"/>
    <x v="5"/>
    <x v="49"/>
    <n v="0"/>
  </r>
  <r>
    <x v="6"/>
    <s v="G4 Technician"/>
    <x v="5"/>
    <x v="50"/>
    <n v="0"/>
  </r>
  <r>
    <x v="6"/>
    <s v="G4 Technician"/>
    <x v="5"/>
    <x v="51"/>
    <n v="0"/>
  </r>
  <r>
    <x v="6"/>
    <s v="G4 Technician"/>
    <x v="5"/>
    <x v="52"/>
    <n v="1"/>
  </r>
  <r>
    <x v="6"/>
    <s v="G4 Technician"/>
    <x v="5"/>
    <x v="53"/>
    <n v="2"/>
  </r>
  <r>
    <x v="6"/>
    <s v="G4 Technician"/>
    <x v="5"/>
    <x v="54"/>
    <n v="1"/>
  </r>
  <r>
    <x v="6"/>
    <s v="G4 Technician"/>
    <x v="5"/>
    <x v="55"/>
    <n v="2"/>
  </r>
  <r>
    <x v="6"/>
    <s v="G4 Technician"/>
    <x v="5"/>
    <x v="56"/>
    <n v="1"/>
  </r>
  <r>
    <x v="6"/>
    <s v="G4 Technician"/>
    <x v="5"/>
    <x v="57"/>
    <n v="2"/>
  </r>
  <r>
    <x v="6"/>
    <s v="G4 Technician"/>
    <x v="5"/>
    <x v="58"/>
    <n v="0"/>
  </r>
  <r>
    <x v="6"/>
    <s v="G4 Technician"/>
    <x v="5"/>
    <x v="59"/>
    <n v="1"/>
  </r>
  <r>
    <x v="6"/>
    <s v="G4 Technician"/>
    <x v="5"/>
    <x v="60"/>
    <n v="2"/>
  </r>
  <r>
    <x v="6"/>
    <s v="G4 Technician"/>
    <x v="5"/>
    <x v="61"/>
    <n v="1"/>
  </r>
  <r>
    <x v="6"/>
    <s v="G4 Technician"/>
    <x v="5"/>
    <x v="62"/>
    <n v="1"/>
  </r>
  <r>
    <x v="6"/>
    <s v="G4 Technician"/>
    <x v="5"/>
    <x v="63"/>
    <n v="1"/>
  </r>
  <r>
    <x v="6"/>
    <s v="G4 Technician"/>
    <x v="5"/>
    <x v="64"/>
    <n v="1"/>
  </r>
  <r>
    <x v="6"/>
    <s v="G4 Technician"/>
    <x v="5"/>
    <x v="65"/>
    <n v="1"/>
  </r>
  <r>
    <x v="6"/>
    <s v="G4 Technician"/>
    <x v="5"/>
    <x v="66"/>
    <n v="0"/>
  </r>
  <r>
    <x v="6"/>
    <s v="G4 Technician"/>
    <x v="5"/>
    <x v="67"/>
    <n v="1"/>
  </r>
  <r>
    <x v="6"/>
    <s v="G4 Technician"/>
    <x v="5"/>
    <x v="68"/>
    <n v="1"/>
  </r>
  <r>
    <x v="6"/>
    <s v="G4 Technician"/>
    <x v="5"/>
    <x v="69"/>
    <n v="1"/>
  </r>
  <r>
    <x v="6"/>
    <s v="G4 Technician"/>
    <x v="5"/>
    <x v="70"/>
    <n v="2"/>
  </r>
  <r>
    <x v="6"/>
    <s v="G4 Technician"/>
    <x v="5"/>
    <x v="71"/>
    <n v="3"/>
  </r>
  <r>
    <x v="6"/>
    <s v="G4 Technician"/>
    <x v="5"/>
    <x v="72"/>
    <n v="2"/>
  </r>
  <r>
    <x v="6"/>
    <s v="G4 Technician"/>
    <x v="5"/>
    <x v="73"/>
    <n v="0"/>
  </r>
  <r>
    <x v="6"/>
    <s v="G4 Technician"/>
    <x v="5"/>
    <x v="74"/>
    <n v="1"/>
  </r>
  <r>
    <x v="6"/>
    <s v="G4 Technician"/>
    <x v="5"/>
    <x v="75"/>
    <n v="1"/>
  </r>
  <r>
    <x v="6"/>
    <s v="G4 Technician"/>
    <x v="5"/>
    <x v="76"/>
    <n v="2"/>
  </r>
  <r>
    <x v="6"/>
    <s v="G4 Technician"/>
    <x v="5"/>
    <x v="77"/>
    <n v="2"/>
  </r>
  <r>
    <x v="6"/>
    <s v="G4 Technician"/>
    <x v="5"/>
    <x v="78"/>
    <n v="0"/>
  </r>
  <r>
    <x v="6"/>
    <s v="G4 Technician"/>
    <x v="6"/>
    <x v="79"/>
    <n v="0"/>
  </r>
  <r>
    <x v="6"/>
    <s v="G4 Technician"/>
    <x v="6"/>
    <x v="80"/>
    <n v="0"/>
  </r>
  <r>
    <x v="6"/>
    <s v="G4 Technician"/>
    <x v="6"/>
    <x v="81"/>
    <n v="0"/>
  </r>
  <r>
    <x v="6"/>
    <s v="G4 Technician"/>
    <x v="6"/>
    <x v="82"/>
    <n v="0"/>
  </r>
  <r>
    <x v="6"/>
    <s v="G4 Technician"/>
    <x v="6"/>
    <x v="83"/>
    <n v="0"/>
  </r>
  <r>
    <x v="6"/>
    <s v="G4 Technician"/>
    <x v="6"/>
    <x v="84"/>
    <n v="0"/>
  </r>
  <r>
    <x v="6"/>
    <s v="G4 Technician"/>
    <x v="6"/>
    <x v="85"/>
    <n v="2"/>
  </r>
  <r>
    <x v="6"/>
    <s v="G4 Technician"/>
    <x v="6"/>
    <x v="86"/>
    <n v="0"/>
  </r>
  <r>
    <x v="6"/>
    <s v="G4 Technician"/>
    <x v="6"/>
    <x v="87"/>
    <n v="2"/>
  </r>
  <r>
    <x v="7"/>
    <s v="G5 Technician"/>
    <x v="0"/>
    <x v="0"/>
    <n v="3"/>
  </r>
  <r>
    <x v="7"/>
    <s v="G5 Technician"/>
    <x v="0"/>
    <x v="1"/>
    <n v="3"/>
  </r>
  <r>
    <x v="7"/>
    <s v="G5 Technician"/>
    <x v="0"/>
    <x v="2"/>
    <n v="4"/>
  </r>
  <r>
    <x v="7"/>
    <s v="G5 Technician"/>
    <x v="0"/>
    <x v="3"/>
    <n v="4"/>
  </r>
  <r>
    <x v="7"/>
    <s v="G5 Technician"/>
    <x v="0"/>
    <x v="4"/>
    <n v="3"/>
  </r>
  <r>
    <x v="7"/>
    <s v="G5 Technician"/>
    <x v="0"/>
    <x v="5"/>
    <n v="3"/>
  </r>
  <r>
    <x v="7"/>
    <s v="G5 Technician"/>
    <x v="0"/>
    <x v="6"/>
    <n v="2"/>
  </r>
  <r>
    <x v="7"/>
    <s v="G5 Technician"/>
    <x v="0"/>
    <x v="7"/>
    <n v="3"/>
  </r>
  <r>
    <x v="7"/>
    <s v="G5 Technician"/>
    <x v="0"/>
    <x v="8"/>
    <n v="3"/>
  </r>
  <r>
    <x v="7"/>
    <s v="G5 Technician"/>
    <x v="1"/>
    <x v="9"/>
    <n v="2"/>
  </r>
  <r>
    <x v="7"/>
    <s v="G5 Technician"/>
    <x v="1"/>
    <x v="10"/>
    <n v="1"/>
  </r>
  <r>
    <x v="7"/>
    <s v="G5 Technician"/>
    <x v="1"/>
    <x v="11"/>
    <n v="1"/>
  </r>
  <r>
    <x v="7"/>
    <s v="G5 Technician"/>
    <x v="1"/>
    <x v="12"/>
    <n v="1"/>
  </r>
  <r>
    <x v="7"/>
    <s v="G5 Technician"/>
    <x v="1"/>
    <x v="13"/>
    <n v="1"/>
  </r>
  <r>
    <x v="7"/>
    <s v="G5 Technician"/>
    <x v="1"/>
    <x v="14"/>
    <n v="2"/>
  </r>
  <r>
    <x v="7"/>
    <s v="G5 Technician"/>
    <x v="1"/>
    <x v="15"/>
    <n v="1"/>
  </r>
  <r>
    <x v="7"/>
    <s v="G5 Technician"/>
    <x v="1"/>
    <x v="16"/>
    <n v="1"/>
  </r>
  <r>
    <x v="7"/>
    <s v="G5 Technician"/>
    <x v="1"/>
    <x v="17"/>
    <n v="2"/>
  </r>
  <r>
    <x v="7"/>
    <s v="G5 Technician"/>
    <x v="1"/>
    <x v="18"/>
    <n v="3"/>
  </r>
  <r>
    <x v="7"/>
    <s v="G5 Technician"/>
    <x v="1"/>
    <x v="19"/>
    <n v="3"/>
  </r>
  <r>
    <x v="7"/>
    <s v="G5 Technician"/>
    <x v="2"/>
    <x v="20"/>
    <n v="1"/>
  </r>
  <r>
    <x v="7"/>
    <s v="G5 Technician"/>
    <x v="2"/>
    <x v="21"/>
    <n v="2"/>
  </r>
  <r>
    <x v="7"/>
    <s v="G5 Technician"/>
    <x v="2"/>
    <x v="22"/>
    <n v="3"/>
  </r>
  <r>
    <x v="7"/>
    <s v="G5 Technician"/>
    <x v="2"/>
    <x v="23"/>
    <n v="1"/>
  </r>
  <r>
    <x v="7"/>
    <s v="G5 Technician"/>
    <x v="2"/>
    <x v="24"/>
    <n v="2"/>
  </r>
  <r>
    <x v="7"/>
    <s v="G5 Technician"/>
    <x v="2"/>
    <x v="25"/>
    <n v="1"/>
  </r>
  <r>
    <x v="7"/>
    <s v="G5 Technician"/>
    <x v="3"/>
    <x v="26"/>
    <n v="1"/>
  </r>
  <r>
    <x v="7"/>
    <s v="G5 Technician"/>
    <x v="3"/>
    <x v="27"/>
    <n v="2"/>
  </r>
  <r>
    <x v="7"/>
    <s v="G5 Technician"/>
    <x v="3"/>
    <x v="28"/>
    <n v="0"/>
  </r>
  <r>
    <x v="7"/>
    <s v="G5 Technician"/>
    <x v="3"/>
    <x v="29"/>
    <n v="1"/>
  </r>
  <r>
    <x v="7"/>
    <s v="G5 Technician"/>
    <x v="3"/>
    <x v="30"/>
    <n v="0"/>
  </r>
  <r>
    <x v="7"/>
    <s v="G5 Technician"/>
    <x v="3"/>
    <x v="31"/>
    <n v="1"/>
  </r>
  <r>
    <x v="7"/>
    <s v="G5 Technician"/>
    <x v="3"/>
    <x v="32"/>
    <n v="2"/>
  </r>
  <r>
    <x v="7"/>
    <s v="G5 Technician"/>
    <x v="3"/>
    <x v="33"/>
    <n v="1"/>
  </r>
  <r>
    <x v="7"/>
    <s v="G5 Technician"/>
    <x v="3"/>
    <x v="34"/>
    <n v="1"/>
  </r>
  <r>
    <x v="7"/>
    <s v="G5 Technician"/>
    <x v="4"/>
    <x v="35"/>
    <n v="1"/>
  </r>
  <r>
    <x v="7"/>
    <s v="G5 Technician"/>
    <x v="4"/>
    <x v="36"/>
    <n v="0"/>
  </r>
  <r>
    <x v="7"/>
    <s v="G5 Technician"/>
    <x v="4"/>
    <x v="37"/>
    <n v="0"/>
  </r>
  <r>
    <x v="7"/>
    <s v="G5 Technician"/>
    <x v="4"/>
    <x v="38"/>
    <n v="1"/>
  </r>
  <r>
    <x v="7"/>
    <s v="G5 Technician"/>
    <x v="4"/>
    <x v="39"/>
    <n v="0"/>
  </r>
  <r>
    <x v="7"/>
    <s v="G5 Technician"/>
    <x v="4"/>
    <x v="40"/>
    <n v="2"/>
  </r>
  <r>
    <x v="7"/>
    <s v="G5 Technician"/>
    <x v="4"/>
    <x v="41"/>
    <n v="2"/>
  </r>
  <r>
    <x v="7"/>
    <s v="G5 Technician"/>
    <x v="4"/>
    <x v="42"/>
    <n v="1"/>
  </r>
  <r>
    <x v="7"/>
    <s v="G5 Technician"/>
    <x v="5"/>
    <x v="43"/>
    <n v="1"/>
  </r>
  <r>
    <x v="7"/>
    <s v="G5 Technician"/>
    <x v="5"/>
    <x v="44"/>
    <n v="2"/>
  </r>
  <r>
    <x v="7"/>
    <s v="G5 Technician"/>
    <x v="5"/>
    <x v="45"/>
    <n v="2"/>
  </r>
  <r>
    <x v="7"/>
    <s v="G5 Technician"/>
    <x v="5"/>
    <x v="46"/>
    <n v="2"/>
  </r>
  <r>
    <x v="7"/>
    <s v="G5 Technician"/>
    <x v="5"/>
    <x v="47"/>
    <n v="1"/>
  </r>
  <r>
    <x v="7"/>
    <s v="G5 Technician"/>
    <x v="5"/>
    <x v="48"/>
    <n v="1"/>
  </r>
  <r>
    <x v="7"/>
    <s v="G5 Technician"/>
    <x v="5"/>
    <x v="49"/>
    <n v="1"/>
  </r>
  <r>
    <x v="7"/>
    <s v="G5 Technician"/>
    <x v="5"/>
    <x v="50"/>
    <n v="2"/>
  </r>
  <r>
    <x v="7"/>
    <s v="G5 Technician"/>
    <x v="5"/>
    <x v="51"/>
    <n v="1"/>
  </r>
  <r>
    <x v="7"/>
    <s v="G5 Technician"/>
    <x v="5"/>
    <x v="52"/>
    <n v="1"/>
  </r>
  <r>
    <x v="7"/>
    <s v="G5 Technician"/>
    <x v="5"/>
    <x v="53"/>
    <n v="2"/>
  </r>
  <r>
    <x v="7"/>
    <s v="G5 Technician"/>
    <x v="5"/>
    <x v="54"/>
    <n v="2"/>
  </r>
  <r>
    <x v="7"/>
    <s v="G5 Technician"/>
    <x v="5"/>
    <x v="55"/>
    <n v="3"/>
  </r>
  <r>
    <x v="7"/>
    <s v="G5 Technician"/>
    <x v="5"/>
    <x v="56"/>
    <n v="1"/>
  </r>
  <r>
    <x v="7"/>
    <s v="G5 Technician"/>
    <x v="5"/>
    <x v="57"/>
    <n v="2"/>
  </r>
  <r>
    <x v="7"/>
    <s v="G5 Technician"/>
    <x v="5"/>
    <x v="58"/>
    <n v="3"/>
  </r>
  <r>
    <x v="7"/>
    <s v="G5 Technician"/>
    <x v="5"/>
    <x v="59"/>
    <n v="3"/>
  </r>
  <r>
    <x v="7"/>
    <s v="G5 Technician"/>
    <x v="5"/>
    <x v="60"/>
    <n v="3"/>
  </r>
  <r>
    <x v="7"/>
    <s v="G5 Technician"/>
    <x v="5"/>
    <x v="61"/>
    <n v="1"/>
  </r>
  <r>
    <x v="7"/>
    <s v="G5 Technician"/>
    <x v="5"/>
    <x v="62"/>
    <n v="0"/>
  </r>
  <r>
    <x v="7"/>
    <s v="G5 Technician"/>
    <x v="5"/>
    <x v="63"/>
    <n v="1"/>
  </r>
  <r>
    <x v="7"/>
    <s v="G5 Technician"/>
    <x v="5"/>
    <x v="64"/>
    <n v="2"/>
  </r>
  <r>
    <x v="7"/>
    <s v="G5 Technician"/>
    <x v="5"/>
    <x v="65"/>
    <n v="1"/>
  </r>
  <r>
    <x v="7"/>
    <s v="G5 Technician"/>
    <x v="5"/>
    <x v="66"/>
    <n v="0"/>
  </r>
  <r>
    <x v="7"/>
    <s v="G5 Technician"/>
    <x v="5"/>
    <x v="67"/>
    <n v="1"/>
  </r>
  <r>
    <x v="7"/>
    <s v="G5 Technician"/>
    <x v="5"/>
    <x v="68"/>
    <n v="0"/>
  </r>
  <r>
    <x v="7"/>
    <s v="G5 Technician"/>
    <x v="5"/>
    <x v="69"/>
    <n v="1"/>
  </r>
  <r>
    <x v="7"/>
    <s v="G5 Technician"/>
    <x v="5"/>
    <x v="70"/>
    <n v="0"/>
  </r>
  <r>
    <x v="7"/>
    <s v="G5 Technician"/>
    <x v="5"/>
    <x v="71"/>
    <n v="4"/>
  </r>
  <r>
    <x v="7"/>
    <s v="G5 Technician"/>
    <x v="5"/>
    <x v="72"/>
    <n v="3"/>
  </r>
  <r>
    <x v="7"/>
    <s v="G5 Technician"/>
    <x v="5"/>
    <x v="73"/>
    <n v="2"/>
  </r>
  <r>
    <x v="7"/>
    <s v="G5 Technician"/>
    <x v="5"/>
    <x v="74"/>
    <n v="2"/>
  </r>
  <r>
    <x v="7"/>
    <s v="G5 Technician"/>
    <x v="5"/>
    <x v="75"/>
    <n v="3"/>
  </r>
  <r>
    <x v="7"/>
    <s v="G5 Technician"/>
    <x v="5"/>
    <x v="76"/>
    <n v="2"/>
  </r>
  <r>
    <x v="7"/>
    <s v="G5 Technician"/>
    <x v="5"/>
    <x v="77"/>
    <n v="3"/>
  </r>
  <r>
    <x v="7"/>
    <s v="G5 Technician"/>
    <x v="5"/>
    <x v="78"/>
    <n v="3"/>
  </r>
  <r>
    <x v="7"/>
    <s v="G5 Technician"/>
    <x v="6"/>
    <x v="79"/>
    <n v="1"/>
  </r>
  <r>
    <x v="7"/>
    <s v="G5 Technician"/>
    <x v="6"/>
    <x v="80"/>
    <n v="1"/>
  </r>
  <r>
    <x v="7"/>
    <s v="G5 Technician"/>
    <x v="6"/>
    <x v="81"/>
    <n v="0"/>
  </r>
  <r>
    <x v="7"/>
    <s v="G5 Technician"/>
    <x v="6"/>
    <x v="82"/>
    <n v="0"/>
  </r>
  <r>
    <x v="7"/>
    <s v="G5 Technician"/>
    <x v="6"/>
    <x v="83"/>
    <n v="0"/>
  </r>
  <r>
    <x v="7"/>
    <s v="G5 Technician"/>
    <x v="6"/>
    <x v="84"/>
    <n v="0"/>
  </r>
  <r>
    <x v="7"/>
    <s v="G5 Technician"/>
    <x v="6"/>
    <x v="85"/>
    <n v="0"/>
  </r>
  <r>
    <x v="7"/>
    <s v="G5 Technician"/>
    <x v="6"/>
    <x v="86"/>
    <n v="2"/>
  </r>
  <r>
    <x v="7"/>
    <s v="G5 Technician"/>
    <x v="6"/>
    <x v="87"/>
    <n v="1"/>
  </r>
  <r>
    <x v="8"/>
    <s v="G6 Technician"/>
    <x v="0"/>
    <x v="0"/>
    <n v="3"/>
  </r>
  <r>
    <x v="8"/>
    <s v="G6 Technician"/>
    <x v="0"/>
    <x v="1"/>
    <n v="3"/>
  </r>
  <r>
    <x v="8"/>
    <s v="G6 Technician"/>
    <x v="0"/>
    <x v="2"/>
    <n v="3"/>
  </r>
  <r>
    <x v="8"/>
    <s v="G6 Technician"/>
    <x v="0"/>
    <x v="3"/>
    <n v="3"/>
  </r>
  <r>
    <x v="8"/>
    <s v="G6 Technician"/>
    <x v="0"/>
    <x v="4"/>
    <n v="2"/>
  </r>
  <r>
    <x v="8"/>
    <s v="G6 Technician"/>
    <x v="0"/>
    <x v="5"/>
    <n v="3"/>
  </r>
  <r>
    <x v="8"/>
    <s v="G6 Technician"/>
    <x v="0"/>
    <x v="6"/>
    <n v="3"/>
  </r>
  <r>
    <x v="8"/>
    <s v="G6 Technician"/>
    <x v="0"/>
    <x v="7"/>
    <n v="3"/>
  </r>
  <r>
    <x v="8"/>
    <s v="G6 Technician"/>
    <x v="0"/>
    <x v="8"/>
    <n v="1"/>
  </r>
  <r>
    <x v="8"/>
    <s v="G6 Technician"/>
    <x v="1"/>
    <x v="9"/>
    <n v="2"/>
  </r>
  <r>
    <x v="8"/>
    <s v="G6 Technician"/>
    <x v="1"/>
    <x v="10"/>
    <n v="2"/>
  </r>
  <r>
    <x v="8"/>
    <s v="G6 Technician"/>
    <x v="1"/>
    <x v="11"/>
    <n v="3"/>
  </r>
  <r>
    <x v="8"/>
    <s v="G6 Technician"/>
    <x v="1"/>
    <x v="12"/>
    <n v="1"/>
  </r>
  <r>
    <x v="8"/>
    <s v="G6 Technician"/>
    <x v="1"/>
    <x v="13"/>
    <n v="1"/>
  </r>
  <r>
    <x v="8"/>
    <s v="G6 Technician"/>
    <x v="1"/>
    <x v="14"/>
    <n v="3"/>
  </r>
  <r>
    <x v="8"/>
    <s v="G6 Technician"/>
    <x v="1"/>
    <x v="15"/>
    <n v="2"/>
  </r>
  <r>
    <x v="8"/>
    <s v="G6 Technician"/>
    <x v="1"/>
    <x v="16"/>
    <n v="2"/>
  </r>
  <r>
    <x v="8"/>
    <s v="G6 Technician"/>
    <x v="1"/>
    <x v="17"/>
    <n v="1"/>
  </r>
  <r>
    <x v="8"/>
    <s v="G6 Technician"/>
    <x v="1"/>
    <x v="18"/>
    <n v="3"/>
  </r>
  <r>
    <x v="8"/>
    <s v="G6 Technician"/>
    <x v="1"/>
    <x v="19"/>
    <n v="2"/>
  </r>
  <r>
    <x v="8"/>
    <s v="G6 Technician"/>
    <x v="2"/>
    <x v="20"/>
    <n v="0"/>
  </r>
  <r>
    <x v="8"/>
    <s v="G6 Technician"/>
    <x v="2"/>
    <x v="21"/>
    <n v="0"/>
  </r>
  <r>
    <x v="8"/>
    <s v="G6 Technician"/>
    <x v="2"/>
    <x v="22"/>
    <n v="2"/>
  </r>
  <r>
    <x v="8"/>
    <s v="G6 Technician"/>
    <x v="2"/>
    <x v="23"/>
    <n v="0"/>
  </r>
  <r>
    <x v="8"/>
    <s v="G6 Technician"/>
    <x v="2"/>
    <x v="24"/>
    <n v="2"/>
  </r>
  <r>
    <x v="8"/>
    <s v="G6 Technician"/>
    <x v="2"/>
    <x v="25"/>
    <n v="1"/>
  </r>
  <r>
    <x v="8"/>
    <s v="G6 Technician"/>
    <x v="3"/>
    <x v="26"/>
    <n v="0"/>
  </r>
  <r>
    <x v="8"/>
    <s v="G6 Technician"/>
    <x v="3"/>
    <x v="27"/>
    <n v="2"/>
  </r>
  <r>
    <x v="8"/>
    <s v="G6 Technician"/>
    <x v="3"/>
    <x v="28"/>
    <n v="0"/>
  </r>
  <r>
    <x v="8"/>
    <s v="G6 Technician"/>
    <x v="3"/>
    <x v="29"/>
    <n v="1"/>
  </r>
  <r>
    <x v="8"/>
    <s v="G6 Technician"/>
    <x v="3"/>
    <x v="30"/>
    <n v="1"/>
  </r>
  <r>
    <x v="8"/>
    <s v="G6 Technician"/>
    <x v="3"/>
    <x v="31"/>
    <n v="1"/>
  </r>
  <r>
    <x v="8"/>
    <s v="G6 Technician"/>
    <x v="3"/>
    <x v="32"/>
    <n v="1"/>
  </r>
  <r>
    <x v="8"/>
    <s v="G6 Technician"/>
    <x v="3"/>
    <x v="33"/>
    <n v="0"/>
  </r>
  <r>
    <x v="8"/>
    <s v="G6 Technician"/>
    <x v="3"/>
    <x v="34"/>
    <n v="1"/>
  </r>
  <r>
    <x v="8"/>
    <s v="G6 Technician"/>
    <x v="4"/>
    <x v="35"/>
    <n v="1"/>
  </r>
  <r>
    <x v="8"/>
    <s v="G6 Technician"/>
    <x v="4"/>
    <x v="36"/>
    <n v="0"/>
  </r>
  <r>
    <x v="8"/>
    <s v="G6 Technician"/>
    <x v="4"/>
    <x v="37"/>
    <n v="1"/>
  </r>
  <r>
    <x v="8"/>
    <s v="G6 Technician"/>
    <x v="4"/>
    <x v="38"/>
    <n v="1"/>
  </r>
  <r>
    <x v="8"/>
    <s v="G6 Technician"/>
    <x v="4"/>
    <x v="39"/>
    <n v="1"/>
  </r>
  <r>
    <x v="8"/>
    <s v="G6 Technician"/>
    <x v="4"/>
    <x v="40"/>
    <n v="3"/>
  </r>
  <r>
    <x v="8"/>
    <s v="G6 Technician"/>
    <x v="4"/>
    <x v="41"/>
    <n v="1"/>
  </r>
  <r>
    <x v="8"/>
    <s v="G6 Technician"/>
    <x v="4"/>
    <x v="42"/>
    <n v="0"/>
  </r>
  <r>
    <x v="8"/>
    <s v="G6 Technician"/>
    <x v="5"/>
    <x v="43"/>
    <n v="1"/>
  </r>
  <r>
    <x v="8"/>
    <s v="G6 Technician"/>
    <x v="5"/>
    <x v="44"/>
    <n v="2"/>
  </r>
  <r>
    <x v="8"/>
    <s v="G6 Technician"/>
    <x v="5"/>
    <x v="45"/>
    <n v="0"/>
  </r>
  <r>
    <x v="8"/>
    <s v="G6 Technician"/>
    <x v="5"/>
    <x v="46"/>
    <n v="2"/>
  </r>
  <r>
    <x v="8"/>
    <s v="G6 Technician"/>
    <x v="5"/>
    <x v="47"/>
    <n v="1"/>
  </r>
  <r>
    <x v="8"/>
    <s v="G6 Technician"/>
    <x v="5"/>
    <x v="48"/>
    <n v="0"/>
  </r>
  <r>
    <x v="8"/>
    <s v="G6 Technician"/>
    <x v="5"/>
    <x v="49"/>
    <n v="1"/>
  </r>
  <r>
    <x v="8"/>
    <s v="G6 Technician"/>
    <x v="5"/>
    <x v="50"/>
    <n v="0"/>
  </r>
  <r>
    <x v="8"/>
    <s v="G6 Technician"/>
    <x v="5"/>
    <x v="51"/>
    <n v="1"/>
  </r>
  <r>
    <x v="8"/>
    <s v="G6 Technician"/>
    <x v="5"/>
    <x v="52"/>
    <n v="1"/>
  </r>
  <r>
    <x v="8"/>
    <s v="G6 Technician"/>
    <x v="5"/>
    <x v="53"/>
    <n v="1"/>
  </r>
  <r>
    <x v="8"/>
    <s v="G6 Technician"/>
    <x v="5"/>
    <x v="54"/>
    <n v="1"/>
  </r>
  <r>
    <x v="8"/>
    <s v="G6 Technician"/>
    <x v="5"/>
    <x v="55"/>
    <n v="2"/>
  </r>
  <r>
    <x v="8"/>
    <s v="G6 Technician"/>
    <x v="5"/>
    <x v="56"/>
    <n v="1"/>
  </r>
  <r>
    <x v="8"/>
    <s v="G6 Technician"/>
    <x v="5"/>
    <x v="57"/>
    <n v="2"/>
  </r>
  <r>
    <x v="8"/>
    <s v="G6 Technician"/>
    <x v="5"/>
    <x v="58"/>
    <n v="1"/>
  </r>
  <r>
    <x v="8"/>
    <s v="G6 Technician"/>
    <x v="5"/>
    <x v="59"/>
    <n v="1"/>
  </r>
  <r>
    <x v="8"/>
    <s v="G6 Technician"/>
    <x v="5"/>
    <x v="60"/>
    <n v="2"/>
  </r>
  <r>
    <x v="8"/>
    <s v="G6 Technician"/>
    <x v="5"/>
    <x v="61"/>
    <n v="1"/>
  </r>
  <r>
    <x v="8"/>
    <s v="G6 Technician"/>
    <x v="5"/>
    <x v="62"/>
    <n v="0"/>
  </r>
  <r>
    <x v="8"/>
    <s v="G6 Technician"/>
    <x v="5"/>
    <x v="63"/>
    <n v="1"/>
  </r>
  <r>
    <x v="8"/>
    <s v="G6 Technician"/>
    <x v="5"/>
    <x v="64"/>
    <n v="1"/>
  </r>
  <r>
    <x v="8"/>
    <s v="G6 Technician"/>
    <x v="5"/>
    <x v="65"/>
    <n v="0"/>
  </r>
  <r>
    <x v="8"/>
    <s v="G6 Technician"/>
    <x v="5"/>
    <x v="66"/>
    <n v="0"/>
  </r>
  <r>
    <x v="8"/>
    <s v="G6 Technician"/>
    <x v="5"/>
    <x v="67"/>
    <n v="0"/>
  </r>
  <r>
    <x v="8"/>
    <s v="G6 Technician"/>
    <x v="5"/>
    <x v="68"/>
    <n v="0"/>
  </r>
  <r>
    <x v="8"/>
    <s v="G6 Technician"/>
    <x v="5"/>
    <x v="69"/>
    <n v="2"/>
  </r>
  <r>
    <x v="8"/>
    <s v="G6 Technician"/>
    <x v="5"/>
    <x v="70"/>
    <n v="1"/>
  </r>
  <r>
    <x v="8"/>
    <s v="G6 Technician"/>
    <x v="5"/>
    <x v="71"/>
    <n v="3"/>
  </r>
  <r>
    <x v="8"/>
    <s v="G6 Technician"/>
    <x v="5"/>
    <x v="72"/>
    <n v="3"/>
  </r>
  <r>
    <x v="8"/>
    <s v="G6 Technician"/>
    <x v="5"/>
    <x v="73"/>
    <n v="1"/>
  </r>
  <r>
    <x v="8"/>
    <s v="G6 Technician"/>
    <x v="5"/>
    <x v="74"/>
    <n v="3"/>
  </r>
  <r>
    <x v="8"/>
    <s v="G6 Technician"/>
    <x v="5"/>
    <x v="75"/>
    <n v="2"/>
  </r>
  <r>
    <x v="8"/>
    <s v="G6 Technician"/>
    <x v="5"/>
    <x v="76"/>
    <n v="3"/>
  </r>
  <r>
    <x v="8"/>
    <s v="G6 Technician"/>
    <x v="5"/>
    <x v="77"/>
    <n v="2"/>
  </r>
  <r>
    <x v="8"/>
    <s v="G6 Technician"/>
    <x v="5"/>
    <x v="78"/>
    <n v="0"/>
  </r>
  <r>
    <x v="8"/>
    <s v="G6 Technician"/>
    <x v="6"/>
    <x v="79"/>
    <n v="0"/>
  </r>
  <r>
    <x v="8"/>
    <s v="G6 Technician"/>
    <x v="6"/>
    <x v="80"/>
    <n v="2"/>
  </r>
  <r>
    <x v="8"/>
    <s v="G6 Technician"/>
    <x v="6"/>
    <x v="81"/>
    <n v="0"/>
  </r>
  <r>
    <x v="8"/>
    <s v="G6 Technician"/>
    <x v="6"/>
    <x v="82"/>
    <n v="0"/>
  </r>
  <r>
    <x v="8"/>
    <s v="G6 Technician"/>
    <x v="6"/>
    <x v="83"/>
    <n v="0"/>
  </r>
  <r>
    <x v="8"/>
    <s v="G6 Technician"/>
    <x v="6"/>
    <x v="84"/>
    <n v="0"/>
  </r>
  <r>
    <x v="8"/>
    <s v="G6 Technician"/>
    <x v="6"/>
    <x v="85"/>
    <n v="1"/>
  </r>
  <r>
    <x v="8"/>
    <s v="G6 Technician"/>
    <x v="6"/>
    <x v="86"/>
    <n v="0"/>
  </r>
  <r>
    <x v="8"/>
    <s v="G6 Technician"/>
    <x v="6"/>
    <x v="87"/>
    <n v="1"/>
  </r>
  <r>
    <x v="9"/>
    <s v="G7 Assistant Systems Mgr"/>
    <x v="0"/>
    <x v="0"/>
    <n v="4"/>
  </r>
  <r>
    <x v="9"/>
    <s v="G7 Assistant Systems Mgr"/>
    <x v="0"/>
    <x v="1"/>
    <n v="3"/>
  </r>
  <r>
    <x v="9"/>
    <s v="G7 Assistant Systems Mgr"/>
    <x v="0"/>
    <x v="2"/>
    <n v="3"/>
  </r>
  <r>
    <x v="9"/>
    <s v="G7 Assistant Systems Mgr"/>
    <x v="0"/>
    <x v="3"/>
    <n v="3"/>
  </r>
  <r>
    <x v="9"/>
    <s v="G7 Assistant Systems Mgr"/>
    <x v="0"/>
    <x v="4"/>
    <n v="3"/>
  </r>
  <r>
    <x v="9"/>
    <s v="G7 Assistant Systems Mgr"/>
    <x v="0"/>
    <x v="5"/>
    <n v="3"/>
  </r>
  <r>
    <x v="9"/>
    <s v="G7 Assistant Systems Mgr"/>
    <x v="0"/>
    <x v="6"/>
    <n v="3"/>
  </r>
  <r>
    <x v="9"/>
    <s v="G7 Assistant Systems Mgr"/>
    <x v="0"/>
    <x v="7"/>
    <n v="3"/>
  </r>
  <r>
    <x v="9"/>
    <s v="G7 Assistant Systems Mgr"/>
    <x v="0"/>
    <x v="8"/>
    <n v="3"/>
  </r>
  <r>
    <x v="9"/>
    <s v="G7 Assistant Systems Mgr"/>
    <x v="1"/>
    <x v="9"/>
    <n v="3"/>
  </r>
  <r>
    <x v="9"/>
    <s v="G7 Assistant Systems Mgr"/>
    <x v="1"/>
    <x v="10"/>
    <n v="3"/>
  </r>
  <r>
    <x v="9"/>
    <s v="G7 Assistant Systems Mgr"/>
    <x v="1"/>
    <x v="11"/>
    <n v="3"/>
  </r>
  <r>
    <x v="9"/>
    <s v="G7 Assistant Systems Mgr"/>
    <x v="1"/>
    <x v="12"/>
    <n v="2"/>
  </r>
  <r>
    <x v="9"/>
    <s v="G7 Assistant Systems Mgr"/>
    <x v="1"/>
    <x v="13"/>
    <n v="2"/>
  </r>
  <r>
    <x v="9"/>
    <s v="G7 Assistant Systems Mgr"/>
    <x v="1"/>
    <x v="14"/>
    <n v="3"/>
  </r>
  <r>
    <x v="9"/>
    <s v="G7 Assistant Systems Mgr"/>
    <x v="1"/>
    <x v="15"/>
    <n v="3"/>
  </r>
  <r>
    <x v="9"/>
    <s v="G7 Assistant Systems Mgr"/>
    <x v="1"/>
    <x v="16"/>
    <n v="3"/>
  </r>
  <r>
    <x v="9"/>
    <s v="G7 Assistant Systems Mgr"/>
    <x v="1"/>
    <x v="17"/>
    <n v="2"/>
  </r>
  <r>
    <x v="9"/>
    <s v="G7 Assistant Systems Mgr"/>
    <x v="1"/>
    <x v="18"/>
    <n v="3"/>
  </r>
  <r>
    <x v="9"/>
    <s v="G7 Assistant Systems Mgr"/>
    <x v="1"/>
    <x v="19"/>
    <n v="3"/>
  </r>
  <r>
    <x v="9"/>
    <s v="G7 Assistant Systems Mgr"/>
    <x v="2"/>
    <x v="20"/>
    <n v="2"/>
  </r>
  <r>
    <x v="9"/>
    <s v="G7 Assistant Systems Mgr"/>
    <x v="2"/>
    <x v="21"/>
    <n v="3"/>
  </r>
  <r>
    <x v="9"/>
    <s v="G7 Assistant Systems Mgr"/>
    <x v="2"/>
    <x v="22"/>
    <n v="3"/>
  </r>
  <r>
    <x v="9"/>
    <s v="G7 Assistant Systems Mgr"/>
    <x v="2"/>
    <x v="23"/>
    <n v="3"/>
  </r>
  <r>
    <x v="9"/>
    <s v="G7 Assistant Systems Mgr"/>
    <x v="2"/>
    <x v="24"/>
    <n v="3"/>
  </r>
  <r>
    <x v="9"/>
    <s v="G7 Assistant Systems Mgr"/>
    <x v="2"/>
    <x v="25"/>
    <n v="3"/>
  </r>
  <r>
    <x v="9"/>
    <s v="G7 Assistant Systems Mgr"/>
    <x v="3"/>
    <x v="26"/>
    <n v="2"/>
  </r>
  <r>
    <x v="9"/>
    <s v="G7 Assistant Systems Mgr"/>
    <x v="3"/>
    <x v="27"/>
    <n v="2"/>
  </r>
  <r>
    <x v="9"/>
    <s v="G7 Assistant Systems Mgr"/>
    <x v="3"/>
    <x v="28"/>
    <n v="2"/>
  </r>
  <r>
    <x v="9"/>
    <s v="G7 Assistant Systems Mgr"/>
    <x v="3"/>
    <x v="29"/>
    <n v="2"/>
  </r>
  <r>
    <x v="9"/>
    <s v="G7 Assistant Systems Mgr"/>
    <x v="3"/>
    <x v="30"/>
    <n v="2"/>
  </r>
  <r>
    <x v="9"/>
    <s v="G7 Assistant Systems Mgr"/>
    <x v="3"/>
    <x v="31"/>
    <n v="2"/>
  </r>
  <r>
    <x v="9"/>
    <s v="G7 Assistant Systems Mgr"/>
    <x v="3"/>
    <x v="32"/>
    <n v="2"/>
  </r>
  <r>
    <x v="9"/>
    <s v="G7 Assistant Systems Mgr"/>
    <x v="3"/>
    <x v="33"/>
    <n v="2"/>
  </r>
  <r>
    <x v="9"/>
    <s v="G7 Assistant Systems Mgr"/>
    <x v="3"/>
    <x v="34"/>
    <n v="2"/>
  </r>
  <r>
    <x v="9"/>
    <s v="G7 Assistant Systems Mgr"/>
    <x v="4"/>
    <x v="35"/>
    <n v="2"/>
  </r>
  <r>
    <x v="9"/>
    <s v="G7 Assistant Systems Mgr"/>
    <x v="4"/>
    <x v="36"/>
    <n v="2"/>
  </r>
  <r>
    <x v="9"/>
    <s v="G7 Assistant Systems Mgr"/>
    <x v="4"/>
    <x v="37"/>
    <n v="2"/>
  </r>
  <r>
    <x v="9"/>
    <s v="G7 Assistant Systems Mgr"/>
    <x v="4"/>
    <x v="38"/>
    <n v="2"/>
  </r>
  <r>
    <x v="9"/>
    <s v="G7 Assistant Systems Mgr"/>
    <x v="4"/>
    <x v="39"/>
    <n v="1"/>
  </r>
  <r>
    <x v="9"/>
    <s v="G7 Assistant Systems Mgr"/>
    <x v="4"/>
    <x v="40"/>
    <n v="3"/>
  </r>
  <r>
    <x v="9"/>
    <s v="G7 Assistant Systems Mgr"/>
    <x v="4"/>
    <x v="41"/>
    <n v="2"/>
  </r>
  <r>
    <x v="9"/>
    <s v="G7 Assistant Systems Mgr"/>
    <x v="4"/>
    <x v="42"/>
    <n v="2"/>
  </r>
  <r>
    <x v="9"/>
    <s v="G7 Assistant Systems Mgr"/>
    <x v="5"/>
    <x v="43"/>
    <n v="2"/>
  </r>
  <r>
    <x v="9"/>
    <s v="G7 Assistant Systems Mgr"/>
    <x v="5"/>
    <x v="44"/>
    <n v="2"/>
  </r>
  <r>
    <x v="9"/>
    <s v="G7 Assistant Systems Mgr"/>
    <x v="5"/>
    <x v="45"/>
    <n v="1"/>
  </r>
  <r>
    <x v="9"/>
    <s v="G7 Assistant Systems Mgr"/>
    <x v="5"/>
    <x v="46"/>
    <n v="1"/>
  </r>
  <r>
    <x v="9"/>
    <s v="G7 Assistant Systems Mgr"/>
    <x v="5"/>
    <x v="47"/>
    <n v="1"/>
  </r>
  <r>
    <x v="9"/>
    <s v="G7 Assistant Systems Mgr"/>
    <x v="5"/>
    <x v="48"/>
    <n v="1"/>
  </r>
  <r>
    <x v="9"/>
    <s v="G7 Assistant Systems Mgr"/>
    <x v="5"/>
    <x v="49"/>
    <n v="1"/>
  </r>
  <r>
    <x v="9"/>
    <s v="G7 Assistant Systems Mgr"/>
    <x v="5"/>
    <x v="50"/>
    <n v="3"/>
  </r>
  <r>
    <x v="9"/>
    <s v="G7 Assistant Systems Mgr"/>
    <x v="5"/>
    <x v="51"/>
    <n v="3"/>
  </r>
  <r>
    <x v="9"/>
    <s v="G7 Assistant Systems Mgr"/>
    <x v="5"/>
    <x v="52"/>
    <n v="4"/>
  </r>
  <r>
    <x v="9"/>
    <s v="G7 Assistant Systems Mgr"/>
    <x v="5"/>
    <x v="53"/>
    <n v="4"/>
  </r>
  <r>
    <x v="9"/>
    <s v="G7 Assistant Systems Mgr"/>
    <x v="5"/>
    <x v="54"/>
    <n v="4"/>
  </r>
  <r>
    <x v="9"/>
    <s v="G7 Assistant Systems Mgr"/>
    <x v="5"/>
    <x v="55"/>
    <n v="3"/>
  </r>
  <r>
    <x v="9"/>
    <s v="G7 Assistant Systems Mgr"/>
    <x v="5"/>
    <x v="56"/>
    <n v="3"/>
  </r>
  <r>
    <x v="9"/>
    <s v="G7 Assistant Systems Mgr"/>
    <x v="5"/>
    <x v="57"/>
    <n v="3"/>
  </r>
  <r>
    <x v="9"/>
    <s v="G7 Assistant Systems Mgr"/>
    <x v="5"/>
    <x v="58"/>
    <n v="2"/>
  </r>
  <r>
    <x v="9"/>
    <s v="G7 Assistant Systems Mgr"/>
    <x v="5"/>
    <x v="59"/>
    <n v="2"/>
  </r>
  <r>
    <x v="9"/>
    <s v="G7 Assistant Systems Mgr"/>
    <x v="5"/>
    <x v="60"/>
    <n v="3"/>
  </r>
  <r>
    <x v="9"/>
    <s v="G7 Assistant Systems Mgr"/>
    <x v="5"/>
    <x v="61"/>
    <n v="1"/>
  </r>
  <r>
    <x v="9"/>
    <s v="G7 Assistant Systems Mgr"/>
    <x v="5"/>
    <x v="62"/>
    <n v="1"/>
  </r>
  <r>
    <x v="9"/>
    <s v="G7 Assistant Systems Mgr"/>
    <x v="5"/>
    <x v="63"/>
    <n v="2"/>
  </r>
  <r>
    <x v="9"/>
    <s v="G7 Assistant Systems Mgr"/>
    <x v="5"/>
    <x v="64"/>
    <n v="3"/>
  </r>
  <r>
    <x v="9"/>
    <s v="G7 Assistant Systems Mgr"/>
    <x v="5"/>
    <x v="65"/>
    <n v="1"/>
  </r>
  <r>
    <x v="9"/>
    <s v="G7 Assistant Systems Mgr"/>
    <x v="5"/>
    <x v="66"/>
    <n v="1"/>
  </r>
  <r>
    <x v="9"/>
    <s v="G7 Assistant Systems Mgr"/>
    <x v="5"/>
    <x v="67"/>
    <n v="2"/>
  </r>
  <r>
    <x v="9"/>
    <s v="G7 Assistant Systems Mgr"/>
    <x v="5"/>
    <x v="68"/>
    <n v="1"/>
  </r>
  <r>
    <x v="9"/>
    <s v="G7 Assistant Systems Mgr"/>
    <x v="5"/>
    <x v="69"/>
    <n v="3"/>
  </r>
  <r>
    <x v="9"/>
    <s v="G7 Assistant Systems Mgr"/>
    <x v="5"/>
    <x v="70"/>
    <n v="2"/>
  </r>
  <r>
    <x v="9"/>
    <s v="G7 Assistant Systems Mgr"/>
    <x v="5"/>
    <x v="71"/>
    <n v="4"/>
  </r>
  <r>
    <x v="9"/>
    <s v="G7 Assistant Systems Mgr"/>
    <x v="5"/>
    <x v="72"/>
    <n v="3"/>
  </r>
  <r>
    <x v="9"/>
    <s v="G7 Assistant Systems Mgr"/>
    <x v="5"/>
    <x v="73"/>
    <n v="2"/>
  </r>
  <r>
    <x v="9"/>
    <s v="G7 Assistant Systems Mgr"/>
    <x v="5"/>
    <x v="74"/>
    <n v="4"/>
  </r>
  <r>
    <x v="9"/>
    <s v="G7 Assistant Systems Mgr"/>
    <x v="5"/>
    <x v="75"/>
    <n v="3"/>
  </r>
  <r>
    <x v="9"/>
    <s v="G7 Assistant Systems Mgr"/>
    <x v="5"/>
    <x v="76"/>
    <n v="3"/>
  </r>
  <r>
    <x v="9"/>
    <s v="G7 Assistant Systems Mgr"/>
    <x v="5"/>
    <x v="77"/>
    <n v="4"/>
  </r>
  <r>
    <x v="9"/>
    <s v="G7 Assistant Systems Mgr"/>
    <x v="5"/>
    <x v="78"/>
    <n v="1"/>
  </r>
  <r>
    <x v="9"/>
    <s v="G7 Assistant Systems Mgr"/>
    <x v="6"/>
    <x v="79"/>
    <n v="1"/>
  </r>
  <r>
    <x v="9"/>
    <s v="G7 Assistant Systems Mgr"/>
    <x v="6"/>
    <x v="80"/>
    <n v="1"/>
  </r>
  <r>
    <x v="9"/>
    <s v="G7 Assistant Systems Mgr"/>
    <x v="6"/>
    <x v="81"/>
    <n v="1"/>
  </r>
  <r>
    <x v="9"/>
    <s v="G7 Assistant Systems Mgr"/>
    <x v="6"/>
    <x v="82"/>
    <n v="1"/>
  </r>
  <r>
    <x v="9"/>
    <s v="G7 Assistant Systems Mgr"/>
    <x v="6"/>
    <x v="83"/>
    <n v="1"/>
  </r>
  <r>
    <x v="9"/>
    <s v="G7 Assistant Systems Mgr"/>
    <x v="6"/>
    <x v="84"/>
    <n v="1"/>
  </r>
  <r>
    <x v="9"/>
    <s v="G7 Assistant Systems Mgr"/>
    <x v="6"/>
    <x v="85"/>
    <n v="1"/>
  </r>
  <r>
    <x v="9"/>
    <s v="G7 Assistant Systems Mgr"/>
    <x v="6"/>
    <x v="86"/>
    <n v="1"/>
  </r>
  <r>
    <x v="9"/>
    <s v="G7 Assistant Systems Mgr"/>
    <x v="6"/>
    <x v="87"/>
    <n v="1"/>
  </r>
  <r>
    <x v="10"/>
    <s v="G5 Technician"/>
    <x v="0"/>
    <x v="0"/>
    <n v="3"/>
  </r>
  <r>
    <x v="10"/>
    <s v="G5 Technician"/>
    <x v="0"/>
    <x v="1"/>
    <n v="3"/>
  </r>
  <r>
    <x v="10"/>
    <s v="G5 Technician"/>
    <x v="0"/>
    <x v="2"/>
    <n v="4"/>
  </r>
  <r>
    <x v="10"/>
    <s v="G5 Technician"/>
    <x v="0"/>
    <x v="3"/>
    <n v="3"/>
  </r>
  <r>
    <x v="10"/>
    <s v="G5 Technician"/>
    <x v="0"/>
    <x v="4"/>
    <n v="1"/>
  </r>
  <r>
    <x v="10"/>
    <s v="G5 Technician"/>
    <x v="0"/>
    <x v="5"/>
    <n v="1"/>
  </r>
  <r>
    <x v="10"/>
    <s v="G5 Technician"/>
    <x v="0"/>
    <x v="6"/>
    <n v="2"/>
  </r>
  <r>
    <x v="10"/>
    <s v="G5 Technician"/>
    <x v="0"/>
    <x v="7"/>
    <n v="2"/>
  </r>
  <r>
    <x v="10"/>
    <s v="G5 Technician"/>
    <x v="0"/>
    <x v="8"/>
    <n v="3"/>
  </r>
  <r>
    <x v="10"/>
    <s v="G5 Technician"/>
    <x v="1"/>
    <x v="9"/>
    <n v="2"/>
  </r>
  <r>
    <x v="10"/>
    <s v="G5 Technician"/>
    <x v="1"/>
    <x v="10"/>
    <n v="1"/>
  </r>
  <r>
    <x v="10"/>
    <s v="G5 Technician"/>
    <x v="1"/>
    <x v="11"/>
    <n v="1"/>
  </r>
  <r>
    <x v="10"/>
    <s v="G5 Technician"/>
    <x v="1"/>
    <x v="12"/>
    <n v="2"/>
  </r>
  <r>
    <x v="10"/>
    <s v="G5 Technician"/>
    <x v="1"/>
    <x v="13"/>
    <n v="2"/>
  </r>
  <r>
    <x v="10"/>
    <s v="G5 Technician"/>
    <x v="1"/>
    <x v="14"/>
    <n v="2"/>
  </r>
  <r>
    <x v="10"/>
    <s v="G5 Technician"/>
    <x v="1"/>
    <x v="15"/>
    <n v="2"/>
  </r>
  <r>
    <x v="10"/>
    <s v="G5 Technician"/>
    <x v="1"/>
    <x v="16"/>
    <n v="1"/>
  </r>
  <r>
    <x v="10"/>
    <s v="G5 Technician"/>
    <x v="1"/>
    <x v="17"/>
    <n v="1"/>
  </r>
  <r>
    <x v="10"/>
    <s v="G5 Technician"/>
    <x v="1"/>
    <x v="18"/>
    <n v="2"/>
  </r>
  <r>
    <x v="10"/>
    <s v="G5 Technician"/>
    <x v="1"/>
    <x v="19"/>
    <n v="2"/>
  </r>
  <r>
    <x v="10"/>
    <s v="G5 Technician"/>
    <x v="2"/>
    <x v="20"/>
    <n v="1"/>
  </r>
  <r>
    <x v="10"/>
    <s v="G5 Technician"/>
    <x v="2"/>
    <x v="21"/>
    <n v="1"/>
  </r>
  <r>
    <x v="10"/>
    <s v="G5 Technician"/>
    <x v="2"/>
    <x v="22"/>
    <n v="1"/>
  </r>
  <r>
    <x v="10"/>
    <s v="G5 Technician"/>
    <x v="2"/>
    <x v="23"/>
    <n v="1"/>
  </r>
  <r>
    <x v="10"/>
    <s v="G5 Technician"/>
    <x v="2"/>
    <x v="24"/>
    <n v="1"/>
  </r>
  <r>
    <x v="10"/>
    <s v="G5 Technician"/>
    <x v="2"/>
    <x v="25"/>
    <n v="1"/>
  </r>
  <r>
    <x v="10"/>
    <s v="G5 Technician"/>
    <x v="3"/>
    <x v="26"/>
    <n v="1"/>
  </r>
  <r>
    <x v="10"/>
    <s v="G5 Technician"/>
    <x v="3"/>
    <x v="27"/>
    <n v="1"/>
  </r>
  <r>
    <x v="10"/>
    <s v="G5 Technician"/>
    <x v="3"/>
    <x v="28"/>
    <n v="0"/>
  </r>
  <r>
    <x v="10"/>
    <s v="G5 Technician"/>
    <x v="3"/>
    <x v="29"/>
    <n v="0"/>
  </r>
  <r>
    <x v="10"/>
    <s v="G5 Technician"/>
    <x v="3"/>
    <x v="30"/>
    <n v="1"/>
  </r>
  <r>
    <x v="10"/>
    <s v="G5 Technician"/>
    <x v="3"/>
    <x v="31"/>
    <n v="1"/>
  </r>
  <r>
    <x v="10"/>
    <s v="G5 Technician"/>
    <x v="3"/>
    <x v="32"/>
    <n v="2"/>
  </r>
  <r>
    <x v="10"/>
    <s v="G5 Technician"/>
    <x v="3"/>
    <x v="33"/>
    <n v="2"/>
  </r>
  <r>
    <x v="10"/>
    <s v="G5 Technician"/>
    <x v="3"/>
    <x v="34"/>
    <n v="2"/>
  </r>
  <r>
    <x v="10"/>
    <s v="G5 Technician"/>
    <x v="4"/>
    <x v="35"/>
    <n v="1"/>
  </r>
  <r>
    <x v="10"/>
    <s v="G5 Technician"/>
    <x v="4"/>
    <x v="36"/>
    <n v="0"/>
  </r>
  <r>
    <x v="10"/>
    <s v="G5 Technician"/>
    <x v="4"/>
    <x v="37"/>
    <n v="0"/>
  </r>
  <r>
    <x v="10"/>
    <s v="G5 Technician"/>
    <x v="4"/>
    <x v="38"/>
    <n v="1"/>
  </r>
  <r>
    <x v="10"/>
    <s v="G5 Technician"/>
    <x v="4"/>
    <x v="39"/>
    <n v="1"/>
  </r>
  <r>
    <x v="10"/>
    <s v="G5 Technician"/>
    <x v="4"/>
    <x v="40"/>
    <n v="2"/>
  </r>
  <r>
    <x v="10"/>
    <s v="G5 Technician"/>
    <x v="4"/>
    <x v="41"/>
    <n v="1"/>
  </r>
  <r>
    <x v="10"/>
    <s v="G5 Technician"/>
    <x v="4"/>
    <x v="42"/>
    <n v="1"/>
  </r>
  <r>
    <x v="10"/>
    <s v="G5 Technician"/>
    <x v="5"/>
    <x v="43"/>
    <n v="2"/>
  </r>
  <r>
    <x v="10"/>
    <s v="G5 Technician"/>
    <x v="5"/>
    <x v="44"/>
    <n v="2"/>
  </r>
  <r>
    <x v="10"/>
    <s v="G5 Technician"/>
    <x v="5"/>
    <x v="45"/>
    <n v="0"/>
  </r>
  <r>
    <x v="10"/>
    <s v="G5 Technician"/>
    <x v="5"/>
    <x v="46"/>
    <n v="0"/>
  </r>
  <r>
    <x v="10"/>
    <s v="G5 Technician"/>
    <x v="5"/>
    <x v="47"/>
    <n v="0"/>
  </r>
  <r>
    <x v="10"/>
    <s v="G5 Technician"/>
    <x v="5"/>
    <x v="48"/>
    <n v="0"/>
  </r>
  <r>
    <x v="10"/>
    <s v="G5 Technician"/>
    <x v="5"/>
    <x v="49"/>
    <n v="0"/>
  </r>
  <r>
    <x v="10"/>
    <s v="G5 Technician"/>
    <x v="5"/>
    <x v="50"/>
    <n v="0"/>
  </r>
  <r>
    <x v="10"/>
    <s v="G5 Technician"/>
    <x v="5"/>
    <x v="51"/>
    <n v="0"/>
  </r>
  <r>
    <x v="10"/>
    <s v="G5 Technician"/>
    <x v="5"/>
    <x v="52"/>
    <n v="2"/>
  </r>
  <r>
    <x v="10"/>
    <s v="G5 Technician"/>
    <x v="5"/>
    <x v="53"/>
    <n v="1"/>
  </r>
  <r>
    <x v="10"/>
    <s v="G5 Technician"/>
    <x v="5"/>
    <x v="54"/>
    <n v="1"/>
  </r>
  <r>
    <x v="10"/>
    <s v="G5 Technician"/>
    <x v="5"/>
    <x v="55"/>
    <n v="1"/>
  </r>
  <r>
    <x v="10"/>
    <s v="G5 Technician"/>
    <x v="5"/>
    <x v="56"/>
    <n v="1"/>
  </r>
  <r>
    <x v="10"/>
    <s v="G5 Technician"/>
    <x v="5"/>
    <x v="57"/>
    <n v="2"/>
  </r>
  <r>
    <x v="10"/>
    <s v="G5 Technician"/>
    <x v="5"/>
    <x v="58"/>
    <n v="1"/>
  </r>
  <r>
    <x v="10"/>
    <s v="G5 Technician"/>
    <x v="5"/>
    <x v="59"/>
    <n v="1"/>
  </r>
  <r>
    <x v="10"/>
    <s v="G5 Technician"/>
    <x v="5"/>
    <x v="60"/>
    <n v="1"/>
  </r>
  <r>
    <x v="10"/>
    <s v="G5 Technician"/>
    <x v="5"/>
    <x v="61"/>
    <n v="1"/>
  </r>
  <r>
    <x v="10"/>
    <s v="G5 Technician"/>
    <x v="5"/>
    <x v="62"/>
    <n v="0"/>
  </r>
  <r>
    <x v="10"/>
    <s v="G5 Technician"/>
    <x v="5"/>
    <x v="63"/>
    <n v="1"/>
  </r>
  <r>
    <x v="10"/>
    <s v="G5 Technician"/>
    <x v="5"/>
    <x v="64"/>
    <n v="1"/>
  </r>
  <r>
    <x v="10"/>
    <s v="G5 Technician"/>
    <x v="5"/>
    <x v="65"/>
    <n v="0"/>
  </r>
  <r>
    <x v="10"/>
    <s v="G5 Technician"/>
    <x v="5"/>
    <x v="66"/>
    <n v="0"/>
  </r>
  <r>
    <x v="10"/>
    <s v="G5 Technician"/>
    <x v="5"/>
    <x v="67"/>
    <n v="1"/>
  </r>
  <r>
    <x v="10"/>
    <s v="G5 Technician"/>
    <x v="5"/>
    <x v="68"/>
    <n v="1"/>
  </r>
  <r>
    <x v="10"/>
    <s v="G5 Technician"/>
    <x v="5"/>
    <x v="69"/>
    <n v="2"/>
  </r>
  <r>
    <x v="10"/>
    <s v="G5 Technician"/>
    <x v="5"/>
    <x v="70"/>
    <n v="1"/>
  </r>
  <r>
    <x v="10"/>
    <s v="G5 Technician"/>
    <x v="5"/>
    <x v="71"/>
    <n v="1"/>
  </r>
  <r>
    <x v="10"/>
    <s v="G5 Technician"/>
    <x v="5"/>
    <x v="72"/>
    <n v="1"/>
  </r>
  <r>
    <x v="10"/>
    <s v="G5 Technician"/>
    <x v="5"/>
    <x v="73"/>
    <n v="1"/>
  </r>
  <r>
    <x v="10"/>
    <s v="G5 Technician"/>
    <x v="5"/>
    <x v="74"/>
    <n v="1"/>
  </r>
  <r>
    <x v="10"/>
    <s v="G5 Technician"/>
    <x v="5"/>
    <x v="75"/>
    <n v="1"/>
  </r>
  <r>
    <x v="10"/>
    <s v="G5 Technician"/>
    <x v="5"/>
    <x v="76"/>
    <n v="1"/>
  </r>
  <r>
    <x v="10"/>
    <s v="G5 Technician"/>
    <x v="5"/>
    <x v="77"/>
    <n v="3"/>
  </r>
  <r>
    <x v="10"/>
    <s v="G5 Technician"/>
    <x v="5"/>
    <x v="78"/>
    <n v="1"/>
  </r>
  <r>
    <x v="10"/>
    <s v="G5 Technician"/>
    <x v="6"/>
    <x v="79"/>
    <n v="0"/>
  </r>
  <r>
    <x v="10"/>
    <s v="G5 Technician"/>
    <x v="6"/>
    <x v="80"/>
    <n v="0"/>
  </r>
  <r>
    <x v="10"/>
    <s v="G5 Technician"/>
    <x v="6"/>
    <x v="81"/>
    <n v="0"/>
  </r>
  <r>
    <x v="10"/>
    <s v="G5 Technician"/>
    <x v="6"/>
    <x v="82"/>
    <n v="0"/>
  </r>
  <r>
    <x v="10"/>
    <s v="G5 Technician"/>
    <x v="6"/>
    <x v="83"/>
    <n v="0"/>
  </r>
  <r>
    <x v="10"/>
    <s v="G5 Technician"/>
    <x v="6"/>
    <x v="84"/>
    <n v="0"/>
  </r>
  <r>
    <x v="10"/>
    <s v="G5 Technician"/>
    <x v="6"/>
    <x v="85"/>
    <n v="0"/>
  </r>
  <r>
    <x v="10"/>
    <s v="G5 Technician"/>
    <x v="6"/>
    <x v="86"/>
    <n v="0"/>
  </r>
  <r>
    <x v="10"/>
    <s v="G5 Technician"/>
    <x v="6"/>
    <x v="87"/>
    <n v="1"/>
  </r>
  <r>
    <x v="11"/>
    <s v="G7 systems administrator"/>
    <x v="0"/>
    <x v="0"/>
    <n v="3"/>
  </r>
  <r>
    <x v="11"/>
    <s v="G7 systems administrator"/>
    <x v="0"/>
    <x v="1"/>
    <n v="2"/>
  </r>
  <r>
    <x v="11"/>
    <s v="G7 systems administrator"/>
    <x v="0"/>
    <x v="2"/>
    <n v="3"/>
  </r>
  <r>
    <x v="11"/>
    <s v="G7 systems administrator"/>
    <x v="0"/>
    <x v="3"/>
    <n v="3"/>
  </r>
  <r>
    <x v="11"/>
    <s v="G7 systems administrator"/>
    <x v="0"/>
    <x v="4"/>
    <n v="2"/>
  </r>
  <r>
    <x v="11"/>
    <s v="G7 systems administrator"/>
    <x v="0"/>
    <x v="5"/>
    <n v="3"/>
  </r>
  <r>
    <x v="11"/>
    <s v="G7 systems administrator"/>
    <x v="0"/>
    <x v="6"/>
    <n v="3"/>
  </r>
  <r>
    <x v="11"/>
    <s v="G7 systems administrator"/>
    <x v="0"/>
    <x v="7"/>
    <n v="4"/>
  </r>
  <r>
    <x v="11"/>
    <s v="G7 systems administrator"/>
    <x v="0"/>
    <x v="8"/>
    <n v="2"/>
  </r>
  <r>
    <x v="11"/>
    <s v="G7 systems administrator"/>
    <x v="1"/>
    <x v="9"/>
    <n v="1"/>
  </r>
  <r>
    <x v="11"/>
    <s v="G7 systems administrator"/>
    <x v="1"/>
    <x v="10"/>
    <n v="1"/>
  </r>
  <r>
    <x v="11"/>
    <s v="G7 systems administrator"/>
    <x v="1"/>
    <x v="11"/>
    <n v="1"/>
  </r>
  <r>
    <x v="11"/>
    <s v="G7 systems administrator"/>
    <x v="1"/>
    <x v="12"/>
    <n v="1"/>
  </r>
  <r>
    <x v="11"/>
    <s v="G7 systems administrator"/>
    <x v="1"/>
    <x v="13"/>
    <n v="2"/>
  </r>
  <r>
    <x v="11"/>
    <s v="G7 systems administrator"/>
    <x v="1"/>
    <x v="14"/>
    <n v="2"/>
  </r>
  <r>
    <x v="11"/>
    <s v="G7 systems administrator"/>
    <x v="1"/>
    <x v="15"/>
    <n v="2"/>
  </r>
  <r>
    <x v="11"/>
    <s v="G7 systems administrator"/>
    <x v="1"/>
    <x v="16"/>
    <n v="2"/>
  </r>
  <r>
    <x v="11"/>
    <s v="G7 systems administrator"/>
    <x v="1"/>
    <x v="17"/>
    <n v="1"/>
  </r>
  <r>
    <x v="11"/>
    <s v="G7 systems administrator"/>
    <x v="1"/>
    <x v="18"/>
    <n v="3"/>
  </r>
  <r>
    <x v="11"/>
    <s v="G7 systems administrator"/>
    <x v="1"/>
    <x v="19"/>
    <n v="2"/>
  </r>
  <r>
    <x v="11"/>
    <s v="G7 systems administrator"/>
    <x v="2"/>
    <x v="20"/>
    <n v="1"/>
  </r>
  <r>
    <x v="11"/>
    <s v="G7 systems administrator"/>
    <x v="2"/>
    <x v="21"/>
    <n v="1"/>
  </r>
  <r>
    <x v="11"/>
    <s v="G7 systems administrator"/>
    <x v="2"/>
    <x v="22"/>
    <n v="2"/>
  </r>
  <r>
    <x v="11"/>
    <s v="G7 systems administrator"/>
    <x v="2"/>
    <x v="23"/>
    <n v="2"/>
  </r>
  <r>
    <x v="11"/>
    <s v="G7 systems administrator"/>
    <x v="2"/>
    <x v="24"/>
    <n v="1"/>
  </r>
  <r>
    <x v="11"/>
    <s v="G7 systems administrator"/>
    <x v="2"/>
    <x v="25"/>
    <n v="1"/>
  </r>
  <r>
    <x v="11"/>
    <s v="G7 systems administrator"/>
    <x v="3"/>
    <x v="26"/>
    <n v="1"/>
  </r>
  <r>
    <x v="11"/>
    <s v="G7 systems administrator"/>
    <x v="3"/>
    <x v="27"/>
    <n v="3"/>
  </r>
  <r>
    <x v="11"/>
    <s v="G7 systems administrator"/>
    <x v="3"/>
    <x v="28"/>
    <n v="2"/>
  </r>
  <r>
    <x v="11"/>
    <s v="G7 systems administrator"/>
    <x v="3"/>
    <x v="29"/>
    <n v="2"/>
  </r>
  <r>
    <x v="11"/>
    <s v="G7 systems administrator"/>
    <x v="3"/>
    <x v="30"/>
    <n v="2"/>
  </r>
  <r>
    <x v="11"/>
    <s v="G7 systems administrator"/>
    <x v="3"/>
    <x v="31"/>
    <n v="1"/>
  </r>
  <r>
    <x v="11"/>
    <s v="G7 systems administrator"/>
    <x v="3"/>
    <x v="32"/>
    <n v="2"/>
  </r>
  <r>
    <x v="11"/>
    <s v="G7 systems administrator"/>
    <x v="3"/>
    <x v="33"/>
    <n v="1"/>
  </r>
  <r>
    <x v="11"/>
    <s v="G7 systems administrator"/>
    <x v="3"/>
    <x v="34"/>
    <n v="1"/>
  </r>
  <r>
    <x v="11"/>
    <s v="G7 systems administrator"/>
    <x v="4"/>
    <x v="35"/>
    <n v="2"/>
  </r>
  <r>
    <x v="11"/>
    <s v="G7 systems administrator"/>
    <x v="4"/>
    <x v="36"/>
    <n v="1"/>
  </r>
  <r>
    <x v="11"/>
    <s v="G7 systems administrator"/>
    <x v="4"/>
    <x v="37"/>
    <n v="0"/>
  </r>
  <r>
    <x v="11"/>
    <s v="G7 systems administrator"/>
    <x v="4"/>
    <x v="38"/>
    <n v="1"/>
  </r>
  <r>
    <x v="11"/>
    <s v="G7 systems administrator"/>
    <x v="4"/>
    <x v="39"/>
    <n v="1"/>
  </r>
  <r>
    <x v="11"/>
    <s v="G7 systems administrator"/>
    <x v="4"/>
    <x v="40"/>
    <n v="4"/>
  </r>
  <r>
    <x v="11"/>
    <s v="G7 systems administrator"/>
    <x v="4"/>
    <x v="41"/>
    <n v="1"/>
  </r>
  <r>
    <x v="11"/>
    <s v="G7 systems administrator"/>
    <x v="4"/>
    <x v="42"/>
    <n v="1"/>
  </r>
  <r>
    <x v="11"/>
    <s v="G7 systems administrator"/>
    <x v="5"/>
    <x v="43"/>
    <n v="2"/>
  </r>
  <r>
    <x v="11"/>
    <s v="G7 systems administrator"/>
    <x v="5"/>
    <x v="44"/>
    <n v="2"/>
  </r>
  <r>
    <x v="11"/>
    <s v="G7 systems administrator"/>
    <x v="5"/>
    <x v="45"/>
    <n v="1"/>
  </r>
  <r>
    <x v="11"/>
    <s v="G7 systems administrator"/>
    <x v="5"/>
    <x v="46"/>
    <n v="1"/>
  </r>
  <r>
    <x v="11"/>
    <s v="G7 systems administrator"/>
    <x v="5"/>
    <x v="47"/>
    <n v="1"/>
  </r>
  <r>
    <x v="11"/>
    <s v="G7 systems administrator"/>
    <x v="5"/>
    <x v="48"/>
    <n v="1"/>
  </r>
  <r>
    <x v="11"/>
    <s v="G7 systems administrator"/>
    <x v="5"/>
    <x v="49"/>
    <n v="1"/>
  </r>
  <r>
    <x v="11"/>
    <s v="G7 systems administrator"/>
    <x v="5"/>
    <x v="50"/>
    <n v="1"/>
  </r>
  <r>
    <x v="11"/>
    <s v="G7 systems administrator"/>
    <x v="5"/>
    <x v="51"/>
    <n v="1"/>
  </r>
  <r>
    <x v="11"/>
    <s v="G7 systems administrator"/>
    <x v="5"/>
    <x v="52"/>
    <n v="2"/>
  </r>
  <r>
    <x v="11"/>
    <s v="G7 systems administrator"/>
    <x v="5"/>
    <x v="53"/>
    <n v="1"/>
  </r>
  <r>
    <x v="11"/>
    <s v="G7 systems administrator"/>
    <x v="5"/>
    <x v="54"/>
    <n v="2"/>
  </r>
  <r>
    <x v="11"/>
    <s v="G7 systems administrator"/>
    <x v="5"/>
    <x v="55"/>
    <n v="2"/>
  </r>
  <r>
    <x v="11"/>
    <s v="G7 systems administrator"/>
    <x v="5"/>
    <x v="56"/>
    <n v="1"/>
  </r>
  <r>
    <x v="11"/>
    <s v="G7 systems administrator"/>
    <x v="5"/>
    <x v="57"/>
    <n v="3"/>
  </r>
  <r>
    <x v="11"/>
    <s v="G7 systems administrator"/>
    <x v="5"/>
    <x v="58"/>
    <n v="2"/>
  </r>
  <r>
    <x v="11"/>
    <s v="G7 systems administrator"/>
    <x v="5"/>
    <x v="59"/>
    <n v="2"/>
  </r>
  <r>
    <x v="11"/>
    <s v="G7 systems administrator"/>
    <x v="5"/>
    <x v="60"/>
    <n v="3"/>
  </r>
  <r>
    <x v="11"/>
    <s v="G7 systems administrator"/>
    <x v="5"/>
    <x v="61"/>
    <n v="1"/>
  </r>
  <r>
    <x v="11"/>
    <s v="G7 systems administrator"/>
    <x v="5"/>
    <x v="62"/>
    <n v="1"/>
  </r>
  <r>
    <x v="11"/>
    <s v="G7 systems administrator"/>
    <x v="5"/>
    <x v="63"/>
    <n v="1"/>
  </r>
  <r>
    <x v="11"/>
    <s v="G7 systems administrator"/>
    <x v="5"/>
    <x v="64"/>
    <n v="2"/>
  </r>
  <r>
    <x v="11"/>
    <s v="G7 systems administrator"/>
    <x v="5"/>
    <x v="65"/>
    <n v="1"/>
  </r>
  <r>
    <x v="11"/>
    <s v="G7 systems administrator"/>
    <x v="5"/>
    <x v="66"/>
    <n v="1"/>
  </r>
  <r>
    <x v="11"/>
    <s v="G7 systems administrator"/>
    <x v="5"/>
    <x v="67"/>
    <n v="2"/>
  </r>
  <r>
    <x v="11"/>
    <s v="G7 systems administrator"/>
    <x v="5"/>
    <x v="68"/>
    <n v="2"/>
  </r>
  <r>
    <x v="11"/>
    <s v="G7 systems administrator"/>
    <x v="5"/>
    <x v="69"/>
    <n v="1"/>
  </r>
  <r>
    <x v="11"/>
    <s v="G7 systems administrator"/>
    <x v="5"/>
    <x v="70"/>
    <n v="1"/>
  </r>
  <r>
    <x v="11"/>
    <s v="G7 systems administrator"/>
    <x v="5"/>
    <x v="71"/>
    <n v="3"/>
  </r>
  <r>
    <x v="11"/>
    <s v="G7 systems administrator"/>
    <x v="5"/>
    <x v="72"/>
    <n v="1"/>
  </r>
  <r>
    <x v="11"/>
    <s v="G7 systems administrator"/>
    <x v="5"/>
    <x v="73"/>
    <n v="2"/>
  </r>
  <r>
    <x v="11"/>
    <s v="G7 systems administrator"/>
    <x v="5"/>
    <x v="74"/>
    <n v="3"/>
  </r>
  <r>
    <x v="11"/>
    <s v="G7 systems administrator"/>
    <x v="5"/>
    <x v="75"/>
    <n v="3"/>
  </r>
  <r>
    <x v="11"/>
    <s v="G7 systems administrator"/>
    <x v="5"/>
    <x v="76"/>
    <n v="3"/>
  </r>
  <r>
    <x v="11"/>
    <s v="G7 systems administrator"/>
    <x v="5"/>
    <x v="77"/>
    <n v="3"/>
  </r>
  <r>
    <x v="11"/>
    <s v="G7 systems administrator"/>
    <x v="5"/>
    <x v="78"/>
    <n v="3"/>
  </r>
  <r>
    <x v="11"/>
    <s v="G7 systems administrator"/>
    <x v="6"/>
    <x v="79"/>
    <n v="1"/>
  </r>
  <r>
    <x v="11"/>
    <s v="G7 systems administrator"/>
    <x v="6"/>
    <x v="80"/>
    <n v="2"/>
  </r>
  <r>
    <x v="11"/>
    <s v="G7 systems administrator"/>
    <x v="6"/>
    <x v="81"/>
    <n v="0"/>
  </r>
  <r>
    <x v="11"/>
    <s v="G7 systems administrator"/>
    <x v="6"/>
    <x v="82"/>
    <n v="2"/>
  </r>
  <r>
    <x v="11"/>
    <s v="G7 systems administrator"/>
    <x v="6"/>
    <x v="83"/>
    <n v="0"/>
  </r>
  <r>
    <x v="11"/>
    <s v="G7 systems administrator"/>
    <x v="6"/>
    <x v="84"/>
    <n v="0"/>
  </r>
  <r>
    <x v="11"/>
    <s v="G7 systems administrator"/>
    <x v="6"/>
    <x v="85"/>
    <n v="1"/>
  </r>
  <r>
    <x v="11"/>
    <s v="G7 systems administrator"/>
    <x v="6"/>
    <x v="86"/>
    <n v="1"/>
  </r>
  <r>
    <x v="11"/>
    <s v="G7 systems administrator"/>
    <x v="6"/>
    <x v="87"/>
    <n v="1"/>
  </r>
  <r>
    <x v="12"/>
    <s v="G6 Technician Linux"/>
    <x v="0"/>
    <x v="0"/>
    <n v="2"/>
  </r>
  <r>
    <x v="12"/>
    <s v="G6 Technician Linux"/>
    <x v="0"/>
    <x v="1"/>
    <n v="3"/>
  </r>
  <r>
    <x v="12"/>
    <s v="G6 Technician Linux"/>
    <x v="0"/>
    <x v="2"/>
    <n v="2"/>
  </r>
  <r>
    <x v="12"/>
    <s v="G6 Technician Linux"/>
    <x v="0"/>
    <x v="3"/>
    <n v="4"/>
  </r>
  <r>
    <x v="12"/>
    <s v="G6 Technician Linux"/>
    <x v="0"/>
    <x v="4"/>
    <n v="3"/>
  </r>
  <r>
    <x v="12"/>
    <s v="G6 Technician Linux"/>
    <x v="0"/>
    <x v="5"/>
    <n v="3"/>
  </r>
  <r>
    <x v="12"/>
    <s v="G6 Technician Linux"/>
    <x v="0"/>
    <x v="6"/>
    <n v="3"/>
  </r>
  <r>
    <x v="12"/>
    <s v="G6 Technician Linux"/>
    <x v="0"/>
    <x v="7"/>
    <n v="2"/>
  </r>
  <r>
    <x v="12"/>
    <s v="G6 Technician Linux"/>
    <x v="0"/>
    <x v="8"/>
    <n v="2"/>
  </r>
  <r>
    <x v="12"/>
    <s v="G6 Technician Linux"/>
    <x v="1"/>
    <x v="9"/>
    <n v="3"/>
  </r>
  <r>
    <x v="12"/>
    <s v="G6 Technician Linux"/>
    <x v="1"/>
    <x v="10"/>
    <n v="3"/>
  </r>
  <r>
    <x v="12"/>
    <s v="G6 Technician Linux"/>
    <x v="1"/>
    <x v="11"/>
    <n v="3"/>
  </r>
  <r>
    <x v="12"/>
    <s v="G6 Technician Linux"/>
    <x v="1"/>
    <x v="12"/>
    <n v="2"/>
  </r>
  <r>
    <x v="12"/>
    <s v="G6 Technician Linux"/>
    <x v="1"/>
    <x v="13"/>
    <n v="2"/>
  </r>
  <r>
    <x v="12"/>
    <s v="G6 Technician Linux"/>
    <x v="1"/>
    <x v="14"/>
    <n v="3"/>
  </r>
  <r>
    <x v="12"/>
    <s v="G6 Technician Linux"/>
    <x v="1"/>
    <x v="15"/>
    <n v="2"/>
  </r>
  <r>
    <x v="12"/>
    <s v="G6 Technician Linux"/>
    <x v="1"/>
    <x v="16"/>
    <n v="3"/>
  </r>
  <r>
    <x v="12"/>
    <s v="G6 Technician Linux"/>
    <x v="1"/>
    <x v="17"/>
    <n v="2"/>
  </r>
  <r>
    <x v="12"/>
    <s v="G6 Technician Linux"/>
    <x v="1"/>
    <x v="18"/>
    <n v="3"/>
  </r>
  <r>
    <x v="12"/>
    <s v="G6 Technician Linux"/>
    <x v="1"/>
    <x v="19"/>
    <n v="2"/>
  </r>
  <r>
    <x v="12"/>
    <s v="G6 Technician Linux"/>
    <x v="2"/>
    <x v="20"/>
    <n v="2"/>
  </r>
  <r>
    <x v="12"/>
    <s v="G6 Technician Linux"/>
    <x v="2"/>
    <x v="21"/>
    <n v="3"/>
  </r>
  <r>
    <x v="12"/>
    <s v="G6 Technician Linux"/>
    <x v="2"/>
    <x v="22"/>
    <n v="3"/>
  </r>
  <r>
    <x v="12"/>
    <s v="G6 Technician Linux"/>
    <x v="2"/>
    <x v="23"/>
    <n v="3"/>
  </r>
  <r>
    <x v="12"/>
    <s v="G6 Technician Linux"/>
    <x v="2"/>
    <x v="24"/>
    <n v="2"/>
  </r>
  <r>
    <x v="12"/>
    <s v="G6 Technician Linux"/>
    <x v="2"/>
    <x v="25"/>
    <n v="2"/>
  </r>
  <r>
    <x v="12"/>
    <s v="G6 Technician Linux"/>
    <x v="3"/>
    <x v="26"/>
    <n v="2"/>
  </r>
  <r>
    <x v="12"/>
    <s v="G6 Technician Linux"/>
    <x v="3"/>
    <x v="27"/>
    <n v="3"/>
  </r>
  <r>
    <x v="12"/>
    <s v="G6 Technician Linux"/>
    <x v="3"/>
    <x v="28"/>
    <n v="1"/>
  </r>
  <r>
    <x v="12"/>
    <s v="G6 Technician Linux"/>
    <x v="3"/>
    <x v="29"/>
    <n v="3"/>
  </r>
  <r>
    <x v="12"/>
    <s v="G6 Technician Linux"/>
    <x v="3"/>
    <x v="30"/>
    <n v="3"/>
  </r>
  <r>
    <x v="12"/>
    <s v="G6 Technician Linux"/>
    <x v="3"/>
    <x v="31"/>
    <n v="3"/>
  </r>
  <r>
    <x v="12"/>
    <s v="G6 Technician Linux"/>
    <x v="3"/>
    <x v="32"/>
    <n v="3"/>
  </r>
  <r>
    <x v="12"/>
    <s v="G6 Technician Linux"/>
    <x v="3"/>
    <x v="33"/>
    <n v="2"/>
  </r>
  <r>
    <x v="12"/>
    <s v="G6 Technician Linux"/>
    <x v="3"/>
    <x v="34"/>
    <n v="2"/>
  </r>
  <r>
    <x v="12"/>
    <s v="G6 Technician Linux"/>
    <x v="4"/>
    <x v="35"/>
    <n v="3"/>
  </r>
  <r>
    <x v="12"/>
    <s v="G6 Technician Linux"/>
    <x v="4"/>
    <x v="36"/>
    <n v="1"/>
  </r>
  <r>
    <x v="12"/>
    <s v="G6 Technician Linux"/>
    <x v="4"/>
    <x v="37"/>
    <n v="2"/>
  </r>
  <r>
    <x v="12"/>
    <s v="G6 Technician Linux"/>
    <x v="4"/>
    <x v="38"/>
    <n v="2"/>
  </r>
  <r>
    <x v="12"/>
    <s v="G6 Technician Linux"/>
    <x v="4"/>
    <x v="39"/>
    <n v="3"/>
  </r>
  <r>
    <x v="12"/>
    <s v="G6 Technician Linux"/>
    <x v="4"/>
    <x v="40"/>
    <n v="2"/>
  </r>
  <r>
    <x v="12"/>
    <s v="G6 Technician Linux"/>
    <x v="4"/>
    <x v="41"/>
    <n v="1"/>
  </r>
  <r>
    <x v="12"/>
    <s v="G6 Technician Linux"/>
    <x v="4"/>
    <x v="42"/>
    <n v="2"/>
  </r>
  <r>
    <x v="12"/>
    <s v="G6 Technician Linux"/>
    <x v="5"/>
    <x v="43"/>
    <n v="2"/>
  </r>
  <r>
    <x v="12"/>
    <s v="G6 Technician Linux"/>
    <x v="5"/>
    <x v="44"/>
    <n v="3"/>
  </r>
  <r>
    <x v="12"/>
    <s v="G6 Technician Linux"/>
    <x v="5"/>
    <x v="45"/>
    <n v="1"/>
  </r>
  <r>
    <x v="12"/>
    <s v="G6 Technician Linux"/>
    <x v="5"/>
    <x v="46"/>
    <n v="3"/>
  </r>
  <r>
    <x v="12"/>
    <s v="G6 Technician Linux"/>
    <x v="5"/>
    <x v="47"/>
    <n v="0"/>
  </r>
  <r>
    <x v="12"/>
    <s v="G6 Technician Linux"/>
    <x v="5"/>
    <x v="48"/>
    <n v="0"/>
  </r>
  <r>
    <x v="12"/>
    <s v="G6 Technician Linux"/>
    <x v="5"/>
    <x v="49"/>
    <n v="1"/>
  </r>
  <r>
    <x v="12"/>
    <s v="G6 Technician Linux"/>
    <x v="5"/>
    <x v="50"/>
    <n v="2"/>
  </r>
  <r>
    <x v="12"/>
    <s v="G6 Technician Linux"/>
    <x v="5"/>
    <x v="51"/>
    <n v="1"/>
  </r>
  <r>
    <x v="12"/>
    <s v="G6 Technician Linux"/>
    <x v="5"/>
    <x v="52"/>
    <n v="2"/>
  </r>
  <r>
    <x v="12"/>
    <s v="G6 Technician Linux"/>
    <x v="5"/>
    <x v="53"/>
    <n v="1"/>
  </r>
  <r>
    <x v="12"/>
    <s v="G6 Technician Linux"/>
    <x v="5"/>
    <x v="54"/>
    <n v="1"/>
  </r>
  <r>
    <x v="12"/>
    <s v="G6 Technician Linux"/>
    <x v="5"/>
    <x v="55"/>
    <n v="3"/>
  </r>
  <r>
    <x v="12"/>
    <s v="G6 Technician Linux"/>
    <x v="5"/>
    <x v="56"/>
    <n v="2"/>
  </r>
  <r>
    <x v="12"/>
    <s v="G6 Technician Linux"/>
    <x v="5"/>
    <x v="57"/>
    <n v="4"/>
  </r>
  <r>
    <x v="12"/>
    <s v="G6 Technician Linux"/>
    <x v="5"/>
    <x v="58"/>
    <n v="2"/>
  </r>
  <r>
    <x v="12"/>
    <s v="G6 Technician Linux"/>
    <x v="5"/>
    <x v="59"/>
    <n v="2"/>
  </r>
  <r>
    <x v="12"/>
    <s v="G6 Technician Linux"/>
    <x v="5"/>
    <x v="60"/>
    <n v="2"/>
  </r>
  <r>
    <x v="12"/>
    <s v="G6 Technician Linux"/>
    <x v="5"/>
    <x v="61"/>
    <n v="1"/>
  </r>
  <r>
    <x v="12"/>
    <s v="G6 Technician Linux"/>
    <x v="5"/>
    <x v="62"/>
    <n v="0"/>
  </r>
  <r>
    <x v="12"/>
    <s v="G6 Technician Linux"/>
    <x v="5"/>
    <x v="63"/>
    <n v="0"/>
  </r>
  <r>
    <x v="12"/>
    <s v="G6 Technician Linux"/>
    <x v="5"/>
    <x v="64"/>
    <n v="2"/>
  </r>
  <r>
    <x v="12"/>
    <s v="G6 Technician Linux"/>
    <x v="5"/>
    <x v="65"/>
    <n v="0"/>
  </r>
  <r>
    <x v="12"/>
    <s v="G6 Technician Linux"/>
    <x v="5"/>
    <x v="66"/>
    <n v="0"/>
  </r>
  <r>
    <x v="12"/>
    <s v="G6 Technician Linux"/>
    <x v="5"/>
    <x v="67"/>
    <n v="4"/>
  </r>
  <r>
    <x v="12"/>
    <s v="G6 Technician Linux"/>
    <x v="5"/>
    <x v="68"/>
    <n v="3"/>
  </r>
  <r>
    <x v="12"/>
    <s v="G6 Technician Linux"/>
    <x v="5"/>
    <x v="69"/>
    <n v="4"/>
  </r>
  <r>
    <x v="12"/>
    <s v="G6 Technician Linux"/>
    <x v="5"/>
    <x v="70"/>
    <n v="1"/>
  </r>
  <r>
    <x v="12"/>
    <s v="G6 Technician Linux"/>
    <x v="5"/>
    <x v="71"/>
    <n v="4"/>
  </r>
  <r>
    <x v="12"/>
    <s v="G6 Technician Linux"/>
    <x v="5"/>
    <x v="72"/>
    <n v="3"/>
  </r>
  <r>
    <x v="12"/>
    <s v="G6 Technician Linux"/>
    <x v="5"/>
    <x v="73"/>
    <n v="3"/>
  </r>
  <r>
    <x v="12"/>
    <s v="G6 Technician Linux"/>
    <x v="5"/>
    <x v="74"/>
    <n v="3"/>
  </r>
  <r>
    <x v="12"/>
    <s v="G6 Technician Linux"/>
    <x v="5"/>
    <x v="75"/>
    <n v="3"/>
  </r>
  <r>
    <x v="12"/>
    <s v="G6 Technician Linux"/>
    <x v="5"/>
    <x v="76"/>
    <n v="2"/>
  </r>
  <r>
    <x v="12"/>
    <s v="G6 Technician Linux"/>
    <x v="5"/>
    <x v="77"/>
    <n v="2"/>
  </r>
  <r>
    <x v="12"/>
    <s v="G6 Technician Linux"/>
    <x v="5"/>
    <x v="78"/>
    <n v="1"/>
  </r>
  <r>
    <x v="12"/>
    <s v="G6 Technician Linux"/>
    <x v="6"/>
    <x v="79"/>
    <n v="0"/>
  </r>
  <r>
    <x v="12"/>
    <s v="G6 Technician Linux"/>
    <x v="6"/>
    <x v="80"/>
    <n v="1"/>
  </r>
  <r>
    <x v="12"/>
    <s v="G6 Technician Linux"/>
    <x v="6"/>
    <x v="81"/>
    <n v="2"/>
  </r>
  <r>
    <x v="12"/>
    <s v="G6 Technician Linux"/>
    <x v="6"/>
    <x v="82"/>
    <n v="1"/>
  </r>
  <r>
    <x v="12"/>
    <s v="G6 Technician Linux"/>
    <x v="6"/>
    <x v="83"/>
    <n v="0"/>
  </r>
  <r>
    <x v="12"/>
    <s v="G6 Technician Linux"/>
    <x v="6"/>
    <x v="84"/>
    <n v="1"/>
  </r>
  <r>
    <x v="12"/>
    <s v="G6 Technician Linux"/>
    <x v="6"/>
    <x v="85"/>
    <n v="0"/>
  </r>
  <r>
    <x v="12"/>
    <s v="G6 Technician Linux"/>
    <x v="6"/>
    <x v="86"/>
    <n v="3"/>
  </r>
  <r>
    <x v="12"/>
    <s v="G6 Technician Linux"/>
    <x v="6"/>
    <x v="87"/>
    <n v="2"/>
  </r>
  <r>
    <x v="13"/>
    <s v="G5 Technician"/>
    <x v="0"/>
    <x v="0"/>
    <n v="2"/>
  </r>
  <r>
    <x v="13"/>
    <s v="G5 Technician"/>
    <x v="0"/>
    <x v="1"/>
    <n v="2"/>
  </r>
  <r>
    <x v="13"/>
    <s v="G5 Technician"/>
    <x v="0"/>
    <x v="2"/>
    <n v="3"/>
  </r>
  <r>
    <x v="13"/>
    <s v="G5 Technician"/>
    <x v="0"/>
    <x v="3"/>
    <n v="3"/>
  </r>
  <r>
    <x v="13"/>
    <s v="G5 Technician"/>
    <x v="0"/>
    <x v="4"/>
    <n v="2"/>
  </r>
  <r>
    <x v="13"/>
    <s v="G5 Technician"/>
    <x v="0"/>
    <x v="5"/>
    <n v="3"/>
  </r>
  <r>
    <x v="13"/>
    <s v="G5 Technician"/>
    <x v="0"/>
    <x v="6"/>
    <n v="2"/>
  </r>
  <r>
    <x v="13"/>
    <s v="G5 Technician"/>
    <x v="0"/>
    <x v="7"/>
    <n v="2"/>
  </r>
  <r>
    <x v="13"/>
    <s v="G5 Technician"/>
    <x v="0"/>
    <x v="8"/>
    <n v="2"/>
  </r>
  <r>
    <x v="13"/>
    <s v="G5 Technician"/>
    <x v="1"/>
    <x v="9"/>
    <n v="2"/>
  </r>
  <r>
    <x v="13"/>
    <s v="G5 Technician"/>
    <x v="1"/>
    <x v="10"/>
    <n v="2"/>
  </r>
  <r>
    <x v="13"/>
    <s v="G5 Technician"/>
    <x v="1"/>
    <x v="11"/>
    <n v="2"/>
  </r>
  <r>
    <x v="13"/>
    <s v="G5 Technician"/>
    <x v="1"/>
    <x v="12"/>
    <n v="2"/>
  </r>
  <r>
    <x v="13"/>
    <s v="G5 Technician"/>
    <x v="1"/>
    <x v="13"/>
    <n v="1"/>
  </r>
  <r>
    <x v="13"/>
    <s v="G5 Technician"/>
    <x v="1"/>
    <x v="14"/>
    <n v="2"/>
  </r>
  <r>
    <x v="13"/>
    <s v="G5 Technician"/>
    <x v="1"/>
    <x v="15"/>
    <n v="1"/>
  </r>
  <r>
    <x v="13"/>
    <s v="G5 Technician"/>
    <x v="1"/>
    <x v="16"/>
    <n v="1"/>
  </r>
  <r>
    <x v="13"/>
    <s v="G5 Technician"/>
    <x v="1"/>
    <x v="17"/>
    <n v="1"/>
  </r>
  <r>
    <x v="13"/>
    <s v="G5 Technician"/>
    <x v="1"/>
    <x v="18"/>
    <n v="2"/>
  </r>
  <r>
    <x v="13"/>
    <s v="G5 Technician"/>
    <x v="1"/>
    <x v="19"/>
    <n v="2"/>
  </r>
  <r>
    <x v="13"/>
    <s v="G5 Technician"/>
    <x v="2"/>
    <x v="20"/>
    <n v="3"/>
  </r>
  <r>
    <x v="13"/>
    <s v="G5 Technician"/>
    <x v="2"/>
    <x v="21"/>
    <n v="2"/>
  </r>
  <r>
    <x v="13"/>
    <s v="G5 Technician"/>
    <x v="2"/>
    <x v="22"/>
    <n v="2"/>
  </r>
  <r>
    <x v="13"/>
    <s v="G5 Technician"/>
    <x v="2"/>
    <x v="23"/>
    <n v="2"/>
  </r>
  <r>
    <x v="13"/>
    <s v="G5 Technician"/>
    <x v="2"/>
    <x v="24"/>
    <n v="2"/>
  </r>
  <r>
    <x v="13"/>
    <s v="G5 Technician"/>
    <x v="2"/>
    <x v="25"/>
    <n v="1"/>
  </r>
  <r>
    <x v="13"/>
    <s v="G5 Technician"/>
    <x v="3"/>
    <x v="26"/>
    <n v="1"/>
  </r>
  <r>
    <x v="13"/>
    <s v="G5 Technician"/>
    <x v="3"/>
    <x v="27"/>
    <n v="0"/>
  </r>
  <r>
    <x v="13"/>
    <s v="G5 Technician"/>
    <x v="3"/>
    <x v="28"/>
    <n v="0"/>
  </r>
  <r>
    <x v="13"/>
    <s v="G5 Technician"/>
    <x v="3"/>
    <x v="29"/>
    <n v="1"/>
  </r>
  <r>
    <x v="13"/>
    <s v="G5 Technician"/>
    <x v="3"/>
    <x v="30"/>
    <n v="1"/>
  </r>
  <r>
    <x v="13"/>
    <s v="G5 Technician"/>
    <x v="3"/>
    <x v="31"/>
    <n v="2"/>
  </r>
  <r>
    <x v="13"/>
    <s v="G5 Technician"/>
    <x v="3"/>
    <x v="32"/>
    <n v="1"/>
  </r>
  <r>
    <x v="13"/>
    <s v="G5 Technician"/>
    <x v="3"/>
    <x v="33"/>
    <n v="0"/>
  </r>
  <r>
    <x v="13"/>
    <s v="G5 Technician"/>
    <x v="3"/>
    <x v="34"/>
    <n v="0"/>
  </r>
  <r>
    <x v="13"/>
    <s v="G5 Technician"/>
    <x v="4"/>
    <x v="35"/>
    <n v="1"/>
  </r>
  <r>
    <x v="13"/>
    <s v="G5 Technician"/>
    <x v="4"/>
    <x v="36"/>
    <n v="0"/>
  </r>
  <r>
    <x v="13"/>
    <s v="G5 Technician"/>
    <x v="4"/>
    <x v="37"/>
    <n v="0"/>
  </r>
  <r>
    <x v="13"/>
    <s v="G5 Technician"/>
    <x v="4"/>
    <x v="38"/>
    <n v="0"/>
  </r>
  <r>
    <x v="13"/>
    <s v="G5 Technician"/>
    <x v="4"/>
    <x v="39"/>
    <n v="0"/>
  </r>
  <r>
    <x v="13"/>
    <s v="G5 Technician"/>
    <x v="4"/>
    <x v="40"/>
    <n v="1"/>
  </r>
  <r>
    <x v="13"/>
    <s v="G5 Technician"/>
    <x v="4"/>
    <x v="41"/>
    <n v="1"/>
  </r>
  <r>
    <x v="13"/>
    <s v="G5 Technician"/>
    <x v="4"/>
    <x v="42"/>
    <n v="1"/>
  </r>
  <r>
    <x v="13"/>
    <s v="G5 Technician"/>
    <x v="5"/>
    <x v="43"/>
    <n v="1"/>
  </r>
  <r>
    <x v="13"/>
    <s v="G5 Technician"/>
    <x v="5"/>
    <x v="44"/>
    <n v="1"/>
  </r>
  <r>
    <x v="13"/>
    <s v="G5 Technician"/>
    <x v="5"/>
    <x v="45"/>
    <n v="0"/>
  </r>
  <r>
    <x v="13"/>
    <s v="G5 Technician"/>
    <x v="5"/>
    <x v="46"/>
    <n v="0"/>
  </r>
  <r>
    <x v="13"/>
    <s v="G5 Technician"/>
    <x v="5"/>
    <x v="47"/>
    <n v="0"/>
  </r>
  <r>
    <x v="13"/>
    <s v="G5 Technician"/>
    <x v="5"/>
    <x v="48"/>
    <n v="0"/>
  </r>
  <r>
    <x v="13"/>
    <s v="G5 Technician"/>
    <x v="5"/>
    <x v="49"/>
    <n v="0"/>
  </r>
  <r>
    <x v="13"/>
    <s v="G5 Technician"/>
    <x v="5"/>
    <x v="50"/>
    <n v="0"/>
  </r>
  <r>
    <x v="13"/>
    <s v="G5 Technician"/>
    <x v="5"/>
    <x v="51"/>
    <n v="0"/>
  </r>
  <r>
    <x v="13"/>
    <s v="G5 Technician"/>
    <x v="5"/>
    <x v="52"/>
    <n v="1"/>
  </r>
  <r>
    <x v="13"/>
    <s v="G5 Technician"/>
    <x v="5"/>
    <x v="53"/>
    <n v="1"/>
  </r>
  <r>
    <x v="13"/>
    <s v="G5 Technician"/>
    <x v="5"/>
    <x v="54"/>
    <n v="0"/>
  </r>
  <r>
    <x v="13"/>
    <s v="G5 Technician"/>
    <x v="5"/>
    <x v="55"/>
    <n v="2"/>
  </r>
  <r>
    <x v="13"/>
    <s v="G5 Technician"/>
    <x v="5"/>
    <x v="56"/>
    <n v="1"/>
  </r>
  <r>
    <x v="13"/>
    <s v="G5 Technician"/>
    <x v="5"/>
    <x v="57"/>
    <n v="2"/>
  </r>
  <r>
    <x v="13"/>
    <s v="G5 Technician"/>
    <x v="5"/>
    <x v="58"/>
    <n v="2"/>
  </r>
  <r>
    <x v="13"/>
    <s v="G5 Technician"/>
    <x v="5"/>
    <x v="59"/>
    <n v="1"/>
  </r>
  <r>
    <x v="13"/>
    <s v="G5 Technician"/>
    <x v="5"/>
    <x v="60"/>
    <n v="2"/>
  </r>
  <r>
    <x v="13"/>
    <s v="G5 Technician"/>
    <x v="5"/>
    <x v="61"/>
    <n v="2"/>
  </r>
  <r>
    <x v="13"/>
    <s v="G5 Technician"/>
    <x v="5"/>
    <x v="62"/>
    <n v="1"/>
  </r>
  <r>
    <x v="13"/>
    <s v="G5 Technician"/>
    <x v="5"/>
    <x v="63"/>
    <n v="1"/>
  </r>
  <r>
    <x v="13"/>
    <s v="G5 Technician"/>
    <x v="5"/>
    <x v="64"/>
    <n v="1"/>
  </r>
  <r>
    <x v="13"/>
    <s v="G5 Technician"/>
    <x v="5"/>
    <x v="65"/>
    <n v="1"/>
  </r>
  <r>
    <x v="13"/>
    <s v="G5 Technician"/>
    <x v="5"/>
    <x v="66"/>
    <n v="0"/>
  </r>
  <r>
    <x v="13"/>
    <s v="G5 Technician"/>
    <x v="5"/>
    <x v="67"/>
    <n v="1"/>
  </r>
  <r>
    <x v="13"/>
    <s v="G5 Technician"/>
    <x v="5"/>
    <x v="68"/>
    <n v="0"/>
  </r>
  <r>
    <x v="13"/>
    <s v="G5 Technician"/>
    <x v="5"/>
    <x v="69"/>
    <n v="1"/>
  </r>
  <r>
    <x v="13"/>
    <s v="G5 Technician"/>
    <x v="5"/>
    <x v="70"/>
    <n v="0"/>
  </r>
  <r>
    <x v="13"/>
    <s v="G5 Technician"/>
    <x v="5"/>
    <x v="71"/>
    <n v="1"/>
  </r>
  <r>
    <x v="13"/>
    <s v="G5 Technician"/>
    <x v="5"/>
    <x v="72"/>
    <n v="1"/>
  </r>
  <r>
    <x v="13"/>
    <s v="G5 Technician"/>
    <x v="5"/>
    <x v="73"/>
    <n v="0"/>
  </r>
  <r>
    <x v="13"/>
    <s v="G5 Technician"/>
    <x v="5"/>
    <x v="74"/>
    <n v="0"/>
  </r>
  <r>
    <x v="13"/>
    <s v="G5 Technician"/>
    <x v="5"/>
    <x v="75"/>
    <n v="1"/>
  </r>
  <r>
    <x v="13"/>
    <s v="G5 Technician"/>
    <x v="5"/>
    <x v="76"/>
    <n v="0"/>
  </r>
  <r>
    <x v="13"/>
    <s v="G5 Technician"/>
    <x v="5"/>
    <x v="77"/>
    <n v="2"/>
  </r>
  <r>
    <x v="13"/>
    <s v="G5 Technician"/>
    <x v="5"/>
    <x v="78"/>
    <n v="0"/>
  </r>
  <r>
    <x v="13"/>
    <s v="G5 Technician"/>
    <x v="6"/>
    <x v="79"/>
    <n v="0"/>
  </r>
  <r>
    <x v="13"/>
    <s v="G5 Technician"/>
    <x v="6"/>
    <x v="80"/>
    <n v="0"/>
  </r>
  <r>
    <x v="13"/>
    <s v="G5 Technician"/>
    <x v="6"/>
    <x v="81"/>
    <n v="0"/>
  </r>
  <r>
    <x v="13"/>
    <s v="G5 Technician"/>
    <x v="6"/>
    <x v="82"/>
    <n v="0"/>
  </r>
  <r>
    <x v="13"/>
    <s v="G5 Technician"/>
    <x v="6"/>
    <x v="83"/>
    <n v="0"/>
  </r>
  <r>
    <x v="13"/>
    <s v="G5 Technician"/>
    <x v="6"/>
    <x v="84"/>
    <n v="0"/>
  </r>
  <r>
    <x v="13"/>
    <s v="G5 Technician"/>
    <x v="6"/>
    <x v="85"/>
    <n v="0"/>
  </r>
  <r>
    <x v="13"/>
    <s v="G5 Technician"/>
    <x v="6"/>
    <x v="86"/>
    <n v="0"/>
  </r>
  <r>
    <x v="13"/>
    <s v="G5 Technician"/>
    <x v="6"/>
    <x v="87"/>
    <n v="1"/>
  </r>
  <r>
    <x v="14"/>
    <s v="G6 Software Developer"/>
    <x v="0"/>
    <x v="0"/>
    <n v="0"/>
  </r>
  <r>
    <x v="14"/>
    <s v="G6 Software Developer"/>
    <x v="0"/>
    <x v="1"/>
    <n v="2"/>
  </r>
  <r>
    <x v="14"/>
    <s v="G6 Software Developer"/>
    <x v="0"/>
    <x v="2"/>
    <n v="0"/>
  </r>
  <r>
    <x v="14"/>
    <s v="G6 Software Developer"/>
    <x v="0"/>
    <x v="3"/>
    <n v="1"/>
  </r>
  <r>
    <x v="14"/>
    <s v="G6 Software Developer"/>
    <x v="0"/>
    <x v="4"/>
    <n v="2"/>
  </r>
  <r>
    <x v="14"/>
    <s v="G6 Software Developer"/>
    <x v="0"/>
    <x v="5"/>
    <n v="2"/>
  </r>
  <r>
    <x v="14"/>
    <s v="G6 Software Developer"/>
    <x v="0"/>
    <x v="6"/>
    <n v="3"/>
  </r>
  <r>
    <x v="14"/>
    <s v="G6 Software Developer"/>
    <x v="0"/>
    <x v="7"/>
    <n v="1"/>
  </r>
  <r>
    <x v="14"/>
    <s v="G6 Software Developer"/>
    <x v="0"/>
    <x v="8"/>
    <n v="0"/>
  </r>
  <r>
    <x v="14"/>
    <s v="G6 Software Developer"/>
    <x v="1"/>
    <x v="9"/>
    <n v="2"/>
  </r>
  <r>
    <x v="14"/>
    <s v="G6 Software Developer"/>
    <x v="1"/>
    <x v="10"/>
    <n v="0"/>
  </r>
  <r>
    <x v="14"/>
    <s v="G6 Software Developer"/>
    <x v="1"/>
    <x v="11"/>
    <n v="2"/>
  </r>
  <r>
    <x v="14"/>
    <s v="G6 Software Developer"/>
    <x v="1"/>
    <x v="12"/>
    <n v="0"/>
  </r>
  <r>
    <x v="14"/>
    <s v="G6 Software Developer"/>
    <x v="1"/>
    <x v="13"/>
    <n v="2"/>
  </r>
  <r>
    <x v="14"/>
    <s v="G6 Software Developer"/>
    <x v="1"/>
    <x v="14"/>
    <n v="2"/>
  </r>
  <r>
    <x v="14"/>
    <s v="G6 Software Developer"/>
    <x v="1"/>
    <x v="15"/>
    <n v="3"/>
  </r>
  <r>
    <x v="14"/>
    <s v="G6 Software Developer"/>
    <x v="1"/>
    <x v="16"/>
    <n v="3"/>
  </r>
  <r>
    <x v="14"/>
    <s v="G6 Software Developer"/>
    <x v="1"/>
    <x v="17"/>
    <n v="2"/>
  </r>
  <r>
    <x v="14"/>
    <s v="G6 Software Developer"/>
    <x v="1"/>
    <x v="18"/>
    <n v="0"/>
  </r>
  <r>
    <x v="14"/>
    <s v="G6 Software Developer"/>
    <x v="1"/>
    <x v="19"/>
    <n v="1"/>
  </r>
  <r>
    <x v="14"/>
    <s v="G6 Software Developer"/>
    <x v="2"/>
    <x v="20"/>
    <n v="0"/>
  </r>
  <r>
    <x v="14"/>
    <s v="G6 Software Developer"/>
    <x v="2"/>
    <x v="21"/>
    <n v="1"/>
  </r>
  <r>
    <x v="14"/>
    <s v="G6 Software Developer"/>
    <x v="2"/>
    <x v="22"/>
    <n v="0"/>
  </r>
  <r>
    <x v="14"/>
    <s v="G6 Software Developer"/>
    <x v="2"/>
    <x v="23"/>
    <n v="0"/>
  </r>
  <r>
    <x v="14"/>
    <s v="G6 Software Developer"/>
    <x v="2"/>
    <x v="24"/>
    <n v="0"/>
  </r>
  <r>
    <x v="14"/>
    <s v="G6 Software Developer"/>
    <x v="2"/>
    <x v="25"/>
    <n v="0"/>
  </r>
  <r>
    <x v="14"/>
    <s v="G6 Software Developer"/>
    <x v="3"/>
    <x v="26"/>
    <n v="0"/>
  </r>
  <r>
    <x v="14"/>
    <s v="G6 Software Developer"/>
    <x v="3"/>
    <x v="27"/>
    <n v="0"/>
  </r>
  <r>
    <x v="14"/>
    <s v="G6 Software Developer"/>
    <x v="3"/>
    <x v="28"/>
    <n v="0"/>
  </r>
  <r>
    <x v="14"/>
    <s v="G6 Software Developer"/>
    <x v="3"/>
    <x v="29"/>
    <n v="0"/>
  </r>
  <r>
    <x v="14"/>
    <s v="G6 Software Developer"/>
    <x v="3"/>
    <x v="30"/>
    <n v="0"/>
  </r>
  <r>
    <x v="14"/>
    <s v="G6 Software Developer"/>
    <x v="3"/>
    <x v="31"/>
    <n v="0"/>
  </r>
  <r>
    <x v="14"/>
    <s v="G6 Software Developer"/>
    <x v="3"/>
    <x v="32"/>
    <n v="3"/>
  </r>
  <r>
    <x v="14"/>
    <s v="G6 Software Developer"/>
    <x v="3"/>
    <x v="33"/>
    <n v="0"/>
  </r>
  <r>
    <x v="14"/>
    <s v="G6 Software Developer"/>
    <x v="3"/>
    <x v="34"/>
    <n v="0"/>
  </r>
  <r>
    <x v="14"/>
    <s v="G6 Software Developer"/>
    <x v="4"/>
    <x v="35"/>
    <n v="0"/>
  </r>
  <r>
    <x v="14"/>
    <s v="G6 Software Developer"/>
    <x v="4"/>
    <x v="36"/>
    <n v="0"/>
  </r>
  <r>
    <x v="14"/>
    <s v="G6 Software Developer"/>
    <x v="4"/>
    <x v="37"/>
    <n v="1"/>
  </r>
  <r>
    <x v="14"/>
    <s v="G6 Software Developer"/>
    <x v="4"/>
    <x v="38"/>
    <n v="0"/>
  </r>
  <r>
    <x v="14"/>
    <s v="G6 Software Developer"/>
    <x v="4"/>
    <x v="39"/>
    <n v="2"/>
  </r>
  <r>
    <x v="14"/>
    <s v="G6 Software Developer"/>
    <x v="4"/>
    <x v="40"/>
    <n v="0"/>
  </r>
  <r>
    <x v="14"/>
    <s v="G6 Software Developer"/>
    <x v="4"/>
    <x v="41"/>
    <n v="0"/>
  </r>
  <r>
    <x v="14"/>
    <s v="G6 Software Developer"/>
    <x v="4"/>
    <x v="42"/>
    <n v="0"/>
  </r>
  <r>
    <x v="14"/>
    <s v="G6 Software Developer"/>
    <x v="5"/>
    <x v="43"/>
    <n v="3"/>
  </r>
  <r>
    <x v="14"/>
    <s v="G6 Software Developer"/>
    <x v="5"/>
    <x v="44"/>
    <n v="3"/>
  </r>
  <r>
    <x v="14"/>
    <s v="G6 Software Developer"/>
    <x v="5"/>
    <x v="45"/>
    <n v="1"/>
  </r>
  <r>
    <x v="14"/>
    <s v="G6 Software Developer"/>
    <x v="5"/>
    <x v="46"/>
    <n v="3"/>
  </r>
  <r>
    <x v="14"/>
    <s v="G6 Software Developer"/>
    <x v="5"/>
    <x v="47"/>
    <n v="3"/>
  </r>
  <r>
    <x v="14"/>
    <s v="G6 Software Developer"/>
    <x v="5"/>
    <x v="48"/>
    <n v="2"/>
  </r>
  <r>
    <x v="14"/>
    <s v="G6 Software Developer"/>
    <x v="5"/>
    <x v="49"/>
    <n v="2"/>
  </r>
  <r>
    <x v="14"/>
    <s v="G6 Software Developer"/>
    <x v="5"/>
    <x v="50"/>
    <n v="2"/>
  </r>
  <r>
    <x v="14"/>
    <s v="G6 Software Developer"/>
    <x v="5"/>
    <x v="51"/>
    <n v="2"/>
  </r>
  <r>
    <x v="14"/>
    <s v="G6 Software Developer"/>
    <x v="5"/>
    <x v="52"/>
    <n v="1"/>
  </r>
  <r>
    <x v="14"/>
    <s v="G6 Software Developer"/>
    <x v="5"/>
    <x v="53"/>
    <n v="1"/>
  </r>
  <r>
    <x v="14"/>
    <s v="G6 Software Developer"/>
    <x v="5"/>
    <x v="54"/>
    <n v="0"/>
  </r>
  <r>
    <x v="14"/>
    <s v="G6 Software Developer"/>
    <x v="5"/>
    <x v="55"/>
    <n v="2"/>
  </r>
  <r>
    <x v="14"/>
    <s v="G6 Software Developer"/>
    <x v="5"/>
    <x v="56"/>
    <n v="2"/>
  </r>
  <r>
    <x v="14"/>
    <s v="G6 Software Developer"/>
    <x v="5"/>
    <x v="57"/>
    <n v="1"/>
  </r>
  <r>
    <x v="14"/>
    <s v="G6 Software Developer"/>
    <x v="5"/>
    <x v="58"/>
    <n v="0"/>
  </r>
  <r>
    <x v="14"/>
    <s v="G6 Software Developer"/>
    <x v="5"/>
    <x v="59"/>
    <n v="0"/>
  </r>
  <r>
    <x v="14"/>
    <s v="G6 Software Developer"/>
    <x v="5"/>
    <x v="60"/>
    <n v="0"/>
  </r>
  <r>
    <x v="14"/>
    <s v="G6 Software Developer"/>
    <x v="5"/>
    <x v="61"/>
    <n v="3"/>
  </r>
  <r>
    <x v="14"/>
    <s v="G6 Software Developer"/>
    <x v="5"/>
    <x v="62"/>
    <n v="0"/>
  </r>
  <r>
    <x v="14"/>
    <s v="G6 Software Developer"/>
    <x v="5"/>
    <x v="63"/>
    <n v="3"/>
  </r>
  <r>
    <x v="14"/>
    <s v="G6 Software Developer"/>
    <x v="5"/>
    <x v="64"/>
    <n v="3"/>
  </r>
  <r>
    <x v="14"/>
    <s v="G6 Software Developer"/>
    <x v="5"/>
    <x v="65"/>
    <n v="3"/>
  </r>
  <r>
    <x v="14"/>
    <s v="G6 Software Developer"/>
    <x v="5"/>
    <x v="66"/>
    <n v="3"/>
  </r>
  <r>
    <x v="14"/>
    <s v="G6 Software Developer"/>
    <x v="5"/>
    <x v="67"/>
    <n v="1"/>
  </r>
  <r>
    <x v="14"/>
    <s v="G6 Software Developer"/>
    <x v="5"/>
    <x v="68"/>
    <n v="3"/>
  </r>
  <r>
    <x v="14"/>
    <s v="G6 Software Developer"/>
    <x v="5"/>
    <x v="69"/>
    <n v="3"/>
  </r>
  <r>
    <x v="14"/>
    <s v="G6 Software Developer"/>
    <x v="5"/>
    <x v="70"/>
    <n v="2"/>
  </r>
  <r>
    <x v="14"/>
    <s v="G6 Software Developer"/>
    <x v="5"/>
    <x v="71"/>
    <n v="0"/>
  </r>
  <r>
    <x v="14"/>
    <s v="G6 Software Developer"/>
    <x v="5"/>
    <x v="72"/>
    <n v="3"/>
  </r>
  <r>
    <x v="14"/>
    <s v="G6 Software Developer"/>
    <x v="5"/>
    <x v="73"/>
    <n v="1"/>
  </r>
  <r>
    <x v="14"/>
    <s v="G6 Software Developer"/>
    <x v="5"/>
    <x v="74"/>
    <n v="0"/>
  </r>
  <r>
    <x v="14"/>
    <s v="G6 Software Developer"/>
    <x v="5"/>
    <x v="75"/>
    <n v="1"/>
  </r>
  <r>
    <x v="14"/>
    <s v="G6 Software Developer"/>
    <x v="5"/>
    <x v="76"/>
    <n v="2"/>
  </r>
  <r>
    <x v="14"/>
    <s v="G6 Software Developer"/>
    <x v="5"/>
    <x v="77"/>
    <n v="0"/>
  </r>
  <r>
    <x v="14"/>
    <s v="G6 Software Developer"/>
    <x v="5"/>
    <x v="78"/>
    <n v="0"/>
  </r>
  <r>
    <x v="14"/>
    <s v="G6 Software Developer"/>
    <x v="6"/>
    <x v="79"/>
    <n v="0"/>
  </r>
  <r>
    <x v="14"/>
    <s v="G6 Software Developer"/>
    <x v="6"/>
    <x v="80"/>
    <n v="0"/>
  </r>
  <r>
    <x v="14"/>
    <s v="G6 Software Developer"/>
    <x v="6"/>
    <x v="81"/>
    <n v="0"/>
  </r>
  <r>
    <x v="14"/>
    <s v="G6 Software Developer"/>
    <x v="6"/>
    <x v="82"/>
    <n v="0"/>
  </r>
  <r>
    <x v="14"/>
    <s v="G6 Software Developer"/>
    <x v="6"/>
    <x v="83"/>
    <n v="0"/>
  </r>
  <r>
    <x v="14"/>
    <s v="G6 Software Developer"/>
    <x v="6"/>
    <x v="84"/>
    <n v="0"/>
  </r>
  <r>
    <x v="14"/>
    <s v="G6 Software Developer"/>
    <x v="6"/>
    <x v="85"/>
    <n v="0"/>
  </r>
  <r>
    <x v="14"/>
    <s v="G6 Software Developer"/>
    <x v="6"/>
    <x v="86"/>
    <n v="2"/>
  </r>
  <r>
    <x v="14"/>
    <s v="G6 Software Developer"/>
    <x v="6"/>
    <x v="87"/>
    <n v="2"/>
  </r>
  <r>
    <x v="15"/>
    <s v="G6 Technician"/>
    <x v="0"/>
    <x v="0"/>
    <n v="3"/>
  </r>
  <r>
    <x v="15"/>
    <s v="G6 Technician"/>
    <x v="0"/>
    <x v="1"/>
    <n v="3"/>
  </r>
  <r>
    <x v="15"/>
    <s v="G6 Technician"/>
    <x v="0"/>
    <x v="2"/>
    <n v="4"/>
  </r>
  <r>
    <x v="15"/>
    <s v="G6 Technician"/>
    <x v="0"/>
    <x v="3"/>
    <n v="4"/>
  </r>
  <r>
    <x v="15"/>
    <s v="G6 Technician"/>
    <x v="0"/>
    <x v="4"/>
    <n v="2"/>
  </r>
  <r>
    <x v="15"/>
    <s v="G6 Technician"/>
    <x v="0"/>
    <x v="5"/>
    <n v="3"/>
  </r>
  <r>
    <x v="15"/>
    <s v="G6 Technician"/>
    <x v="0"/>
    <x v="6"/>
    <n v="4"/>
  </r>
  <r>
    <x v="15"/>
    <s v="G6 Technician"/>
    <x v="0"/>
    <x v="7"/>
    <n v="4"/>
  </r>
  <r>
    <x v="15"/>
    <s v="G6 Technician"/>
    <x v="0"/>
    <x v="8"/>
    <n v="2"/>
  </r>
  <r>
    <x v="15"/>
    <s v="G6 Technician"/>
    <x v="1"/>
    <x v="9"/>
    <n v="3"/>
  </r>
  <r>
    <x v="15"/>
    <s v="G6 Technician"/>
    <x v="1"/>
    <x v="10"/>
    <n v="4"/>
  </r>
  <r>
    <x v="15"/>
    <s v="G6 Technician"/>
    <x v="1"/>
    <x v="11"/>
    <n v="1"/>
  </r>
  <r>
    <x v="15"/>
    <s v="G6 Technician"/>
    <x v="1"/>
    <x v="12"/>
    <n v="1"/>
  </r>
  <r>
    <x v="15"/>
    <s v="G6 Technician"/>
    <x v="1"/>
    <x v="13"/>
    <n v="2"/>
  </r>
  <r>
    <x v="15"/>
    <s v="G6 Technician"/>
    <x v="1"/>
    <x v="14"/>
    <n v="2"/>
  </r>
  <r>
    <x v="15"/>
    <s v="G6 Technician"/>
    <x v="1"/>
    <x v="15"/>
    <n v="2"/>
  </r>
  <r>
    <x v="15"/>
    <s v="G6 Technician"/>
    <x v="1"/>
    <x v="16"/>
    <n v="1"/>
  </r>
  <r>
    <x v="15"/>
    <s v="G6 Technician"/>
    <x v="1"/>
    <x v="17"/>
    <n v="1"/>
  </r>
  <r>
    <x v="15"/>
    <s v="G6 Technician"/>
    <x v="1"/>
    <x v="18"/>
    <n v="3"/>
  </r>
  <r>
    <x v="15"/>
    <s v="G6 Technician"/>
    <x v="1"/>
    <x v="19"/>
    <n v="3"/>
  </r>
  <r>
    <x v="15"/>
    <s v="G6 Technician"/>
    <x v="2"/>
    <x v="20"/>
    <n v="1"/>
  </r>
  <r>
    <x v="15"/>
    <s v="G6 Technician"/>
    <x v="2"/>
    <x v="21"/>
    <n v="1"/>
  </r>
  <r>
    <x v="15"/>
    <s v="G6 Technician"/>
    <x v="2"/>
    <x v="22"/>
    <n v="2"/>
  </r>
  <r>
    <x v="15"/>
    <s v="G6 Technician"/>
    <x v="2"/>
    <x v="23"/>
    <n v="1"/>
  </r>
  <r>
    <x v="15"/>
    <s v="G6 Technician"/>
    <x v="2"/>
    <x v="24"/>
    <n v="2"/>
  </r>
  <r>
    <x v="15"/>
    <s v="G6 Technician"/>
    <x v="2"/>
    <x v="25"/>
    <n v="1"/>
  </r>
  <r>
    <x v="15"/>
    <s v="G6 Technician"/>
    <x v="3"/>
    <x v="26"/>
    <n v="1"/>
  </r>
  <r>
    <x v="15"/>
    <s v="G6 Technician"/>
    <x v="3"/>
    <x v="27"/>
    <n v="2"/>
  </r>
  <r>
    <x v="15"/>
    <s v="G6 Technician"/>
    <x v="3"/>
    <x v="28"/>
    <n v="1"/>
  </r>
  <r>
    <x v="15"/>
    <s v="G6 Technician"/>
    <x v="3"/>
    <x v="29"/>
    <n v="1"/>
  </r>
  <r>
    <x v="15"/>
    <s v="G6 Technician"/>
    <x v="3"/>
    <x v="30"/>
    <n v="1"/>
  </r>
  <r>
    <x v="15"/>
    <s v="G6 Technician"/>
    <x v="3"/>
    <x v="31"/>
    <n v="1"/>
  </r>
  <r>
    <x v="15"/>
    <s v="G6 Technician"/>
    <x v="3"/>
    <x v="32"/>
    <n v="1"/>
  </r>
  <r>
    <x v="15"/>
    <s v="G6 Technician"/>
    <x v="3"/>
    <x v="33"/>
    <n v="1"/>
  </r>
  <r>
    <x v="15"/>
    <s v="G6 Technician"/>
    <x v="3"/>
    <x v="34"/>
    <n v="1"/>
  </r>
  <r>
    <x v="15"/>
    <s v="G6 Technician"/>
    <x v="4"/>
    <x v="35"/>
    <n v="1"/>
  </r>
  <r>
    <x v="15"/>
    <s v="G6 Technician"/>
    <x v="4"/>
    <x v="36"/>
    <n v="1"/>
  </r>
  <r>
    <x v="15"/>
    <s v="G6 Technician"/>
    <x v="4"/>
    <x v="37"/>
    <n v="1"/>
  </r>
  <r>
    <x v="15"/>
    <s v="G6 Technician"/>
    <x v="4"/>
    <x v="38"/>
    <n v="1"/>
  </r>
  <r>
    <x v="15"/>
    <s v="G6 Technician"/>
    <x v="4"/>
    <x v="39"/>
    <n v="1"/>
  </r>
  <r>
    <x v="15"/>
    <s v="G6 Technician"/>
    <x v="4"/>
    <x v="40"/>
    <n v="3"/>
  </r>
  <r>
    <x v="15"/>
    <s v="G6 Technician"/>
    <x v="4"/>
    <x v="41"/>
    <n v="3"/>
  </r>
  <r>
    <x v="15"/>
    <s v="G6 Technician"/>
    <x v="4"/>
    <x v="42"/>
    <n v="1"/>
  </r>
  <r>
    <x v="15"/>
    <s v="G6 Technician"/>
    <x v="5"/>
    <x v="43"/>
    <n v="1"/>
  </r>
  <r>
    <x v="15"/>
    <s v="G6 Technician"/>
    <x v="5"/>
    <x v="44"/>
    <n v="2"/>
  </r>
  <r>
    <x v="15"/>
    <s v="G6 Technician"/>
    <x v="5"/>
    <x v="45"/>
    <n v="0"/>
  </r>
  <r>
    <x v="15"/>
    <s v="G6 Technician"/>
    <x v="5"/>
    <x v="46"/>
    <n v="0"/>
  </r>
  <r>
    <x v="15"/>
    <s v="G6 Technician"/>
    <x v="5"/>
    <x v="47"/>
    <n v="0"/>
  </r>
  <r>
    <x v="15"/>
    <s v="G6 Technician"/>
    <x v="5"/>
    <x v="48"/>
    <n v="0"/>
  </r>
  <r>
    <x v="15"/>
    <s v="G6 Technician"/>
    <x v="5"/>
    <x v="49"/>
    <n v="1"/>
  </r>
  <r>
    <x v="15"/>
    <s v="G6 Technician"/>
    <x v="5"/>
    <x v="50"/>
    <n v="1"/>
  </r>
  <r>
    <x v="15"/>
    <s v="G6 Technician"/>
    <x v="5"/>
    <x v="51"/>
    <n v="1"/>
  </r>
  <r>
    <x v="15"/>
    <s v="G6 Technician"/>
    <x v="5"/>
    <x v="52"/>
    <n v="3"/>
  </r>
  <r>
    <x v="15"/>
    <s v="G6 Technician"/>
    <x v="5"/>
    <x v="53"/>
    <n v="1"/>
  </r>
  <r>
    <x v="15"/>
    <s v="G6 Technician"/>
    <x v="5"/>
    <x v="54"/>
    <n v="1"/>
  </r>
  <r>
    <x v="15"/>
    <s v="G6 Technician"/>
    <x v="5"/>
    <x v="55"/>
    <n v="2"/>
  </r>
  <r>
    <x v="15"/>
    <s v="G6 Technician"/>
    <x v="5"/>
    <x v="56"/>
    <n v="1"/>
  </r>
  <r>
    <x v="15"/>
    <s v="G6 Technician"/>
    <x v="5"/>
    <x v="57"/>
    <n v="4"/>
  </r>
  <r>
    <x v="15"/>
    <s v="G6 Technician"/>
    <x v="5"/>
    <x v="58"/>
    <n v="1"/>
  </r>
  <r>
    <x v="15"/>
    <s v="G6 Technician"/>
    <x v="5"/>
    <x v="59"/>
    <n v="0"/>
  </r>
  <r>
    <x v="15"/>
    <s v="G6 Technician"/>
    <x v="5"/>
    <x v="60"/>
    <n v="2"/>
  </r>
  <r>
    <x v="15"/>
    <s v="G6 Technician"/>
    <x v="5"/>
    <x v="61"/>
    <n v="1"/>
  </r>
  <r>
    <x v="15"/>
    <s v="G6 Technician"/>
    <x v="5"/>
    <x v="62"/>
    <n v="1"/>
  </r>
  <r>
    <x v="15"/>
    <s v="G6 Technician"/>
    <x v="5"/>
    <x v="63"/>
    <n v="2"/>
  </r>
  <r>
    <x v="15"/>
    <s v="G6 Technician"/>
    <x v="5"/>
    <x v="64"/>
    <n v="1"/>
  </r>
  <r>
    <x v="15"/>
    <s v="G6 Technician"/>
    <x v="5"/>
    <x v="65"/>
    <n v="1"/>
  </r>
  <r>
    <x v="15"/>
    <s v="G6 Technician"/>
    <x v="5"/>
    <x v="66"/>
    <n v="1"/>
  </r>
  <r>
    <x v="15"/>
    <s v="G6 Technician"/>
    <x v="5"/>
    <x v="67"/>
    <n v="3"/>
  </r>
  <r>
    <x v="15"/>
    <s v="G6 Technician"/>
    <x v="5"/>
    <x v="68"/>
    <n v="1"/>
  </r>
  <r>
    <x v="15"/>
    <s v="G6 Technician"/>
    <x v="5"/>
    <x v="69"/>
    <n v="3"/>
  </r>
  <r>
    <x v="15"/>
    <s v="G6 Technician"/>
    <x v="5"/>
    <x v="70"/>
    <n v="2"/>
  </r>
  <r>
    <x v="15"/>
    <s v="G6 Technician"/>
    <x v="5"/>
    <x v="71"/>
    <n v="4"/>
  </r>
  <r>
    <x v="15"/>
    <s v="G6 Technician"/>
    <x v="5"/>
    <x v="72"/>
    <n v="2"/>
  </r>
  <r>
    <x v="15"/>
    <s v="G6 Technician"/>
    <x v="5"/>
    <x v="73"/>
    <n v="1"/>
  </r>
  <r>
    <x v="15"/>
    <s v="G6 Technician"/>
    <x v="5"/>
    <x v="74"/>
    <n v="4"/>
  </r>
  <r>
    <x v="15"/>
    <s v="G6 Technician"/>
    <x v="5"/>
    <x v="75"/>
    <n v="2"/>
  </r>
  <r>
    <x v="15"/>
    <s v="G6 Technician"/>
    <x v="5"/>
    <x v="76"/>
    <n v="3"/>
  </r>
  <r>
    <x v="15"/>
    <s v="G6 Technician"/>
    <x v="5"/>
    <x v="77"/>
    <n v="2"/>
  </r>
  <r>
    <x v="15"/>
    <s v="G6 Technician"/>
    <x v="5"/>
    <x v="78"/>
    <n v="1"/>
  </r>
  <r>
    <x v="15"/>
    <s v="G6 Technician"/>
    <x v="6"/>
    <x v="79"/>
    <n v="1"/>
  </r>
  <r>
    <x v="15"/>
    <s v="G6 Technician"/>
    <x v="6"/>
    <x v="80"/>
    <n v="1"/>
  </r>
  <r>
    <x v="15"/>
    <s v="G6 Technician"/>
    <x v="6"/>
    <x v="81"/>
    <n v="1"/>
  </r>
  <r>
    <x v="15"/>
    <s v="G6 Technician"/>
    <x v="6"/>
    <x v="82"/>
    <n v="0"/>
  </r>
  <r>
    <x v="15"/>
    <s v="G6 Technician"/>
    <x v="6"/>
    <x v="83"/>
    <n v="0"/>
  </r>
  <r>
    <x v="15"/>
    <s v="G6 Technician"/>
    <x v="6"/>
    <x v="84"/>
    <n v="1"/>
  </r>
  <r>
    <x v="15"/>
    <s v="G6 Technician"/>
    <x v="6"/>
    <x v="85"/>
    <n v="1"/>
  </r>
  <r>
    <x v="15"/>
    <s v="G6 Technician"/>
    <x v="6"/>
    <x v="86"/>
    <n v="1"/>
  </r>
  <r>
    <x v="15"/>
    <s v="G6 Technician"/>
    <x v="6"/>
    <x v="87"/>
    <n v="1"/>
  </r>
  <r>
    <x v="16"/>
    <s v="G7 HPC Management Support"/>
    <x v="0"/>
    <x v="0"/>
    <n v="2"/>
  </r>
  <r>
    <x v="16"/>
    <s v="G7 HPC Management Support"/>
    <x v="0"/>
    <x v="1"/>
    <n v="2"/>
  </r>
  <r>
    <x v="16"/>
    <s v="G7 HPC Management Support"/>
    <x v="0"/>
    <x v="2"/>
    <n v="2"/>
  </r>
  <r>
    <x v="16"/>
    <s v="G7 HPC Management Support"/>
    <x v="0"/>
    <x v="3"/>
    <n v="2"/>
  </r>
  <r>
    <x v="16"/>
    <s v="G7 HPC Management Support"/>
    <x v="0"/>
    <x v="4"/>
    <n v="2"/>
  </r>
  <r>
    <x v="16"/>
    <s v="G7 HPC Management Support"/>
    <x v="0"/>
    <x v="5"/>
    <n v="3"/>
  </r>
  <r>
    <x v="16"/>
    <s v="G7 HPC Management Support"/>
    <x v="0"/>
    <x v="6"/>
    <n v="2"/>
  </r>
  <r>
    <x v="16"/>
    <s v="G7 HPC Management Support"/>
    <x v="0"/>
    <x v="7"/>
    <n v="2"/>
  </r>
  <r>
    <x v="16"/>
    <s v="G7 HPC Management Support"/>
    <x v="0"/>
    <x v="8"/>
    <n v="3"/>
  </r>
  <r>
    <x v="16"/>
    <s v="G7 HPC Management Support"/>
    <x v="1"/>
    <x v="9"/>
    <n v="2"/>
  </r>
  <r>
    <x v="16"/>
    <s v="G7 HPC Management Support"/>
    <x v="1"/>
    <x v="10"/>
    <n v="2"/>
  </r>
  <r>
    <x v="16"/>
    <s v="G7 HPC Management Support"/>
    <x v="1"/>
    <x v="11"/>
    <n v="3"/>
  </r>
  <r>
    <x v="16"/>
    <s v="G7 HPC Management Support"/>
    <x v="1"/>
    <x v="12"/>
    <n v="1"/>
  </r>
  <r>
    <x v="16"/>
    <s v="G7 HPC Management Support"/>
    <x v="1"/>
    <x v="13"/>
    <n v="2"/>
  </r>
  <r>
    <x v="16"/>
    <s v="G7 HPC Management Support"/>
    <x v="1"/>
    <x v="14"/>
    <n v="3"/>
  </r>
  <r>
    <x v="16"/>
    <s v="G7 HPC Management Support"/>
    <x v="1"/>
    <x v="15"/>
    <n v="3"/>
  </r>
  <r>
    <x v="16"/>
    <s v="G7 HPC Management Support"/>
    <x v="1"/>
    <x v="16"/>
    <n v="2"/>
  </r>
  <r>
    <x v="16"/>
    <s v="G7 HPC Management Support"/>
    <x v="1"/>
    <x v="17"/>
    <n v="2"/>
  </r>
  <r>
    <x v="16"/>
    <s v="G7 HPC Management Support"/>
    <x v="1"/>
    <x v="18"/>
    <n v="2"/>
  </r>
  <r>
    <x v="16"/>
    <s v="G7 HPC Management Support"/>
    <x v="1"/>
    <x v="19"/>
    <n v="3"/>
  </r>
  <r>
    <x v="16"/>
    <s v="G7 HPC Management Support"/>
    <x v="2"/>
    <x v="20"/>
    <n v="2"/>
  </r>
  <r>
    <x v="16"/>
    <s v="G7 HPC Management Support"/>
    <x v="2"/>
    <x v="21"/>
    <n v="2"/>
  </r>
  <r>
    <x v="16"/>
    <s v="G7 HPC Management Support"/>
    <x v="2"/>
    <x v="22"/>
    <n v="3"/>
  </r>
  <r>
    <x v="16"/>
    <s v="G7 HPC Management Support"/>
    <x v="2"/>
    <x v="23"/>
    <n v="2"/>
  </r>
  <r>
    <x v="16"/>
    <s v="G7 HPC Management Support"/>
    <x v="2"/>
    <x v="24"/>
    <n v="2"/>
  </r>
  <r>
    <x v="16"/>
    <s v="G7 HPC Management Support"/>
    <x v="2"/>
    <x v="25"/>
    <n v="2"/>
  </r>
  <r>
    <x v="16"/>
    <s v="G7 HPC Management Support"/>
    <x v="3"/>
    <x v="26"/>
    <n v="1"/>
  </r>
  <r>
    <x v="16"/>
    <s v="G7 HPC Management Support"/>
    <x v="3"/>
    <x v="27"/>
    <n v="0"/>
  </r>
  <r>
    <x v="16"/>
    <s v="G7 HPC Management Support"/>
    <x v="3"/>
    <x v="28"/>
    <n v="1"/>
  </r>
  <r>
    <x v="16"/>
    <s v="G7 HPC Management Support"/>
    <x v="3"/>
    <x v="29"/>
    <n v="1"/>
  </r>
  <r>
    <x v="16"/>
    <s v="G7 HPC Management Support"/>
    <x v="3"/>
    <x v="30"/>
    <n v="1"/>
  </r>
  <r>
    <x v="16"/>
    <s v="G7 HPC Management Support"/>
    <x v="3"/>
    <x v="31"/>
    <n v="2"/>
  </r>
  <r>
    <x v="16"/>
    <s v="G7 HPC Management Support"/>
    <x v="3"/>
    <x v="32"/>
    <n v="1"/>
  </r>
  <r>
    <x v="16"/>
    <s v="G7 HPC Management Support"/>
    <x v="3"/>
    <x v="33"/>
    <n v="1"/>
  </r>
  <r>
    <x v="16"/>
    <s v="G7 HPC Management Support"/>
    <x v="3"/>
    <x v="34"/>
    <n v="1"/>
  </r>
  <r>
    <x v="16"/>
    <s v="G7 HPC Management Support"/>
    <x v="4"/>
    <x v="35"/>
    <n v="2"/>
  </r>
  <r>
    <x v="16"/>
    <s v="G7 HPC Management Support"/>
    <x v="4"/>
    <x v="36"/>
    <n v="1"/>
  </r>
  <r>
    <x v="16"/>
    <s v="G7 HPC Management Support"/>
    <x v="4"/>
    <x v="37"/>
    <n v="1"/>
  </r>
  <r>
    <x v="16"/>
    <s v="G7 HPC Management Support"/>
    <x v="4"/>
    <x v="38"/>
    <n v="0"/>
  </r>
  <r>
    <x v="16"/>
    <s v="G7 HPC Management Support"/>
    <x v="4"/>
    <x v="39"/>
    <n v="1"/>
  </r>
  <r>
    <x v="16"/>
    <s v="G7 HPC Management Support"/>
    <x v="4"/>
    <x v="40"/>
    <n v="1"/>
  </r>
  <r>
    <x v="16"/>
    <s v="G7 HPC Management Support"/>
    <x v="4"/>
    <x v="41"/>
    <n v="0"/>
  </r>
  <r>
    <x v="16"/>
    <s v="G7 HPC Management Support"/>
    <x v="4"/>
    <x v="42"/>
    <n v="0"/>
  </r>
  <r>
    <x v="16"/>
    <s v="G7 HPC Management Support"/>
    <x v="5"/>
    <x v="43"/>
    <n v="2"/>
  </r>
  <r>
    <x v="16"/>
    <s v="G7 HPC Management Support"/>
    <x v="5"/>
    <x v="44"/>
    <n v="3"/>
  </r>
  <r>
    <x v="16"/>
    <s v="G7 HPC Management Support"/>
    <x v="5"/>
    <x v="45"/>
    <n v="2"/>
  </r>
  <r>
    <x v="16"/>
    <s v="G7 HPC Management Support"/>
    <x v="5"/>
    <x v="46"/>
    <n v="1"/>
  </r>
  <r>
    <x v="16"/>
    <s v="G7 HPC Management Support"/>
    <x v="5"/>
    <x v="47"/>
    <n v="2"/>
  </r>
  <r>
    <x v="16"/>
    <s v="G7 HPC Management Support"/>
    <x v="5"/>
    <x v="48"/>
    <n v="2"/>
  </r>
  <r>
    <x v="16"/>
    <s v="G7 HPC Management Support"/>
    <x v="5"/>
    <x v="49"/>
    <n v="2"/>
  </r>
  <r>
    <x v="16"/>
    <s v="G7 HPC Management Support"/>
    <x v="5"/>
    <x v="50"/>
    <n v="3"/>
  </r>
  <r>
    <x v="16"/>
    <s v="G7 HPC Management Support"/>
    <x v="5"/>
    <x v="51"/>
    <n v="2"/>
  </r>
  <r>
    <x v="16"/>
    <s v="G7 HPC Management Support"/>
    <x v="5"/>
    <x v="52"/>
    <n v="3"/>
  </r>
  <r>
    <x v="16"/>
    <s v="G7 HPC Management Support"/>
    <x v="5"/>
    <x v="53"/>
    <n v="4"/>
  </r>
  <r>
    <x v="16"/>
    <s v="G7 HPC Management Support"/>
    <x v="5"/>
    <x v="54"/>
    <n v="4"/>
  </r>
  <r>
    <x v="16"/>
    <s v="G7 HPC Management Support"/>
    <x v="5"/>
    <x v="55"/>
    <n v="2"/>
  </r>
  <r>
    <x v="16"/>
    <s v="G7 HPC Management Support"/>
    <x v="5"/>
    <x v="56"/>
    <n v="1"/>
  </r>
  <r>
    <x v="16"/>
    <s v="G7 HPC Management Support"/>
    <x v="5"/>
    <x v="57"/>
    <n v="3"/>
  </r>
  <r>
    <x v="16"/>
    <s v="G7 HPC Management Support"/>
    <x v="5"/>
    <x v="58"/>
    <n v="2"/>
  </r>
  <r>
    <x v="16"/>
    <s v="G7 HPC Management Support"/>
    <x v="5"/>
    <x v="59"/>
    <n v="2"/>
  </r>
  <r>
    <x v="16"/>
    <s v="G7 HPC Management Support"/>
    <x v="5"/>
    <x v="60"/>
    <n v="3"/>
  </r>
  <r>
    <x v="16"/>
    <s v="G7 HPC Management Support"/>
    <x v="5"/>
    <x v="61"/>
    <n v="2"/>
  </r>
  <r>
    <x v="16"/>
    <s v="G7 HPC Management Support"/>
    <x v="5"/>
    <x v="62"/>
    <n v="1"/>
  </r>
  <r>
    <x v="16"/>
    <s v="G7 HPC Management Support"/>
    <x v="5"/>
    <x v="63"/>
    <n v="2"/>
  </r>
  <r>
    <x v="16"/>
    <s v="G7 HPC Management Support"/>
    <x v="5"/>
    <x v="64"/>
    <n v="3"/>
  </r>
  <r>
    <x v="16"/>
    <s v="G7 HPC Management Support"/>
    <x v="5"/>
    <x v="65"/>
    <n v="1"/>
  </r>
  <r>
    <x v="16"/>
    <s v="G7 HPC Management Support"/>
    <x v="5"/>
    <x v="66"/>
    <n v="2"/>
  </r>
  <r>
    <x v="16"/>
    <s v="G7 HPC Management Support"/>
    <x v="5"/>
    <x v="67"/>
    <n v="4"/>
  </r>
  <r>
    <x v="16"/>
    <s v="G7 HPC Management Support"/>
    <x v="5"/>
    <x v="68"/>
    <n v="3"/>
  </r>
  <r>
    <x v="16"/>
    <s v="G7 HPC Management Support"/>
    <x v="5"/>
    <x v="69"/>
    <n v="1"/>
  </r>
  <r>
    <x v="16"/>
    <s v="G7 HPC Management Support"/>
    <x v="5"/>
    <x v="70"/>
    <n v="1"/>
  </r>
  <r>
    <x v="16"/>
    <s v="G7 HPC Management Support"/>
    <x v="5"/>
    <x v="71"/>
    <n v="3"/>
  </r>
  <r>
    <x v="16"/>
    <s v="G7 HPC Management Support"/>
    <x v="5"/>
    <x v="72"/>
    <n v="2"/>
  </r>
  <r>
    <x v="16"/>
    <s v="G7 HPC Management Support"/>
    <x v="5"/>
    <x v="73"/>
    <n v="2"/>
  </r>
  <r>
    <x v="16"/>
    <s v="G7 HPC Management Support"/>
    <x v="5"/>
    <x v="74"/>
    <n v="4"/>
  </r>
  <r>
    <x v="16"/>
    <s v="G7 HPC Management Support"/>
    <x v="5"/>
    <x v="75"/>
    <n v="2"/>
  </r>
  <r>
    <x v="16"/>
    <s v="G7 HPC Management Support"/>
    <x v="5"/>
    <x v="76"/>
    <n v="2"/>
  </r>
  <r>
    <x v="16"/>
    <s v="G7 HPC Management Support"/>
    <x v="5"/>
    <x v="77"/>
    <n v="2"/>
  </r>
  <r>
    <x v="16"/>
    <s v="G7 HPC Management Support"/>
    <x v="5"/>
    <x v="78"/>
    <n v="1"/>
  </r>
  <r>
    <x v="16"/>
    <s v="G7 HPC Management Support"/>
    <x v="6"/>
    <x v="79"/>
    <n v="0"/>
  </r>
  <r>
    <x v="16"/>
    <s v="G7 HPC Management Support"/>
    <x v="6"/>
    <x v="80"/>
    <n v="2"/>
  </r>
  <r>
    <x v="16"/>
    <s v="G7 HPC Management Support"/>
    <x v="6"/>
    <x v="81"/>
    <n v="2"/>
  </r>
  <r>
    <x v="16"/>
    <s v="G7 HPC Management Support"/>
    <x v="6"/>
    <x v="82"/>
    <n v="0"/>
  </r>
  <r>
    <x v="16"/>
    <s v="G7 HPC Management Support"/>
    <x v="6"/>
    <x v="83"/>
    <n v="1"/>
  </r>
  <r>
    <x v="16"/>
    <s v="G7 HPC Management Support"/>
    <x v="6"/>
    <x v="84"/>
    <n v="1"/>
  </r>
  <r>
    <x v="16"/>
    <s v="G7 HPC Management Support"/>
    <x v="6"/>
    <x v="85"/>
    <n v="0"/>
  </r>
  <r>
    <x v="16"/>
    <s v="G7 HPC Management Support"/>
    <x v="6"/>
    <x v="86"/>
    <n v="1"/>
  </r>
  <r>
    <x v="16"/>
    <s v="G7 HPC Management Support"/>
    <x v="6"/>
    <x v="87"/>
    <n v="1"/>
  </r>
  <r>
    <x v="17"/>
    <s v="G6 Technician"/>
    <x v="0"/>
    <x v="0"/>
    <n v="4"/>
  </r>
  <r>
    <x v="17"/>
    <s v="G6 Technician"/>
    <x v="0"/>
    <x v="1"/>
    <n v="3"/>
  </r>
  <r>
    <x v="17"/>
    <s v="G6 Technician"/>
    <x v="0"/>
    <x v="2"/>
    <n v="4"/>
  </r>
  <r>
    <x v="17"/>
    <s v="G6 Technician"/>
    <x v="0"/>
    <x v="3"/>
    <n v="4"/>
  </r>
  <r>
    <x v="17"/>
    <s v="G6 Technician"/>
    <x v="0"/>
    <x v="4"/>
    <n v="3"/>
  </r>
  <r>
    <x v="17"/>
    <s v="G6 Technician"/>
    <x v="0"/>
    <x v="5"/>
    <n v="3"/>
  </r>
  <r>
    <x v="17"/>
    <s v="G6 Technician"/>
    <x v="0"/>
    <x v="6"/>
    <n v="3"/>
  </r>
  <r>
    <x v="17"/>
    <s v="G6 Technician"/>
    <x v="0"/>
    <x v="7"/>
    <n v="3"/>
  </r>
  <r>
    <x v="17"/>
    <s v="G6 Technician"/>
    <x v="0"/>
    <x v="8"/>
    <n v="3"/>
  </r>
  <r>
    <x v="17"/>
    <s v="G6 Technician"/>
    <x v="1"/>
    <x v="9"/>
    <n v="2"/>
  </r>
  <r>
    <x v="17"/>
    <s v="G6 Technician"/>
    <x v="1"/>
    <x v="10"/>
    <n v="2"/>
  </r>
  <r>
    <x v="17"/>
    <s v="G6 Technician"/>
    <x v="1"/>
    <x v="11"/>
    <n v="2"/>
  </r>
  <r>
    <x v="17"/>
    <s v="G6 Technician"/>
    <x v="1"/>
    <x v="12"/>
    <n v="2"/>
  </r>
  <r>
    <x v="17"/>
    <s v="G6 Technician"/>
    <x v="1"/>
    <x v="13"/>
    <n v="3"/>
  </r>
  <r>
    <x v="17"/>
    <s v="G6 Technician"/>
    <x v="1"/>
    <x v="14"/>
    <n v="3"/>
  </r>
  <r>
    <x v="17"/>
    <s v="G6 Technician"/>
    <x v="1"/>
    <x v="15"/>
    <n v="3"/>
  </r>
  <r>
    <x v="17"/>
    <s v="G6 Technician"/>
    <x v="1"/>
    <x v="16"/>
    <n v="2"/>
  </r>
  <r>
    <x v="17"/>
    <s v="G6 Technician"/>
    <x v="1"/>
    <x v="17"/>
    <n v="2"/>
  </r>
  <r>
    <x v="17"/>
    <s v="G6 Technician"/>
    <x v="1"/>
    <x v="18"/>
    <n v="3"/>
  </r>
  <r>
    <x v="17"/>
    <s v="G6 Technician"/>
    <x v="1"/>
    <x v="19"/>
    <n v="2"/>
  </r>
  <r>
    <x v="17"/>
    <s v="G6 Technician"/>
    <x v="2"/>
    <x v="20"/>
    <n v="1"/>
  </r>
  <r>
    <x v="17"/>
    <s v="G6 Technician"/>
    <x v="2"/>
    <x v="21"/>
    <n v="1"/>
  </r>
  <r>
    <x v="17"/>
    <s v="G6 Technician"/>
    <x v="2"/>
    <x v="22"/>
    <n v="2"/>
  </r>
  <r>
    <x v="17"/>
    <s v="G6 Technician"/>
    <x v="2"/>
    <x v="23"/>
    <n v="1"/>
  </r>
  <r>
    <x v="17"/>
    <s v="G6 Technician"/>
    <x v="2"/>
    <x v="24"/>
    <n v="2"/>
  </r>
  <r>
    <x v="17"/>
    <s v="G6 Technician"/>
    <x v="2"/>
    <x v="25"/>
    <n v="0"/>
  </r>
  <r>
    <x v="17"/>
    <s v="G6 Technician"/>
    <x v="3"/>
    <x v="26"/>
    <n v="2"/>
  </r>
  <r>
    <x v="17"/>
    <s v="G6 Technician"/>
    <x v="3"/>
    <x v="27"/>
    <n v="2"/>
  </r>
  <r>
    <x v="17"/>
    <s v="G6 Technician"/>
    <x v="3"/>
    <x v="28"/>
    <n v="2"/>
  </r>
  <r>
    <x v="17"/>
    <s v="G6 Technician"/>
    <x v="3"/>
    <x v="29"/>
    <n v="2"/>
  </r>
  <r>
    <x v="17"/>
    <s v="G6 Technician"/>
    <x v="3"/>
    <x v="30"/>
    <n v="2"/>
  </r>
  <r>
    <x v="17"/>
    <s v="G6 Technician"/>
    <x v="3"/>
    <x v="31"/>
    <n v="3"/>
  </r>
  <r>
    <x v="17"/>
    <s v="G6 Technician"/>
    <x v="3"/>
    <x v="32"/>
    <n v="2"/>
  </r>
  <r>
    <x v="17"/>
    <s v="G6 Technician"/>
    <x v="3"/>
    <x v="33"/>
    <n v="2"/>
  </r>
  <r>
    <x v="17"/>
    <s v="G6 Technician"/>
    <x v="3"/>
    <x v="34"/>
    <n v="3"/>
  </r>
  <r>
    <x v="17"/>
    <s v="G6 Technician"/>
    <x v="4"/>
    <x v="35"/>
    <n v="1"/>
  </r>
  <r>
    <x v="17"/>
    <s v="G6 Technician"/>
    <x v="4"/>
    <x v="36"/>
    <n v="2"/>
  </r>
  <r>
    <x v="17"/>
    <s v="G6 Technician"/>
    <x v="4"/>
    <x v="37"/>
    <n v="1"/>
  </r>
  <r>
    <x v="17"/>
    <s v="G6 Technician"/>
    <x v="4"/>
    <x v="38"/>
    <n v="2"/>
  </r>
  <r>
    <x v="17"/>
    <s v="G6 Technician"/>
    <x v="4"/>
    <x v="39"/>
    <n v="2"/>
  </r>
  <r>
    <x v="17"/>
    <s v="G6 Technician"/>
    <x v="4"/>
    <x v="40"/>
    <n v="3"/>
  </r>
  <r>
    <x v="17"/>
    <s v="G6 Technician"/>
    <x v="4"/>
    <x v="41"/>
    <n v="2"/>
  </r>
  <r>
    <x v="17"/>
    <s v="G6 Technician"/>
    <x v="4"/>
    <x v="42"/>
    <n v="1"/>
  </r>
  <r>
    <x v="17"/>
    <s v="G6 Technician"/>
    <x v="5"/>
    <x v="43"/>
    <n v="2"/>
  </r>
  <r>
    <x v="17"/>
    <s v="G6 Technician"/>
    <x v="5"/>
    <x v="44"/>
    <n v="2"/>
  </r>
  <r>
    <x v="17"/>
    <s v="G6 Technician"/>
    <x v="5"/>
    <x v="45"/>
    <n v="1"/>
  </r>
  <r>
    <x v="17"/>
    <s v="G6 Technician"/>
    <x v="5"/>
    <x v="46"/>
    <n v="1"/>
  </r>
  <r>
    <x v="17"/>
    <s v="G6 Technician"/>
    <x v="5"/>
    <x v="47"/>
    <n v="1"/>
  </r>
  <r>
    <x v="17"/>
    <s v="G6 Technician"/>
    <x v="5"/>
    <x v="48"/>
    <n v="0"/>
  </r>
  <r>
    <x v="17"/>
    <s v="G6 Technician"/>
    <x v="5"/>
    <x v="49"/>
    <n v="1"/>
  </r>
  <r>
    <x v="17"/>
    <s v="G6 Technician"/>
    <x v="5"/>
    <x v="50"/>
    <n v="1"/>
  </r>
  <r>
    <x v="17"/>
    <s v="G6 Technician"/>
    <x v="5"/>
    <x v="51"/>
    <n v="0"/>
  </r>
  <r>
    <x v="17"/>
    <s v="G6 Technician"/>
    <x v="5"/>
    <x v="52"/>
    <n v="0"/>
  </r>
  <r>
    <x v="17"/>
    <s v="G6 Technician"/>
    <x v="5"/>
    <x v="53"/>
    <n v="1"/>
  </r>
  <r>
    <x v="17"/>
    <s v="G6 Technician"/>
    <x v="5"/>
    <x v="54"/>
    <n v="1"/>
  </r>
  <r>
    <x v="17"/>
    <s v="G6 Technician"/>
    <x v="5"/>
    <x v="55"/>
    <n v="2"/>
  </r>
  <r>
    <x v="17"/>
    <s v="G6 Technician"/>
    <x v="5"/>
    <x v="56"/>
    <n v="1"/>
  </r>
  <r>
    <x v="17"/>
    <s v="G6 Technician"/>
    <x v="5"/>
    <x v="57"/>
    <n v="2"/>
  </r>
  <r>
    <x v="17"/>
    <s v="G6 Technician"/>
    <x v="5"/>
    <x v="58"/>
    <n v="0"/>
  </r>
  <r>
    <x v="17"/>
    <s v="G6 Technician"/>
    <x v="5"/>
    <x v="59"/>
    <n v="0"/>
  </r>
  <r>
    <x v="17"/>
    <s v="G6 Technician"/>
    <x v="5"/>
    <x v="60"/>
    <n v="2"/>
  </r>
  <r>
    <x v="17"/>
    <s v="G6 Technician"/>
    <x v="5"/>
    <x v="61"/>
    <n v="0"/>
  </r>
  <r>
    <x v="17"/>
    <s v="G6 Technician"/>
    <x v="5"/>
    <x v="62"/>
    <n v="0"/>
  </r>
  <r>
    <x v="17"/>
    <s v="G6 Technician"/>
    <x v="5"/>
    <x v="63"/>
    <n v="1"/>
  </r>
  <r>
    <x v="17"/>
    <s v="G6 Technician"/>
    <x v="5"/>
    <x v="64"/>
    <n v="0"/>
  </r>
  <r>
    <x v="17"/>
    <s v="G6 Technician"/>
    <x v="5"/>
    <x v="65"/>
    <n v="0"/>
  </r>
  <r>
    <x v="17"/>
    <s v="G6 Technician"/>
    <x v="5"/>
    <x v="66"/>
    <n v="0"/>
  </r>
  <r>
    <x v="17"/>
    <s v="G6 Technician"/>
    <x v="5"/>
    <x v="67"/>
    <n v="0"/>
  </r>
  <r>
    <x v="17"/>
    <s v="G6 Technician"/>
    <x v="5"/>
    <x v="68"/>
    <n v="0"/>
  </r>
  <r>
    <x v="17"/>
    <s v="G6 Technician"/>
    <x v="5"/>
    <x v="69"/>
    <n v="0"/>
  </r>
  <r>
    <x v="17"/>
    <s v="G6 Technician"/>
    <x v="5"/>
    <x v="70"/>
    <n v="0"/>
  </r>
  <r>
    <x v="17"/>
    <s v="G6 Technician"/>
    <x v="5"/>
    <x v="71"/>
    <n v="3"/>
  </r>
  <r>
    <x v="17"/>
    <s v="G6 Technician"/>
    <x v="5"/>
    <x v="72"/>
    <n v="2"/>
  </r>
  <r>
    <x v="17"/>
    <s v="G6 Technician"/>
    <x v="5"/>
    <x v="73"/>
    <n v="0"/>
  </r>
  <r>
    <x v="17"/>
    <s v="G6 Technician"/>
    <x v="5"/>
    <x v="74"/>
    <n v="1"/>
  </r>
  <r>
    <x v="17"/>
    <s v="G6 Technician"/>
    <x v="5"/>
    <x v="75"/>
    <n v="1"/>
  </r>
  <r>
    <x v="17"/>
    <s v="G6 Technician"/>
    <x v="5"/>
    <x v="76"/>
    <n v="2"/>
  </r>
  <r>
    <x v="17"/>
    <s v="G6 Technician"/>
    <x v="5"/>
    <x v="77"/>
    <n v="3"/>
  </r>
  <r>
    <x v="17"/>
    <s v="G6 Technician"/>
    <x v="5"/>
    <x v="78"/>
    <n v="1"/>
  </r>
  <r>
    <x v="17"/>
    <s v="G6 Technician"/>
    <x v="6"/>
    <x v="79"/>
    <n v="0"/>
  </r>
  <r>
    <x v="17"/>
    <s v="G6 Technician"/>
    <x v="6"/>
    <x v="80"/>
    <n v="1"/>
  </r>
  <r>
    <x v="17"/>
    <s v="G6 Technician"/>
    <x v="6"/>
    <x v="81"/>
    <n v="1"/>
  </r>
  <r>
    <x v="17"/>
    <s v="G6 Technician"/>
    <x v="6"/>
    <x v="82"/>
    <n v="0"/>
  </r>
  <r>
    <x v="17"/>
    <s v="G6 Technician"/>
    <x v="6"/>
    <x v="83"/>
    <n v="0"/>
  </r>
  <r>
    <x v="17"/>
    <s v="G6 Technician"/>
    <x v="6"/>
    <x v="84"/>
    <n v="0"/>
  </r>
  <r>
    <x v="17"/>
    <s v="G6 Technician"/>
    <x v="6"/>
    <x v="85"/>
    <n v="1"/>
  </r>
  <r>
    <x v="17"/>
    <s v="G6 Technician"/>
    <x v="6"/>
    <x v="86"/>
    <n v="1"/>
  </r>
  <r>
    <x v="17"/>
    <s v="G6 Technician"/>
    <x v="6"/>
    <x v="87"/>
    <n v="2"/>
  </r>
  <r>
    <x v="18"/>
    <s v="G5 Technician"/>
    <x v="0"/>
    <x v="0"/>
    <n v="2"/>
  </r>
  <r>
    <x v="18"/>
    <s v="G5 Technician"/>
    <x v="0"/>
    <x v="1"/>
    <n v="2"/>
  </r>
  <r>
    <x v="18"/>
    <s v="G5 Technician"/>
    <x v="0"/>
    <x v="2"/>
    <n v="3"/>
  </r>
  <r>
    <x v="18"/>
    <s v="G5 Technician"/>
    <x v="0"/>
    <x v="3"/>
    <n v="3"/>
  </r>
  <r>
    <x v="18"/>
    <s v="G5 Technician"/>
    <x v="0"/>
    <x v="4"/>
    <n v="2"/>
  </r>
  <r>
    <x v="18"/>
    <s v="G5 Technician"/>
    <x v="0"/>
    <x v="5"/>
    <n v="3"/>
  </r>
  <r>
    <x v="18"/>
    <s v="G5 Technician"/>
    <x v="0"/>
    <x v="6"/>
    <n v="2"/>
  </r>
  <r>
    <x v="18"/>
    <s v="G5 Technician"/>
    <x v="0"/>
    <x v="7"/>
    <n v="2"/>
  </r>
  <r>
    <x v="18"/>
    <s v="G5 Technician"/>
    <x v="0"/>
    <x v="8"/>
    <n v="2"/>
  </r>
  <r>
    <x v="18"/>
    <s v="G5 Technician"/>
    <x v="1"/>
    <x v="9"/>
    <n v="2"/>
  </r>
  <r>
    <x v="18"/>
    <s v="G5 Technician"/>
    <x v="1"/>
    <x v="10"/>
    <n v="2"/>
  </r>
  <r>
    <x v="18"/>
    <s v="G5 Technician"/>
    <x v="1"/>
    <x v="11"/>
    <n v="1"/>
  </r>
  <r>
    <x v="18"/>
    <s v="G5 Technician"/>
    <x v="1"/>
    <x v="12"/>
    <n v="1"/>
  </r>
  <r>
    <x v="18"/>
    <s v="G5 Technician"/>
    <x v="1"/>
    <x v="13"/>
    <n v="1"/>
  </r>
  <r>
    <x v="18"/>
    <s v="G5 Technician"/>
    <x v="1"/>
    <x v="14"/>
    <n v="2"/>
  </r>
  <r>
    <x v="18"/>
    <s v="G5 Technician"/>
    <x v="1"/>
    <x v="15"/>
    <n v="2"/>
  </r>
  <r>
    <x v="18"/>
    <s v="G5 Technician"/>
    <x v="1"/>
    <x v="16"/>
    <n v="2"/>
  </r>
  <r>
    <x v="18"/>
    <s v="G5 Technician"/>
    <x v="1"/>
    <x v="17"/>
    <n v="2"/>
  </r>
  <r>
    <x v="18"/>
    <s v="G5 Technician"/>
    <x v="1"/>
    <x v="18"/>
    <n v="0"/>
  </r>
  <r>
    <x v="18"/>
    <s v="G5 Technician"/>
    <x v="1"/>
    <x v="19"/>
    <n v="2"/>
  </r>
  <r>
    <x v="18"/>
    <s v="G5 Technician"/>
    <x v="2"/>
    <x v="20"/>
    <n v="1"/>
  </r>
  <r>
    <x v="18"/>
    <s v="G5 Technician"/>
    <x v="2"/>
    <x v="21"/>
    <n v="1"/>
  </r>
  <r>
    <x v="18"/>
    <s v="G5 Technician"/>
    <x v="2"/>
    <x v="22"/>
    <n v="2"/>
  </r>
  <r>
    <x v="18"/>
    <s v="G5 Technician"/>
    <x v="2"/>
    <x v="23"/>
    <n v="1"/>
  </r>
  <r>
    <x v="18"/>
    <s v="G5 Technician"/>
    <x v="2"/>
    <x v="24"/>
    <n v="2"/>
  </r>
  <r>
    <x v="18"/>
    <s v="G5 Technician"/>
    <x v="2"/>
    <x v="25"/>
    <n v="1"/>
  </r>
  <r>
    <x v="18"/>
    <s v="G5 Technician"/>
    <x v="3"/>
    <x v="26"/>
    <n v="0"/>
  </r>
  <r>
    <x v="18"/>
    <s v="G5 Technician"/>
    <x v="3"/>
    <x v="27"/>
    <n v="1"/>
  </r>
  <r>
    <x v="18"/>
    <s v="G5 Technician"/>
    <x v="3"/>
    <x v="28"/>
    <n v="0"/>
  </r>
  <r>
    <x v="18"/>
    <s v="G5 Technician"/>
    <x v="3"/>
    <x v="29"/>
    <n v="1"/>
  </r>
  <r>
    <x v="18"/>
    <s v="G5 Technician"/>
    <x v="3"/>
    <x v="30"/>
    <n v="0"/>
  </r>
  <r>
    <x v="18"/>
    <s v="G5 Technician"/>
    <x v="3"/>
    <x v="31"/>
    <n v="1"/>
  </r>
  <r>
    <x v="18"/>
    <s v="G5 Technician"/>
    <x v="3"/>
    <x v="32"/>
    <n v="1"/>
  </r>
  <r>
    <x v="18"/>
    <s v="G5 Technician"/>
    <x v="3"/>
    <x v="33"/>
    <n v="0"/>
  </r>
  <r>
    <x v="18"/>
    <s v="G5 Technician"/>
    <x v="3"/>
    <x v="34"/>
    <n v="1"/>
  </r>
  <r>
    <x v="18"/>
    <s v="G5 Technician"/>
    <x v="4"/>
    <x v="35"/>
    <n v="1"/>
  </r>
  <r>
    <x v="18"/>
    <s v="G5 Technician"/>
    <x v="4"/>
    <x v="36"/>
    <n v="1"/>
  </r>
  <r>
    <x v="18"/>
    <s v="G5 Technician"/>
    <x v="4"/>
    <x v="37"/>
    <n v="0"/>
  </r>
  <r>
    <x v="18"/>
    <s v="G5 Technician"/>
    <x v="4"/>
    <x v="38"/>
    <n v="1"/>
  </r>
  <r>
    <x v="18"/>
    <s v="G5 Technician"/>
    <x v="4"/>
    <x v="39"/>
    <n v="1"/>
  </r>
  <r>
    <x v="18"/>
    <s v="G5 Technician"/>
    <x v="4"/>
    <x v="40"/>
    <n v="1"/>
  </r>
  <r>
    <x v="18"/>
    <s v="G5 Technician"/>
    <x v="4"/>
    <x v="41"/>
    <n v="1"/>
  </r>
  <r>
    <x v="18"/>
    <s v="G5 Technician"/>
    <x v="4"/>
    <x v="42"/>
    <n v="1"/>
  </r>
  <r>
    <x v="18"/>
    <s v="G5 Technician"/>
    <x v="5"/>
    <x v="43"/>
    <n v="1"/>
  </r>
  <r>
    <x v="18"/>
    <s v="G5 Technician"/>
    <x v="5"/>
    <x v="44"/>
    <n v="2"/>
  </r>
  <r>
    <x v="18"/>
    <s v="G5 Technician"/>
    <x v="5"/>
    <x v="45"/>
    <n v="0"/>
  </r>
  <r>
    <x v="18"/>
    <s v="G5 Technician"/>
    <x v="5"/>
    <x v="46"/>
    <n v="0"/>
  </r>
  <r>
    <x v="18"/>
    <s v="G5 Technician"/>
    <x v="5"/>
    <x v="47"/>
    <n v="0"/>
  </r>
  <r>
    <x v="18"/>
    <s v="G5 Technician"/>
    <x v="5"/>
    <x v="48"/>
    <n v="0"/>
  </r>
  <r>
    <x v="18"/>
    <s v="G5 Technician"/>
    <x v="5"/>
    <x v="49"/>
    <n v="0"/>
  </r>
  <r>
    <x v="18"/>
    <s v="G5 Technician"/>
    <x v="5"/>
    <x v="50"/>
    <n v="0"/>
  </r>
  <r>
    <x v="18"/>
    <s v="G5 Technician"/>
    <x v="5"/>
    <x v="51"/>
    <n v="0"/>
  </r>
  <r>
    <x v="18"/>
    <s v="G5 Technician"/>
    <x v="5"/>
    <x v="52"/>
    <n v="0"/>
  </r>
  <r>
    <x v="18"/>
    <s v="G5 Technician"/>
    <x v="5"/>
    <x v="53"/>
    <n v="1"/>
  </r>
  <r>
    <x v="18"/>
    <s v="G5 Technician"/>
    <x v="5"/>
    <x v="54"/>
    <n v="1"/>
  </r>
  <r>
    <x v="18"/>
    <s v="G5 Technician"/>
    <x v="5"/>
    <x v="55"/>
    <n v="2"/>
  </r>
  <r>
    <x v="18"/>
    <s v="G5 Technician"/>
    <x v="5"/>
    <x v="56"/>
    <n v="1"/>
  </r>
  <r>
    <x v="18"/>
    <s v="G5 Technician"/>
    <x v="5"/>
    <x v="57"/>
    <n v="1"/>
  </r>
  <r>
    <x v="18"/>
    <s v="G5 Technician"/>
    <x v="5"/>
    <x v="58"/>
    <n v="0"/>
  </r>
  <r>
    <x v="18"/>
    <s v="G5 Technician"/>
    <x v="5"/>
    <x v="59"/>
    <n v="1"/>
  </r>
  <r>
    <x v="18"/>
    <s v="G5 Technician"/>
    <x v="5"/>
    <x v="60"/>
    <n v="2"/>
  </r>
  <r>
    <x v="18"/>
    <s v="G5 Technician"/>
    <x v="5"/>
    <x v="61"/>
    <n v="0"/>
  </r>
  <r>
    <x v="18"/>
    <s v="G5 Technician"/>
    <x v="5"/>
    <x v="62"/>
    <n v="0"/>
  </r>
  <r>
    <x v="18"/>
    <s v="G5 Technician"/>
    <x v="5"/>
    <x v="63"/>
    <n v="0"/>
  </r>
  <r>
    <x v="18"/>
    <s v="G5 Technician"/>
    <x v="5"/>
    <x v="64"/>
    <n v="0"/>
  </r>
  <r>
    <x v="18"/>
    <s v="G5 Technician"/>
    <x v="5"/>
    <x v="65"/>
    <n v="0"/>
  </r>
  <r>
    <x v="18"/>
    <s v="G5 Technician"/>
    <x v="5"/>
    <x v="66"/>
    <n v="0"/>
  </r>
  <r>
    <x v="18"/>
    <s v="G5 Technician"/>
    <x v="5"/>
    <x v="67"/>
    <n v="0"/>
  </r>
  <r>
    <x v="18"/>
    <s v="G5 Technician"/>
    <x v="5"/>
    <x v="68"/>
    <n v="0"/>
  </r>
  <r>
    <x v="18"/>
    <s v="G5 Technician"/>
    <x v="5"/>
    <x v="69"/>
    <n v="0"/>
  </r>
  <r>
    <x v="18"/>
    <s v="G5 Technician"/>
    <x v="5"/>
    <x v="70"/>
    <n v="0"/>
  </r>
  <r>
    <x v="18"/>
    <s v="G5 Technician"/>
    <x v="5"/>
    <x v="71"/>
    <n v="2"/>
  </r>
  <r>
    <x v="18"/>
    <s v="G5 Technician"/>
    <x v="5"/>
    <x v="72"/>
    <n v="2"/>
  </r>
  <r>
    <x v="18"/>
    <s v="G5 Technician"/>
    <x v="5"/>
    <x v="73"/>
    <n v="0"/>
  </r>
  <r>
    <x v="18"/>
    <s v="G5 Technician"/>
    <x v="5"/>
    <x v="74"/>
    <n v="1"/>
  </r>
  <r>
    <x v="18"/>
    <s v="G5 Technician"/>
    <x v="5"/>
    <x v="75"/>
    <n v="1"/>
  </r>
  <r>
    <x v="18"/>
    <s v="G5 Technician"/>
    <x v="5"/>
    <x v="76"/>
    <n v="2"/>
  </r>
  <r>
    <x v="18"/>
    <s v="G5 Technician"/>
    <x v="5"/>
    <x v="77"/>
    <n v="3"/>
  </r>
  <r>
    <x v="18"/>
    <s v="G5 Technician"/>
    <x v="5"/>
    <x v="78"/>
    <n v="1"/>
  </r>
  <r>
    <x v="18"/>
    <s v="G5 Technician"/>
    <x v="6"/>
    <x v="79"/>
    <n v="0"/>
  </r>
  <r>
    <x v="18"/>
    <s v="G5 Technician"/>
    <x v="6"/>
    <x v="80"/>
    <n v="0"/>
  </r>
  <r>
    <x v="18"/>
    <s v="G5 Technician"/>
    <x v="6"/>
    <x v="81"/>
    <n v="0"/>
  </r>
  <r>
    <x v="18"/>
    <s v="G5 Technician"/>
    <x v="6"/>
    <x v="82"/>
    <n v="0"/>
  </r>
  <r>
    <x v="18"/>
    <s v="G5 Technician"/>
    <x v="6"/>
    <x v="83"/>
    <n v="0"/>
  </r>
  <r>
    <x v="18"/>
    <s v="G5 Technician"/>
    <x v="6"/>
    <x v="84"/>
    <n v="0"/>
  </r>
  <r>
    <x v="18"/>
    <s v="G5 Technician"/>
    <x v="6"/>
    <x v="85"/>
    <n v="0"/>
  </r>
  <r>
    <x v="18"/>
    <s v="G5 Technician"/>
    <x v="6"/>
    <x v="86"/>
    <n v="0"/>
  </r>
  <r>
    <x v="18"/>
    <s v="G5 Technician"/>
    <x v="6"/>
    <x v="87"/>
    <n v="1"/>
  </r>
  <r>
    <x v="19"/>
    <s v="G7 Helpdesk Manager"/>
    <x v="0"/>
    <x v="0"/>
    <n v="3"/>
  </r>
  <r>
    <x v="19"/>
    <s v="G7 Helpdesk Manager"/>
    <x v="0"/>
    <x v="1"/>
    <n v="3"/>
  </r>
  <r>
    <x v="19"/>
    <s v="G7 Helpdesk Manager"/>
    <x v="0"/>
    <x v="2"/>
    <n v="4"/>
  </r>
  <r>
    <x v="19"/>
    <s v="G7 Helpdesk Manager"/>
    <x v="0"/>
    <x v="3"/>
    <n v="4"/>
  </r>
  <r>
    <x v="19"/>
    <s v="G7 Helpdesk Manager"/>
    <x v="0"/>
    <x v="4"/>
    <n v="3"/>
  </r>
  <r>
    <x v="19"/>
    <s v="G7 Helpdesk Manager"/>
    <x v="0"/>
    <x v="5"/>
    <n v="4"/>
  </r>
  <r>
    <x v="19"/>
    <s v="G7 Helpdesk Manager"/>
    <x v="0"/>
    <x v="6"/>
    <n v="4"/>
  </r>
  <r>
    <x v="19"/>
    <s v="G7 Helpdesk Manager"/>
    <x v="0"/>
    <x v="7"/>
    <n v="4"/>
  </r>
  <r>
    <x v="19"/>
    <s v="G7 Helpdesk Manager"/>
    <x v="0"/>
    <x v="8"/>
    <n v="4"/>
  </r>
  <r>
    <x v="19"/>
    <s v="G7 Helpdesk Manager"/>
    <x v="1"/>
    <x v="9"/>
    <n v="4"/>
  </r>
  <r>
    <x v="19"/>
    <s v="G7 Helpdesk Manager"/>
    <x v="1"/>
    <x v="10"/>
    <n v="4"/>
  </r>
  <r>
    <x v="19"/>
    <s v="G7 Helpdesk Manager"/>
    <x v="1"/>
    <x v="11"/>
    <n v="4"/>
  </r>
  <r>
    <x v="19"/>
    <s v="G7 Helpdesk Manager"/>
    <x v="1"/>
    <x v="12"/>
    <n v="4"/>
  </r>
  <r>
    <x v="19"/>
    <s v="G7 Helpdesk Manager"/>
    <x v="1"/>
    <x v="13"/>
    <n v="4"/>
  </r>
  <r>
    <x v="19"/>
    <s v="G7 Helpdesk Manager"/>
    <x v="1"/>
    <x v="14"/>
    <n v="4"/>
  </r>
  <r>
    <x v="19"/>
    <s v="G7 Helpdesk Manager"/>
    <x v="1"/>
    <x v="15"/>
    <n v="4"/>
  </r>
  <r>
    <x v="19"/>
    <s v="G7 Helpdesk Manager"/>
    <x v="1"/>
    <x v="16"/>
    <n v="4"/>
  </r>
  <r>
    <x v="19"/>
    <s v="G7 Helpdesk Manager"/>
    <x v="1"/>
    <x v="17"/>
    <n v="4"/>
  </r>
  <r>
    <x v="19"/>
    <s v="G7 Helpdesk Manager"/>
    <x v="1"/>
    <x v="18"/>
    <n v="4"/>
  </r>
  <r>
    <x v="19"/>
    <s v="G7 Helpdesk Manager"/>
    <x v="1"/>
    <x v="19"/>
    <n v="3"/>
  </r>
  <r>
    <x v="19"/>
    <s v="G7 Helpdesk Manager"/>
    <x v="2"/>
    <x v="20"/>
    <n v="2"/>
  </r>
  <r>
    <x v="19"/>
    <s v="G7 Helpdesk Manager"/>
    <x v="2"/>
    <x v="21"/>
    <n v="2"/>
  </r>
  <r>
    <x v="19"/>
    <s v="G7 Helpdesk Manager"/>
    <x v="2"/>
    <x v="22"/>
    <n v="3"/>
  </r>
  <r>
    <x v="19"/>
    <s v="G7 Helpdesk Manager"/>
    <x v="2"/>
    <x v="23"/>
    <n v="2"/>
  </r>
  <r>
    <x v="19"/>
    <s v="G7 Helpdesk Manager"/>
    <x v="2"/>
    <x v="24"/>
    <n v="2"/>
  </r>
  <r>
    <x v="19"/>
    <s v="G7 Helpdesk Manager"/>
    <x v="2"/>
    <x v="25"/>
    <n v="1"/>
  </r>
  <r>
    <x v="19"/>
    <s v="G7 Helpdesk Manager"/>
    <x v="3"/>
    <x v="26"/>
    <n v="4"/>
  </r>
  <r>
    <x v="19"/>
    <s v="G7 Helpdesk Manager"/>
    <x v="3"/>
    <x v="27"/>
    <n v="4"/>
  </r>
  <r>
    <x v="19"/>
    <s v="G7 Helpdesk Manager"/>
    <x v="3"/>
    <x v="28"/>
    <n v="4"/>
  </r>
  <r>
    <x v="19"/>
    <s v="G7 Helpdesk Manager"/>
    <x v="3"/>
    <x v="29"/>
    <n v="4"/>
  </r>
  <r>
    <x v="19"/>
    <s v="G7 Helpdesk Manager"/>
    <x v="3"/>
    <x v="30"/>
    <n v="4"/>
  </r>
  <r>
    <x v="19"/>
    <s v="G7 Helpdesk Manager"/>
    <x v="3"/>
    <x v="31"/>
    <n v="4"/>
  </r>
  <r>
    <x v="19"/>
    <s v="G7 Helpdesk Manager"/>
    <x v="3"/>
    <x v="32"/>
    <n v="4"/>
  </r>
  <r>
    <x v="19"/>
    <s v="G7 Helpdesk Manager"/>
    <x v="3"/>
    <x v="33"/>
    <n v="4"/>
  </r>
  <r>
    <x v="19"/>
    <s v="G7 Helpdesk Manager"/>
    <x v="3"/>
    <x v="34"/>
    <n v="4"/>
  </r>
  <r>
    <x v="19"/>
    <s v="G7 Helpdesk Manager"/>
    <x v="4"/>
    <x v="35"/>
    <n v="4"/>
  </r>
  <r>
    <x v="19"/>
    <s v="G7 Helpdesk Manager"/>
    <x v="4"/>
    <x v="36"/>
    <n v="3"/>
  </r>
  <r>
    <x v="19"/>
    <s v="G7 Helpdesk Manager"/>
    <x v="4"/>
    <x v="37"/>
    <n v="4"/>
  </r>
  <r>
    <x v="19"/>
    <s v="G7 Helpdesk Manager"/>
    <x v="4"/>
    <x v="38"/>
    <n v="3"/>
  </r>
  <r>
    <x v="19"/>
    <s v="G7 Helpdesk Manager"/>
    <x v="4"/>
    <x v="39"/>
    <n v="3"/>
  </r>
  <r>
    <x v="19"/>
    <s v="G7 Helpdesk Manager"/>
    <x v="4"/>
    <x v="40"/>
    <n v="2"/>
  </r>
  <r>
    <x v="19"/>
    <s v="G7 Helpdesk Manager"/>
    <x v="4"/>
    <x v="41"/>
    <n v="2"/>
  </r>
  <r>
    <x v="19"/>
    <s v="G7 Helpdesk Manager"/>
    <x v="4"/>
    <x v="42"/>
    <n v="4"/>
  </r>
  <r>
    <x v="19"/>
    <s v="G7 Helpdesk Manager"/>
    <x v="5"/>
    <x v="43"/>
    <n v="3"/>
  </r>
  <r>
    <x v="19"/>
    <s v="G7 Helpdesk Manager"/>
    <x v="5"/>
    <x v="44"/>
    <n v="4"/>
  </r>
  <r>
    <x v="19"/>
    <s v="G7 Helpdesk Manager"/>
    <x v="5"/>
    <x v="45"/>
    <n v="3"/>
  </r>
  <r>
    <x v="19"/>
    <s v="G7 Helpdesk Manager"/>
    <x v="5"/>
    <x v="46"/>
    <n v="3"/>
  </r>
  <r>
    <x v="19"/>
    <s v="G7 Helpdesk Manager"/>
    <x v="5"/>
    <x v="47"/>
    <n v="2"/>
  </r>
  <r>
    <x v="19"/>
    <s v="G7 Helpdesk Manager"/>
    <x v="5"/>
    <x v="48"/>
    <n v="1"/>
  </r>
  <r>
    <x v="19"/>
    <s v="G7 Helpdesk Manager"/>
    <x v="5"/>
    <x v="49"/>
    <n v="2"/>
  </r>
  <r>
    <x v="19"/>
    <s v="G7 Helpdesk Manager"/>
    <x v="5"/>
    <x v="50"/>
    <n v="2"/>
  </r>
  <r>
    <x v="19"/>
    <s v="G7 Helpdesk Manager"/>
    <x v="5"/>
    <x v="51"/>
    <n v="1"/>
  </r>
  <r>
    <x v="19"/>
    <s v="G7 Helpdesk Manager"/>
    <x v="5"/>
    <x v="52"/>
    <n v="3"/>
  </r>
  <r>
    <x v="19"/>
    <s v="G7 Helpdesk Manager"/>
    <x v="5"/>
    <x v="53"/>
    <n v="1"/>
  </r>
  <r>
    <x v="19"/>
    <s v="G7 Helpdesk Manager"/>
    <x v="5"/>
    <x v="54"/>
    <n v="0"/>
  </r>
  <r>
    <x v="19"/>
    <s v="G7 Helpdesk Manager"/>
    <x v="5"/>
    <x v="55"/>
    <n v="1"/>
  </r>
  <r>
    <x v="19"/>
    <s v="G7 Helpdesk Manager"/>
    <x v="5"/>
    <x v="56"/>
    <n v="2"/>
  </r>
  <r>
    <x v="19"/>
    <s v="G7 Helpdesk Manager"/>
    <x v="5"/>
    <x v="57"/>
    <n v="4"/>
  </r>
  <r>
    <x v="19"/>
    <s v="G7 Helpdesk Manager"/>
    <x v="5"/>
    <x v="58"/>
    <n v="2"/>
  </r>
  <r>
    <x v="19"/>
    <s v="G7 Helpdesk Manager"/>
    <x v="5"/>
    <x v="59"/>
    <n v="3"/>
  </r>
  <r>
    <x v="19"/>
    <s v="G7 Helpdesk Manager"/>
    <x v="5"/>
    <x v="60"/>
    <n v="3"/>
  </r>
  <r>
    <x v="19"/>
    <s v="G7 Helpdesk Manager"/>
    <x v="5"/>
    <x v="61"/>
    <n v="0"/>
  </r>
  <r>
    <x v="19"/>
    <s v="G7 Helpdesk Manager"/>
    <x v="5"/>
    <x v="62"/>
    <n v="0"/>
  </r>
  <r>
    <x v="19"/>
    <s v="G7 Helpdesk Manager"/>
    <x v="5"/>
    <x v="63"/>
    <n v="0"/>
  </r>
  <r>
    <x v="19"/>
    <s v="G7 Helpdesk Manager"/>
    <x v="5"/>
    <x v="64"/>
    <n v="0"/>
  </r>
  <r>
    <x v="19"/>
    <s v="G7 Helpdesk Manager"/>
    <x v="5"/>
    <x v="65"/>
    <n v="0"/>
  </r>
  <r>
    <x v="19"/>
    <s v="G7 Helpdesk Manager"/>
    <x v="5"/>
    <x v="66"/>
    <n v="0"/>
  </r>
  <r>
    <x v="19"/>
    <s v="G7 Helpdesk Manager"/>
    <x v="5"/>
    <x v="67"/>
    <n v="2"/>
  </r>
  <r>
    <x v="19"/>
    <s v="G7 Helpdesk Manager"/>
    <x v="5"/>
    <x v="68"/>
    <n v="1"/>
  </r>
  <r>
    <x v="19"/>
    <s v="G7 Helpdesk Manager"/>
    <x v="5"/>
    <x v="69"/>
    <n v="2"/>
  </r>
  <r>
    <x v="19"/>
    <s v="G7 Helpdesk Manager"/>
    <x v="5"/>
    <x v="70"/>
    <n v="1"/>
  </r>
  <r>
    <x v="19"/>
    <s v="G7 Helpdesk Manager"/>
    <x v="5"/>
    <x v="71"/>
    <n v="4"/>
  </r>
  <r>
    <x v="19"/>
    <s v="G7 Helpdesk Manager"/>
    <x v="5"/>
    <x v="72"/>
    <n v="3"/>
  </r>
  <r>
    <x v="19"/>
    <s v="G7 Helpdesk Manager"/>
    <x v="5"/>
    <x v="73"/>
    <n v="3"/>
  </r>
  <r>
    <x v="19"/>
    <s v="G7 Helpdesk Manager"/>
    <x v="5"/>
    <x v="74"/>
    <n v="2"/>
  </r>
  <r>
    <x v="19"/>
    <s v="G7 Helpdesk Manager"/>
    <x v="5"/>
    <x v="75"/>
    <n v="3"/>
  </r>
  <r>
    <x v="19"/>
    <s v="G7 Helpdesk Manager"/>
    <x v="5"/>
    <x v="76"/>
    <n v="2"/>
  </r>
  <r>
    <x v="19"/>
    <s v="G7 Helpdesk Manager"/>
    <x v="5"/>
    <x v="77"/>
    <n v="4"/>
  </r>
  <r>
    <x v="19"/>
    <s v="G7 Helpdesk Manager"/>
    <x v="5"/>
    <x v="78"/>
    <n v="2"/>
  </r>
  <r>
    <x v="19"/>
    <s v="G7 Helpdesk Manager"/>
    <x v="6"/>
    <x v="79"/>
    <n v="2"/>
  </r>
  <r>
    <x v="19"/>
    <s v="G7 Helpdesk Manager"/>
    <x v="6"/>
    <x v="80"/>
    <n v="4"/>
  </r>
  <r>
    <x v="19"/>
    <s v="G7 Helpdesk Manager"/>
    <x v="6"/>
    <x v="81"/>
    <n v="3"/>
  </r>
  <r>
    <x v="19"/>
    <s v="G7 Helpdesk Manager"/>
    <x v="6"/>
    <x v="82"/>
    <n v="1"/>
  </r>
  <r>
    <x v="19"/>
    <s v="G7 Helpdesk Manager"/>
    <x v="6"/>
    <x v="83"/>
    <n v="1"/>
  </r>
  <r>
    <x v="19"/>
    <s v="G7 Helpdesk Manager"/>
    <x v="6"/>
    <x v="84"/>
    <n v="2"/>
  </r>
  <r>
    <x v="19"/>
    <s v="G7 Helpdesk Manager"/>
    <x v="6"/>
    <x v="85"/>
    <n v="2"/>
  </r>
  <r>
    <x v="19"/>
    <s v="G7 Helpdesk Manager"/>
    <x v="6"/>
    <x v="86"/>
    <n v="2"/>
  </r>
  <r>
    <x v="19"/>
    <s v="G7 Helpdesk Manager"/>
    <x v="6"/>
    <x v="87"/>
    <n v="2"/>
  </r>
  <r>
    <x v="20"/>
    <s v="G7 Technician"/>
    <x v="0"/>
    <x v="0"/>
    <n v="3"/>
  </r>
  <r>
    <x v="20"/>
    <s v="G7 Technician"/>
    <x v="0"/>
    <x v="1"/>
    <n v="3"/>
  </r>
  <r>
    <x v="20"/>
    <s v="G7 Technician"/>
    <x v="0"/>
    <x v="2"/>
    <n v="4"/>
  </r>
  <r>
    <x v="20"/>
    <s v="G7 Technician"/>
    <x v="0"/>
    <x v="3"/>
    <n v="4"/>
  </r>
  <r>
    <x v="20"/>
    <s v="G7 Technician"/>
    <x v="0"/>
    <x v="4"/>
    <n v="3"/>
  </r>
  <r>
    <x v="20"/>
    <s v="G7 Technician"/>
    <x v="0"/>
    <x v="5"/>
    <n v="4"/>
  </r>
  <r>
    <x v="20"/>
    <s v="G7 Technician"/>
    <x v="0"/>
    <x v="6"/>
    <n v="4"/>
  </r>
  <r>
    <x v="20"/>
    <s v="G7 Technician"/>
    <x v="0"/>
    <x v="7"/>
    <n v="3"/>
  </r>
  <r>
    <x v="20"/>
    <s v="G7 Technician"/>
    <x v="0"/>
    <x v="8"/>
    <n v="4"/>
  </r>
  <r>
    <x v="20"/>
    <s v="G7 Technician"/>
    <x v="1"/>
    <x v="9"/>
    <n v="4"/>
  </r>
  <r>
    <x v="20"/>
    <s v="G7 Technician"/>
    <x v="1"/>
    <x v="10"/>
    <n v="4"/>
  </r>
  <r>
    <x v="20"/>
    <s v="G7 Technician"/>
    <x v="1"/>
    <x v="11"/>
    <n v="4"/>
  </r>
  <r>
    <x v="20"/>
    <s v="G7 Technician"/>
    <x v="1"/>
    <x v="12"/>
    <n v="3"/>
  </r>
  <r>
    <x v="20"/>
    <s v="G7 Technician"/>
    <x v="1"/>
    <x v="13"/>
    <n v="4"/>
  </r>
  <r>
    <x v="20"/>
    <s v="G7 Technician"/>
    <x v="1"/>
    <x v="14"/>
    <n v="4"/>
  </r>
  <r>
    <x v="20"/>
    <s v="G7 Technician"/>
    <x v="1"/>
    <x v="15"/>
    <n v="3"/>
  </r>
  <r>
    <x v="20"/>
    <s v="G7 Technician"/>
    <x v="1"/>
    <x v="16"/>
    <n v="4"/>
  </r>
  <r>
    <x v="20"/>
    <s v="G7 Technician"/>
    <x v="1"/>
    <x v="17"/>
    <n v="4"/>
  </r>
  <r>
    <x v="20"/>
    <s v="G7 Technician"/>
    <x v="1"/>
    <x v="18"/>
    <n v="3"/>
  </r>
  <r>
    <x v="20"/>
    <s v="G7 Technician"/>
    <x v="1"/>
    <x v="19"/>
    <n v="4"/>
  </r>
  <r>
    <x v="20"/>
    <s v="G7 Technician"/>
    <x v="2"/>
    <x v="20"/>
    <n v="2"/>
  </r>
  <r>
    <x v="20"/>
    <s v="G7 Technician"/>
    <x v="2"/>
    <x v="21"/>
    <n v="2"/>
  </r>
  <r>
    <x v="20"/>
    <s v="G7 Technician"/>
    <x v="2"/>
    <x v="22"/>
    <n v="4"/>
  </r>
  <r>
    <x v="20"/>
    <s v="G7 Technician"/>
    <x v="2"/>
    <x v="23"/>
    <n v="2"/>
  </r>
  <r>
    <x v="20"/>
    <s v="G7 Technician"/>
    <x v="2"/>
    <x v="24"/>
    <n v="4"/>
  </r>
  <r>
    <x v="20"/>
    <s v="G7 Technician"/>
    <x v="2"/>
    <x v="25"/>
    <n v="1"/>
  </r>
  <r>
    <x v="20"/>
    <s v="G7 Technician"/>
    <x v="3"/>
    <x v="26"/>
    <n v="3"/>
  </r>
  <r>
    <x v="20"/>
    <s v="G7 Technician"/>
    <x v="3"/>
    <x v="27"/>
    <n v="3"/>
  </r>
  <r>
    <x v="20"/>
    <s v="G7 Technician"/>
    <x v="3"/>
    <x v="28"/>
    <n v="1"/>
  </r>
  <r>
    <x v="20"/>
    <s v="G7 Technician"/>
    <x v="3"/>
    <x v="29"/>
    <n v="3"/>
  </r>
  <r>
    <x v="20"/>
    <s v="G7 Technician"/>
    <x v="3"/>
    <x v="30"/>
    <n v="2"/>
  </r>
  <r>
    <x v="20"/>
    <s v="G7 Technician"/>
    <x v="3"/>
    <x v="31"/>
    <n v="3"/>
  </r>
  <r>
    <x v="20"/>
    <s v="G7 Technician"/>
    <x v="3"/>
    <x v="32"/>
    <n v="3"/>
  </r>
  <r>
    <x v="20"/>
    <s v="G7 Technician"/>
    <x v="3"/>
    <x v="33"/>
    <n v="4"/>
  </r>
  <r>
    <x v="20"/>
    <s v="G7 Technician"/>
    <x v="3"/>
    <x v="34"/>
    <n v="3"/>
  </r>
  <r>
    <x v="20"/>
    <s v="G7 Technician"/>
    <x v="4"/>
    <x v="35"/>
    <n v="3"/>
  </r>
  <r>
    <x v="20"/>
    <s v="G7 Technician"/>
    <x v="4"/>
    <x v="36"/>
    <n v="3"/>
  </r>
  <r>
    <x v="20"/>
    <s v="G7 Technician"/>
    <x v="4"/>
    <x v="37"/>
    <n v="1"/>
  </r>
  <r>
    <x v="20"/>
    <s v="G7 Technician"/>
    <x v="4"/>
    <x v="38"/>
    <n v="3"/>
  </r>
  <r>
    <x v="20"/>
    <s v="G7 Technician"/>
    <x v="4"/>
    <x v="39"/>
    <n v="2"/>
  </r>
  <r>
    <x v="20"/>
    <s v="G7 Technician"/>
    <x v="4"/>
    <x v="40"/>
    <n v="3"/>
  </r>
  <r>
    <x v="20"/>
    <s v="G7 Technician"/>
    <x v="4"/>
    <x v="41"/>
    <n v="2"/>
  </r>
  <r>
    <x v="20"/>
    <s v="G7 Technician"/>
    <x v="4"/>
    <x v="42"/>
    <n v="3"/>
  </r>
  <r>
    <x v="20"/>
    <s v="G7 Technician"/>
    <x v="5"/>
    <x v="43"/>
    <n v="3"/>
  </r>
  <r>
    <x v="20"/>
    <s v="G7 Technician"/>
    <x v="5"/>
    <x v="44"/>
    <n v="4"/>
  </r>
  <r>
    <x v="20"/>
    <s v="G7 Technician"/>
    <x v="5"/>
    <x v="45"/>
    <n v="3"/>
  </r>
  <r>
    <x v="20"/>
    <s v="G7 Technician"/>
    <x v="5"/>
    <x v="46"/>
    <n v="3"/>
  </r>
  <r>
    <x v="20"/>
    <s v="G7 Technician"/>
    <x v="5"/>
    <x v="47"/>
    <n v="1"/>
  </r>
  <r>
    <x v="20"/>
    <s v="G7 Technician"/>
    <x v="5"/>
    <x v="48"/>
    <n v="1"/>
  </r>
  <r>
    <x v="20"/>
    <s v="G7 Technician"/>
    <x v="5"/>
    <x v="49"/>
    <n v="1"/>
  </r>
  <r>
    <x v="20"/>
    <s v="G7 Technician"/>
    <x v="5"/>
    <x v="50"/>
    <n v="2"/>
  </r>
  <r>
    <x v="20"/>
    <s v="G7 Technician"/>
    <x v="5"/>
    <x v="51"/>
    <n v="1"/>
  </r>
  <r>
    <x v="20"/>
    <s v="G7 Technician"/>
    <x v="5"/>
    <x v="52"/>
    <n v="2"/>
  </r>
  <r>
    <x v="20"/>
    <s v="G7 Technician"/>
    <x v="5"/>
    <x v="53"/>
    <n v="2"/>
  </r>
  <r>
    <x v="20"/>
    <s v="G7 Technician"/>
    <x v="5"/>
    <x v="54"/>
    <n v="3"/>
  </r>
  <r>
    <x v="20"/>
    <s v="G7 Technician"/>
    <x v="5"/>
    <x v="55"/>
    <n v="4"/>
  </r>
  <r>
    <x v="20"/>
    <s v="G7 Technician"/>
    <x v="5"/>
    <x v="56"/>
    <n v="3"/>
  </r>
  <r>
    <x v="20"/>
    <s v="G7 Technician"/>
    <x v="5"/>
    <x v="57"/>
    <n v="4"/>
  </r>
  <r>
    <x v="20"/>
    <s v="G7 Technician"/>
    <x v="5"/>
    <x v="58"/>
    <n v="1"/>
  </r>
  <r>
    <x v="20"/>
    <s v="G7 Technician"/>
    <x v="5"/>
    <x v="59"/>
    <n v="3"/>
  </r>
  <r>
    <x v="20"/>
    <s v="G7 Technician"/>
    <x v="5"/>
    <x v="60"/>
    <n v="3"/>
  </r>
  <r>
    <x v="20"/>
    <s v="G7 Technician"/>
    <x v="5"/>
    <x v="61"/>
    <n v="1"/>
  </r>
  <r>
    <x v="20"/>
    <s v="G7 Technician"/>
    <x v="5"/>
    <x v="62"/>
    <n v="0"/>
  </r>
  <r>
    <x v="20"/>
    <s v="G7 Technician"/>
    <x v="5"/>
    <x v="63"/>
    <n v="3"/>
  </r>
  <r>
    <x v="20"/>
    <s v="G7 Technician"/>
    <x v="5"/>
    <x v="64"/>
    <n v="2"/>
  </r>
  <r>
    <x v="20"/>
    <s v="G7 Technician"/>
    <x v="5"/>
    <x v="65"/>
    <n v="1"/>
  </r>
  <r>
    <x v="20"/>
    <s v="G7 Technician"/>
    <x v="5"/>
    <x v="66"/>
    <n v="2"/>
  </r>
  <r>
    <x v="20"/>
    <s v="G7 Technician"/>
    <x v="5"/>
    <x v="67"/>
    <n v="4"/>
  </r>
  <r>
    <x v="20"/>
    <s v="G7 Technician"/>
    <x v="5"/>
    <x v="68"/>
    <n v="2"/>
  </r>
  <r>
    <x v="20"/>
    <s v="G7 Technician"/>
    <x v="5"/>
    <x v="69"/>
    <n v="4"/>
  </r>
  <r>
    <x v="20"/>
    <s v="G7 Technician"/>
    <x v="5"/>
    <x v="70"/>
    <n v="4"/>
  </r>
  <r>
    <x v="20"/>
    <s v="G7 Technician"/>
    <x v="5"/>
    <x v="71"/>
    <n v="4"/>
  </r>
  <r>
    <x v="20"/>
    <s v="G7 Technician"/>
    <x v="5"/>
    <x v="72"/>
    <n v="4"/>
  </r>
  <r>
    <x v="20"/>
    <s v="G7 Technician"/>
    <x v="5"/>
    <x v="73"/>
    <n v="3"/>
  </r>
  <r>
    <x v="20"/>
    <s v="G7 Technician"/>
    <x v="5"/>
    <x v="74"/>
    <n v="4"/>
  </r>
  <r>
    <x v="20"/>
    <s v="G7 Technician"/>
    <x v="5"/>
    <x v="75"/>
    <n v="3"/>
  </r>
  <r>
    <x v="20"/>
    <s v="G7 Technician"/>
    <x v="5"/>
    <x v="76"/>
    <n v="4"/>
  </r>
  <r>
    <x v="20"/>
    <s v="G7 Technician"/>
    <x v="5"/>
    <x v="77"/>
    <n v="2"/>
  </r>
  <r>
    <x v="20"/>
    <s v="G7 Technician"/>
    <x v="5"/>
    <x v="78"/>
    <n v="1"/>
  </r>
  <r>
    <x v="20"/>
    <s v="G7 Technician"/>
    <x v="6"/>
    <x v="79"/>
    <n v="1"/>
  </r>
  <r>
    <x v="20"/>
    <s v="G7 Technician"/>
    <x v="6"/>
    <x v="80"/>
    <n v="2"/>
  </r>
  <r>
    <x v="20"/>
    <s v="G7 Technician"/>
    <x v="6"/>
    <x v="81"/>
    <n v="1"/>
  </r>
  <r>
    <x v="20"/>
    <s v="G7 Technician"/>
    <x v="6"/>
    <x v="82"/>
    <n v="1"/>
  </r>
  <r>
    <x v="20"/>
    <s v="G7 Technician"/>
    <x v="6"/>
    <x v="83"/>
    <n v="3"/>
  </r>
  <r>
    <x v="20"/>
    <s v="G7 Technician"/>
    <x v="6"/>
    <x v="84"/>
    <n v="1"/>
  </r>
  <r>
    <x v="20"/>
    <s v="G7 Technician"/>
    <x v="6"/>
    <x v="85"/>
    <n v="2"/>
  </r>
  <r>
    <x v="20"/>
    <s v="G7 Technician"/>
    <x v="6"/>
    <x v="86"/>
    <n v="3"/>
  </r>
  <r>
    <x v="20"/>
    <s v="G7 Technician"/>
    <x v="6"/>
    <x v="87"/>
    <n v="1"/>
  </r>
  <r>
    <x v="21"/>
    <s v="G8 Research Manager"/>
    <x v="0"/>
    <x v="0"/>
    <n v="1"/>
  </r>
  <r>
    <x v="21"/>
    <s v="G8 Research Manager"/>
    <x v="0"/>
    <x v="1"/>
    <n v="4"/>
  </r>
  <r>
    <x v="21"/>
    <s v="G8 Research Manager"/>
    <x v="0"/>
    <x v="2"/>
    <n v="1"/>
  </r>
  <r>
    <x v="21"/>
    <s v="G8 Research Manager"/>
    <x v="0"/>
    <x v="3"/>
    <n v="2"/>
  </r>
  <r>
    <x v="21"/>
    <s v="G8 Research Manager"/>
    <x v="0"/>
    <x v="4"/>
    <n v="3"/>
  </r>
  <r>
    <x v="21"/>
    <s v="G8 Research Manager"/>
    <x v="0"/>
    <x v="5"/>
    <n v="4"/>
  </r>
  <r>
    <x v="21"/>
    <s v="G8 Research Manager"/>
    <x v="0"/>
    <x v="6"/>
    <n v="2"/>
  </r>
  <r>
    <x v="21"/>
    <s v="G8 Research Manager"/>
    <x v="0"/>
    <x v="7"/>
    <n v="1"/>
  </r>
  <r>
    <x v="21"/>
    <s v="G8 Research Manager"/>
    <x v="0"/>
    <x v="8"/>
    <n v="2"/>
  </r>
  <r>
    <x v="21"/>
    <s v="G8 Research Manager"/>
    <x v="1"/>
    <x v="9"/>
    <n v="3"/>
  </r>
  <r>
    <x v="21"/>
    <s v="G8 Research Manager"/>
    <x v="1"/>
    <x v="10"/>
    <n v="3"/>
  </r>
  <r>
    <x v="21"/>
    <s v="G8 Research Manager"/>
    <x v="1"/>
    <x v="11"/>
    <n v="4"/>
  </r>
  <r>
    <x v="21"/>
    <s v="G8 Research Manager"/>
    <x v="1"/>
    <x v="12"/>
    <n v="3"/>
  </r>
  <r>
    <x v="21"/>
    <s v="G8 Research Manager"/>
    <x v="1"/>
    <x v="13"/>
    <n v="2"/>
  </r>
  <r>
    <x v="21"/>
    <s v="G8 Research Manager"/>
    <x v="1"/>
    <x v="14"/>
    <n v="3"/>
  </r>
  <r>
    <x v="21"/>
    <s v="G8 Research Manager"/>
    <x v="1"/>
    <x v="15"/>
    <n v="3"/>
  </r>
  <r>
    <x v="21"/>
    <s v="G8 Research Manager"/>
    <x v="1"/>
    <x v="16"/>
    <n v="4"/>
  </r>
  <r>
    <x v="21"/>
    <s v="G8 Research Manager"/>
    <x v="1"/>
    <x v="17"/>
    <n v="2"/>
  </r>
  <r>
    <x v="21"/>
    <s v="G8 Research Manager"/>
    <x v="1"/>
    <x v="18"/>
    <n v="3"/>
  </r>
  <r>
    <x v="21"/>
    <s v="G8 Research Manager"/>
    <x v="1"/>
    <x v="19"/>
    <n v="4"/>
  </r>
  <r>
    <x v="21"/>
    <s v="G8 Research Manager"/>
    <x v="2"/>
    <x v="20"/>
    <n v="1"/>
  </r>
  <r>
    <x v="21"/>
    <s v="G8 Research Manager"/>
    <x v="2"/>
    <x v="21"/>
    <n v="1"/>
  </r>
  <r>
    <x v="21"/>
    <s v="G8 Research Manager"/>
    <x v="2"/>
    <x v="22"/>
    <n v="1"/>
  </r>
  <r>
    <x v="21"/>
    <s v="G8 Research Manager"/>
    <x v="2"/>
    <x v="23"/>
    <n v="1"/>
  </r>
  <r>
    <x v="21"/>
    <s v="G8 Research Manager"/>
    <x v="2"/>
    <x v="24"/>
    <n v="2"/>
  </r>
  <r>
    <x v="21"/>
    <s v="G8 Research Manager"/>
    <x v="2"/>
    <x v="25"/>
    <n v="1"/>
  </r>
  <r>
    <x v="21"/>
    <s v="G8 Research Manager"/>
    <x v="3"/>
    <x v="26"/>
    <n v="2"/>
  </r>
  <r>
    <x v="21"/>
    <s v="G8 Research Manager"/>
    <x v="3"/>
    <x v="27"/>
    <n v="2"/>
  </r>
  <r>
    <x v="21"/>
    <s v="G8 Research Manager"/>
    <x v="3"/>
    <x v="28"/>
    <n v="0"/>
  </r>
  <r>
    <x v="21"/>
    <s v="G8 Research Manager"/>
    <x v="3"/>
    <x v="29"/>
    <n v="0"/>
  </r>
  <r>
    <x v="21"/>
    <s v="G8 Research Manager"/>
    <x v="3"/>
    <x v="30"/>
    <n v="0"/>
  </r>
  <r>
    <x v="21"/>
    <s v="G8 Research Manager"/>
    <x v="3"/>
    <x v="31"/>
    <n v="2"/>
  </r>
  <r>
    <x v="21"/>
    <s v="G8 Research Manager"/>
    <x v="3"/>
    <x v="32"/>
    <n v="1"/>
  </r>
  <r>
    <x v="21"/>
    <s v="G8 Research Manager"/>
    <x v="3"/>
    <x v="33"/>
    <n v="3"/>
  </r>
  <r>
    <x v="21"/>
    <s v="G8 Research Manager"/>
    <x v="3"/>
    <x v="34"/>
    <n v="1"/>
  </r>
  <r>
    <x v="21"/>
    <s v="G8 Research Manager"/>
    <x v="4"/>
    <x v="35"/>
    <n v="1"/>
  </r>
  <r>
    <x v="21"/>
    <s v="G8 Research Manager"/>
    <x v="4"/>
    <x v="36"/>
    <n v="1"/>
  </r>
  <r>
    <x v="21"/>
    <s v="G8 Research Manager"/>
    <x v="4"/>
    <x v="37"/>
    <n v="1"/>
  </r>
  <r>
    <x v="21"/>
    <s v="G8 Research Manager"/>
    <x v="4"/>
    <x v="38"/>
    <n v="1"/>
  </r>
  <r>
    <x v="21"/>
    <s v="G8 Research Manager"/>
    <x v="4"/>
    <x v="39"/>
    <n v="1"/>
  </r>
  <r>
    <x v="21"/>
    <s v="G8 Research Manager"/>
    <x v="4"/>
    <x v="40"/>
    <n v="1"/>
  </r>
  <r>
    <x v="21"/>
    <s v="G8 Research Manager"/>
    <x v="4"/>
    <x v="41"/>
    <n v="1"/>
  </r>
  <r>
    <x v="21"/>
    <s v="G8 Research Manager"/>
    <x v="4"/>
    <x v="42"/>
    <n v="1"/>
  </r>
  <r>
    <x v="21"/>
    <s v="G8 Research Manager"/>
    <x v="5"/>
    <x v="43"/>
    <n v="2"/>
  </r>
  <r>
    <x v="21"/>
    <s v="G8 Research Manager"/>
    <x v="5"/>
    <x v="44"/>
    <n v="4"/>
  </r>
  <r>
    <x v="21"/>
    <s v="G8 Research Manager"/>
    <x v="5"/>
    <x v="45"/>
    <n v="4"/>
  </r>
  <r>
    <x v="21"/>
    <s v="G8 Research Manager"/>
    <x v="5"/>
    <x v="46"/>
    <n v="4"/>
  </r>
  <r>
    <x v="21"/>
    <s v="G8 Research Manager"/>
    <x v="5"/>
    <x v="47"/>
    <n v="4"/>
  </r>
  <r>
    <x v="21"/>
    <s v="G8 Research Manager"/>
    <x v="5"/>
    <x v="48"/>
    <n v="4"/>
  </r>
  <r>
    <x v="21"/>
    <s v="G8 Research Manager"/>
    <x v="5"/>
    <x v="49"/>
    <n v="4"/>
  </r>
  <r>
    <x v="21"/>
    <s v="G8 Research Manager"/>
    <x v="5"/>
    <x v="50"/>
    <n v="2"/>
  </r>
  <r>
    <x v="21"/>
    <s v="G8 Research Manager"/>
    <x v="5"/>
    <x v="51"/>
    <n v="2"/>
  </r>
  <r>
    <x v="21"/>
    <s v="G8 Research Manager"/>
    <x v="5"/>
    <x v="52"/>
    <n v="1"/>
  </r>
  <r>
    <x v="21"/>
    <s v="G8 Research Manager"/>
    <x v="5"/>
    <x v="53"/>
    <n v="2"/>
  </r>
  <r>
    <x v="21"/>
    <s v="G8 Research Manager"/>
    <x v="5"/>
    <x v="54"/>
    <n v="4"/>
  </r>
  <r>
    <x v="21"/>
    <s v="G8 Research Manager"/>
    <x v="5"/>
    <x v="55"/>
    <n v="2"/>
  </r>
  <r>
    <x v="21"/>
    <s v="G8 Research Manager"/>
    <x v="5"/>
    <x v="56"/>
    <n v="3"/>
  </r>
  <r>
    <x v="21"/>
    <s v="G8 Research Manager"/>
    <x v="5"/>
    <x v="57"/>
    <n v="3"/>
  </r>
  <r>
    <x v="21"/>
    <s v="G8 Research Manager"/>
    <x v="5"/>
    <x v="58"/>
    <n v="3"/>
  </r>
  <r>
    <x v="21"/>
    <s v="G8 Research Manager"/>
    <x v="5"/>
    <x v="59"/>
    <n v="3"/>
  </r>
  <r>
    <x v="21"/>
    <s v="G8 Research Manager"/>
    <x v="5"/>
    <x v="60"/>
    <n v="3"/>
  </r>
  <r>
    <x v="21"/>
    <s v="G8 Research Manager"/>
    <x v="5"/>
    <x v="61"/>
    <n v="4"/>
  </r>
  <r>
    <x v="21"/>
    <s v="G8 Research Manager"/>
    <x v="5"/>
    <x v="62"/>
    <n v="1"/>
  </r>
  <r>
    <x v="21"/>
    <s v="G8 Research Manager"/>
    <x v="5"/>
    <x v="63"/>
    <n v="1"/>
  </r>
  <r>
    <x v="21"/>
    <s v="G8 Research Manager"/>
    <x v="5"/>
    <x v="64"/>
    <n v="4"/>
  </r>
  <r>
    <x v="21"/>
    <s v="G8 Research Manager"/>
    <x v="5"/>
    <x v="65"/>
    <n v="3"/>
  </r>
  <r>
    <x v="21"/>
    <s v="G8 Research Manager"/>
    <x v="5"/>
    <x v="66"/>
    <n v="3"/>
  </r>
  <r>
    <x v="21"/>
    <s v="G8 Research Manager"/>
    <x v="5"/>
    <x v="67"/>
    <n v="3"/>
  </r>
  <r>
    <x v="21"/>
    <s v="G8 Research Manager"/>
    <x v="5"/>
    <x v="68"/>
    <n v="2"/>
  </r>
  <r>
    <x v="21"/>
    <s v="G8 Research Manager"/>
    <x v="5"/>
    <x v="69"/>
    <n v="3"/>
  </r>
  <r>
    <x v="21"/>
    <s v="G8 Research Manager"/>
    <x v="5"/>
    <x v="70"/>
    <n v="2"/>
  </r>
  <r>
    <x v="21"/>
    <s v="G8 Research Manager"/>
    <x v="5"/>
    <x v="71"/>
    <n v="3"/>
  </r>
  <r>
    <x v="21"/>
    <s v="G8 Research Manager"/>
    <x v="5"/>
    <x v="72"/>
    <n v="3"/>
  </r>
  <r>
    <x v="21"/>
    <s v="G8 Research Manager"/>
    <x v="5"/>
    <x v="73"/>
    <n v="4"/>
  </r>
  <r>
    <x v="21"/>
    <s v="G8 Research Manager"/>
    <x v="5"/>
    <x v="74"/>
    <n v="4"/>
  </r>
  <r>
    <x v="21"/>
    <s v="G8 Research Manager"/>
    <x v="5"/>
    <x v="75"/>
    <n v="3"/>
  </r>
  <r>
    <x v="21"/>
    <s v="G8 Research Manager"/>
    <x v="5"/>
    <x v="76"/>
    <n v="2"/>
  </r>
  <r>
    <x v="21"/>
    <s v="G8 Research Manager"/>
    <x v="5"/>
    <x v="77"/>
    <n v="1"/>
  </r>
  <r>
    <x v="21"/>
    <s v="G8 Research Manager"/>
    <x v="5"/>
    <x v="78"/>
    <n v="0"/>
  </r>
  <r>
    <x v="21"/>
    <s v="G8 Research Manager"/>
    <x v="6"/>
    <x v="79"/>
    <n v="0"/>
  </r>
  <r>
    <x v="21"/>
    <s v="G8 Research Manager"/>
    <x v="6"/>
    <x v="80"/>
    <n v="0"/>
  </r>
  <r>
    <x v="21"/>
    <s v="G8 Research Manager"/>
    <x v="6"/>
    <x v="81"/>
    <n v="0"/>
  </r>
  <r>
    <x v="21"/>
    <s v="G8 Research Manager"/>
    <x v="6"/>
    <x v="82"/>
    <n v="0"/>
  </r>
  <r>
    <x v="21"/>
    <s v="G8 Research Manager"/>
    <x v="6"/>
    <x v="83"/>
    <n v="0"/>
  </r>
  <r>
    <x v="21"/>
    <s v="G8 Research Manager"/>
    <x v="6"/>
    <x v="84"/>
    <n v="0"/>
  </r>
  <r>
    <x v="21"/>
    <s v="G8 Research Manager"/>
    <x v="6"/>
    <x v="85"/>
    <n v="0"/>
  </r>
  <r>
    <x v="21"/>
    <s v="G8 Research Manager"/>
    <x v="6"/>
    <x v="86"/>
    <n v="1"/>
  </r>
  <r>
    <x v="21"/>
    <s v="G8 Research Manager"/>
    <x v="6"/>
    <x v="87"/>
    <n v="0"/>
  </r>
  <r>
    <x v="22"/>
    <s v="G6 Technician Linux"/>
    <x v="0"/>
    <x v="0"/>
    <n v="2"/>
  </r>
  <r>
    <x v="22"/>
    <s v="G6 Technician Linux"/>
    <x v="0"/>
    <x v="1"/>
    <n v="3"/>
  </r>
  <r>
    <x v="22"/>
    <s v="G6 Technician Linux"/>
    <x v="0"/>
    <x v="2"/>
    <n v="3"/>
  </r>
  <r>
    <x v="22"/>
    <s v="G6 Technician Linux"/>
    <x v="0"/>
    <x v="3"/>
    <n v="3"/>
  </r>
  <r>
    <x v="22"/>
    <s v="G6 Technician Linux"/>
    <x v="0"/>
    <x v="4"/>
    <n v="2"/>
  </r>
  <r>
    <x v="22"/>
    <s v="G6 Technician Linux"/>
    <x v="0"/>
    <x v="5"/>
    <n v="3"/>
  </r>
  <r>
    <x v="22"/>
    <s v="G6 Technician Linux"/>
    <x v="0"/>
    <x v="6"/>
    <n v="3"/>
  </r>
  <r>
    <x v="22"/>
    <s v="G6 Technician Linux"/>
    <x v="0"/>
    <x v="7"/>
    <n v="2"/>
  </r>
  <r>
    <x v="22"/>
    <s v="G6 Technician Linux"/>
    <x v="0"/>
    <x v="8"/>
    <n v="3"/>
  </r>
  <r>
    <x v="22"/>
    <s v="G6 Technician Linux"/>
    <x v="1"/>
    <x v="9"/>
    <n v="3"/>
  </r>
  <r>
    <x v="22"/>
    <s v="G6 Technician Linux"/>
    <x v="1"/>
    <x v="10"/>
    <n v="2"/>
  </r>
  <r>
    <x v="22"/>
    <s v="G6 Technician Linux"/>
    <x v="1"/>
    <x v="11"/>
    <n v="2"/>
  </r>
  <r>
    <x v="22"/>
    <s v="G6 Technician Linux"/>
    <x v="1"/>
    <x v="12"/>
    <n v="1"/>
  </r>
  <r>
    <x v="22"/>
    <s v="G6 Technician Linux"/>
    <x v="1"/>
    <x v="13"/>
    <n v="2"/>
  </r>
  <r>
    <x v="22"/>
    <s v="G6 Technician Linux"/>
    <x v="1"/>
    <x v="14"/>
    <n v="3"/>
  </r>
  <r>
    <x v="22"/>
    <s v="G6 Technician Linux"/>
    <x v="1"/>
    <x v="15"/>
    <n v="3"/>
  </r>
  <r>
    <x v="22"/>
    <s v="G6 Technician Linux"/>
    <x v="1"/>
    <x v="16"/>
    <n v="2"/>
  </r>
  <r>
    <x v="22"/>
    <s v="G6 Technician Linux"/>
    <x v="1"/>
    <x v="17"/>
    <n v="2"/>
  </r>
  <r>
    <x v="22"/>
    <s v="G6 Technician Linux"/>
    <x v="1"/>
    <x v="18"/>
    <n v="2"/>
  </r>
  <r>
    <x v="22"/>
    <s v="G6 Technician Linux"/>
    <x v="1"/>
    <x v="19"/>
    <n v="3"/>
  </r>
  <r>
    <x v="22"/>
    <s v="G6 Technician Linux"/>
    <x v="2"/>
    <x v="20"/>
    <n v="1"/>
  </r>
  <r>
    <x v="22"/>
    <s v="G6 Technician Linux"/>
    <x v="2"/>
    <x v="21"/>
    <n v="1"/>
  </r>
  <r>
    <x v="22"/>
    <s v="G6 Technician Linux"/>
    <x v="2"/>
    <x v="22"/>
    <n v="3"/>
  </r>
  <r>
    <x v="22"/>
    <s v="G6 Technician Linux"/>
    <x v="2"/>
    <x v="23"/>
    <n v="2"/>
  </r>
  <r>
    <x v="22"/>
    <s v="G6 Technician Linux"/>
    <x v="2"/>
    <x v="24"/>
    <n v="3"/>
  </r>
  <r>
    <x v="22"/>
    <s v="G6 Technician Linux"/>
    <x v="2"/>
    <x v="25"/>
    <n v="2"/>
  </r>
  <r>
    <x v="22"/>
    <s v="G6 Technician Linux"/>
    <x v="3"/>
    <x v="26"/>
    <n v="0"/>
  </r>
  <r>
    <x v="22"/>
    <s v="G6 Technician Linux"/>
    <x v="3"/>
    <x v="27"/>
    <n v="0"/>
  </r>
  <r>
    <x v="22"/>
    <s v="G6 Technician Linux"/>
    <x v="3"/>
    <x v="28"/>
    <n v="0"/>
  </r>
  <r>
    <x v="22"/>
    <s v="G6 Technician Linux"/>
    <x v="3"/>
    <x v="29"/>
    <n v="0"/>
  </r>
  <r>
    <x v="22"/>
    <s v="G6 Technician Linux"/>
    <x v="3"/>
    <x v="30"/>
    <n v="0"/>
  </r>
  <r>
    <x v="22"/>
    <s v="G6 Technician Linux"/>
    <x v="3"/>
    <x v="31"/>
    <n v="0"/>
  </r>
  <r>
    <x v="22"/>
    <s v="G6 Technician Linux"/>
    <x v="3"/>
    <x v="32"/>
    <n v="0"/>
  </r>
  <r>
    <x v="22"/>
    <s v="G6 Technician Linux"/>
    <x v="3"/>
    <x v="33"/>
    <n v="0"/>
  </r>
  <r>
    <x v="22"/>
    <s v="G6 Technician Linux"/>
    <x v="3"/>
    <x v="34"/>
    <n v="0"/>
  </r>
  <r>
    <x v="22"/>
    <s v="G6 Technician Linux"/>
    <x v="4"/>
    <x v="35"/>
    <n v="0"/>
  </r>
  <r>
    <x v="22"/>
    <s v="G6 Technician Linux"/>
    <x v="4"/>
    <x v="36"/>
    <n v="0"/>
  </r>
  <r>
    <x v="22"/>
    <s v="G6 Technician Linux"/>
    <x v="4"/>
    <x v="37"/>
    <n v="0"/>
  </r>
  <r>
    <x v="22"/>
    <s v="G6 Technician Linux"/>
    <x v="4"/>
    <x v="38"/>
    <n v="0"/>
  </r>
  <r>
    <x v="22"/>
    <s v="G6 Technician Linux"/>
    <x v="4"/>
    <x v="39"/>
    <n v="0"/>
  </r>
  <r>
    <x v="22"/>
    <s v="G6 Technician Linux"/>
    <x v="4"/>
    <x v="40"/>
    <n v="1"/>
  </r>
  <r>
    <x v="22"/>
    <s v="G6 Technician Linux"/>
    <x v="4"/>
    <x v="41"/>
    <n v="0"/>
  </r>
  <r>
    <x v="22"/>
    <s v="G6 Technician Linux"/>
    <x v="4"/>
    <x v="42"/>
    <n v="0"/>
  </r>
  <r>
    <x v="22"/>
    <s v="G6 Technician Linux"/>
    <x v="5"/>
    <x v="43"/>
    <n v="1"/>
  </r>
  <r>
    <x v="22"/>
    <s v="G6 Technician Linux"/>
    <x v="5"/>
    <x v="44"/>
    <n v="1"/>
  </r>
  <r>
    <x v="22"/>
    <s v="G6 Technician Linux"/>
    <x v="5"/>
    <x v="45"/>
    <n v="1"/>
  </r>
  <r>
    <x v="22"/>
    <s v="G6 Technician Linux"/>
    <x v="5"/>
    <x v="46"/>
    <n v="1"/>
  </r>
  <r>
    <x v="22"/>
    <s v="G6 Technician Linux"/>
    <x v="5"/>
    <x v="47"/>
    <n v="0"/>
  </r>
  <r>
    <x v="22"/>
    <s v="G6 Technician Linux"/>
    <x v="5"/>
    <x v="48"/>
    <n v="0"/>
  </r>
  <r>
    <x v="22"/>
    <s v="G6 Technician Linux"/>
    <x v="5"/>
    <x v="49"/>
    <n v="0"/>
  </r>
  <r>
    <x v="22"/>
    <s v="G6 Technician Linux"/>
    <x v="5"/>
    <x v="50"/>
    <n v="2"/>
  </r>
  <r>
    <x v="22"/>
    <s v="G6 Technician Linux"/>
    <x v="5"/>
    <x v="51"/>
    <n v="2"/>
  </r>
  <r>
    <x v="22"/>
    <s v="G6 Technician Linux"/>
    <x v="5"/>
    <x v="52"/>
    <n v="2"/>
  </r>
  <r>
    <x v="22"/>
    <s v="G6 Technician Linux"/>
    <x v="5"/>
    <x v="53"/>
    <n v="0"/>
  </r>
  <r>
    <x v="22"/>
    <s v="G6 Technician Linux"/>
    <x v="5"/>
    <x v="54"/>
    <n v="2"/>
  </r>
  <r>
    <x v="22"/>
    <s v="G6 Technician Linux"/>
    <x v="5"/>
    <x v="55"/>
    <n v="2"/>
  </r>
  <r>
    <x v="22"/>
    <s v="G6 Technician Linux"/>
    <x v="5"/>
    <x v="56"/>
    <n v="1"/>
  </r>
  <r>
    <x v="22"/>
    <s v="G6 Technician Linux"/>
    <x v="5"/>
    <x v="57"/>
    <n v="3"/>
  </r>
  <r>
    <x v="22"/>
    <s v="G6 Technician Linux"/>
    <x v="5"/>
    <x v="58"/>
    <n v="0"/>
  </r>
  <r>
    <x v="22"/>
    <s v="G6 Technician Linux"/>
    <x v="5"/>
    <x v="59"/>
    <n v="2"/>
  </r>
  <r>
    <x v="22"/>
    <s v="G6 Technician Linux"/>
    <x v="5"/>
    <x v="60"/>
    <n v="2"/>
  </r>
  <r>
    <x v="22"/>
    <s v="G6 Technician Linux"/>
    <x v="5"/>
    <x v="61"/>
    <n v="1"/>
  </r>
  <r>
    <x v="22"/>
    <s v="G6 Technician Linux"/>
    <x v="5"/>
    <x v="62"/>
    <n v="1"/>
  </r>
  <r>
    <x v="22"/>
    <s v="G6 Technician Linux"/>
    <x v="5"/>
    <x v="63"/>
    <n v="2"/>
  </r>
  <r>
    <x v="22"/>
    <s v="G6 Technician Linux"/>
    <x v="5"/>
    <x v="64"/>
    <n v="1"/>
  </r>
  <r>
    <x v="22"/>
    <s v="G6 Technician Linux"/>
    <x v="5"/>
    <x v="65"/>
    <n v="1"/>
  </r>
  <r>
    <x v="22"/>
    <s v="G6 Technician Linux"/>
    <x v="5"/>
    <x v="66"/>
    <n v="1"/>
  </r>
  <r>
    <x v="22"/>
    <s v="G6 Technician Linux"/>
    <x v="5"/>
    <x v="67"/>
    <n v="3"/>
  </r>
  <r>
    <x v="22"/>
    <s v="G6 Technician Linux"/>
    <x v="5"/>
    <x v="68"/>
    <n v="3"/>
  </r>
  <r>
    <x v="22"/>
    <s v="G6 Technician Linux"/>
    <x v="5"/>
    <x v="69"/>
    <n v="2"/>
  </r>
  <r>
    <x v="22"/>
    <s v="G6 Technician Linux"/>
    <x v="5"/>
    <x v="70"/>
    <n v="2"/>
  </r>
  <r>
    <x v="22"/>
    <s v="G6 Technician Linux"/>
    <x v="5"/>
    <x v="71"/>
    <n v="3"/>
  </r>
  <r>
    <x v="22"/>
    <s v="G6 Technician Linux"/>
    <x v="5"/>
    <x v="72"/>
    <n v="2"/>
  </r>
  <r>
    <x v="22"/>
    <s v="G6 Technician Linux"/>
    <x v="5"/>
    <x v="73"/>
    <n v="2"/>
  </r>
  <r>
    <x v="22"/>
    <s v="G6 Technician Linux"/>
    <x v="5"/>
    <x v="74"/>
    <n v="3"/>
  </r>
  <r>
    <x v="22"/>
    <s v="G6 Technician Linux"/>
    <x v="5"/>
    <x v="75"/>
    <n v="2"/>
  </r>
  <r>
    <x v="22"/>
    <s v="G6 Technician Linux"/>
    <x v="5"/>
    <x v="76"/>
    <n v="2"/>
  </r>
  <r>
    <x v="22"/>
    <s v="G6 Technician Linux"/>
    <x v="5"/>
    <x v="77"/>
    <n v="2"/>
  </r>
  <r>
    <x v="22"/>
    <s v="G6 Technician Linux"/>
    <x v="5"/>
    <x v="78"/>
    <n v="1"/>
  </r>
  <r>
    <x v="22"/>
    <s v="G6 Technician Linux"/>
    <x v="6"/>
    <x v="79"/>
    <n v="1"/>
  </r>
  <r>
    <x v="22"/>
    <s v="G6 Technician Linux"/>
    <x v="6"/>
    <x v="80"/>
    <n v="0"/>
  </r>
  <r>
    <x v="22"/>
    <s v="G6 Technician Linux"/>
    <x v="6"/>
    <x v="81"/>
    <n v="0"/>
  </r>
  <r>
    <x v="22"/>
    <s v="G6 Technician Linux"/>
    <x v="6"/>
    <x v="82"/>
    <n v="0"/>
  </r>
  <r>
    <x v="22"/>
    <s v="G6 Technician Linux"/>
    <x v="6"/>
    <x v="83"/>
    <n v="0"/>
  </r>
  <r>
    <x v="22"/>
    <s v="G6 Technician Linux"/>
    <x v="6"/>
    <x v="84"/>
    <n v="2"/>
  </r>
  <r>
    <x v="22"/>
    <s v="G6 Technician Linux"/>
    <x v="6"/>
    <x v="85"/>
    <n v="1"/>
  </r>
  <r>
    <x v="22"/>
    <s v="G6 Technician Linux"/>
    <x v="6"/>
    <x v="86"/>
    <n v="0"/>
  </r>
  <r>
    <x v="22"/>
    <s v="G6 Technician Linux"/>
    <x v="6"/>
    <x v="87"/>
    <n v="2"/>
  </r>
  <r>
    <x v="23"/>
    <s v="G6 Technician"/>
    <x v="0"/>
    <x v="0"/>
    <n v="3"/>
  </r>
  <r>
    <x v="23"/>
    <s v="G6 Technician"/>
    <x v="0"/>
    <x v="1"/>
    <n v="2"/>
  </r>
  <r>
    <x v="23"/>
    <s v="G6 Technician"/>
    <x v="0"/>
    <x v="2"/>
    <n v="3"/>
  </r>
  <r>
    <x v="23"/>
    <s v="G6 Technician"/>
    <x v="0"/>
    <x v="3"/>
    <n v="3"/>
  </r>
  <r>
    <x v="23"/>
    <s v="G6 Technician"/>
    <x v="0"/>
    <x v="4"/>
    <n v="2"/>
  </r>
  <r>
    <x v="23"/>
    <s v="G6 Technician"/>
    <x v="0"/>
    <x v="5"/>
    <n v="3"/>
  </r>
  <r>
    <x v="23"/>
    <s v="G6 Technician"/>
    <x v="0"/>
    <x v="6"/>
    <n v="3"/>
  </r>
  <r>
    <x v="23"/>
    <s v="G6 Technician"/>
    <x v="0"/>
    <x v="7"/>
    <n v="3"/>
  </r>
  <r>
    <x v="23"/>
    <s v="G6 Technician"/>
    <x v="0"/>
    <x v="8"/>
    <n v="2"/>
  </r>
  <r>
    <x v="23"/>
    <s v="G6 Technician"/>
    <x v="1"/>
    <x v="9"/>
    <n v="2"/>
  </r>
  <r>
    <x v="23"/>
    <s v="G6 Technician"/>
    <x v="1"/>
    <x v="10"/>
    <n v="1"/>
  </r>
  <r>
    <x v="23"/>
    <s v="G6 Technician"/>
    <x v="1"/>
    <x v="11"/>
    <n v="1"/>
  </r>
  <r>
    <x v="23"/>
    <s v="G6 Technician"/>
    <x v="1"/>
    <x v="12"/>
    <n v="1"/>
  </r>
  <r>
    <x v="23"/>
    <s v="G6 Technician"/>
    <x v="1"/>
    <x v="13"/>
    <n v="2"/>
  </r>
  <r>
    <x v="23"/>
    <s v="G6 Technician"/>
    <x v="1"/>
    <x v="14"/>
    <n v="2"/>
  </r>
  <r>
    <x v="23"/>
    <s v="G6 Technician"/>
    <x v="1"/>
    <x v="15"/>
    <n v="2"/>
  </r>
  <r>
    <x v="23"/>
    <s v="G6 Technician"/>
    <x v="1"/>
    <x v="16"/>
    <n v="2"/>
  </r>
  <r>
    <x v="23"/>
    <s v="G6 Technician"/>
    <x v="1"/>
    <x v="17"/>
    <n v="1"/>
  </r>
  <r>
    <x v="23"/>
    <s v="G6 Technician"/>
    <x v="1"/>
    <x v="18"/>
    <n v="3"/>
  </r>
  <r>
    <x v="23"/>
    <s v="G6 Technician"/>
    <x v="1"/>
    <x v="19"/>
    <n v="2"/>
  </r>
  <r>
    <x v="23"/>
    <s v="G6 Technician"/>
    <x v="2"/>
    <x v="20"/>
    <n v="1"/>
  </r>
  <r>
    <x v="23"/>
    <s v="G6 Technician"/>
    <x v="2"/>
    <x v="21"/>
    <n v="1"/>
  </r>
  <r>
    <x v="23"/>
    <s v="G6 Technician"/>
    <x v="2"/>
    <x v="22"/>
    <n v="2"/>
  </r>
  <r>
    <x v="23"/>
    <s v="G6 Technician"/>
    <x v="2"/>
    <x v="23"/>
    <n v="2"/>
  </r>
  <r>
    <x v="23"/>
    <s v="G6 Technician"/>
    <x v="2"/>
    <x v="24"/>
    <n v="1"/>
  </r>
  <r>
    <x v="23"/>
    <s v="G6 Technician"/>
    <x v="2"/>
    <x v="25"/>
    <n v="1"/>
  </r>
  <r>
    <x v="23"/>
    <s v="G6 Technician"/>
    <x v="3"/>
    <x v="26"/>
    <n v="1"/>
  </r>
  <r>
    <x v="23"/>
    <s v="G6 Technician"/>
    <x v="3"/>
    <x v="27"/>
    <n v="3"/>
  </r>
  <r>
    <x v="23"/>
    <s v="G6 Technician"/>
    <x v="3"/>
    <x v="28"/>
    <n v="2"/>
  </r>
  <r>
    <x v="23"/>
    <s v="G6 Technician"/>
    <x v="3"/>
    <x v="29"/>
    <n v="2"/>
  </r>
  <r>
    <x v="23"/>
    <s v="G6 Technician"/>
    <x v="3"/>
    <x v="30"/>
    <n v="2"/>
  </r>
  <r>
    <x v="23"/>
    <s v="G6 Technician"/>
    <x v="3"/>
    <x v="31"/>
    <n v="1"/>
  </r>
  <r>
    <x v="23"/>
    <s v="G6 Technician"/>
    <x v="3"/>
    <x v="32"/>
    <n v="1"/>
  </r>
  <r>
    <x v="23"/>
    <s v="G6 Technician"/>
    <x v="3"/>
    <x v="33"/>
    <n v="1"/>
  </r>
  <r>
    <x v="23"/>
    <s v="G6 Technician"/>
    <x v="3"/>
    <x v="34"/>
    <n v="1"/>
  </r>
  <r>
    <x v="23"/>
    <s v="G6 Technician"/>
    <x v="4"/>
    <x v="35"/>
    <n v="2"/>
  </r>
  <r>
    <x v="23"/>
    <s v="G6 Technician"/>
    <x v="4"/>
    <x v="36"/>
    <n v="1"/>
  </r>
  <r>
    <x v="23"/>
    <s v="G6 Technician"/>
    <x v="4"/>
    <x v="37"/>
    <n v="0"/>
  </r>
  <r>
    <x v="23"/>
    <s v="G6 Technician"/>
    <x v="4"/>
    <x v="38"/>
    <n v="1"/>
  </r>
  <r>
    <x v="23"/>
    <s v="G6 Technician"/>
    <x v="4"/>
    <x v="39"/>
    <n v="1"/>
  </r>
  <r>
    <x v="23"/>
    <s v="G6 Technician"/>
    <x v="4"/>
    <x v="40"/>
    <n v="3"/>
  </r>
  <r>
    <x v="23"/>
    <s v="G6 Technician"/>
    <x v="4"/>
    <x v="41"/>
    <n v="1"/>
  </r>
  <r>
    <x v="23"/>
    <s v="G6 Technician"/>
    <x v="4"/>
    <x v="42"/>
    <n v="1"/>
  </r>
  <r>
    <x v="23"/>
    <s v="G6 Technician"/>
    <x v="5"/>
    <x v="43"/>
    <n v="2"/>
  </r>
  <r>
    <x v="23"/>
    <s v="G6 Technician"/>
    <x v="5"/>
    <x v="44"/>
    <n v="2"/>
  </r>
  <r>
    <x v="23"/>
    <s v="G6 Technician"/>
    <x v="5"/>
    <x v="45"/>
    <n v="1"/>
  </r>
  <r>
    <x v="23"/>
    <s v="G6 Technician"/>
    <x v="5"/>
    <x v="46"/>
    <n v="1"/>
  </r>
  <r>
    <x v="23"/>
    <s v="G6 Technician"/>
    <x v="5"/>
    <x v="47"/>
    <n v="1"/>
  </r>
  <r>
    <x v="23"/>
    <s v="G6 Technician"/>
    <x v="5"/>
    <x v="48"/>
    <n v="0"/>
  </r>
  <r>
    <x v="23"/>
    <s v="G6 Technician"/>
    <x v="5"/>
    <x v="49"/>
    <n v="1"/>
  </r>
  <r>
    <x v="23"/>
    <s v="G6 Technician"/>
    <x v="5"/>
    <x v="50"/>
    <n v="1"/>
  </r>
  <r>
    <x v="23"/>
    <s v="G6 Technician"/>
    <x v="5"/>
    <x v="51"/>
    <n v="1"/>
  </r>
  <r>
    <x v="23"/>
    <s v="G6 Technician"/>
    <x v="5"/>
    <x v="52"/>
    <n v="2"/>
  </r>
  <r>
    <x v="23"/>
    <s v="G6 Technician"/>
    <x v="5"/>
    <x v="53"/>
    <n v="1"/>
  </r>
  <r>
    <x v="23"/>
    <s v="G6 Technician"/>
    <x v="5"/>
    <x v="54"/>
    <n v="2"/>
  </r>
  <r>
    <x v="23"/>
    <s v="G6 Technician"/>
    <x v="5"/>
    <x v="55"/>
    <n v="2"/>
  </r>
  <r>
    <x v="23"/>
    <s v="G6 Technician"/>
    <x v="5"/>
    <x v="56"/>
    <n v="1"/>
  </r>
  <r>
    <x v="23"/>
    <s v="G6 Technician"/>
    <x v="5"/>
    <x v="57"/>
    <n v="3"/>
  </r>
  <r>
    <x v="23"/>
    <s v="G6 Technician"/>
    <x v="5"/>
    <x v="58"/>
    <n v="2"/>
  </r>
  <r>
    <x v="23"/>
    <s v="G6 Technician"/>
    <x v="5"/>
    <x v="59"/>
    <n v="2"/>
  </r>
  <r>
    <x v="23"/>
    <s v="G6 Technician"/>
    <x v="5"/>
    <x v="60"/>
    <n v="3"/>
  </r>
  <r>
    <x v="23"/>
    <s v="G6 Technician"/>
    <x v="5"/>
    <x v="61"/>
    <n v="1"/>
  </r>
  <r>
    <x v="23"/>
    <s v="G6 Technician"/>
    <x v="5"/>
    <x v="62"/>
    <n v="1"/>
  </r>
  <r>
    <x v="23"/>
    <s v="G6 Technician"/>
    <x v="5"/>
    <x v="63"/>
    <n v="1"/>
  </r>
  <r>
    <x v="23"/>
    <s v="G6 Technician"/>
    <x v="5"/>
    <x v="64"/>
    <n v="2"/>
  </r>
  <r>
    <x v="23"/>
    <s v="G6 Technician"/>
    <x v="5"/>
    <x v="65"/>
    <n v="1"/>
  </r>
  <r>
    <x v="23"/>
    <s v="G6 Technician"/>
    <x v="5"/>
    <x v="66"/>
    <n v="1"/>
  </r>
  <r>
    <x v="23"/>
    <s v="G6 Technician"/>
    <x v="5"/>
    <x v="67"/>
    <n v="2"/>
  </r>
  <r>
    <x v="23"/>
    <s v="G6 Technician"/>
    <x v="5"/>
    <x v="68"/>
    <n v="1"/>
  </r>
  <r>
    <x v="23"/>
    <s v="G6 Technician"/>
    <x v="5"/>
    <x v="69"/>
    <n v="1"/>
  </r>
  <r>
    <x v="23"/>
    <s v="G6 Technician"/>
    <x v="5"/>
    <x v="70"/>
    <n v="1"/>
  </r>
  <r>
    <x v="23"/>
    <s v="G6 Technician"/>
    <x v="5"/>
    <x v="71"/>
    <n v="2"/>
  </r>
  <r>
    <x v="23"/>
    <s v="G6 Technician"/>
    <x v="5"/>
    <x v="72"/>
    <n v="1"/>
  </r>
  <r>
    <x v="23"/>
    <s v="G6 Technician"/>
    <x v="5"/>
    <x v="73"/>
    <n v="2"/>
  </r>
  <r>
    <x v="23"/>
    <s v="G6 Technician"/>
    <x v="5"/>
    <x v="74"/>
    <n v="2"/>
  </r>
  <r>
    <x v="23"/>
    <s v="G6 Technician"/>
    <x v="5"/>
    <x v="75"/>
    <n v="2"/>
  </r>
  <r>
    <x v="23"/>
    <s v="G6 Technician"/>
    <x v="5"/>
    <x v="76"/>
    <n v="2"/>
  </r>
  <r>
    <x v="23"/>
    <s v="G6 Technician"/>
    <x v="5"/>
    <x v="77"/>
    <n v="3"/>
  </r>
  <r>
    <x v="23"/>
    <s v="G6 Technician"/>
    <x v="5"/>
    <x v="78"/>
    <n v="2"/>
  </r>
  <r>
    <x v="23"/>
    <s v="G6 Technician"/>
    <x v="6"/>
    <x v="79"/>
    <n v="1"/>
  </r>
  <r>
    <x v="23"/>
    <s v="G6 Technician"/>
    <x v="6"/>
    <x v="80"/>
    <n v="2"/>
  </r>
  <r>
    <x v="23"/>
    <s v="G6 Technician"/>
    <x v="6"/>
    <x v="81"/>
    <n v="0"/>
  </r>
  <r>
    <x v="23"/>
    <s v="G6 Technician"/>
    <x v="6"/>
    <x v="82"/>
    <n v="1"/>
  </r>
  <r>
    <x v="23"/>
    <s v="G6 Technician"/>
    <x v="6"/>
    <x v="83"/>
    <n v="0"/>
  </r>
  <r>
    <x v="23"/>
    <s v="G6 Technician"/>
    <x v="6"/>
    <x v="84"/>
    <n v="0"/>
  </r>
  <r>
    <x v="23"/>
    <s v="G6 Technician"/>
    <x v="6"/>
    <x v="85"/>
    <n v="1"/>
  </r>
  <r>
    <x v="23"/>
    <s v="G6 Technician"/>
    <x v="6"/>
    <x v="86"/>
    <n v="1"/>
  </r>
  <r>
    <x v="23"/>
    <s v="G6 Technician"/>
    <x v="6"/>
    <x v="87"/>
    <n v="1"/>
  </r>
  <r>
    <x v="24"/>
    <s v="G4 Technician"/>
    <x v="0"/>
    <x v="0"/>
    <n v="2"/>
  </r>
  <r>
    <x v="24"/>
    <s v="G4 Technician"/>
    <x v="0"/>
    <x v="1"/>
    <n v="2"/>
  </r>
  <r>
    <x v="24"/>
    <s v="G4 Technician"/>
    <x v="0"/>
    <x v="2"/>
    <n v="3"/>
  </r>
  <r>
    <x v="24"/>
    <s v="G4 Technician"/>
    <x v="0"/>
    <x v="3"/>
    <n v="3"/>
  </r>
  <r>
    <x v="24"/>
    <s v="G4 Technician"/>
    <x v="0"/>
    <x v="4"/>
    <n v="2"/>
  </r>
  <r>
    <x v="24"/>
    <s v="G4 Technician"/>
    <x v="0"/>
    <x v="5"/>
    <n v="2"/>
  </r>
  <r>
    <x v="24"/>
    <s v="G4 Technician"/>
    <x v="0"/>
    <x v="6"/>
    <n v="2"/>
  </r>
  <r>
    <x v="24"/>
    <s v="G4 Technician"/>
    <x v="0"/>
    <x v="7"/>
    <n v="3"/>
  </r>
  <r>
    <x v="24"/>
    <s v="G4 Technician"/>
    <x v="0"/>
    <x v="8"/>
    <n v="1"/>
  </r>
  <r>
    <x v="24"/>
    <s v="G4 Technician"/>
    <x v="1"/>
    <x v="9"/>
    <n v="2"/>
  </r>
  <r>
    <x v="24"/>
    <s v="G4 Technician"/>
    <x v="1"/>
    <x v="10"/>
    <n v="2"/>
  </r>
  <r>
    <x v="24"/>
    <s v="G4 Technician"/>
    <x v="1"/>
    <x v="11"/>
    <n v="1"/>
  </r>
  <r>
    <x v="24"/>
    <s v="G4 Technician"/>
    <x v="1"/>
    <x v="12"/>
    <n v="1"/>
  </r>
  <r>
    <x v="24"/>
    <s v="G4 Technician"/>
    <x v="1"/>
    <x v="13"/>
    <n v="2"/>
  </r>
  <r>
    <x v="24"/>
    <s v="G4 Technician"/>
    <x v="1"/>
    <x v="14"/>
    <n v="2"/>
  </r>
  <r>
    <x v="24"/>
    <s v="G4 Technician"/>
    <x v="1"/>
    <x v="15"/>
    <n v="2"/>
  </r>
  <r>
    <x v="24"/>
    <s v="G4 Technician"/>
    <x v="1"/>
    <x v="16"/>
    <n v="2"/>
  </r>
  <r>
    <x v="24"/>
    <s v="G4 Technician"/>
    <x v="1"/>
    <x v="17"/>
    <n v="1"/>
  </r>
  <r>
    <x v="24"/>
    <s v="G4 Technician"/>
    <x v="1"/>
    <x v="18"/>
    <n v="0"/>
  </r>
  <r>
    <x v="24"/>
    <s v="G4 Technician"/>
    <x v="1"/>
    <x v="19"/>
    <n v="2"/>
  </r>
  <r>
    <x v="24"/>
    <s v="G4 Technician"/>
    <x v="2"/>
    <x v="20"/>
    <n v="2"/>
  </r>
  <r>
    <x v="24"/>
    <s v="G4 Technician"/>
    <x v="2"/>
    <x v="21"/>
    <n v="1"/>
  </r>
  <r>
    <x v="24"/>
    <s v="G4 Technician"/>
    <x v="2"/>
    <x v="22"/>
    <n v="2"/>
  </r>
  <r>
    <x v="24"/>
    <s v="G4 Technician"/>
    <x v="2"/>
    <x v="23"/>
    <n v="1"/>
  </r>
  <r>
    <x v="24"/>
    <s v="G4 Technician"/>
    <x v="2"/>
    <x v="24"/>
    <n v="2"/>
  </r>
  <r>
    <x v="24"/>
    <s v="G4 Technician"/>
    <x v="2"/>
    <x v="25"/>
    <n v="1"/>
  </r>
  <r>
    <x v="24"/>
    <s v="G4 Technician"/>
    <x v="3"/>
    <x v="26"/>
    <n v="0"/>
  </r>
  <r>
    <x v="24"/>
    <s v="G4 Technician"/>
    <x v="3"/>
    <x v="27"/>
    <n v="1"/>
  </r>
  <r>
    <x v="24"/>
    <s v="G4 Technician"/>
    <x v="3"/>
    <x v="28"/>
    <n v="0"/>
  </r>
  <r>
    <x v="24"/>
    <s v="G4 Technician"/>
    <x v="3"/>
    <x v="29"/>
    <n v="2"/>
  </r>
  <r>
    <x v="24"/>
    <s v="G4 Technician"/>
    <x v="3"/>
    <x v="30"/>
    <n v="0"/>
  </r>
  <r>
    <x v="24"/>
    <s v="G4 Technician"/>
    <x v="3"/>
    <x v="31"/>
    <n v="1"/>
  </r>
  <r>
    <x v="24"/>
    <s v="G4 Technician"/>
    <x v="3"/>
    <x v="32"/>
    <n v="1"/>
  </r>
  <r>
    <x v="24"/>
    <s v="G4 Technician"/>
    <x v="3"/>
    <x v="33"/>
    <n v="0"/>
  </r>
  <r>
    <x v="24"/>
    <s v="G4 Technician"/>
    <x v="3"/>
    <x v="34"/>
    <n v="1"/>
  </r>
  <r>
    <x v="24"/>
    <s v="G4 Technician"/>
    <x v="4"/>
    <x v="35"/>
    <n v="1"/>
  </r>
  <r>
    <x v="24"/>
    <s v="G4 Technician"/>
    <x v="4"/>
    <x v="36"/>
    <n v="1"/>
  </r>
  <r>
    <x v="24"/>
    <s v="G4 Technician"/>
    <x v="4"/>
    <x v="37"/>
    <n v="1"/>
  </r>
  <r>
    <x v="24"/>
    <s v="G4 Technician"/>
    <x v="4"/>
    <x v="38"/>
    <n v="0"/>
  </r>
  <r>
    <x v="24"/>
    <s v="G4 Technician"/>
    <x v="4"/>
    <x v="39"/>
    <n v="0"/>
  </r>
  <r>
    <x v="24"/>
    <s v="G4 Technician"/>
    <x v="4"/>
    <x v="40"/>
    <n v="2"/>
  </r>
  <r>
    <x v="24"/>
    <s v="G4 Technician"/>
    <x v="4"/>
    <x v="41"/>
    <n v="1"/>
  </r>
  <r>
    <x v="24"/>
    <s v="G4 Technician"/>
    <x v="4"/>
    <x v="42"/>
    <n v="1"/>
  </r>
  <r>
    <x v="24"/>
    <s v="G4 Technician"/>
    <x v="5"/>
    <x v="43"/>
    <n v="2"/>
  </r>
  <r>
    <x v="24"/>
    <s v="G4 Technician"/>
    <x v="5"/>
    <x v="44"/>
    <n v="3"/>
  </r>
  <r>
    <x v="24"/>
    <s v="G4 Technician"/>
    <x v="5"/>
    <x v="45"/>
    <n v="2"/>
  </r>
  <r>
    <x v="24"/>
    <s v="G4 Technician"/>
    <x v="5"/>
    <x v="46"/>
    <n v="1"/>
  </r>
  <r>
    <x v="24"/>
    <s v="G4 Technician"/>
    <x v="5"/>
    <x v="47"/>
    <n v="2"/>
  </r>
  <r>
    <x v="24"/>
    <s v="G4 Technician"/>
    <x v="5"/>
    <x v="48"/>
    <n v="1"/>
  </r>
  <r>
    <x v="24"/>
    <s v="G4 Technician"/>
    <x v="5"/>
    <x v="49"/>
    <n v="2"/>
  </r>
  <r>
    <x v="24"/>
    <s v="G4 Technician"/>
    <x v="5"/>
    <x v="50"/>
    <n v="3"/>
  </r>
  <r>
    <x v="24"/>
    <s v="G4 Technician"/>
    <x v="5"/>
    <x v="51"/>
    <n v="3"/>
  </r>
  <r>
    <x v="24"/>
    <s v="G4 Technician"/>
    <x v="5"/>
    <x v="52"/>
    <n v="2"/>
  </r>
  <r>
    <x v="24"/>
    <s v="G4 Technician"/>
    <x v="5"/>
    <x v="53"/>
    <n v="2"/>
  </r>
  <r>
    <x v="24"/>
    <s v="G4 Technician"/>
    <x v="5"/>
    <x v="54"/>
    <n v="2"/>
  </r>
  <r>
    <x v="24"/>
    <s v="G4 Technician"/>
    <x v="5"/>
    <x v="55"/>
    <n v="2"/>
  </r>
  <r>
    <x v="24"/>
    <s v="G4 Technician"/>
    <x v="5"/>
    <x v="56"/>
    <n v="2"/>
  </r>
  <r>
    <x v="24"/>
    <s v="G4 Technician"/>
    <x v="5"/>
    <x v="57"/>
    <n v="2"/>
  </r>
  <r>
    <x v="24"/>
    <s v="G4 Technician"/>
    <x v="5"/>
    <x v="58"/>
    <n v="1"/>
  </r>
  <r>
    <x v="24"/>
    <s v="G4 Technician"/>
    <x v="5"/>
    <x v="59"/>
    <n v="1"/>
  </r>
  <r>
    <x v="24"/>
    <s v="G4 Technician"/>
    <x v="5"/>
    <x v="60"/>
    <n v="2"/>
  </r>
  <r>
    <x v="24"/>
    <s v="G4 Technician"/>
    <x v="5"/>
    <x v="61"/>
    <n v="2"/>
  </r>
  <r>
    <x v="24"/>
    <s v="G4 Technician"/>
    <x v="5"/>
    <x v="62"/>
    <n v="2"/>
  </r>
  <r>
    <x v="24"/>
    <s v="G4 Technician"/>
    <x v="5"/>
    <x v="63"/>
    <n v="2"/>
  </r>
  <r>
    <x v="24"/>
    <s v="G4 Technician"/>
    <x v="5"/>
    <x v="64"/>
    <n v="2"/>
  </r>
  <r>
    <x v="24"/>
    <s v="G4 Technician"/>
    <x v="5"/>
    <x v="65"/>
    <n v="2"/>
  </r>
  <r>
    <x v="24"/>
    <s v="G4 Technician"/>
    <x v="5"/>
    <x v="66"/>
    <n v="2"/>
  </r>
  <r>
    <x v="24"/>
    <s v="G4 Technician"/>
    <x v="5"/>
    <x v="67"/>
    <n v="2"/>
  </r>
  <r>
    <x v="24"/>
    <s v="G4 Technician"/>
    <x v="5"/>
    <x v="68"/>
    <n v="3"/>
  </r>
  <r>
    <x v="24"/>
    <s v="G4 Technician"/>
    <x v="5"/>
    <x v="69"/>
    <n v="2"/>
  </r>
  <r>
    <x v="24"/>
    <s v="G4 Technician"/>
    <x v="5"/>
    <x v="70"/>
    <n v="1"/>
  </r>
  <r>
    <x v="24"/>
    <s v="G4 Technician"/>
    <x v="5"/>
    <x v="71"/>
    <n v="2"/>
  </r>
  <r>
    <x v="24"/>
    <s v="G4 Technician"/>
    <x v="5"/>
    <x v="72"/>
    <n v="2"/>
  </r>
  <r>
    <x v="24"/>
    <s v="G4 Technician"/>
    <x v="5"/>
    <x v="73"/>
    <n v="3"/>
  </r>
  <r>
    <x v="24"/>
    <s v="G4 Technician"/>
    <x v="5"/>
    <x v="74"/>
    <n v="1"/>
  </r>
  <r>
    <x v="24"/>
    <s v="G4 Technician"/>
    <x v="5"/>
    <x v="75"/>
    <n v="2"/>
  </r>
  <r>
    <x v="24"/>
    <s v="G4 Technician"/>
    <x v="5"/>
    <x v="76"/>
    <n v="2"/>
  </r>
  <r>
    <x v="24"/>
    <s v="G4 Technician"/>
    <x v="5"/>
    <x v="77"/>
    <n v="1"/>
  </r>
  <r>
    <x v="24"/>
    <s v="G4 Technician"/>
    <x v="5"/>
    <x v="78"/>
    <n v="1"/>
  </r>
  <r>
    <x v="24"/>
    <s v="G4 Technician"/>
    <x v="6"/>
    <x v="79"/>
    <n v="0"/>
  </r>
  <r>
    <x v="24"/>
    <s v="G4 Technician"/>
    <x v="6"/>
    <x v="80"/>
    <n v="1"/>
  </r>
  <r>
    <x v="24"/>
    <s v="G4 Technician"/>
    <x v="6"/>
    <x v="81"/>
    <n v="0"/>
  </r>
  <r>
    <x v="24"/>
    <s v="G4 Technician"/>
    <x v="6"/>
    <x v="82"/>
    <n v="0"/>
  </r>
  <r>
    <x v="24"/>
    <s v="G4 Technician"/>
    <x v="6"/>
    <x v="83"/>
    <n v="0"/>
  </r>
  <r>
    <x v="24"/>
    <s v="G4 Technician"/>
    <x v="6"/>
    <x v="84"/>
    <n v="0"/>
  </r>
  <r>
    <x v="24"/>
    <s v="G4 Technician"/>
    <x v="6"/>
    <x v="85"/>
    <n v="1"/>
  </r>
  <r>
    <x v="24"/>
    <s v="G4 Technician"/>
    <x v="6"/>
    <x v="86"/>
    <n v="2"/>
  </r>
  <r>
    <x v="24"/>
    <s v="G4 Technician"/>
    <x v="6"/>
    <x v="87"/>
    <n v="1"/>
  </r>
  <r>
    <x v="25"/>
    <s v="G4 Technician"/>
    <x v="0"/>
    <x v="0"/>
    <n v="3"/>
  </r>
  <r>
    <x v="25"/>
    <s v="G4 Technician"/>
    <x v="0"/>
    <x v="1"/>
    <n v="2"/>
  </r>
  <r>
    <x v="25"/>
    <s v="G4 Technician"/>
    <x v="0"/>
    <x v="2"/>
    <n v="4"/>
  </r>
  <r>
    <x v="25"/>
    <s v="G4 Technician"/>
    <x v="0"/>
    <x v="3"/>
    <n v="3"/>
  </r>
  <r>
    <x v="25"/>
    <s v="G4 Technician"/>
    <x v="0"/>
    <x v="4"/>
    <n v="2"/>
  </r>
  <r>
    <x v="25"/>
    <s v="G4 Technician"/>
    <x v="0"/>
    <x v="5"/>
    <n v="3"/>
  </r>
  <r>
    <x v="25"/>
    <s v="G4 Technician"/>
    <x v="0"/>
    <x v="6"/>
    <n v="3"/>
  </r>
  <r>
    <x v="25"/>
    <s v="G4 Technician"/>
    <x v="0"/>
    <x v="7"/>
    <n v="2"/>
  </r>
  <r>
    <x v="25"/>
    <s v="G4 Technician"/>
    <x v="0"/>
    <x v="8"/>
    <n v="2"/>
  </r>
  <r>
    <x v="25"/>
    <s v="G4 Technician"/>
    <x v="1"/>
    <x v="9"/>
    <n v="1"/>
  </r>
  <r>
    <x v="25"/>
    <s v="G4 Technician"/>
    <x v="1"/>
    <x v="10"/>
    <n v="0"/>
  </r>
  <r>
    <x v="25"/>
    <s v="G4 Technician"/>
    <x v="1"/>
    <x v="11"/>
    <n v="1"/>
  </r>
  <r>
    <x v="25"/>
    <s v="G4 Technician"/>
    <x v="1"/>
    <x v="12"/>
    <n v="1"/>
  </r>
  <r>
    <x v="25"/>
    <s v="G4 Technician"/>
    <x v="1"/>
    <x v="13"/>
    <n v="0"/>
  </r>
  <r>
    <x v="25"/>
    <s v="G4 Technician"/>
    <x v="1"/>
    <x v="14"/>
    <n v="2"/>
  </r>
  <r>
    <x v="25"/>
    <s v="G4 Technician"/>
    <x v="1"/>
    <x v="15"/>
    <n v="2"/>
  </r>
  <r>
    <x v="25"/>
    <s v="G4 Technician"/>
    <x v="1"/>
    <x v="16"/>
    <n v="0"/>
  </r>
  <r>
    <x v="25"/>
    <s v="G4 Technician"/>
    <x v="1"/>
    <x v="17"/>
    <n v="1"/>
  </r>
  <r>
    <x v="25"/>
    <s v="G4 Technician"/>
    <x v="1"/>
    <x v="18"/>
    <n v="2"/>
  </r>
  <r>
    <x v="25"/>
    <s v="G4 Technician"/>
    <x v="1"/>
    <x v="19"/>
    <n v="2"/>
  </r>
  <r>
    <x v="25"/>
    <s v="G4 Technician"/>
    <x v="2"/>
    <x v="20"/>
    <n v="1"/>
  </r>
  <r>
    <x v="25"/>
    <s v="G4 Technician"/>
    <x v="2"/>
    <x v="21"/>
    <n v="0"/>
  </r>
  <r>
    <x v="25"/>
    <s v="G4 Technician"/>
    <x v="2"/>
    <x v="22"/>
    <n v="2"/>
  </r>
  <r>
    <x v="25"/>
    <s v="G4 Technician"/>
    <x v="2"/>
    <x v="23"/>
    <n v="0"/>
  </r>
  <r>
    <x v="25"/>
    <s v="G4 Technician"/>
    <x v="2"/>
    <x v="24"/>
    <n v="2"/>
  </r>
  <r>
    <x v="25"/>
    <s v="G4 Technician"/>
    <x v="2"/>
    <x v="25"/>
    <n v="0"/>
  </r>
  <r>
    <x v="25"/>
    <s v="G4 Technician"/>
    <x v="3"/>
    <x v="26"/>
    <n v="1"/>
  </r>
  <r>
    <x v="25"/>
    <s v="G4 Technician"/>
    <x v="3"/>
    <x v="27"/>
    <n v="1"/>
  </r>
  <r>
    <x v="25"/>
    <s v="G4 Technician"/>
    <x v="3"/>
    <x v="28"/>
    <n v="0"/>
  </r>
  <r>
    <x v="25"/>
    <s v="G4 Technician"/>
    <x v="3"/>
    <x v="29"/>
    <n v="1"/>
  </r>
  <r>
    <x v="25"/>
    <s v="G4 Technician"/>
    <x v="3"/>
    <x v="30"/>
    <n v="0"/>
  </r>
  <r>
    <x v="25"/>
    <s v="G4 Technician"/>
    <x v="3"/>
    <x v="31"/>
    <n v="1"/>
  </r>
  <r>
    <x v="25"/>
    <s v="G4 Technician"/>
    <x v="3"/>
    <x v="32"/>
    <n v="1"/>
  </r>
  <r>
    <x v="25"/>
    <s v="G4 Technician"/>
    <x v="3"/>
    <x v="33"/>
    <n v="1"/>
  </r>
  <r>
    <x v="25"/>
    <s v="G4 Technician"/>
    <x v="3"/>
    <x v="34"/>
    <n v="1"/>
  </r>
  <r>
    <x v="25"/>
    <s v="G4 Technician"/>
    <x v="4"/>
    <x v="35"/>
    <n v="1"/>
  </r>
  <r>
    <x v="25"/>
    <s v="G4 Technician"/>
    <x v="4"/>
    <x v="36"/>
    <n v="0"/>
  </r>
  <r>
    <x v="25"/>
    <s v="G4 Technician"/>
    <x v="4"/>
    <x v="37"/>
    <n v="0"/>
  </r>
  <r>
    <x v="25"/>
    <s v="G4 Technician"/>
    <x v="4"/>
    <x v="38"/>
    <n v="1"/>
  </r>
  <r>
    <x v="25"/>
    <s v="G4 Technician"/>
    <x v="4"/>
    <x v="39"/>
    <n v="0"/>
  </r>
  <r>
    <x v="25"/>
    <s v="G4 Technician"/>
    <x v="4"/>
    <x v="40"/>
    <n v="2"/>
  </r>
  <r>
    <x v="25"/>
    <s v="G4 Technician"/>
    <x v="4"/>
    <x v="41"/>
    <n v="1"/>
  </r>
  <r>
    <x v="25"/>
    <s v="G4 Technician"/>
    <x v="4"/>
    <x v="42"/>
    <n v="1"/>
  </r>
  <r>
    <x v="25"/>
    <s v="G4 Technician"/>
    <x v="5"/>
    <x v="43"/>
    <n v="1"/>
  </r>
  <r>
    <x v="25"/>
    <s v="G4 Technician"/>
    <x v="5"/>
    <x v="44"/>
    <n v="2"/>
  </r>
  <r>
    <x v="25"/>
    <s v="G4 Technician"/>
    <x v="5"/>
    <x v="45"/>
    <n v="0"/>
  </r>
  <r>
    <x v="25"/>
    <s v="G4 Technician"/>
    <x v="5"/>
    <x v="46"/>
    <n v="0"/>
  </r>
  <r>
    <x v="25"/>
    <s v="G4 Technician"/>
    <x v="5"/>
    <x v="47"/>
    <n v="0"/>
  </r>
  <r>
    <x v="25"/>
    <s v="G4 Technician"/>
    <x v="5"/>
    <x v="48"/>
    <n v="0"/>
  </r>
  <r>
    <x v="25"/>
    <s v="G4 Technician"/>
    <x v="5"/>
    <x v="49"/>
    <n v="0"/>
  </r>
  <r>
    <x v="25"/>
    <s v="G4 Technician"/>
    <x v="5"/>
    <x v="50"/>
    <n v="1"/>
  </r>
  <r>
    <x v="25"/>
    <s v="G4 Technician"/>
    <x v="5"/>
    <x v="51"/>
    <n v="1"/>
  </r>
  <r>
    <x v="25"/>
    <s v="G4 Technician"/>
    <x v="5"/>
    <x v="52"/>
    <n v="0"/>
  </r>
  <r>
    <x v="25"/>
    <s v="G4 Technician"/>
    <x v="5"/>
    <x v="53"/>
    <n v="1"/>
  </r>
  <r>
    <x v="25"/>
    <s v="G4 Technician"/>
    <x v="5"/>
    <x v="54"/>
    <n v="1"/>
  </r>
  <r>
    <x v="25"/>
    <s v="G4 Technician"/>
    <x v="5"/>
    <x v="55"/>
    <n v="2"/>
  </r>
  <r>
    <x v="25"/>
    <s v="G4 Technician"/>
    <x v="5"/>
    <x v="56"/>
    <n v="1"/>
  </r>
  <r>
    <x v="25"/>
    <s v="G4 Technician"/>
    <x v="5"/>
    <x v="57"/>
    <n v="1"/>
  </r>
  <r>
    <x v="25"/>
    <s v="G4 Technician"/>
    <x v="5"/>
    <x v="58"/>
    <n v="0"/>
  </r>
  <r>
    <x v="25"/>
    <s v="G4 Technician"/>
    <x v="5"/>
    <x v="59"/>
    <n v="1"/>
  </r>
  <r>
    <x v="25"/>
    <s v="G4 Technician"/>
    <x v="5"/>
    <x v="60"/>
    <n v="2"/>
  </r>
  <r>
    <x v="25"/>
    <s v="G4 Technician"/>
    <x v="5"/>
    <x v="61"/>
    <n v="1"/>
  </r>
  <r>
    <x v="25"/>
    <s v="G4 Technician"/>
    <x v="5"/>
    <x v="62"/>
    <n v="0"/>
  </r>
  <r>
    <x v="25"/>
    <s v="G4 Technician"/>
    <x v="5"/>
    <x v="63"/>
    <n v="0"/>
  </r>
  <r>
    <x v="25"/>
    <s v="G4 Technician"/>
    <x v="5"/>
    <x v="64"/>
    <n v="1"/>
  </r>
  <r>
    <x v="25"/>
    <s v="G4 Technician"/>
    <x v="5"/>
    <x v="65"/>
    <n v="1"/>
  </r>
  <r>
    <x v="25"/>
    <s v="G4 Technician"/>
    <x v="5"/>
    <x v="66"/>
    <n v="0"/>
  </r>
  <r>
    <x v="25"/>
    <s v="G4 Technician"/>
    <x v="5"/>
    <x v="67"/>
    <n v="1"/>
  </r>
  <r>
    <x v="25"/>
    <s v="G4 Technician"/>
    <x v="5"/>
    <x v="68"/>
    <n v="0"/>
  </r>
  <r>
    <x v="25"/>
    <s v="G4 Technician"/>
    <x v="5"/>
    <x v="69"/>
    <n v="0"/>
  </r>
  <r>
    <x v="25"/>
    <s v="G4 Technician"/>
    <x v="5"/>
    <x v="70"/>
    <n v="0"/>
  </r>
  <r>
    <x v="25"/>
    <s v="G4 Technician"/>
    <x v="5"/>
    <x v="71"/>
    <n v="3"/>
  </r>
  <r>
    <x v="25"/>
    <s v="G4 Technician"/>
    <x v="5"/>
    <x v="72"/>
    <n v="3"/>
  </r>
  <r>
    <x v="25"/>
    <s v="G4 Technician"/>
    <x v="5"/>
    <x v="73"/>
    <n v="0"/>
  </r>
  <r>
    <x v="25"/>
    <s v="G4 Technician"/>
    <x v="5"/>
    <x v="74"/>
    <n v="0"/>
  </r>
  <r>
    <x v="25"/>
    <s v="G4 Technician"/>
    <x v="5"/>
    <x v="75"/>
    <n v="0"/>
  </r>
  <r>
    <x v="25"/>
    <s v="G4 Technician"/>
    <x v="5"/>
    <x v="76"/>
    <n v="2"/>
  </r>
  <r>
    <x v="25"/>
    <s v="G4 Technician"/>
    <x v="5"/>
    <x v="77"/>
    <n v="2"/>
  </r>
  <r>
    <x v="25"/>
    <s v="G4 Technician"/>
    <x v="5"/>
    <x v="78"/>
    <n v="0"/>
  </r>
  <r>
    <x v="25"/>
    <s v="G4 Technician"/>
    <x v="6"/>
    <x v="79"/>
    <n v="0"/>
  </r>
  <r>
    <x v="25"/>
    <s v="G4 Technician"/>
    <x v="6"/>
    <x v="80"/>
    <n v="0"/>
  </r>
  <r>
    <x v="25"/>
    <s v="G4 Technician"/>
    <x v="6"/>
    <x v="81"/>
    <n v="0"/>
  </r>
  <r>
    <x v="25"/>
    <s v="G4 Technician"/>
    <x v="6"/>
    <x v="82"/>
    <n v="0"/>
  </r>
  <r>
    <x v="25"/>
    <s v="G4 Technician"/>
    <x v="6"/>
    <x v="83"/>
    <n v="0"/>
  </r>
  <r>
    <x v="25"/>
    <s v="G4 Technician"/>
    <x v="6"/>
    <x v="84"/>
    <n v="0"/>
  </r>
  <r>
    <x v="25"/>
    <s v="G4 Technician"/>
    <x v="6"/>
    <x v="85"/>
    <n v="0"/>
  </r>
  <r>
    <x v="25"/>
    <s v="G4 Technician"/>
    <x v="6"/>
    <x v="86"/>
    <n v="0"/>
  </r>
  <r>
    <x v="25"/>
    <s v="G4 Technician"/>
    <x v="6"/>
    <x v="87"/>
    <n v="1"/>
  </r>
  <r>
    <x v="26"/>
    <s v="G6 Technician"/>
    <x v="0"/>
    <x v="0"/>
    <n v="2"/>
  </r>
  <r>
    <x v="26"/>
    <s v="G6 Technician"/>
    <x v="0"/>
    <x v="1"/>
    <n v="2"/>
  </r>
  <r>
    <x v="26"/>
    <s v="G6 Technician"/>
    <x v="0"/>
    <x v="2"/>
    <n v="4"/>
  </r>
  <r>
    <x v="26"/>
    <s v="G6 Technician"/>
    <x v="0"/>
    <x v="3"/>
    <n v="3"/>
  </r>
  <r>
    <x v="26"/>
    <s v="G6 Technician"/>
    <x v="0"/>
    <x v="4"/>
    <n v="3"/>
  </r>
  <r>
    <x v="26"/>
    <s v="G6 Technician"/>
    <x v="0"/>
    <x v="5"/>
    <n v="4"/>
  </r>
  <r>
    <x v="26"/>
    <s v="G6 Technician"/>
    <x v="0"/>
    <x v="6"/>
    <n v="3"/>
  </r>
  <r>
    <x v="26"/>
    <s v="G6 Technician"/>
    <x v="0"/>
    <x v="7"/>
    <n v="3"/>
  </r>
  <r>
    <x v="26"/>
    <s v="G6 Technician"/>
    <x v="0"/>
    <x v="8"/>
    <n v="3"/>
  </r>
  <r>
    <x v="26"/>
    <s v="G6 Technician"/>
    <x v="1"/>
    <x v="9"/>
    <n v="2"/>
  </r>
  <r>
    <x v="26"/>
    <s v="G6 Technician"/>
    <x v="1"/>
    <x v="10"/>
    <n v="2"/>
  </r>
  <r>
    <x v="26"/>
    <s v="G6 Technician"/>
    <x v="1"/>
    <x v="11"/>
    <n v="0"/>
  </r>
  <r>
    <x v="26"/>
    <s v="G6 Technician"/>
    <x v="1"/>
    <x v="12"/>
    <n v="2"/>
  </r>
  <r>
    <x v="26"/>
    <s v="G6 Technician"/>
    <x v="1"/>
    <x v="13"/>
    <n v="2"/>
  </r>
  <r>
    <x v="26"/>
    <s v="G6 Technician"/>
    <x v="1"/>
    <x v="14"/>
    <n v="2"/>
  </r>
  <r>
    <x v="26"/>
    <s v="G6 Technician"/>
    <x v="1"/>
    <x v="15"/>
    <n v="2"/>
  </r>
  <r>
    <x v="26"/>
    <s v="G6 Technician"/>
    <x v="1"/>
    <x v="16"/>
    <n v="0"/>
  </r>
  <r>
    <x v="26"/>
    <s v="G6 Technician"/>
    <x v="1"/>
    <x v="17"/>
    <n v="0"/>
  </r>
  <r>
    <x v="26"/>
    <s v="G6 Technician"/>
    <x v="1"/>
    <x v="18"/>
    <n v="0"/>
  </r>
  <r>
    <x v="26"/>
    <s v="G6 Technician"/>
    <x v="1"/>
    <x v="19"/>
    <n v="3"/>
  </r>
  <r>
    <x v="26"/>
    <s v="G6 Technician"/>
    <x v="2"/>
    <x v="20"/>
    <n v="3"/>
  </r>
  <r>
    <x v="26"/>
    <s v="G6 Technician"/>
    <x v="2"/>
    <x v="21"/>
    <n v="2"/>
  </r>
  <r>
    <x v="26"/>
    <s v="G6 Technician"/>
    <x v="2"/>
    <x v="22"/>
    <n v="3"/>
  </r>
  <r>
    <x v="26"/>
    <s v="G6 Technician"/>
    <x v="2"/>
    <x v="23"/>
    <n v="3"/>
  </r>
  <r>
    <x v="26"/>
    <s v="G6 Technician"/>
    <x v="2"/>
    <x v="24"/>
    <n v="3"/>
  </r>
  <r>
    <x v="26"/>
    <s v="G6 Technician"/>
    <x v="2"/>
    <x v="25"/>
    <n v="3"/>
  </r>
  <r>
    <x v="26"/>
    <s v="G6 Technician"/>
    <x v="3"/>
    <x v="26"/>
    <n v="3"/>
  </r>
  <r>
    <x v="26"/>
    <s v="G6 Technician"/>
    <x v="3"/>
    <x v="27"/>
    <n v="2"/>
  </r>
  <r>
    <x v="26"/>
    <s v="G6 Technician"/>
    <x v="3"/>
    <x v="28"/>
    <n v="2"/>
  </r>
  <r>
    <x v="26"/>
    <s v="G6 Technician"/>
    <x v="3"/>
    <x v="29"/>
    <n v="3"/>
  </r>
  <r>
    <x v="26"/>
    <s v="G6 Technician"/>
    <x v="3"/>
    <x v="30"/>
    <n v="2"/>
  </r>
  <r>
    <x v="26"/>
    <s v="G6 Technician"/>
    <x v="3"/>
    <x v="31"/>
    <n v="2"/>
  </r>
  <r>
    <x v="26"/>
    <s v="G6 Technician"/>
    <x v="3"/>
    <x v="32"/>
    <n v="2"/>
  </r>
  <r>
    <x v="26"/>
    <s v="G6 Technician"/>
    <x v="3"/>
    <x v="33"/>
    <n v="1"/>
  </r>
  <r>
    <x v="26"/>
    <s v="G6 Technician"/>
    <x v="3"/>
    <x v="34"/>
    <n v="2"/>
  </r>
  <r>
    <x v="26"/>
    <s v="G6 Technician"/>
    <x v="4"/>
    <x v="35"/>
    <n v="2"/>
  </r>
  <r>
    <x v="26"/>
    <s v="G6 Technician"/>
    <x v="4"/>
    <x v="36"/>
    <n v="1"/>
  </r>
  <r>
    <x v="26"/>
    <s v="G6 Technician"/>
    <x v="4"/>
    <x v="37"/>
    <n v="1"/>
  </r>
  <r>
    <x v="26"/>
    <s v="G6 Technician"/>
    <x v="4"/>
    <x v="38"/>
    <n v="1"/>
  </r>
  <r>
    <x v="26"/>
    <s v="G6 Technician"/>
    <x v="4"/>
    <x v="39"/>
    <n v="2"/>
  </r>
  <r>
    <x v="26"/>
    <s v="G6 Technician"/>
    <x v="4"/>
    <x v="40"/>
    <n v="1"/>
  </r>
  <r>
    <x v="26"/>
    <s v="G6 Technician"/>
    <x v="4"/>
    <x v="41"/>
    <n v="1"/>
  </r>
  <r>
    <x v="26"/>
    <s v="G6 Technician"/>
    <x v="4"/>
    <x v="42"/>
    <n v="1"/>
  </r>
  <r>
    <x v="26"/>
    <s v="G6 Technician"/>
    <x v="5"/>
    <x v="43"/>
    <n v="0"/>
  </r>
  <r>
    <x v="26"/>
    <s v="G6 Technician"/>
    <x v="5"/>
    <x v="44"/>
    <n v="2"/>
  </r>
  <r>
    <x v="26"/>
    <s v="G6 Technician"/>
    <x v="5"/>
    <x v="45"/>
    <n v="1"/>
  </r>
  <r>
    <x v="26"/>
    <s v="G6 Technician"/>
    <x v="5"/>
    <x v="46"/>
    <n v="1"/>
  </r>
  <r>
    <x v="26"/>
    <s v="G6 Technician"/>
    <x v="5"/>
    <x v="47"/>
    <n v="1"/>
  </r>
  <r>
    <x v="26"/>
    <s v="G6 Technician"/>
    <x v="5"/>
    <x v="48"/>
    <n v="0"/>
  </r>
  <r>
    <x v="26"/>
    <s v="G6 Technician"/>
    <x v="5"/>
    <x v="49"/>
    <n v="2"/>
  </r>
  <r>
    <x v="26"/>
    <s v="G6 Technician"/>
    <x v="5"/>
    <x v="50"/>
    <n v="1"/>
  </r>
  <r>
    <x v="26"/>
    <s v="G6 Technician"/>
    <x v="5"/>
    <x v="51"/>
    <n v="1"/>
  </r>
  <r>
    <x v="26"/>
    <s v="G6 Technician"/>
    <x v="5"/>
    <x v="52"/>
    <n v="2"/>
  </r>
  <r>
    <x v="26"/>
    <s v="G6 Technician"/>
    <x v="5"/>
    <x v="53"/>
    <n v="0"/>
  </r>
  <r>
    <x v="26"/>
    <s v="G6 Technician"/>
    <x v="5"/>
    <x v="54"/>
    <n v="0"/>
  </r>
  <r>
    <x v="26"/>
    <s v="G6 Technician"/>
    <x v="5"/>
    <x v="55"/>
    <n v="2"/>
  </r>
  <r>
    <x v="26"/>
    <s v="G6 Technician"/>
    <x v="5"/>
    <x v="56"/>
    <n v="1"/>
  </r>
  <r>
    <x v="26"/>
    <s v="G6 Technician"/>
    <x v="5"/>
    <x v="57"/>
    <n v="2"/>
  </r>
  <r>
    <x v="26"/>
    <s v="G6 Technician"/>
    <x v="5"/>
    <x v="58"/>
    <n v="1"/>
  </r>
  <r>
    <x v="26"/>
    <s v="G6 Technician"/>
    <x v="5"/>
    <x v="59"/>
    <n v="2"/>
  </r>
  <r>
    <x v="26"/>
    <s v="G6 Technician"/>
    <x v="5"/>
    <x v="60"/>
    <n v="1"/>
  </r>
  <r>
    <x v="26"/>
    <s v="G6 Technician"/>
    <x v="5"/>
    <x v="61"/>
    <n v="0"/>
  </r>
  <r>
    <x v="26"/>
    <s v="G6 Technician"/>
    <x v="5"/>
    <x v="62"/>
    <n v="0"/>
  </r>
  <r>
    <x v="26"/>
    <s v="G6 Technician"/>
    <x v="5"/>
    <x v="63"/>
    <n v="1"/>
  </r>
  <r>
    <x v="26"/>
    <s v="G6 Technician"/>
    <x v="5"/>
    <x v="64"/>
    <n v="0"/>
  </r>
  <r>
    <x v="26"/>
    <s v="G6 Technician"/>
    <x v="5"/>
    <x v="65"/>
    <n v="0"/>
  </r>
  <r>
    <x v="26"/>
    <s v="G6 Technician"/>
    <x v="5"/>
    <x v="66"/>
    <n v="1"/>
  </r>
  <r>
    <x v="26"/>
    <s v="G6 Technician"/>
    <x v="5"/>
    <x v="67"/>
    <n v="0"/>
  </r>
  <r>
    <x v="26"/>
    <s v="G6 Technician"/>
    <x v="5"/>
    <x v="68"/>
    <n v="0"/>
  </r>
  <r>
    <x v="26"/>
    <s v="G6 Technician"/>
    <x v="5"/>
    <x v="69"/>
    <n v="0"/>
  </r>
  <r>
    <x v="26"/>
    <s v="G6 Technician"/>
    <x v="5"/>
    <x v="70"/>
    <n v="0"/>
  </r>
  <r>
    <x v="26"/>
    <s v="G6 Technician"/>
    <x v="5"/>
    <x v="71"/>
    <n v="2"/>
  </r>
  <r>
    <x v="26"/>
    <s v="G6 Technician"/>
    <x v="5"/>
    <x v="72"/>
    <n v="1"/>
  </r>
  <r>
    <x v="26"/>
    <s v="G6 Technician"/>
    <x v="5"/>
    <x v="73"/>
    <n v="1"/>
  </r>
  <r>
    <x v="26"/>
    <s v="G6 Technician"/>
    <x v="5"/>
    <x v="74"/>
    <n v="1"/>
  </r>
  <r>
    <x v="26"/>
    <s v="G6 Technician"/>
    <x v="5"/>
    <x v="75"/>
    <n v="1"/>
  </r>
  <r>
    <x v="26"/>
    <s v="G6 Technician"/>
    <x v="5"/>
    <x v="76"/>
    <n v="0"/>
  </r>
  <r>
    <x v="26"/>
    <s v="G6 Technician"/>
    <x v="5"/>
    <x v="77"/>
    <n v="2"/>
  </r>
  <r>
    <x v="26"/>
    <s v="G6 Technician"/>
    <x v="5"/>
    <x v="78"/>
    <n v="1"/>
  </r>
  <r>
    <x v="26"/>
    <s v="G6 Technician"/>
    <x v="6"/>
    <x v="79"/>
    <n v="0"/>
  </r>
  <r>
    <x v="26"/>
    <s v="G6 Technician"/>
    <x v="6"/>
    <x v="80"/>
    <n v="2"/>
  </r>
  <r>
    <x v="26"/>
    <s v="G6 Technician"/>
    <x v="6"/>
    <x v="81"/>
    <n v="1"/>
  </r>
  <r>
    <x v="26"/>
    <s v="G6 Technician"/>
    <x v="6"/>
    <x v="82"/>
    <n v="1"/>
  </r>
  <r>
    <x v="26"/>
    <s v="G6 Technician"/>
    <x v="6"/>
    <x v="83"/>
    <n v="0"/>
  </r>
  <r>
    <x v="26"/>
    <s v="G6 Technician"/>
    <x v="6"/>
    <x v="84"/>
    <n v="0"/>
  </r>
  <r>
    <x v="26"/>
    <s v="G6 Technician"/>
    <x v="6"/>
    <x v="85"/>
    <n v="1"/>
  </r>
  <r>
    <x v="26"/>
    <s v="G6 Technician"/>
    <x v="6"/>
    <x v="86"/>
    <n v="1"/>
  </r>
  <r>
    <x v="26"/>
    <s v="G6 Technician"/>
    <x v="6"/>
    <x v="87"/>
    <n v="1"/>
  </r>
  <r>
    <x v="27"/>
    <s v="G8 System Support Officer"/>
    <x v="0"/>
    <x v="0"/>
    <n v="3"/>
  </r>
  <r>
    <x v="27"/>
    <s v="G8 System Support Officer"/>
    <x v="0"/>
    <x v="1"/>
    <n v="3"/>
  </r>
  <r>
    <x v="27"/>
    <s v="G8 System Support Officer"/>
    <x v="0"/>
    <x v="2"/>
    <n v="2"/>
  </r>
  <r>
    <x v="27"/>
    <s v="G8 System Support Officer"/>
    <x v="0"/>
    <x v="3"/>
    <n v="3"/>
  </r>
  <r>
    <x v="27"/>
    <s v="G8 System Support Officer"/>
    <x v="0"/>
    <x v="4"/>
    <n v="3"/>
  </r>
  <r>
    <x v="27"/>
    <s v="G8 System Support Officer"/>
    <x v="0"/>
    <x v="5"/>
    <n v="2"/>
  </r>
  <r>
    <x v="27"/>
    <s v="G8 System Support Officer"/>
    <x v="0"/>
    <x v="6"/>
    <n v="2"/>
  </r>
  <r>
    <x v="27"/>
    <s v="G8 System Support Officer"/>
    <x v="0"/>
    <x v="7"/>
    <n v="3"/>
  </r>
  <r>
    <x v="27"/>
    <s v="G8 System Support Officer"/>
    <x v="0"/>
    <x v="8"/>
    <n v="2"/>
  </r>
  <r>
    <x v="27"/>
    <s v="G8 System Support Officer"/>
    <x v="1"/>
    <x v="9"/>
    <n v="3"/>
  </r>
  <r>
    <x v="27"/>
    <s v="G8 System Support Officer"/>
    <x v="1"/>
    <x v="10"/>
    <n v="3"/>
  </r>
  <r>
    <x v="27"/>
    <s v="G8 System Support Officer"/>
    <x v="1"/>
    <x v="11"/>
    <n v="1"/>
  </r>
  <r>
    <x v="27"/>
    <s v="G8 System Support Officer"/>
    <x v="1"/>
    <x v="12"/>
    <n v="1"/>
  </r>
  <r>
    <x v="27"/>
    <s v="G8 System Support Officer"/>
    <x v="1"/>
    <x v="13"/>
    <n v="3"/>
  </r>
  <r>
    <x v="27"/>
    <s v="G8 System Support Officer"/>
    <x v="1"/>
    <x v="14"/>
    <n v="2"/>
  </r>
  <r>
    <x v="27"/>
    <s v="G8 System Support Officer"/>
    <x v="1"/>
    <x v="15"/>
    <n v="1"/>
  </r>
  <r>
    <x v="27"/>
    <s v="G8 System Support Officer"/>
    <x v="1"/>
    <x v="16"/>
    <n v="2"/>
  </r>
  <r>
    <x v="27"/>
    <s v="G8 System Support Officer"/>
    <x v="1"/>
    <x v="17"/>
    <n v="1"/>
  </r>
  <r>
    <x v="27"/>
    <s v="G8 System Support Officer"/>
    <x v="1"/>
    <x v="18"/>
    <n v="3"/>
  </r>
  <r>
    <x v="27"/>
    <s v="G8 System Support Officer"/>
    <x v="1"/>
    <x v="19"/>
    <n v="3"/>
  </r>
  <r>
    <x v="27"/>
    <s v="G8 System Support Officer"/>
    <x v="2"/>
    <x v="20"/>
    <n v="3"/>
  </r>
  <r>
    <x v="27"/>
    <s v="G8 System Support Officer"/>
    <x v="2"/>
    <x v="21"/>
    <n v="1"/>
  </r>
  <r>
    <x v="27"/>
    <s v="G8 System Support Officer"/>
    <x v="2"/>
    <x v="22"/>
    <n v="3"/>
  </r>
  <r>
    <x v="27"/>
    <s v="G8 System Support Officer"/>
    <x v="2"/>
    <x v="23"/>
    <n v="2"/>
  </r>
  <r>
    <x v="27"/>
    <s v="G8 System Support Officer"/>
    <x v="2"/>
    <x v="24"/>
    <n v="3"/>
  </r>
  <r>
    <x v="27"/>
    <s v="G8 System Support Officer"/>
    <x v="2"/>
    <x v="25"/>
    <n v="1"/>
  </r>
  <r>
    <x v="27"/>
    <s v="G8 System Support Officer"/>
    <x v="3"/>
    <x v="26"/>
    <n v="0"/>
  </r>
  <r>
    <x v="27"/>
    <s v="G8 System Support Officer"/>
    <x v="3"/>
    <x v="27"/>
    <n v="3"/>
  </r>
  <r>
    <x v="27"/>
    <s v="G8 System Support Officer"/>
    <x v="3"/>
    <x v="28"/>
    <n v="1"/>
  </r>
  <r>
    <x v="27"/>
    <s v="G8 System Support Officer"/>
    <x v="3"/>
    <x v="29"/>
    <n v="2"/>
  </r>
  <r>
    <x v="27"/>
    <s v="G8 System Support Officer"/>
    <x v="3"/>
    <x v="30"/>
    <n v="1"/>
  </r>
  <r>
    <x v="27"/>
    <s v="G8 System Support Officer"/>
    <x v="3"/>
    <x v="31"/>
    <n v="1"/>
  </r>
  <r>
    <x v="27"/>
    <s v="G8 System Support Officer"/>
    <x v="3"/>
    <x v="32"/>
    <n v="1"/>
  </r>
  <r>
    <x v="27"/>
    <s v="G8 System Support Officer"/>
    <x v="3"/>
    <x v="33"/>
    <n v="1"/>
  </r>
  <r>
    <x v="27"/>
    <s v="G8 System Support Officer"/>
    <x v="3"/>
    <x v="34"/>
    <n v="0"/>
  </r>
  <r>
    <x v="27"/>
    <s v="G8 System Support Officer"/>
    <x v="4"/>
    <x v="35"/>
    <n v="1"/>
  </r>
  <r>
    <x v="27"/>
    <s v="G8 System Support Officer"/>
    <x v="4"/>
    <x v="36"/>
    <n v="1"/>
  </r>
  <r>
    <x v="27"/>
    <s v="G8 System Support Officer"/>
    <x v="4"/>
    <x v="37"/>
    <n v="1"/>
  </r>
  <r>
    <x v="27"/>
    <s v="G8 System Support Officer"/>
    <x v="4"/>
    <x v="38"/>
    <n v="1"/>
  </r>
  <r>
    <x v="27"/>
    <s v="G8 System Support Officer"/>
    <x v="4"/>
    <x v="39"/>
    <n v="0"/>
  </r>
  <r>
    <x v="27"/>
    <s v="G8 System Support Officer"/>
    <x v="4"/>
    <x v="40"/>
    <n v="3"/>
  </r>
  <r>
    <x v="27"/>
    <s v="G8 System Support Officer"/>
    <x v="4"/>
    <x v="41"/>
    <n v="2"/>
  </r>
  <r>
    <x v="27"/>
    <s v="G8 System Support Officer"/>
    <x v="4"/>
    <x v="42"/>
    <n v="0"/>
  </r>
  <r>
    <x v="27"/>
    <s v="G8 System Support Officer"/>
    <x v="5"/>
    <x v="43"/>
    <n v="2"/>
  </r>
  <r>
    <x v="27"/>
    <s v="G8 System Support Officer"/>
    <x v="5"/>
    <x v="44"/>
    <n v="3"/>
  </r>
  <r>
    <x v="27"/>
    <s v="G8 System Support Officer"/>
    <x v="5"/>
    <x v="45"/>
    <n v="1"/>
  </r>
  <r>
    <x v="27"/>
    <s v="G8 System Support Officer"/>
    <x v="5"/>
    <x v="46"/>
    <n v="2"/>
  </r>
  <r>
    <x v="27"/>
    <s v="G8 System Support Officer"/>
    <x v="5"/>
    <x v="47"/>
    <n v="1"/>
  </r>
  <r>
    <x v="27"/>
    <s v="G8 System Support Officer"/>
    <x v="5"/>
    <x v="48"/>
    <n v="1"/>
  </r>
  <r>
    <x v="27"/>
    <s v="G8 System Support Officer"/>
    <x v="5"/>
    <x v="49"/>
    <n v="2"/>
  </r>
  <r>
    <x v="27"/>
    <s v="G8 System Support Officer"/>
    <x v="5"/>
    <x v="50"/>
    <n v="2"/>
  </r>
  <r>
    <x v="27"/>
    <s v="G8 System Support Officer"/>
    <x v="5"/>
    <x v="51"/>
    <n v="1"/>
  </r>
  <r>
    <x v="27"/>
    <s v="G8 System Support Officer"/>
    <x v="5"/>
    <x v="52"/>
    <n v="2"/>
  </r>
  <r>
    <x v="27"/>
    <s v="G8 System Support Officer"/>
    <x v="5"/>
    <x v="53"/>
    <n v="3"/>
  </r>
  <r>
    <x v="27"/>
    <s v="G8 System Support Officer"/>
    <x v="5"/>
    <x v="54"/>
    <n v="3"/>
  </r>
  <r>
    <x v="27"/>
    <s v="G8 System Support Officer"/>
    <x v="5"/>
    <x v="55"/>
    <n v="2"/>
  </r>
  <r>
    <x v="27"/>
    <s v="G8 System Support Officer"/>
    <x v="5"/>
    <x v="56"/>
    <n v="2"/>
  </r>
  <r>
    <x v="27"/>
    <s v="G8 System Support Officer"/>
    <x v="5"/>
    <x v="57"/>
    <n v="3"/>
  </r>
  <r>
    <x v="27"/>
    <s v="G8 System Support Officer"/>
    <x v="5"/>
    <x v="58"/>
    <n v="2"/>
  </r>
  <r>
    <x v="27"/>
    <s v="G8 System Support Officer"/>
    <x v="5"/>
    <x v="59"/>
    <n v="2"/>
  </r>
  <r>
    <x v="27"/>
    <s v="G8 System Support Officer"/>
    <x v="5"/>
    <x v="60"/>
    <n v="2"/>
  </r>
  <r>
    <x v="27"/>
    <s v="G8 System Support Officer"/>
    <x v="5"/>
    <x v="61"/>
    <n v="1"/>
  </r>
  <r>
    <x v="27"/>
    <s v="G8 System Support Officer"/>
    <x v="5"/>
    <x v="62"/>
    <n v="1"/>
  </r>
  <r>
    <x v="27"/>
    <s v="G8 System Support Officer"/>
    <x v="5"/>
    <x v="63"/>
    <n v="1"/>
  </r>
  <r>
    <x v="27"/>
    <s v="G8 System Support Officer"/>
    <x v="5"/>
    <x v="64"/>
    <n v="3"/>
  </r>
  <r>
    <x v="27"/>
    <s v="G8 System Support Officer"/>
    <x v="5"/>
    <x v="65"/>
    <n v="2"/>
  </r>
  <r>
    <x v="27"/>
    <s v="G8 System Support Officer"/>
    <x v="5"/>
    <x v="66"/>
    <n v="0"/>
  </r>
  <r>
    <x v="27"/>
    <s v="G8 System Support Officer"/>
    <x v="5"/>
    <x v="67"/>
    <n v="3"/>
  </r>
  <r>
    <x v="27"/>
    <s v="G8 System Support Officer"/>
    <x v="5"/>
    <x v="68"/>
    <n v="1"/>
  </r>
  <r>
    <x v="27"/>
    <s v="G8 System Support Officer"/>
    <x v="5"/>
    <x v="69"/>
    <n v="2"/>
  </r>
  <r>
    <x v="27"/>
    <s v="G8 System Support Officer"/>
    <x v="5"/>
    <x v="70"/>
    <n v="1"/>
  </r>
  <r>
    <x v="27"/>
    <s v="G8 System Support Officer"/>
    <x v="5"/>
    <x v="71"/>
    <n v="3"/>
  </r>
  <r>
    <x v="27"/>
    <s v="G8 System Support Officer"/>
    <x v="5"/>
    <x v="72"/>
    <n v="3"/>
  </r>
  <r>
    <x v="27"/>
    <s v="G8 System Support Officer"/>
    <x v="5"/>
    <x v="73"/>
    <n v="2"/>
  </r>
  <r>
    <x v="27"/>
    <s v="G8 System Support Officer"/>
    <x v="5"/>
    <x v="74"/>
    <n v="4"/>
  </r>
  <r>
    <x v="27"/>
    <s v="G8 System Support Officer"/>
    <x v="5"/>
    <x v="75"/>
    <n v="2"/>
  </r>
  <r>
    <x v="27"/>
    <s v="G8 System Support Officer"/>
    <x v="5"/>
    <x v="76"/>
    <n v="3"/>
  </r>
  <r>
    <x v="27"/>
    <s v="G8 System Support Officer"/>
    <x v="5"/>
    <x v="77"/>
    <n v="2"/>
  </r>
  <r>
    <x v="27"/>
    <s v="G8 System Support Officer"/>
    <x v="5"/>
    <x v="78"/>
    <n v="1"/>
  </r>
  <r>
    <x v="27"/>
    <s v="G8 System Support Officer"/>
    <x v="6"/>
    <x v="79"/>
    <n v="1"/>
  </r>
  <r>
    <x v="27"/>
    <s v="G8 System Support Officer"/>
    <x v="6"/>
    <x v="80"/>
    <n v="0"/>
  </r>
  <r>
    <x v="27"/>
    <s v="G8 System Support Officer"/>
    <x v="6"/>
    <x v="81"/>
    <n v="1"/>
  </r>
  <r>
    <x v="27"/>
    <s v="G8 System Support Officer"/>
    <x v="6"/>
    <x v="82"/>
    <n v="0"/>
  </r>
  <r>
    <x v="27"/>
    <s v="G8 System Support Officer"/>
    <x v="6"/>
    <x v="83"/>
    <n v="2"/>
  </r>
  <r>
    <x v="27"/>
    <s v="G8 System Support Officer"/>
    <x v="6"/>
    <x v="84"/>
    <n v="1"/>
  </r>
  <r>
    <x v="27"/>
    <s v="G8 System Support Officer"/>
    <x v="6"/>
    <x v="85"/>
    <n v="2"/>
  </r>
  <r>
    <x v="27"/>
    <s v="G8 System Support Officer"/>
    <x v="6"/>
    <x v="86"/>
    <n v="1"/>
  </r>
  <r>
    <x v="27"/>
    <s v="G8 System Support Officer"/>
    <x v="6"/>
    <x v="87"/>
    <n v="1"/>
  </r>
  <r>
    <x v="28"/>
    <s v="G6 Technician"/>
    <x v="0"/>
    <x v="0"/>
    <n v="2"/>
  </r>
  <r>
    <x v="28"/>
    <s v="G6 Technician"/>
    <x v="0"/>
    <x v="1"/>
    <n v="2"/>
  </r>
  <r>
    <x v="28"/>
    <s v="G6 Technician"/>
    <x v="0"/>
    <x v="2"/>
    <n v="2"/>
  </r>
  <r>
    <x v="28"/>
    <s v="G6 Technician"/>
    <x v="0"/>
    <x v="3"/>
    <n v="2"/>
  </r>
  <r>
    <x v="28"/>
    <s v="G6 Technician"/>
    <x v="0"/>
    <x v="4"/>
    <n v="2"/>
  </r>
  <r>
    <x v="28"/>
    <s v="G6 Technician"/>
    <x v="0"/>
    <x v="5"/>
    <n v="2"/>
  </r>
  <r>
    <x v="28"/>
    <s v="G6 Technician"/>
    <x v="0"/>
    <x v="6"/>
    <n v="1"/>
  </r>
  <r>
    <x v="28"/>
    <s v="G6 Technician"/>
    <x v="0"/>
    <x v="7"/>
    <n v="1"/>
  </r>
  <r>
    <x v="28"/>
    <s v="G6 Technician"/>
    <x v="0"/>
    <x v="8"/>
    <n v="1"/>
  </r>
  <r>
    <x v="28"/>
    <s v="G6 Technician"/>
    <x v="1"/>
    <x v="9"/>
    <n v="1"/>
  </r>
  <r>
    <x v="28"/>
    <s v="G6 Technician"/>
    <x v="1"/>
    <x v="10"/>
    <n v="1"/>
  </r>
  <r>
    <x v="28"/>
    <s v="G6 Technician"/>
    <x v="1"/>
    <x v="11"/>
    <n v="1"/>
  </r>
  <r>
    <x v="28"/>
    <s v="G6 Technician"/>
    <x v="1"/>
    <x v="12"/>
    <n v="1"/>
  </r>
  <r>
    <x v="28"/>
    <s v="G6 Technician"/>
    <x v="1"/>
    <x v="13"/>
    <n v="1"/>
  </r>
  <r>
    <x v="28"/>
    <s v="G6 Technician"/>
    <x v="1"/>
    <x v="14"/>
    <n v="1"/>
  </r>
  <r>
    <x v="28"/>
    <s v="G6 Technician"/>
    <x v="1"/>
    <x v="15"/>
    <n v="1"/>
  </r>
  <r>
    <x v="28"/>
    <s v="G6 Technician"/>
    <x v="1"/>
    <x v="16"/>
    <n v="0"/>
  </r>
  <r>
    <x v="28"/>
    <s v="G6 Technician"/>
    <x v="1"/>
    <x v="17"/>
    <n v="0"/>
  </r>
  <r>
    <x v="28"/>
    <s v="G6 Technician"/>
    <x v="1"/>
    <x v="18"/>
    <n v="0"/>
  </r>
  <r>
    <x v="28"/>
    <s v="G6 Technician"/>
    <x v="1"/>
    <x v="19"/>
    <n v="1"/>
  </r>
  <r>
    <x v="28"/>
    <s v="G6 Technician"/>
    <x v="2"/>
    <x v="20"/>
    <n v="1"/>
  </r>
  <r>
    <x v="28"/>
    <s v="G6 Technician"/>
    <x v="2"/>
    <x v="21"/>
    <n v="0"/>
  </r>
  <r>
    <x v="28"/>
    <s v="G6 Technician"/>
    <x v="2"/>
    <x v="22"/>
    <n v="1"/>
  </r>
  <r>
    <x v="28"/>
    <s v="G6 Technician"/>
    <x v="2"/>
    <x v="23"/>
    <n v="0"/>
  </r>
  <r>
    <x v="28"/>
    <s v="G6 Technician"/>
    <x v="2"/>
    <x v="24"/>
    <n v="2"/>
  </r>
  <r>
    <x v="28"/>
    <s v="G6 Technician"/>
    <x v="2"/>
    <x v="25"/>
    <n v="0"/>
  </r>
  <r>
    <x v="28"/>
    <s v="G6 Technician"/>
    <x v="3"/>
    <x v="26"/>
    <n v="1"/>
  </r>
  <r>
    <x v="28"/>
    <s v="G6 Technician"/>
    <x v="3"/>
    <x v="27"/>
    <n v="1"/>
  </r>
  <r>
    <x v="28"/>
    <s v="G6 Technician"/>
    <x v="3"/>
    <x v="28"/>
    <n v="0"/>
  </r>
  <r>
    <x v="28"/>
    <s v="G6 Technician"/>
    <x v="3"/>
    <x v="29"/>
    <n v="0"/>
  </r>
  <r>
    <x v="28"/>
    <s v="G6 Technician"/>
    <x v="3"/>
    <x v="30"/>
    <n v="0"/>
  </r>
  <r>
    <x v="28"/>
    <s v="G6 Technician"/>
    <x v="3"/>
    <x v="31"/>
    <n v="0"/>
  </r>
  <r>
    <x v="28"/>
    <s v="G6 Technician"/>
    <x v="3"/>
    <x v="32"/>
    <n v="1"/>
  </r>
  <r>
    <x v="28"/>
    <s v="G6 Technician"/>
    <x v="3"/>
    <x v="33"/>
    <n v="0"/>
  </r>
  <r>
    <x v="28"/>
    <s v="G6 Technician"/>
    <x v="3"/>
    <x v="34"/>
    <n v="0"/>
  </r>
  <r>
    <x v="28"/>
    <s v="G6 Technician"/>
    <x v="4"/>
    <x v="35"/>
    <n v="1"/>
  </r>
  <r>
    <x v="28"/>
    <s v="G6 Technician"/>
    <x v="4"/>
    <x v="36"/>
    <n v="1"/>
  </r>
  <r>
    <x v="28"/>
    <s v="G6 Technician"/>
    <x v="4"/>
    <x v="37"/>
    <n v="0"/>
  </r>
  <r>
    <x v="28"/>
    <s v="G6 Technician"/>
    <x v="4"/>
    <x v="38"/>
    <n v="0"/>
  </r>
  <r>
    <x v="28"/>
    <s v="G6 Technician"/>
    <x v="4"/>
    <x v="39"/>
    <n v="0"/>
  </r>
  <r>
    <x v="28"/>
    <s v="G6 Technician"/>
    <x v="4"/>
    <x v="40"/>
    <n v="1"/>
  </r>
  <r>
    <x v="28"/>
    <s v="G6 Technician"/>
    <x v="4"/>
    <x v="41"/>
    <n v="1"/>
  </r>
  <r>
    <x v="28"/>
    <s v="G6 Technician"/>
    <x v="4"/>
    <x v="42"/>
    <n v="1"/>
  </r>
  <r>
    <x v="28"/>
    <s v="G6 Technician"/>
    <x v="5"/>
    <x v="43"/>
    <n v="1"/>
  </r>
  <r>
    <x v="28"/>
    <s v="G6 Technician"/>
    <x v="5"/>
    <x v="44"/>
    <n v="2"/>
  </r>
  <r>
    <x v="28"/>
    <s v="G6 Technician"/>
    <x v="5"/>
    <x v="45"/>
    <n v="2"/>
  </r>
  <r>
    <x v="28"/>
    <s v="G6 Technician"/>
    <x v="5"/>
    <x v="46"/>
    <n v="2"/>
  </r>
  <r>
    <x v="28"/>
    <s v="G6 Technician"/>
    <x v="5"/>
    <x v="47"/>
    <n v="2"/>
  </r>
  <r>
    <x v="28"/>
    <s v="G6 Technician"/>
    <x v="5"/>
    <x v="48"/>
    <n v="0"/>
  </r>
  <r>
    <x v="28"/>
    <s v="G6 Technician"/>
    <x v="5"/>
    <x v="49"/>
    <n v="1"/>
  </r>
  <r>
    <x v="28"/>
    <s v="G6 Technician"/>
    <x v="5"/>
    <x v="50"/>
    <n v="3"/>
  </r>
  <r>
    <x v="28"/>
    <s v="G6 Technician"/>
    <x v="5"/>
    <x v="51"/>
    <n v="2"/>
  </r>
  <r>
    <x v="28"/>
    <s v="G6 Technician"/>
    <x v="5"/>
    <x v="52"/>
    <n v="0"/>
  </r>
  <r>
    <x v="28"/>
    <s v="G6 Technician"/>
    <x v="5"/>
    <x v="53"/>
    <n v="1"/>
  </r>
  <r>
    <x v="28"/>
    <s v="G6 Technician"/>
    <x v="5"/>
    <x v="54"/>
    <n v="1"/>
  </r>
  <r>
    <x v="28"/>
    <s v="G6 Technician"/>
    <x v="5"/>
    <x v="55"/>
    <n v="1"/>
  </r>
  <r>
    <x v="28"/>
    <s v="G6 Technician"/>
    <x v="5"/>
    <x v="56"/>
    <n v="1"/>
  </r>
  <r>
    <x v="28"/>
    <s v="G6 Technician"/>
    <x v="5"/>
    <x v="57"/>
    <n v="1"/>
  </r>
  <r>
    <x v="28"/>
    <s v="G6 Technician"/>
    <x v="5"/>
    <x v="58"/>
    <n v="2"/>
  </r>
  <r>
    <x v="28"/>
    <s v="G6 Technician"/>
    <x v="5"/>
    <x v="59"/>
    <n v="0"/>
  </r>
  <r>
    <x v="28"/>
    <s v="G6 Technician"/>
    <x v="5"/>
    <x v="60"/>
    <n v="2"/>
  </r>
  <r>
    <x v="28"/>
    <s v="G6 Technician"/>
    <x v="5"/>
    <x v="61"/>
    <n v="2"/>
  </r>
  <r>
    <x v="28"/>
    <s v="G6 Technician"/>
    <x v="5"/>
    <x v="62"/>
    <n v="0"/>
  </r>
  <r>
    <x v="28"/>
    <s v="G6 Technician"/>
    <x v="5"/>
    <x v="63"/>
    <n v="0"/>
  </r>
  <r>
    <x v="28"/>
    <s v="G6 Technician"/>
    <x v="5"/>
    <x v="64"/>
    <n v="2"/>
  </r>
  <r>
    <x v="28"/>
    <s v="G6 Technician"/>
    <x v="5"/>
    <x v="65"/>
    <n v="1"/>
  </r>
  <r>
    <x v="28"/>
    <s v="G6 Technician"/>
    <x v="5"/>
    <x v="66"/>
    <n v="0"/>
  </r>
  <r>
    <x v="28"/>
    <s v="G6 Technician"/>
    <x v="5"/>
    <x v="67"/>
    <n v="2"/>
  </r>
  <r>
    <x v="28"/>
    <s v="G6 Technician"/>
    <x v="5"/>
    <x v="68"/>
    <n v="1"/>
  </r>
  <r>
    <x v="28"/>
    <s v="G6 Technician"/>
    <x v="5"/>
    <x v="69"/>
    <n v="1"/>
  </r>
  <r>
    <x v="28"/>
    <s v="G6 Technician"/>
    <x v="5"/>
    <x v="70"/>
    <n v="0"/>
  </r>
  <r>
    <x v="28"/>
    <s v="G6 Technician"/>
    <x v="5"/>
    <x v="71"/>
    <n v="2"/>
  </r>
  <r>
    <x v="28"/>
    <s v="G6 Technician"/>
    <x v="5"/>
    <x v="72"/>
    <n v="2"/>
  </r>
  <r>
    <x v="28"/>
    <s v="G6 Technician"/>
    <x v="5"/>
    <x v="73"/>
    <n v="0"/>
  </r>
  <r>
    <x v="28"/>
    <s v="G6 Technician"/>
    <x v="5"/>
    <x v="74"/>
    <n v="3"/>
  </r>
  <r>
    <x v="28"/>
    <s v="G6 Technician"/>
    <x v="5"/>
    <x v="75"/>
    <n v="0"/>
  </r>
  <r>
    <x v="28"/>
    <s v="G6 Technician"/>
    <x v="5"/>
    <x v="76"/>
    <n v="0"/>
  </r>
  <r>
    <x v="28"/>
    <s v="G6 Technician"/>
    <x v="5"/>
    <x v="77"/>
    <n v="2"/>
  </r>
  <r>
    <x v="28"/>
    <s v="G6 Technician"/>
    <x v="5"/>
    <x v="78"/>
    <n v="1"/>
  </r>
  <r>
    <x v="28"/>
    <s v="G6 Technician"/>
    <x v="6"/>
    <x v="79"/>
    <n v="0"/>
  </r>
  <r>
    <x v="28"/>
    <s v="G6 Technician"/>
    <x v="6"/>
    <x v="80"/>
    <n v="0"/>
  </r>
  <r>
    <x v="28"/>
    <s v="G6 Technician"/>
    <x v="6"/>
    <x v="81"/>
    <n v="0"/>
  </r>
  <r>
    <x v="28"/>
    <s v="G6 Technician"/>
    <x v="6"/>
    <x v="82"/>
    <n v="0"/>
  </r>
  <r>
    <x v="28"/>
    <s v="G6 Technician"/>
    <x v="6"/>
    <x v="83"/>
    <n v="0"/>
  </r>
  <r>
    <x v="28"/>
    <s v="G6 Technician"/>
    <x v="6"/>
    <x v="84"/>
    <n v="0"/>
  </r>
  <r>
    <x v="28"/>
    <s v="G6 Technician"/>
    <x v="6"/>
    <x v="85"/>
    <n v="1"/>
  </r>
  <r>
    <x v="28"/>
    <s v="G6 Technician"/>
    <x v="6"/>
    <x v="86"/>
    <n v="1"/>
  </r>
  <r>
    <x v="28"/>
    <s v="G6 Technician"/>
    <x v="6"/>
    <x v="8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79CE0-00FF-4EC8-A316-E6CDD1F07C2B}" name="PivotTable11" cacheId="2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L3:R21" firstHeaderRow="0" firstDataRow="1" firstDataCol="1"/>
  <pivotFields count="8">
    <pivotField axis="axisRow" showAll="0">
      <items count="8">
        <item h="1" x="6"/>
        <item x="0"/>
        <item h="1" x="3"/>
        <item h="1" x="4"/>
        <item x="5"/>
        <item h="1" x="1"/>
        <item h="1" x="2"/>
        <item t="default"/>
      </items>
    </pivotField>
    <pivotField axis="axisRow" showAll="0">
      <items count="89">
        <item x="20"/>
        <item x="21"/>
        <item x="0"/>
        <item x="54"/>
        <item x="56"/>
        <item x="55"/>
        <item x="9"/>
        <item x="79"/>
        <item x="80"/>
        <item x="81"/>
        <item x="82"/>
        <item x="83"/>
        <item x="84"/>
        <item x="10"/>
        <item x="6"/>
        <item x="64"/>
        <item x="11"/>
        <item x="12"/>
        <item x="57"/>
        <item x="2"/>
        <item x="22"/>
        <item x="23"/>
        <item x="24"/>
        <item x="25"/>
        <item x="26"/>
        <item x="27"/>
        <item x="28"/>
        <item x="13"/>
        <item x="73"/>
        <item x="52"/>
        <item x="58"/>
        <item x="65"/>
        <item x="59"/>
        <item x="29"/>
        <item x="30"/>
        <item x="1"/>
        <item x="32"/>
        <item x="33"/>
        <item x="7"/>
        <item x="34"/>
        <item x="50"/>
        <item x="14"/>
        <item x="15"/>
        <item x="36"/>
        <item x="35"/>
        <item x="37"/>
        <item x="66"/>
        <item x="67"/>
        <item x="68"/>
        <item x="74"/>
        <item x="69"/>
        <item x="4"/>
        <item x="3"/>
        <item x="70"/>
        <item x="85"/>
        <item x="38"/>
        <item x="86"/>
        <item x="87"/>
        <item x="39"/>
        <item x="16"/>
        <item x="40"/>
        <item x="31"/>
        <item x="60"/>
        <item x="75"/>
        <item x="17"/>
        <item x="5"/>
        <item x="8"/>
        <item x="41"/>
        <item x="42"/>
        <item x="43"/>
        <item x="61"/>
        <item x="51"/>
        <item x="18"/>
        <item x="19"/>
        <item x="71"/>
        <item x="62"/>
        <item x="63"/>
        <item x="44"/>
        <item x="45"/>
        <item x="46"/>
        <item x="47"/>
        <item x="48"/>
        <item x="53"/>
        <item x="49"/>
        <item x="76"/>
        <item x="77"/>
        <item x="78"/>
        <item x="7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18">
    <i>
      <x v="1"/>
    </i>
    <i r="1">
      <x v="2"/>
    </i>
    <i r="1">
      <x v="14"/>
    </i>
    <i r="1">
      <x v="19"/>
    </i>
    <i r="1">
      <x v="35"/>
    </i>
    <i r="1">
      <x v="38"/>
    </i>
    <i r="1">
      <x v="51"/>
    </i>
    <i r="1">
      <x v="52"/>
    </i>
    <i r="1">
      <x v="65"/>
    </i>
    <i r="1">
      <x v="66"/>
    </i>
    <i>
      <x v="4"/>
    </i>
    <i r="1">
      <x v="28"/>
    </i>
    <i r="1">
      <x v="49"/>
    </i>
    <i r="1">
      <x v="63"/>
    </i>
    <i r="1">
      <x v="84"/>
    </i>
    <i r="1">
      <x v="85"/>
    </i>
    <i r="1">
      <x v="8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N/A" fld="7" baseField="0" baseItem="0"/>
    <dataField name="Sum of No Knowledge" fld="6" baseField="0" baseItem="0"/>
    <dataField name="Sum of Awareness" fld="5" baseField="0" baseItem="0"/>
    <dataField name="Sum of Working" fld="4" baseField="0" baseItem="0"/>
    <dataField name="Sum of Practitioner" fld="3" baseField="0" baseItem="0"/>
    <dataField name="Sum of Expert" fld="2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DA95E-0DC4-4927-B328-B443B2D1E695}" name="PivotTable3" cacheId="2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I79" firstHeaderRow="0" firstDataRow="1" firstDataCol="1"/>
  <pivotFields count="12">
    <pivotField axis="axisRow" showAll="0">
      <items count="8">
        <item h="1" x="6"/>
        <item x="0"/>
        <item x="3"/>
        <item h="1" x="4"/>
        <item x="5"/>
        <item x="1"/>
        <item x="2"/>
        <item t="default"/>
      </items>
    </pivotField>
    <pivotField axis="axisRow" showAll="0">
      <items count="89">
        <item x="20"/>
        <item x="21"/>
        <item x="0"/>
        <item x="54"/>
        <item x="56"/>
        <item x="55"/>
        <item x="9"/>
        <item x="79"/>
        <item x="80"/>
        <item x="81"/>
        <item x="82"/>
        <item x="83"/>
        <item x="84"/>
        <item x="10"/>
        <item x="6"/>
        <item x="64"/>
        <item x="11"/>
        <item x="12"/>
        <item x="57"/>
        <item x="2"/>
        <item x="22"/>
        <item x="23"/>
        <item x="24"/>
        <item x="25"/>
        <item x="26"/>
        <item x="27"/>
        <item x="28"/>
        <item x="13"/>
        <item x="73"/>
        <item x="52"/>
        <item x="58"/>
        <item x="65"/>
        <item x="59"/>
        <item x="29"/>
        <item x="30"/>
        <item x="1"/>
        <item x="32"/>
        <item x="33"/>
        <item x="7"/>
        <item x="34"/>
        <item x="50"/>
        <item x="14"/>
        <item x="15"/>
        <item x="36"/>
        <item x="35"/>
        <item x="37"/>
        <item x="66"/>
        <item x="67"/>
        <item x="68"/>
        <item x="74"/>
        <item x="69"/>
        <item x="4"/>
        <item x="3"/>
        <item x="70"/>
        <item x="85"/>
        <item x="38"/>
        <item x="86"/>
        <item x="87"/>
        <item x="39"/>
        <item x="16"/>
        <item x="40"/>
        <item x="31"/>
        <item x="60"/>
        <item x="75"/>
        <item x="17"/>
        <item x="5"/>
        <item x="8"/>
        <item x="41"/>
        <item x="42"/>
        <item x="43"/>
        <item x="61"/>
        <item x="51"/>
        <item x="18"/>
        <item x="19"/>
        <item x="71"/>
        <item x="62"/>
        <item x="63"/>
        <item x="44"/>
        <item x="45"/>
        <item x="46"/>
        <item x="47"/>
        <item x="48"/>
        <item x="53"/>
        <item x="49"/>
        <item x="76"/>
        <item x="77"/>
        <item x="78"/>
        <item x="7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2">
    <field x="0"/>
    <field x="1"/>
  </rowFields>
  <rowItems count="76">
    <i>
      <x v="1"/>
    </i>
    <i r="1">
      <x v="2"/>
    </i>
    <i r="1">
      <x v="14"/>
    </i>
    <i r="1">
      <x v="19"/>
    </i>
    <i r="1">
      <x v="35"/>
    </i>
    <i r="1">
      <x v="38"/>
    </i>
    <i r="1">
      <x v="51"/>
    </i>
    <i r="1">
      <x v="52"/>
    </i>
    <i r="1">
      <x v="65"/>
    </i>
    <i r="1">
      <x v="66"/>
    </i>
    <i>
      <x v="2"/>
    </i>
    <i r="1">
      <x v="4"/>
    </i>
    <i r="1">
      <x v="18"/>
    </i>
    <i r="1">
      <x v="30"/>
    </i>
    <i r="1">
      <x v="32"/>
    </i>
    <i r="1">
      <x v="62"/>
    </i>
    <i r="1">
      <x v="70"/>
    </i>
    <i r="1">
      <x v="75"/>
    </i>
    <i r="1">
      <x v="76"/>
    </i>
    <i>
      <x v="4"/>
    </i>
    <i r="1">
      <x v="28"/>
    </i>
    <i r="1">
      <x v="49"/>
    </i>
    <i r="1">
      <x v="63"/>
    </i>
    <i r="1">
      <x v="84"/>
    </i>
    <i r="1">
      <x v="85"/>
    </i>
    <i r="1">
      <x v="86"/>
    </i>
    <i>
      <x v="5"/>
    </i>
    <i r="1">
      <x v="6"/>
    </i>
    <i r="1">
      <x v="13"/>
    </i>
    <i r="1">
      <x v="16"/>
    </i>
    <i r="1">
      <x v="17"/>
    </i>
    <i r="1">
      <x v="27"/>
    </i>
    <i>
      <x v="6"/>
    </i>
    <i r="1">
      <x/>
    </i>
    <i r="1">
      <x v="1"/>
    </i>
    <i r="1">
      <x v="3"/>
    </i>
    <i r="1">
      <x v="5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3"/>
    </i>
    <i r="1">
      <x v="34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55"/>
    </i>
    <i r="1">
      <x v="58"/>
    </i>
    <i r="1">
      <x v="59"/>
    </i>
    <i r="1">
      <x v="60"/>
    </i>
    <i r="1">
      <x v="61"/>
    </i>
    <i r="1">
      <x v="64"/>
    </i>
    <i r="1">
      <x v="67"/>
    </i>
    <i r="1">
      <x v="68"/>
    </i>
    <i r="1">
      <x v="69"/>
    </i>
    <i r="1">
      <x v="71"/>
    </i>
    <i r="1">
      <x v="72"/>
    </i>
    <i r="1">
      <x v="73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4 points deficit" fld="2" baseField="0" baseItem="0"/>
    <dataField name="Sum of 3 points deficit" fld="3" baseField="0" baseItem="0"/>
    <dataField name="Sum of 2 points deficit" fld="4" baseField="0" baseItem="0"/>
    <dataField name="Sum of 1 points deficit" fld="5" baseField="0" baseItem="0"/>
    <dataField name="Sum of Required level" fld="6" baseField="0" baseItem="0"/>
    <dataField name="Sum of 1 points surplus" fld="7" baseField="0" baseItem="0"/>
    <dataField name="Sum of 2 points surplus" fld="8" baseField="0" baseItem="0"/>
    <dataField name="Sum of 3 points surplus" fld="9" baseField="0" baseItem="0"/>
  </dataFields>
  <formats count="4">
    <format dxfId="319">
      <pivotArea collapsedLevelsAreSubtotals="1" fieldPosition="0">
        <references count="2">
          <reference field="0" count="0" selected="0"/>
          <reference field="1" count="12">
            <x v="0"/>
            <x v="1"/>
            <x v="3"/>
            <x v="5"/>
            <x v="20"/>
            <x v="21"/>
            <x v="22"/>
            <x v="23"/>
            <x v="24"/>
            <x v="25"/>
            <x v="26"/>
            <x v="29"/>
          </reference>
        </references>
      </pivotArea>
    </format>
    <format dxfId="320">
      <pivotArea collapsedLevelsAreSubtotals="1" fieldPosition="0">
        <references count="1">
          <reference field="0" count="0"/>
        </references>
      </pivotArea>
    </format>
    <format dxfId="321">
      <pivotArea outline="0" collapsedLevelsAreSubtotals="1" fieldPosition="0"/>
    </format>
    <format dxfId="322">
      <pivotArea dataOnly="0" labelOnly="1" outline="0" fieldPosition="0">
        <references count="1">
          <reference field="4294967294" count="6">
            <x v="1"/>
            <x v="2"/>
            <x v="3"/>
            <x v="5"/>
            <x v="6"/>
            <x v="7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4B482-F4F7-4777-BC9B-4EBD5ECCF619}" name="PivotTable2" cacheId="27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 colHeaderCaption="Name">
  <location ref="B2:AG14" firstHeaderRow="1" firstDataRow="2" firstDataCol="2"/>
  <pivotFields count="5">
    <pivotField axis="axisCol" compact="0" subtotalTop="0" showAll="0">
      <items count="31">
        <item x="1"/>
        <item x="2"/>
        <item x="4"/>
        <item x="5"/>
        <item x="7"/>
        <item x="9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29"/>
        <item x="8"/>
        <item x="13"/>
        <item x="10"/>
        <item x="6"/>
        <item x="3"/>
        <item x="0"/>
        <item t="default"/>
      </items>
    </pivotField>
    <pivotField compact="0" subtotalTop="0" showAll="0"/>
    <pivotField axis="axisRow" compact="0" subtotalTop="0" showAll="0" sortType="descending">
      <items count="8">
        <item x="0"/>
        <item h="1" x="4"/>
        <item h="1" x="3"/>
        <item h="1" x="1"/>
        <item h="1" x="2"/>
        <item h="1"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ubtotalTop="0" showAll="0" sortType="descending">
      <items count="89">
        <item x="43"/>
        <item x="44"/>
        <item x="0"/>
        <item x="35"/>
        <item x="9"/>
        <item x="79"/>
        <item x="80"/>
        <item x="81"/>
        <item x="82"/>
        <item x="83"/>
        <item x="84"/>
        <item x="10"/>
        <item x="1"/>
        <item x="26"/>
        <item x="11"/>
        <item x="12"/>
        <item x="36"/>
        <item x="2"/>
        <item x="45"/>
        <item x="46"/>
        <item x="47"/>
        <item x="48"/>
        <item x="49"/>
        <item x="50"/>
        <item x="51"/>
        <item x="13"/>
        <item x="20"/>
        <item x="75"/>
        <item x="37"/>
        <item x="27"/>
        <item x="38"/>
        <item x="52"/>
        <item x="53"/>
        <item x="3"/>
        <item x="55"/>
        <item x="56"/>
        <item x="4"/>
        <item x="57"/>
        <item x="73"/>
        <item x="14"/>
        <item x="15"/>
        <item x="59"/>
        <item x="58"/>
        <item x="60"/>
        <item x="28"/>
        <item x="29"/>
        <item x="30"/>
        <item x="21"/>
        <item x="31"/>
        <item x="5"/>
        <item x="6"/>
        <item x="32"/>
        <item x="85"/>
        <item x="61"/>
        <item x="86"/>
        <item x="87"/>
        <item x="62"/>
        <item x="16"/>
        <item x="63"/>
        <item x="54"/>
        <item x="39"/>
        <item x="22"/>
        <item x="17"/>
        <item x="7"/>
        <item x="8"/>
        <item x="64"/>
        <item x="65"/>
        <item x="66"/>
        <item x="40"/>
        <item x="74"/>
        <item x="18"/>
        <item x="19"/>
        <item x="33"/>
        <item x="41"/>
        <item x="42"/>
        <item x="67"/>
        <item x="68"/>
        <item x="69"/>
        <item x="70"/>
        <item x="71"/>
        <item x="76"/>
        <item x="72"/>
        <item x="23"/>
        <item x="24"/>
        <item x="25"/>
        <item x="34"/>
        <item x="77"/>
        <item x="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ubtotalTop="0" showAll="0"/>
  </pivotFields>
  <rowFields count="2">
    <field x="2"/>
    <field x="3"/>
  </rowFields>
  <rowItems count="11">
    <i>
      <x/>
    </i>
    <i r="1">
      <x v="33"/>
    </i>
    <i r="1">
      <x v="17"/>
    </i>
    <i r="1">
      <x v="49"/>
    </i>
    <i r="1">
      <x v="50"/>
    </i>
    <i r="1">
      <x v="63"/>
    </i>
    <i r="1">
      <x v="2"/>
    </i>
    <i r="1">
      <x v="12"/>
    </i>
    <i r="1">
      <x v="36"/>
    </i>
    <i r="1">
      <x v="64"/>
    </i>
    <i t="default">
      <x/>
    </i>
  </rowItems>
  <colFields count="1">
    <field x="0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Actual" fld="4" baseField="0" baseItem="0"/>
  </dataFields>
  <formats count="55">
    <format dxfId="264">
      <pivotArea dataOnly="0" labelOnly="1" fieldPosition="0">
        <references count="1">
          <reference field="0" count="0"/>
        </references>
      </pivotArea>
    </format>
    <format dxfId="265">
      <pivotArea dataOnly="0" labelOnly="1" grandCol="1" outline="0" fieldPosition="0"/>
    </format>
    <format dxfId="266">
      <pivotArea dataOnly="0" labelOnly="1" fieldPosition="0">
        <references count="1">
          <reference field="0" count="0"/>
        </references>
      </pivotArea>
    </format>
    <format dxfId="267">
      <pivotArea dataOnly="0" labelOnly="1" grandCol="1" outline="0" fieldPosition="0"/>
    </format>
    <format dxfId="268">
      <pivotArea dataOnly="0" labelOnly="1" fieldPosition="0">
        <references count="1">
          <reference field="0" count="0"/>
        </references>
      </pivotArea>
    </format>
    <format dxfId="269">
      <pivotArea dataOnly="0" labelOnly="1" grandCol="1" outline="0" fieldPosition="0"/>
    </format>
    <format dxfId="270">
      <pivotArea dataOnly="0" labelOnly="1" fieldPosition="0">
        <references count="1">
          <reference field="0" count="0"/>
        </references>
      </pivotArea>
    </format>
    <format dxfId="271">
      <pivotArea dataOnly="0" labelOnly="1" grandCol="1" outline="0" fieldPosition="0"/>
    </format>
    <format dxfId="272">
      <pivotArea outline="0" collapsedLevelsAreSubtotals="1" fieldPosition="0"/>
    </format>
    <format dxfId="273">
      <pivotArea outline="0" collapsedLevelsAreSubtotals="1" fieldPosition="0"/>
    </format>
    <format dxfId="274">
      <pivotArea type="all" dataOnly="0" outline="0" fieldPosition="0"/>
    </format>
    <format dxfId="275">
      <pivotArea type="origin" dataOnly="0" labelOnly="1" outline="0" fieldPosition="0"/>
    </format>
    <format dxfId="276">
      <pivotArea field="0" type="button" dataOnly="0" labelOnly="1" outline="0" axis="axisCol" fieldPosition="0"/>
    </format>
    <format dxfId="277">
      <pivotArea type="topRight" dataOnly="0" labelOnly="1" outline="0" fieldPosition="0"/>
    </format>
    <format dxfId="278">
      <pivotArea type="topRight" dataOnly="0" labelOnly="1" outline="0" fieldPosition="0"/>
    </format>
    <format dxfId="279">
      <pivotArea field="0" type="button" dataOnly="0" labelOnly="1" outline="0" axis="axisCol" fieldPosition="0"/>
    </format>
    <format dxfId="280">
      <pivotArea type="origin" dataOnly="0" labelOnly="1" outline="0" fieldPosition="0"/>
    </format>
    <format dxfId="281">
      <pivotArea field="2" type="button" dataOnly="0" labelOnly="1" outline="0" axis="axisRow" fieldPosition="0"/>
    </format>
    <format dxfId="282">
      <pivotArea field="3" type="button" dataOnly="0" labelOnly="1" outline="0" axis="axisRow" fieldPosition="1"/>
    </format>
    <format dxfId="283">
      <pivotArea dataOnly="0" labelOnly="1" outline="0" fieldPosition="0">
        <references count="1">
          <reference field="0" count="0"/>
        </references>
      </pivotArea>
    </format>
    <format dxfId="284">
      <pivotArea dataOnly="0" labelOnly="1" grandCol="1" outline="0" fieldPosition="0"/>
    </format>
    <format dxfId="285">
      <pivotArea fieldPosition="0">
        <references count="3">
          <reference field="0" count="0" selected="0"/>
          <reference field="2" count="1" selected="0">
            <x v="0"/>
          </reference>
          <reference field="3" count="9">
            <x v="2"/>
            <x v="12"/>
            <x v="17"/>
            <x v="33"/>
            <x v="36"/>
            <x v="49"/>
            <x v="50"/>
            <x v="63"/>
            <x v="64"/>
          </reference>
        </references>
      </pivotArea>
    </format>
    <format dxfId="286">
      <pivotArea fieldPosition="0">
        <references count="3">
          <reference field="0" count="0" selected="0"/>
          <reference field="2" count="1" selected="0">
            <x v="1"/>
          </reference>
          <reference field="3" count="8">
            <x v="3"/>
            <x v="16"/>
            <x v="28"/>
            <x v="30"/>
            <x v="60"/>
            <x v="68"/>
            <x v="73"/>
            <x v="74"/>
          </reference>
        </references>
      </pivotArea>
    </format>
    <format dxfId="287">
      <pivotArea fieldPosition="0">
        <references count="3">
          <reference field="0" count="0" selected="0"/>
          <reference field="2" count="1" selected="0">
            <x v="2"/>
          </reference>
          <reference field="3" count="9">
            <x v="13"/>
            <x v="29"/>
            <x v="44"/>
            <x v="45"/>
            <x v="46"/>
            <x v="48"/>
            <x v="51"/>
            <x v="72"/>
            <x v="85"/>
          </reference>
        </references>
      </pivotArea>
    </format>
    <format dxfId="288">
      <pivotArea fieldPosition="0">
        <references count="1">
          <reference field="2" count="1">
            <x v="0"/>
          </reference>
        </references>
      </pivotArea>
    </format>
    <format dxfId="289">
      <pivotArea fieldPosition="0">
        <references count="2">
          <reference field="2" count="1" selected="0">
            <x v="0"/>
          </reference>
          <reference field="3" count="9">
            <x v="2"/>
            <x v="12"/>
            <x v="17"/>
            <x v="33"/>
            <x v="36"/>
            <x v="49"/>
            <x v="50"/>
            <x v="63"/>
            <x v="64"/>
          </reference>
        </references>
      </pivotArea>
    </format>
    <format dxfId="290">
      <pivotArea fieldPosition="0">
        <references count="1">
          <reference field="2" count="1" defaultSubtotal="1">
            <x v="0"/>
          </reference>
        </references>
      </pivotArea>
    </format>
    <format dxfId="291">
      <pivotArea fieldPosition="0">
        <references count="1">
          <reference field="2" count="1">
            <x v="1"/>
          </reference>
        </references>
      </pivotArea>
    </format>
    <format dxfId="292">
      <pivotArea fieldPosition="0">
        <references count="2">
          <reference field="2" count="1" selected="0">
            <x v="1"/>
          </reference>
          <reference field="3" count="8">
            <x v="3"/>
            <x v="16"/>
            <x v="28"/>
            <x v="30"/>
            <x v="60"/>
            <x v="68"/>
            <x v="73"/>
            <x v="74"/>
          </reference>
        </references>
      </pivotArea>
    </format>
    <format dxfId="293">
      <pivotArea fieldPosition="0">
        <references count="1">
          <reference field="2" count="1" defaultSubtotal="1">
            <x v="1"/>
          </reference>
        </references>
      </pivotArea>
    </format>
    <format dxfId="294">
      <pivotArea fieldPosition="0">
        <references count="1">
          <reference field="2" count="1">
            <x v="2"/>
          </reference>
        </references>
      </pivotArea>
    </format>
    <format dxfId="295">
      <pivotArea fieldPosition="0">
        <references count="2">
          <reference field="2" count="1" selected="0">
            <x v="2"/>
          </reference>
          <reference field="3" count="9">
            <x v="13"/>
            <x v="29"/>
            <x v="44"/>
            <x v="45"/>
            <x v="46"/>
            <x v="48"/>
            <x v="51"/>
            <x v="72"/>
            <x v="85"/>
          </reference>
        </references>
      </pivotArea>
    </format>
    <format dxfId="296">
      <pivotArea fieldPosition="0">
        <references count="1">
          <reference field="2" count="1" defaultSubtotal="1">
            <x v="2"/>
          </reference>
        </references>
      </pivotArea>
    </format>
    <format dxfId="297">
      <pivotArea field="2" type="button" dataOnly="0" labelOnly="1" outline="0" axis="axisRow" fieldPosition="0"/>
    </format>
    <format dxfId="298">
      <pivotArea field="3" type="button" dataOnly="0" labelOnly="1" outline="0" axis="axisRow" fieldPosition="1"/>
    </format>
    <format dxfId="299">
      <pivotArea dataOnly="0" labelOnly="1" outline="0" fieldPosition="0">
        <references count="1">
          <reference field="0" count="0"/>
        </references>
      </pivotArea>
    </format>
    <format dxfId="300">
      <pivotArea dataOnly="0" labelOnly="1" grandCol="1" outline="0" fieldPosition="0"/>
    </format>
    <format dxfId="301">
      <pivotArea field="2" type="button" dataOnly="0" labelOnly="1" outline="0" axis="axisRow" fieldPosition="0"/>
    </format>
    <format dxfId="302">
      <pivotArea field="3" type="button" dataOnly="0" labelOnly="1" outline="0" axis="axisRow" fieldPosition="1"/>
    </format>
    <format dxfId="303">
      <pivotArea dataOnly="0" labelOnly="1" outline="0" fieldPosition="0">
        <references count="1">
          <reference field="0" count="0"/>
        </references>
      </pivotArea>
    </format>
    <format dxfId="304">
      <pivotArea dataOnly="0" labelOnly="1" grandCol="1" outline="0" fieldPosition="0"/>
    </format>
    <format dxfId="305">
      <pivotArea field="2" type="button" dataOnly="0" labelOnly="1" outline="0" axis="axisRow" fieldPosition="0"/>
    </format>
    <format dxfId="306">
      <pivotArea field="3" type="button" dataOnly="0" labelOnly="1" outline="0" axis="axisRow" fieldPosition="1"/>
    </format>
    <format dxfId="307">
      <pivotArea field="2" type="button" dataOnly="0" labelOnly="1" outline="0" axis="axisRow" fieldPosition="0"/>
    </format>
    <format dxfId="308">
      <pivotArea field="3" type="button" dataOnly="0" labelOnly="1" outline="0" axis="axisRow" fieldPosition="1"/>
    </format>
    <format dxfId="309">
      <pivotArea dataOnly="0" labelOnly="1" outline="0" fieldPosition="0">
        <references count="1">
          <reference field="0" count="0"/>
        </references>
      </pivotArea>
    </format>
    <format dxfId="310">
      <pivotArea dataOnly="0" labelOnly="1" grandCol="1" outline="0" fieldPosition="0"/>
    </format>
    <format dxfId="311">
      <pivotArea dataOnly="0" labelOnly="1" outline="0" fieldPosition="0">
        <references count="1">
          <reference field="0" count="0"/>
        </references>
      </pivotArea>
    </format>
    <format dxfId="312">
      <pivotArea dataOnly="0" labelOnly="1" grandCol="1" outline="0" fieldPosition="0"/>
    </format>
    <format dxfId="313">
      <pivotArea fieldPosition="0">
        <references count="1">
          <reference field="2" count="1">
            <x v="0"/>
          </reference>
        </references>
      </pivotArea>
    </format>
    <format dxfId="314">
      <pivotArea dataOnly="0" labelOnly="1" outline="0" fieldPosition="0">
        <references count="1">
          <reference field="2" count="1">
            <x v="0"/>
          </reference>
        </references>
      </pivotArea>
    </format>
    <format dxfId="315">
      <pivotArea fieldPosition="0">
        <references count="3">
          <reference field="0" count="0" selected="0"/>
          <reference field="2" count="1" selected="0">
            <x v="3"/>
          </reference>
          <reference field="3" count="11">
            <x v="4"/>
            <x v="11"/>
            <x v="14"/>
            <x v="15"/>
            <x v="25"/>
            <x v="39"/>
            <x v="40"/>
            <x v="57"/>
            <x v="62"/>
            <x v="70"/>
            <x v="71"/>
          </reference>
        </references>
      </pivotArea>
    </format>
    <format dxfId="316">
      <pivotArea fieldPosition="0">
        <references count="3">
          <reference field="0" count="0" selected="0"/>
          <reference field="2" count="1" selected="0">
            <x v="5"/>
          </reference>
          <reference field="3" count="34">
            <x v="0"/>
            <x v="1"/>
            <x v="18"/>
            <x v="19"/>
            <x v="20"/>
            <x v="21"/>
            <x v="22"/>
            <x v="23"/>
            <x v="24"/>
            <x v="27"/>
            <x v="31"/>
            <x v="32"/>
            <x v="34"/>
            <x v="35"/>
            <x v="37"/>
            <x v="38"/>
            <x v="41"/>
            <x v="42"/>
            <x v="43"/>
            <x v="53"/>
            <x v="56"/>
            <x v="58"/>
            <x v="59"/>
            <x v="65"/>
            <x v="66"/>
            <x v="67"/>
            <x v="69"/>
            <x v="75"/>
            <x v="76"/>
            <x v="77"/>
            <x v="78"/>
            <x v="79"/>
            <x v="80"/>
            <x v="81"/>
          </reference>
        </references>
      </pivotArea>
    </format>
    <format dxfId="317">
      <pivotArea fieldPosition="0">
        <references count="3">
          <reference field="0" count="0" selected="0"/>
          <reference field="2" count="1" selected="0">
            <x v="6"/>
          </reference>
          <reference field="3" count="9">
            <x v="5"/>
            <x v="6"/>
            <x v="7"/>
            <x v="8"/>
            <x v="9"/>
            <x v="10"/>
            <x v="52"/>
            <x v="54"/>
            <x v="55"/>
          </reference>
        </references>
      </pivotArea>
    </format>
    <format dxfId="318">
      <pivotArea fieldPosition="0">
        <references count="3">
          <reference field="0" count="0" selected="0"/>
          <reference field="2" count="1" selected="0">
            <x v="4"/>
          </reference>
          <reference field="3" count="6">
            <x v="26"/>
            <x v="47"/>
            <x v="61"/>
            <x v="82"/>
            <x v="83"/>
            <x v="84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7">
          <x14:conditionalFormat priority="7" id="{038D5D40-2831-4FFD-8437-EFD63AA62AFE}">
            <x14:pivotAreas count="1">
              <pivotArea type="data" collapsedLevelsAreSubtotals="1" fieldPosition="0">
                <references count="4">
                  <reference field="4294967294" count="1" selected="0">
                    <x v="0"/>
                  </reference>
                  <reference field="0" count="30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  <x v="18"/>
                    <x v="19"/>
                    <x v="20"/>
                    <x v="21"/>
                    <x v="22"/>
                    <x v="23"/>
                    <x v="24"/>
                    <x v="25"/>
                    <x v="26"/>
                    <x v="27"/>
                    <x v="28"/>
                    <x v="29"/>
                  </reference>
                  <reference field="2" count="1" selected="0">
                    <x v="6"/>
                  </reference>
                  <reference field="3" count="9">
                    <x v="5"/>
                    <x v="6"/>
                    <x v="7"/>
                    <x v="8"/>
                    <x v="9"/>
                    <x v="10"/>
                    <x v="52"/>
                    <x v="54"/>
                    <x v="55"/>
                  </reference>
                </references>
              </pivotArea>
            </x14:pivotAreas>
          </x14:conditionalFormat>
          <x14:conditionalFormat priority="6" id="{179A138B-4BBF-433F-8F3A-77BCD8A02D95}">
            <x14:pivotAreas count="1">
              <pivotArea type="data" collapsedLevelsAreSubtotals="1" fieldPosition="0">
                <references count="4">
                  <reference field="4294967294" count="1" selected="0">
                    <x v="0"/>
                  </reference>
                  <reference field="0" count="30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  <x v="18"/>
                    <x v="19"/>
                    <x v="20"/>
                    <x v="21"/>
                    <x v="22"/>
                    <x v="23"/>
                    <x v="24"/>
                    <x v="25"/>
                    <x v="26"/>
                    <x v="27"/>
                    <x v="28"/>
                    <x v="29"/>
                  </reference>
                  <reference field="2" count="1" selected="0">
                    <x v="1"/>
                  </reference>
                  <reference field="3" count="8">
                    <x v="3"/>
                    <x v="16"/>
                    <x v="28"/>
                    <x v="30"/>
                    <x v="60"/>
                    <x v="68"/>
                    <x v="73"/>
                    <x v="74"/>
                  </reference>
                </references>
              </pivotArea>
            </x14:pivotAreas>
          </x14:conditionalFormat>
          <x14:conditionalFormat priority="5" id="{364870F1-8DB6-4856-B935-4B3F08A4DE75}">
            <x14:pivotAreas count="1">
              <pivotArea type="data" collapsedLevelsAreSubtotals="1" fieldPosition="0">
                <references count="4">
                  <reference field="4294967294" count="1" selected="0">
                    <x v="0"/>
                  </reference>
                  <reference field="0" count="30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  <x v="18"/>
                    <x v="19"/>
                    <x v="20"/>
                    <x v="21"/>
                    <x v="22"/>
                    <x v="23"/>
                    <x v="24"/>
                    <x v="25"/>
                    <x v="26"/>
                    <x v="27"/>
                    <x v="28"/>
                    <x v="29"/>
                  </reference>
                  <reference field="2" count="1" selected="0">
                    <x v="4"/>
                  </reference>
                  <reference field="3" count="6">
                    <x v="26"/>
                    <x v="47"/>
                    <x v="61"/>
                    <x v="82"/>
                    <x v="83"/>
                    <x v="84"/>
                  </reference>
                </references>
              </pivotArea>
            </x14:pivotAreas>
          </x14:conditionalFormat>
          <x14:conditionalFormat priority="4" id="{69359A51-0529-498B-A91B-50DA05FA6797}">
            <x14:pivotAreas count="1">
              <pivotArea type="data" collapsedLevelsAreSubtotals="1" fieldPosition="0">
                <references count="4">
                  <reference field="4294967294" count="1" selected="0">
                    <x v="0"/>
                  </reference>
                  <reference field="0" count="30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  <x v="18"/>
                    <x v="19"/>
                    <x v="20"/>
                    <x v="21"/>
                    <x v="22"/>
                    <x v="23"/>
                    <x v="24"/>
                    <x v="25"/>
                    <x v="26"/>
                    <x v="27"/>
                    <x v="28"/>
                    <x v="29"/>
                  </reference>
                  <reference field="2" count="1" selected="0">
                    <x v="2"/>
                  </reference>
                  <reference field="3" count="9">
                    <x v="13"/>
                    <x v="29"/>
                    <x v="44"/>
                    <x v="45"/>
                    <x v="46"/>
                    <x v="48"/>
                    <x v="51"/>
                    <x v="72"/>
                    <x v="85"/>
                  </reference>
                </references>
              </pivotArea>
            </x14:pivotAreas>
          </x14:conditionalFormat>
          <x14:conditionalFormat priority="3" id="{0ED30CD2-F6AA-47B6-9227-8045483EF6AA}">
            <x14:pivotAreas count="1">
              <pivotArea type="data" collapsedLevelsAreSubtotals="1" fieldPosition="0">
                <references count="4">
                  <reference field="4294967294" count="1" selected="0">
                    <x v="0"/>
                  </reference>
                  <reference field="0" count="30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  <x v="18"/>
                    <x v="19"/>
                    <x v="20"/>
                    <x v="21"/>
                    <x v="22"/>
                    <x v="23"/>
                    <x v="24"/>
                    <x v="25"/>
                    <x v="26"/>
                    <x v="27"/>
                    <x v="28"/>
                    <x v="29"/>
                  </reference>
                  <reference field="2" count="1" selected="0">
                    <x v="3"/>
                  </reference>
                  <reference field="3" count="11">
                    <x v="4"/>
                    <x v="11"/>
                    <x v="14"/>
                    <x v="15"/>
                    <x v="25"/>
                    <x v="39"/>
                    <x v="40"/>
                    <x v="57"/>
                    <x v="62"/>
                    <x v="70"/>
                    <x v="71"/>
                  </reference>
                </references>
              </pivotArea>
            </x14:pivotAreas>
          </x14:conditionalFormat>
          <x14:conditionalFormat priority="2" id="{A5639729-62AC-498B-BE01-42C549530F69}">
            <x14:pivotAreas count="1">
              <pivotArea type="data" collapsedLevelsAreSubtotals="1" fieldPosition="0">
                <references count="4">
                  <reference field="4294967294" count="1" selected="0">
                    <x v="0"/>
                  </reference>
                  <reference field="0" count="30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  <x v="18"/>
                    <x v="19"/>
                    <x v="20"/>
                    <x v="21"/>
                    <x v="22"/>
                    <x v="23"/>
                    <x v="24"/>
                    <x v="25"/>
                    <x v="26"/>
                    <x v="27"/>
                    <x v="28"/>
                    <x v="29"/>
                  </reference>
                  <reference field="2" count="1" selected="0">
                    <x v="0"/>
                  </reference>
                  <reference field="3" count="9">
                    <x v="2"/>
                    <x v="12"/>
                    <x v="17"/>
                    <x v="33"/>
                    <x v="36"/>
                    <x v="49"/>
                    <x v="50"/>
                    <x v="63"/>
                    <x v="64"/>
                  </reference>
                </references>
              </pivotArea>
            </x14:pivotAreas>
          </x14:conditionalFormat>
          <x14:conditionalFormat priority="1" id="{B447F7BE-24CE-4F05-8B52-71B29F09AF28}">
            <x14:pivotAreas count="1">
              <pivotArea type="data" collapsedLevelsAreSubtotals="1" fieldPosition="0">
                <references count="4">
                  <reference field="4294967294" count="1" selected="0">
                    <x v="0"/>
                  </reference>
                  <reference field="0" count="30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  <x v="18"/>
                    <x v="19"/>
                    <x v="20"/>
                    <x v="21"/>
                    <x v="22"/>
                    <x v="23"/>
                    <x v="24"/>
                    <x v="25"/>
                    <x v="26"/>
                    <x v="27"/>
                    <x v="28"/>
                    <x v="29"/>
                  </reference>
                  <reference field="2" count="1" selected="0">
                    <x v="5"/>
                  </reference>
                  <reference field="3" count="36">
                    <x v="0"/>
                    <x v="1"/>
                    <x v="18"/>
                    <x v="19"/>
                    <x v="20"/>
                    <x v="21"/>
                    <x v="22"/>
                    <x v="23"/>
                    <x v="24"/>
                    <x v="27"/>
                    <x v="31"/>
                    <x v="32"/>
                    <x v="34"/>
                    <x v="35"/>
                    <x v="37"/>
                    <x v="38"/>
                    <x v="41"/>
                    <x v="42"/>
                    <x v="43"/>
                    <x v="53"/>
                    <x v="56"/>
                    <x v="58"/>
                    <x v="59"/>
                    <x v="65"/>
                    <x v="66"/>
                    <x v="67"/>
                    <x v="69"/>
                    <x v="75"/>
                    <x v="76"/>
                    <x v="77"/>
                    <x v="78"/>
                    <x v="79"/>
                    <x v="80"/>
                    <x v="81"/>
                    <x v="86"/>
                    <x v="87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B5058-1054-4DAF-8941-882D73A69B29}" name="PivotTable8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2:I96" firstHeaderRow="0" firstDataRow="1" firstDataCol="1"/>
  <pivotFields count="4">
    <pivotField axis="axisRow" showAll="0">
      <items count="8">
        <item h="1" x="6"/>
        <item x="0"/>
        <item x="3"/>
        <item x="4"/>
        <item x="5"/>
        <item x="1"/>
        <item x="2"/>
        <item t="default"/>
      </items>
    </pivotField>
    <pivotField axis="axisRow" showAll="0">
      <items count="89">
        <item x="20"/>
        <item x="21"/>
        <item x="0"/>
        <item x="54"/>
        <item x="56"/>
        <item x="55"/>
        <item x="9"/>
        <item x="79"/>
        <item x="80"/>
        <item x="81"/>
        <item x="82"/>
        <item x="83"/>
        <item x="84"/>
        <item x="10"/>
        <item x="6"/>
        <item x="64"/>
        <item x="11"/>
        <item x="12"/>
        <item x="57"/>
        <item x="2"/>
        <item x="22"/>
        <item x="23"/>
        <item x="24"/>
        <item x="25"/>
        <item x="26"/>
        <item x="27"/>
        <item x="28"/>
        <item x="13"/>
        <item x="73"/>
        <item x="52"/>
        <item x="58"/>
        <item x="65"/>
        <item x="59"/>
        <item x="29"/>
        <item x="30"/>
        <item x="1"/>
        <item x="32"/>
        <item x="33"/>
        <item x="7"/>
        <item x="34"/>
        <item x="50"/>
        <item x="14"/>
        <item x="15"/>
        <item x="36"/>
        <item x="35"/>
        <item x="37"/>
        <item x="66"/>
        <item x="67"/>
        <item x="68"/>
        <item x="74"/>
        <item x="69"/>
        <item x="4"/>
        <item x="3"/>
        <item x="70"/>
        <item x="85"/>
        <item x="38"/>
        <item x="86"/>
        <item x="87"/>
        <item x="39"/>
        <item x="16"/>
        <item x="40"/>
        <item x="31"/>
        <item x="60"/>
        <item x="75"/>
        <item x="17"/>
        <item x="5"/>
        <item x="8"/>
        <item x="41"/>
        <item x="42"/>
        <item x="43"/>
        <item x="61"/>
        <item x="51"/>
        <item x="18"/>
        <item x="19"/>
        <item x="71"/>
        <item x="62"/>
        <item x="63"/>
        <item x="44"/>
        <item x="45"/>
        <item x="46"/>
        <item x="47"/>
        <item x="48"/>
        <item x="53"/>
        <item x="49"/>
        <item x="76"/>
        <item x="77"/>
        <item x="78"/>
        <item x="72"/>
        <item t="default"/>
      </items>
    </pivotField>
    <pivotField dataField="1" showAll="0"/>
    <pivotField dataField="1" showAll="0"/>
  </pivotFields>
  <rowFields count="2">
    <field x="0"/>
    <field x="1"/>
  </rowFields>
  <rowItems count="94">
    <i>
      <x v="1"/>
    </i>
    <i r="1">
      <x v="2"/>
    </i>
    <i r="1">
      <x v="14"/>
    </i>
    <i r="1">
      <x v="19"/>
    </i>
    <i r="1">
      <x v="35"/>
    </i>
    <i r="1">
      <x v="38"/>
    </i>
    <i r="1">
      <x v="51"/>
    </i>
    <i r="1">
      <x v="52"/>
    </i>
    <i r="1">
      <x v="65"/>
    </i>
    <i r="1">
      <x v="66"/>
    </i>
    <i>
      <x v="2"/>
    </i>
    <i r="1">
      <x v="4"/>
    </i>
    <i r="1">
      <x v="18"/>
    </i>
    <i r="1">
      <x v="30"/>
    </i>
    <i r="1">
      <x v="32"/>
    </i>
    <i r="1">
      <x v="62"/>
    </i>
    <i r="1">
      <x v="70"/>
    </i>
    <i r="1">
      <x v="75"/>
    </i>
    <i r="1">
      <x v="76"/>
    </i>
    <i>
      <x v="3"/>
    </i>
    <i r="1">
      <x v="4"/>
    </i>
    <i r="1">
      <x v="15"/>
    </i>
    <i r="1">
      <x v="18"/>
    </i>
    <i r="1">
      <x v="30"/>
    </i>
    <i r="1">
      <x v="31"/>
    </i>
    <i r="1">
      <x v="32"/>
    </i>
    <i r="1">
      <x v="46"/>
    </i>
    <i r="1">
      <x v="47"/>
    </i>
    <i r="1">
      <x v="48"/>
    </i>
    <i r="1">
      <x v="50"/>
    </i>
    <i r="1">
      <x v="53"/>
    </i>
    <i r="1">
      <x v="62"/>
    </i>
    <i r="1">
      <x v="70"/>
    </i>
    <i r="1">
      <x v="74"/>
    </i>
    <i r="1">
      <x v="75"/>
    </i>
    <i r="1">
      <x v="76"/>
    </i>
    <i r="1">
      <x v="87"/>
    </i>
    <i>
      <x v="4"/>
    </i>
    <i r="1">
      <x v="28"/>
    </i>
    <i r="1">
      <x v="49"/>
    </i>
    <i r="1">
      <x v="63"/>
    </i>
    <i r="1">
      <x v="84"/>
    </i>
    <i r="1">
      <x v="85"/>
    </i>
    <i r="1">
      <x v="86"/>
    </i>
    <i>
      <x v="5"/>
    </i>
    <i r="1">
      <x v="6"/>
    </i>
    <i r="1">
      <x v="13"/>
    </i>
    <i r="1">
      <x v="16"/>
    </i>
    <i r="1">
      <x v="17"/>
    </i>
    <i r="1">
      <x v="27"/>
    </i>
    <i>
      <x v="6"/>
    </i>
    <i r="1">
      <x/>
    </i>
    <i r="1">
      <x v="1"/>
    </i>
    <i r="1">
      <x v="3"/>
    </i>
    <i r="1">
      <x v="5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3"/>
    </i>
    <i r="1">
      <x v="34"/>
    </i>
    <i r="1">
      <x v="36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55"/>
    </i>
    <i r="1">
      <x v="58"/>
    </i>
    <i r="1">
      <x v="59"/>
    </i>
    <i r="1">
      <x v="60"/>
    </i>
    <i r="1">
      <x v="61"/>
    </i>
    <i r="1">
      <x v="64"/>
    </i>
    <i r="1">
      <x v="67"/>
    </i>
    <i r="1">
      <x v="68"/>
    </i>
    <i r="1">
      <x v="69"/>
    </i>
    <i r="1">
      <x v="71"/>
    </i>
    <i r="1">
      <x v="72"/>
    </i>
    <i r="1">
      <x v="73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pert" fld="2" baseField="0" baseItem="0"/>
    <dataField name="Sum of Practicioner" fld="3" baseField="0" baseItem="0"/>
  </dataFields>
  <formats count="2">
    <format dxfId="262">
      <pivotArea outline="0" collapsedLevelsAreSubtotals="1" fieldPosition="0"/>
    </format>
    <format dxfId="2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learning/it-service-management-foundations-problem-management?u=26205482" TargetMode="External"/><Relationship Id="rId1" Type="http://schemas.openxmlformats.org/officeDocument/2006/relationships/hyperlink" Target="https://www.linkedin.com/learning/server-administration-essential-training/asset-management?contextUrn=urn%3Ali%3AlearningCollection%3A7221868768841416704&amp;standalone=true&amp;u=2620548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A61E-03BD-4A6D-80EE-F3B61943756F}">
  <dimension ref="A1:A34"/>
  <sheetViews>
    <sheetView tabSelected="1" topLeftCell="A14" workbookViewId="0">
      <selection activeCell="C11" sqref="C11"/>
    </sheetView>
  </sheetViews>
  <sheetFormatPr defaultRowHeight="15"/>
  <cols>
    <col min="1" max="1" width="21.85546875" customWidth="1"/>
  </cols>
  <sheetData>
    <row r="1" spans="1:1">
      <c r="A1" s="22" t="s">
        <v>0</v>
      </c>
    </row>
    <row r="2" spans="1:1">
      <c r="A2" s="22" t="s">
        <v>1</v>
      </c>
    </row>
    <row r="3" spans="1:1">
      <c r="A3" s="22" t="s">
        <v>2</v>
      </c>
    </row>
    <row r="4" spans="1:1">
      <c r="A4" s="163" t="s">
        <v>3</v>
      </c>
    </row>
    <row r="5" spans="1:1">
      <c r="A5" s="22" t="s">
        <v>4</v>
      </c>
    </row>
    <row r="6" spans="1:1">
      <c r="A6" s="22" t="s">
        <v>5</v>
      </c>
    </row>
    <row r="7" spans="1:1">
      <c r="A7" s="22" t="s">
        <v>6</v>
      </c>
    </row>
    <row r="8" spans="1:1">
      <c r="A8" s="22" t="s">
        <v>7</v>
      </c>
    </row>
    <row r="9" spans="1:1">
      <c r="A9" s="22" t="s">
        <v>8</v>
      </c>
    </row>
    <row r="10" spans="1:1">
      <c r="A10" s="22" t="s">
        <v>9</v>
      </c>
    </row>
    <row r="11" spans="1:1">
      <c r="A11" s="22" t="s">
        <v>10</v>
      </c>
    </row>
    <row r="12" spans="1:1">
      <c r="A12" s="163" t="s">
        <v>11</v>
      </c>
    </row>
    <row r="13" spans="1:1">
      <c r="A13" s="22" t="s">
        <v>12</v>
      </c>
    </row>
    <row r="14" spans="1:1">
      <c r="A14" s="22" t="s">
        <v>13</v>
      </c>
    </row>
    <row r="15" spans="1:1">
      <c r="A15" s="22" t="s">
        <v>14</v>
      </c>
    </row>
    <row r="16" spans="1:1">
      <c r="A16" s="22" t="s">
        <v>15</v>
      </c>
    </row>
    <row r="17" spans="1:1">
      <c r="A17" s="22" t="s">
        <v>16</v>
      </c>
    </row>
    <row r="18" spans="1:1">
      <c r="A18" s="22" t="s">
        <v>17</v>
      </c>
    </row>
    <row r="19" spans="1:1">
      <c r="A19" s="22" t="s">
        <v>18</v>
      </c>
    </row>
    <row r="20" spans="1:1">
      <c r="A20" s="22" t="s">
        <v>19</v>
      </c>
    </row>
    <row r="21" spans="1:1">
      <c r="A21" s="163" t="s">
        <v>20</v>
      </c>
    </row>
    <row r="22" spans="1:1">
      <c r="A22" s="22" t="s">
        <v>21</v>
      </c>
    </row>
    <row r="23" spans="1:1">
      <c r="A23" s="22" t="s">
        <v>22</v>
      </c>
    </row>
    <row r="24" spans="1:1">
      <c r="A24" s="22" t="s">
        <v>23</v>
      </c>
    </row>
    <row r="25" spans="1:1">
      <c r="A25" s="22" t="s">
        <v>24</v>
      </c>
    </row>
    <row r="26" spans="1:1">
      <c r="A26" s="22" t="s">
        <v>25</v>
      </c>
    </row>
    <row r="27" spans="1:1">
      <c r="A27" s="22" t="s">
        <v>26</v>
      </c>
    </row>
    <row r="28" spans="1:1">
      <c r="A28" s="22" t="s">
        <v>27</v>
      </c>
    </row>
    <row r="29" spans="1:1">
      <c r="A29" s="163" t="s">
        <v>28</v>
      </c>
    </row>
    <row r="30" spans="1:1">
      <c r="A30" s="163" t="s">
        <v>29</v>
      </c>
    </row>
    <row r="31" spans="1:1">
      <c r="A31" s="163" t="s">
        <v>30</v>
      </c>
    </row>
    <row r="32" spans="1:1">
      <c r="A32" s="163" t="s">
        <v>31</v>
      </c>
    </row>
    <row r="33" spans="1:1">
      <c r="A33" s="22" t="s">
        <v>32</v>
      </c>
    </row>
    <row r="34" spans="1:1">
      <c r="A34" s="2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40C6-8BFB-4267-BA87-D7A0D5135121}">
  <dimension ref="A1:B6"/>
  <sheetViews>
    <sheetView workbookViewId="0">
      <selection sqref="A1:B6"/>
    </sheetView>
  </sheetViews>
  <sheetFormatPr defaultRowHeight="15"/>
  <cols>
    <col min="1" max="1" width="24.140625" customWidth="1"/>
    <col min="2" max="2" width="15.140625" style="2" customWidth="1"/>
  </cols>
  <sheetData>
    <row r="1" spans="1:2">
      <c r="A1" s="164" t="s">
        <v>34</v>
      </c>
      <c r="B1" s="7" t="s">
        <v>35</v>
      </c>
    </row>
    <row r="2" spans="1:2">
      <c r="A2" s="165" t="s">
        <v>36</v>
      </c>
      <c r="B2" s="2">
        <v>0</v>
      </c>
    </row>
    <row r="3" spans="1:2">
      <c r="A3" s="166" t="s">
        <v>37</v>
      </c>
      <c r="B3" s="2">
        <v>1</v>
      </c>
    </row>
    <row r="4" spans="1:2">
      <c r="A4" s="167" t="s">
        <v>38</v>
      </c>
      <c r="B4" s="2">
        <v>2</v>
      </c>
    </row>
    <row r="5" spans="1:2">
      <c r="A5" s="168" t="s">
        <v>39</v>
      </c>
      <c r="B5" s="2">
        <v>3</v>
      </c>
    </row>
    <row r="6" spans="1:2" ht="15.75" thickBot="1">
      <c r="A6" s="169" t="s">
        <v>40</v>
      </c>
      <c r="B6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479B-E026-49AE-89A6-DA384B6508DF}">
  <dimension ref="A1:BA114"/>
  <sheetViews>
    <sheetView topLeftCell="A14" zoomScale="58" zoomScaleNormal="91" workbookViewId="0">
      <pane xSplit="3" topLeftCell="S1" activePane="topRight" state="frozen"/>
      <selection pane="topRight" activeCell="C82" sqref="C82"/>
      <selection activeCell="A3" sqref="A3"/>
    </sheetView>
  </sheetViews>
  <sheetFormatPr defaultColWidth="8.7109375" defaultRowHeight="15"/>
  <cols>
    <col min="1" max="1" width="27.85546875" style="95" customWidth="1"/>
    <col min="2" max="2" width="30.5703125" style="95" customWidth="1"/>
    <col min="3" max="3" width="52.140625" style="95" customWidth="1"/>
    <col min="4" max="4" width="17" style="95" bestFit="1" customWidth="1"/>
    <col min="5" max="5" width="17.5703125" style="95" bestFit="1" customWidth="1"/>
    <col min="6" max="6" width="18.85546875" style="95" bestFit="1" customWidth="1"/>
    <col min="7" max="7" width="18.85546875" style="95" customWidth="1"/>
    <col min="8" max="8" width="21.42578125" style="95" customWidth="1"/>
    <col min="9" max="9" width="16.42578125" style="95" customWidth="1"/>
    <col min="10" max="10" width="20.28515625" style="95" customWidth="1"/>
    <col min="11" max="11" width="24.85546875" style="95" hidden="1" customWidth="1"/>
    <col min="12" max="12" width="22.85546875" style="95" hidden="1" customWidth="1"/>
    <col min="13" max="13" width="16.140625" style="95" hidden="1" customWidth="1"/>
    <col min="14" max="15" width="24.5703125" style="95" hidden="1" customWidth="1"/>
    <col min="16" max="16" width="26.28515625" style="95" bestFit="1" customWidth="1"/>
    <col min="17" max="17" width="19.5703125" style="95" customWidth="1"/>
    <col min="18" max="18" width="20" style="95" customWidth="1"/>
    <col min="19" max="19" width="18.28515625" style="95" customWidth="1"/>
    <col min="20" max="20" width="19" style="95" customWidth="1"/>
    <col min="21" max="21" width="19.7109375" style="95" customWidth="1"/>
    <col min="22" max="22" width="19.85546875" style="95" customWidth="1"/>
    <col min="23" max="23" width="24.42578125" style="95" customWidth="1"/>
    <col min="24" max="24" width="23.85546875" style="95" bestFit="1" customWidth="1"/>
    <col min="25" max="25" width="21" style="95" bestFit="1" customWidth="1"/>
    <col min="26" max="26" width="21.42578125" style="95" bestFit="1" customWidth="1"/>
    <col min="27" max="27" width="18" style="95" customWidth="1"/>
    <col min="28" max="28" width="17.85546875" style="95" customWidth="1"/>
    <col min="29" max="29" width="17" style="95" bestFit="1" customWidth="1"/>
    <col min="30" max="30" width="16" style="95" bestFit="1" customWidth="1"/>
    <col min="31" max="31" width="18.5703125" style="95" customWidth="1"/>
    <col min="32" max="32" width="20" style="95" hidden="1" customWidth="1"/>
    <col min="33" max="33" width="18" style="95" customWidth="1"/>
    <col min="34" max="34" width="20.5703125" style="95" customWidth="1"/>
    <col min="35" max="35" width="19.5703125" style="95" customWidth="1"/>
    <col min="36" max="36" width="23.42578125" style="95" customWidth="1"/>
    <col min="37" max="40" width="24.5703125" style="95" customWidth="1"/>
    <col min="41" max="41" width="25" style="95" customWidth="1"/>
    <col min="42" max="42" width="23.42578125" style="95" customWidth="1"/>
    <col min="43" max="43" width="19.42578125" style="1" customWidth="1"/>
    <col min="44" max="44" width="16.140625" style="1" customWidth="1"/>
    <col min="45" max="45" width="18.42578125" style="1" customWidth="1"/>
    <col min="46" max="46" width="19.28515625" style="1" customWidth="1"/>
    <col min="47" max="47" width="16.5703125" style="1" hidden="1" customWidth="1"/>
    <col min="48" max="48" width="18.28515625" style="1" hidden="1" customWidth="1"/>
    <col min="49" max="49" width="16.5703125" style="1" hidden="1" customWidth="1"/>
    <col min="50" max="50" width="17.28515625" style="1" hidden="1" customWidth="1"/>
    <col min="51" max="51" width="17.7109375" style="1" hidden="1" customWidth="1"/>
    <col min="52" max="52" width="15.7109375" style="1" hidden="1" customWidth="1"/>
    <col min="53" max="16384" width="8.7109375" style="1"/>
  </cols>
  <sheetData>
    <row r="1" spans="1:53" s="4" customFormat="1" ht="30.95" customHeight="1" thickBot="1">
      <c r="A1" s="37"/>
      <c r="B1" s="37"/>
      <c r="C1" s="37"/>
      <c r="D1" s="194" t="s">
        <v>41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6"/>
      <c r="Q1" s="189" t="s">
        <v>42</v>
      </c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1"/>
      <c r="AF1" s="176"/>
      <c r="AG1" s="189" t="s">
        <v>43</v>
      </c>
      <c r="AH1" s="190"/>
      <c r="AI1" s="190"/>
      <c r="AJ1" s="190"/>
      <c r="AK1" s="190"/>
      <c r="AL1" s="190"/>
      <c r="AM1" s="190"/>
      <c r="AN1" s="190"/>
      <c r="AO1" s="191"/>
      <c r="AP1" s="189" t="s">
        <v>44</v>
      </c>
      <c r="AQ1" s="190"/>
      <c r="AR1" s="190"/>
      <c r="AS1" s="190"/>
      <c r="AT1" s="191"/>
      <c r="AU1" s="189" t="s">
        <v>45</v>
      </c>
      <c r="AV1" s="190"/>
      <c r="AW1" s="190"/>
      <c r="AX1" s="190"/>
      <c r="AY1" s="190"/>
      <c r="AZ1" s="191"/>
      <c r="BA1" s="37"/>
    </row>
    <row r="2" spans="1:53" s="4" customFormat="1" ht="42.95" customHeight="1" thickBot="1">
      <c r="A2" s="37"/>
      <c r="B2" s="37"/>
      <c r="C2" s="38" t="s">
        <v>46</v>
      </c>
      <c r="D2" s="192" t="s">
        <v>47</v>
      </c>
      <c r="E2" s="193"/>
      <c r="F2" s="193"/>
      <c r="G2" s="193"/>
      <c r="H2" s="197" t="s">
        <v>48</v>
      </c>
      <c r="I2" s="198"/>
      <c r="J2" s="198"/>
      <c r="K2" s="199"/>
      <c r="L2" s="174"/>
      <c r="M2" s="197" t="s">
        <v>49</v>
      </c>
      <c r="N2" s="198"/>
      <c r="O2" s="199"/>
      <c r="P2" s="175" t="s">
        <v>41</v>
      </c>
      <c r="Q2" s="189" t="s">
        <v>50</v>
      </c>
      <c r="R2" s="190"/>
      <c r="S2" s="190"/>
      <c r="T2" s="190"/>
      <c r="U2" s="190"/>
      <c r="V2" s="191"/>
      <c r="W2" s="189" t="s">
        <v>51</v>
      </c>
      <c r="X2" s="190"/>
      <c r="Y2" s="190"/>
      <c r="Z2" s="191"/>
      <c r="AA2" s="200" t="s">
        <v>52</v>
      </c>
      <c r="AB2" s="200"/>
      <c r="AC2" s="200"/>
      <c r="AD2" s="200"/>
      <c r="AE2" s="200"/>
      <c r="AF2" s="200"/>
      <c r="AG2" s="187" t="s">
        <v>53</v>
      </c>
      <c r="AH2" s="188"/>
      <c r="AI2" s="188"/>
      <c r="AJ2" s="185" t="s">
        <v>49</v>
      </c>
      <c r="AK2" s="186"/>
      <c r="AL2" s="185" t="s">
        <v>54</v>
      </c>
      <c r="AM2" s="188"/>
      <c r="AN2" s="186"/>
      <c r="AO2" s="177"/>
      <c r="AP2" s="189" t="s">
        <v>55</v>
      </c>
      <c r="AQ2" s="190"/>
      <c r="AR2" s="190"/>
      <c r="AS2" s="190"/>
      <c r="AT2" s="190"/>
      <c r="AU2" s="184" t="s">
        <v>56</v>
      </c>
      <c r="AV2" s="184"/>
      <c r="AW2" s="184"/>
      <c r="AX2" s="184"/>
      <c r="AY2" s="184"/>
      <c r="AZ2" s="184"/>
      <c r="BA2" s="37"/>
    </row>
    <row r="3" spans="1:53" s="4" customFormat="1" ht="48.95" customHeight="1" thickBot="1">
      <c r="A3" s="39"/>
      <c r="B3" s="40"/>
      <c r="C3" s="41"/>
      <c r="D3" s="107" t="s">
        <v>57</v>
      </c>
      <c r="E3" s="42" t="s">
        <v>58</v>
      </c>
      <c r="F3" s="42" t="s">
        <v>59</v>
      </c>
      <c r="G3" s="45" t="s">
        <v>60</v>
      </c>
      <c r="H3" s="45" t="s">
        <v>61</v>
      </c>
      <c r="I3" s="45" t="s">
        <v>62</v>
      </c>
      <c r="J3" s="45" t="s">
        <v>63</v>
      </c>
      <c r="K3" s="108" t="s">
        <v>64</v>
      </c>
      <c r="L3" s="42" t="s">
        <v>65</v>
      </c>
      <c r="M3" s="42" t="s">
        <v>66</v>
      </c>
      <c r="N3" s="42" t="s">
        <v>67</v>
      </c>
      <c r="O3" s="109" t="s">
        <v>68</v>
      </c>
      <c r="P3" s="43" t="s">
        <v>69</v>
      </c>
      <c r="Q3" s="107" t="s">
        <v>70</v>
      </c>
      <c r="R3" s="42" t="s">
        <v>71</v>
      </c>
      <c r="S3" s="42" t="s">
        <v>66</v>
      </c>
      <c r="T3" s="42" t="s">
        <v>72</v>
      </c>
      <c r="U3" s="42" t="s">
        <v>73</v>
      </c>
      <c r="V3" s="43" t="s">
        <v>74</v>
      </c>
      <c r="W3" s="108" t="s">
        <v>75</v>
      </c>
      <c r="X3" s="42" t="s">
        <v>76</v>
      </c>
      <c r="Y3" s="42" t="s">
        <v>77</v>
      </c>
      <c r="Z3" s="42" t="s">
        <v>78</v>
      </c>
      <c r="AA3" s="42" t="s">
        <v>79</v>
      </c>
      <c r="AB3" s="42" t="s">
        <v>80</v>
      </c>
      <c r="AC3" s="42" t="s">
        <v>81</v>
      </c>
      <c r="AD3" s="42" t="s">
        <v>82</v>
      </c>
      <c r="AE3" s="42" t="s">
        <v>83</v>
      </c>
      <c r="AF3" s="42" t="s">
        <v>84</v>
      </c>
      <c r="AG3" s="107" t="s">
        <v>85</v>
      </c>
      <c r="AH3" s="42" t="s">
        <v>86</v>
      </c>
      <c r="AI3" s="110" t="s">
        <v>87</v>
      </c>
      <c r="AJ3" s="45" t="s">
        <v>88</v>
      </c>
      <c r="AK3" s="45" t="s">
        <v>89</v>
      </c>
      <c r="AL3" s="111" t="s">
        <v>90</v>
      </c>
      <c r="AM3" s="111" t="s">
        <v>91</v>
      </c>
      <c r="AN3" s="111" t="s">
        <v>92</v>
      </c>
      <c r="AO3" s="108" t="s">
        <v>93</v>
      </c>
      <c r="AP3" s="43" t="s">
        <v>94</v>
      </c>
      <c r="AQ3" s="42" t="s">
        <v>95</v>
      </c>
      <c r="AR3" s="42" t="s">
        <v>96</v>
      </c>
      <c r="AS3" s="42" t="s">
        <v>97</v>
      </c>
      <c r="AT3" s="42" t="s">
        <v>98</v>
      </c>
      <c r="AU3" s="112" t="s">
        <v>99</v>
      </c>
      <c r="AV3" s="112" t="s">
        <v>100</v>
      </c>
      <c r="AW3" s="112" t="s">
        <v>101</v>
      </c>
      <c r="AX3" s="112" t="s">
        <v>102</v>
      </c>
      <c r="AY3" s="112" t="s">
        <v>103</v>
      </c>
      <c r="AZ3" s="113" t="s">
        <v>104</v>
      </c>
    </row>
    <row r="4" spans="1:53" s="4" customFormat="1" ht="45.75" customHeight="1">
      <c r="A4" s="44" t="s">
        <v>105</v>
      </c>
      <c r="B4" s="45" t="s">
        <v>106</v>
      </c>
      <c r="C4" s="50" t="s">
        <v>107</v>
      </c>
      <c r="D4" s="115" t="s">
        <v>38</v>
      </c>
      <c r="E4" s="116" t="s">
        <v>38</v>
      </c>
      <c r="F4" s="116" t="s">
        <v>38</v>
      </c>
      <c r="G4" s="116" t="s">
        <v>39</v>
      </c>
      <c r="H4" s="116" t="s">
        <v>39</v>
      </c>
      <c r="I4" s="116" t="s">
        <v>39</v>
      </c>
      <c r="J4" s="116" t="s">
        <v>39</v>
      </c>
      <c r="K4" s="116" t="s">
        <v>38</v>
      </c>
      <c r="L4" s="116" t="s">
        <v>38</v>
      </c>
      <c r="M4" s="116" t="s">
        <v>39</v>
      </c>
      <c r="N4" s="116" t="s">
        <v>39</v>
      </c>
      <c r="O4" s="116" t="s">
        <v>39</v>
      </c>
      <c r="P4" s="117" t="s">
        <v>39</v>
      </c>
      <c r="Q4" s="51" t="s">
        <v>38</v>
      </c>
      <c r="R4" s="52" t="s">
        <v>38</v>
      </c>
      <c r="S4" s="52" t="s">
        <v>38</v>
      </c>
      <c r="T4" s="52" t="s">
        <v>38</v>
      </c>
      <c r="U4" s="52" t="s">
        <v>38</v>
      </c>
      <c r="V4" s="53" t="s">
        <v>38</v>
      </c>
      <c r="W4" s="54" t="s">
        <v>38</v>
      </c>
      <c r="X4" s="52" t="s">
        <v>38</v>
      </c>
      <c r="Y4" s="52" t="s">
        <v>38</v>
      </c>
      <c r="Z4" s="52" t="s">
        <v>38</v>
      </c>
      <c r="AA4" s="52" t="s">
        <v>38</v>
      </c>
      <c r="AB4" s="52" t="s">
        <v>38</v>
      </c>
      <c r="AC4" s="52" t="s">
        <v>38</v>
      </c>
      <c r="AD4" s="52" t="s">
        <v>38</v>
      </c>
      <c r="AE4" s="52" t="s">
        <v>38</v>
      </c>
      <c r="AF4" s="52" t="s">
        <v>39</v>
      </c>
      <c r="AG4" s="51" t="s">
        <v>38</v>
      </c>
      <c r="AH4" s="52" t="s">
        <v>38</v>
      </c>
      <c r="AI4" s="116" t="s">
        <v>38</v>
      </c>
      <c r="AJ4" s="116" t="s">
        <v>39</v>
      </c>
      <c r="AK4" s="116" t="s">
        <v>40</v>
      </c>
      <c r="AL4" s="52" t="s">
        <v>38</v>
      </c>
      <c r="AM4" s="52" t="s">
        <v>38</v>
      </c>
      <c r="AN4" s="52" t="s">
        <v>38</v>
      </c>
      <c r="AO4" s="52" t="s">
        <v>38</v>
      </c>
      <c r="AP4" s="53" t="s">
        <v>39</v>
      </c>
      <c r="AQ4" s="52" t="s">
        <v>39</v>
      </c>
      <c r="AR4" s="52" t="s">
        <v>39</v>
      </c>
      <c r="AS4" s="52" t="s">
        <v>39</v>
      </c>
      <c r="AT4" s="52" t="s">
        <v>39</v>
      </c>
      <c r="AU4" s="57" t="s">
        <v>39</v>
      </c>
      <c r="AV4" s="116" t="s">
        <v>38</v>
      </c>
      <c r="AW4" s="116" t="s">
        <v>38</v>
      </c>
      <c r="AX4" s="116" t="s">
        <v>38</v>
      </c>
      <c r="AY4" s="118" t="s">
        <v>40</v>
      </c>
      <c r="AZ4" s="119" t="s">
        <v>40</v>
      </c>
    </row>
    <row r="5" spans="1:53" s="4" customFormat="1" ht="49.5" customHeight="1">
      <c r="A5" s="46" t="s">
        <v>108</v>
      </c>
      <c r="B5" s="47" t="s">
        <v>109</v>
      </c>
      <c r="C5" s="55" t="s">
        <v>110</v>
      </c>
      <c r="D5" s="56" t="s">
        <v>38</v>
      </c>
      <c r="E5" s="57" t="s">
        <v>38</v>
      </c>
      <c r="F5" s="57" t="s">
        <v>39</v>
      </c>
      <c r="G5" s="57" t="s">
        <v>40</v>
      </c>
      <c r="H5" s="120" t="s">
        <v>39</v>
      </c>
      <c r="I5" s="120" t="s">
        <v>39</v>
      </c>
      <c r="J5" s="57" t="s">
        <v>40</v>
      </c>
      <c r="K5" s="57" t="s">
        <v>38</v>
      </c>
      <c r="L5" s="57" t="s">
        <v>38</v>
      </c>
      <c r="M5" s="57" t="s">
        <v>39</v>
      </c>
      <c r="N5" s="121" t="s">
        <v>39</v>
      </c>
      <c r="O5" s="120" t="s">
        <v>39</v>
      </c>
      <c r="P5" s="119" t="s">
        <v>40</v>
      </c>
      <c r="Q5" s="56" t="s">
        <v>38</v>
      </c>
      <c r="R5" s="57" t="s">
        <v>39</v>
      </c>
      <c r="S5" s="57" t="s">
        <v>39</v>
      </c>
      <c r="T5" s="57" t="s">
        <v>39</v>
      </c>
      <c r="U5" s="57" t="s">
        <v>39</v>
      </c>
      <c r="V5" s="58" t="s">
        <v>39</v>
      </c>
      <c r="W5" s="59" t="s">
        <v>38</v>
      </c>
      <c r="X5" s="57" t="s">
        <v>38</v>
      </c>
      <c r="Y5" s="57" t="s">
        <v>38</v>
      </c>
      <c r="Z5" s="57" t="s">
        <v>39</v>
      </c>
      <c r="AA5" s="57" t="s">
        <v>38</v>
      </c>
      <c r="AB5" s="57" t="s">
        <v>39</v>
      </c>
      <c r="AC5" s="57" t="s">
        <v>39</v>
      </c>
      <c r="AD5" s="57" t="s">
        <v>39</v>
      </c>
      <c r="AE5" s="57" t="s">
        <v>39</v>
      </c>
      <c r="AF5" s="57" t="s">
        <v>39</v>
      </c>
      <c r="AG5" s="56" t="s">
        <v>38</v>
      </c>
      <c r="AH5" s="57" t="s">
        <v>39</v>
      </c>
      <c r="AI5" s="57" t="s">
        <v>37</v>
      </c>
      <c r="AJ5" s="57" t="s">
        <v>38</v>
      </c>
      <c r="AK5" s="57" t="s">
        <v>38</v>
      </c>
      <c r="AL5" s="57" t="s">
        <v>38</v>
      </c>
      <c r="AM5" s="57" t="s">
        <v>38</v>
      </c>
      <c r="AN5" s="57" t="s">
        <v>38</v>
      </c>
      <c r="AO5" s="57" t="s">
        <v>39</v>
      </c>
      <c r="AP5" s="58" t="s">
        <v>39</v>
      </c>
      <c r="AQ5" s="116" t="s">
        <v>39</v>
      </c>
      <c r="AR5" s="116" t="s">
        <v>39</v>
      </c>
      <c r="AS5" s="116" t="s">
        <v>39</v>
      </c>
      <c r="AT5" s="116" t="s">
        <v>39</v>
      </c>
      <c r="AU5" s="57" t="s">
        <v>39</v>
      </c>
      <c r="AV5" s="57" t="s">
        <v>39</v>
      </c>
      <c r="AW5" s="57" t="s">
        <v>39</v>
      </c>
      <c r="AX5" s="57" t="s">
        <v>39</v>
      </c>
      <c r="AY5" s="57"/>
      <c r="AZ5" s="122"/>
    </row>
    <row r="6" spans="1:53" s="4" customFormat="1" ht="40.5" customHeight="1">
      <c r="A6" s="46" t="s">
        <v>111</v>
      </c>
      <c r="B6" s="47" t="s">
        <v>112</v>
      </c>
      <c r="C6" s="55" t="s">
        <v>113</v>
      </c>
      <c r="D6" s="56" t="s">
        <v>38</v>
      </c>
      <c r="E6" s="57" t="s">
        <v>39</v>
      </c>
      <c r="F6" s="57" t="s">
        <v>39</v>
      </c>
      <c r="G6" s="57" t="s">
        <v>40</v>
      </c>
      <c r="H6" s="57" t="s">
        <v>39</v>
      </c>
      <c r="I6" s="57" t="s">
        <v>39</v>
      </c>
      <c r="J6" s="57" t="s">
        <v>40</v>
      </c>
      <c r="K6" s="57" t="s">
        <v>38</v>
      </c>
      <c r="L6" s="57" t="s">
        <v>39</v>
      </c>
      <c r="M6" s="57" t="s">
        <v>39</v>
      </c>
      <c r="N6" s="57" t="s">
        <v>39</v>
      </c>
      <c r="O6" s="57" t="s">
        <v>39</v>
      </c>
      <c r="P6" s="119" t="s">
        <v>40</v>
      </c>
      <c r="Q6" s="56" t="s">
        <v>38</v>
      </c>
      <c r="R6" s="57" t="s">
        <v>39</v>
      </c>
      <c r="S6" s="57" t="s">
        <v>39</v>
      </c>
      <c r="T6" s="57" t="s">
        <v>39</v>
      </c>
      <c r="U6" s="57" t="s">
        <v>39</v>
      </c>
      <c r="V6" s="58" t="s">
        <v>39</v>
      </c>
      <c r="W6" s="59" t="s">
        <v>38</v>
      </c>
      <c r="X6" s="57" t="s">
        <v>39</v>
      </c>
      <c r="Y6" s="57" t="s">
        <v>39</v>
      </c>
      <c r="Z6" s="57" t="s">
        <v>39</v>
      </c>
      <c r="AA6" s="57" t="s">
        <v>38</v>
      </c>
      <c r="AB6" s="57" t="s">
        <v>39</v>
      </c>
      <c r="AC6" s="57" t="s">
        <v>39</v>
      </c>
      <c r="AD6" s="57" t="s">
        <v>39</v>
      </c>
      <c r="AE6" s="57" t="s">
        <v>39</v>
      </c>
      <c r="AF6" s="57" t="s">
        <v>39</v>
      </c>
      <c r="AG6" s="56" t="s">
        <v>39</v>
      </c>
      <c r="AH6" s="57" t="s">
        <v>39</v>
      </c>
      <c r="AI6" s="57" t="s">
        <v>38</v>
      </c>
      <c r="AJ6" s="57" t="s">
        <v>39</v>
      </c>
      <c r="AK6" s="57" t="s">
        <v>39</v>
      </c>
      <c r="AL6" s="57" t="s">
        <v>39</v>
      </c>
      <c r="AM6" s="57" t="s">
        <v>39</v>
      </c>
      <c r="AN6" s="57" t="s">
        <v>39</v>
      </c>
      <c r="AO6" s="57" t="s">
        <v>39</v>
      </c>
      <c r="AP6" s="58" t="s">
        <v>39</v>
      </c>
      <c r="AQ6" s="57" t="s">
        <v>39</v>
      </c>
      <c r="AR6" s="57" t="s">
        <v>39</v>
      </c>
      <c r="AS6" s="57" t="s">
        <v>39</v>
      </c>
      <c r="AT6" s="57" t="s">
        <v>39</v>
      </c>
      <c r="AU6" s="57" t="s">
        <v>38</v>
      </c>
      <c r="AV6" s="57" t="s">
        <v>38</v>
      </c>
      <c r="AW6" s="57" t="s">
        <v>38</v>
      </c>
      <c r="AX6" s="57" t="s">
        <v>38</v>
      </c>
      <c r="AY6" s="120" t="s">
        <v>38</v>
      </c>
      <c r="AZ6" s="123" t="s">
        <v>38</v>
      </c>
    </row>
    <row r="7" spans="1:53" s="4" customFormat="1" ht="56.25" customHeight="1">
      <c r="A7" s="46" t="s">
        <v>114</v>
      </c>
      <c r="B7" s="60" t="s">
        <v>115</v>
      </c>
      <c r="C7" s="55" t="s">
        <v>116</v>
      </c>
      <c r="D7" s="56" t="s">
        <v>38</v>
      </c>
      <c r="E7" s="57" t="s">
        <v>38</v>
      </c>
      <c r="F7" s="57" t="s">
        <v>39</v>
      </c>
      <c r="G7" s="57" t="s">
        <v>40</v>
      </c>
      <c r="H7" s="57" t="s">
        <v>39</v>
      </c>
      <c r="I7" s="57" t="s">
        <v>39</v>
      </c>
      <c r="J7" s="57" t="s">
        <v>40</v>
      </c>
      <c r="K7" s="57" t="s">
        <v>38</v>
      </c>
      <c r="L7" s="57" t="s">
        <v>39</v>
      </c>
      <c r="M7" s="57" t="s">
        <v>39</v>
      </c>
      <c r="N7" s="57" t="s">
        <v>39</v>
      </c>
      <c r="O7" s="57" t="s">
        <v>39</v>
      </c>
      <c r="P7" s="122" t="s">
        <v>39</v>
      </c>
      <c r="Q7" s="56" t="s">
        <v>38</v>
      </c>
      <c r="R7" s="57" t="s">
        <v>38</v>
      </c>
      <c r="S7" s="57" t="s">
        <v>38</v>
      </c>
      <c r="T7" s="57" t="s">
        <v>38</v>
      </c>
      <c r="U7" s="57" t="s">
        <v>38</v>
      </c>
      <c r="V7" s="58" t="s">
        <v>38</v>
      </c>
      <c r="W7" s="59" t="s">
        <v>38</v>
      </c>
      <c r="X7" s="57" t="s">
        <v>38</v>
      </c>
      <c r="Y7" s="57" t="s">
        <v>38</v>
      </c>
      <c r="Z7" s="57" t="s">
        <v>38</v>
      </c>
      <c r="AA7" s="57" t="s">
        <v>38</v>
      </c>
      <c r="AB7" s="57" t="s">
        <v>38</v>
      </c>
      <c r="AC7" s="57" t="s">
        <v>38</v>
      </c>
      <c r="AD7" s="57" t="s">
        <v>39</v>
      </c>
      <c r="AE7" s="57" t="s">
        <v>39</v>
      </c>
      <c r="AF7" s="57" t="s">
        <v>39</v>
      </c>
      <c r="AG7" s="56" t="s">
        <v>38</v>
      </c>
      <c r="AH7" s="57" t="s">
        <v>38</v>
      </c>
      <c r="AI7" s="57" t="s">
        <v>38</v>
      </c>
      <c r="AJ7" s="57" t="s">
        <v>39</v>
      </c>
      <c r="AK7" s="57" t="s">
        <v>39</v>
      </c>
      <c r="AL7" s="57" t="s">
        <v>38</v>
      </c>
      <c r="AM7" s="57" t="s">
        <v>38</v>
      </c>
      <c r="AN7" s="57" t="s">
        <v>38</v>
      </c>
      <c r="AO7" s="57" t="s">
        <v>39</v>
      </c>
      <c r="AP7" s="58" t="s">
        <v>39</v>
      </c>
      <c r="AQ7" s="116" t="s">
        <v>39</v>
      </c>
      <c r="AR7" s="116" t="s">
        <v>39</v>
      </c>
      <c r="AS7" s="116" t="s">
        <v>39</v>
      </c>
      <c r="AT7" s="116" t="s">
        <v>39</v>
      </c>
      <c r="AU7" s="57" t="s">
        <v>39</v>
      </c>
      <c r="AV7" s="57" t="s">
        <v>39</v>
      </c>
      <c r="AW7" s="57" t="s">
        <v>39</v>
      </c>
      <c r="AX7" s="57" t="s">
        <v>39</v>
      </c>
      <c r="AY7" s="57"/>
      <c r="AZ7" s="122"/>
    </row>
    <row r="8" spans="1:53" s="4" customFormat="1" ht="59.25" customHeight="1">
      <c r="A8" s="46" t="s">
        <v>117</v>
      </c>
      <c r="B8" s="47" t="s">
        <v>118</v>
      </c>
      <c r="C8" s="55" t="s">
        <v>119</v>
      </c>
      <c r="D8" s="56" t="s">
        <v>38</v>
      </c>
      <c r="E8" s="57" t="s">
        <v>38</v>
      </c>
      <c r="F8" s="57" t="s">
        <v>39</v>
      </c>
      <c r="G8" s="57" t="s">
        <v>39</v>
      </c>
      <c r="H8" s="57" t="s">
        <v>39</v>
      </c>
      <c r="I8" s="57" t="s">
        <v>39</v>
      </c>
      <c r="J8" s="57" t="s">
        <v>39</v>
      </c>
      <c r="K8" s="57" t="s">
        <v>38</v>
      </c>
      <c r="L8" s="57" t="s">
        <v>38</v>
      </c>
      <c r="M8" s="57" t="s">
        <v>39</v>
      </c>
      <c r="N8" s="57" t="s">
        <v>39</v>
      </c>
      <c r="O8" s="57" t="s">
        <v>39</v>
      </c>
      <c r="P8" s="122" t="s">
        <v>39</v>
      </c>
      <c r="Q8" s="56" t="s">
        <v>38</v>
      </c>
      <c r="R8" s="57" t="s">
        <v>39</v>
      </c>
      <c r="S8" s="57" t="s">
        <v>39</v>
      </c>
      <c r="T8" s="57" t="s">
        <v>39</v>
      </c>
      <c r="U8" s="57" t="s">
        <v>39</v>
      </c>
      <c r="V8" s="58" t="s">
        <v>39</v>
      </c>
      <c r="W8" s="59" t="s">
        <v>38</v>
      </c>
      <c r="X8" s="57" t="s">
        <v>39</v>
      </c>
      <c r="Y8" s="57" t="s">
        <v>39</v>
      </c>
      <c r="Z8" s="57" t="s">
        <v>39</v>
      </c>
      <c r="AA8" s="57" t="s">
        <v>38</v>
      </c>
      <c r="AB8" s="57" t="s">
        <v>38</v>
      </c>
      <c r="AC8" s="57" t="s">
        <v>39</v>
      </c>
      <c r="AD8" s="57" t="s">
        <v>39</v>
      </c>
      <c r="AE8" s="57" t="s">
        <v>39</v>
      </c>
      <c r="AF8" s="57" t="s">
        <v>39</v>
      </c>
      <c r="AG8" s="56" t="s">
        <v>39</v>
      </c>
      <c r="AH8" s="57" t="s">
        <v>39</v>
      </c>
      <c r="AI8" s="57" t="s">
        <v>38</v>
      </c>
      <c r="AJ8" s="57" t="s">
        <v>38</v>
      </c>
      <c r="AK8" s="57" t="s">
        <v>39</v>
      </c>
      <c r="AL8" s="57" t="s">
        <v>39</v>
      </c>
      <c r="AM8" s="57" t="s">
        <v>39</v>
      </c>
      <c r="AN8" s="57" t="s">
        <v>39</v>
      </c>
      <c r="AO8" s="57" t="s">
        <v>40</v>
      </c>
      <c r="AP8" s="58" t="s">
        <v>39</v>
      </c>
      <c r="AQ8" s="57" t="s">
        <v>39</v>
      </c>
      <c r="AR8" s="57" t="s">
        <v>39</v>
      </c>
      <c r="AS8" s="57" t="s">
        <v>39</v>
      </c>
      <c r="AT8" s="57" t="s">
        <v>39</v>
      </c>
      <c r="AU8" s="64" t="s">
        <v>39</v>
      </c>
      <c r="AV8" s="64" t="s">
        <v>39</v>
      </c>
      <c r="AW8" s="64" t="s">
        <v>39</v>
      </c>
      <c r="AX8" s="64" t="s">
        <v>39</v>
      </c>
      <c r="AY8" s="64" t="s">
        <v>39</v>
      </c>
      <c r="AZ8" s="124" t="s">
        <v>39</v>
      </c>
    </row>
    <row r="9" spans="1:53" s="4" customFormat="1" ht="62.25" customHeight="1">
      <c r="A9" s="61" t="s">
        <v>120</v>
      </c>
      <c r="B9" s="62" t="s">
        <v>121</v>
      </c>
      <c r="C9" s="63" t="s">
        <v>122</v>
      </c>
      <c r="D9" s="56" t="s">
        <v>38</v>
      </c>
      <c r="E9" s="57" t="s">
        <v>39</v>
      </c>
      <c r="F9" s="57" t="s">
        <v>39</v>
      </c>
      <c r="G9" s="57" t="s">
        <v>39</v>
      </c>
      <c r="H9" s="57" t="s">
        <v>39</v>
      </c>
      <c r="I9" s="57" t="s">
        <v>39</v>
      </c>
      <c r="J9" s="57" t="s">
        <v>39</v>
      </c>
      <c r="K9" s="57" t="s">
        <v>38</v>
      </c>
      <c r="L9" s="57" t="s">
        <v>39</v>
      </c>
      <c r="M9" s="57" t="s">
        <v>39</v>
      </c>
      <c r="N9" s="57" t="s">
        <v>39</v>
      </c>
      <c r="O9" s="57" t="s">
        <v>39</v>
      </c>
      <c r="P9" s="122" t="s">
        <v>39</v>
      </c>
      <c r="Q9" s="56" t="s">
        <v>39</v>
      </c>
      <c r="R9" s="57" t="s">
        <v>39</v>
      </c>
      <c r="S9" s="57" t="s">
        <v>39</v>
      </c>
      <c r="T9" s="57" t="s">
        <v>39</v>
      </c>
      <c r="U9" s="57" t="s">
        <v>39</v>
      </c>
      <c r="V9" s="58" t="s">
        <v>39</v>
      </c>
      <c r="W9" s="59" t="s">
        <v>39</v>
      </c>
      <c r="X9" s="57" t="s">
        <v>39</v>
      </c>
      <c r="Y9" s="57" t="s">
        <v>39</v>
      </c>
      <c r="Z9" s="64" t="s">
        <v>39</v>
      </c>
      <c r="AA9" s="64" t="s">
        <v>38</v>
      </c>
      <c r="AB9" s="64" t="s">
        <v>38</v>
      </c>
      <c r="AC9" s="64" t="s">
        <v>39</v>
      </c>
      <c r="AD9" s="64" t="s">
        <v>39</v>
      </c>
      <c r="AE9" s="64" t="s">
        <v>39</v>
      </c>
      <c r="AF9" s="64" t="s">
        <v>39</v>
      </c>
      <c r="AG9" s="125" t="s">
        <v>39</v>
      </c>
      <c r="AH9" s="57" t="s">
        <v>39</v>
      </c>
      <c r="AI9" s="57" t="s">
        <v>38</v>
      </c>
      <c r="AJ9" s="57" t="s">
        <v>39</v>
      </c>
      <c r="AK9" s="57" t="s">
        <v>39</v>
      </c>
      <c r="AL9" s="64" t="s">
        <v>39</v>
      </c>
      <c r="AM9" s="64" t="s">
        <v>39</v>
      </c>
      <c r="AN9" s="64" t="s">
        <v>39</v>
      </c>
      <c r="AO9" s="64" t="s">
        <v>40</v>
      </c>
      <c r="AP9" s="126" t="s">
        <v>39</v>
      </c>
      <c r="AQ9" s="64" t="s">
        <v>39</v>
      </c>
      <c r="AR9" s="64" t="s">
        <v>39</v>
      </c>
      <c r="AS9" s="64" t="s">
        <v>39</v>
      </c>
      <c r="AT9" s="64" t="s">
        <v>39</v>
      </c>
      <c r="AU9" s="57" t="s">
        <v>38</v>
      </c>
      <c r="AV9" s="57" t="s">
        <v>38</v>
      </c>
      <c r="AW9" s="57" t="s">
        <v>38</v>
      </c>
      <c r="AX9" s="57" t="s">
        <v>38</v>
      </c>
      <c r="AY9" s="57" t="s">
        <v>38</v>
      </c>
      <c r="AZ9" s="122" t="s">
        <v>38</v>
      </c>
    </row>
    <row r="10" spans="1:53" s="4" customFormat="1" ht="45" customHeight="1">
      <c r="A10" s="46" t="s">
        <v>123</v>
      </c>
      <c r="B10" s="47" t="s">
        <v>124</v>
      </c>
      <c r="C10" s="55" t="s">
        <v>125</v>
      </c>
      <c r="D10" s="56" t="s">
        <v>38</v>
      </c>
      <c r="E10" s="57" t="s">
        <v>38</v>
      </c>
      <c r="F10" s="57" t="s">
        <v>39</v>
      </c>
      <c r="G10" s="57" t="s">
        <v>40</v>
      </c>
      <c r="H10" s="57" t="s">
        <v>39</v>
      </c>
      <c r="I10" s="57" t="s">
        <v>40</v>
      </c>
      <c r="J10" s="57" t="s">
        <v>40</v>
      </c>
      <c r="K10" s="57" t="s">
        <v>38</v>
      </c>
      <c r="L10" s="127" t="s">
        <v>38</v>
      </c>
      <c r="M10" s="57" t="s">
        <v>38</v>
      </c>
      <c r="N10" s="57" t="s">
        <v>38</v>
      </c>
      <c r="O10" s="57" t="s">
        <v>39</v>
      </c>
      <c r="P10" s="122" t="s">
        <v>40</v>
      </c>
      <c r="Q10" s="56" t="s">
        <v>38</v>
      </c>
      <c r="R10" s="57" t="s">
        <v>38</v>
      </c>
      <c r="S10" s="57" t="s">
        <v>39</v>
      </c>
      <c r="T10" s="57" t="s">
        <v>39</v>
      </c>
      <c r="U10" s="57" t="s">
        <v>40</v>
      </c>
      <c r="V10" s="58" t="s">
        <v>40</v>
      </c>
      <c r="W10" s="59" t="s">
        <v>38</v>
      </c>
      <c r="X10" s="57" t="s">
        <v>38</v>
      </c>
      <c r="Y10" s="57" t="s">
        <v>39</v>
      </c>
      <c r="Z10" s="57" t="s">
        <v>38</v>
      </c>
      <c r="AA10" s="57" t="s">
        <v>37</v>
      </c>
      <c r="AB10" s="57" t="s">
        <v>38</v>
      </c>
      <c r="AC10" s="57" t="s">
        <v>38</v>
      </c>
      <c r="AD10" s="57" t="s">
        <v>38</v>
      </c>
      <c r="AE10" s="57" t="s">
        <v>38</v>
      </c>
      <c r="AF10" s="57" t="s">
        <v>38</v>
      </c>
      <c r="AG10" s="56" t="s">
        <v>38</v>
      </c>
      <c r="AH10" s="57" t="s">
        <v>39</v>
      </c>
      <c r="AI10" s="57" t="s">
        <v>38</v>
      </c>
      <c r="AJ10" s="57" t="s">
        <v>38</v>
      </c>
      <c r="AK10" s="57" t="s">
        <v>38</v>
      </c>
      <c r="AL10" s="57" t="s">
        <v>38</v>
      </c>
      <c r="AM10" s="57" t="s">
        <v>38</v>
      </c>
      <c r="AN10" s="57" t="s">
        <v>38</v>
      </c>
      <c r="AO10" s="57" t="s">
        <v>38</v>
      </c>
      <c r="AP10" s="58" t="s">
        <v>38</v>
      </c>
      <c r="AQ10" s="57" t="s">
        <v>38</v>
      </c>
      <c r="AR10" s="57" t="s">
        <v>38</v>
      </c>
      <c r="AS10" s="57" t="s">
        <v>38</v>
      </c>
      <c r="AT10" s="57" t="s">
        <v>38</v>
      </c>
      <c r="AU10" s="57" t="s">
        <v>38</v>
      </c>
      <c r="AV10" s="57" t="s">
        <v>38</v>
      </c>
      <c r="AW10" s="57" t="s">
        <v>38</v>
      </c>
      <c r="AX10" s="57" t="s">
        <v>38</v>
      </c>
      <c r="AY10" s="57" t="s">
        <v>38</v>
      </c>
      <c r="AZ10" s="122" t="s">
        <v>38</v>
      </c>
    </row>
    <row r="11" spans="1:53" s="4" customFormat="1" ht="52.5" customHeight="1" thickBot="1">
      <c r="A11" s="46" t="s">
        <v>126</v>
      </c>
      <c r="B11" s="47" t="s">
        <v>127</v>
      </c>
      <c r="C11" s="55" t="s">
        <v>128</v>
      </c>
      <c r="D11" s="56" t="s">
        <v>38</v>
      </c>
      <c r="E11" s="57" t="s">
        <v>38</v>
      </c>
      <c r="F11" s="57" t="s">
        <v>39</v>
      </c>
      <c r="G11" s="57" t="s">
        <v>40</v>
      </c>
      <c r="H11" s="57" t="s">
        <v>39</v>
      </c>
      <c r="I11" s="57" t="s">
        <v>39</v>
      </c>
      <c r="J11" s="57" t="s">
        <v>40</v>
      </c>
      <c r="K11" s="57" t="s">
        <v>38</v>
      </c>
      <c r="L11" s="57" t="s">
        <v>38</v>
      </c>
      <c r="M11" s="57" t="s">
        <v>38</v>
      </c>
      <c r="N11" s="57" t="s">
        <v>38</v>
      </c>
      <c r="O11" s="57" t="s">
        <v>39</v>
      </c>
      <c r="P11" s="122" t="s">
        <v>40</v>
      </c>
      <c r="Q11" s="56" t="s">
        <v>38</v>
      </c>
      <c r="R11" s="57" t="s">
        <v>38</v>
      </c>
      <c r="S11" s="57" t="s">
        <v>39</v>
      </c>
      <c r="T11" s="57" t="s">
        <v>39</v>
      </c>
      <c r="U11" s="57" t="s">
        <v>40</v>
      </c>
      <c r="V11" s="58" t="s">
        <v>40</v>
      </c>
      <c r="W11" s="59" t="s">
        <v>38</v>
      </c>
      <c r="X11" s="57" t="s">
        <v>38</v>
      </c>
      <c r="Y11" s="57" t="s">
        <v>39</v>
      </c>
      <c r="Z11" s="57" t="s">
        <v>38</v>
      </c>
      <c r="AA11" s="57" t="s">
        <v>37</v>
      </c>
      <c r="AB11" s="57" t="s">
        <v>38</v>
      </c>
      <c r="AC11" s="57" t="s">
        <v>38</v>
      </c>
      <c r="AD11" s="57" t="s">
        <v>38</v>
      </c>
      <c r="AE11" s="57" t="s">
        <v>38</v>
      </c>
      <c r="AF11" s="57" t="s">
        <v>38</v>
      </c>
      <c r="AG11" s="56" t="s">
        <v>38</v>
      </c>
      <c r="AH11" s="57" t="s">
        <v>39</v>
      </c>
      <c r="AI11" s="57" t="s">
        <v>38</v>
      </c>
      <c r="AJ11" s="57" t="s">
        <v>38</v>
      </c>
      <c r="AK11" s="57" t="s">
        <v>38</v>
      </c>
      <c r="AL11" s="57" t="s">
        <v>38</v>
      </c>
      <c r="AM11" s="57" t="s">
        <v>38</v>
      </c>
      <c r="AN11" s="57" t="s">
        <v>38</v>
      </c>
      <c r="AO11" s="57" t="s">
        <v>38</v>
      </c>
      <c r="AP11" s="58" t="s">
        <v>38</v>
      </c>
      <c r="AQ11" s="57" t="s">
        <v>38</v>
      </c>
      <c r="AR11" s="57" t="s">
        <v>38</v>
      </c>
      <c r="AS11" s="57" t="s">
        <v>38</v>
      </c>
      <c r="AT11" s="57" t="s">
        <v>38</v>
      </c>
      <c r="AU11" s="67" t="s">
        <v>38</v>
      </c>
      <c r="AV11" s="67" t="s">
        <v>38</v>
      </c>
      <c r="AW11" s="67" t="s">
        <v>38</v>
      </c>
      <c r="AX11" s="67" t="s">
        <v>38</v>
      </c>
      <c r="AY11" s="67" t="s">
        <v>38</v>
      </c>
      <c r="AZ11" s="128" t="s">
        <v>38</v>
      </c>
    </row>
    <row r="12" spans="1:53" s="4" customFormat="1" ht="62.25" customHeight="1" thickBot="1">
      <c r="A12" s="48" t="s">
        <v>129</v>
      </c>
      <c r="B12" s="49" t="s">
        <v>130</v>
      </c>
      <c r="C12" s="65" t="s">
        <v>131</v>
      </c>
      <c r="D12" s="125" t="s">
        <v>38</v>
      </c>
      <c r="E12" s="64" t="s">
        <v>38</v>
      </c>
      <c r="F12" s="64" t="s">
        <v>39</v>
      </c>
      <c r="G12" s="64" t="s">
        <v>40</v>
      </c>
      <c r="H12" s="64" t="s">
        <v>38</v>
      </c>
      <c r="I12" s="64" t="s">
        <v>38</v>
      </c>
      <c r="J12" s="64" t="s">
        <v>40</v>
      </c>
      <c r="K12" s="64" t="s">
        <v>38</v>
      </c>
      <c r="L12" s="64" t="s">
        <v>38</v>
      </c>
      <c r="M12" s="64" t="s">
        <v>39</v>
      </c>
      <c r="N12" s="64" t="s">
        <v>39</v>
      </c>
      <c r="O12" s="64" t="s">
        <v>39</v>
      </c>
      <c r="P12" s="124" t="s">
        <v>40</v>
      </c>
      <c r="Q12" s="66" t="s">
        <v>38</v>
      </c>
      <c r="R12" s="67" t="s">
        <v>38</v>
      </c>
      <c r="S12" s="67" t="s">
        <v>39</v>
      </c>
      <c r="T12" s="67" t="s">
        <v>39</v>
      </c>
      <c r="U12" s="67" t="s">
        <v>40</v>
      </c>
      <c r="V12" s="68" t="s">
        <v>40</v>
      </c>
      <c r="W12" s="59" t="s">
        <v>38</v>
      </c>
      <c r="X12" s="57" t="s">
        <v>38</v>
      </c>
      <c r="Y12" s="57" t="s">
        <v>39</v>
      </c>
      <c r="Z12" s="67" t="s">
        <v>38</v>
      </c>
      <c r="AA12" s="67" t="s">
        <v>37</v>
      </c>
      <c r="AB12" s="67" t="s">
        <v>38</v>
      </c>
      <c r="AC12" s="67" t="s">
        <v>38</v>
      </c>
      <c r="AD12" s="67" t="s">
        <v>38</v>
      </c>
      <c r="AE12" s="67" t="s">
        <v>38</v>
      </c>
      <c r="AF12" s="67" t="s">
        <v>38</v>
      </c>
      <c r="AG12" s="66" t="s">
        <v>38</v>
      </c>
      <c r="AH12" s="67" t="s">
        <v>39</v>
      </c>
      <c r="AI12" s="64" t="s">
        <v>36</v>
      </c>
      <c r="AJ12" s="64" t="s">
        <v>38</v>
      </c>
      <c r="AK12" s="64" t="s">
        <v>38</v>
      </c>
      <c r="AL12" s="67" t="s">
        <v>38</v>
      </c>
      <c r="AM12" s="67" t="s">
        <v>38</v>
      </c>
      <c r="AN12" s="67" t="s">
        <v>38</v>
      </c>
      <c r="AO12" s="67" t="s">
        <v>38</v>
      </c>
      <c r="AP12" s="68" t="s">
        <v>38</v>
      </c>
      <c r="AQ12" s="67" t="s">
        <v>38</v>
      </c>
      <c r="AR12" s="67" t="s">
        <v>38</v>
      </c>
      <c r="AS12" s="67" t="s">
        <v>38</v>
      </c>
      <c r="AT12" s="67" t="s">
        <v>38</v>
      </c>
      <c r="AU12" s="52" t="s">
        <v>38</v>
      </c>
      <c r="AV12" s="52" t="s">
        <v>38</v>
      </c>
      <c r="AW12" s="52" t="s">
        <v>38</v>
      </c>
      <c r="AX12" s="52" t="s">
        <v>38</v>
      </c>
      <c r="AY12" s="129" t="s">
        <v>38</v>
      </c>
      <c r="AZ12" s="130" t="s">
        <v>38</v>
      </c>
    </row>
    <row r="13" spans="1:53" s="4" customFormat="1" ht="73.5" customHeight="1" thickBot="1">
      <c r="A13" s="44" t="s">
        <v>132</v>
      </c>
      <c r="B13" s="45" t="s">
        <v>133</v>
      </c>
      <c r="C13" s="50" t="s">
        <v>134</v>
      </c>
      <c r="D13" s="51" t="s">
        <v>37</v>
      </c>
      <c r="E13" s="52" t="s">
        <v>37</v>
      </c>
      <c r="F13" s="52" t="s">
        <v>38</v>
      </c>
      <c r="G13" s="52" t="s">
        <v>38</v>
      </c>
      <c r="H13" s="52" t="s">
        <v>38</v>
      </c>
      <c r="I13" s="52" t="s">
        <v>38</v>
      </c>
      <c r="J13" s="52" t="s">
        <v>38</v>
      </c>
      <c r="K13" s="52" t="s">
        <v>37</v>
      </c>
      <c r="L13" s="52" t="s">
        <v>37</v>
      </c>
      <c r="M13" s="52" t="s">
        <v>37</v>
      </c>
      <c r="N13" s="52" t="s">
        <v>37</v>
      </c>
      <c r="O13" s="52" t="s">
        <v>40</v>
      </c>
      <c r="P13" s="131" t="s">
        <v>40</v>
      </c>
      <c r="Q13" s="51" t="s">
        <v>38</v>
      </c>
      <c r="R13" s="52" t="s">
        <v>38</v>
      </c>
      <c r="S13" s="52" t="s">
        <v>39</v>
      </c>
      <c r="T13" s="52" t="s">
        <v>39</v>
      </c>
      <c r="U13" s="52" t="s">
        <v>40</v>
      </c>
      <c r="V13" s="53" t="s">
        <v>40</v>
      </c>
      <c r="W13" s="59" t="s">
        <v>38</v>
      </c>
      <c r="X13" s="57" t="s">
        <v>38</v>
      </c>
      <c r="Y13" s="57" t="s">
        <v>39</v>
      </c>
      <c r="Z13" s="52" t="s">
        <v>38</v>
      </c>
      <c r="AA13" s="52" t="s">
        <v>37</v>
      </c>
      <c r="AB13" s="52" t="s">
        <v>38</v>
      </c>
      <c r="AC13" s="52" t="s">
        <v>38</v>
      </c>
      <c r="AD13" s="52" t="s">
        <v>38</v>
      </c>
      <c r="AE13" s="52" t="s">
        <v>38</v>
      </c>
      <c r="AF13" s="69" t="s">
        <v>39</v>
      </c>
      <c r="AG13" s="132" t="s">
        <v>39</v>
      </c>
      <c r="AH13" s="52" t="s">
        <v>39</v>
      </c>
      <c r="AI13" s="52" t="s">
        <v>37</v>
      </c>
      <c r="AJ13" s="52" t="s">
        <v>37</v>
      </c>
      <c r="AK13" s="52" t="s">
        <v>37</v>
      </c>
      <c r="AL13" s="52" t="s">
        <v>38</v>
      </c>
      <c r="AM13" s="52" t="s">
        <v>38</v>
      </c>
      <c r="AN13" s="52" t="s">
        <v>38</v>
      </c>
      <c r="AO13" s="114" t="s">
        <v>40</v>
      </c>
      <c r="AP13" s="53" t="s">
        <v>39</v>
      </c>
      <c r="AQ13" s="69" t="s">
        <v>39</v>
      </c>
      <c r="AR13" s="69" t="s">
        <v>39</v>
      </c>
      <c r="AS13" s="69" t="s">
        <v>39</v>
      </c>
      <c r="AT13" s="69" t="s">
        <v>39</v>
      </c>
      <c r="AU13" s="57"/>
      <c r="AV13" s="57"/>
      <c r="AW13" s="57"/>
      <c r="AX13" s="57"/>
      <c r="AY13" s="64" t="s">
        <v>39</v>
      </c>
      <c r="AZ13" s="124" t="s">
        <v>39</v>
      </c>
    </row>
    <row r="14" spans="1:53" s="4" customFormat="1" ht="42.6" customHeight="1" thickBot="1">
      <c r="A14" s="46" t="s">
        <v>135</v>
      </c>
      <c r="B14" s="47" t="s">
        <v>136</v>
      </c>
      <c r="C14" s="55" t="s">
        <v>137</v>
      </c>
      <c r="D14" s="56" t="s">
        <v>36</v>
      </c>
      <c r="E14" s="57" t="s">
        <v>36</v>
      </c>
      <c r="F14" s="57" t="s">
        <v>36</v>
      </c>
      <c r="G14" s="57" t="s">
        <v>36</v>
      </c>
      <c r="H14" s="57" t="s">
        <v>36</v>
      </c>
      <c r="I14" s="57" t="s">
        <v>36</v>
      </c>
      <c r="J14" s="57" t="s">
        <v>36</v>
      </c>
      <c r="K14" s="57" t="s">
        <v>37</v>
      </c>
      <c r="L14" s="57" t="s">
        <v>36</v>
      </c>
      <c r="M14" s="57" t="s">
        <v>36</v>
      </c>
      <c r="N14" s="57" t="s">
        <v>36</v>
      </c>
      <c r="O14" s="57" t="s">
        <v>38</v>
      </c>
      <c r="P14" s="122" t="s">
        <v>38</v>
      </c>
      <c r="Q14" s="56" t="s">
        <v>38</v>
      </c>
      <c r="R14" s="57" t="s">
        <v>38</v>
      </c>
      <c r="S14" s="57" t="s">
        <v>39</v>
      </c>
      <c r="T14" s="57" t="s">
        <v>39</v>
      </c>
      <c r="U14" s="57" t="s">
        <v>40</v>
      </c>
      <c r="V14" s="58" t="s">
        <v>40</v>
      </c>
      <c r="W14" s="59" t="s">
        <v>38</v>
      </c>
      <c r="X14" s="57" t="s">
        <v>38</v>
      </c>
      <c r="Y14" s="57" t="s">
        <v>39</v>
      </c>
      <c r="Z14" s="57" t="s">
        <v>36</v>
      </c>
      <c r="AA14" s="57" t="s">
        <v>37</v>
      </c>
      <c r="AB14" s="52" t="s">
        <v>38</v>
      </c>
      <c r="AC14" s="52" t="s">
        <v>38</v>
      </c>
      <c r="AD14" s="52" t="s">
        <v>38</v>
      </c>
      <c r="AE14" s="52" t="s">
        <v>38</v>
      </c>
      <c r="AF14" s="64" t="s">
        <v>39</v>
      </c>
      <c r="AG14" s="57" t="s">
        <v>36</v>
      </c>
      <c r="AH14" s="57" t="s">
        <v>39</v>
      </c>
      <c r="AI14" s="57" t="s">
        <v>37</v>
      </c>
      <c r="AJ14" s="57" t="s">
        <v>36</v>
      </c>
      <c r="AK14" s="57" t="s">
        <v>36</v>
      </c>
      <c r="AL14" s="57" t="s">
        <v>36</v>
      </c>
      <c r="AM14" s="57" t="s">
        <v>36</v>
      </c>
      <c r="AN14" s="57" t="s">
        <v>36</v>
      </c>
      <c r="AO14" s="57" t="s">
        <v>36</v>
      </c>
      <c r="AP14" s="58" t="s">
        <v>39</v>
      </c>
      <c r="AQ14" s="64" t="s">
        <v>39</v>
      </c>
      <c r="AR14" s="64" t="s">
        <v>39</v>
      </c>
      <c r="AS14" s="64" t="s">
        <v>39</v>
      </c>
      <c r="AT14" s="64" t="s">
        <v>39</v>
      </c>
      <c r="AU14" s="57"/>
      <c r="AV14" s="57"/>
      <c r="AW14" s="57"/>
      <c r="AX14" s="57"/>
      <c r="AY14" s="120"/>
      <c r="AZ14" s="123"/>
    </row>
    <row r="15" spans="1:53" s="4" customFormat="1" ht="63" customHeight="1" thickBot="1">
      <c r="A15" s="46" t="s">
        <v>138</v>
      </c>
      <c r="B15" s="70" t="s">
        <v>139</v>
      </c>
      <c r="C15" s="55" t="s">
        <v>140</v>
      </c>
      <c r="D15" s="56" t="s">
        <v>37</v>
      </c>
      <c r="E15" s="57" t="s">
        <v>37</v>
      </c>
      <c r="F15" s="57" t="s">
        <v>37</v>
      </c>
      <c r="G15" s="57" t="s">
        <v>37</v>
      </c>
      <c r="H15" s="57" t="s">
        <v>37</v>
      </c>
      <c r="I15" s="57" t="s">
        <v>37</v>
      </c>
      <c r="J15" s="57" t="s">
        <v>37</v>
      </c>
      <c r="K15" s="57" t="s">
        <v>37</v>
      </c>
      <c r="L15" s="57" t="s">
        <v>37</v>
      </c>
      <c r="M15" s="57" t="s">
        <v>38</v>
      </c>
      <c r="N15" s="57" t="s">
        <v>38</v>
      </c>
      <c r="O15" s="57" t="s">
        <v>38</v>
      </c>
      <c r="P15" s="122" t="s">
        <v>38</v>
      </c>
      <c r="Q15" s="56" t="s">
        <v>38</v>
      </c>
      <c r="R15" s="57" t="s">
        <v>38</v>
      </c>
      <c r="S15" s="57" t="s">
        <v>39</v>
      </c>
      <c r="T15" s="57" t="s">
        <v>39</v>
      </c>
      <c r="U15" s="57" t="s">
        <v>40</v>
      </c>
      <c r="V15" s="58" t="s">
        <v>40</v>
      </c>
      <c r="W15" s="59" t="s">
        <v>38</v>
      </c>
      <c r="X15" s="57" t="s">
        <v>38</v>
      </c>
      <c r="Y15" s="57" t="s">
        <v>39</v>
      </c>
      <c r="Z15" s="57" t="s">
        <v>38</v>
      </c>
      <c r="AA15" s="52" t="s">
        <v>37</v>
      </c>
      <c r="AB15" s="57" t="s">
        <v>38</v>
      </c>
      <c r="AC15" s="57" t="s">
        <v>38</v>
      </c>
      <c r="AD15" s="57" t="s">
        <v>38</v>
      </c>
      <c r="AE15" s="57" t="s">
        <v>38</v>
      </c>
      <c r="AF15" s="64" t="s">
        <v>39</v>
      </c>
      <c r="AG15" s="57" t="s">
        <v>36</v>
      </c>
      <c r="AH15" s="57" t="s">
        <v>39</v>
      </c>
      <c r="AI15" s="57" t="s">
        <v>37</v>
      </c>
      <c r="AJ15" s="57" t="s">
        <v>36</v>
      </c>
      <c r="AK15" s="57" t="s">
        <v>36</v>
      </c>
      <c r="AL15" s="57" t="s">
        <v>38</v>
      </c>
      <c r="AM15" s="57" t="s">
        <v>38</v>
      </c>
      <c r="AN15" s="57" t="s">
        <v>38</v>
      </c>
      <c r="AO15" s="57" t="s">
        <v>36</v>
      </c>
      <c r="AP15" s="58" t="s">
        <v>39</v>
      </c>
      <c r="AQ15" s="64" t="s">
        <v>39</v>
      </c>
      <c r="AR15" s="64" t="s">
        <v>39</v>
      </c>
      <c r="AS15" s="64" t="s">
        <v>39</v>
      </c>
      <c r="AT15" s="64" t="s">
        <v>39</v>
      </c>
      <c r="AU15" s="57"/>
      <c r="AV15" s="57"/>
      <c r="AW15" s="57"/>
      <c r="AX15" s="57"/>
      <c r="AY15" s="57"/>
      <c r="AZ15" s="122"/>
    </row>
    <row r="16" spans="1:53" s="4" customFormat="1" ht="47.25" customHeight="1">
      <c r="A16" s="46" t="s">
        <v>141</v>
      </c>
      <c r="B16" s="47" t="s">
        <v>142</v>
      </c>
      <c r="C16" s="55" t="s">
        <v>143</v>
      </c>
      <c r="D16" s="56" t="s">
        <v>37</v>
      </c>
      <c r="E16" s="57" t="s">
        <v>37</v>
      </c>
      <c r="F16" s="57" t="s">
        <v>37</v>
      </c>
      <c r="G16" s="57" t="s">
        <v>37</v>
      </c>
      <c r="H16" s="57" t="s">
        <v>37</v>
      </c>
      <c r="I16" s="57" t="s">
        <v>37</v>
      </c>
      <c r="J16" s="57" t="s">
        <v>37</v>
      </c>
      <c r="K16" s="57" t="s">
        <v>37</v>
      </c>
      <c r="L16" s="57" t="s">
        <v>37</v>
      </c>
      <c r="M16" s="57" t="s">
        <v>37</v>
      </c>
      <c r="N16" s="57" t="s">
        <v>37</v>
      </c>
      <c r="O16" s="57" t="s">
        <v>39</v>
      </c>
      <c r="P16" s="122" t="s">
        <v>39</v>
      </c>
      <c r="Q16" s="56" t="s">
        <v>38</v>
      </c>
      <c r="R16" s="57" t="s">
        <v>38</v>
      </c>
      <c r="S16" s="57" t="s">
        <v>39</v>
      </c>
      <c r="T16" s="57" t="s">
        <v>39</v>
      </c>
      <c r="U16" s="57" t="s">
        <v>40</v>
      </c>
      <c r="V16" s="58" t="s">
        <v>40</v>
      </c>
      <c r="W16" s="59" t="s">
        <v>38</v>
      </c>
      <c r="X16" s="57" t="s">
        <v>38</v>
      </c>
      <c r="Y16" s="57" t="s">
        <v>39</v>
      </c>
      <c r="Z16" s="57" t="s">
        <v>38</v>
      </c>
      <c r="AA16" s="52" t="s">
        <v>37</v>
      </c>
      <c r="AB16" s="57" t="s">
        <v>38</v>
      </c>
      <c r="AC16" s="57" t="s">
        <v>38</v>
      </c>
      <c r="AD16" s="57" t="s">
        <v>38</v>
      </c>
      <c r="AE16" s="57" t="s">
        <v>38</v>
      </c>
      <c r="AF16" s="64" t="s">
        <v>39</v>
      </c>
      <c r="AG16" s="125" t="s">
        <v>39</v>
      </c>
      <c r="AH16" s="57" t="s">
        <v>39</v>
      </c>
      <c r="AI16" s="57" t="s">
        <v>37</v>
      </c>
      <c r="AJ16" s="57" t="s">
        <v>37</v>
      </c>
      <c r="AK16" s="57" t="s">
        <v>37</v>
      </c>
      <c r="AL16" s="57" t="s">
        <v>38</v>
      </c>
      <c r="AM16" s="57" t="s">
        <v>38</v>
      </c>
      <c r="AN16" s="57" t="s">
        <v>38</v>
      </c>
      <c r="AO16" s="64" t="s">
        <v>39</v>
      </c>
      <c r="AP16" s="58" t="s">
        <v>39</v>
      </c>
      <c r="AQ16" s="64" t="s">
        <v>39</v>
      </c>
      <c r="AR16" s="64" t="s">
        <v>39</v>
      </c>
      <c r="AS16" s="64" t="s">
        <v>39</v>
      </c>
      <c r="AT16" s="64" t="s">
        <v>39</v>
      </c>
      <c r="AU16" s="57" t="s">
        <v>39</v>
      </c>
      <c r="AV16" s="57" t="s">
        <v>39</v>
      </c>
      <c r="AW16" s="57" t="s">
        <v>39</v>
      </c>
      <c r="AX16" s="57" t="s">
        <v>39</v>
      </c>
      <c r="AY16" s="57"/>
      <c r="AZ16" s="122"/>
    </row>
    <row r="17" spans="1:52" s="4" customFormat="1" ht="52.5" customHeight="1" thickBot="1">
      <c r="A17" s="46" t="s">
        <v>144</v>
      </c>
      <c r="B17" s="47" t="s">
        <v>145</v>
      </c>
      <c r="C17" s="55" t="s">
        <v>146</v>
      </c>
      <c r="D17" s="133" t="s">
        <v>37</v>
      </c>
      <c r="E17" s="120" t="s">
        <v>37</v>
      </c>
      <c r="F17" s="120" t="s">
        <v>37</v>
      </c>
      <c r="G17" s="120" t="s">
        <v>37</v>
      </c>
      <c r="H17" s="120" t="s">
        <v>37</v>
      </c>
      <c r="I17" s="120" t="s">
        <v>37</v>
      </c>
      <c r="J17" s="120" t="s">
        <v>37</v>
      </c>
      <c r="K17" s="120" t="s">
        <v>37</v>
      </c>
      <c r="L17" s="120" t="s">
        <v>38</v>
      </c>
      <c r="M17" s="121" t="s">
        <v>38</v>
      </c>
      <c r="N17" s="57" t="s">
        <v>38</v>
      </c>
      <c r="O17" s="57" t="s">
        <v>38</v>
      </c>
      <c r="P17" s="122" t="s">
        <v>40</v>
      </c>
      <c r="Q17" s="56" t="s">
        <v>38</v>
      </c>
      <c r="R17" s="57" t="s">
        <v>39</v>
      </c>
      <c r="S17" s="57" t="s">
        <v>39</v>
      </c>
      <c r="T17" s="57" t="s">
        <v>39</v>
      </c>
      <c r="U17" s="57" t="s">
        <v>39</v>
      </c>
      <c r="V17" s="58" t="s">
        <v>39</v>
      </c>
      <c r="W17" s="59" t="s">
        <v>38</v>
      </c>
      <c r="X17" s="57" t="s">
        <v>39</v>
      </c>
      <c r="Y17" s="57" t="s">
        <v>39</v>
      </c>
      <c r="Z17" s="57" t="s">
        <v>39</v>
      </c>
      <c r="AA17" s="57" t="s">
        <v>37</v>
      </c>
      <c r="AB17" s="57" t="s">
        <v>38</v>
      </c>
      <c r="AC17" s="57" t="s">
        <v>38</v>
      </c>
      <c r="AD17" s="57" t="s">
        <v>39</v>
      </c>
      <c r="AE17" s="57" t="s">
        <v>39</v>
      </c>
      <c r="AF17" s="57" t="s">
        <v>39</v>
      </c>
      <c r="AG17" s="56" t="s">
        <v>39</v>
      </c>
      <c r="AH17" s="57" t="s">
        <v>39</v>
      </c>
      <c r="AI17" s="57" t="s">
        <v>37</v>
      </c>
      <c r="AJ17" s="57" t="s">
        <v>38</v>
      </c>
      <c r="AK17" s="57" t="s">
        <v>38</v>
      </c>
      <c r="AL17" s="57" t="s">
        <v>39</v>
      </c>
      <c r="AM17" s="57" t="s">
        <v>39</v>
      </c>
      <c r="AN17" s="57" t="s">
        <v>39</v>
      </c>
      <c r="AO17" s="57" t="s">
        <v>39</v>
      </c>
      <c r="AP17" s="58" t="s">
        <v>39</v>
      </c>
      <c r="AQ17" s="57" t="s">
        <v>39</v>
      </c>
      <c r="AR17" s="57" t="s">
        <v>39</v>
      </c>
      <c r="AS17" s="57" t="s">
        <v>39</v>
      </c>
      <c r="AT17" s="57" t="s">
        <v>39</v>
      </c>
      <c r="AU17" s="57" t="s">
        <v>38</v>
      </c>
      <c r="AV17" s="57" t="s">
        <v>38</v>
      </c>
      <c r="AW17" s="57" t="s">
        <v>38</v>
      </c>
      <c r="AX17" s="57" t="s">
        <v>38</v>
      </c>
      <c r="AY17" s="57"/>
      <c r="AZ17" s="122"/>
    </row>
    <row r="18" spans="1:52" s="4" customFormat="1" ht="48" customHeight="1" thickBot="1">
      <c r="A18" s="46" t="s">
        <v>147</v>
      </c>
      <c r="B18" s="47" t="s">
        <v>148</v>
      </c>
      <c r="C18" s="55" t="s">
        <v>149</v>
      </c>
      <c r="D18" s="56" t="s">
        <v>38</v>
      </c>
      <c r="E18" s="57" t="s">
        <v>38</v>
      </c>
      <c r="F18" s="57" t="s">
        <v>38</v>
      </c>
      <c r="G18" s="57" t="s">
        <v>38</v>
      </c>
      <c r="H18" s="57" t="s">
        <v>38</v>
      </c>
      <c r="I18" s="57" t="s">
        <v>38</v>
      </c>
      <c r="J18" s="57" t="s">
        <v>38</v>
      </c>
      <c r="K18" s="57" t="s">
        <v>38</v>
      </c>
      <c r="L18" s="57" t="s">
        <v>38</v>
      </c>
      <c r="M18" s="57" t="s">
        <v>38</v>
      </c>
      <c r="N18" s="57" t="s">
        <v>38</v>
      </c>
      <c r="O18" s="57" t="s">
        <v>38</v>
      </c>
      <c r="P18" s="122" t="s">
        <v>39</v>
      </c>
      <c r="Q18" s="56" t="s">
        <v>38</v>
      </c>
      <c r="R18" s="57" t="s">
        <v>38</v>
      </c>
      <c r="S18" s="57" t="s">
        <v>39</v>
      </c>
      <c r="T18" s="57" t="s">
        <v>39</v>
      </c>
      <c r="U18" s="57" t="s">
        <v>40</v>
      </c>
      <c r="V18" s="58" t="s">
        <v>40</v>
      </c>
      <c r="W18" s="59" t="s">
        <v>38</v>
      </c>
      <c r="X18" s="57" t="s">
        <v>38</v>
      </c>
      <c r="Y18" s="57" t="s">
        <v>39</v>
      </c>
      <c r="Z18" s="57" t="s">
        <v>38</v>
      </c>
      <c r="AA18" s="52" t="s">
        <v>37</v>
      </c>
      <c r="AB18" s="57" t="s">
        <v>38</v>
      </c>
      <c r="AC18" s="57" t="s">
        <v>38</v>
      </c>
      <c r="AD18" s="57" t="s">
        <v>39</v>
      </c>
      <c r="AE18" s="57" t="s">
        <v>39</v>
      </c>
      <c r="AF18" s="57" t="s">
        <v>39</v>
      </c>
      <c r="AG18" s="125" t="s">
        <v>39</v>
      </c>
      <c r="AH18" s="57" t="s">
        <v>39</v>
      </c>
      <c r="AI18" s="57" t="s">
        <v>38</v>
      </c>
      <c r="AJ18" s="57" t="s">
        <v>38</v>
      </c>
      <c r="AK18" s="57" t="s">
        <v>38</v>
      </c>
      <c r="AL18" s="57" t="s">
        <v>38</v>
      </c>
      <c r="AM18" s="57" t="s">
        <v>38</v>
      </c>
      <c r="AN18" s="57" t="s">
        <v>38</v>
      </c>
      <c r="AO18" s="64" t="s">
        <v>39</v>
      </c>
      <c r="AP18" s="58" t="s">
        <v>39</v>
      </c>
      <c r="AQ18" s="57" t="s">
        <v>39</v>
      </c>
      <c r="AR18" s="57" t="s">
        <v>39</v>
      </c>
      <c r="AS18" s="57" t="s">
        <v>39</v>
      </c>
      <c r="AT18" s="57" t="s">
        <v>39</v>
      </c>
      <c r="AU18" s="57"/>
      <c r="AV18" s="57"/>
      <c r="AW18" s="57"/>
      <c r="AX18" s="57"/>
      <c r="AY18" s="57"/>
      <c r="AZ18" s="122"/>
    </row>
    <row r="19" spans="1:52" s="4" customFormat="1" ht="43.5" customHeight="1" thickBot="1">
      <c r="A19" s="46" t="s">
        <v>150</v>
      </c>
      <c r="B19" s="47" t="s">
        <v>151</v>
      </c>
      <c r="C19" s="55" t="s">
        <v>152</v>
      </c>
      <c r="D19" s="56" t="s">
        <v>37</v>
      </c>
      <c r="E19" s="57" t="s">
        <v>37</v>
      </c>
      <c r="F19" s="57" t="s">
        <v>37</v>
      </c>
      <c r="G19" s="57" t="s">
        <v>37</v>
      </c>
      <c r="H19" s="57" t="s">
        <v>37</v>
      </c>
      <c r="I19" s="57" t="s">
        <v>39</v>
      </c>
      <c r="J19" s="57" t="s">
        <v>37</v>
      </c>
      <c r="K19" s="57" t="s">
        <v>37</v>
      </c>
      <c r="L19" s="57" t="s">
        <v>38</v>
      </c>
      <c r="M19" s="57" t="s">
        <v>38</v>
      </c>
      <c r="N19" s="57" t="s">
        <v>39</v>
      </c>
      <c r="O19" s="57" t="s">
        <v>40</v>
      </c>
      <c r="P19" s="122" t="s">
        <v>40</v>
      </c>
      <c r="Q19" s="56" t="s">
        <v>38</v>
      </c>
      <c r="R19" s="57" t="s">
        <v>38</v>
      </c>
      <c r="S19" s="57" t="s">
        <v>39</v>
      </c>
      <c r="T19" s="57" t="s">
        <v>39</v>
      </c>
      <c r="U19" s="57" t="s">
        <v>40</v>
      </c>
      <c r="V19" s="58" t="s">
        <v>40</v>
      </c>
      <c r="W19" s="59" t="s">
        <v>38</v>
      </c>
      <c r="X19" s="57" t="s">
        <v>38</v>
      </c>
      <c r="Y19" s="57" t="s">
        <v>39</v>
      </c>
      <c r="Z19" s="57" t="s">
        <v>39</v>
      </c>
      <c r="AA19" s="52" t="s">
        <v>37</v>
      </c>
      <c r="AB19" s="57" t="s">
        <v>38</v>
      </c>
      <c r="AC19" s="57" t="s">
        <v>39</v>
      </c>
      <c r="AD19" s="57" t="s">
        <v>40</v>
      </c>
      <c r="AE19" s="57" t="s">
        <v>40</v>
      </c>
      <c r="AF19" s="64" t="s">
        <v>39</v>
      </c>
      <c r="AG19" s="125" t="s">
        <v>39</v>
      </c>
      <c r="AH19" s="57" t="s">
        <v>39</v>
      </c>
      <c r="AI19" s="57" t="s">
        <v>37</v>
      </c>
      <c r="AJ19" s="57" t="s">
        <v>37</v>
      </c>
      <c r="AK19" s="57" t="s">
        <v>37</v>
      </c>
      <c r="AL19" s="57" t="s">
        <v>39</v>
      </c>
      <c r="AM19" s="57" t="s">
        <v>39</v>
      </c>
      <c r="AN19" s="57" t="s">
        <v>40</v>
      </c>
      <c r="AO19" s="64" t="s">
        <v>39</v>
      </c>
      <c r="AP19" s="58" t="s">
        <v>39</v>
      </c>
      <c r="AQ19" s="64" t="s">
        <v>39</v>
      </c>
      <c r="AR19" s="64" t="s">
        <v>39</v>
      </c>
      <c r="AS19" s="64" t="s">
        <v>39</v>
      </c>
      <c r="AT19" s="64" t="s">
        <v>39</v>
      </c>
      <c r="AU19" s="57"/>
      <c r="AV19" s="57"/>
      <c r="AW19" s="57"/>
      <c r="AX19" s="57"/>
      <c r="AY19" s="57"/>
      <c r="AZ19" s="122"/>
    </row>
    <row r="20" spans="1:52" s="4" customFormat="1" ht="46.5" customHeight="1" thickBot="1">
      <c r="A20" s="46" t="s">
        <v>153</v>
      </c>
      <c r="B20" s="47" t="s">
        <v>154</v>
      </c>
      <c r="C20" s="55" t="s">
        <v>155</v>
      </c>
      <c r="D20" s="56" t="s">
        <v>36</v>
      </c>
      <c r="E20" s="57" t="s">
        <v>36</v>
      </c>
      <c r="F20" s="57" t="s">
        <v>36</v>
      </c>
      <c r="G20" s="57" t="s">
        <v>37</v>
      </c>
      <c r="H20" s="57" t="s">
        <v>37</v>
      </c>
      <c r="I20" s="57" t="s">
        <v>37</v>
      </c>
      <c r="J20" s="57" t="s">
        <v>37</v>
      </c>
      <c r="K20" s="57" t="s">
        <v>36</v>
      </c>
      <c r="L20" s="57" t="s">
        <v>36</v>
      </c>
      <c r="M20" s="57" t="s">
        <v>36</v>
      </c>
      <c r="N20" s="57" t="s">
        <v>36</v>
      </c>
      <c r="O20" s="57" t="s">
        <v>36</v>
      </c>
      <c r="P20" s="122" t="s">
        <v>38</v>
      </c>
      <c r="Q20" s="56" t="s">
        <v>38</v>
      </c>
      <c r="R20" s="57" t="s">
        <v>38</v>
      </c>
      <c r="S20" s="57" t="s">
        <v>39</v>
      </c>
      <c r="T20" s="57" t="s">
        <v>39</v>
      </c>
      <c r="U20" s="57" t="s">
        <v>40</v>
      </c>
      <c r="V20" s="58" t="s">
        <v>40</v>
      </c>
      <c r="W20" s="59" t="s">
        <v>38</v>
      </c>
      <c r="X20" s="57" t="s">
        <v>38</v>
      </c>
      <c r="Y20" s="57" t="s">
        <v>39</v>
      </c>
      <c r="Z20" s="57" t="s">
        <v>39</v>
      </c>
      <c r="AA20" s="52" t="s">
        <v>37</v>
      </c>
      <c r="AB20" s="57" t="s">
        <v>38</v>
      </c>
      <c r="AC20" s="57" t="s">
        <v>39</v>
      </c>
      <c r="AD20" s="57" t="s">
        <v>40</v>
      </c>
      <c r="AE20" s="57" t="s">
        <v>40</v>
      </c>
      <c r="AF20" s="64" t="s">
        <v>39</v>
      </c>
      <c r="AG20" s="56" t="s">
        <v>39</v>
      </c>
      <c r="AH20" s="57" t="s">
        <v>39</v>
      </c>
      <c r="AI20" s="57" t="s">
        <v>156</v>
      </c>
      <c r="AJ20" s="57" t="s">
        <v>36</v>
      </c>
      <c r="AK20" s="57" t="s">
        <v>36</v>
      </c>
      <c r="AL20" s="57" t="s">
        <v>39</v>
      </c>
      <c r="AM20" s="57" t="s">
        <v>39</v>
      </c>
      <c r="AN20" s="57" t="s">
        <v>40</v>
      </c>
      <c r="AO20" s="57" t="s">
        <v>40</v>
      </c>
      <c r="AP20" s="58" t="s">
        <v>39</v>
      </c>
      <c r="AQ20" s="64" t="s">
        <v>39</v>
      </c>
      <c r="AR20" s="64" t="s">
        <v>39</v>
      </c>
      <c r="AS20" s="64" t="s">
        <v>39</v>
      </c>
      <c r="AT20" s="64" t="s">
        <v>39</v>
      </c>
      <c r="AU20" s="57"/>
      <c r="AV20" s="57"/>
      <c r="AW20" s="57"/>
      <c r="AX20" s="57"/>
      <c r="AY20" s="57"/>
      <c r="AZ20" s="122"/>
    </row>
    <row r="21" spans="1:52" s="4" customFormat="1" ht="54.75" customHeight="1" thickBot="1">
      <c r="A21" s="46" t="s">
        <v>157</v>
      </c>
      <c r="B21" s="47" t="s">
        <v>158</v>
      </c>
      <c r="C21" s="55" t="s">
        <v>159</v>
      </c>
      <c r="D21" s="56" t="s">
        <v>36</v>
      </c>
      <c r="E21" s="57" t="s">
        <v>36</v>
      </c>
      <c r="F21" s="57" t="s">
        <v>36</v>
      </c>
      <c r="G21" s="57" t="s">
        <v>39</v>
      </c>
      <c r="H21" s="57" t="s">
        <v>38</v>
      </c>
      <c r="I21" s="57" t="s">
        <v>38</v>
      </c>
      <c r="J21" s="57" t="s">
        <v>39</v>
      </c>
      <c r="K21" s="57" t="s">
        <v>36</v>
      </c>
      <c r="L21" s="57" t="s">
        <v>36</v>
      </c>
      <c r="M21" s="57" t="s">
        <v>36</v>
      </c>
      <c r="N21" s="57" t="s">
        <v>36</v>
      </c>
      <c r="O21" s="57" t="s">
        <v>39</v>
      </c>
      <c r="P21" s="122" t="s">
        <v>40</v>
      </c>
      <c r="Q21" s="71" t="s">
        <v>38</v>
      </c>
      <c r="R21" s="72" t="s">
        <v>38</v>
      </c>
      <c r="S21" s="72" t="s">
        <v>39</v>
      </c>
      <c r="T21" s="72" t="s">
        <v>39</v>
      </c>
      <c r="U21" s="72" t="s">
        <v>40</v>
      </c>
      <c r="V21" s="73" t="s">
        <v>40</v>
      </c>
      <c r="W21" s="74" t="s">
        <v>38</v>
      </c>
      <c r="X21" s="72" t="s">
        <v>38</v>
      </c>
      <c r="Y21" s="72" t="s">
        <v>39</v>
      </c>
      <c r="Z21" s="57" t="s">
        <v>39</v>
      </c>
      <c r="AA21" s="52" t="s">
        <v>37</v>
      </c>
      <c r="AB21" s="57" t="s">
        <v>38</v>
      </c>
      <c r="AC21" s="57" t="s">
        <v>39</v>
      </c>
      <c r="AD21" s="57" t="s">
        <v>40</v>
      </c>
      <c r="AE21" s="57" t="s">
        <v>40</v>
      </c>
      <c r="AF21" s="64" t="s">
        <v>39</v>
      </c>
      <c r="AG21" s="56" t="s">
        <v>39</v>
      </c>
      <c r="AH21" s="72" t="s">
        <v>39</v>
      </c>
      <c r="AI21" s="57" t="s">
        <v>156</v>
      </c>
      <c r="AJ21" s="57" t="s">
        <v>36</v>
      </c>
      <c r="AK21" s="57" t="s">
        <v>36</v>
      </c>
      <c r="AL21" s="57" t="s">
        <v>39</v>
      </c>
      <c r="AM21" s="57" t="s">
        <v>39</v>
      </c>
      <c r="AN21" s="57" t="s">
        <v>40</v>
      </c>
      <c r="AO21" s="57" t="s">
        <v>39</v>
      </c>
      <c r="AP21" s="58" t="s">
        <v>39</v>
      </c>
      <c r="AQ21" s="64" t="s">
        <v>39</v>
      </c>
      <c r="AR21" s="64" t="s">
        <v>39</v>
      </c>
      <c r="AS21" s="64" t="s">
        <v>39</v>
      </c>
      <c r="AT21" s="64" t="s">
        <v>39</v>
      </c>
      <c r="AU21" s="57"/>
      <c r="AV21" s="57"/>
      <c r="AW21" s="57"/>
      <c r="AX21" s="57"/>
      <c r="AY21" s="57"/>
      <c r="AZ21" s="122"/>
    </row>
    <row r="22" spans="1:52" s="4" customFormat="1" ht="55.5" customHeight="1" thickBot="1">
      <c r="A22" s="46" t="s">
        <v>160</v>
      </c>
      <c r="B22" s="47" t="s">
        <v>161</v>
      </c>
      <c r="C22" s="55" t="s">
        <v>162</v>
      </c>
      <c r="D22" s="56" t="s">
        <v>37</v>
      </c>
      <c r="E22" s="57" t="s">
        <v>38</v>
      </c>
      <c r="F22" s="57" t="s">
        <v>39</v>
      </c>
      <c r="G22" s="57" t="s">
        <v>39</v>
      </c>
      <c r="H22" s="57" t="s">
        <v>39</v>
      </c>
      <c r="I22" s="57" t="s">
        <v>40</v>
      </c>
      <c r="J22" s="57" t="s">
        <v>39</v>
      </c>
      <c r="K22" s="57" t="s">
        <v>37</v>
      </c>
      <c r="L22" s="57" t="s">
        <v>38</v>
      </c>
      <c r="M22" s="57" t="s">
        <v>39</v>
      </c>
      <c r="N22" s="57" t="s">
        <v>39</v>
      </c>
      <c r="O22" s="57" t="s">
        <v>39</v>
      </c>
      <c r="P22" s="122" t="s">
        <v>40</v>
      </c>
      <c r="Q22" s="56" t="s">
        <v>38</v>
      </c>
      <c r="R22" s="57" t="s">
        <v>38</v>
      </c>
      <c r="S22" s="57" t="s">
        <v>39</v>
      </c>
      <c r="T22" s="57" t="s">
        <v>39</v>
      </c>
      <c r="U22" s="57" t="s">
        <v>40</v>
      </c>
      <c r="V22" s="58" t="s">
        <v>40</v>
      </c>
      <c r="W22" s="59" t="s">
        <v>38</v>
      </c>
      <c r="X22" s="57" t="s">
        <v>38</v>
      </c>
      <c r="Y22" s="57" t="s">
        <v>39</v>
      </c>
      <c r="Z22" s="57" t="s">
        <v>38</v>
      </c>
      <c r="AA22" s="52" t="s">
        <v>37</v>
      </c>
      <c r="AB22" s="57" t="s">
        <v>38</v>
      </c>
      <c r="AC22" s="57" t="s">
        <v>38</v>
      </c>
      <c r="AD22" s="57" t="s">
        <v>39</v>
      </c>
      <c r="AE22" s="57" t="s">
        <v>39</v>
      </c>
      <c r="AF22" s="57" t="s">
        <v>39</v>
      </c>
      <c r="AG22" s="56" t="s">
        <v>39</v>
      </c>
      <c r="AH22" s="57" t="s">
        <v>39</v>
      </c>
      <c r="AI22" s="57" t="s">
        <v>37</v>
      </c>
      <c r="AJ22" s="57" t="s">
        <v>38</v>
      </c>
      <c r="AK22" s="57" t="s">
        <v>38</v>
      </c>
      <c r="AL22" s="57" t="s">
        <v>38</v>
      </c>
      <c r="AM22" s="57" t="s">
        <v>38</v>
      </c>
      <c r="AN22" s="57" t="s">
        <v>39</v>
      </c>
      <c r="AO22" s="57" t="s">
        <v>39</v>
      </c>
      <c r="AP22" s="58" t="s">
        <v>39</v>
      </c>
      <c r="AQ22" s="64" t="s">
        <v>39</v>
      </c>
      <c r="AR22" s="64" t="s">
        <v>39</v>
      </c>
      <c r="AS22" s="64" t="s">
        <v>39</v>
      </c>
      <c r="AT22" s="64" t="s">
        <v>39</v>
      </c>
      <c r="AU22" s="67"/>
      <c r="AV22" s="67"/>
      <c r="AW22" s="67"/>
      <c r="AX22" s="67"/>
      <c r="AY22" s="67" t="s">
        <v>39</v>
      </c>
      <c r="AZ22" s="128" t="s">
        <v>39</v>
      </c>
    </row>
    <row r="23" spans="1:52" s="4" customFormat="1" ht="52.5" customHeight="1" thickBot="1">
      <c r="A23" s="48" t="s">
        <v>163</v>
      </c>
      <c r="B23" s="49" t="s">
        <v>164</v>
      </c>
      <c r="C23" s="65" t="s">
        <v>165</v>
      </c>
      <c r="D23" s="66" t="s">
        <v>37</v>
      </c>
      <c r="E23" s="67" t="s">
        <v>38</v>
      </c>
      <c r="F23" s="67" t="s">
        <v>38</v>
      </c>
      <c r="G23" s="67" t="s">
        <v>38</v>
      </c>
      <c r="H23" s="67" t="s">
        <v>38</v>
      </c>
      <c r="I23" s="67" t="s">
        <v>38</v>
      </c>
      <c r="J23" s="67" t="s">
        <v>38</v>
      </c>
      <c r="K23" s="67" t="s">
        <v>37</v>
      </c>
      <c r="L23" s="67" t="s">
        <v>38</v>
      </c>
      <c r="M23" s="67" t="s">
        <v>38</v>
      </c>
      <c r="N23" s="67" t="s">
        <v>38</v>
      </c>
      <c r="O23" s="67" t="s">
        <v>38</v>
      </c>
      <c r="P23" s="128" t="s">
        <v>38</v>
      </c>
      <c r="Q23" s="75" t="s">
        <v>38</v>
      </c>
      <c r="R23" s="76" t="s">
        <v>38</v>
      </c>
      <c r="S23" s="76" t="s">
        <v>39</v>
      </c>
      <c r="T23" s="76" t="s">
        <v>39</v>
      </c>
      <c r="U23" s="76" t="s">
        <v>40</v>
      </c>
      <c r="V23" s="77" t="s">
        <v>40</v>
      </c>
      <c r="W23" s="78" t="s">
        <v>38</v>
      </c>
      <c r="X23" s="76" t="s">
        <v>38</v>
      </c>
      <c r="Y23" s="76" t="s">
        <v>39</v>
      </c>
      <c r="Z23" s="67" t="s">
        <v>37</v>
      </c>
      <c r="AA23" s="79" t="s">
        <v>37</v>
      </c>
      <c r="AB23" s="67" t="s">
        <v>37</v>
      </c>
      <c r="AC23" s="67" t="s">
        <v>37</v>
      </c>
      <c r="AD23" s="67" t="s">
        <v>37</v>
      </c>
      <c r="AE23" s="67" t="s">
        <v>37</v>
      </c>
      <c r="AF23" s="67" t="s">
        <v>39</v>
      </c>
      <c r="AG23" s="66" t="s">
        <v>37</v>
      </c>
      <c r="AH23" s="76" t="s">
        <v>39</v>
      </c>
      <c r="AI23" s="67" t="s">
        <v>37</v>
      </c>
      <c r="AJ23" s="67" t="s">
        <v>38</v>
      </c>
      <c r="AK23" s="67" t="s">
        <v>38</v>
      </c>
      <c r="AL23" s="67" t="s">
        <v>37</v>
      </c>
      <c r="AM23" s="67" t="s">
        <v>37</v>
      </c>
      <c r="AN23" s="67" t="s">
        <v>37</v>
      </c>
      <c r="AO23" s="67" t="s">
        <v>37</v>
      </c>
      <c r="AP23" s="68" t="s">
        <v>39</v>
      </c>
      <c r="AQ23" s="67" t="s">
        <v>39</v>
      </c>
      <c r="AR23" s="67" t="s">
        <v>39</v>
      </c>
      <c r="AS23" s="67" t="s">
        <v>39</v>
      </c>
      <c r="AT23" s="67" t="s">
        <v>39</v>
      </c>
      <c r="AU23" s="52"/>
      <c r="AV23" s="52"/>
      <c r="AW23" s="52"/>
      <c r="AX23" s="52"/>
      <c r="AY23" s="52"/>
      <c r="AZ23" s="131"/>
    </row>
    <row r="24" spans="1:52" s="4" customFormat="1" ht="56.25" customHeight="1">
      <c r="A24" s="80" t="s">
        <v>166</v>
      </c>
      <c r="B24" s="81" t="s">
        <v>167</v>
      </c>
      <c r="C24" s="50" t="s">
        <v>168</v>
      </c>
      <c r="D24" s="115" t="s">
        <v>36</v>
      </c>
      <c r="E24" s="116" t="s">
        <v>36</v>
      </c>
      <c r="F24" s="116" t="s">
        <v>36</v>
      </c>
      <c r="G24" s="116" t="s">
        <v>36</v>
      </c>
      <c r="H24" s="116" t="s">
        <v>36</v>
      </c>
      <c r="I24" s="116" t="s">
        <v>36</v>
      </c>
      <c r="J24" s="116" t="s">
        <v>36</v>
      </c>
      <c r="K24" s="116" t="s">
        <v>36</v>
      </c>
      <c r="L24" s="116" t="s">
        <v>36</v>
      </c>
      <c r="M24" s="116" t="s">
        <v>36</v>
      </c>
      <c r="N24" s="116" t="s">
        <v>36</v>
      </c>
      <c r="O24" s="116" t="s">
        <v>36</v>
      </c>
      <c r="P24" s="134" t="s">
        <v>36</v>
      </c>
      <c r="Q24" s="51" t="s">
        <v>36</v>
      </c>
      <c r="R24" s="52" t="s">
        <v>36</v>
      </c>
      <c r="S24" s="52" t="s">
        <v>36</v>
      </c>
      <c r="T24" s="52" t="s">
        <v>36</v>
      </c>
      <c r="U24" s="52" t="s">
        <v>36</v>
      </c>
      <c r="V24" s="53" t="s">
        <v>36</v>
      </c>
      <c r="W24" s="54" t="s">
        <v>38</v>
      </c>
      <c r="X24" s="52" t="s">
        <v>38</v>
      </c>
      <c r="Y24" s="52" t="s">
        <v>38</v>
      </c>
      <c r="Z24" s="52" t="s">
        <v>37</v>
      </c>
      <c r="AA24" s="52" t="s">
        <v>38</v>
      </c>
      <c r="AB24" s="52" t="s">
        <v>38</v>
      </c>
      <c r="AC24" s="52" t="s">
        <v>39</v>
      </c>
      <c r="AD24" s="52" t="s">
        <v>39</v>
      </c>
      <c r="AE24" s="52" t="s">
        <v>39</v>
      </c>
      <c r="AF24" s="69" t="s">
        <v>39</v>
      </c>
      <c r="AG24" s="51" t="s">
        <v>39</v>
      </c>
      <c r="AH24" s="52" t="s">
        <v>36</v>
      </c>
      <c r="AI24" s="116" t="s">
        <v>36</v>
      </c>
      <c r="AJ24" s="116" t="s">
        <v>36</v>
      </c>
      <c r="AK24" s="116" t="s">
        <v>36</v>
      </c>
      <c r="AL24" s="52" t="s">
        <v>38</v>
      </c>
      <c r="AM24" s="52" t="s">
        <v>39</v>
      </c>
      <c r="AN24" s="52" t="s">
        <v>39</v>
      </c>
      <c r="AO24" s="52" t="s">
        <v>40</v>
      </c>
      <c r="AP24" s="135" t="s">
        <v>39</v>
      </c>
      <c r="AQ24" s="69" t="s">
        <v>39</v>
      </c>
      <c r="AR24" s="69" t="s">
        <v>39</v>
      </c>
      <c r="AS24" s="69" t="s">
        <v>39</v>
      </c>
      <c r="AT24" s="69" t="s">
        <v>39</v>
      </c>
      <c r="AU24" s="57" t="s">
        <v>40</v>
      </c>
      <c r="AV24" s="57" t="s">
        <v>40</v>
      </c>
      <c r="AW24" s="57" t="s">
        <v>40</v>
      </c>
      <c r="AX24" s="57" t="s">
        <v>40</v>
      </c>
      <c r="AY24" s="57"/>
      <c r="AZ24" s="122"/>
    </row>
    <row r="25" spans="1:52" s="4" customFormat="1" ht="48.75" customHeight="1">
      <c r="A25" s="82" t="s">
        <v>169</v>
      </c>
      <c r="B25" s="47" t="s">
        <v>170</v>
      </c>
      <c r="C25" s="55" t="s">
        <v>171</v>
      </c>
      <c r="D25" s="56" t="s">
        <v>36</v>
      </c>
      <c r="E25" s="57" t="s">
        <v>36</v>
      </c>
      <c r="F25" s="57" t="s">
        <v>36</v>
      </c>
      <c r="G25" s="57" t="s">
        <v>36</v>
      </c>
      <c r="H25" s="57" t="s">
        <v>36</v>
      </c>
      <c r="I25" s="57" t="s">
        <v>36</v>
      </c>
      <c r="J25" s="57" t="s">
        <v>36</v>
      </c>
      <c r="K25" s="57" t="s">
        <v>36</v>
      </c>
      <c r="L25" s="57" t="s">
        <v>36</v>
      </c>
      <c r="M25" s="57" t="s">
        <v>36</v>
      </c>
      <c r="N25" s="57" t="s">
        <v>36</v>
      </c>
      <c r="O25" s="57" t="s">
        <v>36</v>
      </c>
      <c r="P25" s="58" t="s">
        <v>37</v>
      </c>
      <c r="Q25" s="56" t="s">
        <v>37</v>
      </c>
      <c r="R25" s="57" t="s">
        <v>37</v>
      </c>
      <c r="S25" s="57" t="s">
        <v>38</v>
      </c>
      <c r="T25" s="57" t="s">
        <v>38</v>
      </c>
      <c r="U25" s="57" t="s">
        <v>39</v>
      </c>
      <c r="V25" s="58" t="s">
        <v>39</v>
      </c>
      <c r="W25" s="59" t="s">
        <v>37</v>
      </c>
      <c r="X25" s="57" t="s">
        <v>37</v>
      </c>
      <c r="Y25" s="57" t="s">
        <v>38</v>
      </c>
      <c r="Z25" s="57" t="s">
        <v>38</v>
      </c>
      <c r="AA25" s="57" t="s">
        <v>38</v>
      </c>
      <c r="AB25" s="57" t="s">
        <v>38</v>
      </c>
      <c r="AC25" s="57" t="s">
        <v>38</v>
      </c>
      <c r="AD25" s="57" t="s">
        <v>39</v>
      </c>
      <c r="AE25" s="57" t="s">
        <v>39</v>
      </c>
      <c r="AF25" s="57" t="s">
        <v>39</v>
      </c>
      <c r="AG25" s="56" t="s">
        <v>39</v>
      </c>
      <c r="AH25" s="57" t="s">
        <v>38</v>
      </c>
      <c r="AI25" s="57" t="s">
        <v>36</v>
      </c>
      <c r="AJ25" s="57" t="s">
        <v>36</v>
      </c>
      <c r="AK25" s="57" t="s">
        <v>36</v>
      </c>
      <c r="AL25" s="57" t="s">
        <v>39</v>
      </c>
      <c r="AM25" s="57" t="s">
        <v>39</v>
      </c>
      <c r="AN25" s="57" t="s">
        <v>40</v>
      </c>
      <c r="AO25" s="57" t="s">
        <v>40</v>
      </c>
      <c r="AP25" s="58" t="s">
        <v>39</v>
      </c>
      <c r="AQ25" s="57" t="s">
        <v>39</v>
      </c>
      <c r="AR25" s="57" t="s">
        <v>39</v>
      </c>
      <c r="AS25" s="57" t="s">
        <v>39</v>
      </c>
      <c r="AT25" s="57" t="s">
        <v>39</v>
      </c>
      <c r="AU25" s="57" t="s">
        <v>40</v>
      </c>
      <c r="AV25" s="57" t="s">
        <v>40</v>
      </c>
      <c r="AW25" s="57" t="s">
        <v>40</v>
      </c>
      <c r="AX25" s="57" t="s">
        <v>40</v>
      </c>
      <c r="AY25" s="57"/>
      <c r="AZ25" s="122"/>
    </row>
    <row r="26" spans="1:52" s="4" customFormat="1" ht="58.5" customHeight="1">
      <c r="A26" s="82" t="s">
        <v>172</v>
      </c>
      <c r="B26" s="70" t="s">
        <v>173</v>
      </c>
      <c r="C26" s="55" t="s">
        <v>174</v>
      </c>
      <c r="D26" s="56" t="s">
        <v>37</v>
      </c>
      <c r="E26" s="57" t="s">
        <v>38</v>
      </c>
      <c r="F26" s="57" t="s">
        <v>39</v>
      </c>
      <c r="G26" s="57" t="s">
        <v>39</v>
      </c>
      <c r="H26" s="57" t="s">
        <v>39</v>
      </c>
      <c r="I26" s="57" t="s">
        <v>39</v>
      </c>
      <c r="J26" s="57" t="s">
        <v>39</v>
      </c>
      <c r="K26" s="57" t="s">
        <v>37</v>
      </c>
      <c r="L26" s="57" t="s">
        <v>38</v>
      </c>
      <c r="M26" s="57" t="s">
        <v>39</v>
      </c>
      <c r="N26" s="57" t="s">
        <v>39</v>
      </c>
      <c r="O26" s="57" t="s">
        <v>36</v>
      </c>
      <c r="P26" s="58" t="s">
        <v>39</v>
      </c>
      <c r="Q26" s="56" t="s">
        <v>37</v>
      </c>
      <c r="R26" s="57" t="s">
        <v>38</v>
      </c>
      <c r="S26" s="57" t="s">
        <v>39</v>
      </c>
      <c r="T26" s="57" t="s">
        <v>39</v>
      </c>
      <c r="U26" s="57" t="s">
        <v>39</v>
      </c>
      <c r="V26" s="58" t="s">
        <v>39</v>
      </c>
      <c r="W26" s="59" t="s">
        <v>38</v>
      </c>
      <c r="X26" s="57" t="s">
        <v>38</v>
      </c>
      <c r="Y26" s="57" t="s">
        <v>39</v>
      </c>
      <c r="Z26" s="57" t="s">
        <v>39</v>
      </c>
      <c r="AA26" s="57" t="s">
        <v>38</v>
      </c>
      <c r="AB26" s="57" t="s">
        <v>38</v>
      </c>
      <c r="AC26" s="57" t="s">
        <v>39</v>
      </c>
      <c r="AD26" s="57" t="s">
        <v>39</v>
      </c>
      <c r="AE26" s="57" t="s">
        <v>39</v>
      </c>
      <c r="AF26" s="57" t="s">
        <v>40</v>
      </c>
      <c r="AG26" s="56" t="s">
        <v>39</v>
      </c>
      <c r="AH26" s="57" t="s">
        <v>39</v>
      </c>
      <c r="AI26" s="57" t="s">
        <v>37</v>
      </c>
      <c r="AJ26" s="57" t="s">
        <v>38</v>
      </c>
      <c r="AK26" s="57" t="s">
        <v>39</v>
      </c>
      <c r="AL26" s="57" t="s">
        <v>39</v>
      </c>
      <c r="AM26" s="57" t="s">
        <v>39</v>
      </c>
      <c r="AN26" s="57" t="s">
        <v>40</v>
      </c>
      <c r="AO26" s="57" t="s">
        <v>40</v>
      </c>
      <c r="AP26" s="58" t="s">
        <v>40</v>
      </c>
      <c r="AQ26" s="57" t="s">
        <v>40</v>
      </c>
      <c r="AR26" s="57" t="s">
        <v>40</v>
      </c>
      <c r="AS26" s="57" t="s">
        <v>40</v>
      </c>
      <c r="AT26" s="57" t="s">
        <v>40</v>
      </c>
      <c r="AU26" s="57" t="s">
        <v>40</v>
      </c>
      <c r="AV26" s="57" t="s">
        <v>40</v>
      </c>
      <c r="AW26" s="57" t="s">
        <v>40</v>
      </c>
      <c r="AX26" s="57" t="s">
        <v>40</v>
      </c>
      <c r="AY26" s="57"/>
      <c r="AZ26" s="122"/>
    </row>
    <row r="27" spans="1:52" s="4" customFormat="1" ht="67.5" customHeight="1">
      <c r="A27" s="82" t="s">
        <v>175</v>
      </c>
      <c r="B27" s="70" t="s">
        <v>176</v>
      </c>
      <c r="C27" s="55" t="s">
        <v>177</v>
      </c>
      <c r="D27" s="56" t="s">
        <v>36</v>
      </c>
      <c r="E27" s="57" t="s">
        <v>36</v>
      </c>
      <c r="F27" s="57" t="s">
        <v>36</v>
      </c>
      <c r="G27" s="57" t="s">
        <v>36</v>
      </c>
      <c r="H27" s="57" t="s">
        <v>36</v>
      </c>
      <c r="I27" s="57" t="s">
        <v>36</v>
      </c>
      <c r="J27" s="57" t="s">
        <v>36</v>
      </c>
      <c r="K27" s="57" t="s">
        <v>36</v>
      </c>
      <c r="L27" s="57" t="s">
        <v>36</v>
      </c>
      <c r="M27" s="57" t="s">
        <v>36</v>
      </c>
      <c r="N27" s="57" t="s">
        <v>36</v>
      </c>
      <c r="O27" s="57" t="s">
        <v>36</v>
      </c>
      <c r="P27" s="58" t="s">
        <v>36</v>
      </c>
      <c r="Q27" s="56" t="s">
        <v>36</v>
      </c>
      <c r="R27" s="57" t="s">
        <v>36</v>
      </c>
      <c r="S27" s="57" t="s">
        <v>37</v>
      </c>
      <c r="T27" s="57" t="s">
        <v>37</v>
      </c>
      <c r="U27" s="57" t="s">
        <v>38</v>
      </c>
      <c r="V27" s="58" t="s">
        <v>38</v>
      </c>
      <c r="W27" s="59" t="s">
        <v>37</v>
      </c>
      <c r="X27" s="57" t="s">
        <v>37</v>
      </c>
      <c r="Y27" s="57" t="s">
        <v>38</v>
      </c>
      <c r="Z27" s="57" t="s">
        <v>38</v>
      </c>
      <c r="AA27" s="57" t="s">
        <v>37</v>
      </c>
      <c r="AB27" s="57" t="s">
        <v>38</v>
      </c>
      <c r="AC27" s="57" t="s">
        <v>38</v>
      </c>
      <c r="AD27" s="57" t="s">
        <v>39</v>
      </c>
      <c r="AE27" s="57" t="s">
        <v>39</v>
      </c>
      <c r="AF27" s="57" t="s">
        <v>40</v>
      </c>
      <c r="AG27" s="56" t="s">
        <v>39</v>
      </c>
      <c r="AH27" s="57" t="s">
        <v>37</v>
      </c>
      <c r="AI27" s="57" t="s">
        <v>36</v>
      </c>
      <c r="AJ27" s="57" t="s">
        <v>36</v>
      </c>
      <c r="AK27" s="57" t="s">
        <v>36</v>
      </c>
      <c r="AL27" s="57" t="s">
        <v>39</v>
      </c>
      <c r="AM27" s="57" t="s">
        <v>39</v>
      </c>
      <c r="AN27" s="57" t="s">
        <v>40</v>
      </c>
      <c r="AO27" s="57" t="s">
        <v>40</v>
      </c>
      <c r="AP27" s="58" t="s">
        <v>40</v>
      </c>
      <c r="AQ27" s="57" t="s">
        <v>40</v>
      </c>
      <c r="AR27" s="57" t="s">
        <v>40</v>
      </c>
      <c r="AS27" s="57" t="s">
        <v>40</v>
      </c>
      <c r="AT27" s="57" t="s">
        <v>40</v>
      </c>
      <c r="AU27" s="57" t="s">
        <v>40</v>
      </c>
      <c r="AV27" s="57" t="s">
        <v>40</v>
      </c>
      <c r="AW27" s="57" t="s">
        <v>40</v>
      </c>
      <c r="AX27" s="57" t="s">
        <v>40</v>
      </c>
      <c r="AY27" s="57"/>
      <c r="AZ27" s="122"/>
    </row>
    <row r="28" spans="1:52" s="4" customFormat="1" ht="69" customHeight="1" thickBot="1">
      <c r="A28" s="82" t="s">
        <v>178</v>
      </c>
      <c r="B28" s="47" t="s">
        <v>179</v>
      </c>
      <c r="C28" s="55" t="s">
        <v>180</v>
      </c>
      <c r="D28" s="56" t="s">
        <v>37</v>
      </c>
      <c r="E28" s="57" t="s">
        <v>38</v>
      </c>
      <c r="F28" s="57" t="s">
        <v>38</v>
      </c>
      <c r="G28" s="57" t="s">
        <v>38</v>
      </c>
      <c r="H28" s="57" t="s">
        <v>38</v>
      </c>
      <c r="I28" s="57" t="s">
        <v>38</v>
      </c>
      <c r="J28" s="57" t="s">
        <v>38</v>
      </c>
      <c r="K28" s="57" t="s">
        <v>37</v>
      </c>
      <c r="L28" s="57" t="s">
        <v>38</v>
      </c>
      <c r="M28" s="57" t="s">
        <v>38</v>
      </c>
      <c r="N28" s="57" t="s">
        <v>38</v>
      </c>
      <c r="O28" s="57" t="s">
        <v>36</v>
      </c>
      <c r="P28" s="58" t="s">
        <v>38</v>
      </c>
      <c r="Q28" s="56" t="s">
        <v>37</v>
      </c>
      <c r="R28" s="57" t="s">
        <v>38</v>
      </c>
      <c r="S28" s="57" t="s">
        <v>39</v>
      </c>
      <c r="T28" s="57" t="s">
        <v>39</v>
      </c>
      <c r="U28" s="57" t="s">
        <v>39</v>
      </c>
      <c r="V28" s="58" t="s">
        <v>39</v>
      </c>
      <c r="W28" s="59" t="s">
        <v>38</v>
      </c>
      <c r="X28" s="57" t="s">
        <v>38</v>
      </c>
      <c r="Y28" s="57" t="s">
        <v>38</v>
      </c>
      <c r="Z28" s="57" t="s">
        <v>39</v>
      </c>
      <c r="AA28" s="57" t="s">
        <v>38</v>
      </c>
      <c r="AB28" s="57" t="s">
        <v>38</v>
      </c>
      <c r="AC28" s="57" t="s">
        <v>38</v>
      </c>
      <c r="AD28" s="57" t="s">
        <v>39</v>
      </c>
      <c r="AE28" s="57" t="s">
        <v>39</v>
      </c>
      <c r="AF28" s="57" t="s">
        <v>40</v>
      </c>
      <c r="AG28" s="56" t="s">
        <v>39</v>
      </c>
      <c r="AH28" s="57" t="s">
        <v>39</v>
      </c>
      <c r="AI28" s="57" t="s">
        <v>37</v>
      </c>
      <c r="AJ28" s="57" t="s">
        <v>38</v>
      </c>
      <c r="AK28" s="57" t="s">
        <v>38</v>
      </c>
      <c r="AL28" s="57" t="s">
        <v>39</v>
      </c>
      <c r="AM28" s="57" t="s">
        <v>39</v>
      </c>
      <c r="AN28" s="57" t="s">
        <v>40</v>
      </c>
      <c r="AO28" s="57" t="s">
        <v>40</v>
      </c>
      <c r="AP28" s="58" t="s">
        <v>40</v>
      </c>
      <c r="AQ28" s="57" t="s">
        <v>40</v>
      </c>
      <c r="AR28" s="57" t="s">
        <v>40</v>
      </c>
      <c r="AS28" s="57" t="s">
        <v>40</v>
      </c>
      <c r="AT28" s="57" t="s">
        <v>40</v>
      </c>
      <c r="AU28" s="67" t="s">
        <v>36</v>
      </c>
      <c r="AV28" s="67" t="s">
        <v>36</v>
      </c>
      <c r="AW28" s="67" t="s">
        <v>36</v>
      </c>
      <c r="AX28" s="67" t="s">
        <v>36</v>
      </c>
      <c r="AY28" s="67"/>
      <c r="AZ28" s="128"/>
    </row>
    <row r="29" spans="1:52" s="4" customFormat="1" ht="62.25" customHeight="1" thickBot="1">
      <c r="A29" s="83" t="s">
        <v>181</v>
      </c>
      <c r="B29" s="84" t="s">
        <v>182</v>
      </c>
      <c r="C29" s="65" t="s">
        <v>183</v>
      </c>
      <c r="D29" s="125" t="s">
        <v>36</v>
      </c>
      <c r="E29" s="64" t="s">
        <v>36</v>
      </c>
      <c r="F29" s="64" t="s">
        <v>36</v>
      </c>
      <c r="G29" s="64" t="s">
        <v>36</v>
      </c>
      <c r="H29" s="64" t="s">
        <v>36</v>
      </c>
      <c r="I29" s="64" t="s">
        <v>36</v>
      </c>
      <c r="J29" s="64" t="s">
        <v>36</v>
      </c>
      <c r="K29" s="64" t="s">
        <v>36</v>
      </c>
      <c r="L29" s="64" t="s">
        <v>36</v>
      </c>
      <c r="M29" s="64" t="s">
        <v>36</v>
      </c>
      <c r="N29" s="64" t="s">
        <v>36</v>
      </c>
      <c r="O29" s="64" t="s">
        <v>36</v>
      </c>
      <c r="P29" s="126" t="s">
        <v>36</v>
      </c>
      <c r="Q29" s="66" t="s">
        <v>36</v>
      </c>
      <c r="R29" s="67" t="s">
        <v>36</v>
      </c>
      <c r="S29" s="67" t="s">
        <v>37</v>
      </c>
      <c r="T29" s="67" t="s">
        <v>37</v>
      </c>
      <c r="U29" s="67" t="s">
        <v>38</v>
      </c>
      <c r="V29" s="68" t="s">
        <v>38</v>
      </c>
      <c r="W29" s="85" t="s">
        <v>37</v>
      </c>
      <c r="X29" s="67" t="s">
        <v>37</v>
      </c>
      <c r="Y29" s="67" t="s">
        <v>37</v>
      </c>
      <c r="Z29" s="67" t="s">
        <v>37</v>
      </c>
      <c r="AA29" s="67" t="s">
        <v>36</v>
      </c>
      <c r="AB29" s="67" t="s">
        <v>36</v>
      </c>
      <c r="AC29" s="67" t="s">
        <v>36</v>
      </c>
      <c r="AD29" s="67" t="s">
        <v>36</v>
      </c>
      <c r="AE29" s="67" t="s">
        <v>36</v>
      </c>
      <c r="AF29" s="67" t="s">
        <v>36</v>
      </c>
      <c r="AG29" s="66" t="s">
        <v>39</v>
      </c>
      <c r="AH29" s="67" t="s">
        <v>37</v>
      </c>
      <c r="AI29" s="64" t="s">
        <v>36</v>
      </c>
      <c r="AJ29" s="64" t="s">
        <v>36</v>
      </c>
      <c r="AK29" s="64" t="s">
        <v>36</v>
      </c>
      <c r="AL29" s="67" t="s">
        <v>36</v>
      </c>
      <c r="AM29" s="67" t="s">
        <v>36</v>
      </c>
      <c r="AN29" s="67" t="s">
        <v>36</v>
      </c>
      <c r="AO29" s="67" t="s">
        <v>40</v>
      </c>
      <c r="AP29" s="68" t="s">
        <v>36</v>
      </c>
      <c r="AQ29" s="67" t="s">
        <v>36</v>
      </c>
      <c r="AR29" s="67" t="s">
        <v>36</v>
      </c>
      <c r="AS29" s="67" t="s">
        <v>36</v>
      </c>
      <c r="AT29" s="67" t="s">
        <v>36</v>
      </c>
      <c r="AU29" s="52" t="s">
        <v>37</v>
      </c>
      <c r="AV29" s="52" t="s">
        <v>37</v>
      </c>
      <c r="AW29" s="52" t="s">
        <v>37</v>
      </c>
      <c r="AX29" s="52" t="s">
        <v>37</v>
      </c>
      <c r="AY29" s="52" t="s">
        <v>37</v>
      </c>
      <c r="AZ29" s="131" t="s">
        <v>37</v>
      </c>
    </row>
    <row r="30" spans="1:52" s="4" customFormat="1" ht="54" customHeight="1">
      <c r="A30" s="44" t="s">
        <v>184</v>
      </c>
      <c r="B30" s="45" t="s">
        <v>185</v>
      </c>
      <c r="C30" s="50" t="s">
        <v>186</v>
      </c>
      <c r="D30" s="51" t="s">
        <v>37</v>
      </c>
      <c r="E30" s="52" t="s">
        <v>37</v>
      </c>
      <c r="F30" s="52" t="s">
        <v>37</v>
      </c>
      <c r="G30" s="52" t="s">
        <v>38</v>
      </c>
      <c r="H30" s="52" t="s">
        <v>37</v>
      </c>
      <c r="I30" s="52" t="s">
        <v>37</v>
      </c>
      <c r="J30" s="52" t="s">
        <v>38</v>
      </c>
      <c r="K30" s="52" t="s">
        <v>37</v>
      </c>
      <c r="L30" s="52" t="s">
        <v>37</v>
      </c>
      <c r="M30" s="52" t="s">
        <v>37</v>
      </c>
      <c r="N30" s="52" t="s">
        <v>38</v>
      </c>
      <c r="O30" s="131" t="s">
        <v>37</v>
      </c>
      <c r="P30" s="136" t="s">
        <v>39</v>
      </c>
      <c r="Q30" s="54" t="s">
        <v>37</v>
      </c>
      <c r="R30" s="52" t="s">
        <v>37</v>
      </c>
      <c r="S30" s="52" t="s">
        <v>37</v>
      </c>
      <c r="T30" s="52" t="s">
        <v>37</v>
      </c>
      <c r="U30" s="52" t="s">
        <v>37</v>
      </c>
      <c r="V30" s="53" t="s">
        <v>38</v>
      </c>
      <c r="W30" s="54" t="s">
        <v>37</v>
      </c>
      <c r="X30" s="52" t="s">
        <v>37</v>
      </c>
      <c r="Y30" s="52" t="s">
        <v>37</v>
      </c>
      <c r="Z30" s="52" t="s">
        <v>38</v>
      </c>
      <c r="AA30" s="52" t="s">
        <v>37</v>
      </c>
      <c r="AB30" s="52" t="s">
        <v>37</v>
      </c>
      <c r="AC30" s="52" t="s">
        <v>37</v>
      </c>
      <c r="AD30" s="52" t="s">
        <v>37</v>
      </c>
      <c r="AE30" s="52" t="s">
        <v>37</v>
      </c>
      <c r="AF30" s="52" t="s">
        <v>39</v>
      </c>
      <c r="AG30" s="51" t="s">
        <v>37</v>
      </c>
      <c r="AH30" s="52" t="s">
        <v>37</v>
      </c>
      <c r="AI30" s="52" t="s">
        <v>37</v>
      </c>
      <c r="AJ30" s="52" t="s">
        <v>37</v>
      </c>
      <c r="AK30" s="52" t="s">
        <v>38</v>
      </c>
      <c r="AL30" s="52" t="s">
        <v>37</v>
      </c>
      <c r="AM30" s="52" t="s">
        <v>37</v>
      </c>
      <c r="AN30" s="52" t="s">
        <v>37</v>
      </c>
      <c r="AO30" s="52" t="s">
        <v>39</v>
      </c>
      <c r="AP30" s="53" t="s">
        <v>39</v>
      </c>
      <c r="AQ30" s="52" t="s">
        <v>38</v>
      </c>
      <c r="AR30" s="52" t="s">
        <v>38</v>
      </c>
      <c r="AS30" s="52" t="s">
        <v>38</v>
      </c>
      <c r="AT30" s="52" t="s">
        <v>38</v>
      </c>
      <c r="AU30" s="57" t="s">
        <v>37</v>
      </c>
      <c r="AV30" s="57" t="s">
        <v>37</v>
      </c>
      <c r="AW30" s="57" t="s">
        <v>37</v>
      </c>
      <c r="AX30" s="57" t="s">
        <v>37</v>
      </c>
      <c r="AY30" s="57" t="s">
        <v>37</v>
      </c>
      <c r="AZ30" s="122" t="s">
        <v>37</v>
      </c>
    </row>
    <row r="31" spans="1:52" s="4" customFormat="1" ht="45.75" customHeight="1">
      <c r="A31" s="46" t="s">
        <v>187</v>
      </c>
      <c r="B31" s="47" t="s">
        <v>188</v>
      </c>
      <c r="C31" s="55" t="s">
        <v>189</v>
      </c>
      <c r="D31" s="56" t="s">
        <v>37</v>
      </c>
      <c r="E31" s="57" t="s">
        <v>37</v>
      </c>
      <c r="F31" s="57" t="s">
        <v>37</v>
      </c>
      <c r="G31" s="57" t="s">
        <v>38</v>
      </c>
      <c r="H31" s="57" t="s">
        <v>37</v>
      </c>
      <c r="I31" s="57" t="s">
        <v>37</v>
      </c>
      <c r="J31" s="57" t="s">
        <v>38</v>
      </c>
      <c r="K31" s="57" t="s">
        <v>38</v>
      </c>
      <c r="L31" s="57" t="s">
        <v>38</v>
      </c>
      <c r="M31" s="57" t="s">
        <v>38</v>
      </c>
      <c r="N31" s="57" t="s">
        <v>38</v>
      </c>
      <c r="O31" s="122" t="s">
        <v>37</v>
      </c>
      <c r="P31" s="137" t="s">
        <v>37</v>
      </c>
      <c r="Q31" s="59" t="s">
        <v>37</v>
      </c>
      <c r="R31" s="57" t="s">
        <v>37</v>
      </c>
      <c r="S31" s="57" t="s">
        <v>37</v>
      </c>
      <c r="T31" s="57" t="s">
        <v>37</v>
      </c>
      <c r="U31" s="57" t="s">
        <v>38</v>
      </c>
      <c r="V31" s="58" t="s">
        <v>38</v>
      </c>
      <c r="W31" s="59" t="s">
        <v>36</v>
      </c>
      <c r="X31" s="57" t="s">
        <v>36</v>
      </c>
      <c r="Y31" s="57" t="s">
        <v>36</v>
      </c>
      <c r="Z31" s="57" t="s">
        <v>38</v>
      </c>
      <c r="AA31" s="57" t="s">
        <v>36</v>
      </c>
      <c r="AB31" s="57" t="s">
        <v>36</v>
      </c>
      <c r="AC31" s="57" t="s">
        <v>36</v>
      </c>
      <c r="AD31" s="57" t="s">
        <v>36</v>
      </c>
      <c r="AE31" s="57" t="s">
        <v>36</v>
      </c>
      <c r="AF31" s="57" t="s">
        <v>37</v>
      </c>
      <c r="AG31" s="56" t="s">
        <v>37</v>
      </c>
      <c r="AH31" s="57" t="s">
        <v>37</v>
      </c>
      <c r="AI31" s="57" t="s">
        <v>37</v>
      </c>
      <c r="AJ31" s="57" t="s">
        <v>38</v>
      </c>
      <c r="AK31" s="57" t="s">
        <v>38</v>
      </c>
      <c r="AL31" s="57" t="s">
        <v>36</v>
      </c>
      <c r="AM31" s="57" t="s">
        <v>36</v>
      </c>
      <c r="AN31" s="57" t="s">
        <v>36</v>
      </c>
      <c r="AO31" s="57" t="s">
        <v>37</v>
      </c>
      <c r="AP31" s="58" t="s">
        <v>37</v>
      </c>
      <c r="AQ31" s="57" t="s">
        <v>39</v>
      </c>
      <c r="AR31" s="57" t="s">
        <v>39</v>
      </c>
      <c r="AS31" s="57" t="s">
        <v>39</v>
      </c>
      <c r="AT31" s="57" t="s">
        <v>39</v>
      </c>
      <c r="AU31" s="57" t="s">
        <v>36</v>
      </c>
      <c r="AV31" s="57" t="s">
        <v>36</v>
      </c>
      <c r="AW31" s="57" t="s">
        <v>36</v>
      </c>
      <c r="AX31" s="57" t="s">
        <v>36</v>
      </c>
      <c r="AY31" s="57" t="s">
        <v>156</v>
      </c>
      <c r="AZ31" s="122" t="s">
        <v>156</v>
      </c>
    </row>
    <row r="32" spans="1:52" s="4" customFormat="1" ht="57.75" customHeight="1">
      <c r="A32" s="46" t="s">
        <v>190</v>
      </c>
      <c r="B32" s="47" t="s">
        <v>191</v>
      </c>
      <c r="C32" s="55" t="s">
        <v>192</v>
      </c>
      <c r="D32" s="56" t="s">
        <v>36</v>
      </c>
      <c r="E32" s="57" t="s">
        <v>36</v>
      </c>
      <c r="F32" s="57" t="s">
        <v>36</v>
      </c>
      <c r="G32" s="57" t="s">
        <v>36</v>
      </c>
      <c r="H32" s="57" t="s">
        <v>36</v>
      </c>
      <c r="I32" s="57" t="s">
        <v>36</v>
      </c>
      <c r="J32" s="57" t="s">
        <v>36</v>
      </c>
      <c r="K32" s="57" t="s">
        <v>36</v>
      </c>
      <c r="L32" s="57" t="s">
        <v>36</v>
      </c>
      <c r="M32" s="57" t="s">
        <v>36</v>
      </c>
      <c r="N32" s="57" t="s">
        <v>36</v>
      </c>
      <c r="O32" s="122" t="s">
        <v>36</v>
      </c>
      <c r="P32" s="137" t="s">
        <v>37</v>
      </c>
      <c r="Q32" s="59" t="s">
        <v>36</v>
      </c>
      <c r="R32" s="57" t="s">
        <v>36</v>
      </c>
      <c r="S32" s="57" t="s">
        <v>36</v>
      </c>
      <c r="T32" s="57" t="s">
        <v>36</v>
      </c>
      <c r="U32" s="57" t="s">
        <v>36</v>
      </c>
      <c r="V32" s="58" t="s">
        <v>36</v>
      </c>
      <c r="W32" s="59" t="s">
        <v>36</v>
      </c>
      <c r="X32" s="57" t="s">
        <v>36</v>
      </c>
      <c r="Y32" s="57" t="s">
        <v>36</v>
      </c>
      <c r="Z32" s="57" t="s">
        <v>36</v>
      </c>
      <c r="AA32" s="57" t="s">
        <v>36</v>
      </c>
      <c r="AB32" s="57" t="s">
        <v>36</v>
      </c>
      <c r="AC32" s="57" t="s">
        <v>36</v>
      </c>
      <c r="AD32" s="57" t="s">
        <v>36</v>
      </c>
      <c r="AE32" s="57" t="s">
        <v>36</v>
      </c>
      <c r="AF32" s="57" t="s">
        <v>37</v>
      </c>
      <c r="AG32" s="57" t="s">
        <v>36</v>
      </c>
      <c r="AH32" s="57" t="s">
        <v>36</v>
      </c>
      <c r="AI32" s="57" t="s">
        <v>36</v>
      </c>
      <c r="AJ32" s="57" t="s">
        <v>36</v>
      </c>
      <c r="AK32" s="57" t="s">
        <v>36</v>
      </c>
      <c r="AL32" s="57" t="s">
        <v>36</v>
      </c>
      <c r="AM32" s="57" t="s">
        <v>36</v>
      </c>
      <c r="AN32" s="57" t="s">
        <v>36</v>
      </c>
      <c r="AO32" s="57" t="s">
        <v>37</v>
      </c>
      <c r="AP32" s="58" t="s">
        <v>37</v>
      </c>
      <c r="AQ32" s="57" t="s">
        <v>36</v>
      </c>
      <c r="AR32" s="57" t="s">
        <v>36</v>
      </c>
      <c r="AS32" s="57" t="s">
        <v>36</v>
      </c>
      <c r="AT32" s="57" t="s">
        <v>36</v>
      </c>
      <c r="AU32" s="57" t="s">
        <v>36</v>
      </c>
      <c r="AV32" s="57" t="s">
        <v>36</v>
      </c>
      <c r="AW32" s="57" t="s">
        <v>36</v>
      </c>
      <c r="AX32" s="57" t="s">
        <v>36</v>
      </c>
      <c r="AY32" s="57" t="s">
        <v>156</v>
      </c>
      <c r="AZ32" s="122" t="s">
        <v>156</v>
      </c>
    </row>
    <row r="33" spans="1:52" s="4" customFormat="1" ht="60.75" customHeight="1">
      <c r="A33" s="46" t="s">
        <v>193</v>
      </c>
      <c r="B33" s="47" t="s">
        <v>194</v>
      </c>
      <c r="C33" s="55" t="s">
        <v>195</v>
      </c>
      <c r="D33" s="56" t="s">
        <v>36</v>
      </c>
      <c r="E33" s="57" t="s">
        <v>36</v>
      </c>
      <c r="F33" s="57" t="s">
        <v>36</v>
      </c>
      <c r="G33" s="57" t="s">
        <v>36</v>
      </c>
      <c r="H33" s="57" t="s">
        <v>36</v>
      </c>
      <c r="I33" s="57" t="s">
        <v>36</v>
      </c>
      <c r="J33" s="57" t="s">
        <v>36</v>
      </c>
      <c r="K33" s="57" t="s">
        <v>36</v>
      </c>
      <c r="L33" s="57" t="s">
        <v>36</v>
      </c>
      <c r="M33" s="57" t="s">
        <v>36</v>
      </c>
      <c r="N33" s="57" t="s">
        <v>36</v>
      </c>
      <c r="O33" s="122" t="s">
        <v>36</v>
      </c>
      <c r="P33" s="137" t="s">
        <v>37</v>
      </c>
      <c r="Q33" s="59" t="s">
        <v>36</v>
      </c>
      <c r="R33" s="57" t="s">
        <v>36</v>
      </c>
      <c r="S33" s="57" t="s">
        <v>36</v>
      </c>
      <c r="T33" s="57" t="s">
        <v>36</v>
      </c>
      <c r="U33" s="57" t="s">
        <v>36</v>
      </c>
      <c r="V33" s="58" t="s">
        <v>36</v>
      </c>
      <c r="W33" s="59" t="s">
        <v>36</v>
      </c>
      <c r="X33" s="57" t="s">
        <v>36</v>
      </c>
      <c r="Y33" s="57" t="s">
        <v>36</v>
      </c>
      <c r="Z33" s="57" t="s">
        <v>36</v>
      </c>
      <c r="AA33" s="57" t="s">
        <v>36</v>
      </c>
      <c r="AB33" s="57" t="s">
        <v>36</v>
      </c>
      <c r="AC33" s="57" t="s">
        <v>36</v>
      </c>
      <c r="AD33" s="57" t="s">
        <v>36</v>
      </c>
      <c r="AE33" s="57" t="s">
        <v>36</v>
      </c>
      <c r="AF33" s="57" t="s">
        <v>37</v>
      </c>
      <c r="AG33" s="57" t="s">
        <v>36</v>
      </c>
      <c r="AH33" s="57" t="s">
        <v>36</v>
      </c>
      <c r="AI33" s="57" t="s">
        <v>36</v>
      </c>
      <c r="AJ33" s="57" t="s">
        <v>36</v>
      </c>
      <c r="AK33" s="57" t="s">
        <v>36</v>
      </c>
      <c r="AL33" s="57" t="s">
        <v>36</v>
      </c>
      <c r="AM33" s="57" t="s">
        <v>36</v>
      </c>
      <c r="AN33" s="57" t="s">
        <v>36</v>
      </c>
      <c r="AO33" s="57" t="s">
        <v>37</v>
      </c>
      <c r="AP33" s="58" t="s">
        <v>37</v>
      </c>
      <c r="AQ33" s="57" t="s">
        <v>36</v>
      </c>
      <c r="AR33" s="57" t="s">
        <v>36</v>
      </c>
      <c r="AS33" s="57" t="s">
        <v>36</v>
      </c>
      <c r="AT33" s="57" t="s">
        <v>36</v>
      </c>
      <c r="AU33" s="57" t="s">
        <v>36</v>
      </c>
      <c r="AV33" s="57" t="s">
        <v>36</v>
      </c>
      <c r="AW33" s="57" t="s">
        <v>36</v>
      </c>
      <c r="AX33" s="57" t="s">
        <v>36</v>
      </c>
      <c r="AY33" s="57" t="s">
        <v>156</v>
      </c>
      <c r="AZ33" s="122" t="s">
        <v>156</v>
      </c>
    </row>
    <row r="34" spans="1:52" s="4" customFormat="1" ht="48" customHeight="1">
      <c r="A34" s="46" t="s">
        <v>196</v>
      </c>
      <c r="B34" s="47" t="s">
        <v>197</v>
      </c>
      <c r="C34" s="55" t="s">
        <v>198</v>
      </c>
      <c r="D34" s="56" t="s">
        <v>36</v>
      </c>
      <c r="E34" s="57" t="s">
        <v>36</v>
      </c>
      <c r="F34" s="57" t="s">
        <v>36</v>
      </c>
      <c r="G34" s="57" t="s">
        <v>37</v>
      </c>
      <c r="H34" s="57" t="s">
        <v>36</v>
      </c>
      <c r="I34" s="57" t="s">
        <v>36</v>
      </c>
      <c r="J34" s="57" t="s">
        <v>37</v>
      </c>
      <c r="K34" s="57" t="s">
        <v>36</v>
      </c>
      <c r="L34" s="57" t="s">
        <v>36</v>
      </c>
      <c r="M34" s="57" t="s">
        <v>36</v>
      </c>
      <c r="N34" s="57" t="s">
        <v>36</v>
      </c>
      <c r="O34" s="122" t="s">
        <v>36</v>
      </c>
      <c r="P34" s="137" t="s">
        <v>38</v>
      </c>
      <c r="Q34" s="59" t="s">
        <v>36</v>
      </c>
      <c r="R34" s="57" t="s">
        <v>36</v>
      </c>
      <c r="S34" s="57" t="s">
        <v>36</v>
      </c>
      <c r="T34" s="57" t="s">
        <v>36</v>
      </c>
      <c r="U34" s="57" t="s">
        <v>37</v>
      </c>
      <c r="V34" s="58" t="s">
        <v>37</v>
      </c>
      <c r="W34" s="59" t="s">
        <v>36</v>
      </c>
      <c r="X34" s="57" t="s">
        <v>36</v>
      </c>
      <c r="Y34" s="57" t="s">
        <v>36</v>
      </c>
      <c r="Z34" s="57" t="s">
        <v>37</v>
      </c>
      <c r="AA34" s="57" t="s">
        <v>36</v>
      </c>
      <c r="AB34" s="57" t="s">
        <v>36</v>
      </c>
      <c r="AC34" s="57" t="s">
        <v>36</v>
      </c>
      <c r="AD34" s="57" t="s">
        <v>36</v>
      </c>
      <c r="AE34" s="57" t="s">
        <v>36</v>
      </c>
      <c r="AF34" s="57" t="s">
        <v>38</v>
      </c>
      <c r="AG34" s="57" t="s">
        <v>36</v>
      </c>
      <c r="AH34" s="57" t="s">
        <v>36</v>
      </c>
      <c r="AI34" s="57" t="s">
        <v>156</v>
      </c>
      <c r="AJ34" s="57" t="s">
        <v>36</v>
      </c>
      <c r="AK34" s="57" t="s">
        <v>36</v>
      </c>
      <c r="AL34" s="57" t="s">
        <v>36</v>
      </c>
      <c r="AM34" s="57" t="s">
        <v>36</v>
      </c>
      <c r="AN34" s="57" t="s">
        <v>36</v>
      </c>
      <c r="AO34" s="57" t="s">
        <v>36</v>
      </c>
      <c r="AP34" s="58" t="s">
        <v>37</v>
      </c>
      <c r="AQ34" s="57" t="s">
        <v>36</v>
      </c>
      <c r="AR34" s="57" t="s">
        <v>36</v>
      </c>
      <c r="AS34" s="57" t="s">
        <v>36</v>
      </c>
      <c r="AT34" s="57" t="s">
        <v>36</v>
      </c>
      <c r="AU34" s="57" t="s">
        <v>36</v>
      </c>
      <c r="AV34" s="57" t="s">
        <v>36</v>
      </c>
      <c r="AW34" s="57" t="s">
        <v>36</v>
      </c>
      <c r="AX34" s="57" t="s">
        <v>36</v>
      </c>
      <c r="AY34" s="57" t="s">
        <v>156</v>
      </c>
      <c r="AZ34" s="122" t="s">
        <v>156</v>
      </c>
    </row>
    <row r="35" spans="1:52" s="4" customFormat="1" ht="57.75" customHeight="1">
      <c r="A35" s="46" t="s">
        <v>199</v>
      </c>
      <c r="B35" s="47" t="s">
        <v>200</v>
      </c>
      <c r="C35" s="55" t="s">
        <v>201</v>
      </c>
      <c r="D35" s="56" t="s">
        <v>36</v>
      </c>
      <c r="E35" s="57" t="s">
        <v>36</v>
      </c>
      <c r="F35" s="57" t="s">
        <v>36</v>
      </c>
      <c r="G35" s="57" t="s">
        <v>38</v>
      </c>
      <c r="H35" s="57" t="s">
        <v>36</v>
      </c>
      <c r="I35" s="57" t="s">
        <v>36</v>
      </c>
      <c r="J35" s="57" t="s">
        <v>38</v>
      </c>
      <c r="K35" s="57" t="s">
        <v>36</v>
      </c>
      <c r="L35" s="57" t="s">
        <v>36</v>
      </c>
      <c r="M35" s="57" t="s">
        <v>36</v>
      </c>
      <c r="N35" s="57" t="s">
        <v>38</v>
      </c>
      <c r="O35" s="122" t="s">
        <v>36</v>
      </c>
      <c r="P35" s="137" t="s">
        <v>38</v>
      </c>
      <c r="Q35" s="59" t="s">
        <v>36</v>
      </c>
      <c r="R35" s="57" t="s">
        <v>36</v>
      </c>
      <c r="S35" s="57" t="s">
        <v>36</v>
      </c>
      <c r="T35" s="57" t="s">
        <v>36</v>
      </c>
      <c r="U35" s="57" t="s">
        <v>37</v>
      </c>
      <c r="V35" s="58" t="s">
        <v>38</v>
      </c>
      <c r="W35" s="59" t="s">
        <v>36</v>
      </c>
      <c r="X35" s="57" t="s">
        <v>36</v>
      </c>
      <c r="Y35" s="57" t="s">
        <v>36</v>
      </c>
      <c r="Z35" s="57" t="s">
        <v>38</v>
      </c>
      <c r="AA35" s="57" t="s">
        <v>36</v>
      </c>
      <c r="AB35" s="57" t="s">
        <v>37</v>
      </c>
      <c r="AC35" s="57" t="s">
        <v>37</v>
      </c>
      <c r="AD35" s="57" t="s">
        <v>37</v>
      </c>
      <c r="AE35" s="57" t="s">
        <v>37</v>
      </c>
      <c r="AF35" s="57" t="s">
        <v>38</v>
      </c>
      <c r="AG35" s="57" t="s">
        <v>36</v>
      </c>
      <c r="AH35" s="57" t="s">
        <v>36</v>
      </c>
      <c r="AI35" s="57" t="s">
        <v>156</v>
      </c>
      <c r="AJ35" s="57" t="s">
        <v>36</v>
      </c>
      <c r="AK35" s="57" t="s">
        <v>38</v>
      </c>
      <c r="AL35" s="57" t="s">
        <v>36</v>
      </c>
      <c r="AM35" s="57" t="s">
        <v>36</v>
      </c>
      <c r="AN35" s="57" t="s">
        <v>36</v>
      </c>
      <c r="AO35" s="57" t="s">
        <v>38</v>
      </c>
      <c r="AP35" s="58" t="s">
        <v>36</v>
      </c>
      <c r="AQ35" s="57" t="s">
        <v>36</v>
      </c>
      <c r="AR35" s="57" t="s">
        <v>36</v>
      </c>
      <c r="AS35" s="57" t="s">
        <v>36</v>
      </c>
      <c r="AT35" s="57" t="s">
        <v>36</v>
      </c>
      <c r="AU35" s="57" t="s">
        <v>37</v>
      </c>
      <c r="AV35" s="57" t="s">
        <v>37</v>
      </c>
      <c r="AW35" s="57" t="s">
        <v>37</v>
      </c>
      <c r="AX35" s="57" t="s">
        <v>37</v>
      </c>
      <c r="AY35" s="57" t="s">
        <v>37</v>
      </c>
      <c r="AZ35" s="122" t="s">
        <v>37</v>
      </c>
    </row>
    <row r="36" spans="1:52" s="4" customFormat="1" ht="58.5" customHeight="1">
      <c r="A36" s="46" t="s">
        <v>202</v>
      </c>
      <c r="B36" s="47" t="s">
        <v>203</v>
      </c>
      <c r="C36" s="55" t="s">
        <v>204</v>
      </c>
      <c r="D36" s="56" t="s">
        <v>37</v>
      </c>
      <c r="E36" s="57" t="s">
        <v>37</v>
      </c>
      <c r="F36" s="57" t="s">
        <v>37</v>
      </c>
      <c r="G36" s="57" t="s">
        <v>38</v>
      </c>
      <c r="H36" s="57" t="s">
        <v>37</v>
      </c>
      <c r="I36" s="57" t="s">
        <v>37</v>
      </c>
      <c r="J36" s="57" t="s">
        <v>38</v>
      </c>
      <c r="K36" s="57" t="s">
        <v>36</v>
      </c>
      <c r="L36" s="57" t="s">
        <v>36</v>
      </c>
      <c r="M36" s="57" t="s">
        <v>36</v>
      </c>
      <c r="N36" s="57" t="s">
        <v>38</v>
      </c>
      <c r="O36" s="122" t="s">
        <v>36</v>
      </c>
      <c r="P36" s="137" t="s">
        <v>39</v>
      </c>
      <c r="Q36" s="59" t="s">
        <v>37</v>
      </c>
      <c r="R36" s="57" t="s">
        <v>37</v>
      </c>
      <c r="S36" s="57" t="s">
        <v>37</v>
      </c>
      <c r="T36" s="57" t="s">
        <v>37</v>
      </c>
      <c r="U36" s="57" t="s">
        <v>37</v>
      </c>
      <c r="V36" s="58" t="s">
        <v>38</v>
      </c>
      <c r="W36" s="59" t="s">
        <v>37</v>
      </c>
      <c r="X36" s="57" t="s">
        <v>37</v>
      </c>
      <c r="Y36" s="57" t="s">
        <v>37</v>
      </c>
      <c r="Z36" s="57" t="s">
        <v>38</v>
      </c>
      <c r="AA36" s="57" t="s">
        <v>38</v>
      </c>
      <c r="AB36" s="57" t="s">
        <v>38</v>
      </c>
      <c r="AC36" s="57" t="s">
        <v>38</v>
      </c>
      <c r="AD36" s="57" t="s">
        <v>38</v>
      </c>
      <c r="AE36" s="57" t="s">
        <v>38</v>
      </c>
      <c r="AF36" s="57" t="s">
        <v>39</v>
      </c>
      <c r="AG36" s="56" t="s">
        <v>37</v>
      </c>
      <c r="AH36" s="57" t="s">
        <v>37</v>
      </c>
      <c r="AI36" s="57" t="s">
        <v>37</v>
      </c>
      <c r="AJ36" s="57" t="s">
        <v>37</v>
      </c>
      <c r="AK36" s="57" t="s">
        <v>37</v>
      </c>
      <c r="AL36" s="57" t="s">
        <v>37</v>
      </c>
      <c r="AM36" s="57" t="s">
        <v>37</v>
      </c>
      <c r="AN36" s="57" t="s">
        <v>37</v>
      </c>
      <c r="AO36" s="57" t="s">
        <v>39</v>
      </c>
      <c r="AP36" s="58" t="s">
        <v>37</v>
      </c>
      <c r="AQ36" s="57" t="s">
        <v>37</v>
      </c>
      <c r="AR36" s="57" t="s">
        <v>37</v>
      </c>
      <c r="AS36" s="57" t="s">
        <v>37</v>
      </c>
      <c r="AT36" s="57" t="s">
        <v>37</v>
      </c>
      <c r="AU36" s="57" t="s">
        <v>156</v>
      </c>
      <c r="AV36" s="57" t="s">
        <v>156</v>
      </c>
      <c r="AW36" s="57" t="s">
        <v>156</v>
      </c>
      <c r="AX36" s="57" t="s">
        <v>156</v>
      </c>
      <c r="AY36" s="57" t="s">
        <v>156</v>
      </c>
      <c r="AZ36" s="122" t="s">
        <v>156</v>
      </c>
    </row>
    <row r="37" spans="1:52" s="4" customFormat="1" ht="40.5" customHeight="1" thickBot="1">
      <c r="A37" s="46" t="s">
        <v>205</v>
      </c>
      <c r="B37" s="47" t="s">
        <v>206</v>
      </c>
      <c r="C37" s="55" t="s">
        <v>207</v>
      </c>
      <c r="D37" s="56" t="s">
        <v>36</v>
      </c>
      <c r="E37" s="57" t="s">
        <v>36</v>
      </c>
      <c r="F37" s="57" t="s">
        <v>36</v>
      </c>
      <c r="G37" s="57" t="s">
        <v>37</v>
      </c>
      <c r="H37" s="57" t="s">
        <v>36</v>
      </c>
      <c r="I37" s="57" t="s">
        <v>36</v>
      </c>
      <c r="J37" s="57" t="s">
        <v>37</v>
      </c>
      <c r="K37" s="57" t="s">
        <v>36</v>
      </c>
      <c r="L37" s="57" t="s">
        <v>36</v>
      </c>
      <c r="M37" s="57" t="s">
        <v>36</v>
      </c>
      <c r="N37" s="57" t="s">
        <v>36</v>
      </c>
      <c r="O37" s="122" t="s">
        <v>36</v>
      </c>
      <c r="P37" s="137" t="s">
        <v>38</v>
      </c>
      <c r="Q37" s="59" t="s">
        <v>36</v>
      </c>
      <c r="R37" s="57" t="s">
        <v>36</v>
      </c>
      <c r="S37" s="57" t="s">
        <v>36</v>
      </c>
      <c r="T37" s="57" t="s">
        <v>36</v>
      </c>
      <c r="U37" s="57" t="s">
        <v>37</v>
      </c>
      <c r="V37" s="58" t="s">
        <v>37</v>
      </c>
      <c r="W37" s="59" t="s">
        <v>36</v>
      </c>
      <c r="X37" s="57" t="s">
        <v>36</v>
      </c>
      <c r="Y37" s="57" t="s">
        <v>36</v>
      </c>
      <c r="Z37" s="57" t="s">
        <v>37</v>
      </c>
      <c r="AA37" s="57" t="s">
        <v>36</v>
      </c>
      <c r="AB37" s="57" t="s">
        <v>36</v>
      </c>
      <c r="AC37" s="57" t="s">
        <v>36</v>
      </c>
      <c r="AD37" s="57" t="s">
        <v>36</v>
      </c>
      <c r="AE37" s="57" t="s">
        <v>36</v>
      </c>
      <c r="AF37" s="57" t="s">
        <v>38</v>
      </c>
      <c r="AG37" s="57" t="s">
        <v>36</v>
      </c>
      <c r="AH37" s="57" t="s">
        <v>36</v>
      </c>
      <c r="AI37" s="57" t="s">
        <v>156</v>
      </c>
      <c r="AJ37" s="57" t="s">
        <v>36</v>
      </c>
      <c r="AK37" s="57" t="s">
        <v>36</v>
      </c>
      <c r="AL37" s="57" t="s">
        <v>36</v>
      </c>
      <c r="AM37" s="57" t="s">
        <v>36</v>
      </c>
      <c r="AN37" s="57" t="s">
        <v>36</v>
      </c>
      <c r="AO37" s="57" t="s">
        <v>38</v>
      </c>
      <c r="AP37" s="58" t="s">
        <v>38</v>
      </c>
      <c r="AQ37" s="57" t="s">
        <v>38</v>
      </c>
      <c r="AR37" s="57" t="s">
        <v>38</v>
      </c>
      <c r="AS37" s="57" t="s">
        <v>38</v>
      </c>
      <c r="AT37" s="57" t="s">
        <v>38</v>
      </c>
      <c r="AU37" s="67" t="s">
        <v>156</v>
      </c>
      <c r="AV37" s="67" t="s">
        <v>156</v>
      </c>
      <c r="AW37" s="67" t="s">
        <v>156</v>
      </c>
      <c r="AX37" s="67" t="s">
        <v>156</v>
      </c>
      <c r="AY37" s="67" t="s">
        <v>156</v>
      </c>
      <c r="AZ37" s="128" t="s">
        <v>156</v>
      </c>
    </row>
    <row r="38" spans="1:52" s="4" customFormat="1" ht="51.75" customHeight="1" thickBot="1">
      <c r="A38" s="48" t="s">
        <v>205</v>
      </c>
      <c r="B38" s="49" t="s">
        <v>208</v>
      </c>
      <c r="C38" s="65" t="s">
        <v>209</v>
      </c>
      <c r="D38" s="66" t="s">
        <v>36</v>
      </c>
      <c r="E38" s="67" t="s">
        <v>36</v>
      </c>
      <c r="F38" s="67" t="s">
        <v>36</v>
      </c>
      <c r="G38" s="67" t="s">
        <v>38</v>
      </c>
      <c r="H38" s="67" t="s">
        <v>36</v>
      </c>
      <c r="I38" s="67" t="s">
        <v>36</v>
      </c>
      <c r="J38" s="67" t="s">
        <v>38</v>
      </c>
      <c r="K38" s="67" t="s">
        <v>36</v>
      </c>
      <c r="L38" s="67" t="s">
        <v>36</v>
      </c>
      <c r="M38" s="67" t="s">
        <v>36</v>
      </c>
      <c r="N38" s="67" t="s">
        <v>38</v>
      </c>
      <c r="O38" s="128" t="s">
        <v>36</v>
      </c>
      <c r="P38" s="138" t="s">
        <v>39</v>
      </c>
      <c r="Q38" s="85" t="s">
        <v>36</v>
      </c>
      <c r="R38" s="67" t="s">
        <v>36</v>
      </c>
      <c r="S38" s="67" t="s">
        <v>36</v>
      </c>
      <c r="T38" s="67" t="s">
        <v>36</v>
      </c>
      <c r="U38" s="67" t="s">
        <v>37</v>
      </c>
      <c r="V38" s="68" t="s">
        <v>38</v>
      </c>
      <c r="W38" s="85" t="s">
        <v>36</v>
      </c>
      <c r="X38" s="67" t="s">
        <v>36</v>
      </c>
      <c r="Y38" s="67" t="s">
        <v>36</v>
      </c>
      <c r="Z38" s="67" t="s">
        <v>38</v>
      </c>
      <c r="AA38" s="67" t="s">
        <v>36</v>
      </c>
      <c r="AB38" s="67" t="s">
        <v>36</v>
      </c>
      <c r="AC38" s="67" t="s">
        <v>36</v>
      </c>
      <c r="AD38" s="67" t="s">
        <v>36</v>
      </c>
      <c r="AE38" s="67" t="s">
        <v>36</v>
      </c>
      <c r="AF38" s="67" t="s">
        <v>39</v>
      </c>
      <c r="AG38" s="67" t="s">
        <v>36</v>
      </c>
      <c r="AH38" s="67" t="s">
        <v>36</v>
      </c>
      <c r="AI38" s="67" t="s">
        <v>156</v>
      </c>
      <c r="AJ38" s="67" t="s">
        <v>36</v>
      </c>
      <c r="AK38" s="67" t="s">
        <v>38</v>
      </c>
      <c r="AL38" s="67" t="s">
        <v>36</v>
      </c>
      <c r="AM38" s="67" t="s">
        <v>36</v>
      </c>
      <c r="AN38" s="67" t="s">
        <v>36</v>
      </c>
      <c r="AO38" s="67" t="s">
        <v>39</v>
      </c>
      <c r="AP38" s="68" t="s">
        <v>38</v>
      </c>
      <c r="AQ38" s="67" t="s">
        <v>38</v>
      </c>
      <c r="AR38" s="67" t="s">
        <v>38</v>
      </c>
      <c r="AS38" s="67" t="s">
        <v>38</v>
      </c>
      <c r="AT38" s="67" t="s">
        <v>38</v>
      </c>
      <c r="AU38" s="52"/>
      <c r="AV38" s="52"/>
      <c r="AW38" s="52"/>
      <c r="AX38" s="52"/>
      <c r="AY38" s="52"/>
      <c r="AZ38" s="131"/>
    </row>
    <row r="39" spans="1:52" s="4" customFormat="1" ht="41.25" thickBot="1">
      <c r="A39" s="44" t="s">
        <v>210</v>
      </c>
      <c r="B39" s="45" t="s">
        <v>211</v>
      </c>
      <c r="C39" s="50" t="s">
        <v>212</v>
      </c>
      <c r="D39" s="115" t="s">
        <v>37</v>
      </c>
      <c r="E39" s="116" t="s">
        <v>37</v>
      </c>
      <c r="F39" s="116" t="s">
        <v>38</v>
      </c>
      <c r="G39" s="116" t="s">
        <v>38</v>
      </c>
      <c r="H39" s="116" t="s">
        <v>38</v>
      </c>
      <c r="I39" s="116" t="s">
        <v>38</v>
      </c>
      <c r="J39" s="116" t="s">
        <v>38</v>
      </c>
      <c r="K39" s="116" t="s">
        <v>37</v>
      </c>
      <c r="L39" s="116" t="s">
        <v>38</v>
      </c>
      <c r="M39" s="116" t="s">
        <v>38</v>
      </c>
      <c r="N39" s="116" t="s">
        <v>39</v>
      </c>
      <c r="O39" s="116" t="s">
        <v>36</v>
      </c>
      <c r="P39" s="134" t="s">
        <v>38</v>
      </c>
      <c r="Q39" s="51" t="s">
        <v>38</v>
      </c>
      <c r="R39" s="52" t="s">
        <v>38</v>
      </c>
      <c r="S39" s="52" t="s">
        <v>38</v>
      </c>
      <c r="T39" s="52" t="s">
        <v>38</v>
      </c>
      <c r="U39" s="52" t="s">
        <v>38</v>
      </c>
      <c r="V39" s="53" t="s">
        <v>38</v>
      </c>
      <c r="W39" s="54" t="s">
        <v>38</v>
      </c>
      <c r="X39" s="52" t="s">
        <v>38</v>
      </c>
      <c r="Y39" s="52" t="s">
        <v>38</v>
      </c>
      <c r="Z39" s="52" t="s">
        <v>39</v>
      </c>
      <c r="AA39" s="52" t="s">
        <v>37</v>
      </c>
      <c r="AB39" s="52" t="s">
        <v>38</v>
      </c>
      <c r="AC39" s="52" t="s">
        <v>38</v>
      </c>
      <c r="AD39" s="52" t="s">
        <v>39</v>
      </c>
      <c r="AE39" s="52" t="s">
        <v>39</v>
      </c>
      <c r="AF39" s="52" t="s">
        <v>39</v>
      </c>
      <c r="AG39" s="51" t="s">
        <v>39</v>
      </c>
      <c r="AH39" s="52" t="s">
        <v>38</v>
      </c>
      <c r="AI39" s="116" t="s">
        <v>37</v>
      </c>
      <c r="AJ39" s="116" t="s">
        <v>38</v>
      </c>
      <c r="AK39" s="116" t="s">
        <v>38</v>
      </c>
      <c r="AL39" s="52" t="s">
        <v>38</v>
      </c>
      <c r="AM39" s="52" t="s">
        <v>38</v>
      </c>
      <c r="AN39" s="52" t="s">
        <v>39</v>
      </c>
      <c r="AO39" s="52" t="s">
        <v>40</v>
      </c>
      <c r="AP39" s="53" t="s">
        <v>39</v>
      </c>
      <c r="AQ39" s="52" t="s">
        <v>39</v>
      </c>
      <c r="AR39" s="52" t="s">
        <v>39</v>
      </c>
      <c r="AS39" s="52" t="s">
        <v>39</v>
      </c>
      <c r="AT39" s="52" t="s">
        <v>39</v>
      </c>
      <c r="AU39" s="57"/>
      <c r="AV39" s="57"/>
      <c r="AW39" s="57"/>
      <c r="AX39" s="57"/>
      <c r="AY39" s="52" t="s">
        <v>39</v>
      </c>
      <c r="AZ39" s="131" t="s">
        <v>39</v>
      </c>
    </row>
    <row r="40" spans="1:52" s="4" customFormat="1" ht="62.25" customHeight="1" thickBot="1">
      <c r="A40" s="46" t="s">
        <v>213</v>
      </c>
      <c r="B40" s="47" t="s">
        <v>214</v>
      </c>
      <c r="C40" s="55" t="s">
        <v>215</v>
      </c>
      <c r="D40" s="56" t="s">
        <v>36</v>
      </c>
      <c r="E40" s="57" t="s">
        <v>36</v>
      </c>
      <c r="F40" s="57" t="s">
        <v>36</v>
      </c>
      <c r="G40" s="57" t="s">
        <v>36</v>
      </c>
      <c r="H40" s="57" t="s">
        <v>36</v>
      </c>
      <c r="I40" s="57" t="s">
        <v>36</v>
      </c>
      <c r="J40" s="57" t="s">
        <v>36</v>
      </c>
      <c r="K40" s="57" t="s">
        <v>37</v>
      </c>
      <c r="L40" s="57" t="s">
        <v>38</v>
      </c>
      <c r="M40" s="57" t="s">
        <v>38</v>
      </c>
      <c r="N40" s="57" t="s">
        <v>40</v>
      </c>
      <c r="O40" s="57" t="s">
        <v>36</v>
      </c>
      <c r="P40" s="58" t="s">
        <v>38</v>
      </c>
      <c r="Q40" s="56" t="s">
        <v>38</v>
      </c>
      <c r="R40" s="57" t="s">
        <v>38</v>
      </c>
      <c r="S40" s="57" t="s">
        <v>38</v>
      </c>
      <c r="T40" s="57" t="s">
        <v>38</v>
      </c>
      <c r="U40" s="57" t="s">
        <v>38</v>
      </c>
      <c r="V40" s="58" t="s">
        <v>38</v>
      </c>
      <c r="W40" s="59" t="s">
        <v>37</v>
      </c>
      <c r="X40" s="57" t="s">
        <v>37</v>
      </c>
      <c r="Y40" s="57" t="s">
        <v>37</v>
      </c>
      <c r="Z40" s="52" t="s">
        <v>39</v>
      </c>
      <c r="AA40" s="57" t="s">
        <v>37</v>
      </c>
      <c r="AB40" s="57" t="s">
        <v>37</v>
      </c>
      <c r="AC40" s="57" t="s">
        <v>37</v>
      </c>
      <c r="AD40" s="57" t="s">
        <v>39</v>
      </c>
      <c r="AE40" s="57" t="s">
        <v>39</v>
      </c>
      <c r="AF40" s="57" t="s">
        <v>39</v>
      </c>
      <c r="AG40" s="51" t="s">
        <v>39</v>
      </c>
      <c r="AH40" s="57" t="s">
        <v>38</v>
      </c>
      <c r="AI40" s="57" t="s">
        <v>38</v>
      </c>
      <c r="AJ40" s="57" t="s">
        <v>38</v>
      </c>
      <c r="AK40" s="57" t="s">
        <v>39</v>
      </c>
      <c r="AL40" s="57" t="s">
        <v>38</v>
      </c>
      <c r="AM40" s="57" t="s">
        <v>36</v>
      </c>
      <c r="AN40" s="57" t="s">
        <v>39</v>
      </c>
      <c r="AO40" s="52" t="s">
        <v>39</v>
      </c>
      <c r="AP40" s="53" t="s">
        <v>39</v>
      </c>
      <c r="AQ40" s="52" t="s">
        <v>39</v>
      </c>
      <c r="AR40" s="52" t="s">
        <v>39</v>
      </c>
      <c r="AS40" s="52" t="s">
        <v>39</v>
      </c>
      <c r="AT40" s="52" t="s">
        <v>39</v>
      </c>
      <c r="AU40" s="57"/>
      <c r="AV40" s="57"/>
      <c r="AW40" s="57"/>
      <c r="AX40" s="57"/>
      <c r="AY40" s="52" t="s">
        <v>39</v>
      </c>
      <c r="AZ40" s="131" t="s">
        <v>39</v>
      </c>
    </row>
    <row r="41" spans="1:52" s="4" customFormat="1" ht="51.75" customHeight="1" thickBot="1">
      <c r="A41" s="46" t="s">
        <v>216</v>
      </c>
      <c r="B41" s="47" t="s">
        <v>217</v>
      </c>
      <c r="C41" s="55" t="s">
        <v>218</v>
      </c>
      <c r="D41" s="56" t="s">
        <v>36</v>
      </c>
      <c r="E41" s="57" t="s">
        <v>36</v>
      </c>
      <c r="F41" s="57" t="s">
        <v>36</v>
      </c>
      <c r="G41" s="57" t="s">
        <v>36</v>
      </c>
      <c r="H41" s="57" t="s">
        <v>36</v>
      </c>
      <c r="I41" s="57" t="s">
        <v>36</v>
      </c>
      <c r="J41" s="57" t="s">
        <v>36</v>
      </c>
      <c r="K41" s="57" t="s">
        <v>37</v>
      </c>
      <c r="L41" s="57" t="s">
        <v>38</v>
      </c>
      <c r="M41" s="57" t="s">
        <v>38</v>
      </c>
      <c r="N41" s="57" t="s">
        <v>38</v>
      </c>
      <c r="O41" s="57" t="s">
        <v>36</v>
      </c>
      <c r="P41" s="58" t="s">
        <v>38</v>
      </c>
      <c r="Q41" s="56" t="s">
        <v>37</v>
      </c>
      <c r="R41" s="57" t="s">
        <v>37</v>
      </c>
      <c r="S41" s="57" t="s">
        <v>38</v>
      </c>
      <c r="T41" s="57" t="s">
        <v>38</v>
      </c>
      <c r="U41" s="57" t="s">
        <v>38</v>
      </c>
      <c r="V41" s="58" t="s">
        <v>38</v>
      </c>
      <c r="W41" s="59" t="s">
        <v>37</v>
      </c>
      <c r="X41" s="57" t="s">
        <v>38</v>
      </c>
      <c r="Y41" s="57" t="s">
        <v>37</v>
      </c>
      <c r="Z41" s="52" t="s">
        <v>39</v>
      </c>
      <c r="AA41" s="57" t="s">
        <v>37</v>
      </c>
      <c r="AB41" s="57" t="s">
        <v>38</v>
      </c>
      <c r="AC41" s="57" t="s">
        <v>38</v>
      </c>
      <c r="AD41" s="57" t="s">
        <v>39</v>
      </c>
      <c r="AE41" s="57" t="s">
        <v>39</v>
      </c>
      <c r="AF41" s="57" t="s">
        <v>39</v>
      </c>
      <c r="AG41" s="51" t="s">
        <v>38</v>
      </c>
      <c r="AH41" s="57" t="s">
        <v>38</v>
      </c>
      <c r="AI41" s="57" t="s">
        <v>156</v>
      </c>
      <c r="AJ41" s="57" t="s">
        <v>36</v>
      </c>
      <c r="AK41" s="57" t="s">
        <v>36</v>
      </c>
      <c r="AL41" s="57" t="s">
        <v>38</v>
      </c>
      <c r="AM41" s="57" t="s">
        <v>36</v>
      </c>
      <c r="AN41" s="57" t="s">
        <v>39</v>
      </c>
      <c r="AO41" s="52" t="s">
        <v>38</v>
      </c>
      <c r="AP41" s="53" t="s">
        <v>39</v>
      </c>
      <c r="AQ41" s="52" t="s">
        <v>39</v>
      </c>
      <c r="AR41" s="52" t="s">
        <v>39</v>
      </c>
      <c r="AS41" s="52" t="s">
        <v>39</v>
      </c>
      <c r="AT41" s="52" t="s">
        <v>39</v>
      </c>
      <c r="AU41" s="57"/>
      <c r="AV41" s="57"/>
      <c r="AW41" s="57"/>
      <c r="AX41" s="57"/>
      <c r="AY41" s="57"/>
      <c r="AZ41" s="122"/>
    </row>
    <row r="42" spans="1:52" s="4" customFormat="1" ht="45.75" customHeight="1" thickBot="1">
      <c r="A42" s="46" t="s">
        <v>219</v>
      </c>
      <c r="B42" s="47" t="s">
        <v>49</v>
      </c>
      <c r="C42" s="55" t="s">
        <v>220</v>
      </c>
      <c r="D42" s="56" t="s">
        <v>37</v>
      </c>
      <c r="E42" s="57" t="s">
        <v>37</v>
      </c>
      <c r="F42" s="57" t="s">
        <v>37</v>
      </c>
      <c r="G42" s="57" t="s">
        <v>38</v>
      </c>
      <c r="H42" s="57" t="s">
        <v>37</v>
      </c>
      <c r="I42" s="57" t="s">
        <v>37</v>
      </c>
      <c r="J42" s="57" t="s">
        <v>38</v>
      </c>
      <c r="K42" s="57" t="s">
        <v>37</v>
      </c>
      <c r="L42" s="57" t="s">
        <v>38</v>
      </c>
      <c r="M42" s="57" t="s">
        <v>38</v>
      </c>
      <c r="N42" s="57" t="s">
        <v>38</v>
      </c>
      <c r="O42" s="57" t="s">
        <v>36</v>
      </c>
      <c r="P42" s="58" t="s">
        <v>38</v>
      </c>
      <c r="Q42" s="56" t="s">
        <v>37</v>
      </c>
      <c r="R42" s="57" t="s">
        <v>37</v>
      </c>
      <c r="S42" s="57" t="s">
        <v>37</v>
      </c>
      <c r="T42" s="57" t="s">
        <v>37</v>
      </c>
      <c r="U42" s="57" t="s">
        <v>39</v>
      </c>
      <c r="V42" s="58" t="s">
        <v>39</v>
      </c>
      <c r="W42" s="59" t="s">
        <v>38</v>
      </c>
      <c r="X42" s="57" t="s">
        <v>38</v>
      </c>
      <c r="Y42" s="57" t="s">
        <v>37</v>
      </c>
      <c r="Z42" s="52" t="s">
        <v>39</v>
      </c>
      <c r="AA42" s="57" t="s">
        <v>37</v>
      </c>
      <c r="AB42" s="57" t="s">
        <v>38</v>
      </c>
      <c r="AC42" s="57" t="s">
        <v>38</v>
      </c>
      <c r="AD42" s="57" t="s">
        <v>39</v>
      </c>
      <c r="AE42" s="57" t="s">
        <v>39</v>
      </c>
      <c r="AF42" s="57" t="s">
        <v>39</v>
      </c>
      <c r="AG42" s="56" t="s">
        <v>39</v>
      </c>
      <c r="AH42" s="57" t="s">
        <v>37</v>
      </c>
      <c r="AI42" s="57" t="s">
        <v>38</v>
      </c>
      <c r="AJ42" s="57" t="s">
        <v>39</v>
      </c>
      <c r="AK42" s="57" t="s">
        <v>40</v>
      </c>
      <c r="AL42" s="57" t="s">
        <v>38</v>
      </c>
      <c r="AM42" s="57" t="s">
        <v>38</v>
      </c>
      <c r="AN42" s="57" t="s">
        <v>39</v>
      </c>
      <c r="AO42" s="57" t="s">
        <v>39</v>
      </c>
      <c r="AP42" s="53" t="s">
        <v>39</v>
      </c>
      <c r="AQ42" s="52" t="s">
        <v>39</v>
      </c>
      <c r="AR42" s="52" t="s">
        <v>39</v>
      </c>
      <c r="AS42" s="52" t="s">
        <v>39</v>
      </c>
      <c r="AT42" s="52" t="s">
        <v>39</v>
      </c>
      <c r="AU42" s="57"/>
      <c r="AV42" s="57"/>
      <c r="AW42" s="57"/>
      <c r="AX42" s="57"/>
      <c r="AY42" s="57"/>
      <c r="AZ42" s="122"/>
    </row>
    <row r="43" spans="1:52" s="4" customFormat="1" ht="60" customHeight="1" thickBot="1">
      <c r="A43" s="46" t="s">
        <v>221</v>
      </c>
      <c r="B43" s="47" t="s">
        <v>222</v>
      </c>
      <c r="C43" s="55" t="s">
        <v>223</v>
      </c>
      <c r="D43" s="56" t="s">
        <v>36</v>
      </c>
      <c r="E43" s="57" t="s">
        <v>36</v>
      </c>
      <c r="F43" s="57" t="s">
        <v>36</v>
      </c>
      <c r="G43" s="57" t="s">
        <v>36</v>
      </c>
      <c r="H43" s="57" t="s">
        <v>36</v>
      </c>
      <c r="I43" s="57" t="s">
        <v>36</v>
      </c>
      <c r="J43" s="57" t="s">
        <v>36</v>
      </c>
      <c r="K43" s="57" t="s">
        <v>36</v>
      </c>
      <c r="L43" s="57" t="s">
        <v>36</v>
      </c>
      <c r="M43" s="57" t="s">
        <v>36</v>
      </c>
      <c r="N43" s="57" t="s">
        <v>38</v>
      </c>
      <c r="O43" s="57" t="s">
        <v>36</v>
      </c>
      <c r="P43" s="58" t="s">
        <v>39</v>
      </c>
      <c r="Q43" s="56" t="s">
        <v>37</v>
      </c>
      <c r="R43" s="57" t="s">
        <v>37</v>
      </c>
      <c r="S43" s="57" t="s">
        <v>37</v>
      </c>
      <c r="T43" s="57" t="s">
        <v>37</v>
      </c>
      <c r="U43" s="57" t="s">
        <v>39</v>
      </c>
      <c r="V43" s="58" t="s">
        <v>39</v>
      </c>
      <c r="W43" s="59" t="s">
        <v>38</v>
      </c>
      <c r="X43" s="57" t="s">
        <v>38</v>
      </c>
      <c r="Y43" s="57" t="s">
        <v>36</v>
      </c>
      <c r="Z43" s="52" t="s">
        <v>39</v>
      </c>
      <c r="AA43" s="57" t="s">
        <v>37</v>
      </c>
      <c r="AB43" s="57" t="s">
        <v>38</v>
      </c>
      <c r="AC43" s="57" t="s">
        <v>38</v>
      </c>
      <c r="AD43" s="57" t="s">
        <v>38</v>
      </c>
      <c r="AE43" s="57" t="s">
        <v>38</v>
      </c>
      <c r="AF43" s="57" t="s">
        <v>39</v>
      </c>
      <c r="AG43" s="56" t="s">
        <v>39</v>
      </c>
      <c r="AH43" s="57" t="s">
        <v>37</v>
      </c>
      <c r="AI43" s="57" t="s">
        <v>37</v>
      </c>
      <c r="AJ43" s="57" t="s">
        <v>38</v>
      </c>
      <c r="AK43" s="57" t="s">
        <v>38</v>
      </c>
      <c r="AL43" s="57" t="s">
        <v>38</v>
      </c>
      <c r="AM43" s="57" t="s">
        <v>38</v>
      </c>
      <c r="AN43" s="57" t="s">
        <v>39</v>
      </c>
      <c r="AO43" s="57" t="s">
        <v>39</v>
      </c>
      <c r="AP43" s="53" t="s">
        <v>39</v>
      </c>
      <c r="AQ43" s="52" t="s">
        <v>39</v>
      </c>
      <c r="AR43" s="52" t="s">
        <v>39</v>
      </c>
      <c r="AS43" s="52" t="s">
        <v>39</v>
      </c>
      <c r="AT43" s="52" t="s">
        <v>39</v>
      </c>
      <c r="AU43" s="57"/>
      <c r="AV43" s="57"/>
      <c r="AW43" s="57"/>
      <c r="AX43" s="57"/>
      <c r="AY43" s="57"/>
      <c r="AZ43" s="122"/>
    </row>
    <row r="44" spans="1:52" s="4" customFormat="1" ht="27.75" thickBot="1">
      <c r="A44" s="46" t="s">
        <v>224</v>
      </c>
      <c r="B44" s="47" t="s">
        <v>225</v>
      </c>
      <c r="C44" s="55" t="s">
        <v>226</v>
      </c>
      <c r="D44" s="56" t="s">
        <v>37</v>
      </c>
      <c r="E44" s="57" t="s">
        <v>37</v>
      </c>
      <c r="F44" s="57" t="s">
        <v>37</v>
      </c>
      <c r="G44" s="57" t="s">
        <v>37</v>
      </c>
      <c r="H44" s="57" t="s">
        <v>37</v>
      </c>
      <c r="I44" s="57" t="s">
        <v>37</v>
      </c>
      <c r="J44" s="57" t="s">
        <v>37</v>
      </c>
      <c r="K44" s="57" t="s">
        <v>37</v>
      </c>
      <c r="L44" s="57" t="s">
        <v>38</v>
      </c>
      <c r="M44" s="57" t="s">
        <v>39</v>
      </c>
      <c r="N44" s="57" t="s">
        <v>39</v>
      </c>
      <c r="O44" s="57" t="s">
        <v>36</v>
      </c>
      <c r="P44" s="58" t="s">
        <v>39</v>
      </c>
      <c r="Q44" s="56" t="s">
        <v>37</v>
      </c>
      <c r="R44" s="57" t="s">
        <v>37</v>
      </c>
      <c r="S44" s="57" t="s">
        <v>37</v>
      </c>
      <c r="T44" s="57" t="s">
        <v>37</v>
      </c>
      <c r="U44" s="57" t="s">
        <v>37</v>
      </c>
      <c r="V44" s="58" t="s">
        <v>37</v>
      </c>
      <c r="W44" s="59" t="s">
        <v>38</v>
      </c>
      <c r="X44" s="57" t="s">
        <v>38</v>
      </c>
      <c r="Y44" s="57" t="s">
        <v>37</v>
      </c>
      <c r="Z44" s="52" t="s">
        <v>39</v>
      </c>
      <c r="AA44" s="57" t="s">
        <v>37</v>
      </c>
      <c r="AB44" s="57" t="s">
        <v>38</v>
      </c>
      <c r="AC44" s="57" t="s">
        <v>38</v>
      </c>
      <c r="AD44" s="57" t="s">
        <v>39</v>
      </c>
      <c r="AE44" s="57" t="s">
        <v>39</v>
      </c>
      <c r="AF44" s="57" t="s">
        <v>39</v>
      </c>
      <c r="AG44" s="56" t="s">
        <v>38</v>
      </c>
      <c r="AH44" s="57" t="s">
        <v>37</v>
      </c>
      <c r="AI44" s="57" t="s">
        <v>37</v>
      </c>
      <c r="AJ44" s="57" t="s">
        <v>38</v>
      </c>
      <c r="AK44" s="57" t="s">
        <v>38</v>
      </c>
      <c r="AL44" s="57" t="s">
        <v>38</v>
      </c>
      <c r="AM44" s="57" t="s">
        <v>38</v>
      </c>
      <c r="AN44" s="57" t="s">
        <v>39</v>
      </c>
      <c r="AO44" s="57" t="s">
        <v>39</v>
      </c>
      <c r="AP44" s="53" t="s">
        <v>39</v>
      </c>
      <c r="AQ44" s="52" t="s">
        <v>39</v>
      </c>
      <c r="AR44" s="52" t="s">
        <v>39</v>
      </c>
      <c r="AS44" s="52" t="s">
        <v>39</v>
      </c>
      <c r="AT44" s="52" t="s">
        <v>39</v>
      </c>
      <c r="AU44" s="57"/>
      <c r="AV44" s="57"/>
      <c r="AW44" s="57"/>
      <c r="AX44" s="57"/>
      <c r="AY44" s="57"/>
      <c r="AZ44" s="122"/>
    </row>
    <row r="45" spans="1:52" s="4" customFormat="1" ht="57.75" customHeight="1" thickBot="1">
      <c r="A45" s="46" t="s">
        <v>227</v>
      </c>
      <c r="B45" s="47" t="s">
        <v>228</v>
      </c>
      <c r="C45" s="55" t="s">
        <v>229</v>
      </c>
      <c r="D45" s="56" t="s">
        <v>36</v>
      </c>
      <c r="E45" s="57" t="s">
        <v>37</v>
      </c>
      <c r="F45" s="57" t="s">
        <v>37</v>
      </c>
      <c r="G45" s="57" t="s">
        <v>38</v>
      </c>
      <c r="H45" s="57" t="s">
        <v>37</v>
      </c>
      <c r="I45" s="57" t="s">
        <v>37</v>
      </c>
      <c r="J45" s="57" t="s">
        <v>38</v>
      </c>
      <c r="K45" s="57" t="s">
        <v>37</v>
      </c>
      <c r="L45" s="57" t="s">
        <v>39</v>
      </c>
      <c r="M45" s="57" t="s">
        <v>39</v>
      </c>
      <c r="N45" s="57" t="s">
        <v>39</v>
      </c>
      <c r="O45" s="57" t="s">
        <v>39</v>
      </c>
      <c r="P45" s="58" t="s">
        <v>39</v>
      </c>
      <c r="Q45" s="56" t="s">
        <v>37</v>
      </c>
      <c r="R45" s="57" t="s">
        <v>38</v>
      </c>
      <c r="S45" s="57" t="s">
        <v>38</v>
      </c>
      <c r="T45" s="57" t="s">
        <v>38</v>
      </c>
      <c r="U45" s="57" t="s">
        <v>39</v>
      </c>
      <c r="V45" s="58" t="s">
        <v>39</v>
      </c>
      <c r="W45" s="59" t="s">
        <v>38</v>
      </c>
      <c r="X45" s="57" t="s">
        <v>38</v>
      </c>
      <c r="Y45" s="57" t="s">
        <v>37</v>
      </c>
      <c r="Z45" s="52" t="s">
        <v>39</v>
      </c>
      <c r="AA45" s="57" t="s">
        <v>37</v>
      </c>
      <c r="AB45" s="57" t="s">
        <v>38</v>
      </c>
      <c r="AC45" s="57" t="s">
        <v>38</v>
      </c>
      <c r="AD45" s="57" t="s">
        <v>39</v>
      </c>
      <c r="AE45" s="57" t="s">
        <v>39</v>
      </c>
      <c r="AF45" s="57" t="s">
        <v>39</v>
      </c>
      <c r="AG45" s="56" t="s">
        <v>39</v>
      </c>
      <c r="AH45" s="57" t="s">
        <v>38</v>
      </c>
      <c r="AI45" s="57" t="s">
        <v>37</v>
      </c>
      <c r="AJ45" s="57" t="s">
        <v>39</v>
      </c>
      <c r="AK45" s="57" t="s">
        <v>39</v>
      </c>
      <c r="AL45" s="57" t="s">
        <v>38</v>
      </c>
      <c r="AM45" s="57" t="s">
        <v>38</v>
      </c>
      <c r="AN45" s="57" t="s">
        <v>39</v>
      </c>
      <c r="AO45" s="57" t="s">
        <v>39</v>
      </c>
      <c r="AP45" s="53" t="s">
        <v>39</v>
      </c>
      <c r="AQ45" s="52" t="s">
        <v>39</v>
      </c>
      <c r="AR45" s="52" t="s">
        <v>39</v>
      </c>
      <c r="AS45" s="52" t="s">
        <v>39</v>
      </c>
      <c r="AT45" s="52" t="s">
        <v>39</v>
      </c>
      <c r="AU45" s="67" t="s">
        <v>37</v>
      </c>
      <c r="AV45" s="67" t="s">
        <v>37</v>
      </c>
      <c r="AW45" s="67" t="s">
        <v>37</v>
      </c>
      <c r="AX45" s="67" t="s">
        <v>37</v>
      </c>
      <c r="AY45" s="67" t="s">
        <v>37</v>
      </c>
      <c r="AZ45" s="128" t="s">
        <v>38</v>
      </c>
    </row>
    <row r="46" spans="1:52" s="4" customFormat="1" ht="58.5" customHeight="1" thickBot="1">
      <c r="A46" s="48" t="s">
        <v>230</v>
      </c>
      <c r="B46" s="49" t="s">
        <v>231</v>
      </c>
      <c r="C46" s="65" t="s">
        <v>232</v>
      </c>
      <c r="D46" s="125" t="s">
        <v>37</v>
      </c>
      <c r="E46" s="64" t="s">
        <v>37</v>
      </c>
      <c r="F46" s="64" t="s">
        <v>37</v>
      </c>
      <c r="G46" s="64" t="s">
        <v>37</v>
      </c>
      <c r="H46" s="64" t="s">
        <v>37</v>
      </c>
      <c r="I46" s="64" t="s">
        <v>37</v>
      </c>
      <c r="J46" s="64" t="s">
        <v>37</v>
      </c>
      <c r="K46" s="64" t="s">
        <v>37</v>
      </c>
      <c r="L46" s="64" t="s">
        <v>37</v>
      </c>
      <c r="M46" s="64" t="s">
        <v>37</v>
      </c>
      <c r="N46" s="64" t="s">
        <v>37</v>
      </c>
      <c r="O46" s="64" t="s">
        <v>37</v>
      </c>
      <c r="P46" s="126" t="s">
        <v>37</v>
      </c>
      <c r="Q46" s="66" t="s">
        <v>37</v>
      </c>
      <c r="R46" s="67" t="s">
        <v>37</v>
      </c>
      <c r="S46" s="67" t="s">
        <v>37</v>
      </c>
      <c r="T46" s="67" t="s">
        <v>37</v>
      </c>
      <c r="U46" s="67" t="s">
        <v>37</v>
      </c>
      <c r="V46" s="68" t="s">
        <v>37</v>
      </c>
      <c r="W46" s="85" t="s">
        <v>37</v>
      </c>
      <c r="X46" s="67" t="s">
        <v>37</v>
      </c>
      <c r="Y46" s="67" t="s">
        <v>37</v>
      </c>
      <c r="Z46" s="67" t="s">
        <v>37</v>
      </c>
      <c r="AA46" s="67" t="s">
        <v>37</v>
      </c>
      <c r="AB46" s="67" t="s">
        <v>37</v>
      </c>
      <c r="AC46" s="67" t="s">
        <v>37</v>
      </c>
      <c r="AD46" s="67" t="s">
        <v>37</v>
      </c>
      <c r="AE46" s="67" t="s">
        <v>37</v>
      </c>
      <c r="AF46" s="67" t="s">
        <v>37</v>
      </c>
      <c r="AG46" s="66" t="s">
        <v>37</v>
      </c>
      <c r="AH46" s="67" t="s">
        <v>37</v>
      </c>
      <c r="AI46" s="64" t="s">
        <v>37</v>
      </c>
      <c r="AJ46" s="64" t="s">
        <v>37</v>
      </c>
      <c r="AK46" s="64" t="s">
        <v>37</v>
      </c>
      <c r="AL46" s="67" t="s">
        <v>37</v>
      </c>
      <c r="AM46" s="67" t="s">
        <v>37</v>
      </c>
      <c r="AN46" s="67" t="s">
        <v>37</v>
      </c>
      <c r="AO46" s="67" t="s">
        <v>37</v>
      </c>
      <c r="AP46" s="68" t="s">
        <v>37</v>
      </c>
      <c r="AQ46" s="67" t="s">
        <v>37</v>
      </c>
      <c r="AR46" s="67" t="s">
        <v>37</v>
      </c>
      <c r="AS46" s="67" t="s">
        <v>37</v>
      </c>
      <c r="AT46" s="67" t="s">
        <v>37</v>
      </c>
      <c r="AU46" s="52" t="s">
        <v>38</v>
      </c>
      <c r="AV46" s="52" t="s">
        <v>38</v>
      </c>
      <c r="AW46" s="52" t="s">
        <v>39</v>
      </c>
      <c r="AX46" s="52" t="s">
        <v>39</v>
      </c>
      <c r="AY46" s="52" t="s">
        <v>39</v>
      </c>
      <c r="AZ46" s="131" t="s">
        <v>39</v>
      </c>
    </row>
    <row r="47" spans="1:52" s="4" customFormat="1" ht="53.25" customHeight="1">
      <c r="A47" s="80" t="s">
        <v>233</v>
      </c>
      <c r="B47" s="178" t="s">
        <v>234</v>
      </c>
      <c r="C47" s="50" t="s">
        <v>235</v>
      </c>
      <c r="D47" s="51" t="s">
        <v>37</v>
      </c>
      <c r="E47" s="52" t="s">
        <v>37</v>
      </c>
      <c r="F47" s="52" t="s">
        <v>37</v>
      </c>
      <c r="G47" s="52" t="s">
        <v>37</v>
      </c>
      <c r="H47" s="52" t="s">
        <v>37</v>
      </c>
      <c r="I47" s="52" t="s">
        <v>37</v>
      </c>
      <c r="J47" s="52" t="s">
        <v>37</v>
      </c>
      <c r="K47" s="52" t="s">
        <v>37</v>
      </c>
      <c r="L47" s="52" t="s">
        <v>38</v>
      </c>
      <c r="M47" s="52" t="s">
        <v>38</v>
      </c>
      <c r="N47" s="52" t="s">
        <v>39</v>
      </c>
      <c r="O47" s="52" t="s">
        <v>36</v>
      </c>
      <c r="P47" s="53" t="s">
        <v>39</v>
      </c>
      <c r="Q47" s="51" t="s">
        <v>38</v>
      </c>
      <c r="R47" s="52" t="s">
        <v>38</v>
      </c>
      <c r="S47" s="52" t="s">
        <v>38</v>
      </c>
      <c r="T47" s="52" t="s">
        <v>38</v>
      </c>
      <c r="U47" s="52" t="s">
        <v>38</v>
      </c>
      <c r="V47" s="53" t="s">
        <v>38</v>
      </c>
      <c r="W47" s="54" t="s">
        <v>38</v>
      </c>
      <c r="X47" s="52" t="s">
        <v>38</v>
      </c>
      <c r="Y47" s="52" t="s">
        <v>38</v>
      </c>
      <c r="Z47" s="52" t="s">
        <v>38</v>
      </c>
      <c r="AA47" s="52" t="s">
        <v>37</v>
      </c>
      <c r="AB47" s="52" t="s">
        <v>38</v>
      </c>
      <c r="AC47" s="52" t="s">
        <v>38</v>
      </c>
      <c r="AD47" s="52" t="s">
        <v>39</v>
      </c>
      <c r="AE47" s="52" t="s">
        <v>39</v>
      </c>
      <c r="AF47" s="52" t="s">
        <v>39</v>
      </c>
      <c r="AG47" s="51" t="s">
        <v>39</v>
      </c>
      <c r="AH47" s="52" t="s">
        <v>38</v>
      </c>
      <c r="AI47" s="52" t="s">
        <v>156</v>
      </c>
      <c r="AJ47" s="52" t="s">
        <v>36</v>
      </c>
      <c r="AK47" s="52" t="s">
        <v>36</v>
      </c>
      <c r="AL47" s="52" t="s">
        <v>38</v>
      </c>
      <c r="AM47" s="52" t="s">
        <v>38</v>
      </c>
      <c r="AN47" s="52" t="s">
        <v>39</v>
      </c>
      <c r="AO47" s="52" t="s">
        <v>39</v>
      </c>
      <c r="AP47" s="53" t="s">
        <v>39</v>
      </c>
      <c r="AQ47" s="52" t="s">
        <v>39</v>
      </c>
      <c r="AR47" s="52" t="s">
        <v>39</v>
      </c>
      <c r="AS47" s="52" t="s">
        <v>39</v>
      </c>
      <c r="AT47" s="52" t="s">
        <v>39</v>
      </c>
      <c r="AU47" s="57" t="s">
        <v>39</v>
      </c>
      <c r="AV47" s="57" t="s">
        <v>39</v>
      </c>
      <c r="AW47" s="57" t="s">
        <v>39</v>
      </c>
      <c r="AX47" s="57" t="s">
        <v>39</v>
      </c>
      <c r="AY47" s="57"/>
      <c r="AZ47" s="122"/>
    </row>
    <row r="48" spans="1:52" s="4" customFormat="1" ht="53.25" customHeight="1">
      <c r="A48" s="82" t="s">
        <v>236</v>
      </c>
      <c r="B48" s="179" t="s">
        <v>237</v>
      </c>
      <c r="C48" s="55" t="s">
        <v>238</v>
      </c>
      <c r="D48" s="56" t="s">
        <v>37</v>
      </c>
      <c r="E48" s="57" t="s">
        <v>38</v>
      </c>
      <c r="F48" s="57" t="s">
        <v>38</v>
      </c>
      <c r="G48" s="57" t="s">
        <v>38</v>
      </c>
      <c r="H48" s="57" t="s">
        <v>38</v>
      </c>
      <c r="I48" s="57" t="s">
        <v>38</v>
      </c>
      <c r="J48" s="57" t="s">
        <v>38</v>
      </c>
      <c r="K48" s="57" t="s">
        <v>37</v>
      </c>
      <c r="L48" s="57" t="s">
        <v>38</v>
      </c>
      <c r="M48" s="57" t="s">
        <v>38</v>
      </c>
      <c r="N48" s="57" t="s">
        <v>38</v>
      </c>
      <c r="O48" s="57" t="s">
        <v>36</v>
      </c>
      <c r="P48" s="58" t="s">
        <v>38</v>
      </c>
      <c r="Q48" s="56" t="s">
        <v>37</v>
      </c>
      <c r="R48" s="57" t="s">
        <v>37</v>
      </c>
      <c r="S48" s="57" t="s">
        <v>37</v>
      </c>
      <c r="T48" s="57" t="s">
        <v>37</v>
      </c>
      <c r="U48" s="57" t="s">
        <v>37</v>
      </c>
      <c r="V48" s="58" t="s">
        <v>37</v>
      </c>
      <c r="W48" s="59" t="s">
        <v>37</v>
      </c>
      <c r="X48" s="57" t="s">
        <v>38</v>
      </c>
      <c r="Y48" s="57" t="s">
        <v>38</v>
      </c>
      <c r="Z48" s="57" t="s">
        <v>38</v>
      </c>
      <c r="AA48" s="57" t="s">
        <v>37</v>
      </c>
      <c r="AB48" s="57" t="s">
        <v>38</v>
      </c>
      <c r="AC48" s="57" t="s">
        <v>39</v>
      </c>
      <c r="AD48" s="57" t="s">
        <v>39</v>
      </c>
      <c r="AE48" s="57" t="s">
        <v>39</v>
      </c>
      <c r="AF48" s="57" t="s">
        <v>38</v>
      </c>
      <c r="AG48" s="56" t="s">
        <v>37</v>
      </c>
      <c r="AH48" s="57" t="s">
        <v>37</v>
      </c>
      <c r="AI48" s="57" t="s">
        <v>156</v>
      </c>
      <c r="AJ48" s="57" t="s">
        <v>36</v>
      </c>
      <c r="AK48" s="57" t="s">
        <v>36</v>
      </c>
      <c r="AL48" s="57" t="s">
        <v>39</v>
      </c>
      <c r="AM48" s="57" t="s">
        <v>39</v>
      </c>
      <c r="AN48" s="57" t="s">
        <v>39</v>
      </c>
      <c r="AO48" s="57" t="s">
        <v>37</v>
      </c>
      <c r="AP48" s="58" t="s">
        <v>39</v>
      </c>
      <c r="AQ48" s="57" t="s">
        <v>38</v>
      </c>
      <c r="AR48" s="57" t="s">
        <v>38</v>
      </c>
      <c r="AS48" s="57" t="s">
        <v>38</v>
      </c>
      <c r="AT48" s="57" t="s">
        <v>38</v>
      </c>
      <c r="AU48" s="57" t="s">
        <v>156</v>
      </c>
      <c r="AV48" s="57" t="s">
        <v>156</v>
      </c>
      <c r="AW48" s="57" t="s">
        <v>156</v>
      </c>
      <c r="AX48" s="57" t="s">
        <v>156</v>
      </c>
      <c r="AY48" s="57" t="s">
        <v>36</v>
      </c>
      <c r="AZ48" s="57" t="s">
        <v>36</v>
      </c>
    </row>
    <row r="49" spans="1:52" s="4" customFormat="1" ht="53.25" customHeight="1">
      <c r="A49" s="82" t="s">
        <v>239</v>
      </c>
      <c r="B49" s="47" t="s">
        <v>240</v>
      </c>
      <c r="C49" s="55" t="s">
        <v>241</v>
      </c>
      <c r="D49" s="56" t="s">
        <v>36</v>
      </c>
      <c r="E49" s="57" t="s">
        <v>36</v>
      </c>
      <c r="F49" s="57" t="s">
        <v>36</v>
      </c>
      <c r="G49" s="57" t="s">
        <v>36</v>
      </c>
      <c r="H49" s="57" t="s">
        <v>36</v>
      </c>
      <c r="I49" s="57" t="s">
        <v>36</v>
      </c>
      <c r="J49" s="57" t="s">
        <v>36</v>
      </c>
      <c r="K49" s="57" t="s">
        <v>36</v>
      </c>
      <c r="L49" s="57" t="s">
        <v>36</v>
      </c>
      <c r="M49" s="57" t="s">
        <v>36</v>
      </c>
      <c r="N49" s="57" t="s">
        <v>36</v>
      </c>
      <c r="O49" s="57" t="s">
        <v>36</v>
      </c>
      <c r="P49" s="58" t="s">
        <v>36</v>
      </c>
      <c r="Q49" s="56" t="s">
        <v>36</v>
      </c>
      <c r="R49" s="57" t="s">
        <v>36</v>
      </c>
      <c r="S49" s="57" t="s">
        <v>36</v>
      </c>
      <c r="T49" s="57" t="s">
        <v>36</v>
      </c>
      <c r="U49" s="57" t="s">
        <v>36</v>
      </c>
      <c r="V49" s="58" t="s">
        <v>36</v>
      </c>
      <c r="W49" s="59" t="s">
        <v>36</v>
      </c>
      <c r="X49" s="57" t="s">
        <v>36</v>
      </c>
      <c r="Y49" s="57" t="s">
        <v>36</v>
      </c>
      <c r="Z49" s="57" t="s">
        <v>39</v>
      </c>
      <c r="AA49" s="57" t="s">
        <v>36</v>
      </c>
      <c r="AB49" s="57" t="s">
        <v>37</v>
      </c>
      <c r="AC49" s="57" t="s">
        <v>37</v>
      </c>
      <c r="AD49" s="57" t="s">
        <v>37</v>
      </c>
      <c r="AE49" s="57" t="s">
        <v>37</v>
      </c>
      <c r="AF49" s="57" t="s">
        <v>36</v>
      </c>
      <c r="AG49" s="57" t="s">
        <v>36</v>
      </c>
      <c r="AH49" s="57" t="s">
        <v>36</v>
      </c>
      <c r="AI49" s="57" t="s">
        <v>36</v>
      </c>
      <c r="AJ49" s="57" t="s">
        <v>36</v>
      </c>
      <c r="AK49" s="57" t="s">
        <v>36</v>
      </c>
      <c r="AL49" s="57" t="s">
        <v>38</v>
      </c>
      <c r="AM49" s="57" t="s">
        <v>39</v>
      </c>
      <c r="AN49" s="57" t="s">
        <v>39</v>
      </c>
      <c r="AO49" s="57" t="s">
        <v>36</v>
      </c>
      <c r="AP49" s="58" t="s">
        <v>36</v>
      </c>
      <c r="AQ49" s="57" t="s">
        <v>36</v>
      </c>
      <c r="AR49" s="57" t="s">
        <v>36</v>
      </c>
      <c r="AS49" s="57" t="s">
        <v>36</v>
      </c>
      <c r="AT49" s="57" t="s">
        <v>36</v>
      </c>
      <c r="AU49" s="57" t="s">
        <v>36</v>
      </c>
      <c r="AV49" s="57" t="s">
        <v>36</v>
      </c>
      <c r="AW49" s="57" t="s">
        <v>36</v>
      </c>
      <c r="AX49" s="57" t="s">
        <v>36</v>
      </c>
      <c r="AY49" s="57" t="s">
        <v>36</v>
      </c>
      <c r="AZ49" s="57" t="s">
        <v>36</v>
      </c>
    </row>
    <row r="50" spans="1:52" s="4" customFormat="1" ht="53.25" customHeight="1">
      <c r="A50" s="82" t="s">
        <v>242</v>
      </c>
      <c r="B50" s="47" t="s">
        <v>243</v>
      </c>
      <c r="C50" s="55" t="s">
        <v>244</v>
      </c>
      <c r="D50" s="56" t="s">
        <v>36</v>
      </c>
      <c r="E50" s="57" t="s">
        <v>36</v>
      </c>
      <c r="F50" s="57" t="s">
        <v>36</v>
      </c>
      <c r="G50" s="57" t="s">
        <v>36</v>
      </c>
      <c r="H50" s="57" t="s">
        <v>36</v>
      </c>
      <c r="I50" s="57" t="s">
        <v>36</v>
      </c>
      <c r="J50" s="57" t="s">
        <v>36</v>
      </c>
      <c r="K50" s="57" t="s">
        <v>36</v>
      </c>
      <c r="L50" s="57" t="s">
        <v>36</v>
      </c>
      <c r="M50" s="57" t="s">
        <v>36</v>
      </c>
      <c r="N50" s="57" t="s">
        <v>36</v>
      </c>
      <c r="O50" s="57" t="s">
        <v>36</v>
      </c>
      <c r="P50" s="58" t="s">
        <v>36</v>
      </c>
      <c r="Q50" s="56" t="s">
        <v>36</v>
      </c>
      <c r="R50" s="57" t="s">
        <v>36</v>
      </c>
      <c r="S50" s="57" t="s">
        <v>36</v>
      </c>
      <c r="T50" s="57" t="s">
        <v>36</v>
      </c>
      <c r="U50" s="57" t="s">
        <v>36</v>
      </c>
      <c r="V50" s="58" t="s">
        <v>36</v>
      </c>
      <c r="W50" s="59" t="s">
        <v>36</v>
      </c>
      <c r="X50" s="57" t="s">
        <v>36</v>
      </c>
      <c r="Y50" s="57" t="s">
        <v>36</v>
      </c>
      <c r="Z50" s="57" t="s">
        <v>39</v>
      </c>
      <c r="AA50" s="57" t="s">
        <v>36</v>
      </c>
      <c r="AB50" s="57" t="s">
        <v>36</v>
      </c>
      <c r="AC50" s="57" t="s">
        <v>36</v>
      </c>
      <c r="AD50" s="57" t="s">
        <v>36</v>
      </c>
      <c r="AE50" s="57" t="s">
        <v>36</v>
      </c>
      <c r="AF50" s="57" t="s">
        <v>36</v>
      </c>
      <c r="AG50" s="57" t="s">
        <v>36</v>
      </c>
      <c r="AH50" s="57" t="s">
        <v>36</v>
      </c>
      <c r="AI50" s="57" t="s">
        <v>36</v>
      </c>
      <c r="AJ50" s="57" t="s">
        <v>36</v>
      </c>
      <c r="AK50" s="57" t="s">
        <v>36</v>
      </c>
      <c r="AL50" s="57" t="s">
        <v>36</v>
      </c>
      <c r="AM50" s="57" t="s">
        <v>36</v>
      </c>
      <c r="AN50" s="57" t="s">
        <v>36</v>
      </c>
      <c r="AO50" s="57" t="s">
        <v>36</v>
      </c>
      <c r="AP50" s="58" t="s">
        <v>36</v>
      </c>
      <c r="AQ50" s="57" t="s">
        <v>36</v>
      </c>
      <c r="AR50" s="57" t="s">
        <v>36</v>
      </c>
      <c r="AS50" s="57" t="s">
        <v>36</v>
      </c>
      <c r="AT50" s="57" t="s">
        <v>36</v>
      </c>
      <c r="AU50" s="57" t="s">
        <v>36</v>
      </c>
      <c r="AV50" s="57" t="s">
        <v>36</v>
      </c>
      <c r="AW50" s="57" t="s">
        <v>36</v>
      </c>
      <c r="AX50" s="57" t="s">
        <v>36</v>
      </c>
      <c r="AY50" s="57" t="s">
        <v>36</v>
      </c>
      <c r="AZ50" s="57" t="s">
        <v>36</v>
      </c>
    </row>
    <row r="51" spans="1:52" s="4" customFormat="1" ht="53.25" customHeight="1">
      <c r="A51" s="82" t="s">
        <v>245</v>
      </c>
      <c r="B51" s="47" t="s">
        <v>246</v>
      </c>
      <c r="C51" s="55" t="s">
        <v>247</v>
      </c>
      <c r="D51" s="56" t="s">
        <v>36</v>
      </c>
      <c r="E51" s="57" t="s">
        <v>36</v>
      </c>
      <c r="F51" s="57" t="s">
        <v>36</v>
      </c>
      <c r="G51" s="57" t="s">
        <v>36</v>
      </c>
      <c r="H51" s="57" t="s">
        <v>36</v>
      </c>
      <c r="I51" s="57" t="s">
        <v>36</v>
      </c>
      <c r="J51" s="57" t="s">
        <v>36</v>
      </c>
      <c r="K51" s="57" t="s">
        <v>36</v>
      </c>
      <c r="L51" s="57" t="s">
        <v>36</v>
      </c>
      <c r="M51" s="57" t="s">
        <v>36</v>
      </c>
      <c r="N51" s="57" t="s">
        <v>36</v>
      </c>
      <c r="O51" s="57" t="s">
        <v>36</v>
      </c>
      <c r="P51" s="58" t="s">
        <v>36</v>
      </c>
      <c r="Q51" s="56" t="s">
        <v>36</v>
      </c>
      <c r="R51" s="57" t="s">
        <v>36</v>
      </c>
      <c r="S51" s="57" t="s">
        <v>36</v>
      </c>
      <c r="T51" s="57" t="s">
        <v>36</v>
      </c>
      <c r="U51" s="57" t="s">
        <v>36</v>
      </c>
      <c r="V51" s="58" t="s">
        <v>36</v>
      </c>
      <c r="W51" s="59" t="s">
        <v>36</v>
      </c>
      <c r="X51" s="57" t="s">
        <v>36</v>
      </c>
      <c r="Y51" s="57" t="s">
        <v>36</v>
      </c>
      <c r="Z51" s="57" t="s">
        <v>39</v>
      </c>
      <c r="AA51" s="57" t="s">
        <v>36</v>
      </c>
      <c r="AB51" s="57" t="s">
        <v>36</v>
      </c>
      <c r="AC51" s="57" t="s">
        <v>36</v>
      </c>
      <c r="AD51" s="57" t="s">
        <v>36</v>
      </c>
      <c r="AE51" s="57" t="s">
        <v>36</v>
      </c>
      <c r="AF51" s="57" t="s">
        <v>36</v>
      </c>
      <c r="AG51" s="57" t="s">
        <v>36</v>
      </c>
      <c r="AH51" s="57" t="s">
        <v>36</v>
      </c>
      <c r="AI51" s="57" t="s">
        <v>36</v>
      </c>
      <c r="AJ51" s="57" t="s">
        <v>36</v>
      </c>
      <c r="AK51" s="57" t="s">
        <v>36</v>
      </c>
      <c r="AL51" s="57" t="s">
        <v>36</v>
      </c>
      <c r="AM51" s="57" t="s">
        <v>36</v>
      </c>
      <c r="AN51" s="57" t="s">
        <v>36</v>
      </c>
      <c r="AO51" s="57" t="s">
        <v>36</v>
      </c>
      <c r="AP51" s="58" t="s">
        <v>36</v>
      </c>
      <c r="AQ51" s="57" t="s">
        <v>36</v>
      </c>
      <c r="AR51" s="57" t="s">
        <v>36</v>
      </c>
      <c r="AS51" s="57" t="s">
        <v>36</v>
      </c>
      <c r="AT51" s="57" t="s">
        <v>36</v>
      </c>
      <c r="AU51" s="57" t="s">
        <v>36</v>
      </c>
      <c r="AV51" s="57" t="s">
        <v>36</v>
      </c>
      <c r="AW51" s="57" t="s">
        <v>36</v>
      </c>
      <c r="AX51" s="57" t="s">
        <v>36</v>
      </c>
      <c r="AY51" s="57" t="s">
        <v>36</v>
      </c>
      <c r="AZ51" s="57" t="s">
        <v>36</v>
      </c>
    </row>
    <row r="52" spans="1:52" s="4" customFormat="1" ht="53.25" customHeight="1">
      <c r="A52" s="82" t="s">
        <v>248</v>
      </c>
      <c r="B52" s="179" t="s">
        <v>249</v>
      </c>
      <c r="C52" s="55" t="s">
        <v>250</v>
      </c>
      <c r="D52" s="56" t="s">
        <v>36</v>
      </c>
      <c r="E52" s="57" t="s">
        <v>36</v>
      </c>
      <c r="F52" s="57" t="s">
        <v>36</v>
      </c>
      <c r="G52" s="57" t="s">
        <v>36</v>
      </c>
      <c r="H52" s="57" t="s">
        <v>36</v>
      </c>
      <c r="I52" s="57" t="s">
        <v>36</v>
      </c>
      <c r="J52" s="57" t="s">
        <v>36</v>
      </c>
      <c r="K52" s="57" t="s">
        <v>36</v>
      </c>
      <c r="L52" s="57" t="s">
        <v>36</v>
      </c>
      <c r="M52" s="57" t="s">
        <v>36</v>
      </c>
      <c r="N52" s="57" t="s">
        <v>36</v>
      </c>
      <c r="O52" s="57" t="s">
        <v>36</v>
      </c>
      <c r="P52" s="58" t="s">
        <v>36</v>
      </c>
      <c r="Q52" s="56" t="s">
        <v>36</v>
      </c>
      <c r="R52" s="57" t="s">
        <v>36</v>
      </c>
      <c r="S52" s="57" t="s">
        <v>36</v>
      </c>
      <c r="T52" s="57" t="s">
        <v>36</v>
      </c>
      <c r="U52" s="57" t="s">
        <v>36</v>
      </c>
      <c r="V52" s="58" t="s">
        <v>36</v>
      </c>
      <c r="W52" s="59" t="s">
        <v>36</v>
      </c>
      <c r="X52" s="57" t="s">
        <v>36</v>
      </c>
      <c r="Y52" s="57" t="s">
        <v>36</v>
      </c>
      <c r="Z52" s="57" t="s">
        <v>39</v>
      </c>
      <c r="AA52" s="57" t="s">
        <v>36</v>
      </c>
      <c r="AB52" s="57" t="s">
        <v>36</v>
      </c>
      <c r="AC52" s="57" t="s">
        <v>36</v>
      </c>
      <c r="AD52" s="57" t="s">
        <v>36</v>
      </c>
      <c r="AE52" s="57" t="s">
        <v>36</v>
      </c>
      <c r="AF52" s="57" t="s">
        <v>36</v>
      </c>
      <c r="AG52" s="57" t="s">
        <v>36</v>
      </c>
      <c r="AH52" s="57" t="s">
        <v>36</v>
      </c>
      <c r="AI52" s="57" t="s">
        <v>36</v>
      </c>
      <c r="AJ52" s="57" t="s">
        <v>36</v>
      </c>
      <c r="AK52" s="57" t="s">
        <v>36</v>
      </c>
      <c r="AL52" s="57" t="s">
        <v>36</v>
      </c>
      <c r="AM52" s="57" t="s">
        <v>36</v>
      </c>
      <c r="AN52" s="57" t="s">
        <v>36</v>
      </c>
      <c r="AO52" s="57" t="s">
        <v>36</v>
      </c>
      <c r="AP52" s="58" t="s">
        <v>36</v>
      </c>
      <c r="AQ52" s="57" t="s">
        <v>36</v>
      </c>
      <c r="AR52" s="57" t="s">
        <v>36</v>
      </c>
      <c r="AS52" s="57" t="s">
        <v>36</v>
      </c>
      <c r="AT52" s="57" t="s">
        <v>36</v>
      </c>
      <c r="AU52" s="57" t="s">
        <v>36</v>
      </c>
      <c r="AV52" s="57" t="s">
        <v>36</v>
      </c>
      <c r="AW52" s="57" t="s">
        <v>36</v>
      </c>
      <c r="AX52" s="57" t="s">
        <v>36</v>
      </c>
      <c r="AY52" s="57" t="s">
        <v>36</v>
      </c>
      <c r="AZ52" s="57" t="s">
        <v>36</v>
      </c>
    </row>
    <row r="53" spans="1:52" s="4" customFormat="1" ht="53.25" customHeight="1">
      <c r="A53" s="82" t="s">
        <v>251</v>
      </c>
      <c r="B53" s="179" t="s">
        <v>252</v>
      </c>
      <c r="C53" s="55" t="s">
        <v>253</v>
      </c>
      <c r="D53" s="56" t="s">
        <v>36</v>
      </c>
      <c r="E53" s="57" t="s">
        <v>36</v>
      </c>
      <c r="F53" s="57" t="s">
        <v>36</v>
      </c>
      <c r="G53" s="57" t="s">
        <v>36</v>
      </c>
      <c r="H53" s="57" t="s">
        <v>36</v>
      </c>
      <c r="I53" s="57" t="s">
        <v>36</v>
      </c>
      <c r="J53" s="57" t="s">
        <v>36</v>
      </c>
      <c r="K53" s="57" t="s">
        <v>36</v>
      </c>
      <c r="L53" s="57" t="s">
        <v>36</v>
      </c>
      <c r="M53" s="57" t="s">
        <v>36</v>
      </c>
      <c r="N53" s="57" t="s">
        <v>36</v>
      </c>
      <c r="O53" s="57" t="s">
        <v>36</v>
      </c>
      <c r="P53" s="58" t="s">
        <v>36</v>
      </c>
      <c r="Q53" s="56" t="s">
        <v>36</v>
      </c>
      <c r="R53" s="57" t="s">
        <v>36</v>
      </c>
      <c r="S53" s="57" t="s">
        <v>36</v>
      </c>
      <c r="T53" s="57" t="s">
        <v>36</v>
      </c>
      <c r="U53" s="57" t="s">
        <v>36</v>
      </c>
      <c r="V53" s="58" t="s">
        <v>36</v>
      </c>
      <c r="W53" s="59" t="s">
        <v>36</v>
      </c>
      <c r="X53" s="57" t="s">
        <v>36</v>
      </c>
      <c r="Y53" s="57" t="s">
        <v>36</v>
      </c>
      <c r="Z53" s="57" t="s">
        <v>39</v>
      </c>
      <c r="AA53" s="57" t="s">
        <v>36</v>
      </c>
      <c r="AB53" s="57" t="s">
        <v>36</v>
      </c>
      <c r="AC53" s="57" t="s">
        <v>36</v>
      </c>
      <c r="AD53" s="57" t="s">
        <v>36</v>
      </c>
      <c r="AE53" s="57" t="s">
        <v>36</v>
      </c>
      <c r="AF53" s="57" t="s">
        <v>36</v>
      </c>
      <c r="AG53" s="57" t="s">
        <v>36</v>
      </c>
      <c r="AH53" s="57" t="s">
        <v>36</v>
      </c>
      <c r="AI53" s="57" t="s">
        <v>36</v>
      </c>
      <c r="AJ53" s="57" t="s">
        <v>36</v>
      </c>
      <c r="AK53" s="57" t="s">
        <v>36</v>
      </c>
      <c r="AL53" s="57" t="s">
        <v>36</v>
      </c>
      <c r="AM53" s="57" t="s">
        <v>36</v>
      </c>
      <c r="AN53" s="57" t="s">
        <v>36</v>
      </c>
      <c r="AO53" s="57" t="s">
        <v>36</v>
      </c>
      <c r="AP53" s="58" t="s">
        <v>36</v>
      </c>
      <c r="AQ53" s="57" t="s">
        <v>36</v>
      </c>
      <c r="AR53" s="57" t="s">
        <v>36</v>
      </c>
      <c r="AS53" s="57" t="s">
        <v>36</v>
      </c>
      <c r="AT53" s="57" t="s">
        <v>36</v>
      </c>
      <c r="AU53" s="57" t="s">
        <v>38</v>
      </c>
      <c r="AV53" s="57" t="s">
        <v>38</v>
      </c>
      <c r="AW53" s="57" t="s">
        <v>39</v>
      </c>
      <c r="AX53" s="57" t="s">
        <v>39</v>
      </c>
      <c r="AY53" s="57" t="s">
        <v>37</v>
      </c>
      <c r="AZ53" s="122" t="s">
        <v>37</v>
      </c>
    </row>
    <row r="54" spans="1:52" s="4" customFormat="1" ht="53.25" customHeight="1">
      <c r="A54" s="82" t="s">
        <v>254</v>
      </c>
      <c r="B54" s="179" t="s">
        <v>255</v>
      </c>
      <c r="C54" s="55" t="s">
        <v>256</v>
      </c>
      <c r="D54" s="56" t="s">
        <v>36</v>
      </c>
      <c r="E54" s="57" t="s">
        <v>36</v>
      </c>
      <c r="F54" s="57" t="s">
        <v>36</v>
      </c>
      <c r="G54" s="57" t="s">
        <v>36</v>
      </c>
      <c r="H54" s="57" t="s">
        <v>36</v>
      </c>
      <c r="I54" s="57" t="s">
        <v>36</v>
      </c>
      <c r="J54" s="57" t="s">
        <v>36</v>
      </c>
      <c r="K54" s="57" t="s">
        <v>36</v>
      </c>
      <c r="L54" s="57" t="s">
        <v>36</v>
      </c>
      <c r="M54" s="57" t="s">
        <v>36</v>
      </c>
      <c r="N54" s="57" t="s">
        <v>36</v>
      </c>
      <c r="O54" s="57" t="s">
        <v>36</v>
      </c>
      <c r="P54" s="58" t="s">
        <v>36</v>
      </c>
      <c r="Q54" s="56" t="s">
        <v>38</v>
      </c>
      <c r="R54" s="57" t="s">
        <v>38</v>
      </c>
      <c r="S54" s="57" t="s">
        <v>38</v>
      </c>
      <c r="T54" s="57" t="s">
        <v>38</v>
      </c>
      <c r="U54" s="57" t="s">
        <v>38</v>
      </c>
      <c r="V54" s="58" t="s">
        <v>38</v>
      </c>
      <c r="W54" s="59" t="s">
        <v>38</v>
      </c>
      <c r="X54" s="57" t="s">
        <v>38</v>
      </c>
      <c r="Y54" s="57" t="s">
        <v>38</v>
      </c>
      <c r="Z54" s="57" t="s">
        <v>38</v>
      </c>
      <c r="AA54" s="57" t="s">
        <v>37</v>
      </c>
      <c r="AB54" s="57" t="s">
        <v>37</v>
      </c>
      <c r="AC54" s="57" t="s">
        <v>38</v>
      </c>
      <c r="AD54" s="57" t="s">
        <v>38</v>
      </c>
      <c r="AE54" s="57" t="s">
        <v>38</v>
      </c>
      <c r="AF54" s="57" t="s">
        <v>37</v>
      </c>
      <c r="AG54" s="56" t="s">
        <v>37</v>
      </c>
      <c r="AH54" s="57" t="s">
        <v>38</v>
      </c>
      <c r="AI54" s="57" t="s">
        <v>36</v>
      </c>
      <c r="AJ54" s="57" t="s">
        <v>36</v>
      </c>
      <c r="AK54" s="57" t="s">
        <v>36</v>
      </c>
      <c r="AL54" s="57" t="s">
        <v>38</v>
      </c>
      <c r="AM54" s="57" t="s">
        <v>38</v>
      </c>
      <c r="AN54" s="57" t="s">
        <v>38</v>
      </c>
      <c r="AO54" s="57" t="s">
        <v>37</v>
      </c>
      <c r="AP54" s="58" t="s">
        <v>37</v>
      </c>
      <c r="AQ54" s="57" t="s">
        <v>39</v>
      </c>
      <c r="AR54" s="57" t="s">
        <v>39</v>
      </c>
      <c r="AS54" s="57" t="s">
        <v>39</v>
      </c>
      <c r="AT54" s="57" t="s">
        <v>39</v>
      </c>
      <c r="AU54" s="57" t="s">
        <v>36</v>
      </c>
      <c r="AV54" s="57" t="s">
        <v>36</v>
      </c>
      <c r="AW54" s="57" t="s">
        <v>36</v>
      </c>
      <c r="AX54" s="57" t="s">
        <v>36</v>
      </c>
      <c r="AY54" s="57" t="s">
        <v>156</v>
      </c>
      <c r="AZ54" s="122" t="s">
        <v>156</v>
      </c>
    </row>
    <row r="55" spans="1:52" s="4" customFormat="1" ht="53.25" customHeight="1">
      <c r="A55" s="82" t="s">
        <v>257</v>
      </c>
      <c r="B55" s="47" t="s">
        <v>258</v>
      </c>
      <c r="C55" s="55" t="s">
        <v>259</v>
      </c>
      <c r="D55" s="56" t="s">
        <v>36</v>
      </c>
      <c r="E55" s="57" t="s">
        <v>36</v>
      </c>
      <c r="F55" s="57" t="s">
        <v>36</v>
      </c>
      <c r="G55" s="57" t="s">
        <v>36</v>
      </c>
      <c r="H55" s="57" t="s">
        <v>36</v>
      </c>
      <c r="I55" s="57" t="s">
        <v>36</v>
      </c>
      <c r="J55" s="57" t="s">
        <v>36</v>
      </c>
      <c r="K55" s="57" t="s">
        <v>36</v>
      </c>
      <c r="L55" s="57" t="s">
        <v>36</v>
      </c>
      <c r="M55" s="57" t="s">
        <v>36</v>
      </c>
      <c r="N55" s="57" t="s">
        <v>36</v>
      </c>
      <c r="O55" s="57" t="s">
        <v>36</v>
      </c>
      <c r="P55" s="58" t="s">
        <v>36</v>
      </c>
      <c r="Q55" s="56" t="s">
        <v>36</v>
      </c>
      <c r="R55" s="57" t="s">
        <v>36</v>
      </c>
      <c r="S55" s="57" t="s">
        <v>36</v>
      </c>
      <c r="T55" s="57" t="s">
        <v>36</v>
      </c>
      <c r="U55" s="57" t="s">
        <v>36</v>
      </c>
      <c r="V55" s="58" t="s">
        <v>36</v>
      </c>
      <c r="W55" s="59" t="s">
        <v>36</v>
      </c>
      <c r="X55" s="57" t="s">
        <v>37</v>
      </c>
      <c r="Y55" s="57" t="s">
        <v>37</v>
      </c>
      <c r="Z55" s="57" t="s">
        <v>36</v>
      </c>
      <c r="AA55" s="57" t="s">
        <v>36</v>
      </c>
      <c r="AB55" s="57" t="s">
        <v>37</v>
      </c>
      <c r="AC55" s="57" t="s">
        <v>38</v>
      </c>
      <c r="AD55" s="57" t="s">
        <v>38</v>
      </c>
      <c r="AE55" s="57" t="s">
        <v>38</v>
      </c>
      <c r="AF55" s="57" t="s">
        <v>36</v>
      </c>
      <c r="AG55" s="56" t="s">
        <v>38</v>
      </c>
      <c r="AH55" s="57" t="s">
        <v>36</v>
      </c>
      <c r="AI55" s="57" t="s">
        <v>36</v>
      </c>
      <c r="AJ55" s="57" t="s">
        <v>36</v>
      </c>
      <c r="AK55" s="57" t="s">
        <v>36</v>
      </c>
      <c r="AL55" s="57" t="s">
        <v>36</v>
      </c>
      <c r="AM55" s="57" t="s">
        <v>36</v>
      </c>
      <c r="AN55" s="57" t="s">
        <v>36</v>
      </c>
      <c r="AO55" s="57" t="s">
        <v>39</v>
      </c>
      <c r="AP55" s="58" t="s">
        <v>36</v>
      </c>
      <c r="AQ55" s="57" t="s">
        <v>36</v>
      </c>
      <c r="AR55" s="57" t="s">
        <v>36</v>
      </c>
      <c r="AS55" s="57" t="s">
        <v>36</v>
      </c>
      <c r="AT55" s="57" t="s">
        <v>36</v>
      </c>
      <c r="AU55" s="57"/>
      <c r="AV55" s="57"/>
      <c r="AW55" s="57"/>
      <c r="AX55" s="57"/>
      <c r="AY55" s="57"/>
      <c r="AZ55" s="122"/>
    </row>
    <row r="56" spans="1:52" s="4" customFormat="1" ht="53.25" customHeight="1">
      <c r="A56" s="82" t="s">
        <v>260</v>
      </c>
      <c r="B56" s="47" t="s">
        <v>261</v>
      </c>
      <c r="C56" s="55" t="s">
        <v>262</v>
      </c>
      <c r="D56" s="56" t="s">
        <v>36</v>
      </c>
      <c r="E56" s="57" t="s">
        <v>36</v>
      </c>
      <c r="F56" s="57" t="s">
        <v>36</v>
      </c>
      <c r="G56" s="57" t="s">
        <v>36</v>
      </c>
      <c r="H56" s="57" t="s">
        <v>36</v>
      </c>
      <c r="I56" s="57" t="s">
        <v>38</v>
      </c>
      <c r="J56" s="57" t="s">
        <v>36</v>
      </c>
      <c r="K56" s="57" t="s">
        <v>36</v>
      </c>
      <c r="L56" s="57" t="s">
        <v>36</v>
      </c>
      <c r="M56" s="57" t="s">
        <v>36</v>
      </c>
      <c r="N56" s="57" t="s">
        <v>36</v>
      </c>
      <c r="O56" s="57" t="s">
        <v>36</v>
      </c>
      <c r="P56" s="58" t="s">
        <v>36</v>
      </c>
      <c r="Q56" s="56" t="s">
        <v>38</v>
      </c>
      <c r="R56" s="57" t="s">
        <v>39</v>
      </c>
      <c r="S56" s="57" t="s">
        <v>39</v>
      </c>
      <c r="T56" s="57" t="s">
        <v>38</v>
      </c>
      <c r="U56" s="57" t="s">
        <v>40</v>
      </c>
      <c r="V56" s="58" t="s">
        <v>39</v>
      </c>
      <c r="W56" s="59" t="s">
        <v>37</v>
      </c>
      <c r="X56" s="57" t="s">
        <v>38</v>
      </c>
      <c r="Y56" s="57" t="s">
        <v>39</v>
      </c>
      <c r="Z56" s="57" t="s">
        <v>38</v>
      </c>
      <c r="AA56" s="57" t="s">
        <v>36</v>
      </c>
      <c r="AB56" s="57" t="s">
        <v>36</v>
      </c>
      <c r="AC56" s="57" t="s">
        <v>36</v>
      </c>
      <c r="AD56" s="57" t="s">
        <v>36</v>
      </c>
      <c r="AE56" s="57" t="s">
        <v>36</v>
      </c>
      <c r="AF56" s="57" t="s">
        <v>39</v>
      </c>
      <c r="AG56" s="56" t="s">
        <v>38</v>
      </c>
      <c r="AH56" s="57" t="s">
        <v>39</v>
      </c>
      <c r="AI56" s="57" t="s">
        <v>36</v>
      </c>
      <c r="AJ56" s="57" t="s">
        <v>36</v>
      </c>
      <c r="AK56" s="57" t="s">
        <v>36</v>
      </c>
      <c r="AL56" s="57" t="s">
        <v>36</v>
      </c>
      <c r="AM56" s="57" t="s">
        <v>36</v>
      </c>
      <c r="AN56" s="57" t="s">
        <v>36</v>
      </c>
      <c r="AO56" s="57" t="s">
        <v>38</v>
      </c>
      <c r="AP56" s="58" t="s">
        <v>39</v>
      </c>
      <c r="AQ56" s="57" t="s">
        <v>40</v>
      </c>
      <c r="AR56" s="57" t="s">
        <v>40</v>
      </c>
      <c r="AS56" s="57" t="s">
        <v>39</v>
      </c>
      <c r="AT56" s="57" t="s">
        <v>39</v>
      </c>
      <c r="AU56" s="57"/>
      <c r="AV56" s="57"/>
      <c r="AW56" s="57"/>
      <c r="AX56" s="57"/>
      <c r="AY56" s="57"/>
      <c r="AZ56" s="122"/>
    </row>
    <row r="57" spans="1:52" s="4" customFormat="1" ht="53.25" customHeight="1">
      <c r="A57" s="82" t="s">
        <v>263</v>
      </c>
      <c r="B57" s="47" t="s">
        <v>264</v>
      </c>
      <c r="C57" s="86" t="s">
        <v>265</v>
      </c>
      <c r="D57" s="56" t="s">
        <v>37</v>
      </c>
      <c r="E57" s="57" t="s">
        <v>37</v>
      </c>
      <c r="F57" s="57" t="s">
        <v>37</v>
      </c>
      <c r="G57" s="57" t="s">
        <v>37</v>
      </c>
      <c r="H57" s="57" t="s">
        <v>37</v>
      </c>
      <c r="I57" s="57" t="s">
        <v>37</v>
      </c>
      <c r="J57" s="57" t="s">
        <v>37</v>
      </c>
      <c r="K57" s="57" t="s">
        <v>37</v>
      </c>
      <c r="L57" s="57" t="s">
        <v>37</v>
      </c>
      <c r="M57" s="57" t="s">
        <v>37</v>
      </c>
      <c r="N57" s="57" t="s">
        <v>37</v>
      </c>
      <c r="O57" s="57" t="s">
        <v>36</v>
      </c>
      <c r="P57" s="58" t="s">
        <v>37</v>
      </c>
      <c r="Q57" s="56" t="s">
        <v>37</v>
      </c>
      <c r="R57" s="57" t="s">
        <v>37</v>
      </c>
      <c r="S57" s="57" t="s">
        <v>37</v>
      </c>
      <c r="T57" s="57" t="s">
        <v>37</v>
      </c>
      <c r="U57" s="57" t="s">
        <v>38</v>
      </c>
      <c r="V57" s="58" t="s">
        <v>38</v>
      </c>
      <c r="W57" s="59" t="s">
        <v>38</v>
      </c>
      <c r="X57" s="57" t="s">
        <v>39</v>
      </c>
      <c r="Y57" s="57" t="s">
        <v>40</v>
      </c>
      <c r="Z57" s="57" t="s">
        <v>38</v>
      </c>
      <c r="AA57" s="57" t="s">
        <v>36</v>
      </c>
      <c r="AB57" s="57" t="s">
        <v>36</v>
      </c>
      <c r="AC57" s="57" t="s">
        <v>36</v>
      </c>
      <c r="AD57" s="57" t="s">
        <v>36</v>
      </c>
      <c r="AE57" s="57" t="s">
        <v>36</v>
      </c>
      <c r="AF57" s="57" t="s">
        <v>39</v>
      </c>
      <c r="AG57" s="56" t="s">
        <v>37</v>
      </c>
      <c r="AH57" s="57" t="s">
        <v>37</v>
      </c>
      <c r="AI57" s="57" t="s">
        <v>37</v>
      </c>
      <c r="AJ57" s="57" t="s">
        <v>37</v>
      </c>
      <c r="AK57" s="57" t="s">
        <v>37</v>
      </c>
      <c r="AL57" s="57" t="s">
        <v>36</v>
      </c>
      <c r="AM57" s="57" t="s">
        <v>36</v>
      </c>
      <c r="AN57" s="57" t="s">
        <v>36</v>
      </c>
      <c r="AO57" s="57" t="s">
        <v>37</v>
      </c>
      <c r="AP57" s="58" t="s">
        <v>38</v>
      </c>
      <c r="AQ57" s="57" t="s">
        <v>40</v>
      </c>
      <c r="AR57" s="57" t="s">
        <v>38</v>
      </c>
      <c r="AS57" s="57" t="s">
        <v>39</v>
      </c>
      <c r="AT57" s="57" t="s">
        <v>39</v>
      </c>
      <c r="AU57" s="57"/>
      <c r="AV57" s="57"/>
      <c r="AW57" s="57"/>
      <c r="AX57" s="57"/>
      <c r="AY57" s="57"/>
      <c r="AZ57" s="122"/>
    </row>
    <row r="58" spans="1:52" s="4" customFormat="1" ht="53.25" customHeight="1">
      <c r="A58" s="82" t="s">
        <v>263</v>
      </c>
      <c r="B58" s="47" t="s">
        <v>51</v>
      </c>
      <c r="C58" s="55" t="e">
        <v>#N/A</v>
      </c>
      <c r="D58" s="56" t="s">
        <v>37</v>
      </c>
      <c r="E58" s="57" t="s">
        <v>37</v>
      </c>
      <c r="F58" s="57" t="s">
        <v>37</v>
      </c>
      <c r="G58" s="57" t="s">
        <v>37</v>
      </c>
      <c r="H58" s="57" t="s">
        <v>37</v>
      </c>
      <c r="I58" s="57" t="s">
        <v>37</v>
      </c>
      <c r="J58" s="57" t="s">
        <v>37</v>
      </c>
      <c r="K58" s="57" t="s">
        <v>37</v>
      </c>
      <c r="L58" s="57" t="s">
        <v>37</v>
      </c>
      <c r="M58" s="57" t="s">
        <v>37</v>
      </c>
      <c r="N58" s="57" t="s">
        <v>37</v>
      </c>
      <c r="O58" s="57" t="s">
        <v>36</v>
      </c>
      <c r="P58" s="58" t="s">
        <v>37</v>
      </c>
      <c r="Q58" s="56" t="s">
        <v>37</v>
      </c>
      <c r="R58" s="57" t="s">
        <v>37</v>
      </c>
      <c r="S58" s="57" t="s">
        <v>37</v>
      </c>
      <c r="T58" s="57" t="s">
        <v>37</v>
      </c>
      <c r="U58" s="57" t="s">
        <v>38</v>
      </c>
      <c r="V58" s="58" t="s">
        <v>38</v>
      </c>
      <c r="W58" s="59" t="s">
        <v>38</v>
      </c>
      <c r="X58" s="57" t="s">
        <v>39</v>
      </c>
      <c r="Y58" s="57" t="s">
        <v>40</v>
      </c>
      <c r="Z58" s="57" t="s">
        <v>38</v>
      </c>
      <c r="AA58" s="57" t="s">
        <v>36</v>
      </c>
      <c r="AB58" s="57" t="s">
        <v>36</v>
      </c>
      <c r="AC58" s="57" t="s">
        <v>37</v>
      </c>
      <c r="AD58" s="57" t="s">
        <v>37</v>
      </c>
      <c r="AE58" s="57" t="s">
        <v>37</v>
      </c>
      <c r="AF58" s="57" t="s">
        <v>39</v>
      </c>
      <c r="AG58" s="56" t="s">
        <v>37</v>
      </c>
      <c r="AH58" s="57" t="s">
        <v>37</v>
      </c>
      <c r="AI58" s="57" t="s">
        <v>37</v>
      </c>
      <c r="AJ58" s="57" t="s">
        <v>37</v>
      </c>
      <c r="AK58" s="57" t="s">
        <v>37</v>
      </c>
      <c r="AL58" s="57" t="s">
        <v>36</v>
      </c>
      <c r="AM58" s="57" t="s">
        <v>36</v>
      </c>
      <c r="AN58" s="57" t="s">
        <v>36</v>
      </c>
      <c r="AO58" s="57" t="s">
        <v>37</v>
      </c>
      <c r="AP58" s="58" t="s">
        <v>38</v>
      </c>
      <c r="AQ58" s="57" t="s">
        <v>40</v>
      </c>
      <c r="AR58" s="57" t="s">
        <v>38</v>
      </c>
      <c r="AS58" s="57" t="s">
        <v>39</v>
      </c>
      <c r="AT58" s="57" t="s">
        <v>39</v>
      </c>
      <c r="AU58" s="57"/>
      <c r="AV58" s="57"/>
      <c r="AW58" s="57"/>
      <c r="AX58" s="57"/>
      <c r="AY58" s="57" t="s">
        <v>40</v>
      </c>
      <c r="AZ58" s="122" t="s">
        <v>40</v>
      </c>
    </row>
    <row r="59" spans="1:52" s="4" customFormat="1" ht="53.25" customHeight="1">
      <c r="A59" s="82" t="s">
        <v>266</v>
      </c>
      <c r="B59" s="47" t="s">
        <v>267</v>
      </c>
      <c r="C59" s="55" t="s">
        <v>268</v>
      </c>
      <c r="D59" s="56" t="s">
        <v>38</v>
      </c>
      <c r="E59" s="57" t="s">
        <v>38</v>
      </c>
      <c r="F59" s="57" t="s">
        <v>39</v>
      </c>
      <c r="G59" s="57" t="s">
        <v>39</v>
      </c>
      <c r="H59" s="57" t="s">
        <v>39</v>
      </c>
      <c r="I59" s="57" t="s">
        <v>39</v>
      </c>
      <c r="J59" s="57" t="s">
        <v>39</v>
      </c>
      <c r="K59" s="57" t="s">
        <v>38</v>
      </c>
      <c r="L59" s="57" t="s">
        <v>38</v>
      </c>
      <c r="M59" s="57" t="s">
        <v>38</v>
      </c>
      <c r="N59" s="57" t="s">
        <v>39</v>
      </c>
      <c r="O59" s="57" t="s">
        <v>39</v>
      </c>
      <c r="P59" s="58" t="s">
        <v>39</v>
      </c>
      <c r="Q59" s="56" t="s">
        <v>38</v>
      </c>
      <c r="R59" s="57" t="s">
        <v>38</v>
      </c>
      <c r="S59" s="57" t="s">
        <v>39</v>
      </c>
      <c r="T59" s="57" t="s">
        <v>38</v>
      </c>
      <c r="U59" s="57" t="s">
        <v>39</v>
      </c>
      <c r="V59" s="58" t="s">
        <v>39</v>
      </c>
      <c r="W59" s="59" t="s">
        <v>38</v>
      </c>
      <c r="X59" s="57" t="s">
        <v>39</v>
      </c>
      <c r="Y59" s="57" t="s">
        <v>39</v>
      </c>
      <c r="Z59" s="57" t="s">
        <v>39</v>
      </c>
      <c r="AA59" s="57" t="s">
        <v>37</v>
      </c>
      <c r="AB59" s="57" t="s">
        <v>38</v>
      </c>
      <c r="AC59" s="57" t="s">
        <v>39</v>
      </c>
      <c r="AD59" s="57" t="s">
        <v>39</v>
      </c>
      <c r="AE59" s="57" t="s">
        <v>39</v>
      </c>
      <c r="AF59" s="57" t="s">
        <v>40</v>
      </c>
      <c r="AG59" s="56" t="s">
        <v>40</v>
      </c>
      <c r="AH59" s="57" t="s">
        <v>39</v>
      </c>
      <c r="AI59" s="57" t="s">
        <v>38</v>
      </c>
      <c r="AJ59" s="57" t="s">
        <v>38</v>
      </c>
      <c r="AK59" s="57" t="s">
        <v>39</v>
      </c>
      <c r="AL59" s="57" t="s">
        <v>39</v>
      </c>
      <c r="AM59" s="57" t="s">
        <v>36</v>
      </c>
      <c r="AN59" s="57" t="s">
        <v>39</v>
      </c>
      <c r="AO59" s="57" t="s">
        <v>40</v>
      </c>
      <c r="AP59" s="58" t="s">
        <v>39</v>
      </c>
      <c r="AQ59" s="57" t="s">
        <v>40</v>
      </c>
      <c r="AR59" s="57" t="s">
        <v>40</v>
      </c>
      <c r="AS59" s="57" t="s">
        <v>40</v>
      </c>
      <c r="AT59" s="57" t="s">
        <v>40</v>
      </c>
      <c r="AU59" s="57"/>
      <c r="AV59" s="57"/>
      <c r="AW59" s="57"/>
      <c r="AX59" s="57"/>
      <c r="AY59" s="57" t="s">
        <v>39</v>
      </c>
      <c r="AZ59" s="122" t="s">
        <v>39</v>
      </c>
    </row>
    <row r="60" spans="1:52" s="4" customFormat="1" ht="53.25" customHeight="1">
      <c r="A60" s="82" t="s">
        <v>269</v>
      </c>
      <c r="B60" s="47" t="s">
        <v>270</v>
      </c>
      <c r="C60" s="55" t="s">
        <v>271</v>
      </c>
      <c r="D60" s="56" t="s">
        <v>37</v>
      </c>
      <c r="E60" s="57" t="s">
        <v>37</v>
      </c>
      <c r="F60" s="57" t="s">
        <v>37</v>
      </c>
      <c r="G60" s="57" t="s">
        <v>37</v>
      </c>
      <c r="H60" s="57" t="s">
        <v>37</v>
      </c>
      <c r="I60" s="57" t="s">
        <v>37</v>
      </c>
      <c r="J60" s="57" t="s">
        <v>37</v>
      </c>
      <c r="K60" s="57" t="s">
        <v>37</v>
      </c>
      <c r="L60" s="57" t="s">
        <v>37</v>
      </c>
      <c r="M60" s="57" t="s">
        <v>37</v>
      </c>
      <c r="N60" s="57" t="s">
        <v>37</v>
      </c>
      <c r="O60" s="57" t="s">
        <v>37</v>
      </c>
      <c r="P60" s="58" t="s">
        <v>37</v>
      </c>
      <c r="Q60" s="56" t="s">
        <v>38</v>
      </c>
      <c r="R60" s="57" t="s">
        <v>39</v>
      </c>
      <c r="S60" s="57" t="s">
        <v>39</v>
      </c>
      <c r="T60" s="57" t="s">
        <v>38</v>
      </c>
      <c r="U60" s="57" t="s">
        <v>40</v>
      </c>
      <c r="V60" s="58" t="s">
        <v>39</v>
      </c>
      <c r="W60" s="59" t="s">
        <v>38</v>
      </c>
      <c r="X60" s="57" t="s">
        <v>39</v>
      </c>
      <c r="Y60" s="57" t="s">
        <v>39</v>
      </c>
      <c r="Z60" s="57" t="s">
        <v>39</v>
      </c>
      <c r="AA60" s="57" t="s">
        <v>37</v>
      </c>
      <c r="AB60" s="57" t="s">
        <v>38</v>
      </c>
      <c r="AC60" s="57" t="s">
        <v>39</v>
      </c>
      <c r="AD60" s="57" t="s">
        <v>39</v>
      </c>
      <c r="AE60" s="57" t="s">
        <v>39</v>
      </c>
      <c r="AF60" s="57" t="s">
        <v>39</v>
      </c>
      <c r="AG60" s="56" t="s">
        <v>39</v>
      </c>
      <c r="AH60" s="57" t="s">
        <v>39</v>
      </c>
      <c r="AI60" s="57" t="s">
        <v>37</v>
      </c>
      <c r="AJ60" s="57" t="s">
        <v>37</v>
      </c>
      <c r="AK60" s="57" t="s">
        <v>37</v>
      </c>
      <c r="AL60" s="57" t="s">
        <v>39</v>
      </c>
      <c r="AM60" s="57" t="s">
        <v>36</v>
      </c>
      <c r="AN60" s="57" t="s">
        <v>39</v>
      </c>
      <c r="AO60" s="57" t="s">
        <v>39</v>
      </c>
      <c r="AP60" s="58" t="s">
        <v>39</v>
      </c>
      <c r="AQ60" s="57" t="s">
        <v>39</v>
      </c>
      <c r="AR60" s="57" t="s">
        <v>39</v>
      </c>
      <c r="AS60" s="57" t="s">
        <v>39</v>
      </c>
      <c r="AT60" s="57" t="s">
        <v>39</v>
      </c>
      <c r="AU60" s="57"/>
      <c r="AV60" s="57"/>
      <c r="AW60" s="57"/>
      <c r="AX60" s="57"/>
      <c r="AY60" s="57" t="s">
        <v>39</v>
      </c>
      <c r="AZ60" s="122" t="s">
        <v>39</v>
      </c>
    </row>
    <row r="61" spans="1:52" s="4" customFormat="1" ht="53.25" customHeight="1">
      <c r="A61" s="82" t="s">
        <v>272</v>
      </c>
      <c r="B61" s="47" t="s">
        <v>50</v>
      </c>
      <c r="C61" s="55" t="s">
        <v>273</v>
      </c>
      <c r="D61" s="56" t="s">
        <v>37</v>
      </c>
      <c r="E61" s="57" t="s">
        <v>37</v>
      </c>
      <c r="F61" s="57" t="s">
        <v>38</v>
      </c>
      <c r="G61" s="57" t="s">
        <v>38</v>
      </c>
      <c r="H61" s="57" t="s">
        <v>38</v>
      </c>
      <c r="I61" s="57" t="s">
        <v>39</v>
      </c>
      <c r="J61" s="57" t="s">
        <v>38</v>
      </c>
      <c r="K61" s="57" t="s">
        <v>37</v>
      </c>
      <c r="L61" s="57" t="s">
        <v>38</v>
      </c>
      <c r="M61" s="57" t="s">
        <v>38</v>
      </c>
      <c r="N61" s="57" t="s">
        <v>38</v>
      </c>
      <c r="O61" s="57" t="s">
        <v>156</v>
      </c>
      <c r="P61" s="58" t="s">
        <v>38</v>
      </c>
      <c r="Q61" s="56" t="s">
        <v>38</v>
      </c>
      <c r="R61" s="57" t="s">
        <v>38</v>
      </c>
      <c r="S61" s="57" t="s">
        <v>40</v>
      </c>
      <c r="T61" s="57" t="s">
        <v>38</v>
      </c>
      <c r="U61" s="57" t="s">
        <v>40</v>
      </c>
      <c r="V61" s="58" t="s">
        <v>40</v>
      </c>
      <c r="W61" s="59" t="s">
        <v>38</v>
      </c>
      <c r="X61" s="57" t="s">
        <v>39</v>
      </c>
      <c r="Y61" s="57" t="s">
        <v>40</v>
      </c>
      <c r="Z61" s="57" t="s">
        <v>38</v>
      </c>
      <c r="AA61" s="57" t="s">
        <v>37</v>
      </c>
      <c r="AB61" s="57" t="s">
        <v>38</v>
      </c>
      <c r="AC61" s="57" t="s">
        <v>38</v>
      </c>
      <c r="AD61" s="57" t="s">
        <v>38</v>
      </c>
      <c r="AE61" s="57" t="s">
        <v>38</v>
      </c>
      <c r="AF61" s="57" t="s">
        <v>39</v>
      </c>
      <c r="AG61" s="56" t="s">
        <v>38</v>
      </c>
      <c r="AH61" s="57" t="s">
        <v>40</v>
      </c>
      <c r="AI61" s="57" t="s">
        <v>37</v>
      </c>
      <c r="AJ61" s="57" t="s">
        <v>37</v>
      </c>
      <c r="AK61" s="57" t="s">
        <v>38</v>
      </c>
      <c r="AL61" s="57" t="s">
        <v>38</v>
      </c>
      <c r="AM61" s="57" t="s">
        <v>38</v>
      </c>
      <c r="AN61" s="57" t="s">
        <v>38</v>
      </c>
      <c r="AO61" s="57" t="s">
        <v>38</v>
      </c>
      <c r="AP61" s="58" t="s">
        <v>39</v>
      </c>
      <c r="AQ61" s="57" t="s">
        <v>40</v>
      </c>
      <c r="AR61" s="57" t="s">
        <v>40</v>
      </c>
      <c r="AS61" s="57" t="s">
        <v>39</v>
      </c>
      <c r="AT61" s="57" t="s">
        <v>39</v>
      </c>
      <c r="AU61" s="57"/>
      <c r="AV61" s="57"/>
      <c r="AW61" s="57"/>
      <c r="AX61" s="57"/>
      <c r="AY61" s="57" t="s">
        <v>38</v>
      </c>
      <c r="AZ61" s="122" t="s">
        <v>38</v>
      </c>
    </row>
    <row r="62" spans="1:52" s="4" customFormat="1" ht="53.25" customHeight="1">
      <c r="A62" s="82" t="s">
        <v>274</v>
      </c>
      <c r="B62" s="47" t="s">
        <v>275</v>
      </c>
      <c r="C62" s="55" t="s">
        <v>276</v>
      </c>
      <c r="D62" s="56" t="s">
        <v>36</v>
      </c>
      <c r="E62" s="57" t="s">
        <v>36</v>
      </c>
      <c r="F62" s="57" t="s">
        <v>36</v>
      </c>
      <c r="G62" s="57" t="s">
        <v>36</v>
      </c>
      <c r="H62" s="57" t="s">
        <v>36</v>
      </c>
      <c r="I62" s="57" t="s">
        <v>36</v>
      </c>
      <c r="J62" s="57" t="s">
        <v>36</v>
      </c>
      <c r="K62" s="57" t="s">
        <v>36</v>
      </c>
      <c r="L62" s="57" t="s">
        <v>36</v>
      </c>
      <c r="M62" s="57" t="s">
        <v>36</v>
      </c>
      <c r="N62" s="57" t="s">
        <v>36</v>
      </c>
      <c r="O62" s="57" t="s">
        <v>36</v>
      </c>
      <c r="P62" s="58" t="s">
        <v>36</v>
      </c>
      <c r="Q62" s="56" t="s">
        <v>36</v>
      </c>
      <c r="R62" s="57" t="s">
        <v>38</v>
      </c>
      <c r="S62" s="57" t="s">
        <v>39</v>
      </c>
      <c r="T62" s="57" t="s">
        <v>40</v>
      </c>
      <c r="U62" s="57" t="s">
        <v>39</v>
      </c>
      <c r="V62" s="58" t="s">
        <v>39</v>
      </c>
      <c r="W62" s="59" t="s">
        <v>37</v>
      </c>
      <c r="X62" s="57" t="s">
        <v>37</v>
      </c>
      <c r="Y62" s="57" t="s">
        <v>37</v>
      </c>
      <c r="Z62" s="57" t="s">
        <v>39</v>
      </c>
      <c r="AA62" s="57" t="s">
        <v>37</v>
      </c>
      <c r="AB62" s="57" t="s">
        <v>37</v>
      </c>
      <c r="AC62" s="57" t="s">
        <v>37</v>
      </c>
      <c r="AD62" s="57" t="s">
        <v>37</v>
      </c>
      <c r="AE62" s="57" t="s">
        <v>37</v>
      </c>
      <c r="AF62" s="57" t="s">
        <v>38</v>
      </c>
      <c r="AG62" s="56" t="s">
        <v>38</v>
      </c>
      <c r="AH62" s="57" t="s">
        <v>39</v>
      </c>
      <c r="AI62" s="57" t="s">
        <v>36</v>
      </c>
      <c r="AJ62" s="57" t="s">
        <v>36</v>
      </c>
      <c r="AK62" s="57" t="s">
        <v>36</v>
      </c>
      <c r="AL62" s="57" t="s">
        <v>37</v>
      </c>
      <c r="AM62" s="57" t="s">
        <v>36</v>
      </c>
      <c r="AN62" s="57" t="s">
        <v>37</v>
      </c>
      <c r="AO62" s="57" t="s">
        <v>38</v>
      </c>
      <c r="AP62" s="58" t="s">
        <v>38</v>
      </c>
      <c r="AQ62" s="57" t="s">
        <v>38</v>
      </c>
      <c r="AR62" s="57" t="s">
        <v>38</v>
      </c>
      <c r="AS62" s="57" t="s">
        <v>38</v>
      </c>
      <c r="AT62" s="57" t="s">
        <v>38</v>
      </c>
      <c r="AU62" s="57"/>
      <c r="AV62" s="57"/>
      <c r="AW62" s="57"/>
      <c r="AX62" s="57"/>
      <c r="AY62" s="57" t="s">
        <v>38</v>
      </c>
      <c r="AZ62" s="122" t="s">
        <v>38</v>
      </c>
    </row>
    <row r="63" spans="1:52" s="4" customFormat="1" ht="43.5" customHeight="1">
      <c r="A63" s="82" t="s">
        <v>277</v>
      </c>
      <c r="B63" s="47" t="s">
        <v>278</v>
      </c>
      <c r="C63" s="55" t="s">
        <v>279</v>
      </c>
      <c r="D63" s="56" t="s">
        <v>36</v>
      </c>
      <c r="E63" s="57" t="s">
        <v>36</v>
      </c>
      <c r="F63" s="57" t="s">
        <v>36</v>
      </c>
      <c r="G63" s="57" t="s">
        <v>36</v>
      </c>
      <c r="H63" s="57" t="s">
        <v>36</v>
      </c>
      <c r="I63" s="57" t="s">
        <v>36</v>
      </c>
      <c r="J63" s="57" t="s">
        <v>36</v>
      </c>
      <c r="K63" s="57" t="s">
        <v>36</v>
      </c>
      <c r="L63" s="57" t="s">
        <v>36</v>
      </c>
      <c r="M63" s="57" t="s">
        <v>36</v>
      </c>
      <c r="N63" s="57" t="s">
        <v>36</v>
      </c>
      <c r="O63" s="57" t="s">
        <v>36</v>
      </c>
      <c r="P63" s="58" t="s">
        <v>36</v>
      </c>
      <c r="Q63" s="56" t="s">
        <v>36</v>
      </c>
      <c r="R63" s="57" t="s">
        <v>38</v>
      </c>
      <c r="S63" s="57" t="s">
        <v>39</v>
      </c>
      <c r="T63" s="57" t="s">
        <v>40</v>
      </c>
      <c r="U63" s="57" t="s">
        <v>39</v>
      </c>
      <c r="V63" s="58" t="s">
        <v>39</v>
      </c>
      <c r="W63" s="59" t="s">
        <v>36</v>
      </c>
      <c r="X63" s="57" t="s">
        <v>36</v>
      </c>
      <c r="Y63" s="57" t="s">
        <v>36</v>
      </c>
      <c r="Z63" s="57" t="s">
        <v>36</v>
      </c>
      <c r="AA63" s="57" t="s">
        <v>36</v>
      </c>
      <c r="AB63" s="57" t="s">
        <v>36</v>
      </c>
      <c r="AC63" s="57" t="s">
        <v>36</v>
      </c>
      <c r="AD63" s="57" t="s">
        <v>36</v>
      </c>
      <c r="AE63" s="57" t="s">
        <v>36</v>
      </c>
      <c r="AF63" s="57" t="s">
        <v>38</v>
      </c>
      <c r="AG63" s="56" t="s">
        <v>38</v>
      </c>
      <c r="AH63" s="57" t="s">
        <v>39</v>
      </c>
      <c r="AI63" s="57" t="s">
        <v>36</v>
      </c>
      <c r="AJ63" s="57" t="s">
        <v>36</v>
      </c>
      <c r="AK63" s="57" t="s">
        <v>36</v>
      </c>
      <c r="AL63" s="57" t="s">
        <v>36</v>
      </c>
      <c r="AM63" s="57" t="s">
        <v>36</v>
      </c>
      <c r="AN63" s="57" t="s">
        <v>36</v>
      </c>
      <c r="AO63" s="57" t="s">
        <v>38</v>
      </c>
      <c r="AP63" s="58" t="s">
        <v>38</v>
      </c>
      <c r="AQ63" s="57" t="s">
        <v>38</v>
      </c>
      <c r="AR63" s="57" t="s">
        <v>38</v>
      </c>
      <c r="AS63" s="57" t="s">
        <v>38</v>
      </c>
      <c r="AT63" s="57" t="s">
        <v>38</v>
      </c>
      <c r="AU63" s="57"/>
      <c r="AV63" s="57"/>
      <c r="AW63" s="57"/>
      <c r="AX63" s="57"/>
      <c r="AY63" s="57" t="s">
        <v>38</v>
      </c>
      <c r="AZ63" s="122" t="s">
        <v>38</v>
      </c>
    </row>
    <row r="64" spans="1:52" s="4" customFormat="1" ht="50.25" customHeight="1">
      <c r="A64" s="82" t="s">
        <v>280</v>
      </c>
      <c r="B64" s="47" t="s">
        <v>281</v>
      </c>
      <c r="C64" s="55" t="s">
        <v>282</v>
      </c>
      <c r="D64" s="56" t="s">
        <v>37</v>
      </c>
      <c r="E64" s="57" t="s">
        <v>38</v>
      </c>
      <c r="F64" s="57" t="s">
        <v>38</v>
      </c>
      <c r="G64" s="57" t="s">
        <v>38</v>
      </c>
      <c r="H64" s="57" t="s">
        <v>38</v>
      </c>
      <c r="I64" s="57" t="s">
        <v>38</v>
      </c>
      <c r="J64" s="57" t="s">
        <v>38</v>
      </c>
      <c r="K64" s="57" t="s">
        <v>37</v>
      </c>
      <c r="L64" s="57" t="s">
        <v>38</v>
      </c>
      <c r="M64" s="57" t="s">
        <v>38</v>
      </c>
      <c r="N64" s="57" t="s">
        <v>38</v>
      </c>
      <c r="O64" s="57" t="s">
        <v>36</v>
      </c>
      <c r="P64" s="58" t="s">
        <v>38</v>
      </c>
      <c r="Q64" s="56" t="s">
        <v>38</v>
      </c>
      <c r="R64" s="57" t="s">
        <v>39</v>
      </c>
      <c r="S64" s="57" t="s">
        <v>39</v>
      </c>
      <c r="T64" s="57" t="s">
        <v>40</v>
      </c>
      <c r="U64" s="57" t="s">
        <v>39</v>
      </c>
      <c r="V64" s="58" t="s">
        <v>39</v>
      </c>
      <c r="W64" s="59" t="s">
        <v>37</v>
      </c>
      <c r="X64" s="57" t="s">
        <v>37</v>
      </c>
      <c r="Y64" s="57" t="s">
        <v>37</v>
      </c>
      <c r="Z64" s="57" t="s">
        <v>39</v>
      </c>
      <c r="AA64" s="57" t="s">
        <v>36</v>
      </c>
      <c r="AB64" s="57" t="s">
        <v>36</v>
      </c>
      <c r="AC64" s="57" t="s">
        <v>36</v>
      </c>
      <c r="AD64" s="87" t="s">
        <v>36</v>
      </c>
      <c r="AE64" s="87" t="s">
        <v>36</v>
      </c>
      <c r="AF64" s="57" t="s">
        <v>38</v>
      </c>
      <c r="AG64" s="56" t="s">
        <v>38</v>
      </c>
      <c r="AH64" s="57" t="s">
        <v>39</v>
      </c>
      <c r="AI64" s="57" t="s">
        <v>37</v>
      </c>
      <c r="AJ64" s="57" t="s">
        <v>37</v>
      </c>
      <c r="AK64" s="57" t="s">
        <v>37</v>
      </c>
      <c r="AL64" s="57" t="s">
        <v>36</v>
      </c>
      <c r="AM64" s="57" t="s">
        <v>36</v>
      </c>
      <c r="AN64" s="87" t="s">
        <v>36</v>
      </c>
      <c r="AO64" s="57" t="s">
        <v>38</v>
      </c>
      <c r="AP64" s="58" t="s">
        <v>38</v>
      </c>
      <c r="AQ64" s="57" t="s">
        <v>38</v>
      </c>
      <c r="AR64" s="57" t="s">
        <v>38</v>
      </c>
      <c r="AS64" s="57" t="s">
        <v>38</v>
      </c>
      <c r="AT64" s="57" t="s">
        <v>38</v>
      </c>
      <c r="AU64" s="57"/>
      <c r="AV64" s="57"/>
      <c r="AW64" s="57"/>
      <c r="AX64" s="57"/>
      <c r="AY64" s="57"/>
      <c r="AZ64" s="122"/>
    </row>
    <row r="65" spans="1:52" s="4" customFormat="1" ht="50.45" customHeight="1">
      <c r="A65" s="82" t="s">
        <v>283</v>
      </c>
      <c r="B65" s="47" t="s">
        <v>284</v>
      </c>
      <c r="C65" s="55" t="s">
        <v>285</v>
      </c>
      <c r="D65" s="56" t="s">
        <v>36</v>
      </c>
      <c r="E65" s="57" t="s">
        <v>36</v>
      </c>
      <c r="F65" s="57" t="s">
        <v>36</v>
      </c>
      <c r="G65" s="57" t="s">
        <v>36</v>
      </c>
      <c r="H65" s="57" t="s">
        <v>36</v>
      </c>
      <c r="I65" s="57" t="s">
        <v>36</v>
      </c>
      <c r="J65" s="57" t="s">
        <v>36</v>
      </c>
      <c r="K65" s="57" t="s">
        <v>36</v>
      </c>
      <c r="L65" s="57" t="s">
        <v>36</v>
      </c>
      <c r="M65" s="57" t="s">
        <v>36</v>
      </c>
      <c r="N65" s="57" t="s">
        <v>36</v>
      </c>
      <c r="O65" s="57" t="s">
        <v>36</v>
      </c>
      <c r="P65" s="58" t="s">
        <v>36</v>
      </c>
      <c r="Q65" s="56" t="s">
        <v>36</v>
      </c>
      <c r="R65" s="57" t="s">
        <v>36</v>
      </c>
      <c r="S65" s="57" t="s">
        <v>36</v>
      </c>
      <c r="T65" s="57" t="s">
        <v>36</v>
      </c>
      <c r="U65" s="57" t="s">
        <v>36</v>
      </c>
      <c r="V65" s="58" t="s">
        <v>36</v>
      </c>
      <c r="W65" s="59" t="s">
        <v>37</v>
      </c>
      <c r="X65" s="57" t="s">
        <v>38</v>
      </c>
      <c r="Y65" s="57" t="s">
        <v>38</v>
      </c>
      <c r="Z65" s="57" t="s">
        <v>37</v>
      </c>
      <c r="AA65" s="57" t="s">
        <v>37</v>
      </c>
      <c r="AB65" s="57" t="s">
        <v>38</v>
      </c>
      <c r="AC65" s="57" t="s">
        <v>39</v>
      </c>
      <c r="AD65" s="57" t="s">
        <v>40</v>
      </c>
      <c r="AE65" s="57" t="s">
        <v>40</v>
      </c>
      <c r="AF65" s="57" t="s">
        <v>38</v>
      </c>
      <c r="AG65" s="57" t="s">
        <v>36</v>
      </c>
      <c r="AH65" s="57" t="s">
        <v>36</v>
      </c>
      <c r="AI65" s="57" t="s">
        <v>36</v>
      </c>
      <c r="AJ65" s="57" t="s">
        <v>36</v>
      </c>
      <c r="AK65" s="57" t="s">
        <v>36</v>
      </c>
      <c r="AL65" s="57" t="s">
        <v>39</v>
      </c>
      <c r="AM65" s="57" t="s">
        <v>36</v>
      </c>
      <c r="AN65" s="57" t="s">
        <v>40</v>
      </c>
      <c r="AO65" s="57" t="s">
        <v>36</v>
      </c>
      <c r="AP65" s="58" t="s">
        <v>38</v>
      </c>
      <c r="AQ65" s="57" t="s">
        <v>38</v>
      </c>
      <c r="AR65" s="57" t="s">
        <v>38</v>
      </c>
      <c r="AS65" s="57" t="s">
        <v>39</v>
      </c>
      <c r="AT65" s="57" t="s">
        <v>39</v>
      </c>
      <c r="AU65" s="57"/>
      <c r="AV65" s="57"/>
      <c r="AW65" s="57"/>
      <c r="AX65" s="57"/>
      <c r="AY65" s="57" t="s">
        <v>36</v>
      </c>
      <c r="AZ65" s="57" t="s">
        <v>36</v>
      </c>
    </row>
    <row r="66" spans="1:52" s="4" customFormat="1" ht="49.5" customHeight="1">
      <c r="A66" s="82" t="s">
        <v>286</v>
      </c>
      <c r="B66" s="47" t="s">
        <v>287</v>
      </c>
      <c r="C66" s="55" t="s">
        <v>288</v>
      </c>
      <c r="D66" s="56" t="s">
        <v>36</v>
      </c>
      <c r="E66" s="57" t="s">
        <v>36</v>
      </c>
      <c r="F66" s="57" t="s">
        <v>36</v>
      </c>
      <c r="G66" s="57" t="s">
        <v>36</v>
      </c>
      <c r="H66" s="57" t="s">
        <v>36</v>
      </c>
      <c r="I66" s="57" t="s">
        <v>36</v>
      </c>
      <c r="J66" s="57" t="s">
        <v>36</v>
      </c>
      <c r="K66" s="57" t="s">
        <v>36</v>
      </c>
      <c r="L66" s="57" t="s">
        <v>36</v>
      </c>
      <c r="M66" s="57" t="s">
        <v>36</v>
      </c>
      <c r="N66" s="57" t="s">
        <v>36</v>
      </c>
      <c r="O66" s="57" t="s">
        <v>36</v>
      </c>
      <c r="P66" s="58" t="s">
        <v>36</v>
      </c>
      <c r="Q66" s="56" t="s">
        <v>36</v>
      </c>
      <c r="R66" s="57" t="s">
        <v>36</v>
      </c>
      <c r="S66" s="57" t="s">
        <v>36</v>
      </c>
      <c r="T66" s="57" t="s">
        <v>36</v>
      </c>
      <c r="U66" s="57" t="s">
        <v>36</v>
      </c>
      <c r="V66" s="58" t="s">
        <v>36</v>
      </c>
      <c r="W66" s="59" t="s">
        <v>36</v>
      </c>
      <c r="X66" s="57" t="s">
        <v>36</v>
      </c>
      <c r="Y66" s="57" t="s">
        <v>36</v>
      </c>
      <c r="Z66" s="57" t="s">
        <v>37</v>
      </c>
      <c r="AA66" s="57" t="s">
        <v>36</v>
      </c>
      <c r="AB66" s="57" t="s">
        <v>37</v>
      </c>
      <c r="AC66" s="57" t="s">
        <v>37</v>
      </c>
      <c r="AD66" s="57" t="s">
        <v>40</v>
      </c>
      <c r="AE66" s="57" t="s">
        <v>40</v>
      </c>
      <c r="AF66" s="57" t="s">
        <v>36</v>
      </c>
      <c r="AG66" s="57" t="s">
        <v>36</v>
      </c>
      <c r="AH66" s="57" t="s">
        <v>36</v>
      </c>
      <c r="AI66" s="57" t="s">
        <v>36</v>
      </c>
      <c r="AJ66" s="57" t="s">
        <v>36</v>
      </c>
      <c r="AK66" s="57" t="s">
        <v>36</v>
      </c>
      <c r="AL66" s="57" t="s">
        <v>39</v>
      </c>
      <c r="AM66" s="57" t="s">
        <v>36</v>
      </c>
      <c r="AN66" s="57" t="s">
        <v>40</v>
      </c>
      <c r="AO66" s="57" t="s">
        <v>36</v>
      </c>
      <c r="AP66" s="58" t="s">
        <v>36</v>
      </c>
      <c r="AQ66" s="57" t="s">
        <v>37</v>
      </c>
      <c r="AR66" s="57" t="s">
        <v>37</v>
      </c>
      <c r="AS66" s="57" t="s">
        <v>37</v>
      </c>
      <c r="AT66" s="57" t="s">
        <v>37</v>
      </c>
      <c r="AU66" s="57"/>
      <c r="AV66" s="57"/>
      <c r="AW66" s="57"/>
      <c r="AX66" s="57"/>
      <c r="AY66" s="57" t="s">
        <v>39</v>
      </c>
      <c r="AZ66" s="122" t="s">
        <v>39</v>
      </c>
    </row>
    <row r="67" spans="1:52" s="4" customFormat="1" ht="46.5" customHeight="1">
      <c r="A67" s="82" t="s">
        <v>289</v>
      </c>
      <c r="B67" s="179" t="s">
        <v>290</v>
      </c>
      <c r="C67" s="55" t="s">
        <v>291</v>
      </c>
      <c r="D67" s="56" t="s">
        <v>36</v>
      </c>
      <c r="E67" s="57" t="s">
        <v>36</v>
      </c>
      <c r="F67" s="57" t="s">
        <v>36</v>
      </c>
      <c r="G67" s="57" t="s">
        <v>36</v>
      </c>
      <c r="H67" s="57" t="s">
        <v>36</v>
      </c>
      <c r="I67" s="57" t="s">
        <v>36</v>
      </c>
      <c r="J67" s="57" t="s">
        <v>36</v>
      </c>
      <c r="K67" s="57" t="s">
        <v>36</v>
      </c>
      <c r="L67" s="57" t="s">
        <v>36</v>
      </c>
      <c r="M67" s="57" t="s">
        <v>36</v>
      </c>
      <c r="N67" s="57" t="s">
        <v>36</v>
      </c>
      <c r="O67" s="57" t="s">
        <v>36</v>
      </c>
      <c r="P67" s="58" t="s">
        <v>36</v>
      </c>
      <c r="Q67" s="56" t="s">
        <v>36</v>
      </c>
      <c r="R67" s="57" t="s">
        <v>36</v>
      </c>
      <c r="S67" s="57" t="s">
        <v>36</v>
      </c>
      <c r="T67" s="57" t="s">
        <v>36</v>
      </c>
      <c r="U67" s="57" t="s">
        <v>36</v>
      </c>
      <c r="V67" s="58" t="s">
        <v>36</v>
      </c>
      <c r="W67" s="59" t="s">
        <v>36</v>
      </c>
      <c r="X67" s="57" t="s">
        <v>36</v>
      </c>
      <c r="Y67" s="57" t="s">
        <v>36</v>
      </c>
      <c r="Z67" s="57" t="s">
        <v>37</v>
      </c>
      <c r="AA67" s="57" t="s">
        <v>36</v>
      </c>
      <c r="AB67" s="57" t="s">
        <v>38</v>
      </c>
      <c r="AC67" s="57" t="s">
        <v>39</v>
      </c>
      <c r="AD67" s="57" t="s">
        <v>39</v>
      </c>
      <c r="AE67" s="57" t="s">
        <v>40</v>
      </c>
      <c r="AF67" s="57" t="s">
        <v>39</v>
      </c>
      <c r="AG67" s="56" t="s">
        <v>39</v>
      </c>
      <c r="AH67" s="57" t="s">
        <v>36</v>
      </c>
      <c r="AI67" s="57" t="s">
        <v>36</v>
      </c>
      <c r="AJ67" s="57" t="s">
        <v>36</v>
      </c>
      <c r="AK67" s="57" t="s">
        <v>36</v>
      </c>
      <c r="AL67" s="57" t="s">
        <v>39</v>
      </c>
      <c r="AM67" s="57" t="s">
        <v>36</v>
      </c>
      <c r="AN67" s="57" t="s">
        <v>40</v>
      </c>
      <c r="AO67" s="57" t="s">
        <v>39</v>
      </c>
      <c r="AP67" s="58" t="s">
        <v>39</v>
      </c>
      <c r="AQ67" s="57" t="s">
        <v>39</v>
      </c>
      <c r="AR67" s="57" t="s">
        <v>39</v>
      </c>
      <c r="AS67" s="57" t="s">
        <v>39</v>
      </c>
      <c r="AT67" s="57" t="s">
        <v>39</v>
      </c>
      <c r="AU67" s="57"/>
      <c r="AV67" s="57"/>
      <c r="AW67" s="57"/>
      <c r="AX67" s="57"/>
      <c r="AY67" s="57" t="s">
        <v>37</v>
      </c>
      <c r="AZ67" s="122" t="s">
        <v>37</v>
      </c>
    </row>
    <row r="68" spans="1:52" s="4" customFormat="1" ht="48" customHeight="1">
      <c r="A68" s="82" t="s">
        <v>292</v>
      </c>
      <c r="B68" s="47" t="s">
        <v>293</v>
      </c>
      <c r="C68" s="55" t="s">
        <v>294</v>
      </c>
      <c r="D68" s="56" t="s">
        <v>36</v>
      </c>
      <c r="E68" s="57" t="s">
        <v>36</v>
      </c>
      <c r="F68" s="57" t="s">
        <v>36</v>
      </c>
      <c r="G68" s="57" t="s">
        <v>36</v>
      </c>
      <c r="H68" s="57" t="s">
        <v>36</v>
      </c>
      <c r="I68" s="57" t="s">
        <v>36</v>
      </c>
      <c r="J68" s="57" t="s">
        <v>36</v>
      </c>
      <c r="K68" s="57" t="s">
        <v>36</v>
      </c>
      <c r="L68" s="57" t="s">
        <v>36</v>
      </c>
      <c r="M68" s="57" t="s">
        <v>36</v>
      </c>
      <c r="N68" s="57" t="s">
        <v>36</v>
      </c>
      <c r="O68" s="57" t="s">
        <v>36</v>
      </c>
      <c r="P68" s="58" t="s">
        <v>36</v>
      </c>
      <c r="Q68" s="56" t="s">
        <v>36</v>
      </c>
      <c r="R68" s="57" t="s">
        <v>36</v>
      </c>
      <c r="S68" s="57" t="s">
        <v>36</v>
      </c>
      <c r="T68" s="57" t="s">
        <v>36</v>
      </c>
      <c r="U68" s="57" t="s">
        <v>36</v>
      </c>
      <c r="V68" s="58" t="s">
        <v>36</v>
      </c>
      <c r="W68" s="59" t="s">
        <v>36</v>
      </c>
      <c r="X68" s="57" t="s">
        <v>36</v>
      </c>
      <c r="Y68" s="57" t="s">
        <v>36</v>
      </c>
      <c r="Z68" s="57" t="s">
        <v>37</v>
      </c>
      <c r="AA68" s="57" t="s">
        <v>36</v>
      </c>
      <c r="AB68" s="57" t="s">
        <v>38</v>
      </c>
      <c r="AC68" s="57" t="s">
        <v>39</v>
      </c>
      <c r="AD68" s="57" t="s">
        <v>39</v>
      </c>
      <c r="AE68" s="57" t="s">
        <v>40</v>
      </c>
      <c r="AF68" s="57" t="s">
        <v>37</v>
      </c>
      <c r="AG68" s="56" t="s">
        <v>37</v>
      </c>
      <c r="AH68" s="57" t="s">
        <v>36</v>
      </c>
      <c r="AI68" s="57" t="s">
        <v>36</v>
      </c>
      <c r="AJ68" s="57" t="s">
        <v>36</v>
      </c>
      <c r="AK68" s="57" t="s">
        <v>36</v>
      </c>
      <c r="AL68" s="57" t="s">
        <v>39</v>
      </c>
      <c r="AM68" s="57" t="s">
        <v>36</v>
      </c>
      <c r="AN68" s="57" t="s">
        <v>40</v>
      </c>
      <c r="AO68" s="57" t="s">
        <v>37</v>
      </c>
      <c r="AP68" s="58" t="s">
        <v>37</v>
      </c>
      <c r="AQ68" s="57" t="s">
        <v>37</v>
      </c>
      <c r="AR68" s="57" t="s">
        <v>37</v>
      </c>
      <c r="AS68" s="57" t="s">
        <v>37</v>
      </c>
      <c r="AT68" s="57" t="s">
        <v>37</v>
      </c>
      <c r="AU68" s="57"/>
      <c r="AV68" s="57"/>
      <c r="AW68" s="57"/>
      <c r="AX68" s="57"/>
      <c r="AY68" s="57" t="s">
        <v>37</v>
      </c>
      <c r="AZ68" s="122" t="s">
        <v>37</v>
      </c>
    </row>
    <row r="69" spans="1:52" s="4" customFormat="1" ht="53.1" customHeight="1">
      <c r="A69" s="82" t="s">
        <v>295</v>
      </c>
      <c r="B69" s="179" t="s">
        <v>296</v>
      </c>
      <c r="C69" s="55" t="s">
        <v>297</v>
      </c>
      <c r="D69" s="56" t="s">
        <v>36</v>
      </c>
      <c r="E69" s="57" t="s">
        <v>36</v>
      </c>
      <c r="F69" s="57" t="s">
        <v>36</v>
      </c>
      <c r="G69" s="57" t="s">
        <v>36</v>
      </c>
      <c r="H69" s="57" t="s">
        <v>36</v>
      </c>
      <c r="I69" s="57" t="s">
        <v>36</v>
      </c>
      <c r="J69" s="57" t="s">
        <v>36</v>
      </c>
      <c r="K69" s="57" t="s">
        <v>36</v>
      </c>
      <c r="L69" s="57" t="s">
        <v>36</v>
      </c>
      <c r="M69" s="57" t="s">
        <v>36</v>
      </c>
      <c r="N69" s="57" t="s">
        <v>36</v>
      </c>
      <c r="O69" s="57" t="s">
        <v>36</v>
      </c>
      <c r="P69" s="58" t="s">
        <v>36</v>
      </c>
      <c r="Q69" s="56" t="s">
        <v>36</v>
      </c>
      <c r="R69" s="57" t="s">
        <v>36</v>
      </c>
      <c r="S69" s="57" t="s">
        <v>36</v>
      </c>
      <c r="T69" s="57" t="s">
        <v>36</v>
      </c>
      <c r="U69" s="57" t="s">
        <v>36</v>
      </c>
      <c r="V69" s="58" t="s">
        <v>36</v>
      </c>
      <c r="W69" s="59" t="s">
        <v>36</v>
      </c>
      <c r="X69" s="57" t="s">
        <v>36</v>
      </c>
      <c r="Y69" s="57" t="s">
        <v>36</v>
      </c>
      <c r="Z69" s="57" t="s">
        <v>37</v>
      </c>
      <c r="AA69" s="57" t="s">
        <v>36</v>
      </c>
      <c r="AB69" s="57" t="s">
        <v>39</v>
      </c>
      <c r="AC69" s="57" t="s">
        <v>39</v>
      </c>
      <c r="AD69" s="57" t="s">
        <v>40</v>
      </c>
      <c r="AE69" s="57" t="s">
        <v>40</v>
      </c>
      <c r="AF69" s="57" t="s">
        <v>37</v>
      </c>
      <c r="AG69" s="56" t="s">
        <v>37</v>
      </c>
      <c r="AH69" s="57" t="s">
        <v>36</v>
      </c>
      <c r="AI69" s="57" t="s">
        <v>36</v>
      </c>
      <c r="AJ69" s="57" t="s">
        <v>36</v>
      </c>
      <c r="AK69" s="57" t="s">
        <v>36</v>
      </c>
      <c r="AL69" s="57" t="s">
        <v>39</v>
      </c>
      <c r="AM69" s="57" t="s">
        <v>36</v>
      </c>
      <c r="AN69" s="57" t="s">
        <v>40</v>
      </c>
      <c r="AO69" s="57" t="s">
        <v>37</v>
      </c>
      <c r="AP69" s="58" t="s">
        <v>37</v>
      </c>
      <c r="AQ69" s="57" t="s">
        <v>37</v>
      </c>
      <c r="AR69" s="57" t="s">
        <v>37</v>
      </c>
      <c r="AS69" s="57" t="s">
        <v>37</v>
      </c>
      <c r="AT69" s="57" t="s">
        <v>37</v>
      </c>
      <c r="AU69" s="57" t="s">
        <v>38</v>
      </c>
      <c r="AV69" s="57" t="s">
        <v>38</v>
      </c>
      <c r="AW69" s="57" t="s">
        <v>38</v>
      </c>
      <c r="AX69" s="57" t="s">
        <v>38</v>
      </c>
      <c r="AY69" s="57" t="s">
        <v>38</v>
      </c>
      <c r="AZ69" s="122" t="s">
        <v>38</v>
      </c>
    </row>
    <row r="70" spans="1:52" s="4" customFormat="1" ht="51.6" customHeight="1">
      <c r="A70" s="82" t="s">
        <v>298</v>
      </c>
      <c r="B70" s="180" t="s">
        <v>299</v>
      </c>
      <c r="C70" s="55" t="s">
        <v>300</v>
      </c>
      <c r="D70" s="56" t="s">
        <v>36</v>
      </c>
      <c r="E70" s="57" t="s">
        <v>36</v>
      </c>
      <c r="F70" s="57" t="s">
        <v>36</v>
      </c>
      <c r="G70" s="57" t="s">
        <v>36</v>
      </c>
      <c r="H70" s="57" t="s">
        <v>36</v>
      </c>
      <c r="I70" s="57" t="s">
        <v>36</v>
      </c>
      <c r="J70" s="57" t="s">
        <v>36</v>
      </c>
      <c r="K70" s="57" t="s">
        <v>36</v>
      </c>
      <c r="L70" s="57" t="s">
        <v>36</v>
      </c>
      <c r="M70" s="57" t="s">
        <v>36</v>
      </c>
      <c r="N70" s="57" t="s">
        <v>36</v>
      </c>
      <c r="O70" s="57" t="s">
        <v>36</v>
      </c>
      <c r="P70" s="58" t="s">
        <v>36</v>
      </c>
      <c r="Q70" s="56" t="s">
        <v>38</v>
      </c>
      <c r="R70" s="57" t="s">
        <v>38</v>
      </c>
      <c r="S70" s="57" t="s">
        <v>38</v>
      </c>
      <c r="T70" s="57" t="s">
        <v>38</v>
      </c>
      <c r="U70" s="57" t="s">
        <v>38</v>
      </c>
      <c r="V70" s="58" t="s">
        <v>38</v>
      </c>
      <c r="W70" s="59" t="s">
        <v>38</v>
      </c>
      <c r="X70" s="57" t="s">
        <v>38</v>
      </c>
      <c r="Y70" s="57" t="s">
        <v>38</v>
      </c>
      <c r="Z70" s="57" t="s">
        <v>38</v>
      </c>
      <c r="AA70" s="57" t="s">
        <v>36</v>
      </c>
      <c r="AB70" s="57" t="s">
        <v>37</v>
      </c>
      <c r="AC70" s="57" t="s">
        <v>37</v>
      </c>
      <c r="AD70" s="57" t="s">
        <v>38</v>
      </c>
      <c r="AE70" s="57" t="s">
        <v>38</v>
      </c>
      <c r="AF70" s="57" t="s">
        <v>39</v>
      </c>
      <c r="AG70" s="56" t="s">
        <v>38</v>
      </c>
      <c r="AH70" s="57" t="s">
        <v>38</v>
      </c>
      <c r="AI70" s="57" t="s">
        <v>36</v>
      </c>
      <c r="AJ70" s="57" t="s">
        <v>36</v>
      </c>
      <c r="AK70" s="57" t="s">
        <v>36</v>
      </c>
      <c r="AL70" s="57" t="s">
        <v>38</v>
      </c>
      <c r="AM70" s="57" t="s">
        <v>38</v>
      </c>
      <c r="AN70" s="57" t="s">
        <v>38</v>
      </c>
      <c r="AO70" s="57" t="s">
        <v>38</v>
      </c>
      <c r="AP70" s="58" t="s">
        <v>39</v>
      </c>
      <c r="AQ70" s="57" t="s">
        <v>39</v>
      </c>
      <c r="AR70" s="57" t="s">
        <v>39</v>
      </c>
      <c r="AS70" s="57" t="s">
        <v>39</v>
      </c>
      <c r="AT70" s="57" t="s">
        <v>39</v>
      </c>
      <c r="AU70" s="57"/>
      <c r="AV70" s="57"/>
      <c r="AW70" s="57"/>
      <c r="AX70" s="57"/>
      <c r="AY70" s="57" t="s">
        <v>40</v>
      </c>
      <c r="AZ70" s="122" t="s">
        <v>40</v>
      </c>
    </row>
    <row r="71" spans="1:52" s="4" customFormat="1" ht="58.5" customHeight="1">
      <c r="A71" s="82" t="s">
        <v>301</v>
      </c>
      <c r="B71" s="179" t="s">
        <v>302</v>
      </c>
      <c r="C71" s="55" t="s">
        <v>303</v>
      </c>
      <c r="D71" s="56" t="s">
        <v>36</v>
      </c>
      <c r="E71" s="57" t="s">
        <v>36</v>
      </c>
      <c r="F71" s="57" t="s">
        <v>36</v>
      </c>
      <c r="G71" s="57" t="s">
        <v>36</v>
      </c>
      <c r="H71" s="57" t="s">
        <v>36</v>
      </c>
      <c r="I71" s="57" t="s">
        <v>36</v>
      </c>
      <c r="J71" s="57" t="s">
        <v>36</v>
      </c>
      <c r="K71" s="57" t="s">
        <v>36</v>
      </c>
      <c r="L71" s="57" t="s">
        <v>36</v>
      </c>
      <c r="M71" s="57" t="s">
        <v>36</v>
      </c>
      <c r="N71" s="57" t="s">
        <v>36</v>
      </c>
      <c r="O71" s="57" t="s">
        <v>36</v>
      </c>
      <c r="P71" s="58" t="s">
        <v>36</v>
      </c>
      <c r="Q71" s="56" t="s">
        <v>36</v>
      </c>
      <c r="R71" s="57" t="s">
        <v>36</v>
      </c>
      <c r="S71" s="57" t="s">
        <v>36</v>
      </c>
      <c r="T71" s="57" t="s">
        <v>36</v>
      </c>
      <c r="U71" s="57" t="s">
        <v>36</v>
      </c>
      <c r="V71" s="58" t="s">
        <v>36</v>
      </c>
      <c r="W71" s="59" t="s">
        <v>36</v>
      </c>
      <c r="X71" s="57" t="s">
        <v>36</v>
      </c>
      <c r="Y71" s="57" t="s">
        <v>36</v>
      </c>
      <c r="Z71" s="57" t="s">
        <v>37</v>
      </c>
      <c r="AA71" s="57" t="s">
        <v>37</v>
      </c>
      <c r="AB71" s="57" t="s">
        <v>38</v>
      </c>
      <c r="AC71" s="57" t="s">
        <v>39</v>
      </c>
      <c r="AD71" s="57" t="s">
        <v>40</v>
      </c>
      <c r="AE71" s="57" t="s">
        <v>40</v>
      </c>
      <c r="AF71" s="57" t="s">
        <v>40</v>
      </c>
      <c r="AG71" s="56" t="s">
        <v>38</v>
      </c>
      <c r="AH71" s="57" t="s">
        <v>36</v>
      </c>
      <c r="AI71" s="57" t="s">
        <v>36</v>
      </c>
      <c r="AJ71" s="57" t="s">
        <v>36</v>
      </c>
      <c r="AK71" s="57" t="s">
        <v>36</v>
      </c>
      <c r="AL71" s="57" t="s">
        <v>39</v>
      </c>
      <c r="AM71" s="57" t="s">
        <v>36</v>
      </c>
      <c r="AN71" s="57" t="s">
        <v>40</v>
      </c>
      <c r="AO71" s="57" t="s">
        <v>38</v>
      </c>
      <c r="AP71" s="58" t="s">
        <v>40</v>
      </c>
      <c r="AQ71" s="57" t="s">
        <v>40</v>
      </c>
      <c r="AR71" s="57" t="s">
        <v>40</v>
      </c>
      <c r="AS71" s="57" t="s">
        <v>40</v>
      </c>
      <c r="AT71" s="57" t="s">
        <v>40</v>
      </c>
      <c r="AU71" s="57"/>
      <c r="AV71" s="57"/>
      <c r="AW71" s="57"/>
      <c r="AX71" s="57"/>
      <c r="AY71" s="57"/>
      <c r="AZ71" s="122"/>
    </row>
    <row r="72" spans="1:52" s="4" customFormat="1" ht="67.5" customHeight="1">
      <c r="A72" s="82" t="s">
        <v>304</v>
      </c>
      <c r="B72" s="179" t="s">
        <v>305</v>
      </c>
      <c r="C72" s="55" t="s">
        <v>306</v>
      </c>
      <c r="D72" s="56" t="s">
        <v>36</v>
      </c>
      <c r="E72" s="57" t="s">
        <v>36</v>
      </c>
      <c r="F72" s="57" t="s">
        <v>36</v>
      </c>
      <c r="G72" s="57" t="s">
        <v>36</v>
      </c>
      <c r="H72" s="57" t="s">
        <v>36</v>
      </c>
      <c r="I72" s="57" t="s">
        <v>36</v>
      </c>
      <c r="J72" s="57" t="s">
        <v>36</v>
      </c>
      <c r="K72" s="57" t="s">
        <v>36</v>
      </c>
      <c r="L72" s="57" t="s">
        <v>36</v>
      </c>
      <c r="M72" s="57" t="s">
        <v>36</v>
      </c>
      <c r="N72" s="57" t="s">
        <v>36</v>
      </c>
      <c r="O72" s="57" t="s">
        <v>36</v>
      </c>
      <c r="P72" s="58" t="s">
        <v>36</v>
      </c>
      <c r="Q72" s="56" t="s">
        <v>36</v>
      </c>
      <c r="R72" s="57" t="s">
        <v>36</v>
      </c>
      <c r="S72" s="57" t="s">
        <v>36</v>
      </c>
      <c r="T72" s="57" t="s">
        <v>36</v>
      </c>
      <c r="U72" s="57" t="s">
        <v>36</v>
      </c>
      <c r="V72" s="58" t="s">
        <v>36</v>
      </c>
      <c r="W72" s="59" t="s">
        <v>38</v>
      </c>
      <c r="X72" s="57" t="s">
        <v>38</v>
      </c>
      <c r="Y72" s="57" t="s">
        <v>38</v>
      </c>
      <c r="Z72" s="57" t="s">
        <v>38</v>
      </c>
      <c r="AA72" s="57" t="s">
        <v>37</v>
      </c>
      <c r="AB72" s="57" t="s">
        <v>38</v>
      </c>
      <c r="AC72" s="57" t="s">
        <v>39</v>
      </c>
      <c r="AD72" s="57" t="s">
        <v>40</v>
      </c>
      <c r="AE72" s="57" t="s">
        <v>40</v>
      </c>
      <c r="AF72" s="57" t="s">
        <v>40</v>
      </c>
      <c r="AG72" s="56" t="s">
        <v>38</v>
      </c>
      <c r="AH72" s="57" t="s">
        <v>36</v>
      </c>
      <c r="AI72" s="57" t="s">
        <v>36</v>
      </c>
      <c r="AJ72" s="57" t="s">
        <v>36</v>
      </c>
      <c r="AK72" s="57" t="s">
        <v>36</v>
      </c>
      <c r="AL72" s="57" t="s">
        <v>39</v>
      </c>
      <c r="AM72" s="57" t="s">
        <v>36</v>
      </c>
      <c r="AN72" s="57" t="s">
        <v>40</v>
      </c>
      <c r="AO72" s="57" t="s">
        <v>38</v>
      </c>
      <c r="AP72" s="58" t="s">
        <v>40</v>
      </c>
      <c r="AQ72" s="57" t="s">
        <v>40</v>
      </c>
      <c r="AR72" s="57" t="s">
        <v>40</v>
      </c>
      <c r="AS72" s="57" t="s">
        <v>40</v>
      </c>
      <c r="AT72" s="57" t="s">
        <v>40</v>
      </c>
      <c r="AU72" s="57"/>
      <c r="AV72" s="57"/>
      <c r="AW72" s="57"/>
      <c r="AX72" s="57"/>
      <c r="AY72" s="57"/>
      <c r="AZ72" s="122"/>
    </row>
    <row r="73" spans="1:52" s="4" customFormat="1" ht="54" customHeight="1">
      <c r="A73" s="82" t="s">
        <v>307</v>
      </c>
      <c r="B73" s="179" t="s">
        <v>308</v>
      </c>
      <c r="C73" s="55" t="s">
        <v>309</v>
      </c>
      <c r="D73" s="56" t="s">
        <v>36</v>
      </c>
      <c r="E73" s="57" t="s">
        <v>36</v>
      </c>
      <c r="F73" s="57" t="s">
        <v>36</v>
      </c>
      <c r="G73" s="57" t="s">
        <v>36</v>
      </c>
      <c r="H73" s="57" t="s">
        <v>36</v>
      </c>
      <c r="I73" s="57" t="s">
        <v>36</v>
      </c>
      <c r="J73" s="57" t="s">
        <v>36</v>
      </c>
      <c r="K73" s="57" t="s">
        <v>36</v>
      </c>
      <c r="L73" s="57" t="s">
        <v>36</v>
      </c>
      <c r="M73" s="57" t="s">
        <v>36</v>
      </c>
      <c r="N73" s="57" t="s">
        <v>36</v>
      </c>
      <c r="O73" s="57" t="s">
        <v>36</v>
      </c>
      <c r="P73" s="58" t="s">
        <v>36</v>
      </c>
      <c r="Q73" s="56" t="s">
        <v>36</v>
      </c>
      <c r="R73" s="57" t="s">
        <v>36</v>
      </c>
      <c r="S73" s="57" t="s">
        <v>36</v>
      </c>
      <c r="T73" s="57" t="s">
        <v>36</v>
      </c>
      <c r="U73" s="57" t="s">
        <v>36</v>
      </c>
      <c r="V73" s="58" t="s">
        <v>36</v>
      </c>
      <c r="W73" s="59" t="s">
        <v>36</v>
      </c>
      <c r="X73" s="57" t="s">
        <v>36</v>
      </c>
      <c r="Y73" s="57" t="s">
        <v>36</v>
      </c>
      <c r="Z73" s="57" t="s">
        <v>37</v>
      </c>
      <c r="AA73" s="57" t="s">
        <v>37</v>
      </c>
      <c r="AB73" s="57" t="s">
        <v>37</v>
      </c>
      <c r="AC73" s="57" t="s">
        <v>37</v>
      </c>
      <c r="AD73" s="57" t="s">
        <v>37</v>
      </c>
      <c r="AE73" s="57" t="s">
        <v>37</v>
      </c>
      <c r="AF73" s="57" t="s">
        <v>40</v>
      </c>
      <c r="AG73" s="56" t="s">
        <v>38</v>
      </c>
      <c r="AH73" s="57" t="s">
        <v>36</v>
      </c>
      <c r="AI73" s="57" t="s">
        <v>36</v>
      </c>
      <c r="AJ73" s="57" t="s">
        <v>36</v>
      </c>
      <c r="AK73" s="57" t="s">
        <v>36</v>
      </c>
      <c r="AL73" s="57" t="s">
        <v>37</v>
      </c>
      <c r="AM73" s="57" t="s">
        <v>37</v>
      </c>
      <c r="AN73" s="57" t="s">
        <v>37</v>
      </c>
      <c r="AO73" s="57" t="s">
        <v>38</v>
      </c>
      <c r="AP73" s="58" t="s">
        <v>40</v>
      </c>
      <c r="AQ73" s="57" t="s">
        <v>40</v>
      </c>
      <c r="AR73" s="57" t="s">
        <v>40</v>
      </c>
      <c r="AS73" s="57" t="s">
        <v>40</v>
      </c>
      <c r="AT73" s="57" t="s">
        <v>40</v>
      </c>
      <c r="AU73" s="57"/>
      <c r="AV73" s="57"/>
      <c r="AW73" s="57"/>
      <c r="AX73" s="57"/>
      <c r="AY73" s="57"/>
      <c r="AZ73" s="122"/>
    </row>
    <row r="74" spans="1:52" s="4" customFormat="1" ht="54" customHeight="1">
      <c r="A74" s="82" t="s">
        <v>310</v>
      </c>
      <c r="B74" s="179" t="s">
        <v>311</v>
      </c>
      <c r="C74" s="55" t="s">
        <v>312</v>
      </c>
      <c r="D74" s="56" t="s">
        <v>36</v>
      </c>
      <c r="E74" s="57" t="s">
        <v>36</v>
      </c>
      <c r="F74" s="57" t="s">
        <v>36</v>
      </c>
      <c r="G74" s="57" t="s">
        <v>36</v>
      </c>
      <c r="H74" s="57" t="s">
        <v>36</v>
      </c>
      <c r="I74" s="57" t="s">
        <v>36</v>
      </c>
      <c r="J74" s="57" t="s">
        <v>36</v>
      </c>
      <c r="K74" s="57" t="s">
        <v>36</v>
      </c>
      <c r="L74" s="57" t="s">
        <v>36</v>
      </c>
      <c r="M74" s="57" t="s">
        <v>36</v>
      </c>
      <c r="N74" s="57" t="s">
        <v>36</v>
      </c>
      <c r="O74" s="57" t="s">
        <v>36</v>
      </c>
      <c r="P74" s="58" t="s">
        <v>36</v>
      </c>
      <c r="Q74" s="56" t="s">
        <v>36</v>
      </c>
      <c r="R74" s="57" t="s">
        <v>36</v>
      </c>
      <c r="S74" s="57" t="s">
        <v>36</v>
      </c>
      <c r="T74" s="57" t="s">
        <v>36</v>
      </c>
      <c r="U74" s="57" t="s">
        <v>36</v>
      </c>
      <c r="V74" s="58" t="s">
        <v>36</v>
      </c>
      <c r="W74" s="59" t="s">
        <v>36</v>
      </c>
      <c r="X74" s="57" t="s">
        <v>36</v>
      </c>
      <c r="Y74" s="57" t="s">
        <v>36</v>
      </c>
      <c r="Z74" s="57" t="s">
        <v>37</v>
      </c>
      <c r="AA74" s="57" t="s">
        <v>37</v>
      </c>
      <c r="AB74" s="57" t="s">
        <v>37</v>
      </c>
      <c r="AC74" s="57" t="s">
        <v>37</v>
      </c>
      <c r="AD74" s="57" t="s">
        <v>37</v>
      </c>
      <c r="AE74" s="57" t="s">
        <v>37</v>
      </c>
      <c r="AF74" s="57" t="s">
        <v>39</v>
      </c>
      <c r="AG74" s="56" t="s">
        <v>38</v>
      </c>
      <c r="AH74" s="57" t="s">
        <v>36</v>
      </c>
      <c r="AI74" s="57" t="s">
        <v>36</v>
      </c>
      <c r="AJ74" s="57" t="s">
        <v>36</v>
      </c>
      <c r="AK74" s="57" t="s">
        <v>36</v>
      </c>
      <c r="AL74" s="57" t="s">
        <v>37</v>
      </c>
      <c r="AM74" s="57" t="s">
        <v>37</v>
      </c>
      <c r="AN74" s="57" t="s">
        <v>37</v>
      </c>
      <c r="AO74" s="57" t="s">
        <v>38</v>
      </c>
      <c r="AP74" s="58" t="s">
        <v>39</v>
      </c>
      <c r="AQ74" s="57" t="s">
        <v>39</v>
      </c>
      <c r="AR74" s="57" t="s">
        <v>39</v>
      </c>
      <c r="AS74" s="57" t="s">
        <v>39</v>
      </c>
      <c r="AT74" s="57" t="s">
        <v>39</v>
      </c>
      <c r="AU74" s="57" t="s">
        <v>38</v>
      </c>
      <c r="AV74" s="57" t="s">
        <v>38</v>
      </c>
      <c r="AW74" s="57" t="s">
        <v>38</v>
      </c>
      <c r="AX74" s="57" t="s">
        <v>38</v>
      </c>
      <c r="AY74" s="57" t="s">
        <v>38</v>
      </c>
      <c r="AZ74" s="122" t="s">
        <v>38</v>
      </c>
    </row>
    <row r="75" spans="1:52" s="4" customFormat="1" ht="50.1" customHeight="1">
      <c r="A75" s="82" t="s">
        <v>313</v>
      </c>
      <c r="B75" s="179" t="s">
        <v>314</v>
      </c>
      <c r="C75" s="55" t="s">
        <v>315</v>
      </c>
      <c r="D75" s="56" t="s">
        <v>37</v>
      </c>
      <c r="E75" s="57" t="s">
        <v>38</v>
      </c>
      <c r="F75" s="57" t="s">
        <v>39</v>
      </c>
      <c r="G75" s="57" t="s">
        <v>39</v>
      </c>
      <c r="H75" s="57" t="s">
        <v>39</v>
      </c>
      <c r="I75" s="57" t="s">
        <v>39</v>
      </c>
      <c r="J75" s="57" t="s">
        <v>39</v>
      </c>
      <c r="K75" s="57" t="s">
        <v>38</v>
      </c>
      <c r="L75" s="57" t="s">
        <v>38</v>
      </c>
      <c r="M75" s="57" t="s">
        <v>38</v>
      </c>
      <c r="N75" s="57" t="s">
        <v>38</v>
      </c>
      <c r="O75" s="57" t="s">
        <v>38</v>
      </c>
      <c r="P75" s="58" t="s">
        <v>38</v>
      </c>
      <c r="Q75" s="56" t="s">
        <v>38</v>
      </c>
      <c r="R75" s="57" t="s">
        <v>38</v>
      </c>
      <c r="S75" s="57" t="s">
        <v>38</v>
      </c>
      <c r="T75" s="57" t="s">
        <v>38</v>
      </c>
      <c r="U75" s="57" t="s">
        <v>38</v>
      </c>
      <c r="V75" s="58" t="s">
        <v>38</v>
      </c>
      <c r="W75" s="59" t="s">
        <v>38</v>
      </c>
      <c r="X75" s="57" t="s">
        <v>38</v>
      </c>
      <c r="Y75" s="57" t="s">
        <v>38</v>
      </c>
      <c r="Z75" s="57" t="s">
        <v>39</v>
      </c>
      <c r="AA75" s="57" t="s">
        <v>37</v>
      </c>
      <c r="AB75" s="57" t="s">
        <v>37</v>
      </c>
      <c r="AC75" s="57" t="s">
        <v>37</v>
      </c>
      <c r="AD75" s="57" t="s">
        <v>37</v>
      </c>
      <c r="AE75" s="57" t="s">
        <v>37</v>
      </c>
      <c r="AF75" s="57" t="s">
        <v>38</v>
      </c>
      <c r="AG75" s="56" t="s">
        <v>38</v>
      </c>
      <c r="AH75" s="57" t="s">
        <v>38</v>
      </c>
      <c r="AI75" s="57" t="s">
        <v>37</v>
      </c>
      <c r="AJ75" s="57" t="s">
        <v>37</v>
      </c>
      <c r="AK75" s="57" t="s">
        <v>37</v>
      </c>
      <c r="AL75" s="57" t="s">
        <v>37</v>
      </c>
      <c r="AM75" s="57" t="s">
        <v>37</v>
      </c>
      <c r="AN75" s="57" t="s">
        <v>37</v>
      </c>
      <c r="AO75" s="57" t="s">
        <v>38</v>
      </c>
      <c r="AP75" s="58" t="s">
        <v>38</v>
      </c>
      <c r="AQ75" s="57" t="s">
        <v>40</v>
      </c>
      <c r="AR75" s="57" t="s">
        <v>40</v>
      </c>
      <c r="AS75" s="57" t="s">
        <v>40</v>
      </c>
      <c r="AT75" s="57" t="s">
        <v>40</v>
      </c>
      <c r="AU75" s="57" t="s">
        <v>38</v>
      </c>
      <c r="AV75" s="57" t="s">
        <v>38</v>
      </c>
      <c r="AW75" s="57" t="s">
        <v>38</v>
      </c>
      <c r="AX75" s="57"/>
      <c r="AY75" s="57" t="s">
        <v>39</v>
      </c>
      <c r="AZ75" s="122" t="s">
        <v>39</v>
      </c>
    </row>
    <row r="76" spans="1:52" s="4" customFormat="1" ht="40.5">
      <c r="A76" s="82" t="s">
        <v>316</v>
      </c>
      <c r="B76" s="179" t="s">
        <v>317</v>
      </c>
      <c r="C76" s="55" t="s">
        <v>318</v>
      </c>
      <c r="D76" s="56" t="s">
        <v>38</v>
      </c>
      <c r="E76" s="57" t="s">
        <v>38</v>
      </c>
      <c r="F76" s="57" t="s">
        <v>38</v>
      </c>
      <c r="G76" s="57" t="s">
        <v>38</v>
      </c>
      <c r="H76" s="57" t="s">
        <v>38</v>
      </c>
      <c r="I76" s="57" t="s">
        <v>39</v>
      </c>
      <c r="J76" s="57" t="s">
        <v>38</v>
      </c>
      <c r="K76" s="57" t="s">
        <v>38</v>
      </c>
      <c r="L76" s="57" t="s">
        <v>38</v>
      </c>
      <c r="M76" s="57" t="s">
        <v>38</v>
      </c>
      <c r="N76" s="57" t="s">
        <v>38</v>
      </c>
      <c r="O76" s="57" t="s">
        <v>38</v>
      </c>
      <c r="P76" s="58" t="s">
        <v>38</v>
      </c>
      <c r="Q76" s="56" t="s">
        <v>37</v>
      </c>
      <c r="R76" s="57" t="s">
        <v>38</v>
      </c>
      <c r="S76" s="57" t="s">
        <v>38</v>
      </c>
      <c r="T76" s="57" t="s">
        <v>38</v>
      </c>
      <c r="U76" s="57" t="s">
        <v>38</v>
      </c>
      <c r="V76" s="58" t="s">
        <v>38</v>
      </c>
      <c r="W76" s="59" t="s">
        <v>38</v>
      </c>
      <c r="X76" s="57" t="s">
        <v>38</v>
      </c>
      <c r="Y76" s="57" t="s">
        <v>38</v>
      </c>
      <c r="Z76" s="57" t="s">
        <v>39</v>
      </c>
      <c r="AA76" s="57" t="s">
        <v>37</v>
      </c>
      <c r="AB76" s="57" t="s">
        <v>38</v>
      </c>
      <c r="AC76" s="57" t="s">
        <v>39</v>
      </c>
      <c r="AD76" s="57" t="s">
        <v>39</v>
      </c>
      <c r="AE76" s="57" t="s">
        <v>39</v>
      </c>
      <c r="AF76" s="57" t="s">
        <v>39</v>
      </c>
      <c r="AG76" s="56" t="s">
        <v>39</v>
      </c>
      <c r="AH76" s="57" t="s">
        <v>38</v>
      </c>
      <c r="AI76" s="57" t="s">
        <v>38</v>
      </c>
      <c r="AJ76" s="57" t="s">
        <v>38</v>
      </c>
      <c r="AK76" s="57" t="s">
        <v>38</v>
      </c>
      <c r="AL76" s="57" t="s">
        <v>39</v>
      </c>
      <c r="AM76" s="57" t="s">
        <v>38</v>
      </c>
      <c r="AN76" s="57" t="s">
        <v>39</v>
      </c>
      <c r="AO76" s="57" t="s">
        <v>39</v>
      </c>
      <c r="AP76" s="58" t="s">
        <v>39</v>
      </c>
      <c r="AQ76" s="57" t="s">
        <v>39</v>
      </c>
      <c r="AR76" s="57" t="s">
        <v>39</v>
      </c>
      <c r="AS76" s="57" t="s">
        <v>39</v>
      </c>
      <c r="AT76" s="57" t="s">
        <v>39</v>
      </c>
      <c r="AU76" s="57"/>
      <c r="AV76" s="57"/>
      <c r="AW76" s="57"/>
      <c r="AX76" s="57"/>
      <c r="AY76" s="57"/>
      <c r="AZ76" s="122"/>
    </row>
    <row r="77" spans="1:52" s="4" customFormat="1" ht="40.5">
      <c r="A77" s="82" t="s">
        <v>319</v>
      </c>
      <c r="B77" s="47" t="s">
        <v>320</v>
      </c>
      <c r="C77" s="55" t="s">
        <v>321</v>
      </c>
      <c r="D77" s="56" t="s">
        <v>36</v>
      </c>
      <c r="E77" s="57" t="s">
        <v>36</v>
      </c>
      <c r="F77" s="57" t="s">
        <v>36</v>
      </c>
      <c r="G77" s="57" t="s">
        <v>36</v>
      </c>
      <c r="H77" s="57" t="s">
        <v>36</v>
      </c>
      <c r="I77" s="57" t="s">
        <v>36</v>
      </c>
      <c r="J77" s="57" t="s">
        <v>36</v>
      </c>
      <c r="K77" s="57" t="s">
        <v>36</v>
      </c>
      <c r="L77" s="57" t="s">
        <v>36</v>
      </c>
      <c r="M77" s="57" t="s">
        <v>36</v>
      </c>
      <c r="N77" s="57" t="s">
        <v>36</v>
      </c>
      <c r="O77" s="57" t="s">
        <v>36</v>
      </c>
      <c r="P77" s="58" t="s">
        <v>36</v>
      </c>
      <c r="Q77" s="56" t="s">
        <v>36</v>
      </c>
      <c r="R77" s="57" t="s">
        <v>36</v>
      </c>
      <c r="S77" s="57" t="s">
        <v>39</v>
      </c>
      <c r="T77" s="57" t="s">
        <v>39</v>
      </c>
      <c r="U77" s="57" t="s">
        <v>39</v>
      </c>
      <c r="V77" s="58" t="s">
        <v>39</v>
      </c>
      <c r="W77" s="59" t="s">
        <v>38</v>
      </c>
      <c r="X77" s="57" t="s">
        <v>38</v>
      </c>
      <c r="Y77" s="57" t="s">
        <v>38</v>
      </c>
      <c r="Z77" s="57" t="s">
        <v>38</v>
      </c>
      <c r="AA77" s="57" t="s">
        <v>38</v>
      </c>
      <c r="AB77" s="57" t="s">
        <v>38</v>
      </c>
      <c r="AC77" s="57" t="s">
        <v>38</v>
      </c>
      <c r="AD77" s="57" t="s">
        <v>39</v>
      </c>
      <c r="AE77" s="57" t="s">
        <v>39</v>
      </c>
      <c r="AF77" s="57" t="s">
        <v>40</v>
      </c>
      <c r="AG77" s="56" t="s">
        <v>39</v>
      </c>
      <c r="AH77" s="57" t="s">
        <v>39</v>
      </c>
      <c r="AI77" s="57" t="s">
        <v>36</v>
      </c>
      <c r="AJ77" s="57" t="s">
        <v>36</v>
      </c>
      <c r="AK77" s="57" t="s">
        <v>36</v>
      </c>
      <c r="AL77" s="57" t="s">
        <v>38</v>
      </c>
      <c r="AM77" s="57" t="s">
        <v>38</v>
      </c>
      <c r="AN77" s="57" t="s">
        <v>39</v>
      </c>
      <c r="AO77" s="57" t="s">
        <v>39</v>
      </c>
      <c r="AP77" s="58" t="s">
        <v>40</v>
      </c>
      <c r="AQ77" s="57" t="s">
        <v>40</v>
      </c>
      <c r="AR77" s="57" t="s">
        <v>40</v>
      </c>
      <c r="AS77" s="57" t="s">
        <v>40</v>
      </c>
      <c r="AT77" s="57" t="s">
        <v>40</v>
      </c>
      <c r="AU77" s="57" t="s">
        <v>38</v>
      </c>
      <c r="AV77" s="57" t="s">
        <v>38</v>
      </c>
      <c r="AW77" s="57" t="s">
        <v>38</v>
      </c>
      <c r="AX77" s="57" t="s">
        <v>38</v>
      </c>
      <c r="AY77" s="57" t="s">
        <v>40</v>
      </c>
      <c r="AZ77" s="122" t="s">
        <v>40</v>
      </c>
    </row>
    <row r="78" spans="1:52" s="4" customFormat="1" ht="48.6" customHeight="1">
      <c r="A78" s="82" t="s">
        <v>322</v>
      </c>
      <c r="B78" s="179" t="s">
        <v>323</v>
      </c>
      <c r="C78" s="55" t="s">
        <v>324</v>
      </c>
      <c r="D78" s="56" t="s">
        <v>36</v>
      </c>
      <c r="E78" s="57" t="s">
        <v>36</v>
      </c>
      <c r="F78" s="57" t="s">
        <v>36</v>
      </c>
      <c r="G78" s="57" t="s">
        <v>36</v>
      </c>
      <c r="H78" s="57" t="s">
        <v>36</v>
      </c>
      <c r="I78" s="57" t="s">
        <v>39</v>
      </c>
      <c r="J78" s="57" t="s">
        <v>36</v>
      </c>
      <c r="K78" s="57" t="s">
        <v>36</v>
      </c>
      <c r="L78" s="57" t="s">
        <v>36</v>
      </c>
      <c r="M78" s="57" t="s">
        <v>36</v>
      </c>
      <c r="N78" s="57" t="s">
        <v>36</v>
      </c>
      <c r="O78" s="57" t="s">
        <v>36</v>
      </c>
      <c r="P78" s="58" t="s">
        <v>37</v>
      </c>
      <c r="Q78" s="56" t="s">
        <v>36</v>
      </c>
      <c r="R78" s="57" t="s">
        <v>36</v>
      </c>
      <c r="S78" s="57" t="s">
        <v>39</v>
      </c>
      <c r="T78" s="57" t="s">
        <v>39</v>
      </c>
      <c r="U78" s="57" t="s">
        <v>39</v>
      </c>
      <c r="V78" s="58" t="s">
        <v>39</v>
      </c>
      <c r="W78" s="59" t="s">
        <v>38</v>
      </c>
      <c r="X78" s="57" t="s">
        <v>38</v>
      </c>
      <c r="Y78" s="57" t="s">
        <v>39</v>
      </c>
      <c r="Z78" s="57" t="s">
        <v>39</v>
      </c>
      <c r="AA78" s="57" t="s">
        <v>38</v>
      </c>
      <c r="AB78" s="57" t="s">
        <v>38</v>
      </c>
      <c r="AC78" s="57" t="s">
        <v>38</v>
      </c>
      <c r="AD78" s="57" t="s">
        <v>39</v>
      </c>
      <c r="AE78" s="57" t="s">
        <v>39</v>
      </c>
      <c r="AF78" s="57" t="s">
        <v>40</v>
      </c>
      <c r="AG78" s="56" t="s">
        <v>40</v>
      </c>
      <c r="AH78" s="57" t="s">
        <v>39</v>
      </c>
      <c r="AI78" s="57" t="s">
        <v>36</v>
      </c>
      <c r="AJ78" s="57" t="s">
        <v>36</v>
      </c>
      <c r="AK78" s="57" t="s">
        <v>36</v>
      </c>
      <c r="AL78" s="57" t="s">
        <v>38</v>
      </c>
      <c r="AM78" s="57" t="s">
        <v>38</v>
      </c>
      <c r="AN78" s="57" t="s">
        <v>39</v>
      </c>
      <c r="AO78" s="57" t="s">
        <v>40</v>
      </c>
      <c r="AP78" s="58" t="s">
        <v>40</v>
      </c>
      <c r="AQ78" s="57" t="s">
        <v>40</v>
      </c>
      <c r="AR78" s="57" t="s">
        <v>40</v>
      </c>
      <c r="AS78" s="57" t="s">
        <v>40</v>
      </c>
      <c r="AT78" s="57" t="s">
        <v>40</v>
      </c>
      <c r="AU78" s="57" t="s">
        <v>156</v>
      </c>
      <c r="AV78" s="57" t="s">
        <v>156</v>
      </c>
      <c r="AW78" s="57" t="s">
        <v>156</v>
      </c>
      <c r="AX78" s="57" t="s">
        <v>156</v>
      </c>
      <c r="AY78" s="57" t="s">
        <v>156</v>
      </c>
      <c r="AZ78" s="122" t="s">
        <v>156</v>
      </c>
    </row>
    <row r="79" spans="1:52" s="4" customFormat="1" ht="54.6" customHeight="1">
      <c r="A79" s="46" t="s">
        <v>325</v>
      </c>
      <c r="B79" s="179" t="s">
        <v>326</v>
      </c>
      <c r="C79" s="55" t="s">
        <v>327</v>
      </c>
      <c r="D79" s="56" t="s">
        <v>36</v>
      </c>
      <c r="E79" s="57" t="s">
        <v>36</v>
      </c>
      <c r="F79" s="57" t="s">
        <v>36</v>
      </c>
      <c r="G79" s="57" t="s">
        <v>38</v>
      </c>
      <c r="H79" s="57" t="s">
        <v>36</v>
      </c>
      <c r="I79" s="57" t="s">
        <v>36</v>
      </c>
      <c r="J79" s="57" t="s">
        <v>38</v>
      </c>
      <c r="K79" s="57" t="s">
        <v>36</v>
      </c>
      <c r="L79" s="57" t="s">
        <v>36</v>
      </c>
      <c r="M79" s="57" t="s">
        <v>36</v>
      </c>
      <c r="N79" s="57" t="s">
        <v>38</v>
      </c>
      <c r="O79" s="57" t="s">
        <v>36</v>
      </c>
      <c r="P79" s="58" t="s">
        <v>39</v>
      </c>
      <c r="Q79" s="56" t="s">
        <v>36</v>
      </c>
      <c r="R79" s="57" t="s">
        <v>36</v>
      </c>
      <c r="S79" s="57" t="s">
        <v>36</v>
      </c>
      <c r="T79" s="57" t="s">
        <v>36</v>
      </c>
      <c r="U79" s="57" t="s">
        <v>38</v>
      </c>
      <c r="V79" s="58" t="s">
        <v>38</v>
      </c>
      <c r="W79" s="59" t="s">
        <v>36</v>
      </c>
      <c r="X79" s="57" t="s">
        <v>37</v>
      </c>
      <c r="Y79" s="57" t="s">
        <v>38</v>
      </c>
      <c r="Z79" s="57" t="s">
        <v>38</v>
      </c>
      <c r="AA79" s="57" t="s">
        <v>37</v>
      </c>
      <c r="AB79" s="57" t="s">
        <v>37</v>
      </c>
      <c r="AC79" s="57" t="s">
        <v>37</v>
      </c>
      <c r="AD79" s="57" t="s">
        <v>37</v>
      </c>
      <c r="AE79" s="57" t="s">
        <v>37</v>
      </c>
      <c r="AF79" s="57" t="s">
        <v>39</v>
      </c>
      <c r="AG79" s="56" t="s">
        <v>38</v>
      </c>
      <c r="AH79" s="57" t="s">
        <v>36</v>
      </c>
      <c r="AI79" s="57" t="s">
        <v>156</v>
      </c>
      <c r="AJ79" s="57" t="s">
        <v>36</v>
      </c>
      <c r="AK79" s="57" t="s">
        <v>36</v>
      </c>
      <c r="AL79" s="57" t="s">
        <v>37</v>
      </c>
      <c r="AM79" s="57" t="s">
        <v>37</v>
      </c>
      <c r="AN79" s="57" t="s">
        <v>37</v>
      </c>
      <c r="AO79" s="57" t="s">
        <v>39</v>
      </c>
      <c r="AP79" s="58" t="s">
        <v>39</v>
      </c>
      <c r="AQ79" s="57" t="s">
        <v>39</v>
      </c>
      <c r="AR79" s="57" t="s">
        <v>39</v>
      </c>
      <c r="AS79" s="57" t="s">
        <v>39</v>
      </c>
      <c r="AT79" s="57" t="s">
        <v>39</v>
      </c>
      <c r="AU79" s="57"/>
      <c r="AV79" s="57"/>
      <c r="AW79" s="57"/>
      <c r="AX79" s="57"/>
      <c r="AY79" s="57"/>
      <c r="AZ79" s="57"/>
    </row>
    <row r="80" spans="1:52" s="4" customFormat="1" ht="57" customHeight="1">
      <c r="A80" s="61"/>
      <c r="B80" s="179" t="s">
        <v>328</v>
      </c>
      <c r="C80" s="88" t="s">
        <v>329</v>
      </c>
      <c r="D80" s="56" t="s">
        <v>37</v>
      </c>
      <c r="E80" s="57" t="s">
        <v>38</v>
      </c>
      <c r="F80" s="57" t="s">
        <v>39</v>
      </c>
      <c r="G80" s="57" t="s">
        <v>39</v>
      </c>
      <c r="H80" s="57" t="s">
        <v>39</v>
      </c>
      <c r="I80" s="57" t="s">
        <v>39</v>
      </c>
      <c r="J80" s="57" t="s">
        <v>39</v>
      </c>
      <c r="K80" s="57" t="s">
        <v>37</v>
      </c>
      <c r="L80" s="57" t="s">
        <v>38</v>
      </c>
      <c r="M80" s="57" t="s">
        <v>39</v>
      </c>
      <c r="N80" s="57" t="s">
        <v>39</v>
      </c>
      <c r="O80" s="57" t="s">
        <v>39</v>
      </c>
      <c r="P80" s="58" t="s">
        <v>39</v>
      </c>
      <c r="Q80" s="56" t="s">
        <v>39</v>
      </c>
      <c r="R80" s="57" t="s">
        <v>39</v>
      </c>
      <c r="S80" s="57" t="s">
        <v>39</v>
      </c>
      <c r="T80" s="57" t="s">
        <v>39</v>
      </c>
      <c r="U80" s="57" t="s">
        <v>39</v>
      </c>
      <c r="V80" s="58" t="s">
        <v>39</v>
      </c>
      <c r="W80" s="59" t="s">
        <v>38</v>
      </c>
      <c r="X80" s="57" t="s">
        <v>38</v>
      </c>
      <c r="Y80" s="57" t="s">
        <v>39</v>
      </c>
      <c r="Z80" s="57" t="s">
        <v>38</v>
      </c>
      <c r="AA80" s="57" t="s">
        <v>36</v>
      </c>
      <c r="AB80" s="57" t="s">
        <v>36</v>
      </c>
      <c r="AC80" s="57" t="s">
        <v>36</v>
      </c>
      <c r="AD80" s="57" t="s">
        <v>36</v>
      </c>
      <c r="AE80" s="57" t="s">
        <v>36</v>
      </c>
      <c r="AF80" s="57" t="s">
        <v>39</v>
      </c>
      <c r="AG80" s="57" t="s">
        <v>38</v>
      </c>
      <c r="AH80" s="57" t="s">
        <v>39</v>
      </c>
      <c r="AI80" s="57" t="s">
        <v>37</v>
      </c>
      <c r="AJ80" s="57" t="s">
        <v>37</v>
      </c>
      <c r="AK80" s="57" t="s">
        <v>37</v>
      </c>
      <c r="AL80" s="57" t="s">
        <v>36</v>
      </c>
      <c r="AM80" s="57" t="s">
        <v>36</v>
      </c>
      <c r="AN80" s="57" t="s">
        <v>36</v>
      </c>
      <c r="AO80" s="57" t="s">
        <v>39</v>
      </c>
      <c r="AP80" s="58" t="s">
        <v>39</v>
      </c>
      <c r="AQ80" s="57" t="s">
        <v>38</v>
      </c>
      <c r="AR80" s="57" t="s">
        <v>38</v>
      </c>
      <c r="AS80" s="57" t="s">
        <v>38</v>
      </c>
      <c r="AT80" s="57" t="s">
        <v>38</v>
      </c>
      <c r="AU80" s="57"/>
      <c r="AV80" s="57"/>
      <c r="AW80" s="57"/>
      <c r="AX80" s="57"/>
      <c r="AY80" s="57"/>
      <c r="AZ80" s="57"/>
    </row>
    <row r="81" spans="1:52" s="4" customFormat="1" ht="43.5" customHeight="1" thickBot="1">
      <c r="A81" s="61"/>
      <c r="B81" s="47" t="s">
        <v>330</v>
      </c>
      <c r="C81" s="88" t="s">
        <v>331</v>
      </c>
      <c r="D81" s="56" t="s">
        <v>37</v>
      </c>
      <c r="E81" s="57" t="s">
        <v>37</v>
      </c>
      <c r="F81" s="57" t="s">
        <v>37</v>
      </c>
      <c r="G81" s="57" t="s">
        <v>39</v>
      </c>
      <c r="H81" s="57" t="s">
        <v>39</v>
      </c>
      <c r="I81" s="57" t="s">
        <v>39</v>
      </c>
      <c r="J81" s="57" t="s">
        <v>39</v>
      </c>
      <c r="K81" s="57" t="s">
        <v>37</v>
      </c>
      <c r="L81" s="57" t="s">
        <v>36</v>
      </c>
      <c r="M81" s="57" t="s">
        <v>37</v>
      </c>
      <c r="N81" s="57"/>
      <c r="O81" s="57"/>
      <c r="P81" s="58" t="s">
        <v>38</v>
      </c>
      <c r="Q81" s="56" t="s">
        <v>36</v>
      </c>
      <c r="R81" s="57" t="s">
        <v>36</v>
      </c>
      <c r="S81" s="57" t="s">
        <v>37</v>
      </c>
      <c r="T81" s="57" t="s">
        <v>37</v>
      </c>
      <c r="U81" s="57" t="s">
        <v>37</v>
      </c>
      <c r="V81" s="58" t="s">
        <v>37</v>
      </c>
      <c r="W81" s="59" t="s">
        <v>36</v>
      </c>
      <c r="X81" s="57" t="s">
        <v>36</v>
      </c>
      <c r="Y81" s="57" t="s">
        <v>36</v>
      </c>
      <c r="Z81" s="57" t="s">
        <v>36</v>
      </c>
      <c r="AA81" s="57" t="s">
        <v>36</v>
      </c>
      <c r="AB81" s="57" t="s">
        <v>36</v>
      </c>
      <c r="AC81" s="57" t="s">
        <v>36</v>
      </c>
      <c r="AD81" s="57" t="s">
        <v>36</v>
      </c>
      <c r="AE81" s="57" t="s">
        <v>36</v>
      </c>
      <c r="AF81" s="57" t="s">
        <v>38</v>
      </c>
      <c r="AG81" s="57" t="s">
        <v>36</v>
      </c>
      <c r="AH81" s="57" t="s">
        <v>37</v>
      </c>
      <c r="AI81" s="57"/>
      <c r="AJ81" s="57" t="s">
        <v>37</v>
      </c>
      <c r="AK81" s="57" t="s">
        <v>37</v>
      </c>
      <c r="AL81" s="57" t="s">
        <v>36</v>
      </c>
      <c r="AM81" s="57" t="s">
        <v>36</v>
      </c>
      <c r="AN81" s="57" t="s">
        <v>36</v>
      </c>
      <c r="AO81" s="57" t="s">
        <v>38</v>
      </c>
      <c r="AP81" s="58"/>
      <c r="AQ81" s="57" t="s">
        <v>36</v>
      </c>
      <c r="AR81" s="57" t="s">
        <v>36</v>
      </c>
      <c r="AS81" s="57" t="s">
        <v>36</v>
      </c>
      <c r="AT81" s="57" t="s">
        <v>36</v>
      </c>
      <c r="AU81" s="67"/>
      <c r="AV81" s="67"/>
      <c r="AW81" s="67"/>
      <c r="AX81" s="67"/>
      <c r="AY81" s="67"/>
      <c r="AZ81" s="67"/>
    </row>
    <row r="82" spans="1:52" s="4" customFormat="1" ht="43.5" customHeight="1" thickBot="1">
      <c r="A82" s="61"/>
      <c r="B82" s="47" t="s">
        <v>332</v>
      </c>
      <c r="C82" s="88" t="s">
        <v>331</v>
      </c>
      <c r="D82" s="56" t="s">
        <v>36</v>
      </c>
      <c r="E82" s="56" t="s">
        <v>36</v>
      </c>
      <c r="F82" s="56" t="s">
        <v>36</v>
      </c>
      <c r="G82" s="57" t="s">
        <v>37</v>
      </c>
      <c r="H82" s="57" t="s">
        <v>37</v>
      </c>
      <c r="I82" s="57" t="s">
        <v>37</v>
      </c>
      <c r="J82" s="57" t="s">
        <v>37</v>
      </c>
      <c r="K82" s="57" t="s">
        <v>37</v>
      </c>
      <c r="L82" s="57" t="s">
        <v>37</v>
      </c>
      <c r="M82" s="57" t="s">
        <v>37</v>
      </c>
      <c r="N82" s="57" t="s">
        <v>37</v>
      </c>
      <c r="O82" s="57" t="s">
        <v>37</v>
      </c>
      <c r="P82" s="57" t="s">
        <v>37</v>
      </c>
      <c r="Q82" s="56" t="s">
        <v>36</v>
      </c>
      <c r="R82" s="56" t="s">
        <v>36</v>
      </c>
      <c r="S82" s="56" t="s">
        <v>36</v>
      </c>
      <c r="T82" s="56" t="s">
        <v>36</v>
      </c>
      <c r="U82" s="56" t="s">
        <v>36</v>
      </c>
      <c r="V82" s="56" t="s">
        <v>36</v>
      </c>
      <c r="W82" s="56" t="s">
        <v>36</v>
      </c>
      <c r="X82" s="56" t="s">
        <v>36</v>
      </c>
      <c r="Y82" s="52" t="s">
        <v>39</v>
      </c>
      <c r="Z82" s="56" t="s">
        <v>36</v>
      </c>
      <c r="AA82" s="56" t="s">
        <v>36</v>
      </c>
      <c r="AB82" s="56" t="s">
        <v>36</v>
      </c>
      <c r="AC82" s="56" t="s">
        <v>36</v>
      </c>
      <c r="AD82" s="56" t="s">
        <v>36</v>
      </c>
      <c r="AE82" s="56" t="s">
        <v>36</v>
      </c>
      <c r="AF82" s="57" t="s">
        <v>38</v>
      </c>
      <c r="AG82" s="57" t="s">
        <v>36</v>
      </c>
      <c r="AH82" s="57" t="s">
        <v>37</v>
      </c>
      <c r="AI82" s="57"/>
      <c r="AJ82" s="57" t="s">
        <v>37</v>
      </c>
      <c r="AK82" s="57" t="s">
        <v>37</v>
      </c>
      <c r="AL82" s="57" t="s">
        <v>36</v>
      </c>
      <c r="AM82" s="57" t="s">
        <v>36</v>
      </c>
      <c r="AN82" s="57" t="s">
        <v>36</v>
      </c>
      <c r="AO82" s="57" t="s">
        <v>38</v>
      </c>
      <c r="AP82" s="58"/>
      <c r="AQ82" s="57" t="s">
        <v>36</v>
      </c>
      <c r="AR82" s="57" t="s">
        <v>36</v>
      </c>
      <c r="AS82" s="57" t="s">
        <v>36</v>
      </c>
      <c r="AT82" s="57" t="s">
        <v>36</v>
      </c>
      <c r="AU82" s="67"/>
      <c r="AV82" s="67"/>
      <c r="AW82" s="67"/>
      <c r="AX82" s="67"/>
      <c r="AY82" s="67"/>
      <c r="AZ82" s="67"/>
    </row>
    <row r="83" spans="1:52" s="4" customFormat="1" ht="64.5" customHeight="1">
      <c r="A83" s="80" t="s">
        <v>333</v>
      </c>
      <c r="B83" s="45" t="s">
        <v>334</v>
      </c>
      <c r="C83" s="50" t="s">
        <v>335</v>
      </c>
      <c r="D83" s="115" t="s">
        <v>36</v>
      </c>
      <c r="E83" s="116" t="s">
        <v>36</v>
      </c>
      <c r="F83" s="116" t="s">
        <v>36</v>
      </c>
      <c r="G83" s="116" t="s">
        <v>36</v>
      </c>
      <c r="H83" s="116" t="s">
        <v>36</v>
      </c>
      <c r="I83" s="116" t="s">
        <v>36</v>
      </c>
      <c r="J83" s="116" t="s">
        <v>36</v>
      </c>
      <c r="K83" s="116" t="s">
        <v>36</v>
      </c>
      <c r="L83" s="116" t="s">
        <v>36</v>
      </c>
      <c r="M83" s="116" t="s">
        <v>36</v>
      </c>
      <c r="N83" s="116" t="s">
        <v>36</v>
      </c>
      <c r="O83" s="116" t="s">
        <v>36</v>
      </c>
      <c r="P83" s="134" t="s">
        <v>36</v>
      </c>
      <c r="Q83" s="51" t="s">
        <v>38</v>
      </c>
      <c r="R83" s="52" t="s">
        <v>38</v>
      </c>
      <c r="S83" s="52" t="s">
        <v>39</v>
      </c>
      <c r="T83" s="52" t="s">
        <v>39</v>
      </c>
      <c r="U83" s="52" t="s">
        <v>39</v>
      </c>
      <c r="V83" s="53" t="s">
        <v>39</v>
      </c>
      <c r="W83" s="54" t="s">
        <v>38</v>
      </c>
      <c r="X83" s="52" t="s">
        <v>38</v>
      </c>
      <c r="Y83" s="52" t="s">
        <v>39</v>
      </c>
      <c r="Z83" s="52" t="s">
        <v>39</v>
      </c>
      <c r="AA83" s="52" t="s">
        <v>36</v>
      </c>
      <c r="AB83" s="52" t="s">
        <v>36</v>
      </c>
      <c r="AC83" s="52" t="s">
        <v>36</v>
      </c>
      <c r="AD83" s="52" t="s">
        <v>36</v>
      </c>
      <c r="AE83" s="52" t="s">
        <v>36</v>
      </c>
      <c r="AF83" s="52" t="s">
        <v>39</v>
      </c>
      <c r="AG83" s="51" t="s">
        <v>38</v>
      </c>
      <c r="AH83" s="52" t="s">
        <v>39</v>
      </c>
      <c r="AI83" s="116" t="s">
        <v>36</v>
      </c>
      <c r="AJ83" s="116" t="s">
        <v>36</v>
      </c>
      <c r="AK83" s="116" t="s">
        <v>36</v>
      </c>
      <c r="AL83" s="52" t="s">
        <v>36</v>
      </c>
      <c r="AM83" s="52" t="s">
        <v>36</v>
      </c>
      <c r="AN83" s="52" t="s">
        <v>36</v>
      </c>
      <c r="AO83" s="52" t="s">
        <v>38</v>
      </c>
      <c r="AP83" s="53" t="s">
        <v>39</v>
      </c>
      <c r="AQ83" s="52" t="s">
        <v>38</v>
      </c>
      <c r="AR83" s="52" t="s">
        <v>38</v>
      </c>
      <c r="AS83" s="52" t="s">
        <v>38</v>
      </c>
      <c r="AT83" s="52" t="s">
        <v>38</v>
      </c>
      <c r="AU83" s="57"/>
      <c r="AV83" s="57"/>
      <c r="AW83" s="57"/>
      <c r="AX83" s="57"/>
      <c r="AY83" s="57"/>
      <c r="AZ83" s="122"/>
    </row>
    <row r="84" spans="1:52" s="4" customFormat="1" ht="64.5" customHeight="1">
      <c r="A84" s="82" t="s">
        <v>336</v>
      </c>
      <c r="B84" s="47" t="s">
        <v>337</v>
      </c>
      <c r="C84" s="55" t="s">
        <v>338</v>
      </c>
      <c r="D84" s="56" t="s">
        <v>36</v>
      </c>
      <c r="E84" s="57" t="s">
        <v>36</v>
      </c>
      <c r="F84" s="57" t="s">
        <v>36</v>
      </c>
      <c r="G84" s="57" t="s">
        <v>36</v>
      </c>
      <c r="H84" s="57" t="s">
        <v>36</v>
      </c>
      <c r="I84" s="57" t="s">
        <v>36</v>
      </c>
      <c r="J84" s="57" t="s">
        <v>36</v>
      </c>
      <c r="K84" s="57" t="s">
        <v>36</v>
      </c>
      <c r="L84" s="57" t="s">
        <v>36</v>
      </c>
      <c r="M84" s="57" t="s">
        <v>36</v>
      </c>
      <c r="N84" s="57" t="s">
        <v>36</v>
      </c>
      <c r="O84" s="57" t="s">
        <v>36</v>
      </c>
      <c r="P84" s="58" t="s">
        <v>36</v>
      </c>
      <c r="Q84" s="56" t="s">
        <v>38</v>
      </c>
      <c r="R84" s="57" t="s">
        <v>38</v>
      </c>
      <c r="S84" s="57" t="s">
        <v>39</v>
      </c>
      <c r="T84" s="57" t="s">
        <v>39</v>
      </c>
      <c r="U84" s="57" t="s">
        <v>39</v>
      </c>
      <c r="V84" s="58" t="s">
        <v>39</v>
      </c>
      <c r="W84" s="59" t="s">
        <v>36</v>
      </c>
      <c r="X84" s="57" t="s">
        <v>36</v>
      </c>
      <c r="Y84" s="57" t="s">
        <v>37</v>
      </c>
      <c r="Z84" s="57" t="s">
        <v>38</v>
      </c>
      <c r="AA84" s="57" t="s">
        <v>36</v>
      </c>
      <c r="AB84" s="57" t="s">
        <v>36</v>
      </c>
      <c r="AC84" s="57" t="s">
        <v>36</v>
      </c>
      <c r="AD84" s="57" t="s">
        <v>36</v>
      </c>
      <c r="AE84" s="57" t="s">
        <v>36</v>
      </c>
      <c r="AF84" s="57" t="s">
        <v>39</v>
      </c>
      <c r="AG84" s="57" t="s">
        <v>36</v>
      </c>
      <c r="AH84" s="57" t="s">
        <v>39</v>
      </c>
      <c r="AI84" s="57" t="s">
        <v>36</v>
      </c>
      <c r="AJ84" s="57" t="s">
        <v>36</v>
      </c>
      <c r="AK84" s="57" t="s">
        <v>36</v>
      </c>
      <c r="AL84" s="57" t="s">
        <v>36</v>
      </c>
      <c r="AM84" s="57" t="s">
        <v>36</v>
      </c>
      <c r="AN84" s="57" t="s">
        <v>36</v>
      </c>
      <c r="AO84" s="57" t="s">
        <v>36</v>
      </c>
      <c r="AP84" s="58" t="s">
        <v>38</v>
      </c>
      <c r="AQ84" s="57" t="s">
        <v>38</v>
      </c>
      <c r="AR84" s="57" t="s">
        <v>38</v>
      </c>
      <c r="AS84" s="57" t="s">
        <v>38</v>
      </c>
      <c r="AT84" s="57" t="s">
        <v>38</v>
      </c>
      <c r="AU84" s="57"/>
      <c r="AV84" s="57"/>
      <c r="AW84" s="57"/>
      <c r="AX84" s="57"/>
      <c r="AY84" s="57"/>
      <c r="AZ84" s="122"/>
    </row>
    <row r="85" spans="1:52" s="4" customFormat="1" ht="64.5" customHeight="1">
      <c r="A85" s="82" t="s">
        <v>339</v>
      </c>
      <c r="B85" s="47" t="s">
        <v>340</v>
      </c>
      <c r="C85" s="55" t="s">
        <v>341</v>
      </c>
      <c r="D85" s="56" t="s">
        <v>36</v>
      </c>
      <c r="E85" s="57" t="s">
        <v>36</v>
      </c>
      <c r="F85" s="57" t="s">
        <v>36</v>
      </c>
      <c r="G85" s="57" t="s">
        <v>36</v>
      </c>
      <c r="H85" s="57" t="s">
        <v>36</v>
      </c>
      <c r="I85" s="57" t="s">
        <v>36</v>
      </c>
      <c r="J85" s="57" t="s">
        <v>36</v>
      </c>
      <c r="K85" s="57" t="s">
        <v>36</v>
      </c>
      <c r="L85" s="57" t="s">
        <v>36</v>
      </c>
      <c r="M85" s="57" t="s">
        <v>36</v>
      </c>
      <c r="N85" s="57" t="s">
        <v>36</v>
      </c>
      <c r="O85" s="57" t="s">
        <v>36</v>
      </c>
      <c r="P85" s="58" t="s">
        <v>36</v>
      </c>
      <c r="Q85" s="56" t="s">
        <v>36</v>
      </c>
      <c r="R85" s="57" t="s">
        <v>36</v>
      </c>
      <c r="S85" s="57" t="s">
        <v>39</v>
      </c>
      <c r="T85" s="57" t="s">
        <v>38</v>
      </c>
      <c r="U85" s="57" t="s">
        <v>39</v>
      </c>
      <c r="V85" s="58" t="s">
        <v>39</v>
      </c>
      <c r="W85" s="59" t="s">
        <v>36</v>
      </c>
      <c r="X85" s="57" t="s">
        <v>36</v>
      </c>
      <c r="Y85" s="57" t="s">
        <v>36</v>
      </c>
      <c r="Z85" s="57" t="s">
        <v>38</v>
      </c>
      <c r="AA85" s="57" t="s">
        <v>36</v>
      </c>
      <c r="AB85" s="57" t="s">
        <v>36</v>
      </c>
      <c r="AC85" s="57" t="s">
        <v>36</v>
      </c>
      <c r="AD85" s="57" t="s">
        <v>36</v>
      </c>
      <c r="AE85" s="57" t="s">
        <v>36</v>
      </c>
      <c r="AF85" s="57" t="s">
        <v>38</v>
      </c>
      <c r="AG85" s="57" t="s">
        <v>36</v>
      </c>
      <c r="AH85" s="57" t="s">
        <v>39</v>
      </c>
      <c r="AI85" s="57" t="s">
        <v>36</v>
      </c>
      <c r="AJ85" s="57" t="s">
        <v>36</v>
      </c>
      <c r="AK85" s="57" t="s">
        <v>36</v>
      </c>
      <c r="AL85" s="57" t="s">
        <v>36</v>
      </c>
      <c r="AM85" s="57" t="s">
        <v>36</v>
      </c>
      <c r="AN85" s="57" t="s">
        <v>36</v>
      </c>
      <c r="AO85" s="57" t="s">
        <v>36</v>
      </c>
      <c r="AP85" s="58" t="s">
        <v>39</v>
      </c>
      <c r="AQ85" s="57" t="s">
        <v>38</v>
      </c>
      <c r="AR85" s="57" t="s">
        <v>38</v>
      </c>
      <c r="AS85" s="57" t="s">
        <v>38</v>
      </c>
      <c r="AT85" s="57" t="s">
        <v>38</v>
      </c>
      <c r="AU85" s="57"/>
      <c r="AV85" s="57"/>
      <c r="AW85" s="57"/>
      <c r="AX85" s="57"/>
      <c r="AY85" s="57" t="s">
        <v>36</v>
      </c>
      <c r="AZ85" s="57" t="s">
        <v>36</v>
      </c>
    </row>
    <row r="86" spans="1:52" s="4" customFormat="1" ht="64.5" customHeight="1">
      <c r="A86" s="82" t="s">
        <v>342</v>
      </c>
      <c r="B86" s="47" t="s">
        <v>343</v>
      </c>
      <c r="C86" s="55" t="s">
        <v>344</v>
      </c>
      <c r="D86" s="56" t="s">
        <v>36</v>
      </c>
      <c r="E86" s="57" t="s">
        <v>36</v>
      </c>
      <c r="F86" s="57" t="s">
        <v>36</v>
      </c>
      <c r="G86" s="57" t="s">
        <v>36</v>
      </c>
      <c r="H86" s="57" t="s">
        <v>36</v>
      </c>
      <c r="I86" s="57" t="s">
        <v>36</v>
      </c>
      <c r="J86" s="57" t="s">
        <v>36</v>
      </c>
      <c r="K86" s="57" t="s">
        <v>36</v>
      </c>
      <c r="L86" s="57" t="s">
        <v>36</v>
      </c>
      <c r="M86" s="57" t="s">
        <v>36</v>
      </c>
      <c r="N86" s="57" t="s">
        <v>36</v>
      </c>
      <c r="O86" s="57" t="s">
        <v>36</v>
      </c>
      <c r="P86" s="58" t="s">
        <v>36</v>
      </c>
      <c r="Q86" s="56" t="s">
        <v>36</v>
      </c>
      <c r="R86" s="57" t="s">
        <v>36</v>
      </c>
      <c r="S86" s="57" t="s">
        <v>36</v>
      </c>
      <c r="T86" s="57" t="s">
        <v>39</v>
      </c>
      <c r="U86" s="57" t="s">
        <v>39</v>
      </c>
      <c r="V86" s="58" t="s">
        <v>39</v>
      </c>
      <c r="W86" s="59" t="s">
        <v>36</v>
      </c>
      <c r="X86" s="57" t="s">
        <v>36</v>
      </c>
      <c r="Y86" s="57" t="s">
        <v>36</v>
      </c>
      <c r="Z86" s="57" t="s">
        <v>36</v>
      </c>
      <c r="AA86" s="57" t="s">
        <v>36</v>
      </c>
      <c r="AB86" s="57" t="s">
        <v>36</v>
      </c>
      <c r="AC86" s="57" t="s">
        <v>36</v>
      </c>
      <c r="AD86" s="57" t="s">
        <v>36</v>
      </c>
      <c r="AE86" s="57" t="s">
        <v>36</v>
      </c>
      <c r="AF86" s="57" t="s">
        <v>36</v>
      </c>
      <c r="AG86" s="57" t="s">
        <v>36</v>
      </c>
      <c r="AH86" s="57" t="s">
        <v>36</v>
      </c>
      <c r="AI86" s="57" t="s">
        <v>36</v>
      </c>
      <c r="AJ86" s="57" t="s">
        <v>36</v>
      </c>
      <c r="AK86" s="57" t="s">
        <v>36</v>
      </c>
      <c r="AL86" s="57" t="s">
        <v>36</v>
      </c>
      <c r="AM86" s="57" t="s">
        <v>36</v>
      </c>
      <c r="AN86" s="57" t="s">
        <v>36</v>
      </c>
      <c r="AO86" s="57" t="s">
        <v>36</v>
      </c>
      <c r="AP86" s="58" t="s">
        <v>36</v>
      </c>
      <c r="AQ86" s="57" t="s">
        <v>36</v>
      </c>
      <c r="AR86" s="57" t="s">
        <v>36</v>
      </c>
      <c r="AS86" s="57" t="s">
        <v>36</v>
      </c>
      <c r="AT86" s="57" t="s">
        <v>36</v>
      </c>
      <c r="AU86" s="57"/>
      <c r="AV86" s="57"/>
      <c r="AW86" s="57"/>
      <c r="AX86" s="57"/>
      <c r="AY86" s="57"/>
      <c r="AZ86" s="122"/>
    </row>
    <row r="87" spans="1:52" s="4" customFormat="1" ht="64.5" customHeight="1">
      <c r="A87" s="82" t="s">
        <v>345</v>
      </c>
      <c r="B87" s="47" t="s">
        <v>346</v>
      </c>
      <c r="C87" s="55" t="s">
        <v>347</v>
      </c>
      <c r="D87" s="56" t="s">
        <v>36</v>
      </c>
      <c r="E87" s="57" t="s">
        <v>36</v>
      </c>
      <c r="F87" s="57" t="s">
        <v>36</v>
      </c>
      <c r="G87" s="57" t="s">
        <v>36</v>
      </c>
      <c r="H87" s="57" t="s">
        <v>36</v>
      </c>
      <c r="I87" s="57" t="s">
        <v>36</v>
      </c>
      <c r="J87" s="57" t="s">
        <v>36</v>
      </c>
      <c r="K87" s="57" t="s">
        <v>36</v>
      </c>
      <c r="L87" s="57" t="s">
        <v>36</v>
      </c>
      <c r="M87" s="57" t="s">
        <v>36</v>
      </c>
      <c r="N87" s="57" t="s">
        <v>36</v>
      </c>
      <c r="O87" s="57" t="s">
        <v>36</v>
      </c>
      <c r="P87" s="58" t="s">
        <v>36</v>
      </c>
      <c r="Q87" s="56" t="s">
        <v>38</v>
      </c>
      <c r="R87" s="57" t="s">
        <v>38</v>
      </c>
      <c r="S87" s="57" t="s">
        <v>39</v>
      </c>
      <c r="T87" s="57" t="s">
        <v>39</v>
      </c>
      <c r="U87" s="57" t="s">
        <v>39</v>
      </c>
      <c r="V87" s="58" t="s">
        <v>39</v>
      </c>
      <c r="W87" s="59" t="s">
        <v>37</v>
      </c>
      <c r="X87" s="57" t="s">
        <v>37</v>
      </c>
      <c r="Y87" s="57" t="s">
        <v>38</v>
      </c>
      <c r="Z87" s="57" t="s">
        <v>38</v>
      </c>
      <c r="AA87" s="57" t="s">
        <v>36</v>
      </c>
      <c r="AB87" s="57" t="s">
        <v>36</v>
      </c>
      <c r="AC87" s="57" t="s">
        <v>36</v>
      </c>
      <c r="AD87" s="57" t="s">
        <v>36</v>
      </c>
      <c r="AE87" s="57" t="s">
        <v>36</v>
      </c>
      <c r="AF87" s="57" t="s">
        <v>39</v>
      </c>
      <c r="AG87" s="57" t="s">
        <v>36</v>
      </c>
      <c r="AH87" s="57" t="s">
        <v>39</v>
      </c>
      <c r="AI87" s="57" t="s">
        <v>36</v>
      </c>
      <c r="AJ87" s="57" t="s">
        <v>36</v>
      </c>
      <c r="AK87" s="57" t="s">
        <v>36</v>
      </c>
      <c r="AL87" s="57" t="s">
        <v>36</v>
      </c>
      <c r="AM87" s="57" t="s">
        <v>36</v>
      </c>
      <c r="AN87" s="57" t="s">
        <v>36</v>
      </c>
      <c r="AO87" s="57" t="s">
        <v>36</v>
      </c>
      <c r="AP87" s="58" t="s">
        <v>39</v>
      </c>
      <c r="AQ87" s="57" t="s">
        <v>38</v>
      </c>
      <c r="AR87" s="57" t="s">
        <v>38</v>
      </c>
      <c r="AS87" s="57" t="s">
        <v>38</v>
      </c>
      <c r="AT87" s="57" t="s">
        <v>38</v>
      </c>
      <c r="AU87" s="57"/>
      <c r="AV87" s="57"/>
      <c r="AW87" s="57"/>
      <c r="AX87" s="57"/>
      <c r="AY87" s="57"/>
      <c r="AZ87" s="122"/>
    </row>
    <row r="88" spans="1:52" s="4" customFormat="1" ht="64.5" customHeight="1">
      <c r="A88" s="82" t="s">
        <v>348</v>
      </c>
      <c r="B88" s="47" t="s">
        <v>349</v>
      </c>
      <c r="C88" s="55" t="s">
        <v>350</v>
      </c>
      <c r="D88" s="56" t="s">
        <v>36</v>
      </c>
      <c r="E88" s="57" t="s">
        <v>36</v>
      </c>
      <c r="F88" s="57" t="s">
        <v>36</v>
      </c>
      <c r="G88" s="57" t="s">
        <v>36</v>
      </c>
      <c r="H88" s="57" t="s">
        <v>36</v>
      </c>
      <c r="I88" s="57" t="s">
        <v>36</v>
      </c>
      <c r="J88" s="57" t="s">
        <v>36</v>
      </c>
      <c r="K88" s="57" t="s">
        <v>36</v>
      </c>
      <c r="L88" s="57" t="s">
        <v>36</v>
      </c>
      <c r="M88" s="57" t="s">
        <v>36</v>
      </c>
      <c r="N88" s="57" t="s">
        <v>36</v>
      </c>
      <c r="O88" s="57" t="s">
        <v>36</v>
      </c>
      <c r="P88" s="58" t="s">
        <v>36</v>
      </c>
      <c r="Q88" s="56" t="s">
        <v>36</v>
      </c>
      <c r="R88" s="57" t="s">
        <v>36</v>
      </c>
      <c r="S88" s="57" t="s">
        <v>36</v>
      </c>
      <c r="T88" s="57" t="s">
        <v>36</v>
      </c>
      <c r="U88" s="57" t="s">
        <v>36</v>
      </c>
      <c r="V88" s="58" t="s">
        <v>36</v>
      </c>
      <c r="W88" s="59" t="s">
        <v>36</v>
      </c>
      <c r="X88" s="57" t="s">
        <v>36</v>
      </c>
      <c r="Y88" s="57" t="s">
        <v>38</v>
      </c>
      <c r="Z88" s="57" t="s">
        <v>38</v>
      </c>
      <c r="AA88" s="57" t="s">
        <v>36</v>
      </c>
      <c r="AB88" s="57" t="s">
        <v>36</v>
      </c>
      <c r="AC88" s="57" t="s">
        <v>36</v>
      </c>
      <c r="AD88" s="57" t="s">
        <v>36</v>
      </c>
      <c r="AE88" s="57" t="s">
        <v>36</v>
      </c>
      <c r="AF88" s="57" t="s">
        <v>39</v>
      </c>
      <c r="AG88" s="57" t="s">
        <v>36</v>
      </c>
      <c r="AH88" s="57" t="s">
        <v>36</v>
      </c>
      <c r="AI88" s="57" t="s">
        <v>36</v>
      </c>
      <c r="AJ88" s="57" t="s">
        <v>36</v>
      </c>
      <c r="AK88" s="57" t="s">
        <v>36</v>
      </c>
      <c r="AL88" s="57" t="s">
        <v>36</v>
      </c>
      <c r="AM88" s="57" t="s">
        <v>36</v>
      </c>
      <c r="AN88" s="57" t="s">
        <v>36</v>
      </c>
      <c r="AO88" s="57" t="s">
        <v>36</v>
      </c>
      <c r="AP88" s="58" t="s">
        <v>39</v>
      </c>
      <c r="AQ88" s="57" t="s">
        <v>38</v>
      </c>
      <c r="AR88" s="57" t="s">
        <v>38</v>
      </c>
      <c r="AS88" s="57" t="s">
        <v>38</v>
      </c>
      <c r="AT88" s="57" t="s">
        <v>38</v>
      </c>
      <c r="AU88" s="57"/>
      <c r="AV88" s="57"/>
      <c r="AW88" s="57"/>
      <c r="AX88" s="57"/>
      <c r="AY88" s="57"/>
      <c r="AZ88" s="122"/>
    </row>
    <row r="89" spans="1:52" s="4" customFormat="1" ht="64.5" customHeight="1">
      <c r="A89" s="82" t="s">
        <v>351</v>
      </c>
      <c r="B89" s="47" t="s">
        <v>352</v>
      </c>
      <c r="C89" s="55" t="s">
        <v>353</v>
      </c>
      <c r="D89" s="56" t="s">
        <v>36</v>
      </c>
      <c r="E89" s="57" t="s">
        <v>36</v>
      </c>
      <c r="F89" s="57" t="s">
        <v>36</v>
      </c>
      <c r="G89" s="57" t="s">
        <v>36</v>
      </c>
      <c r="H89" s="57" t="s">
        <v>36</v>
      </c>
      <c r="I89" s="57" t="s">
        <v>36</v>
      </c>
      <c r="J89" s="57" t="s">
        <v>36</v>
      </c>
      <c r="K89" s="57" t="s">
        <v>36</v>
      </c>
      <c r="L89" s="57" t="s">
        <v>36</v>
      </c>
      <c r="M89" s="57" t="s">
        <v>36</v>
      </c>
      <c r="N89" s="57" t="s">
        <v>36</v>
      </c>
      <c r="O89" s="57" t="s">
        <v>36</v>
      </c>
      <c r="P89" s="58" t="s">
        <v>36</v>
      </c>
      <c r="Q89" s="56" t="s">
        <v>38</v>
      </c>
      <c r="R89" s="57" t="s">
        <v>38</v>
      </c>
      <c r="S89" s="57" t="s">
        <v>39</v>
      </c>
      <c r="T89" s="57" t="s">
        <v>39</v>
      </c>
      <c r="U89" s="57" t="s">
        <v>39</v>
      </c>
      <c r="V89" s="58" t="s">
        <v>39</v>
      </c>
      <c r="W89" s="59" t="s">
        <v>36</v>
      </c>
      <c r="X89" s="57" t="s">
        <v>36</v>
      </c>
      <c r="Y89" s="57" t="s">
        <v>36</v>
      </c>
      <c r="Z89" s="57" t="s">
        <v>39</v>
      </c>
      <c r="AA89" s="57" t="s">
        <v>36</v>
      </c>
      <c r="AB89" s="57" t="s">
        <v>36</v>
      </c>
      <c r="AC89" s="57" t="s">
        <v>36</v>
      </c>
      <c r="AD89" s="57" t="s">
        <v>36</v>
      </c>
      <c r="AE89" s="57" t="s">
        <v>36</v>
      </c>
      <c r="AF89" s="57" t="s">
        <v>39</v>
      </c>
      <c r="AG89" s="57" t="s">
        <v>36</v>
      </c>
      <c r="AH89" s="57" t="s">
        <v>39</v>
      </c>
      <c r="AI89" s="57" t="s">
        <v>36</v>
      </c>
      <c r="AJ89" s="57" t="s">
        <v>36</v>
      </c>
      <c r="AK89" s="57" t="s">
        <v>36</v>
      </c>
      <c r="AL89" s="57" t="s">
        <v>36</v>
      </c>
      <c r="AM89" s="57" t="s">
        <v>36</v>
      </c>
      <c r="AN89" s="57" t="s">
        <v>36</v>
      </c>
      <c r="AO89" s="57" t="s">
        <v>36</v>
      </c>
      <c r="AP89" s="58" t="s">
        <v>39</v>
      </c>
      <c r="AQ89" s="57" t="s">
        <v>38</v>
      </c>
      <c r="AR89" s="57" t="s">
        <v>38</v>
      </c>
      <c r="AS89" s="57" t="s">
        <v>38</v>
      </c>
      <c r="AT89" s="57" t="s">
        <v>38</v>
      </c>
      <c r="AU89" s="57"/>
      <c r="AV89" s="57"/>
      <c r="AW89" s="57"/>
      <c r="AX89" s="57"/>
      <c r="AY89" s="57"/>
      <c r="AZ89" s="122"/>
    </row>
    <row r="90" spans="1:52" s="4" customFormat="1" ht="64.5" customHeight="1">
      <c r="A90" s="82" t="s">
        <v>354</v>
      </c>
      <c r="B90" s="47" t="s">
        <v>355</v>
      </c>
      <c r="C90" s="55" t="s">
        <v>356</v>
      </c>
      <c r="D90" s="56" t="s">
        <v>36</v>
      </c>
      <c r="E90" s="57" t="s">
        <v>36</v>
      </c>
      <c r="F90" s="57" t="s">
        <v>36</v>
      </c>
      <c r="G90" s="57" t="s">
        <v>36</v>
      </c>
      <c r="H90" s="57" t="s">
        <v>36</v>
      </c>
      <c r="I90" s="57" t="s">
        <v>36</v>
      </c>
      <c r="J90" s="57" t="s">
        <v>36</v>
      </c>
      <c r="K90" s="57" t="s">
        <v>36</v>
      </c>
      <c r="L90" s="57" t="s">
        <v>36</v>
      </c>
      <c r="M90" s="57" t="s">
        <v>36</v>
      </c>
      <c r="N90" s="57" t="s">
        <v>36</v>
      </c>
      <c r="O90" s="57" t="s">
        <v>36</v>
      </c>
      <c r="P90" s="58" t="s">
        <v>37</v>
      </c>
      <c r="Q90" s="56" t="s">
        <v>38</v>
      </c>
      <c r="R90" s="57" t="s">
        <v>38</v>
      </c>
      <c r="S90" s="57" t="s">
        <v>39</v>
      </c>
      <c r="T90" s="57" t="s">
        <v>39</v>
      </c>
      <c r="U90" s="57" t="s">
        <v>39</v>
      </c>
      <c r="V90" s="58" t="s">
        <v>39</v>
      </c>
      <c r="W90" s="59" t="s">
        <v>37</v>
      </c>
      <c r="X90" s="57" t="s">
        <v>37</v>
      </c>
      <c r="Y90" s="57" t="s">
        <v>38</v>
      </c>
      <c r="Z90" s="57" t="s">
        <v>39</v>
      </c>
      <c r="AA90" s="57" t="s">
        <v>36</v>
      </c>
      <c r="AB90" s="57" t="s">
        <v>36</v>
      </c>
      <c r="AC90" s="57" t="s">
        <v>36</v>
      </c>
      <c r="AD90" s="57" t="s">
        <v>36</v>
      </c>
      <c r="AE90" s="57" t="s">
        <v>36</v>
      </c>
      <c r="AF90" s="57" t="s">
        <v>39</v>
      </c>
      <c r="AG90" s="56" t="s">
        <v>38</v>
      </c>
      <c r="AH90" s="57" t="s">
        <v>39</v>
      </c>
      <c r="AI90" s="57" t="s">
        <v>36</v>
      </c>
      <c r="AJ90" s="57" t="s">
        <v>36</v>
      </c>
      <c r="AK90" s="57" t="s">
        <v>36</v>
      </c>
      <c r="AL90" s="57" t="s">
        <v>36</v>
      </c>
      <c r="AM90" s="57" t="s">
        <v>36</v>
      </c>
      <c r="AN90" s="57" t="s">
        <v>36</v>
      </c>
      <c r="AO90" s="57" t="s">
        <v>38</v>
      </c>
      <c r="AP90" s="58" t="s">
        <v>39</v>
      </c>
      <c r="AQ90" s="57" t="s">
        <v>38</v>
      </c>
      <c r="AR90" s="57" t="s">
        <v>38</v>
      </c>
      <c r="AS90" s="57" t="s">
        <v>38</v>
      </c>
      <c r="AT90" s="57" t="s">
        <v>38</v>
      </c>
      <c r="AU90" s="64"/>
      <c r="AV90" s="64"/>
      <c r="AW90" s="64"/>
      <c r="AX90" s="64"/>
      <c r="AY90" s="64"/>
      <c r="AZ90" s="124"/>
    </row>
    <row r="91" spans="1:52" s="4" customFormat="1" ht="64.5" customHeight="1" thickBot="1">
      <c r="A91" s="83" t="s">
        <v>357</v>
      </c>
      <c r="B91" s="49" t="s">
        <v>358</v>
      </c>
      <c r="C91" s="65" t="s">
        <v>359</v>
      </c>
      <c r="D91" s="66" t="s">
        <v>37</v>
      </c>
      <c r="E91" s="67" t="s">
        <v>37</v>
      </c>
      <c r="F91" s="67" t="s">
        <v>38</v>
      </c>
      <c r="G91" s="67" t="s">
        <v>38</v>
      </c>
      <c r="H91" s="67" t="s">
        <v>38</v>
      </c>
      <c r="I91" s="67" t="s">
        <v>38</v>
      </c>
      <c r="J91" s="67" t="s">
        <v>38</v>
      </c>
      <c r="K91" s="67" t="s">
        <v>37</v>
      </c>
      <c r="L91" s="67" t="s">
        <v>37</v>
      </c>
      <c r="M91" s="67" t="s">
        <v>38</v>
      </c>
      <c r="N91" s="67" t="s">
        <v>38</v>
      </c>
      <c r="O91" s="67" t="s">
        <v>37</v>
      </c>
      <c r="P91" s="68" t="s">
        <v>38</v>
      </c>
      <c r="Q91" s="66" t="s">
        <v>38</v>
      </c>
      <c r="R91" s="67" t="s">
        <v>38</v>
      </c>
      <c r="S91" s="67" t="s">
        <v>39</v>
      </c>
      <c r="T91" s="67" t="s">
        <v>39</v>
      </c>
      <c r="U91" s="67" t="s">
        <v>39</v>
      </c>
      <c r="V91" s="68" t="s">
        <v>39</v>
      </c>
      <c r="W91" s="90" t="s">
        <v>38</v>
      </c>
      <c r="X91" s="64" t="s">
        <v>38</v>
      </c>
      <c r="Y91" s="64" t="s">
        <v>39</v>
      </c>
      <c r="Z91" s="64" t="s">
        <v>39</v>
      </c>
      <c r="AA91" s="64" t="s">
        <v>36</v>
      </c>
      <c r="AB91" s="64" t="s">
        <v>36</v>
      </c>
      <c r="AC91" s="64" t="s">
        <v>36</v>
      </c>
      <c r="AD91" s="64" t="s">
        <v>36</v>
      </c>
      <c r="AE91" s="64" t="s">
        <v>36</v>
      </c>
      <c r="AF91" s="64" t="s">
        <v>39</v>
      </c>
      <c r="AG91" s="125" t="s">
        <v>39</v>
      </c>
      <c r="AH91" s="67" t="s">
        <v>39</v>
      </c>
      <c r="AI91" s="67" t="s">
        <v>37</v>
      </c>
      <c r="AJ91" s="67" t="s">
        <v>37</v>
      </c>
      <c r="AK91" s="67" t="s">
        <v>38</v>
      </c>
      <c r="AL91" s="64" t="s">
        <v>36</v>
      </c>
      <c r="AM91" s="64" t="s">
        <v>36</v>
      </c>
      <c r="AN91" s="64" t="s">
        <v>36</v>
      </c>
      <c r="AO91" s="64" t="s">
        <v>39</v>
      </c>
      <c r="AP91" s="126" t="s">
        <v>39</v>
      </c>
      <c r="AQ91" s="64" t="s">
        <v>39</v>
      </c>
      <c r="AR91" s="64" t="s">
        <v>39</v>
      </c>
      <c r="AS91" s="64" t="s">
        <v>39</v>
      </c>
      <c r="AT91" s="64" t="s">
        <v>39</v>
      </c>
      <c r="AU91" s="93" t="e" cm="1">
        <f t="array" ref="AU91">SUM(INDEX($C$95:$C$99,MATCH(AU4:AU90,$B$95:$B$99,0)))</f>
        <v>#N/A</v>
      </c>
      <c r="AV91" s="93" t="e" cm="1">
        <f t="array" ref="AV91">SUM(INDEX($C$95:$C$99,MATCH(AV4:AV90,$B$95:$B$99,0)))</f>
        <v>#N/A</v>
      </c>
      <c r="AW91" s="93" t="e" cm="1">
        <f t="array" ref="AW91">SUM(INDEX($C$95:$C$99,MATCH(AW4:AW90,$B$95:$B$99,0)))</f>
        <v>#N/A</v>
      </c>
      <c r="AX91" s="93" t="e" cm="1">
        <f t="array" ref="AX91">SUM(INDEX($C$95:$C$99,MATCH(AX4:AX90,$B$95:$B$99,0)))</f>
        <v>#N/A</v>
      </c>
      <c r="AY91" s="93" t="e" cm="1">
        <f t="array" ref="AY91">SUM(INDEX($C$95:$C$99,MATCH(AY4:AY90,$B$95:$B$99,0)))</f>
        <v>#N/A</v>
      </c>
      <c r="AZ91" s="93" t="e" cm="1">
        <f t="array" ref="AZ91">SUM(INDEX($C$95:$C$99,MATCH(AZ4:AZ90,$B$95:$B$99,0)))</f>
        <v>#N/A</v>
      </c>
    </row>
    <row r="92" spans="1:52" s="91" customFormat="1" ht="31.5" customHeight="1">
      <c r="C92" s="92" t="s">
        <v>360</v>
      </c>
      <c r="D92" s="94" cm="1">
        <f t="array" ref="D92">SUM(INDEX($C$95:$C$99,MATCH(D4:D91,$B$95:$B$99,0)))</f>
        <v>51</v>
      </c>
      <c r="E92" s="94" cm="1">
        <f t="array" ref="E92">SUM(INDEX($C$95:$C$99,MATCH(E4:E91,$B$95:$B$99,0)))</f>
        <v>62</v>
      </c>
      <c r="F92" s="94" cm="1">
        <f t="array" ref="F92">SUM(INDEX($C$95:$C$99,MATCH(F4:F91,$B$95:$B$99,0)))</f>
        <v>77</v>
      </c>
      <c r="G92" s="94" cm="1">
        <f t="array" ref="G92">SUM(INDEX($C$95:$C$99,MATCH(G4:G91,$B$95:$B$99,0)))</f>
        <v>104</v>
      </c>
      <c r="H92" s="94" cm="1">
        <f t="array" ref="H92">SUM(INDEX($C$95:$C$99,MATCH(H4:H91,$B$95:$B$99,0)))</f>
        <v>83</v>
      </c>
      <c r="I92" s="94" cm="1">
        <f t="array" ref="I92">SUM(INDEX($C$95:$C$99,MATCH(I4:I91,$B$95:$B$99,0)))</f>
        <v>94</v>
      </c>
      <c r="J92" s="94" cm="1">
        <f t="array" ref="J92">SUM(INDEX($C$95:$C$99,MATCH(J4:J91,$B$95:$B$99,0)))</f>
        <v>104</v>
      </c>
      <c r="K92" s="94" cm="1">
        <f t="array" ref="K92">SUM(INDEX($C$95:$C$99,MATCH(K4:K91,$B$95:$B$99,0)))</f>
        <v>57</v>
      </c>
      <c r="L92" s="94" cm="1">
        <f t="array" ref="L92">SUM(INDEX($C$95:$C$99,MATCH(L4:L91,$B$95:$B$99,0)))</f>
        <v>76</v>
      </c>
      <c r="M92" s="94" cm="1">
        <f t="array" ref="M92">SUM(INDEX($C$95:$C$99,MATCH(M4:M91,$B$95:$B$99,0)))</f>
        <v>87</v>
      </c>
      <c r="N92" s="94" t="e" cm="1">
        <f t="array" ref="N92">SUM(INDEX($C$95:$C$99,MATCH(N4:N91,$B$95:$B$99,0)))</f>
        <v>#N/A</v>
      </c>
      <c r="O92" s="94" t="e" cm="1">
        <f t="array" ref="O92">SUM(INDEX($C$95:$C$99,MATCH(O4:O91,$B$95:$B$99,0)))</f>
        <v>#N/A</v>
      </c>
      <c r="P92" s="94" cm="1">
        <f t="array" ref="P92">SUM(INDEX($C$95:$C$99,MATCH(P4:P91,$B$95:$B$99,0)))</f>
        <v>140</v>
      </c>
      <c r="Q92" s="94" cm="1">
        <f t="array" ref="Q92">SUM(INDEX($C$95:$C$99,MATCH(Q4:Q91,$B$95:$B$99,0)))</f>
        <v>94</v>
      </c>
      <c r="R92" s="94" cm="1">
        <f t="array" ref="R92">SUM(INDEX($C$95:$C$99,MATCH(R4:R91,$B$95:$B$99,0)))</f>
        <v>109</v>
      </c>
      <c r="S92" s="94" cm="1">
        <f t="array" ref="S92">SUM(INDEX($C$95:$C$99,MATCH(S4:S91,$B$95:$B$99,0)))</f>
        <v>149</v>
      </c>
      <c r="T92" s="94" cm="1">
        <f t="array" ref="T92">SUM(INDEX($C$95:$C$99,MATCH(T4:T91,$B$95:$B$99,0)))</f>
        <v>149</v>
      </c>
      <c r="U92" s="94" cm="1">
        <f t="array" ref="U92">SUM(INDEX($C$95:$C$99,MATCH(U4:U91,$B$95:$B$99,0)))</f>
        <v>184</v>
      </c>
      <c r="V92" s="94" cm="1">
        <f t="array" ref="V92">SUM(INDEX($C$95:$C$99,MATCH(V4:V91,$B$95:$B$99,0)))</f>
        <v>186</v>
      </c>
      <c r="W92" s="93" cm="1">
        <f t="array" ref="W92">SUM(INDEX($C$95:$C$99,MATCH(W4:W91,$B$95:$B$99,0)))</f>
        <v>104</v>
      </c>
      <c r="X92" s="93" cm="1">
        <f t="array" ref="X92">SUM(INDEX($C$95:$C$99,MATCH(X4:X91,$B$95:$B$99,0)))</f>
        <v>118</v>
      </c>
      <c r="Y92" s="93" cm="1">
        <f t="array" ref="Y92">SUM(INDEX($C$95:$C$99,MATCH(Y4:Y91,$B$95:$B$99,0)))</f>
        <v>145</v>
      </c>
      <c r="Z92" s="93" cm="1">
        <f t="array" ref="Z92">SUM(INDEX($C$95:$C$99,MATCH(Z4:Z91,$B$95:$B$99,0)))</f>
        <v>179</v>
      </c>
      <c r="AA92" s="93" cm="1">
        <f t="array" ref="AA92">SUM(INDEX($C$94:$C$98,MATCH(AA4:AA91,$B$94:$B$98,0)))</f>
        <v>65</v>
      </c>
      <c r="AB92" s="93" cm="1">
        <f t="array" ref="AB92">SUM(INDEX($C$95:$C$99,MATCH(AB4:AB91,$B$95:$B$99,0)))</f>
        <v>108</v>
      </c>
      <c r="AC92" s="93" cm="1">
        <f t="array" ref="AC92">SUM(INDEX($C$95:$C$99,MATCH(AC4:AC91,$B$95:$B$99,0)))</f>
        <v>127</v>
      </c>
      <c r="AD92" s="93" cm="1">
        <f t="array" ref="AD92">SUM(INDEX($C$95:$C$99,MATCH(AD4:AD91,$B$95:$B$99,0)))</f>
        <v>155</v>
      </c>
      <c r="AE92" s="93" cm="1">
        <f t="array" ref="AE92">SUM(INDEX($C$95:$C$99,MATCH(AE4:AE91,$B$95:$B$99,0)))</f>
        <v>157</v>
      </c>
      <c r="AF92" s="93" cm="1">
        <f t="array" ref="AF92">SUM(INDEX($C$95:$C$99,MATCH(AF4:AF91,$B$95:$B$99,0)))</f>
        <v>217</v>
      </c>
      <c r="AG92" s="93" cm="1">
        <f t="array" ref="AG92">SUM(INDEX($C$95:$C$99,MATCH(AG4:AG91,$B$95:$B$99,0)))</f>
        <v>151</v>
      </c>
      <c r="AH92" s="94" cm="1">
        <f t="array" ref="AH92">SUM(INDEX($C$95:$C$99,MATCH(AH4:AH91,$B$95:$B$99,0)))</f>
        <v>150</v>
      </c>
      <c r="AI92" s="94" t="e" cm="1">
        <f t="array" ref="AI92">SUM(INDEX($C$95:$C$99,MATCH(AI4:AI91,$B$95:$B$99,0)))</f>
        <v>#N/A</v>
      </c>
      <c r="AJ92" s="94" cm="1">
        <f t="array" ref="AJ92">SUM(INDEX($C$95:$C$99,MATCH(AJ4:AJ91,$B$95:$B$99,0)))</f>
        <v>70</v>
      </c>
      <c r="AK92" s="94" cm="1">
        <f t="array" ref="AK92">SUM(INDEX($C$95:$C$99,MATCH(AK4:AK91,$B$95:$B$99,0)))</f>
        <v>83</v>
      </c>
      <c r="AL92" s="93" cm="1">
        <f t="array" ref="AL92">SUM(INDEX($C$95:$C$99,MATCH(AL4:AL91,$B$95:$B$99,0)))</f>
        <v>127</v>
      </c>
      <c r="AM92" s="93" cm="1">
        <f t="array" ref="AM92">SUM(INDEX($C$95:$C$99,MATCH(AM4:AM91,$B$95:$B$99,0)))</f>
        <v>96</v>
      </c>
      <c r="AN92" s="93" cm="1">
        <f t="array" ref="AN92">SUM(INDEX($C$95:$C$99,MATCH(AN4:AN91,$B$95:$B$99,0)))</f>
        <v>154</v>
      </c>
      <c r="AO92" s="93" cm="1">
        <f t="array" ref="AO92">SUM(INDEX($C$95:$C$99,MATCH(AO4:AO91,$B$95:$B$99,0)))</f>
        <v>185</v>
      </c>
      <c r="AP92" s="93" t="e" cm="1">
        <f t="array" ref="AP92">SUM(INDEX($C$95:$C$99,MATCH(AP4:AP91,$B$95:$B$99,0)))</f>
        <v>#N/A</v>
      </c>
      <c r="AQ92" s="93" cm="1">
        <f t="array" ref="AQ92">SUM(INDEX($C$95:$C$99,MATCH(AQ4:AQ91,$B$95:$B$99,0)))</f>
        <v>207</v>
      </c>
      <c r="AR92" s="93" cm="1">
        <f t="array" ref="AR92">SUM(INDEX($C$95:$C$99,MATCH(AR4:AR91,$B$95:$B$99,0)))</f>
        <v>203</v>
      </c>
      <c r="AS92" s="93" cm="1">
        <f t="array" ref="AS92">SUM(INDEX($C$95:$C$99,MATCH(AS4:AS91,$B$95:$B$99,0)))</f>
        <v>204</v>
      </c>
      <c r="AT92" s="93" cm="1">
        <f t="array" ref="AT92">SUM(INDEX($C$95:$C$99,MATCH(AT4:AT91,$B$95:$B$99,0)))</f>
        <v>204</v>
      </c>
    </row>
    <row r="93" spans="1:52" ht="18" customHeight="1" thickBot="1">
      <c r="C93" s="9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I93" s="36"/>
      <c r="AJ93" s="36"/>
      <c r="AK93" s="36"/>
      <c r="AL93" s="36"/>
      <c r="AM93" s="36"/>
      <c r="AN93" s="36"/>
      <c r="AP93" s="36"/>
      <c r="AQ93" s="36"/>
      <c r="AR93" s="36"/>
      <c r="AS93" s="36"/>
      <c r="AT93" s="36"/>
      <c r="AU93" s="36"/>
    </row>
    <row r="94" spans="1:52" ht="15.75">
      <c r="B94" s="97" t="s">
        <v>34</v>
      </c>
      <c r="C94" s="98" t="s">
        <v>361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P94" s="36"/>
      <c r="AQ94" s="36"/>
      <c r="AR94" s="36"/>
      <c r="AS94" s="36"/>
      <c r="AT94" s="36"/>
    </row>
    <row r="95" spans="1:52" ht="15.75">
      <c r="B95" s="99" t="s">
        <v>36</v>
      </c>
      <c r="C95" s="100">
        <v>0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P95" s="36"/>
      <c r="AQ95" s="36"/>
      <c r="AR95" s="36"/>
      <c r="AS95" s="36"/>
      <c r="AT95" s="36"/>
    </row>
    <row r="96" spans="1:52" ht="15.75">
      <c r="B96" s="101" t="s">
        <v>37</v>
      </c>
      <c r="C96" s="102">
        <v>1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P96" s="36"/>
      <c r="AQ96" s="36"/>
      <c r="AR96" s="36"/>
      <c r="AS96" s="36"/>
      <c r="AT96" s="36"/>
    </row>
    <row r="97" spans="1:52" ht="15.75">
      <c r="B97" s="103" t="s">
        <v>38</v>
      </c>
      <c r="C97" s="100">
        <v>2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P97" s="36"/>
      <c r="AQ97" s="36"/>
      <c r="AR97" s="36"/>
      <c r="AS97" s="36"/>
      <c r="AT97" s="36"/>
    </row>
    <row r="98" spans="1:52" ht="15.75">
      <c r="B98" s="104" t="s">
        <v>39</v>
      </c>
      <c r="C98" s="100">
        <v>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P98" s="36"/>
      <c r="AQ98" s="36"/>
      <c r="AR98" s="36"/>
      <c r="AS98" s="36"/>
      <c r="AT98" s="36"/>
    </row>
    <row r="99" spans="1:52" ht="16.5" thickBot="1">
      <c r="B99" s="105" t="s">
        <v>40</v>
      </c>
      <c r="C99" s="106">
        <v>4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P99" s="36"/>
      <c r="AQ99" s="36"/>
      <c r="AR99" s="36"/>
      <c r="AS99" s="36"/>
      <c r="AT99" s="36"/>
    </row>
    <row r="100" spans="1:52"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P100" s="36"/>
      <c r="AQ100" s="36"/>
      <c r="AR100" s="36"/>
      <c r="AS100" s="36"/>
      <c r="AT100" s="36"/>
    </row>
    <row r="101" spans="1:52"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P101" s="36"/>
      <c r="AQ101" s="36"/>
      <c r="AR101" s="36"/>
      <c r="AS101" s="36"/>
      <c r="AT101" s="36"/>
    </row>
    <row r="102" spans="1:52"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P102" s="36"/>
      <c r="AQ102" s="36"/>
      <c r="AR102" s="36"/>
      <c r="AS102" s="36"/>
      <c r="AT102" s="36"/>
    </row>
    <row r="103" spans="1:52"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P103" s="36"/>
      <c r="AQ103" s="36"/>
      <c r="AR103" s="36"/>
      <c r="AS103" s="36"/>
      <c r="AT103" s="36"/>
    </row>
    <row r="104" spans="1:52"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P104" s="36"/>
      <c r="AQ104" s="36"/>
      <c r="AR104" s="36"/>
      <c r="AS104" s="36"/>
      <c r="AT104" s="36"/>
    </row>
    <row r="105" spans="1:52"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P105" s="36"/>
      <c r="AQ105" s="36"/>
      <c r="AR105" s="36"/>
      <c r="AS105" s="36"/>
      <c r="AT105" s="36"/>
    </row>
    <row r="106" spans="1:52" ht="15.75" thickBot="1"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P106" s="36"/>
      <c r="AQ106" s="36"/>
      <c r="AR106" s="36"/>
      <c r="AS106" s="36"/>
      <c r="AT106" s="36"/>
    </row>
    <row r="107" spans="1:52" s="4" customFormat="1" ht="42.95" customHeight="1" thickBot="1">
      <c r="A107" s="83" t="s">
        <v>362</v>
      </c>
      <c r="B107" s="49" t="s">
        <v>332</v>
      </c>
      <c r="C107" s="89" t="s">
        <v>363</v>
      </c>
      <c r="D107" s="66" t="s">
        <v>36</v>
      </c>
      <c r="E107" s="67" t="s">
        <v>36</v>
      </c>
      <c r="F107" s="67" t="s">
        <v>36</v>
      </c>
      <c r="G107" s="67" t="s">
        <v>37</v>
      </c>
      <c r="H107" s="67" t="s">
        <v>37</v>
      </c>
      <c r="I107" s="67" t="s">
        <v>37</v>
      </c>
      <c r="J107" s="67" t="s">
        <v>37</v>
      </c>
      <c r="K107" s="67"/>
      <c r="L107" s="67"/>
      <c r="M107" s="67"/>
      <c r="N107" s="67"/>
      <c r="O107" s="67"/>
      <c r="P107" s="68" t="s">
        <v>37</v>
      </c>
      <c r="Q107" s="56" t="s">
        <v>36</v>
      </c>
      <c r="R107" s="57" t="s">
        <v>36</v>
      </c>
      <c r="S107" s="57" t="s">
        <v>36</v>
      </c>
      <c r="T107" s="57" t="s">
        <v>36</v>
      </c>
      <c r="U107" s="57" t="s">
        <v>36</v>
      </c>
      <c r="V107" s="57" t="s">
        <v>36</v>
      </c>
      <c r="W107" s="57" t="s">
        <v>36</v>
      </c>
      <c r="X107" s="67" t="s">
        <v>37</v>
      </c>
      <c r="Y107" s="67" t="s">
        <v>39</v>
      </c>
      <c r="Z107" s="57" t="s">
        <v>36</v>
      </c>
      <c r="AA107" s="67" t="s">
        <v>36</v>
      </c>
      <c r="AB107" s="67" t="s">
        <v>36</v>
      </c>
      <c r="AC107" s="67" t="s">
        <v>36</v>
      </c>
      <c r="AD107" s="67" t="s">
        <v>36</v>
      </c>
      <c r="AE107" s="67" t="s">
        <v>36</v>
      </c>
      <c r="AF107" s="67" t="s">
        <v>36</v>
      </c>
      <c r="AG107" s="67" t="s">
        <v>36</v>
      </c>
      <c r="AH107" s="67" t="s">
        <v>36</v>
      </c>
      <c r="AI107" s="67"/>
      <c r="AJ107" s="139" t="s">
        <v>36</v>
      </c>
      <c r="AK107" s="139" t="s">
        <v>36</v>
      </c>
      <c r="AL107" s="67" t="s">
        <v>36</v>
      </c>
      <c r="AM107" s="67" t="s">
        <v>36</v>
      </c>
      <c r="AN107" s="67" t="s">
        <v>36</v>
      </c>
      <c r="AO107" s="67" t="s">
        <v>37</v>
      </c>
      <c r="AP107" s="68"/>
      <c r="AQ107" s="67" t="s">
        <v>38</v>
      </c>
      <c r="AR107" s="67" t="s">
        <v>36</v>
      </c>
      <c r="AS107" s="67" t="s">
        <v>36</v>
      </c>
      <c r="AT107" s="67" t="s">
        <v>36</v>
      </c>
      <c r="AU107" s="52"/>
      <c r="AV107" s="52"/>
      <c r="AW107" s="52"/>
      <c r="AX107" s="52"/>
      <c r="AY107" s="52" t="s">
        <v>38</v>
      </c>
      <c r="AZ107" s="131" t="s">
        <v>38</v>
      </c>
    </row>
    <row r="108" spans="1:52"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P108" s="36"/>
      <c r="AQ108" s="36"/>
      <c r="AR108" s="36"/>
      <c r="AS108" s="36"/>
      <c r="AT108" s="36"/>
    </row>
    <row r="109" spans="1:52"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P109" s="36"/>
      <c r="AQ109" s="36"/>
      <c r="AR109" s="36"/>
      <c r="AS109" s="36"/>
      <c r="AT109" s="36"/>
    </row>
    <row r="110" spans="1:52"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P110" s="36"/>
      <c r="AQ110" s="36"/>
      <c r="AR110" s="36"/>
      <c r="AS110" s="36"/>
      <c r="AT110" s="36"/>
    </row>
    <row r="111" spans="1:52"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P111" s="36"/>
      <c r="AQ111" s="36"/>
      <c r="AR111" s="36"/>
      <c r="AS111" s="36"/>
      <c r="AT111" s="36"/>
    </row>
    <row r="112" spans="1:52"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P112" s="36"/>
      <c r="AQ112" s="36"/>
      <c r="AR112" s="36"/>
      <c r="AS112" s="36"/>
      <c r="AT112" s="36"/>
    </row>
    <row r="113" spans="4:46"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P113" s="36"/>
      <c r="AQ113" s="36"/>
      <c r="AR113" s="36"/>
      <c r="AS113" s="36"/>
      <c r="AT113" s="36"/>
    </row>
    <row r="114" spans="4:46"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P114" s="36"/>
      <c r="AQ114" s="36"/>
      <c r="AR114" s="36"/>
      <c r="AS114" s="36"/>
      <c r="AT114" s="36"/>
    </row>
  </sheetData>
  <autoFilter ref="A3:BC114" xr:uid="{8271479B-E026-49AE-89A6-DA384B6508DF}"/>
  <mergeCells count="16">
    <mergeCell ref="D2:G2"/>
    <mergeCell ref="D1:P1"/>
    <mergeCell ref="Q1:AE1"/>
    <mergeCell ref="Q2:V2"/>
    <mergeCell ref="W2:Z2"/>
    <mergeCell ref="M2:O2"/>
    <mergeCell ref="H2:K2"/>
    <mergeCell ref="AA2:AF2"/>
    <mergeCell ref="AU2:AZ2"/>
    <mergeCell ref="AJ2:AK2"/>
    <mergeCell ref="AG2:AI2"/>
    <mergeCell ref="AL2:AN2"/>
    <mergeCell ref="AG1:AO1"/>
    <mergeCell ref="AP1:AT1"/>
    <mergeCell ref="AP2:AT2"/>
    <mergeCell ref="AU1:AZ1"/>
  </mergeCells>
  <conditionalFormatting sqref="B10:B12 B19 N25:S25 AB36:AE36 R81">
    <cfRule type="cellIs" dxfId="261" priority="316" operator="equal">
      <formula>"Working"</formula>
    </cfRule>
    <cfRule type="cellIs" dxfId="260" priority="317" operator="equal">
      <formula>"Expert"</formula>
    </cfRule>
    <cfRule type="cellIs" dxfId="259" priority="318" operator="equal">
      <formula>"Awareness"</formula>
    </cfRule>
    <cfRule type="cellIs" dxfId="258" priority="319" operator="equal">
      <formula>"Practitioner"</formula>
    </cfRule>
  </conditionalFormatting>
  <conditionalFormatting sqref="D39:J39 D42:J42 S42:V44 AH42:AK44 D44:J44 D47:J48 AP48 AP56:AP59 D57:J61 K60:N61 D64:N64 AI64:AK64 AU74:AZ78 K75:T75 D75:J76 V75:Z78 AH75:AK78 U75:U79 AF75:AG79 K76:P76 R76 S76:T78 AL76:AN79 V79 X79:Z79 AU80:AZ80 R81 U81:V81 X81:AG81 AL81:AT82 AF82:AG82 W83:Y83 V87:Y87 Z87:Z88 W90:Z91">
    <cfRule type="cellIs" dxfId="257" priority="324" operator="equal">
      <formula>""</formula>
    </cfRule>
  </conditionalFormatting>
  <conditionalFormatting sqref="D107:J107 AL107:AN107">
    <cfRule type="cellIs" dxfId="256" priority="89" operator="equal">
      <formula>"No Knowledge"</formula>
    </cfRule>
  </conditionalFormatting>
  <conditionalFormatting sqref="D24:M25 AI24:AK25 T32:Z33 D54:P56 AI54:AK56 D65:P74 AI65:AK74">
    <cfRule type="cellIs" dxfId="255" priority="246" operator="equal">
      <formula>"Working"</formula>
    </cfRule>
    <cfRule type="cellIs" dxfId="254" priority="248" operator="equal">
      <formula>"Awareness"</formula>
    </cfRule>
    <cfRule type="cellIs" dxfId="253" priority="249" operator="equal">
      <formula>"Practitioner"</formula>
    </cfRule>
    <cfRule type="cellIs" dxfId="252" priority="247" operator="equal">
      <formula>"Expert"</formula>
    </cfRule>
  </conditionalFormatting>
  <conditionalFormatting sqref="D43:M43">
    <cfRule type="cellIs" dxfId="251" priority="221" operator="equal">
      <formula>"No Knowledge"</formula>
    </cfRule>
  </conditionalFormatting>
  <conditionalFormatting sqref="D4:S23 AF4:AG23 AH4:AK30 B10:B12 AL14:AN14 AP17 B19 N24:V24 N25:S25 D26:S30 AU28:AX28 AL29:AN29 D37:J38 D40:J41 AY48:AZ52 AU49:AX52 D49:Y53 AF49:AK53 AQ49:AT53 AL50:AP53 AU54:AX54 Z55 AL55:AN58 D62:Q63 AI62:AK63 AL63:AL64 AY65:AZ65 AF66:AG66 K77:R78 AI77:AK78 D77:J79 K79:M79 AL80:AN80 D81:M81 D83:P90 AI83:AK90 AL83:AN91 AY85:AZ85 AF86">
    <cfRule type="cellIs" dxfId="250" priority="321" operator="equal">
      <formula>"No Knowledge"</formula>
    </cfRule>
  </conditionalFormatting>
  <conditionalFormatting sqref="D82:X82">
    <cfRule type="cellIs" dxfId="249" priority="5" operator="equal">
      <formula>"No Knowledge"</formula>
    </cfRule>
  </conditionalFormatting>
  <conditionalFormatting sqref="D4:Z23 AL4:AN60 AO4:AP69 N24:Z24 T25:Z28 K26:S28 D26:J53 K29:Z31 AI32:AK38 Z34:Z54 K39:V44 K45:U46 K47:Y53 Q55:Z55 Z56:Z69 K57:Y61 D57:J64 AL61:AM61 AN61:AN62 K62:T64 Q65:Y69 Q70:Z70 AL70:AP75 Z71:Z75 D75:Y75 AH83:AP91 AY85:AZ85">
    <cfRule type="cellIs" dxfId="248" priority="240" operator="equal">
      <formula>"Working"</formula>
    </cfRule>
  </conditionalFormatting>
  <conditionalFormatting sqref="D4:Z23 AL4:AN60 AO4:AP69 N24:Z24 T25:Z28 K26:S28 D26:J53 K29:Z31 AI32:AK38 Z34:Z54 K39:V44 K45:U46 K47:Y53 Q55:Z55 Z56:Z69 K57:Y61 D57:J64 AL61:AM61 AN61:AN62 K62:T64 Q65:Y69 Q70:Z70 AL70:AP75 Z71:Z75 D75:Y75 AY85:AZ85">
    <cfRule type="cellIs" dxfId="247" priority="241" operator="equal">
      <formula>"Expert"</formula>
    </cfRule>
    <cfRule type="cellIs" dxfId="246" priority="242" operator="equal">
      <formula>"Awareness"</formula>
    </cfRule>
    <cfRule type="cellIs" dxfId="245" priority="243" operator="equal">
      <formula>"Practitioner"</formula>
    </cfRule>
  </conditionalFormatting>
  <conditionalFormatting sqref="D76:Z81 AU80:AZ82">
    <cfRule type="cellIs" dxfId="244" priority="188" operator="equal">
      <formula>"Awareness"</formula>
    </cfRule>
    <cfRule type="cellIs" dxfId="243" priority="189" operator="equal">
      <formula>"Practitioner"</formula>
    </cfRule>
    <cfRule type="cellIs" dxfId="242" priority="187" operator="equal">
      <formula>"Expert"</formula>
    </cfRule>
  </conditionalFormatting>
  <conditionalFormatting sqref="D76:Z81">
    <cfRule type="cellIs" dxfId="241" priority="186" operator="equal">
      <formula>"Working"</formula>
    </cfRule>
  </conditionalFormatting>
  <conditionalFormatting sqref="D107:Z107">
    <cfRule type="cellIs" dxfId="240" priority="84" operator="equal">
      <formula>""</formula>
    </cfRule>
  </conditionalFormatting>
  <conditionalFormatting sqref="D82:AS82">
    <cfRule type="cellIs" dxfId="239" priority="1" operator="equal">
      <formula>"Working"</formula>
    </cfRule>
  </conditionalFormatting>
  <conditionalFormatting sqref="D82:AT82">
    <cfRule type="cellIs" dxfId="238" priority="2" operator="equal">
      <formula>"Expert"</formula>
    </cfRule>
    <cfRule type="cellIs" dxfId="237" priority="3" operator="equal">
      <formula>"Awareness"</formula>
    </cfRule>
    <cfRule type="cellIs" dxfId="236" priority="4" operator="equal">
      <formula>"Practitioner"</formula>
    </cfRule>
  </conditionalFormatting>
  <conditionalFormatting sqref="D107:AT107">
    <cfRule type="cellIs" dxfId="235" priority="58" operator="equal">
      <formula>"Practitioner"</formula>
    </cfRule>
    <cfRule type="cellIs" dxfId="234" priority="57" operator="equal">
      <formula>"Awareness"</formula>
    </cfRule>
    <cfRule type="cellIs" dxfId="233" priority="56" operator="equal">
      <formula>"Expert"</formula>
    </cfRule>
    <cfRule type="cellIs" dxfId="232" priority="55" operator="equal">
      <formula>"Working"</formula>
    </cfRule>
  </conditionalFormatting>
  <conditionalFormatting sqref="K35:M38">
    <cfRule type="cellIs" dxfId="231" priority="226" operator="equal">
      <formula>"No Knowledge"</formula>
    </cfRule>
  </conditionalFormatting>
  <conditionalFormatting sqref="K32:P38">
    <cfRule type="cellIs" dxfId="230" priority="225" operator="equal">
      <formula>"Practitioner"</formula>
    </cfRule>
    <cfRule type="cellIs" dxfId="229" priority="224" operator="equal">
      <formula>"Awareness"</formula>
    </cfRule>
    <cfRule type="cellIs" dxfId="228" priority="222" operator="equal">
      <formula>"Working"</formula>
    </cfRule>
    <cfRule type="cellIs" dxfId="227" priority="223" operator="equal">
      <formula>"Expert"</formula>
    </cfRule>
  </conditionalFormatting>
  <conditionalFormatting sqref="L47:N47">
    <cfRule type="cellIs" dxfId="226" priority="322" operator="equal">
      <formula>""</formula>
    </cfRule>
  </conditionalFormatting>
  <conditionalFormatting sqref="N37 AJ37:AK37">
    <cfRule type="cellIs" dxfId="225" priority="228" operator="equal">
      <formula>"No Knowledge"</formula>
    </cfRule>
  </conditionalFormatting>
  <conditionalFormatting sqref="O35:O44">
    <cfRule type="cellIs" dxfId="224" priority="229" operator="equal">
      <formula>"No Knowledge"</formula>
    </cfRule>
  </conditionalFormatting>
  <conditionalFormatting sqref="O47:O48">
    <cfRule type="cellIs" dxfId="223" priority="218" operator="equal">
      <formula>"No Knowledge"</formula>
    </cfRule>
  </conditionalFormatting>
  <conditionalFormatting sqref="O57:O58">
    <cfRule type="cellIs" dxfId="222" priority="215" operator="equal">
      <formula>"No Knowledge"</formula>
    </cfRule>
  </conditionalFormatting>
  <conditionalFormatting sqref="O64">
    <cfRule type="cellIs" dxfId="221" priority="209" operator="equal">
      <formula>"No Knowledge"</formula>
    </cfRule>
  </conditionalFormatting>
  <conditionalFormatting sqref="O79 O81">
    <cfRule type="cellIs" dxfId="220" priority="190" operator="equal">
      <formula>"No Knowledge"</formula>
    </cfRule>
  </conditionalFormatting>
  <conditionalFormatting sqref="P57:P61">
    <cfRule type="cellIs" dxfId="219" priority="306" operator="equal">
      <formula>"n/a"</formula>
    </cfRule>
  </conditionalFormatting>
  <conditionalFormatting sqref="P64">
    <cfRule type="cellIs" dxfId="218" priority="307" operator="equal">
      <formula>""</formula>
    </cfRule>
  </conditionalFormatting>
  <conditionalFormatting sqref="Q76">
    <cfRule type="cellIs" dxfId="217" priority="296" operator="equal">
      <formula>"n/a"</formula>
    </cfRule>
  </conditionalFormatting>
  <conditionalFormatting sqref="Q85:R86">
    <cfRule type="cellIs" dxfId="216" priority="193" operator="equal">
      <formula>"No Knowledge"</formula>
    </cfRule>
  </conditionalFormatting>
  <conditionalFormatting sqref="Q32:S35">
    <cfRule type="cellIs" dxfId="215" priority="235" operator="equal">
      <formula>"Working"</formula>
    </cfRule>
    <cfRule type="cellIs" dxfId="214" priority="239" operator="equal">
      <formula>"No Knowledge"</formula>
    </cfRule>
    <cfRule type="cellIs" dxfId="213" priority="238" operator="equal">
      <formula>"Practitioner"</formula>
    </cfRule>
    <cfRule type="cellIs" dxfId="212" priority="237" operator="equal">
      <formula>"Awareness"</formula>
    </cfRule>
    <cfRule type="cellIs" dxfId="211" priority="236" operator="equal">
      <formula>"Expert"</formula>
    </cfRule>
  </conditionalFormatting>
  <conditionalFormatting sqref="Q37:T38">
    <cfRule type="cellIs" dxfId="210" priority="234" operator="equal">
      <formula>"No Knowledge"</formula>
    </cfRule>
  </conditionalFormatting>
  <conditionalFormatting sqref="Q79:T79 Q81:T81">
    <cfRule type="cellIs" dxfId="209" priority="200" operator="equal">
      <formula>"No Knowledge"</formula>
    </cfRule>
  </conditionalFormatting>
  <conditionalFormatting sqref="Q83:T84 Z83:Z85 V83:V86 U83:U87 Y84 S85:T85 T86 Q87:T87 Y88 Q89:V91">
    <cfRule type="cellIs" dxfId="208" priority="294" operator="equal">
      <formula>""</formula>
    </cfRule>
  </conditionalFormatting>
  <conditionalFormatting sqref="Q65:V69">
    <cfRule type="cellIs" dxfId="207" priority="208" operator="equal">
      <formula>"No Knowledge"</formula>
    </cfRule>
  </conditionalFormatting>
  <conditionalFormatting sqref="Q88:V88">
    <cfRule type="cellIs" dxfId="206" priority="192" operator="equal">
      <formula>"No Knowledge"</formula>
    </cfRule>
  </conditionalFormatting>
  <conditionalFormatting sqref="Q55:W55">
    <cfRule type="cellIs" dxfId="205" priority="216" operator="equal">
      <formula>"No Knowledge"</formula>
    </cfRule>
  </conditionalFormatting>
  <conditionalFormatting sqref="Q107:W107">
    <cfRule type="cellIs" dxfId="204" priority="54" operator="equal">
      <formula>"No Knowledge"</formula>
    </cfRule>
  </conditionalFormatting>
  <conditionalFormatting sqref="Q36:Y38">
    <cfRule type="cellIs" dxfId="203" priority="233" operator="equal">
      <formula>"Practitioner"</formula>
    </cfRule>
    <cfRule type="cellIs" dxfId="202" priority="230" operator="equal">
      <formula>"Working"</formula>
    </cfRule>
    <cfRule type="cellIs" dxfId="201" priority="231" operator="equal">
      <formula>"Expert"</formula>
    </cfRule>
    <cfRule type="cellIs" dxfId="200" priority="232" operator="equal">
      <formula>"Awareness"</formula>
    </cfRule>
  </conditionalFormatting>
  <conditionalFormatting sqref="Q54:Y54 Q56:Y56">
    <cfRule type="cellIs" dxfId="199" priority="315" operator="equal">
      <formula>"Practitioner"</formula>
    </cfRule>
    <cfRule type="cellIs" dxfId="198" priority="314" operator="equal">
      <formula>"Awareness"</formula>
    </cfRule>
    <cfRule type="cellIs" dxfId="197" priority="313" operator="equal">
      <formula>"Expert"</formula>
    </cfRule>
    <cfRule type="cellIs" dxfId="196" priority="312" operator="equal">
      <formula>"Working"</formula>
    </cfRule>
  </conditionalFormatting>
  <conditionalFormatting sqref="Q71:Y74">
    <cfRule type="cellIs" dxfId="195" priority="203" operator="equal">
      <formula>"Expert"</formula>
    </cfRule>
    <cfRule type="cellIs" dxfId="194" priority="205" operator="equal">
      <formula>"Practitioner"</formula>
    </cfRule>
    <cfRule type="cellIs" dxfId="193" priority="202" operator="equal">
      <formula>"Working"</formula>
    </cfRule>
    <cfRule type="cellIs" dxfId="192" priority="204" operator="equal">
      <formula>"Awareness"</formula>
    </cfRule>
  </conditionalFormatting>
  <conditionalFormatting sqref="R62:S63">
    <cfRule type="cellIs" dxfId="191" priority="295" operator="equal">
      <formula>"n/a"</formula>
    </cfRule>
  </conditionalFormatting>
  <conditionalFormatting sqref="S86">
    <cfRule type="cellIs" dxfId="190" priority="191" operator="equal">
      <formula>"No Knowledge"</formula>
    </cfRule>
  </conditionalFormatting>
  <conditionalFormatting sqref="S40:V41">
    <cfRule type="cellIs" dxfId="189" priority="298" operator="equal">
      <formula>"n/a"</formula>
    </cfRule>
  </conditionalFormatting>
  <conditionalFormatting sqref="S39:Y39">
    <cfRule type="cellIs" dxfId="188" priority="299" operator="equal">
      <formula>""</formula>
    </cfRule>
  </conditionalFormatting>
  <conditionalFormatting sqref="T34:T35">
    <cfRule type="cellIs" dxfId="187" priority="279" operator="equal">
      <formula>"No Knowledge"</formula>
    </cfRule>
  </conditionalFormatting>
  <conditionalFormatting sqref="T4:U23 V14:Y14">
    <cfRule type="cellIs" dxfId="186" priority="311" operator="equal">
      <formula>"n/a"</formula>
    </cfRule>
  </conditionalFormatting>
  <conditionalFormatting sqref="T34:Y35">
    <cfRule type="cellIs" dxfId="185" priority="277" operator="equal">
      <formula>"Practitioner"</formula>
    </cfRule>
    <cfRule type="cellIs" dxfId="184" priority="276" operator="equal">
      <formula>"Awareness"</formula>
    </cfRule>
    <cfRule type="cellIs" dxfId="183" priority="275" operator="equal">
      <formula>"Expert"</formula>
    </cfRule>
    <cfRule type="cellIs" dxfId="182" priority="274" operator="equal">
      <formula>"Working"</formula>
    </cfRule>
  </conditionalFormatting>
  <conditionalFormatting sqref="U61:V64">
    <cfRule type="cellIs" dxfId="181" priority="172" operator="equal">
      <formula>"No Knowledge"</formula>
    </cfRule>
    <cfRule type="cellIs" dxfId="180" priority="173" operator="equal">
      <formula>"Working"</formula>
    </cfRule>
    <cfRule type="cellIs" dxfId="179" priority="176" operator="equal">
      <formula>"Practitioner"</formula>
    </cfRule>
    <cfRule type="cellIs" dxfId="178" priority="174" operator="equal">
      <formula>"Expert"</formula>
    </cfRule>
    <cfRule type="cellIs" dxfId="177" priority="175" operator="equal">
      <formula>"Awareness"</formula>
    </cfRule>
  </conditionalFormatting>
  <conditionalFormatting sqref="V45 V46:Y46">
    <cfRule type="cellIs" dxfId="176" priority="330" operator="equal">
      <formula>"Working"</formula>
    </cfRule>
    <cfRule type="cellIs" dxfId="175" priority="331" operator="equal">
      <formula>"Expert"</formula>
    </cfRule>
    <cfRule type="cellIs" dxfId="174" priority="332" operator="equal">
      <formula>"Awareness"</formula>
    </cfRule>
    <cfRule type="cellIs" dxfId="173" priority="333" operator="equal">
      <formula>"Practitioner"</formula>
    </cfRule>
  </conditionalFormatting>
  <conditionalFormatting sqref="V71:V73 Q71:U74 W73:Y73 V74:Y74">
    <cfRule type="cellIs" dxfId="172" priority="206" operator="equal">
      <formula>"No Knowledge"</formula>
    </cfRule>
  </conditionalFormatting>
  <conditionalFormatting sqref="V4:AE13 AB14:AE14 AA15:AE28">
    <cfRule type="cellIs" dxfId="171" priority="148" operator="equal">
      <formula>"n/a"</formula>
    </cfRule>
  </conditionalFormatting>
  <conditionalFormatting sqref="W79">
    <cfRule type="cellIs" dxfId="170" priority="199" operator="equal">
      <formula>"No Knowledge"</formula>
    </cfRule>
  </conditionalFormatting>
  <conditionalFormatting sqref="W84:X84">
    <cfRule type="cellIs" dxfId="169" priority="196" operator="equal">
      <formula>"No Knowledge"</formula>
    </cfRule>
  </conditionalFormatting>
  <conditionalFormatting sqref="W88:X89">
    <cfRule type="cellIs" dxfId="168" priority="195" operator="equal">
      <formula>"No Knowledge"</formula>
    </cfRule>
  </conditionalFormatting>
  <conditionalFormatting sqref="W31:Y31">
    <cfRule type="cellIs" dxfId="167" priority="280" operator="equal">
      <formula>"No Knowledge"</formula>
    </cfRule>
  </conditionalFormatting>
  <conditionalFormatting sqref="W34:Y35">
    <cfRule type="cellIs" dxfId="166" priority="278" operator="equal">
      <formula>"No Knowledge"</formula>
    </cfRule>
  </conditionalFormatting>
  <conditionalFormatting sqref="W37:Y38">
    <cfRule type="cellIs" dxfId="165" priority="273" operator="equal">
      <formula>"No Knowledge"</formula>
    </cfRule>
  </conditionalFormatting>
  <conditionalFormatting sqref="W39:Y45">
    <cfRule type="cellIs" dxfId="164" priority="269" operator="equal">
      <formula>"Working"</formula>
    </cfRule>
    <cfRule type="cellIs" dxfId="163" priority="270" operator="equal">
      <formula>"Expert"</formula>
    </cfRule>
    <cfRule type="cellIs" dxfId="162" priority="271" operator="equal">
      <formula>"Awareness"</formula>
    </cfRule>
    <cfRule type="cellIs" dxfId="161" priority="272" operator="equal">
      <formula>"Practitioner"</formula>
    </cfRule>
  </conditionalFormatting>
  <conditionalFormatting sqref="W62:Y64">
    <cfRule type="cellIs" dxfId="160" priority="212" operator="equal">
      <formula>"Awareness"</formula>
    </cfRule>
    <cfRule type="cellIs" dxfId="159" priority="213" operator="equal">
      <formula>"Practitioner"</formula>
    </cfRule>
    <cfRule type="cellIs" dxfId="158" priority="211" operator="equal">
      <formula>"Expert"</formula>
    </cfRule>
    <cfRule type="cellIs" dxfId="157" priority="210" operator="equal">
      <formula>"Working"</formula>
    </cfRule>
  </conditionalFormatting>
  <conditionalFormatting sqref="W66:Y69">
    <cfRule type="cellIs" dxfId="156" priority="207" operator="equal">
      <formula>"No Knowledge"</formula>
    </cfRule>
  </conditionalFormatting>
  <conditionalFormatting sqref="W71:Y71">
    <cfRule type="cellIs" dxfId="155" priority="201" operator="equal">
      <formula>"No Knowledge"</formula>
    </cfRule>
  </conditionalFormatting>
  <conditionalFormatting sqref="W85:Y86">
    <cfRule type="cellIs" dxfId="154" priority="197" operator="equal">
      <formula>"No Knowledge"</formula>
    </cfRule>
  </conditionalFormatting>
  <conditionalFormatting sqref="W63:Z63">
    <cfRule type="cellIs" dxfId="153" priority="214" operator="equal">
      <formula>"No Knowledge"</formula>
    </cfRule>
  </conditionalFormatting>
  <conditionalFormatting sqref="W81:Z81">
    <cfRule type="cellIs" dxfId="152" priority="96" operator="equal">
      <formula>"No Knowledge"</formula>
    </cfRule>
  </conditionalFormatting>
  <conditionalFormatting sqref="Y40:Y41">
    <cfRule type="cellIs" dxfId="151" priority="302" operator="equal">
      <formula>"n/a"</formula>
    </cfRule>
  </conditionalFormatting>
  <conditionalFormatting sqref="Y42 Y44">
    <cfRule type="cellIs" dxfId="150" priority="303" operator="equal">
      <formula>""</formula>
    </cfRule>
  </conditionalFormatting>
  <conditionalFormatting sqref="Y43">
    <cfRule type="cellIs" dxfId="149" priority="217" operator="equal">
      <formula>"No Knowledge"</formula>
    </cfRule>
  </conditionalFormatting>
  <conditionalFormatting sqref="Y45">
    <cfRule type="cellIs" dxfId="148" priority="301" operator="equal">
      <formula>"n/a"</formula>
    </cfRule>
  </conditionalFormatting>
  <conditionalFormatting sqref="Y82">
    <cfRule type="cellIs" dxfId="147" priority="10" operator="equal">
      <formula>""</formula>
    </cfRule>
  </conditionalFormatting>
  <conditionalFormatting sqref="Y89">
    <cfRule type="cellIs" dxfId="146" priority="194" operator="equal">
      <formula>"No Knowledge"</formula>
    </cfRule>
  </conditionalFormatting>
  <conditionalFormatting sqref="Z34:Z54 P39:R44 W40:X45">
    <cfRule type="cellIs" dxfId="145" priority="309" operator="equal">
      <formula>"n/a"</formula>
    </cfRule>
  </conditionalFormatting>
  <conditionalFormatting sqref="Z86">
    <cfRule type="cellIs" dxfId="144" priority="198" operator="equal">
      <formula>"No Knowledge"</formula>
    </cfRule>
  </conditionalFormatting>
  <conditionalFormatting sqref="Z89">
    <cfRule type="cellIs" dxfId="143" priority="282" operator="equal">
      <formula>"n/a"</formula>
    </cfRule>
  </conditionalFormatting>
  <conditionalFormatting sqref="Z14:AE14">
    <cfRule type="cellIs" dxfId="142" priority="145" operator="equal">
      <formula>"No Knowledge"</formula>
    </cfRule>
  </conditionalFormatting>
  <conditionalFormatting sqref="Z82:AE82">
    <cfRule type="cellIs" dxfId="141" priority="15" operator="equal">
      <formula>"No Knowledge"</formula>
    </cfRule>
  </conditionalFormatting>
  <conditionalFormatting sqref="Z107:AE107">
    <cfRule type="cellIs" dxfId="140" priority="53" operator="equal">
      <formula>"No Knowledge"</formula>
    </cfRule>
  </conditionalFormatting>
  <conditionalFormatting sqref="AA4:AA81 D83:AF91">
    <cfRule type="cellIs" dxfId="139" priority="103" operator="equal">
      <formula>"Practitioner"</formula>
    </cfRule>
    <cfRule type="cellIs" dxfId="138" priority="102" operator="equal">
      <formula>"Awareness"</formula>
    </cfRule>
    <cfRule type="cellIs" dxfId="137" priority="101" operator="equal">
      <formula>"Expert"</formula>
    </cfRule>
    <cfRule type="cellIs" dxfId="136" priority="100" operator="equal">
      <formula>"Working"</formula>
    </cfRule>
  </conditionalFormatting>
  <conditionalFormatting sqref="AA39:AA49">
    <cfRule type="cellIs" dxfId="135" priority="146" operator="equal">
      <formula>"n/a"</formula>
    </cfRule>
  </conditionalFormatting>
  <conditionalFormatting sqref="AA49">
    <cfRule type="cellIs" dxfId="134" priority="98" operator="equal">
      <formula>"No Knowledge"</formula>
    </cfRule>
  </conditionalFormatting>
  <conditionalFormatting sqref="AA59:AA62 AA65 AA71:AA75">
    <cfRule type="cellIs" dxfId="133" priority="147" operator="equal">
      <formula>"n/a"</formula>
    </cfRule>
  </conditionalFormatting>
  <conditionalFormatting sqref="AA66:AA70">
    <cfRule type="cellIs" dxfId="132" priority="104" operator="equal">
      <formula>"No Knowledge"</formula>
    </cfRule>
  </conditionalFormatting>
  <conditionalFormatting sqref="AA54:AB54">
    <cfRule type="cellIs" dxfId="131" priority="99" operator="equal">
      <formula>"No Knowledge"</formula>
    </cfRule>
  </conditionalFormatting>
  <conditionalFormatting sqref="AA63:AB64">
    <cfRule type="cellIs" dxfId="130" priority="141" operator="equal">
      <formula>"No Knowledge"</formula>
    </cfRule>
  </conditionalFormatting>
  <conditionalFormatting sqref="AA30:AE30 AA36:AN36 AC54:AE54">
    <cfRule type="cellIs" dxfId="129" priority="150" operator="equal">
      <formula>"n/a"</formula>
    </cfRule>
  </conditionalFormatting>
  <conditionalFormatting sqref="AA31:AE35">
    <cfRule type="cellIs" dxfId="128" priority="143" operator="equal">
      <formula>"No Knowledge"</formula>
    </cfRule>
  </conditionalFormatting>
  <conditionalFormatting sqref="AA37:AE38">
    <cfRule type="cellIs" dxfId="127" priority="144" operator="equal">
      <formula>"No Knowledge"</formula>
    </cfRule>
  </conditionalFormatting>
  <conditionalFormatting sqref="AA50:AE53">
    <cfRule type="cellIs" dxfId="126" priority="142" operator="equal">
      <formula>"No Knowledge"</formula>
    </cfRule>
  </conditionalFormatting>
  <conditionalFormatting sqref="AA55:AE58">
    <cfRule type="cellIs" dxfId="125" priority="139" operator="equal">
      <formula>"No Knowledge"</formula>
    </cfRule>
  </conditionalFormatting>
  <conditionalFormatting sqref="AA76:AE79">
    <cfRule type="cellIs" dxfId="124" priority="149" operator="equal">
      <formula>""</formula>
    </cfRule>
  </conditionalFormatting>
  <conditionalFormatting sqref="AA80:AE81 AA83:AE91">
    <cfRule type="cellIs" dxfId="123" priority="105" operator="equal">
      <formula>"No Knowledge"</formula>
    </cfRule>
  </conditionalFormatting>
  <conditionalFormatting sqref="AA29:AF29 D45 AF55">
    <cfRule type="cellIs" dxfId="122" priority="219" operator="equal">
      <formula>"No Knowledge"</formula>
    </cfRule>
  </conditionalFormatting>
  <conditionalFormatting sqref="AA80:AG80">
    <cfRule type="cellIs" dxfId="121" priority="106" operator="equal">
      <formula>"n/a"</formula>
    </cfRule>
  </conditionalFormatting>
  <conditionalFormatting sqref="AB4:AK75">
    <cfRule type="cellIs" dxfId="120" priority="156" operator="equal">
      <formula>"Awareness"</formula>
    </cfRule>
    <cfRule type="cellIs" dxfId="119" priority="154" operator="equal">
      <formula>"Working"</formula>
    </cfRule>
    <cfRule type="cellIs" dxfId="118" priority="155" operator="equal">
      <formula>"Expert"</formula>
    </cfRule>
    <cfRule type="cellIs" dxfId="117" priority="157" operator="equal">
      <formula>"Practitioner"</formula>
    </cfRule>
  </conditionalFormatting>
  <conditionalFormatting sqref="AC39">
    <cfRule type="cellIs" dxfId="116" priority="300" operator="equal">
      <formula>""</formula>
    </cfRule>
  </conditionalFormatting>
  <conditionalFormatting sqref="AC40:AC41">
    <cfRule type="cellIs" dxfId="115" priority="266" operator="equal">
      <formula>"No Knowledge"</formula>
    </cfRule>
  </conditionalFormatting>
  <conditionalFormatting sqref="AC59:AC60">
    <cfRule type="cellIs" dxfId="114" priority="263" operator="equal">
      <formula>"No Knowledge"</formula>
    </cfRule>
  </conditionalFormatting>
  <conditionalFormatting sqref="AC62:AC69">
    <cfRule type="cellIs" dxfId="113" priority="261" operator="equal">
      <formula>"No Knowledge"</formula>
    </cfRule>
  </conditionalFormatting>
  <conditionalFormatting sqref="AC71:AC72">
    <cfRule type="cellIs" dxfId="112" priority="258" operator="equal">
      <formula>"No Knowledge"</formula>
    </cfRule>
  </conditionalFormatting>
  <conditionalFormatting sqref="AD63:AE63">
    <cfRule type="cellIs" dxfId="111" priority="262" operator="equal">
      <formula>"No Knowledge"</formula>
    </cfRule>
  </conditionalFormatting>
  <conditionalFormatting sqref="AD64:AE69">
    <cfRule type="cellIs" dxfId="110" priority="170" operator="equal">
      <formula>"Awareness"</formula>
    </cfRule>
    <cfRule type="cellIs" dxfId="109" priority="169" operator="equal">
      <formula>"Expert"</formula>
    </cfRule>
    <cfRule type="cellIs" dxfId="108" priority="168" operator="equal">
      <formula>"Working"</formula>
    </cfRule>
    <cfRule type="cellIs" dxfId="107" priority="171" operator="equal">
      <formula>"Practitioner"</formula>
    </cfRule>
  </conditionalFormatting>
  <conditionalFormatting sqref="AF4:AF28 AD39:AE41 K57:N59 O59:O61 X79:AG79 X81:AG81">
    <cfRule type="cellIs" dxfId="106" priority="310" operator="equal">
      <formula>"n/a"</formula>
    </cfRule>
  </conditionalFormatting>
  <conditionalFormatting sqref="AF82:AG82">
    <cfRule type="cellIs" dxfId="105" priority="51" operator="equal">
      <formula>"n/a"</formula>
    </cfRule>
  </conditionalFormatting>
  <conditionalFormatting sqref="AF83:AG83 AQ86:AT91">
    <cfRule type="cellIs" dxfId="104" priority="181" operator="equal">
      <formula>"Working"</formula>
    </cfRule>
  </conditionalFormatting>
  <conditionalFormatting sqref="AF83:AG83">
    <cfRule type="cellIs" dxfId="103" priority="182" operator="equal">
      <formula>"Expert"</formula>
    </cfRule>
    <cfRule type="cellIs" dxfId="102" priority="183" operator="equal">
      <formula>"Awareness"</formula>
    </cfRule>
    <cfRule type="cellIs" dxfId="101" priority="184" operator="equal">
      <formula>"Practitioner"</formula>
    </cfRule>
  </conditionalFormatting>
  <conditionalFormatting sqref="AF107:AG107 AY107:AZ107">
    <cfRule type="cellIs" dxfId="100" priority="72" operator="equal">
      <formula>"n/a"</formula>
    </cfRule>
  </conditionalFormatting>
  <conditionalFormatting sqref="AF107:AK107 AY107:AZ107">
    <cfRule type="cellIs" dxfId="99" priority="67" operator="equal">
      <formula>""</formula>
    </cfRule>
  </conditionalFormatting>
  <conditionalFormatting sqref="AG65 AO65">
    <cfRule type="cellIs" dxfId="98" priority="259" operator="equal">
      <formula>"No Knowledge"</formula>
    </cfRule>
  </conditionalFormatting>
  <conditionalFormatting sqref="AG83 AF83:AF85 AF87:AF91 AQ87:AT91">
    <cfRule type="cellIs" dxfId="97" priority="185" operator="equal">
      <formula>"n/a"</formula>
    </cfRule>
  </conditionalFormatting>
  <conditionalFormatting sqref="AG84:AG89 AO84:AO89">
    <cfRule type="cellIs" dxfId="96" priority="256" operator="equal">
      <formula>"No Knowledge"</formula>
    </cfRule>
  </conditionalFormatting>
  <conditionalFormatting sqref="AG84:AG91">
    <cfRule type="cellIs" dxfId="95" priority="254" operator="equal">
      <formula>"Awareness"</formula>
    </cfRule>
    <cfRule type="cellIs" dxfId="94" priority="253" operator="equal">
      <formula>"Expert"</formula>
    </cfRule>
    <cfRule type="cellIs" dxfId="93" priority="252" operator="equal">
      <formula>"Working"</formula>
    </cfRule>
    <cfRule type="cellIs" dxfId="92" priority="255" operator="equal">
      <formula>"Practitioner"</formula>
    </cfRule>
  </conditionalFormatting>
  <conditionalFormatting sqref="AG32:AK35">
    <cfRule type="cellIs" dxfId="91" priority="162" operator="equal">
      <formula>"No Knowledge"</formula>
    </cfRule>
  </conditionalFormatting>
  <conditionalFormatting sqref="AG37:AN38">
    <cfRule type="cellIs" dxfId="90" priority="161" operator="equal">
      <formula>"No Knowledge"</formula>
    </cfRule>
  </conditionalFormatting>
  <conditionalFormatting sqref="AH31:AK31 AH70:AM70">
    <cfRule type="cellIs" dxfId="89" priority="165" operator="equal">
      <formula>"n/a"</formula>
    </cfRule>
  </conditionalFormatting>
  <conditionalFormatting sqref="AH39:AK39">
    <cfRule type="cellIs" dxfId="88" priority="167" operator="equal">
      <formula>""</formula>
    </cfRule>
  </conditionalFormatting>
  <conditionalFormatting sqref="AH40:AK41">
    <cfRule type="cellIs" dxfId="87" priority="166" operator="equal">
      <formula>"n/a"</formula>
    </cfRule>
  </conditionalFormatting>
  <conditionalFormatting sqref="AH55:AK55">
    <cfRule type="cellIs" dxfId="86" priority="160" operator="equal">
      <formula>"No Knowledge"</formula>
    </cfRule>
  </conditionalFormatting>
  <conditionalFormatting sqref="AH56:AK64">
    <cfRule type="cellIs" dxfId="85" priority="164" operator="equal">
      <formula>"n/a"</formula>
    </cfRule>
  </conditionalFormatting>
  <conditionalFormatting sqref="AH65:AK69">
    <cfRule type="cellIs" dxfId="84" priority="159" operator="equal">
      <formula>"No Knowledge"</formula>
    </cfRule>
  </conditionalFormatting>
  <conditionalFormatting sqref="AH71:AK74">
    <cfRule type="cellIs" dxfId="83" priority="158" operator="equal">
      <formula>"No Knowledge"</formula>
    </cfRule>
  </conditionalFormatting>
  <conditionalFormatting sqref="AH79:AK79">
    <cfRule type="cellIs" dxfId="82" priority="153" operator="equal">
      <formula>"No Knowledge"</formula>
    </cfRule>
  </conditionalFormatting>
  <conditionalFormatting sqref="AH81:AK82">
    <cfRule type="cellIs" dxfId="81" priority="50" operator="equal">
      <formula>"No Knowledge"</formula>
    </cfRule>
  </conditionalFormatting>
  <conditionalFormatting sqref="AH83:AK85 AH87:AK87 AH89:AK91">
    <cfRule type="cellIs" dxfId="80" priority="163" operator="equal">
      <formula>""</formula>
    </cfRule>
  </conditionalFormatting>
  <conditionalFormatting sqref="AH86:AK86">
    <cfRule type="cellIs" dxfId="79" priority="151" operator="equal">
      <formula>"No Knowledge"</formula>
    </cfRule>
  </conditionalFormatting>
  <conditionalFormatting sqref="AH88:AK88">
    <cfRule type="cellIs" dxfId="78" priority="152" operator="equal">
      <formula>"No Knowledge"</formula>
    </cfRule>
  </conditionalFormatting>
  <conditionalFormatting sqref="AJ34:AJ35">
    <cfRule type="cellIs" dxfId="77" priority="244" operator="equal">
      <formula>"No Knowledge"</formula>
    </cfRule>
  </conditionalFormatting>
  <conditionalFormatting sqref="AJ38">
    <cfRule type="cellIs" dxfId="76" priority="227" operator="equal">
      <formula>"No Knowledge"</formula>
    </cfRule>
  </conditionalFormatting>
  <conditionalFormatting sqref="AJ41:AK41">
    <cfRule type="cellIs" dxfId="75" priority="245" operator="equal">
      <formula>"No Knowledge"</formula>
    </cfRule>
  </conditionalFormatting>
  <conditionalFormatting sqref="AJ47:AK48">
    <cfRule type="cellIs" dxfId="74" priority="220" operator="equal">
      <formula>"No Knowledge"</formula>
    </cfRule>
  </conditionalFormatting>
  <conditionalFormatting sqref="AL4:AN13 AQ4:AT28 AY9:AZ11 AF10:AG12 V15:Z23 AL15:AN28 AY23:AZ28 W24:Z24 AF24:AG31 V25:Z30 AU29:AZ29 AL30:AO30 AU30:AX30 AQ30:AT31 AY30:AZ47 D31:T31 AF32:AF45 AI34:AI35 G34:G38 J34:J38 AU35:AX48 D36:F36 H36:I36 AQ36:AT48 AI37:AI45 AJ39:AK40 K39:N42 AG39:AG45 AO39:AP47 AJ42:AK45 AB42:AE49 AL42:AN49 K44:N44 E45:H45 I45:T46 D46:H46 AI46:AK46 AF46:AG48 AU53:AZ53 AH54:AT54 AF54:AG64 AY54:AZ64 AU55:AX73 AB59:AB60 AL59:AL60 AD59:AE62 AN59:AN62 AB61:AC61 AL61:AM61 AB62 AL62 AD64:AE75 W65:Y65 AF65 Z65:Z69 AB65:AB69 AL65:AL69 AY66:AZ73 AF67:AG74 Q70:Z70 AB70:AC70 AB71:AB72 AL71:AL72 Z71:Z74 W72:Y72 AB73:AC75 AL73:AM75 AU78:AZ78 G79 J79 N79 P79 AI79 AL79:AO79 AU80:AZ80 G81 J81 N81 P81 AI81:AI82 AL81:AO82 D91:P91 AI91:AK91">
    <cfRule type="cellIs" dxfId="73" priority="297" operator="equal">
      <formula>"n/a"</formula>
    </cfRule>
  </conditionalFormatting>
  <conditionalFormatting sqref="AL62:AN69">
    <cfRule type="cellIs" dxfId="72" priority="113" operator="equal">
      <formula>"Working"</formula>
    </cfRule>
    <cfRule type="cellIs" dxfId="71" priority="116" operator="equal">
      <formula>"Practitioner"</formula>
    </cfRule>
    <cfRule type="cellIs" dxfId="70" priority="115" operator="equal">
      <formula>"Awareness"</formula>
    </cfRule>
    <cfRule type="cellIs" dxfId="69" priority="114" operator="equal">
      <formula>"Expert"</formula>
    </cfRule>
  </conditionalFormatting>
  <conditionalFormatting sqref="AM39">
    <cfRule type="cellIs" dxfId="68" priority="121" operator="equal">
      <formula>""</formula>
    </cfRule>
  </conditionalFormatting>
  <conditionalFormatting sqref="AM40:AM41">
    <cfRule type="cellIs" dxfId="67" priority="120" operator="equal">
      <formula>"No Knowledge"</formula>
    </cfRule>
  </conditionalFormatting>
  <conditionalFormatting sqref="AM59:AM60">
    <cfRule type="cellIs" dxfId="66" priority="119" operator="equal">
      <formula>"No Knowledge"</formula>
    </cfRule>
  </conditionalFormatting>
  <conditionalFormatting sqref="AM62:AM69">
    <cfRule type="cellIs" dxfId="65" priority="117" operator="equal">
      <formula>"No Knowledge"</formula>
    </cfRule>
  </conditionalFormatting>
  <conditionalFormatting sqref="AM71:AM72">
    <cfRule type="cellIs" dxfId="64" priority="112" operator="equal">
      <formula>"No Knowledge"</formula>
    </cfRule>
  </conditionalFormatting>
  <conditionalFormatting sqref="AN39:AN41">
    <cfRule type="cellIs" dxfId="63" priority="111" operator="equal">
      <formula>"n/a"</formula>
    </cfRule>
  </conditionalFormatting>
  <conditionalFormatting sqref="AN63">
    <cfRule type="cellIs" dxfId="62" priority="118" operator="equal">
      <formula>"No Knowledge"</formula>
    </cfRule>
  </conditionalFormatting>
  <conditionalFormatting sqref="AN64:AN69">
    <cfRule type="cellIs" dxfId="61" priority="110" operator="equal">
      <formula>"Practitioner"</formula>
    </cfRule>
    <cfRule type="cellIs" dxfId="60" priority="109" operator="equal">
      <formula>"Awareness"</formula>
    </cfRule>
    <cfRule type="cellIs" dxfId="59" priority="108" operator="equal">
      <formula>"Expert"</formula>
    </cfRule>
    <cfRule type="cellIs" dxfId="58" priority="107" operator="equal">
      <formula>"Working"</formula>
    </cfRule>
  </conditionalFormatting>
  <conditionalFormatting sqref="AN64:AN75">
    <cfRule type="cellIs" dxfId="57" priority="122" operator="equal">
      <formula>"n/a"</formula>
    </cfRule>
  </conditionalFormatting>
  <conditionalFormatting sqref="AO34">
    <cfRule type="cellIs" dxfId="56" priority="281" operator="equal">
      <formula>"No Knowledge"</formula>
    </cfRule>
  </conditionalFormatting>
  <conditionalFormatting sqref="AO48">
    <cfRule type="cellIs" dxfId="55" priority="304" operator="equal">
      <formula>"n/a"</formula>
    </cfRule>
  </conditionalFormatting>
  <conditionalFormatting sqref="AO4:AP12 AO13:AO23">
    <cfRule type="cellIs" dxfId="54" priority="251" operator="equal">
      <formula>"No Knowledge"</formula>
    </cfRule>
  </conditionalFormatting>
  <conditionalFormatting sqref="AO10:AP12 AO24:AO29 T25:T30 U25:U31 AP30:AP34 V31 Z31 AO31:AO33 P32:P37 V34:V35 U34:U38 AK35 N35:N36 AO35:AO37 Q36:T36 V36:Y36 AP36:AP37 V37:V38 N38 AK38 AB39:AB41 AL39:AL41 V45 U45:U48 AH45:AK48 V46:Y48 K47:K48 P47:T48 L48:N48 Q54:Y54 X55:Y55 AO55:AO59 Q56:Y61 Z56:Z62 W62:Y62 T62:T64 Q64:S64 W64:Z64 U79:V79 U81:V81">
    <cfRule type="cellIs" dxfId="53" priority="329" operator="equal">
      <formula>"n/a"</formula>
    </cfRule>
  </conditionalFormatting>
  <conditionalFormatting sqref="AO49:AP49">
    <cfRule type="cellIs" dxfId="52" priority="265" operator="equal">
      <formula>"No Knowledge"</formula>
    </cfRule>
  </conditionalFormatting>
  <conditionalFormatting sqref="AO60:AP64 AP65 AO67:AP74">
    <cfRule type="cellIs" dxfId="51" priority="305" operator="equal">
      <formula>"n/a"</formula>
    </cfRule>
  </conditionalFormatting>
  <conditionalFormatting sqref="AO66:AP66">
    <cfRule type="cellIs" dxfId="50" priority="260" operator="equal">
      <formula>"No Knowledge"</formula>
    </cfRule>
  </conditionalFormatting>
  <conditionalFormatting sqref="AO75:AP80">
    <cfRule type="cellIs" dxfId="49" priority="177" operator="equal">
      <formula>""</formula>
    </cfRule>
  </conditionalFormatting>
  <conditionalFormatting sqref="AO80:AP80">
    <cfRule type="cellIs" dxfId="48" priority="179" operator="equal">
      <formula>"n/a"</formula>
    </cfRule>
  </conditionalFormatting>
  <conditionalFormatting sqref="AO83:AP83">
    <cfRule type="cellIs" dxfId="47" priority="287" operator="equal">
      <formula>""</formula>
    </cfRule>
    <cfRule type="cellIs" dxfId="46" priority="288" operator="equal">
      <formula>"n/a"</formula>
    </cfRule>
  </conditionalFormatting>
  <conditionalFormatting sqref="AO107:AT107">
    <cfRule type="cellIs" dxfId="45" priority="64" operator="equal">
      <formula>""</formula>
    </cfRule>
    <cfRule type="cellIs" dxfId="44" priority="65" operator="equal">
      <formula>"n/a"</formula>
    </cfRule>
  </conditionalFormatting>
  <conditionalFormatting sqref="AP11:AP21 AI57:AK61">
    <cfRule type="cellIs" dxfId="43" priority="323" operator="equal">
      <formula>""</formula>
    </cfRule>
  </conditionalFormatting>
  <conditionalFormatting sqref="AP22:AP28">
    <cfRule type="cellIs" dxfId="42" priority="320" operator="equal">
      <formula>"n/a"</formula>
    </cfRule>
  </conditionalFormatting>
  <conditionalFormatting sqref="AP35">
    <cfRule type="cellIs" dxfId="41" priority="268" operator="equal">
      <formula>"No Knowledge"</formula>
    </cfRule>
  </conditionalFormatting>
  <conditionalFormatting sqref="AP84:AP85">
    <cfRule type="cellIs" dxfId="40" priority="286" operator="equal">
      <formula>"n/a"</formula>
    </cfRule>
    <cfRule type="cellIs" dxfId="39" priority="285" operator="equal">
      <formula>""</formula>
    </cfRule>
  </conditionalFormatting>
  <conditionalFormatting sqref="AP87:AP89 AG90:AG91 AO90:AP91">
    <cfRule type="cellIs" dxfId="38" priority="284" operator="equal">
      <formula>"n/a"</formula>
    </cfRule>
    <cfRule type="cellIs" dxfId="37" priority="283" operator="equal">
      <formula>""</formula>
    </cfRule>
  </conditionalFormatting>
  <conditionalFormatting sqref="AP29:AT29">
    <cfRule type="cellIs" dxfId="36" priority="267" operator="equal">
      <formula>"No Knowledge"</formula>
    </cfRule>
  </conditionalFormatting>
  <conditionalFormatting sqref="AP55:AT55">
    <cfRule type="cellIs" dxfId="35" priority="264" operator="equal">
      <formula>"No Knowledge"</formula>
    </cfRule>
  </conditionalFormatting>
  <conditionalFormatting sqref="AP86:AT86">
    <cfRule type="cellIs" dxfId="34" priority="257" operator="equal">
      <formula>"No Knowledge"</formula>
    </cfRule>
  </conditionalFormatting>
  <conditionalFormatting sqref="AQ83:AS85">
    <cfRule type="cellIs" dxfId="33" priority="289" operator="equal">
      <formula>"Working"</formula>
    </cfRule>
  </conditionalFormatting>
  <conditionalFormatting sqref="AQ4:AT75">
    <cfRule type="cellIs" dxfId="32" priority="128" operator="equal">
      <formula>"Expert"</formula>
    </cfRule>
    <cfRule type="cellIs" dxfId="31" priority="129" operator="equal">
      <formula>"Awareness"</formula>
    </cfRule>
    <cfRule type="cellIs" dxfId="30" priority="130" operator="equal">
      <formula>"Practitioner"</formula>
    </cfRule>
    <cfRule type="cellIs" dxfId="29" priority="127" operator="equal">
      <formula>"Working"</formula>
    </cfRule>
  </conditionalFormatting>
  <conditionalFormatting sqref="AQ32:AT35">
    <cfRule type="cellIs" dxfId="28" priority="131" operator="equal">
      <formula>"No Knowledge"</formula>
    </cfRule>
  </conditionalFormatting>
  <conditionalFormatting sqref="AQ56:AT75">
    <cfRule type="cellIs" dxfId="27" priority="293" operator="equal">
      <formula>"n/a"</formula>
    </cfRule>
  </conditionalFormatting>
  <conditionalFormatting sqref="AQ76:AT80 D80:AK80 AG83 AF83:AF85 AF87:AF91 AQ87:AT91">
    <cfRule type="cellIs" dxfId="26" priority="180" operator="equal">
      <formula>""</formula>
    </cfRule>
  </conditionalFormatting>
  <conditionalFormatting sqref="AQ79:AT85">
    <cfRule type="cellIs" dxfId="25" priority="133" operator="equal">
      <formula>"n/a"</formula>
    </cfRule>
  </conditionalFormatting>
  <conditionalFormatting sqref="AQ83:AT85">
    <cfRule type="cellIs" dxfId="24" priority="132" operator="equal">
      <formula>""</formula>
    </cfRule>
  </conditionalFormatting>
  <conditionalFormatting sqref="AT76:AT85">
    <cfRule type="cellIs" dxfId="23" priority="123" operator="equal">
      <formula>"Working"</formula>
    </cfRule>
  </conditionalFormatting>
  <conditionalFormatting sqref="AU4:AX27 N43">
    <cfRule type="cellIs" dxfId="22" priority="308" operator="equal">
      <formula>"n/a"</formula>
    </cfRule>
  </conditionalFormatting>
  <conditionalFormatting sqref="AU4:AZ78 AB76:AT81 AH83:AT91">
    <cfRule type="cellIs" dxfId="21" priority="126" operator="equal">
      <formula>"Practitioner"</formula>
    </cfRule>
    <cfRule type="cellIs" dxfId="20" priority="124" operator="equal">
      <formula>"Expert"</formula>
    </cfRule>
    <cfRule type="cellIs" dxfId="19" priority="125" operator="equal">
      <formula>"Awareness"</formula>
    </cfRule>
  </conditionalFormatting>
  <conditionalFormatting sqref="AU4:AZ82 AB76:AS81">
    <cfRule type="cellIs" dxfId="18" priority="178" operator="equal">
      <formula>"Working"</formula>
    </cfRule>
  </conditionalFormatting>
  <conditionalFormatting sqref="AY4:AZ22 D24:M25 AI24:AK25 AU31:AX34 AL31:AN35 T32:Z33 AI32:AK33 K32:O34 D32:J35 AK34 D54:P56 AI54:AK56 D65:P74 AI65:AK74">
    <cfRule type="cellIs" dxfId="17" priority="250" operator="equal">
      <formula>"No Knowledge"</formula>
    </cfRule>
  </conditionalFormatting>
  <conditionalFormatting sqref="AY107:AZ107">
    <cfRule type="cellIs" dxfId="16" priority="68" operator="equal">
      <formula>"Working"</formula>
    </cfRule>
    <cfRule type="cellIs" dxfId="15" priority="69" operator="equal">
      <formula>"Expert"</formula>
    </cfRule>
    <cfRule type="cellIs" dxfId="14" priority="70" operator="equal">
      <formula>"Awareness"</formula>
    </cfRule>
    <cfRule type="cellIs" dxfId="13" priority="71" operator="equal">
      <formula>"Practitioner"</formula>
    </cfRule>
  </conditionalFormatting>
  <dataValidations count="1">
    <dataValidation type="list" allowBlank="1" showInputMessage="1" showErrorMessage="1" sqref="AR13:AT16 U47:Y64 N7:N10 AO14 Q63:Q69 P47:Q62 AP7:AP14 P63:P82 AG80 U65:V79 K47:O81 Q70:T81 R47:T69 AD80:AD82 K7:M12 AG83:AG85 N11:Z12 AG4:AP6 AO10:AP12 AQ17:AT91 AG87:AG91 AG72:AG74 AG65 Z56:AA64 AU4:AX54 AQ13:AQ17 AQ4:AT12 O7:AE12 X81:AE81 Z47:AE55 AF10:AG12 AY19:AZ54 K13:AE46 AY74:AZ78 AF75:AG79 AY80:AZ80 AY65:AZ70 AF66:AG71 AU69:AX69 AY58:AZ63 AF59:AG64 AY85:AZ85 AF86:AG86 AY13:AZ13 AF14:AG14 AY8:AZ11 AF4:AF91 AU74:AX80 AG15:AG58 AF11:AK12 AG7:AO12 AY107:AZ107 AH13:AN91 D107:AT107 X76:AE79 U81:V81 U80:AE80 W65:AA75 AB56:AE75 K4:AE6 AO15:AP91 AI4:AK91 W76:W82 D4:J81 AF81:AG82 Q82:V82 AE82 X82:AC82 D82:F91 G83:AE91 G82:O82" xr:uid="{2FD43A08-CD56-424A-BED2-DDFDCD5C7584}">
      <formula1>"No Knowledge, Awareness, Working, Practitioner, Expert"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A201-9B78-455D-BD5E-D13E2A653D9C}">
  <dimension ref="A1:J2993"/>
  <sheetViews>
    <sheetView workbookViewId="0">
      <selection activeCell="B7" sqref="B7"/>
    </sheetView>
  </sheetViews>
  <sheetFormatPr defaultColWidth="8.7109375" defaultRowHeight="15"/>
  <cols>
    <col min="1" max="1" width="19.5703125" style="2" customWidth="1"/>
    <col min="2" max="2" width="41" style="2" customWidth="1"/>
    <col min="3" max="3" width="36.28515625" style="2" bestFit="1" customWidth="1"/>
    <col min="4" max="4" width="26.7109375" style="2" customWidth="1"/>
    <col min="5" max="5" width="16.5703125" style="2" hidden="1" customWidth="1"/>
    <col min="6" max="6" width="13.85546875" style="2" customWidth="1"/>
    <col min="7" max="7" width="8.7109375" style="2"/>
    <col min="8" max="9" width="16.85546875" style="2" customWidth="1"/>
    <col min="10" max="10" width="16.7109375" style="2" customWidth="1"/>
    <col min="11" max="16384" width="8.7109375" style="2"/>
  </cols>
  <sheetData>
    <row r="1" spans="1:9" ht="30">
      <c r="A1" s="15" t="s">
        <v>364</v>
      </c>
      <c r="B1" s="15" t="s">
        <v>365</v>
      </c>
      <c r="C1" s="15" t="s">
        <v>366</v>
      </c>
      <c r="D1" s="15" t="s">
        <v>367</v>
      </c>
      <c r="E1" s="15" t="s">
        <v>368</v>
      </c>
      <c r="F1" s="15" t="s">
        <v>369</v>
      </c>
      <c r="G1" s="15" t="s">
        <v>370</v>
      </c>
      <c r="H1" s="15" t="s">
        <v>371</v>
      </c>
      <c r="I1" s="15" t="s">
        <v>372</v>
      </c>
    </row>
    <row r="2" spans="1:9">
      <c r="A2" s="13" t="s">
        <v>13</v>
      </c>
      <c r="B2" s="13" t="s">
        <v>66</v>
      </c>
      <c r="C2" s="13" t="str">
        <f>VLOOKUP([1]Competence!$B12,[1]Competence!$B$12:$B$100,1,FALSE)</f>
        <v>Asset Management</v>
      </c>
      <c r="D2" s="13" t="str" cm="1">
        <f t="array" ref="D2">_xlfn.XLOOKUP(B2,[1]Baseline!$D$3:$AZ$3,_xlfn.XLOOKUP(C2,[1]Baseline!$B$4:$B$91,[1]Baseline!$D$4:$AZ$91))</f>
        <v>Practitioner</v>
      </c>
      <c r="E2" s="13" t="s">
        <v>373</v>
      </c>
      <c r="F2" s="13">
        <f>VLOOKUP($D2,'[1]SFIA Level'!$A$2:$B$6,2,FALSE)</f>
        <v>3</v>
      </c>
      <c r="G2" s="153">
        <v>3</v>
      </c>
      <c r="H2" s="16">
        <f t="shared" ref="H2:H65" si="0">I2-F2</f>
        <v>0</v>
      </c>
      <c r="I2" s="13">
        <v>3</v>
      </c>
    </row>
    <row r="3" spans="1:9">
      <c r="A3" s="13" t="s">
        <v>13</v>
      </c>
      <c r="B3" s="13" t="s">
        <v>66</v>
      </c>
      <c r="C3" s="13" t="str">
        <f>VLOOKUP([1]Competence!$B13,[1]Competence!$B$12:$B$100,1,FALSE)</f>
        <v>Change Control</v>
      </c>
      <c r="D3" s="13" t="str" cm="1">
        <f t="array" ref="D3">_xlfn.XLOOKUP(B3,[1]Baseline!$D$3:$AZ$3,_xlfn.XLOOKUP(C3,[1]Baseline!$B$4:$B$91,[1]Baseline!$D$4:$AZ$91))</f>
        <v>Practitioner</v>
      </c>
      <c r="E3" s="13" t="s">
        <v>373</v>
      </c>
      <c r="F3" s="13">
        <f>VLOOKUP($D3,'[1]SFIA Level'!$A$2:$B$6,2,FALSE)</f>
        <v>3</v>
      </c>
      <c r="G3" s="153">
        <v>3</v>
      </c>
      <c r="H3" s="16">
        <f t="shared" si="0"/>
        <v>0</v>
      </c>
      <c r="I3" s="13">
        <v>3</v>
      </c>
    </row>
    <row r="4" spans="1:9">
      <c r="A4" s="13" t="s">
        <v>13</v>
      </c>
      <c r="B4" s="13" t="s">
        <v>66</v>
      </c>
      <c r="C4" s="13" t="str">
        <f>VLOOKUP([1]Competence!$B14,[1]Competence!$B$12:$B$100,1,FALSE)</f>
        <v>Customer Service Support</v>
      </c>
      <c r="D4" s="13" t="str" cm="1">
        <f t="array" ref="D4">_xlfn.XLOOKUP(B4,[1]Baseline!$D$3:$AZ$3,_xlfn.XLOOKUP(C4,[1]Baseline!$B$4:$B$91,[1]Baseline!$D$4:$AZ$91))</f>
        <v>Practitioner</v>
      </c>
      <c r="E4" s="13" t="s">
        <v>373</v>
      </c>
      <c r="F4" s="13">
        <f>VLOOKUP($D4,'[1]SFIA Level'!$A$2:$B$6,2,FALSE)</f>
        <v>3</v>
      </c>
      <c r="G4" s="153">
        <v>3</v>
      </c>
      <c r="H4" s="16">
        <f t="shared" si="0"/>
        <v>0</v>
      </c>
      <c r="I4" s="13">
        <v>3</v>
      </c>
    </row>
    <row r="5" spans="1:9">
      <c r="A5" s="13" t="s">
        <v>13</v>
      </c>
      <c r="B5" s="13" t="s">
        <v>66</v>
      </c>
      <c r="C5" s="13" t="str">
        <f>VLOOKUP([1]Competence!$B15,[1]Competence!$B$12:$B$100,1,FALSE)</f>
        <v>Incident management</v>
      </c>
      <c r="D5" s="13" t="str" cm="1">
        <f t="array" ref="D5">_xlfn.XLOOKUP(B5,[1]Baseline!$D$3:$AZ$3,_xlfn.XLOOKUP(C5,[1]Baseline!$B$4:$B$91,[1]Baseline!$D$4:$AZ$91))</f>
        <v>Practitioner</v>
      </c>
      <c r="E5" s="13" t="s">
        <v>373</v>
      </c>
      <c r="F5" s="13">
        <f>VLOOKUP($D5,'[1]SFIA Level'!$A$2:$B$6,2,FALSE)</f>
        <v>3</v>
      </c>
      <c r="G5" s="153">
        <v>3</v>
      </c>
      <c r="H5" s="16">
        <f t="shared" si="0"/>
        <v>0</v>
      </c>
      <c r="I5" s="13">
        <v>3</v>
      </c>
    </row>
    <row r="6" spans="1:9">
      <c r="A6" s="13" t="s">
        <v>13</v>
      </c>
      <c r="B6" s="13" t="s">
        <v>66</v>
      </c>
      <c r="C6" s="13" t="str">
        <f>VLOOKUP([1]Competence!$B16,[1]Competence!$B$12:$B$100,1,FALSE)</f>
        <v>Information security</v>
      </c>
      <c r="D6" s="13" t="str" cm="1">
        <f t="array" ref="D6">_xlfn.XLOOKUP(B6,[1]Baseline!$D$3:$AZ$3,_xlfn.XLOOKUP(C6,[1]Baseline!$B$4:$B$91,[1]Baseline!$D$4:$AZ$91))</f>
        <v>Practitioner</v>
      </c>
      <c r="E6" s="13" t="s">
        <v>374</v>
      </c>
      <c r="F6" s="13">
        <f>VLOOKUP($D6,'[1]SFIA Level'!$A$2:$B$6,2,FALSE)</f>
        <v>3</v>
      </c>
      <c r="G6" s="153">
        <v>2</v>
      </c>
      <c r="H6" s="16">
        <f t="shared" si="0"/>
        <v>-1</v>
      </c>
      <c r="I6" s="13">
        <v>2</v>
      </c>
    </row>
    <row r="7" spans="1:9">
      <c r="A7" s="13" t="s">
        <v>13</v>
      </c>
      <c r="B7" s="13" t="s">
        <v>66</v>
      </c>
      <c r="C7" s="13" t="str">
        <f>VLOOKUP([1]Competence!$B17,[1]Competence!$B$12:$B$100,1,FALSE)</f>
        <v>Personal data protection</v>
      </c>
      <c r="D7" s="13" t="str" cm="1">
        <f t="array" ref="D7">_xlfn.XLOOKUP(B7,[1]Baseline!$D$3:$AZ$3,_xlfn.XLOOKUP(C7,[1]Baseline!$B$4:$B$91,[1]Baseline!$D$4:$AZ$91))</f>
        <v>Practitioner</v>
      </c>
      <c r="E7" s="13" t="s">
        <v>49</v>
      </c>
      <c r="F7" s="13">
        <f>VLOOKUP($D7,'[1]SFIA Level'!$A$2:$B$6,2,FALSE)</f>
        <v>3</v>
      </c>
      <c r="G7" s="153">
        <v>3</v>
      </c>
      <c r="H7" s="16">
        <f t="shared" si="0"/>
        <v>0</v>
      </c>
      <c r="I7" s="13">
        <v>3</v>
      </c>
    </row>
    <row r="8" spans="1:9">
      <c r="A8" s="13" t="s">
        <v>13</v>
      </c>
      <c r="B8" s="13" t="s">
        <v>66</v>
      </c>
      <c r="C8" s="13" t="str">
        <f>VLOOKUP([1]Competence!$B18,[1]Competence!$B$12:$B$100,1,FALSE)</f>
        <v>Problem management</v>
      </c>
      <c r="D8" s="13" t="str" cm="1">
        <f t="array" ref="D8">_xlfn.XLOOKUP(B8,[1]Baseline!$D$3:$AZ$3,_xlfn.XLOOKUP(C8,[1]Baseline!$B$4:$B$91,[1]Baseline!$D$4:$AZ$91))</f>
        <v>Working</v>
      </c>
      <c r="E8" s="13" t="s">
        <v>49</v>
      </c>
      <c r="F8" s="13">
        <f>VLOOKUP($D8,'[1]SFIA Level'!$A$2:$B$6,2,FALSE)</f>
        <v>2</v>
      </c>
      <c r="G8" s="153">
        <v>3</v>
      </c>
      <c r="H8" s="16">
        <f t="shared" si="0"/>
        <v>1</v>
      </c>
      <c r="I8" s="13">
        <v>3</v>
      </c>
    </row>
    <row r="9" spans="1:9">
      <c r="A9" s="13" t="s">
        <v>13</v>
      </c>
      <c r="B9" s="13" t="s">
        <v>66</v>
      </c>
      <c r="C9" s="13" t="str">
        <f>VLOOKUP([1]Competence!$B19,[1]Competence!$B$12:$B$100,1,FALSE)</f>
        <v>Service catalogue management</v>
      </c>
      <c r="D9" s="13" t="str" cm="1">
        <f t="array" ref="D9">_xlfn.XLOOKUP(B9,[1]Baseline!$D$3:$AZ$3,_xlfn.XLOOKUP(C9,[1]Baseline!$B$4:$B$91,[1]Baseline!$D$4:$AZ$91))</f>
        <v>Working</v>
      </c>
      <c r="E9" s="13" t="s">
        <v>49</v>
      </c>
      <c r="F9" s="13">
        <f>VLOOKUP($D9,'[1]SFIA Level'!$A$2:$B$6,2,FALSE)</f>
        <v>2</v>
      </c>
      <c r="G9" s="153">
        <v>2</v>
      </c>
      <c r="H9" s="16">
        <f t="shared" si="0"/>
        <v>0</v>
      </c>
      <c r="I9" s="13">
        <v>2</v>
      </c>
    </row>
    <row r="10" spans="1:9">
      <c r="A10" s="13" t="s">
        <v>13</v>
      </c>
      <c r="B10" s="13" t="s">
        <v>66</v>
      </c>
      <c r="C10" s="13" t="str">
        <f>VLOOKUP([1]Competence!$B20,[1]Competence!$B$12:$B$100,1,FALSE)</f>
        <v>Service level management</v>
      </c>
      <c r="D10" s="13" t="str" cm="1">
        <f t="array" ref="D10">_xlfn.XLOOKUP(B10,[1]Baseline!$D$3:$AZ$3,_xlfn.XLOOKUP(C10,[1]Baseline!$B$4:$B$91,[1]Baseline!$D$4:$AZ$91))</f>
        <v>Practitioner</v>
      </c>
      <c r="E10" s="13" t="s">
        <v>375</v>
      </c>
      <c r="F10" s="13">
        <f>VLOOKUP($D10,'[1]SFIA Level'!$A$2:$B$6,2,FALSE)</f>
        <v>3</v>
      </c>
      <c r="G10" s="153">
        <v>2</v>
      </c>
      <c r="H10" s="16">
        <f t="shared" si="0"/>
        <v>-1</v>
      </c>
      <c r="I10" s="13">
        <v>2</v>
      </c>
    </row>
    <row r="11" spans="1:9">
      <c r="A11" s="13" t="s">
        <v>13</v>
      </c>
      <c r="B11" s="13" t="s">
        <v>66</v>
      </c>
      <c r="C11" s="13" t="str">
        <f>VLOOKUP([1]Competence!$B21,[1]Competence!$B$12:$B$100,1,FALSE)</f>
        <v>Availability Management</v>
      </c>
      <c r="D11" s="13" t="str" cm="1">
        <f t="array" ref="D11">_xlfn.XLOOKUP(B11,[1]Baseline!$D$3:$AZ$3,_xlfn.XLOOKUP(C11,[1]Baseline!$B$4:$B$91,[1]Baseline!$D$4:$AZ$91))</f>
        <v>Awareness</v>
      </c>
      <c r="E11" s="13" t="s">
        <v>375</v>
      </c>
      <c r="F11" s="13">
        <f>VLOOKUP($D11,'[1]SFIA Level'!$A$2:$B$6,2,FALSE)</f>
        <v>1</v>
      </c>
      <c r="G11" s="153">
        <v>3</v>
      </c>
      <c r="H11" s="16">
        <f t="shared" si="0"/>
        <v>2</v>
      </c>
      <c r="I11" s="13">
        <v>3</v>
      </c>
    </row>
    <row r="12" spans="1:9">
      <c r="A12" s="13" t="s">
        <v>13</v>
      </c>
      <c r="B12" s="13" t="s">
        <v>66</v>
      </c>
      <c r="C12" s="13" t="str">
        <f>VLOOKUP([1]Competence!$B22,[1]Competence!$B$12:$B$100,1,FALSE)</f>
        <v>Capacity management</v>
      </c>
      <c r="D12" s="13" t="str" cm="1">
        <f t="array" ref="D12">_xlfn.XLOOKUP(B12,[1]Baseline!$D$3:$AZ$3,_xlfn.XLOOKUP(C12,[1]Baseline!$B$4:$B$91,[1]Baseline!$D$4:$AZ$91))</f>
        <v>No Knowledge</v>
      </c>
      <c r="E12" s="13" t="s">
        <v>373</v>
      </c>
      <c r="F12" s="13">
        <f>VLOOKUP($D12,'[1]SFIA Level'!$A$2:$B$6,2,FALSE)</f>
        <v>0</v>
      </c>
      <c r="G12" s="153">
        <v>3</v>
      </c>
      <c r="H12" s="16">
        <f t="shared" si="0"/>
        <v>3</v>
      </c>
      <c r="I12" s="13">
        <v>3</v>
      </c>
    </row>
    <row r="13" spans="1:9">
      <c r="A13" s="13" t="s">
        <v>13</v>
      </c>
      <c r="B13" s="13" t="s">
        <v>66</v>
      </c>
      <c r="C13" s="13" t="str">
        <f>VLOOKUP([1]Competence!$B23,[1]Competence!$B$12:$B$100,1,FALSE)</f>
        <v>Configuration Management</v>
      </c>
      <c r="D13" s="13" t="str" cm="1">
        <f t="array" ref="D13">_xlfn.XLOOKUP(B13,[1]Baseline!$D$3:$AZ$3,_xlfn.XLOOKUP(C13,[1]Baseline!$B$4:$B$91,[1]Baseline!$D$4:$AZ$91))</f>
        <v>Working</v>
      </c>
      <c r="E13" s="13" t="s">
        <v>373</v>
      </c>
      <c r="F13" s="13">
        <f>VLOOKUP($D13,'[1]SFIA Level'!$A$2:$B$6,2,FALSE)</f>
        <v>2</v>
      </c>
      <c r="G13" s="153">
        <v>3</v>
      </c>
      <c r="H13" s="16">
        <f t="shared" si="0"/>
        <v>1</v>
      </c>
      <c r="I13" s="13">
        <v>3</v>
      </c>
    </row>
    <row r="14" spans="1:9">
      <c r="A14" s="13" t="s">
        <v>13</v>
      </c>
      <c r="B14" s="13" t="s">
        <v>66</v>
      </c>
      <c r="C14" s="13" t="str">
        <f>VLOOKUP([1]Competence!$B24,[1]Competence!$B$12:$B$100,1,FALSE)</f>
        <v>Continuity Management</v>
      </c>
      <c r="D14" s="13" t="str" cm="1">
        <f t="array" ref="D14">_xlfn.XLOOKUP(B14,[1]Baseline!$D$3:$AZ$3,_xlfn.XLOOKUP(C14,[1]Baseline!$B$4:$B$91,[1]Baseline!$D$4:$AZ$91))</f>
        <v>Awareness</v>
      </c>
      <c r="E14" s="13" t="s">
        <v>373</v>
      </c>
      <c r="F14" s="13">
        <f>VLOOKUP($D14,'[1]SFIA Level'!$A$2:$B$6,2,FALSE)</f>
        <v>1</v>
      </c>
      <c r="G14" s="153">
        <v>2</v>
      </c>
      <c r="H14" s="16">
        <f t="shared" si="0"/>
        <v>1</v>
      </c>
      <c r="I14" s="13">
        <v>2</v>
      </c>
    </row>
    <row r="15" spans="1:9">
      <c r="A15" s="13" t="s">
        <v>13</v>
      </c>
      <c r="B15" s="13" t="s">
        <v>66</v>
      </c>
      <c r="C15" s="13" t="str">
        <f>VLOOKUP([1]Competence!$B25,[1]Competence!$B$12:$B$100,1,FALSE)</f>
        <v>Demand Management</v>
      </c>
      <c r="D15" s="13" t="str" cm="1">
        <f t="array" ref="D15">_xlfn.XLOOKUP(B15,[1]Baseline!$D$3:$AZ$3,_xlfn.XLOOKUP(C15,[1]Baseline!$B$4:$B$91,[1]Baseline!$D$4:$AZ$91))</f>
        <v>Working</v>
      </c>
      <c r="E15" s="13" t="s">
        <v>376</v>
      </c>
      <c r="F15" s="13">
        <f>VLOOKUP($D15,'[1]SFIA Level'!$A$2:$B$6,2,FALSE)</f>
        <v>2</v>
      </c>
      <c r="G15" s="153">
        <v>3</v>
      </c>
      <c r="H15" s="16">
        <f t="shared" si="0"/>
        <v>1</v>
      </c>
      <c r="I15" s="13">
        <v>3</v>
      </c>
    </row>
    <row r="16" spans="1:9">
      <c r="A16" s="13" t="s">
        <v>13</v>
      </c>
      <c r="B16" s="13" t="s">
        <v>66</v>
      </c>
      <c r="C16" s="13" t="str">
        <f>VLOOKUP([1]Competence!$B26,[1]Competence!$B$12:$B$100,1,FALSE)</f>
        <v>Knowledge management</v>
      </c>
      <c r="D16" s="13" t="str" cm="1">
        <f t="array" ref="D16">_xlfn.XLOOKUP(B16,[1]Baseline!$D$3:$AZ$3,_xlfn.XLOOKUP(C16,[1]Baseline!$B$4:$B$91,[1]Baseline!$D$4:$AZ$91))</f>
        <v>Working</v>
      </c>
      <c r="E16" s="13" t="s">
        <v>376</v>
      </c>
      <c r="F16" s="13">
        <f>VLOOKUP($D16,'[1]SFIA Level'!$A$2:$B$6,2,FALSE)</f>
        <v>2</v>
      </c>
      <c r="G16" s="153">
        <v>2</v>
      </c>
      <c r="H16" s="16">
        <f t="shared" si="0"/>
        <v>0</v>
      </c>
      <c r="I16" s="13">
        <v>2</v>
      </c>
    </row>
    <row r="17" spans="1:9">
      <c r="A17" s="13" t="s">
        <v>13</v>
      </c>
      <c r="B17" s="13" t="s">
        <v>66</v>
      </c>
      <c r="C17" s="13" t="str">
        <f>VLOOKUP([1]Competence!$B27,[1]Competence!$B$12:$B$100,1,FALSE)</f>
        <v>Methods and tools</v>
      </c>
      <c r="D17" s="13" t="str" cm="1">
        <f t="array" ref="D17">_xlfn.XLOOKUP(B17,[1]Baseline!$D$3:$AZ$3,_xlfn.XLOOKUP(C17,[1]Baseline!$B$4:$B$91,[1]Baseline!$D$4:$AZ$91))</f>
        <v>Working</v>
      </c>
      <c r="E17" s="13" t="s">
        <v>376</v>
      </c>
      <c r="F17" s="13">
        <f>VLOOKUP($D17,'[1]SFIA Level'!$A$2:$B$6,2,FALSE)</f>
        <v>2</v>
      </c>
      <c r="G17" s="153">
        <v>3</v>
      </c>
      <c r="H17" s="16">
        <f t="shared" si="0"/>
        <v>1</v>
      </c>
      <c r="I17" s="13">
        <v>3</v>
      </c>
    </row>
    <row r="18" spans="1:9">
      <c r="A18" s="13" t="s">
        <v>13</v>
      </c>
      <c r="B18" s="13" t="s">
        <v>66</v>
      </c>
      <c r="C18" s="13" t="str">
        <f>VLOOKUP([1]Competence!$B28,[1]Competence!$B$12:$B$100,1,FALSE)</f>
        <v>Release and deployment</v>
      </c>
      <c r="D18" s="13" t="str" cm="1">
        <f t="array" ref="D18">_xlfn.XLOOKUP(B18,[1]Baseline!$D$3:$AZ$3,_xlfn.XLOOKUP(C18,[1]Baseline!$B$4:$B$91,[1]Baseline!$D$4:$AZ$91))</f>
        <v>No Knowledge</v>
      </c>
      <c r="E18" s="13" t="s">
        <v>374</v>
      </c>
      <c r="F18" s="13">
        <f>VLOOKUP($D18,'[1]SFIA Level'!$A$2:$B$6,2,FALSE)</f>
        <v>0</v>
      </c>
      <c r="G18" s="153">
        <v>3</v>
      </c>
      <c r="H18" s="16">
        <f t="shared" si="0"/>
        <v>3</v>
      </c>
      <c r="I18" s="13">
        <v>3</v>
      </c>
    </row>
    <row r="19" spans="1:9">
      <c r="A19" s="13" t="s">
        <v>13</v>
      </c>
      <c r="B19" s="13" t="s">
        <v>66</v>
      </c>
      <c r="C19" s="13" t="str">
        <f>VLOOKUP([1]Competence!$B29,[1]Competence!$B$12:$B$100,1,FALSE)</f>
        <v>Service acceptance</v>
      </c>
      <c r="D19" s="13" t="str" cm="1">
        <f t="array" ref="D19">_xlfn.XLOOKUP(B19,[1]Baseline!$D$3:$AZ$3,_xlfn.XLOOKUP(C19,[1]Baseline!$B$4:$B$91,[1]Baseline!$D$4:$AZ$91))</f>
        <v>No Knowledge</v>
      </c>
      <c r="E19" s="13" t="s">
        <v>374</v>
      </c>
      <c r="F19" s="13">
        <f>VLOOKUP($D19,'[1]SFIA Level'!$A$2:$B$6,2,FALSE)</f>
        <v>0</v>
      </c>
      <c r="G19" s="153">
        <v>1</v>
      </c>
      <c r="H19" s="16">
        <f t="shared" si="0"/>
        <v>1</v>
      </c>
      <c r="I19" s="13">
        <v>1</v>
      </c>
    </row>
    <row r="20" spans="1:9">
      <c r="A20" s="13" t="s">
        <v>13</v>
      </c>
      <c r="B20" s="13" t="s">
        <v>66</v>
      </c>
      <c r="C20" s="13" t="str">
        <f>VLOOKUP([1]Competence!$B30,[1]Competence!$B$12:$B$100,1,FALSE)</f>
        <v>Stakeholder relationship management</v>
      </c>
      <c r="D20" s="13" t="str" cm="1">
        <f t="array" ref="D20">_xlfn.XLOOKUP(B20,[1]Baseline!$D$3:$AZ$3,_xlfn.XLOOKUP(C20,[1]Baseline!$B$4:$B$91,[1]Baseline!$D$4:$AZ$91))</f>
        <v>Practitioner</v>
      </c>
      <c r="E20" s="13" t="s">
        <v>374</v>
      </c>
      <c r="F20" s="13">
        <f>VLOOKUP($D20,'[1]SFIA Level'!$A$2:$B$6,2,FALSE)</f>
        <v>3</v>
      </c>
      <c r="G20" s="153">
        <v>2</v>
      </c>
      <c r="H20" s="16">
        <f t="shared" si="0"/>
        <v>-1</v>
      </c>
      <c r="I20" s="13">
        <v>2</v>
      </c>
    </row>
    <row r="21" spans="1:9">
      <c r="A21" s="13" t="s">
        <v>13</v>
      </c>
      <c r="B21" s="13" t="s">
        <v>66</v>
      </c>
      <c r="C21" s="13" t="str">
        <f>VLOOKUP([1]Competence!$B31,[1]Competence!$B$12:$B$100,1,FALSE)</f>
        <v>Storage management</v>
      </c>
      <c r="D21" s="13" t="str" cm="1">
        <f t="array" ref="D21">_xlfn.XLOOKUP(B21,[1]Baseline!$D$3:$AZ$3,_xlfn.XLOOKUP(C21,[1]Baseline!$B$4:$B$91,[1]Baseline!$D$4:$AZ$91))</f>
        <v>Working</v>
      </c>
      <c r="E21" s="13" t="s">
        <v>374</v>
      </c>
      <c r="F21" s="13">
        <f>VLOOKUP($D21,'[1]SFIA Level'!$A$2:$B$6,2,FALSE)</f>
        <v>2</v>
      </c>
      <c r="G21" s="153">
        <v>2</v>
      </c>
      <c r="H21" s="16">
        <f t="shared" si="0"/>
        <v>0</v>
      </c>
      <c r="I21" s="13">
        <v>2</v>
      </c>
    </row>
    <row r="22" spans="1:9">
      <c r="A22" s="13" t="s">
        <v>13</v>
      </c>
      <c r="B22" s="13" t="s">
        <v>66</v>
      </c>
      <c r="C22" s="13" t="str">
        <f>VLOOKUP([1]Competence!$B32,[1]Competence!$B$12:$B$100,1,FALSE)</f>
        <v>Digital Forensics</v>
      </c>
      <c r="D22" s="13" t="str" cm="1">
        <f t="array" ref="D22">_xlfn.XLOOKUP(B22,[1]Baseline!$D$3:$AZ$3,_xlfn.XLOOKUP(C22,[1]Baseline!$B$4:$B$91,[1]Baseline!$D$4:$AZ$91))</f>
        <v>No Knowledge</v>
      </c>
      <c r="E22" s="13" t="s">
        <v>377</v>
      </c>
      <c r="F22" s="13">
        <f>VLOOKUP($D22,'[1]SFIA Level'!$A$2:$B$6,2,FALSE)</f>
        <v>0</v>
      </c>
      <c r="G22" s="153">
        <v>1</v>
      </c>
      <c r="H22" s="16">
        <f t="shared" si="0"/>
        <v>1</v>
      </c>
      <c r="I22" s="13">
        <v>1</v>
      </c>
    </row>
    <row r="23" spans="1:9">
      <c r="A23" s="13" t="s">
        <v>13</v>
      </c>
      <c r="B23" s="13" t="s">
        <v>66</v>
      </c>
      <c r="C23" s="13" t="str">
        <f>VLOOKUP([1]Competence!$B33,[1]Competence!$B$12:$B$100,1,FALSE)</f>
        <v>Penetration testing</v>
      </c>
      <c r="D23" s="13" t="str" cm="1">
        <f t="array" ref="D23">_xlfn.XLOOKUP(B23,[1]Baseline!$D$3:$AZ$3,_xlfn.XLOOKUP(C23,[1]Baseline!$B$4:$B$91,[1]Baseline!$D$4:$AZ$91))</f>
        <v>No Knowledge</v>
      </c>
      <c r="E23" s="13" t="s">
        <v>377</v>
      </c>
      <c r="F23" s="13">
        <f>VLOOKUP($D23,'[1]SFIA Level'!$A$2:$B$6,2,FALSE)</f>
        <v>0</v>
      </c>
      <c r="G23" s="153">
        <v>1</v>
      </c>
      <c r="H23" s="16">
        <f t="shared" si="0"/>
        <v>1</v>
      </c>
      <c r="I23" s="13">
        <v>1</v>
      </c>
    </row>
    <row r="24" spans="1:9">
      <c r="A24" s="13" t="s">
        <v>13</v>
      </c>
      <c r="B24" s="13" t="s">
        <v>66</v>
      </c>
      <c r="C24" s="13" t="str">
        <f>VLOOKUP([1]Competence!$B34,[1]Competence!$B$12:$B$100,1,FALSE)</f>
        <v>Security Operations</v>
      </c>
      <c r="D24" s="13" t="str" cm="1">
        <f t="array" ref="D24">_xlfn.XLOOKUP(B24,[1]Baseline!$D$3:$AZ$3,_xlfn.XLOOKUP(C24,[1]Baseline!$B$4:$B$91,[1]Baseline!$D$4:$AZ$91))</f>
        <v>Practitioner</v>
      </c>
      <c r="E24" s="13" t="s">
        <v>377</v>
      </c>
      <c r="F24" s="13">
        <f>VLOOKUP($D24,'[1]SFIA Level'!$A$2:$B$6,2,FALSE)</f>
        <v>3</v>
      </c>
      <c r="G24" s="153">
        <v>2</v>
      </c>
      <c r="H24" s="16">
        <f t="shared" si="0"/>
        <v>-1</v>
      </c>
      <c r="I24" s="13">
        <v>2</v>
      </c>
    </row>
    <row r="25" spans="1:9">
      <c r="A25" s="13" t="s">
        <v>13</v>
      </c>
      <c r="B25" s="13" t="s">
        <v>66</v>
      </c>
      <c r="C25" s="13" t="str">
        <f>VLOOKUP([1]Competence!$B35,[1]Competence!$B$12:$B$100,1,FALSE)</f>
        <v>Threat Intelligence</v>
      </c>
      <c r="D25" s="13" t="str" cm="1">
        <f t="array" ref="D25">_xlfn.XLOOKUP(B25,[1]Baseline!$D$3:$AZ$3,_xlfn.XLOOKUP(C25,[1]Baseline!$B$4:$B$91,[1]Baseline!$D$4:$AZ$91))</f>
        <v>No Knowledge</v>
      </c>
      <c r="E25" s="13" t="s">
        <v>378</v>
      </c>
      <c r="F25" s="13">
        <f>VLOOKUP($D25,'[1]SFIA Level'!$A$2:$B$6,2,FALSE)</f>
        <v>0</v>
      </c>
      <c r="G25" s="153">
        <v>1</v>
      </c>
      <c r="H25" s="16">
        <f t="shared" si="0"/>
        <v>1</v>
      </c>
      <c r="I25" s="13">
        <v>1</v>
      </c>
    </row>
    <row r="26" spans="1:9">
      <c r="A26" s="13" t="s">
        <v>13</v>
      </c>
      <c r="B26" s="13" t="s">
        <v>66</v>
      </c>
      <c r="C26" s="13" t="str">
        <f>VLOOKUP([1]Competence!$B36,[1]Competence!$B$12:$B$100,1,FALSE)</f>
        <v>Vulnerability assessment</v>
      </c>
      <c r="D26" s="13" t="str" cm="1">
        <f t="array" ref="D26">_xlfn.XLOOKUP(B26,[1]Baseline!$D$3:$AZ$3,_xlfn.XLOOKUP(C26,[1]Baseline!$B$4:$B$91,[1]Baseline!$D$4:$AZ$91))</f>
        <v>Working</v>
      </c>
      <c r="E26" s="13" t="s">
        <v>378</v>
      </c>
      <c r="F26" s="13">
        <f>VLOOKUP($D26,'[1]SFIA Level'!$A$2:$B$6,2,FALSE)</f>
        <v>2</v>
      </c>
      <c r="G26" s="153">
        <v>2</v>
      </c>
      <c r="H26" s="16">
        <f t="shared" si="0"/>
        <v>0</v>
      </c>
      <c r="I26" s="13">
        <v>2</v>
      </c>
    </row>
    <row r="27" spans="1:9">
      <c r="A27" s="13" t="s">
        <v>13</v>
      </c>
      <c r="B27" s="13" t="s">
        <v>66</v>
      </c>
      <c r="C27" s="13" t="str">
        <f>VLOOKUP([1]Competence!$B37,[1]Competence!$B$12:$B$100,1,FALSE)</f>
        <v>Vulnerability Research</v>
      </c>
      <c r="D27" s="13" t="str" cm="1">
        <f t="array" ref="D27">_xlfn.XLOOKUP(B27,[1]Baseline!$D$3:$AZ$3,_xlfn.XLOOKUP(C27,[1]Baseline!$B$4:$B$91,[1]Baseline!$D$4:$AZ$91))</f>
        <v>No Knowledge</v>
      </c>
      <c r="E27" s="13" t="s">
        <v>378</v>
      </c>
      <c r="F27" s="13">
        <f>VLOOKUP($D27,'[1]SFIA Level'!$A$2:$B$6,2,FALSE)</f>
        <v>0</v>
      </c>
      <c r="G27" s="153">
        <v>1</v>
      </c>
      <c r="H27" s="16">
        <f t="shared" si="0"/>
        <v>1</v>
      </c>
      <c r="I27" s="13">
        <v>1</v>
      </c>
    </row>
    <row r="28" spans="1:9">
      <c r="A28" s="13" t="s">
        <v>13</v>
      </c>
      <c r="B28" s="13" t="s">
        <v>66</v>
      </c>
      <c r="C28" s="13" t="str">
        <f>VLOOKUP([1]Competence!$B38,[1]Competence!$B$12:$B$100,1,FALSE)</f>
        <v>Competency assessment</v>
      </c>
      <c r="D28" s="13" t="str" cm="1">
        <f t="array" ref="D28">_xlfn.XLOOKUP(B28,[1]Baseline!$D$3:$AZ$3,_xlfn.XLOOKUP(C28,[1]Baseline!$B$4:$B$91,[1]Baseline!$D$4:$AZ$91))</f>
        <v>Awareness</v>
      </c>
      <c r="E28" s="13" t="s">
        <v>49</v>
      </c>
      <c r="F28" s="13">
        <f>VLOOKUP($D28,'[1]SFIA Level'!$A$2:$B$6,2,FALSE)</f>
        <v>1</v>
      </c>
      <c r="G28" s="153">
        <v>0</v>
      </c>
      <c r="H28" s="16">
        <f t="shared" si="0"/>
        <v>-1</v>
      </c>
      <c r="I28" s="13">
        <v>0</v>
      </c>
    </row>
    <row r="29" spans="1:9">
      <c r="A29" s="13" t="s">
        <v>13</v>
      </c>
      <c r="B29" s="13" t="s">
        <v>66</v>
      </c>
      <c r="C29" s="13" t="str">
        <f>VLOOKUP([1]Competence!$B39,[1]Competence!$B$12:$B$100,1,FALSE)</f>
        <v>Financial management</v>
      </c>
      <c r="D29" s="13" t="str" cm="1">
        <f t="array" ref="D29">_xlfn.XLOOKUP(B29,[1]Baseline!$D$3:$AZ$3,_xlfn.XLOOKUP(C29,[1]Baseline!$B$4:$B$91,[1]Baseline!$D$4:$AZ$91))</f>
        <v>Working</v>
      </c>
      <c r="E29" s="13" t="s">
        <v>49</v>
      </c>
      <c r="F29" s="13">
        <f>VLOOKUP($D29,'[1]SFIA Level'!$A$2:$B$6,2,FALSE)</f>
        <v>2</v>
      </c>
      <c r="G29" s="153">
        <v>0</v>
      </c>
      <c r="H29" s="16">
        <f t="shared" si="0"/>
        <v>-2</v>
      </c>
      <c r="I29" s="13">
        <v>0</v>
      </c>
    </row>
    <row r="30" spans="1:9">
      <c r="A30" s="13" t="s">
        <v>13</v>
      </c>
      <c r="B30" s="13" t="s">
        <v>66</v>
      </c>
      <c r="C30" s="13" t="str">
        <f>VLOOKUP([1]Competence!$B40,[1]Competence!$B$12:$B$100,1,FALSE)</f>
        <v>Organisation design and implementation</v>
      </c>
      <c r="D30" s="13" t="str" cm="1">
        <f t="array" ref="D30">_xlfn.XLOOKUP(B30,[1]Baseline!$D$3:$AZ$3,_xlfn.XLOOKUP(C30,[1]Baseline!$B$4:$B$91,[1]Baseline!$D$4:$AZ$91))</f>
        <v>No Knowledge</v>
      </c>
      <c r="E30" s="13" t="s">
        <v>49</v>
      </c>
      <c r="F30" s="13">
        <f>VLOOKUP($D30,'[1]SFIA Level'!$A$2:$B$6,2,FALSE)</f>
        <v>0</v>
      </c>
      <c r="G30" s="153">
        <v>0</v>
      </c>
      <c r="H30" s="16">
        <f t="shared" si="0"/>
        <v>0</v>
      </c>
      <c r="I30" s="13">
        <v>0</v>
      </c>
    </row>
    <row r="31" spans="1:9">
      <c r="A31" s="13" t="s">
        <v>13</v>
      </c>
      <c r="B31" s="13" t="s">
        <v>66</v>
      </c>
      <c r="C31" s="13" t="str">
        <f>VLOOKUP([1]Competence!$B41,[1]Competence!$B$12:$B$100,1,FALSE)</f>
        <v>Organisational capability development</v>
      </c>
      <c r="D31" s="13" t="str" cm="1">
        <f t="array" ref="D31">_xlfn.XLOOKUP(B31,[1]Baseline!$D$3:$AZ$3,_xlfn.XLOOKUP(C31,[1]Baseline!$B$4:$B$91,[1]Baseline!$D$4:$AZ$91))</f>
        <v>No Knowledge</v>
      </c>
      <c r="E31" s="13" t="s">
        <v>375</v>
      </c>
      <c r="F31" s="13">
        <f>VLOOKUP($D31,'[1]SFIA Level'!$A$2:$B$6,2,FALSE)</f>
        <v>0</v>
      </c>
      <c r="G31" s="153">
        <v>0</v>
      </c>
      <c r="H31" s="16">
        <f t="shared" si="0"/>
        <v>0</v>
      </c>
      <c r="I31" s="13">
        <v>0</v>
      </c>
    </row>
    <row r="32" spans="1:9">
      <c r="A32" s="13" t="s">
        <v>13</v>
      </c>
      <c r="B32" s="13" t="s">
        <v>66</v>
      </c>
      <c r="C32" s="13" t="str">
        <f>VLOOKUP([1]Competence!$B42,[1]Competence!$B$12:$B$100,1,FALSE)</f>
        <v>Organisational change management</v>
      </c>
      <c r="D32" s="13" t="str" cm="1">
        <f t="array" ref="D32">_xlfn.XLOOKUP(B32,[1]Baseline!$D$3:$AZ$3,_xlfn.XLOOKUP(C32,[1]Baseline!$B$4:$B$91,[1]Baseline!$D$4:$AZ$91))</f>
        <v>No Knowledge</v>
      </c>
      <c r="E32" s="13" t="s">
        <v>375</v>
      </c>
      <c r="F32" s="13">
        <f>VLOOKUP($D32,'[1]SFIA Level'!$A$2:$B$6,2,FALSE)</f>
        <v>0</v>
      </c>
      <c r="G32" s="153">
        <v>0</v>
      </c>
      <c r="H32" s="16">
        <f t="shared" si="0"/>
        <v>0</v>
      </c>
      <c r="I32" s="13">
        <v>0</v>
      </c>
    </row>
    <row r="33" spans="1:9">
      <c r="A33" s="13" t="s">
        <v>13</v>
      </c>
      <c r="B33" s="13" t="s">
        <v>66</v>
      </c>
      <c r="C33" s="13" t="str">
        <f>VLOOKUP([1]Competence!$B43,[1]Competence!$B$12:$B$100,1,FALSE)</f>
        <v>Performance Management</v>
      </c>
      <c r="D33" s="13" t="str" cm="1">
        <f t="array" ref="D33">_xlfn.XLOOKUP(B33,[1]Baseline!$D$3:$AZ$3,_xlfn.XLOOKUP(C33,[1]Baseline!$B$4:$B$91,[1]Baseline!$D$4:$AZ$91))</f>
        <v>No Knowledge</v>
      </c>
      <c r="E33" s="13" t="s">
        <v>375</v>
      </c>
      <c r="F33" s="13">
        <f>VLOOKUP($D33,'[1]SFIA Level'!$A$2:$B$6,2,FALSE)</f>
        <v>0</v>
      </c>
      <c r="G33" s="153">
        <v>0</v>
      </c>
      <c r="H33" s="16">
        <f t="shared" si="0"/>
        <v>0</v>
      </c>
      <c r="I33" s="13">
        <v>0</v>
      </c>
    </row>
    <row r="34" spans="1:9">
      <c r="A34" s="13" t="s">
        <v>13</v>
      </c>
      <c r="B34" s="13" t="s">
        <v>66</v>
      </c>
      <c r="C34" s="13" t="str">
        <f>VLOOKUP([1]Competence!$B44,[1]Competence!$B$12:$B$100,1,FALSE)</f>
        <v>Professional Development</v>
      </c>
      <c r="D34" s="13" t="str" cm="1">
        <f t="array" ref="D34">_xlfn.XLOOKUP(B34,[1]Baseline!$D$3:$AZ$3,_xlfn.XLOOKUP(C34,[1]Baseline!$B$4:$B$91,[1]Baseline!$D$4:$AZ$91))</f>
        <v>No Knowledge</v>
      </c>
      <c r="E34" s="13" t="s">
        <v>375</v>
      </c>
      <c r="F34" s="13">
        <f>VLOOKUP($D34,'[1]SFIA Level'!$A$2:$B$6,2,FALSE)</f>
        <v>0</v>
      </c>
      <c r="G34" s="153">
        <v>0</v>
      </c>
      <c r="H34" s="16">
        <f t="shared" si="0"/>
        <v>0</v>
      </c>
      <c r="I34" s="13">
        <v>0</v>
      </c>
    </row>
    <row r="35" spans="1:9">
      <c r="A35" s="13" t="s">
        <v>13</v>
      </c>
      <c r="B35" s="13" t="s">
        <v>66</v>
      </c>
      <c r="C35" s="13" t="str">
        <f>VLOOKUP([1]Competence!$B45,[1]Competence!$B$12:$B$100,1,FALSE)</f>
        <v>Strategic Planning</v>
      </c>
      <c r="D35" s="13" t="str" cm="1">
        <f t="array" ref="D35">_xlfn.XLOOKUP(B35,[1]Baseline!$D$3:$AZ$3,_xlfn.XLOOKUP(C35,[1]Baseline!$B$4:$B$91,[1]Baseline!$D$4:$AZ$91))</f>
        <v>No Knowledge</v>
      </c>
      <c r="E35" s="13" t="s">
        <v>375</v>
      </c>
      <c r="F35" s="13">
        <f>VLOOKUP($D35,'[1]SFIA Level'!$A$2:$B$6,2,FALSE)</f>
        <v>0</v>
      </c>
      <c r="G35" s="153">
        <v>0</v>
      </c>
      <c r="H35" s="16">
        <f t="shared" si="0"/>
        <v>0</v>
      </c>
      <c r="I35" s="13">
        <v>0</v>
      </c>
    </row>
    <row r="36" spans="1:9">
      <c r="A36" s="13" t="s">
        <v>13</v>
      </c>
      <c r="B36" s="13" t="s">
        <v>66</v>
      </c>
      <c r="C36" s="13" t="str">
        <f>VLOOKUP([1]Competence!$B46,[1]Competence!$B$12:$B$100,1,FALSE)</f>
        <v>Workforce Planning</v>
      </c>
      <c r="D36" s="13" t="str" cm="1">
        <f t="array" ref="D36">_xlfn.XLOOKUP(B36,[1]Baseline!$D$3:$AZ$3,_xlfn.XLOOKUP(C36,[1]Baseline!$B$4:$B$91,[1]Baseline!$D$4:$AZ$91))</f>
        <v>No Knowledge</v>
      </c>
      <c r="E36" s="13" t="s">
        <v>375</v>
      </c>
      <c r="F36" s="13">
        <f>VLOOKUP($D36,'[1]SFIA Level'!$A$2:$B$6,2,FALSE)</f>
        <v>0</v>
      </c>
      <c r="G36" s="153">
        <v>0</v>
      </c>
      <c r="H36" s="16">
        <f t="shared" si="0"/>
        <v>0</v>
      </c>
      <c r="I36" s="13">
        <v>0</v>
      </c>
    </row>
    <row r="37" spans="1:9">
      <c r="A37" s="13" t="s">
        <v>13</v>
      </c>
      <c r="B37" s="13" t="s">
        <v>66</v>
      </c>
      <c r="C37" s="13" t="str">
        <f>VLOOKUP([1]Competence!$B47,[1]Competence!$B$12:$B$100,1,FALSE)</f>
        <v>Audit</v>
      </c>
      <c r="D37" s="13" t="str" cm="1">
        <f t="array" ref="D37">_xlfn.XLOOKUP(B37,[1]Baseline!$D$3:$AZ$3,_xlfn.XLOOKUP(C37,[1]Baseline!$B$4:$B$91,[1]Baseline!$D$4:$AZ$91))</f>
        <v>Working</v>
      </c>
      <c r="E37" s="13" t="s">
        <v>375</v>
      </c>
      <c r="F37" s="13">
        <f>VLOOKUP($D37,'[1]SFIA Level'!$A$2:$B$6,2,FALSE)</f>
        <v>2</v>
      </c>
      <c r="G37" s="153">
        <v>1</v>
      </c>
      <c r="H37" s="16">
        <f t="shared" si="0"/>
        <v>-1</v>
      </c>
      <c r="I37" s="13">
        <v>1</v>
      </c>
    </row>
    <row r="38" spans="1:9">
      <c r="A38" s="13" t="s">
        <v>13</v>
      </c>
      <c r="B38" s="13" t="s">
        <v>66</v>
      </c>
      <c r="C38" s="13" t="str">
        <f>VLOOKUP([1]Competence!$B48,[1]Competence!$B$12:$B$100,1,FALSE)</f>
        <v>Contract management</v>
      </c>
      <c r="D38" s="13" t="str" cm="1">
        <f t="array" ref="D38">_xlfn.XLOOKUP(B38,[1]Baseline!$D$3:$AZ$3,_xlfn.XLOOKUP(C38,[1]Baseline!$B$4:$B$91,[1]Baseline!$D$4:$AZ$91))</f>
        <v>Working</v>
      </c>
      <c r="E38" s="13" t="s">
        <v>375</v>
      </c>
      <c r="F38" s="13">
        <f>VLOOKUP($D38,'[1]SFIA Level'!$A$2:$B$6,2,FALSE)</f>
        <v>2</v>
      </c>
      <c r="G38" s="153">
        <v>0</v>
      </c>
      <c r="H38" s="16">
        <f t="shared" si="0"/>
        <v>-2</v>
      </c>
      <c r="I38" s="13">
        <v>0</v>
      </c>
    </row>
    <row r="39" spans="1:9">
      <c r="A39" s="13" t="s">
        <v>13</v>
      </c>
      <c r="B39" s="13" t="s">
        <v>66</v>
      </c>
      <c r="C39" s="13" t="str">
        <f>VLOOKUP([1]Competence!$B49,[1]Competence!$B$12:$B$100,1,FALSE)</f>
        <v>Feasibility assessment</v>
      </c>
      <c r="D39" s="13" t="str" cm="1">
        <f t="array" ref="D39">_xlfn.XLOOKUP(B39,[1]Baseline!$D$3:$AZ$3,_xlfn.XLOOKUP(C39,[1]Baseline!$B$4:$B$91,[1]Baseline!$D$4:$AZ$91))</f>
        <v>Working</v>
      </c>
      <c r="E39" s="13" t="s">
        <v>375</v>
      </c>
      <c r="F39" s="13">
        <f>VLOOKUP($D39,'[1]SFIA Level'!$A$2:$B$6,2,FALSE)</f>
        <v>2</v>
      </c>
      <c r="G39" s="153">
        <v>0</v>
      </c>
      <c r="H39" s="16">
        <f t="shared" si="0"/>
        <v>-2</v>
      </c>
      <c r="I39" s="13">
        <v>0</v>
      </c>
    </row>
    <row r="40" spans="1:9">
      <c r="A40" s="13" t="s">
        <v>13</v>
      </c>
      <c r="B40" s="13" t="s">
        <v>66</v>
      </c>
      <c r="C40" s="13" t="str">
        <f>VLOOKUP([1]Competence!$B50,[1]Competence!$B$12:$B$100,1,FALSE)</f>
        <v>Governance</v>
      </c>
      <c r="D40" s="13" t="str" cm="1">
        <f t="array" ref="D40">_xlfn.XLOOKUP(B40,[1]Baseline!$D$3:$AZ$3,_xlfn.XLOOKUP(C40,[1]Baseline!$B$4:$B$91,[1]Baseline!$D$4:$AZ$91))</f>
        <v>Working</v>
      </c>
      <c r="E40" s="13" t="s">
        <v>376</v>
      </c>
      <c r="F40" s="13">
        <f>VLOOKUP($D40,'[1]SFIA Level'!$A$2:$B$6,2,FALSE)</f>
        <v>2</v>
      </c>
      <c r="G40" s="153">
        <v>0</v>
      </c>
      <c r="H40" s="16">
        <f t="shared" si="0"/>
        <v>-2</v>
      </c>
      <c r="I40" s="13">
        <v>0</v>
      </c>
    </row>
    <row r="41" spans="1:9">
      <c r="A41" s="13" t="s">
        <v>13</v>
      </c>
      <c r="B41" s="13" t="s">
        <v>66</v>
      </c>
      <c r="C41" s="13" t="str">
        <f>VLOOKUP([1]Competence!$B51,[1]Competence!$B$12:$B$100,1,FALSE)</f>
        <v>Risk management</v>
      </c>
      <c r="D41" s="13" t="str" cm="1">
        <f t="array" ref="D41">_xlfn.XLOOKUP(B41,[1]Baseline!$D$3:$AZ$3,_xlfn.XLOOKUP(C41,[1]Baseline!$B$4:$B$91,[1]Baseline!$D$4:$AZ$91))</f>
        <v>No Knowledge</v>
      </c>
      <c r="E41" s="13" t="s">
        <v>376</v>
      </c>
      <c r="F41" s="13">
        <f>VLOOKUP($D41,'[1]SFIA Level'!$A$2:$B$6,2,FALSE)</f>
        <v>0</v>
      </c>
      <c r="G41" s="153">
        <v>1</v>
      </c>
      <c r="H41" s="16">
        <f t="shared" si="0"/>
        <v>1</v>
      </c>
      <c r="I41" s="13">
        <v>1</v>
      </c>
    </row>
    <row r="42" spans="1:9">
      <c r="A42" s="13" t="s">
        <v>13</v>
      </c>
      <c r="B42" s="13" t="s">
        <v>66</v>
      </c>
      <c r="C42" s="13" t="str">
        <f>VLOOKUP([1]Competence!$B52,[1]Competence!$B$12:$B$100,1,FALSE)</f>
        <v>Sourcing</v>
      </c>
      <c r="D42" s="13" t="str" cm="1">
        <f t="array" ref="D42">_xlfn.XLOOKUP(B42,[1]Baseline!$D$3:$AZ$3,_xlfn.XLOOKUP(C42,[1]Baseline!$B$4:$B$91,[1]Baseline!$D$4:$AZ$91))</f>
        <v>Practitioner</v>
      </c>
      <c r="E42" s="13" t="s">
        <v>376</v>
      </c>
      <c r="F42" s="13">
        <f>VLOOKUP($D42,'[1]SFIA Level'!$A$2:$B$6,2,FALSE)</f>
        <v>3</v>
      </c>
      <c r="G42" s="153">
        <v>1</v>
      </c>
      <c r="H42" s="16">
        <f t="shared" si="0"/>
        <v>-2</v>
      </c>
      <c r="I42" s="13">
        <v>1</v>
      </c>
    </row>
    <row r="43" spans="1:9">
      <c r="A43" s="13" t="s">
        <v>13</v>
      </c>
      <c r="B43" s="13" t="s">
        <v>66</v>
      </c>
      <c r="C43" s="13" t="str">
        <f>VLOOKUP([1]Competence!$B53,[1]Competence!$B$12:$B$100,1,FALSE)</f>
        <v>Supplier management</v>
      </c>
      <c r="D43" s="13" t="str" cm="1">
        <f t="array" ref="D43">_xlfn.XLOOKUP(B43,[1]Baseline!$D$3:$AZ$3,_xlfn.XLOOKUP(C43,[1]Baseline!$B$4:$B$91,[1]Baseline!$D$4:$AZ$91))</f>
        <v>Practitioner</v>
      </c>
      <c r="E43" s="13" t="s">
        <v>376</v>
      </c>
      <c r="F43" s="13">
        <f>VLOOKUP($D43,'[1]SFIA Level'!$A$2:$B$6,2,FALSE)</f>
        <v>3</v>
      </c>
      <c r="G43" s="153">
        <v>0</v>
      </c>
      <c r="H43" s="16">
        <f t="shared" si="0"/>
        <v>-3</v>
      </c>
      <c r="I43" s="13">
        <v>0</v>
      </c>
    </row>
    <row r="44" spans="1:9">
      <c r="A44" s="13" t="s">
        <v>13</v>
      </c>
      <c r="B44" s="13" t="s">
        <v>66</v>
      </c>
      <c r="C44" s="13" t="str">
        <f>VLOOKUP([1]Competence!$B54,[1]Competence!$B$12:$B$100,1,FALSE)</f>
        <v>Sustainability</v>
      </c>
      <c r="D44" s="13" t="str" cm="1">
        <f t="array" ref="D44">_xlfn.XLOOKUP(B44,[1]Baseline!$D$3:$AZ$3,_xlfn.XLOOKUP(C44,[1]Baseline!$B$4:$B$91,[1]Baseline!$D$4:$AZ$91))</f>
        <v>Awareness</v>
      </c>
      <c r="E44" s="13" t="s">
        <v>374</v>
      </c>
      <c r="F44" s="13">
        <f>VLOOKUP($D44,'[1]SFIA Level'!$A$2:$B$6,2,FALSE)</f>
        <v>1</v>
      </c>
      <c r="G44" s="153">
        <v>0</v>
      </c>
      <c r="H44" s="16">
        <f t="shared" si="0"/>
        <v>-1</v>
      </c>
      <c r="I44" s="13">
        <v>0</v>
      </c>
    </row>
    <row r="45" spans="1:9">
      <c r="A45" s="13" t="s">
        <v>13</v>
      </c>
      <c r="B45" s="13" t="s">
        <v>66</v>
      </c>
      <c r="C45" s="13" t="str">
        <f>VLOOKUP([1]Competence!$B55,[1]Competence!$B$12:$B$100,1,FALSE)</f>
        <v>Acceptance testing</v>
      </c>
      <c r="D45" s="13" t="str" cm="1">
        <f t="array" ref="D45">_xlfn.XLOOKUP(B45,[1]Baseline!$D$3:$AZ$3,_xlfn.XLOOKUP(C45,[1]Baseline!$B$4:$B$91,[1]Baseline!$D$4:$AZ$91))</f>
        <v>Working</v>
      </c>
      <c r="E45" s="13" t="s">
        <v>374</v>
      </c>
      <c r="F45" s="13">
        <f>VLOOKUP($D45,'[1]SFIA Level'!$A$2:$B$6,2,FALSE)</f>
        <v>2</v>
      </c>
      <c r="G45" s="153">
        <v>1</v>
      </c>
      <c r="H45" s="16">
        <f t="shared" si="0"/>
        <v>-1</v>
      </c>
      <c r="I45" s="13">
        <v>1</v>
      </c>
    </row>
    <row r="46" spans="1:9">
      <c r="A46" s="13" t="s">
        <v>13</v>
      </c>
      <c r="B46" s="13" t="s">
        <v>66</v>
      </c>
      <c r="C46" s="13" t="str">
        <f>VLOOKUP([1]Competence!$B56,[1]Competence!$B$12:$B$100,1,FALSE)</f>
        <v>Application support</v>
      </c>
      <c r="D46" s="13" t="str" cm="1">
        <f t="array" ref="D46">_xlfn.XLOOKUP(B46,[1]Baseline!$D$3:$AZ$3,_xlfn.XLOOKUP(C46,[1]Baseline!$B$4:$B$91,[1]Baseline!$D$4:$AZ$91))</f>
        <v>Working</v>
      </c>
      <c r="E46" s="13" t="s">
        <v>374</v>
      </c>
      <c r="F46" s="13">
        <f>VLOOKUP($D46,'[1]SFIA Level'!$A$2:$B$6,2,FALSE)</f>
        <v>2</v>
      </c>
      <c r="G46" s="153">
        <v>3</v>
      </c>
      <c r="H46" s="16">
        <f t="shared" si="0"/>
        <v>1</v>
      </c>
      <c r="I46" s="13">
        <v>3</v>
      </c>
    </row>
    <row r="47" spans="1:9">
      <c r="A47" s="13" t="s">
        <v>13</v>
      </c>
      <c r="B47" s="13" t="s">
        <v>66</v>
      </c>
      <c r="C47" s="13" t="str">
        <f>VLOOKUP([1]Competence!$B57,[1]Competence!$B$12:$B$100,1,FALSE)</f>
        <v>Data Engineering</v>
      </c>
      <c r="D47" s="13" t="str" cm="1">
        <f t="array" ref="D47">_xlfn.XLOOKUP(B47,[1]Baseline!$D$3:$AZ$3,_xlfn.XLOOKUP(C47,[1]Baseline!$B$4:$B$91,[1]Baseline!$D$4:$AZ$91))</f>
        <v>No Knowledge</v>
      </c>
      <c r="E47" s="13" t="s">
        <v>374</v>
      </c>
      <c r="F47" s="13">
        <f>VLOOKUP($D47,'[1]SFIA Level'!$A$2:$B$6,2,FALSE)</f>
        <v>0</v>
      </c>
      <c r="G47" s="153">
        <v>2</v>
      </c>
      <c r="H47" s="16">
        <f t="shared" si="0"/>
        <v>2</v>
      </c>
      <c r="I47" s="13">
        <v>2</v>
      </c>
    </row>
    <row r="48" spans="1:9">
      <c r="A48" s="13" t="s">
        <v>13</v>
      </c>
      <c r="B48" s="13" t="s">
        <v>66</v>
      </c>
      <c r="C48" s="13" t="str">
        <f>VLOOKUP([1]Competence!$B58,[1]Competence!$B$12:$B$100,1,FALSE)</f>
        <v>Data Management</v>
      </c>
      <c r="D48" s="13" t="str" cm="1">
        <f t="array" ref="D48">_xlfn.XLOOKUP(B48,[1]Baseline!$D$3:$AZ$3,_xlfn.XLOOKUP(C48,[1]Baseline!$B$4:$B$91,[1]Baseline!$D$4:$AZ$91))</f>
        <v>No Knowledge</v>
      </c>
      <c r="E48" s="13" t="s">
        <v>374</v>
      </c>
      <c r="F48" s="13">
        <f>VLOOKUP($D48,'[1]SFIA Level'!$A$2:$B$6,2,FALSE)</f>
        <v>0</v>
      </c>
      <c r="G48" s="153">
        <v>2</v>
      </c>
      <c r="H48" s="16">
        <f t="shared" si="0"/>
        <v>2</v>
      </c>
      <c r="I48" s="13">
        <v>2</v>
      </c>
    </row>
    <row r="49" spans="1:9">
      <c r="A49" s="13" t="s">
        <v>13</v>
      </c>
      <c r="B49" s="13" t="s">
        <v>66</v>
      </c>
      <c r="C49" s="13" t="str">
        <f>VLOOKUP([1]Competence!$B59,[1]Competence!$B$12:$B$100,1,FALSE)</f>
        <v>Data Modelling and Design</v>
      </c>
      <c r="D49" s="13" t="str" cm="1">
        <f t="array" ref="D49">_xlfn.XLOOKUP(B49,[1]Baseline!$D$3:$AZ$3,_xlfn.XLOOKUP(C49,[1]Baseline!$B$4:$B$91,[1]Baseline!$D$4:$AZ$91))</f>
        <v>No Knowledge</v>
      </c>
      <c r="E49" s="13" t="s">
        <v>374</v>
      </c>
      <c r="F49" s="13">
        <f>VLOOKUP($D49,'[1]SFIA Level'!$A$2:$B$6,2,FALSE)</f>
        <v>0</v>
      </c>
      <c r="G49" s="153">
        <v>1</v>
      </c>
      <c r="H49" s="16">
        <f t="shared" si="0"/>
        <v>1</v>
      </c>
      <c r="I49" s="13">
        <v>1</v>
      </c>
    </row>
    <row r="50" spans="1:9">
      <c r="A50" s="13" t="s">
        <v>13</v>
      </c>
      <c r="B50" s="13" t="s">
        <v>66</v>
      </c>
      <c r="C50" s="13" t="str">
        <f>VLOOKUP([1]Competence!$B60,[1]Competence!$B$12:$B$100,1,FALSE)</f>
        <v>Data science</v>
      </c>
      <c r="D50" s="13" t="str" cm="1">
        <f t="array" ref="D50">_xlfn.XLOOKUP(B50,[1]Baseline!$D$3:$AZ$3,_xlfn.XLOOKUP(C50,[1]Baseline!$B$4:$B$91,[1]Baseline!$D$4:$AZ$91))</f>
        <v>No Knowledge</v>
      </c>
      <c r="E50" s="13" t="s">
        <v>377</v>
      </c>
      <c r="F50" s="13">
        <f>VLOOKUP($D50,'[1]SFIA Level'!$A$2:$B$6,2,FALSE)</f>
        <v>0</v>
      </c>
      <c r="G50" s="153">
        <v>1</v>
      </c>
      <c r="H50" s="16">
        <f t="shared" si="0"/>
        <v>1</v>
      </c>
      <c r="I50" s="13">
        <v>1</v>
      </c>
    </row>
    <row r="51" spans="1:9">
      <c r="A51" s="13" t="s">
        <v>13</v>
      </c>
      <c r="B51" s="13" t="s">
        <v>66</v>
      </c>
      <c r="C51" s="13" t="str">
        <f>VLOOKUP([1]Competence!$B61,[1]Competence!$B$12:$B$100,1,FALSE)</f>
        <v>Data visualisation</v>
      </c>
      <c r="D51" s="13" t="str" cm="1">
        <f t="array" ref="D51">_xlfn.XLOOKUP(B51,[1]Baseline!$D$3:$AZ$3,_xlfn.XLOOKUP(C51,[1]Baseline!$B$4:$B$91,[1]Baseline!$D$4:$AZ$91))</f>
        <v>No Knowledge</v>
      </c>
      <c r="E51" s="13" t="s">
        <v>377</v>
      </c>
      <c r="F51" s="13">
        <f>VLOOKUP($D51,'[1]SFIA Level'!$A$2:$B$6,2,FALSE)</f>
        <v>0</v>
      </c>
      <c r="G51" s="153">
        <v>1</v>
      </c>
      <c r="H51" s="16">
        <f t="shared" si="0"/>
        <v>1</v>
      </c>
      <c r="I51" s="13">
        <v>1</v>
      </c>
    </row>
    <row r="52" spans="1:9">
      <c r="A52" s="13" t="s">
        <v>13</v>
      </c>
      <c r="B52" s="13" t="s">
        <v>66</v>
      </c>
      <c r="C52" s="13" t="str">
        <f>VLOOKUP([1]Competence!$B62,[1]Competence!$B$12:$B$100,1,FALSE)</f>
        <v>Database Administration</v>
      </c>
      <c r="D52" s="13" t="str" cm="1">
        <f t="array" ref="D52">_xlfn.XLOOKUP(B52,[1]Baseline!$D$3:$AZ$3,_xlfn.XLOOKUP(C52,[1]Baseline!$B$4:$B$91,[1]Baseline!$D$4:$AZ$91))</f>
        <v>No Knowledge</v>
      </c>
      <c r="E52" s="13" t="s">
        <v>378</v>
      </c>
      <c r="F52" s="13">
        <f>VLOOKUP($D52,'[1]SFIA Level'!$A$2:$B$6,2,FALSE)</f>
        <v>0</v>
      </c>
      <c r="G52" s="153">
        <v>2</v>
      </c>
      <c r="H52" s="16">
        <f t="shared" si="0"/>
        <v>2</v>
      </c>
      <c r="I52" s="13">
        <v>2</v>
      </c>
    </row>
    <row r="53" spans="1:9">
      <c r="A53" s="13" t="s">
        <v>13</v>
      </c>
      <c r="B53" s="13" t="s">
        <v>66</v>
      </c>
      <c r="C53" s="13" t="str">
        <f>VLOOKUP([1]Competence!$B63,[1]Competence!$B$12:$B$100,1,FALSE)</f>
        <v>Database Design</v>
      </c>
      <c r="D53" s="13" t="str" cm="1">
        <f t="array" ref="D53">_xlfn.XLOOKUP(B53,[1]Baseline!$D$3:$AZ$3,_xlfn.XLOOKUP(C53,[1]Baseline!$B$4:$B$91,[1]Baseline!$D$4:$AZ$91))</f>
        <v>No Knowledge</v>
      </c>
      <c r="E53" s="13" t="s">
        <v>378</v>
      </c>
      <c r="F53" s="13">
        <f>VLOOKUP($D53,'[1]SFIA Level'!$A$2:$B$6,2,FALSE)</f>
        <v>0</v>
      </c>
      <c r="G53" s="153">
        <v>1</v>
      </c>
      <c r="H53" s="16">
        <f t="shared" si="0"/>
        <v>1</v>
      </c>
      <c r="I53" s="13">
        <v>1</v>
      </c>
    </row>
    <row r="54" spans="1:9">
      <c r="A54" s="13" t="s">
        <v>13</v>
      </c>
      <c r="B54" s="13" t="s">
        <v>66</v>
      </c>
      <c r="C54" s="13" t="str">
        <f>VLOOKUP([1]Competence!$B64,[1]Competence!$B$12:$B$100,1,FALSE)</f>
        <v>Hardware design</v>
      </c>
      <c r="D54" s="13" t="str" cm="1">
        <f t="array" ref="D54">_xlfn.XLOOKUP(B54,[1]Baseline!$D$3:$AZ$3,_xlfn.XLOOKUP(C54,[1]Baseline!$B$4:$B$91,[1]Baseline!$D$4:$AZ$91))</f>
        <v>No Knowledge</v>
      </c>
      <c r="E54" s="13" t="s">
        <v>378</v>
      </c>
      <c r="F54" s="13">
        <f>VLOOKUP($D54,'[1]SFIA Level'!$A$2:$B$6,2,FALSE)</f>
        <v>0</v>
      </c>
      <c r="G54" s="153">
        <v>1</v>
      </c>
      <c r="H54" s="16">
        <f t="shared" si="0"/>
        <v>1</v>
      </c>
      <c r="I54" s="13">
        <v>1</v>
      </c>
    </row>
    <row r="55" spans="1:9">
      <c r="A55" s="13" t="s">
        <v>13</v>
      </c>
      <c r="B55" s="13" t="s">
        <v>66</v>
      </c>
      <c r="C55" s="13" t="str">
        <f>VLOOKUP([1]Competence!$B65,[1]Competence!$B$12:$B$100,1,FALSE)</f>
        <v>High Performance Computing</v>
      </c>
      <c r="D55" s="13" t="str" cm="1">
        <f t="array" ref="D55">_xlfn.XLOOKUP(B55,[1]Baseline!$D$3:$AZ$3,_xlfn.XLOOKUP(C55,[1]Baseline!$B$4:$B$91,[1]Baseline!$D$4:$AZ$91))</f>
        <v>Awareness</v>
      </c>
      <c r="E55" s="13" t="s">
        <v>378</v>
      </c>
      <c r="F55" s="13">
        <f>VLOOKUP($D55,'[1]SFIA Level'!$A$2:$B$6,2,FALSE)</f>
        <v>1</v>
      </c>
      <c r="G55" s="153">
        <v>1</v>
      </c>
      <c r="H55" s="16">
        <f t="shared" si="0"/>
        <v>0</v>
      </c>
      <c r="I55" s="13">
        <v>1</v>
      </c>
    </row>
    <row r="56" spans="1:9">
      <c r="A56" s="13" t="s">
        <v>13</v>
      </c>
      <c r="B56" s="13" t="s">
        <v>66</v>
      </c>
      <c r="C56" s="13" t="str">
        <f>VLOOKUP([1]Competence!$B66,[1]Competence!$B$12:$B$100,1,FALSE)</f>
        <v>Research Computing</v>
      </c>
      <c r="D56" s="13" t="str" cm="1">
        <f t="array" ref="D56">_xlfn.XLOOKUP(B56,[1]Baseline!$D$3:$AZ$3,_xlfn.XLOOKUP(C56,[1]Baseline!$B$4:$B$91,[1]Baseline!$D$4:$AZ$91))</f>
        <v>Awareness</v>
      </c>
      <c r="E56" s="13" t="s">
        <v>378</v>
      </c>
      <c r="F56" s="13">
        <f>VLOOKUP($D56,'[1]SFIA Level'!$A$2:$B$6,2,FALSE)</f>
        <v>1</v>
      </c>
      <c r="G56" s="153">
        <v>1</v>
      </c>
      <c r="H56" s="16">
        <f t="shared" si="0"/>
        <v>0</v>
      </c>
      <c r="I56" s="13">
        <v>1</v>
      </c>
    </row>
    <row r="57" spans="1:9">
      <c r="A57" s="13" t="s">
        <v>13</v>
      </c>
      <c r="B57" s="13" t="s">
        <v>66</v>
      </c>
      <c r="C57" s="13" t="str">
        <f>VLOOKUP([1]Competence!$B67,[1]Competence!$B$12:$B$100,1,FALSE)</f>
        <v>Information assurance</v>
      </c>
      <c r="D57" s="13" t="str" cm="1">
        <f t="array" ref="D57">_xlfn.XLOOKUP(B57,[1]Baseline!$D$3:$AZ$3,_xlfn.XLOOKUP(C57,[1]Baseline!$B$4:$B$91,[1]Baseline!$D$4:$AZ$91))</f>
        <v>Working</v>
      </c>
      <c r="E57" s="13" t="s">
        <v>378</v>
      </c>
      <c r="F57" s="13">
        <f>VLOOKUP($D57,'[1]SFIA Level'!$A$2:$B$6,2,FALSE)</f>
        <v>2</v>
      </c>
      <c r="G57" s="153">
        <v>2</v>
      </c>
      <c r="H57" s="16">
        <f t="shared" si="0"/>
        <v>0</v>
      </c>
      <c r="I57" s="13">
        <v>2</v>
      </c>
    </row>
    <row r="58" spans="1:9">
      <c r="A58" s="13" t="s">
        <v>13</v>
      </c>
      <c r="B58" s="13" t="s">
        <v>66</v>
      </c>
      <c r="C58" s="13" t="str">
        <f>VLOOKUP([1]Competence!$B68,[1]Competence!$B$12:$B$100,1,FALSE)</f>
        <v>Information management</v>
      </c>
      <c r="D58" s="13" t="str" cm="1">
        <f t="array" ref="D58">_xlfn.XLOOKUP(B58,[1]Baseline!$D$3:$AZ$3,_xlfn.XLOOKUP(C58,[1]Baseline!$B$4:$B$91,[1]Baseline!$D$4:$AZ$91))</f>
        <v>Awareness</v>
      </c>
      <c r="E58" s="13" t="s">
        <v>49</v>
      </c>
      <c r="F58" s="13">
        <f>VLOOKUP($D58,'[1]SFIA Level'!$A$2:$B$6,2,FALSE)</f>
        <v>1</v>
      </c>
      <c r="G58" s="153">
        <v>2</v>
      </c>
      <c r="H58" s="16">
        <f t="shared" si="0"/>
        <v>1</v>
      </c>
      <c r="I58" s="13">
        <v>2</v>
      </c>
    </row>
    <row r="59" spans="1:9">
      <c r="A59" s="13" t="s">
        <v>13</v>
      </c>
      <c r="B59" s="13" t="s">
        <v>66</v>
      </c>
      <c r="C59" s="13" t="str">
        <f>VLOOKUP([1]Competence!$B69,[1]Competence!$B$12:$B$100,1,FALSE)</f>
        <v>Infrastructure</v>
      </c>
      <c r="D59" s="13" t="str" cm="1">
        <f t="array" ref="D59">_xlfn.XLOOKUP(B59,[1]Baseline!$D$3:$AZ$3,_xlfn.XLOOKUP(C59,[1]Baseline!$B$4:$B$91,[1]Baseline!$D$4:$AZ$91))</f>
        <v>Working</v>
      </c>
      <c r="E59" s="13" t="s">
        <v>49</v>
      </c>
      <c r="F59" s="13">
        <f>VLOOKUP($D59,'[1]SFIA Level'!$A$2:$B$6,2,FALSE)</f>
        <v>2</v>
      </c>
      <c r="G59" s="153">
        <v>3</v>
      </c>
      <c r="H59" s="16">
        <f t="shared" si="0"/>
        <v>1</v>
      </c>
      <c r="I59" s="13">
        <v>3</v>
      </c>
    </row>
    <row r="60" spans="1:9">
      <c r="A60" s="13" t="s">
        <v>13</v>
      </c>
      <c r="B60" s="13" t="s">
        <v>66</v>
      </c>
      <c r="C60" s="13" t="str">
        <f>VLOOKUP([1]Competence!$B70,[1]Competence!$B$12:$B$100,1,FALSE)</f>
        <v>Network design</v>
      </c>
      <c r="D60" s="13" t="str" cm="1">
        <f t="array" ref="D60">_xlfn.XLOOKUP(B60,[1]Baseline!$D$3:$AZ$3,_xlfn.XLOOKUP(C60,[1]Baseline!$B$4:$B$91,[1]Baseline!$D$4:$AZ$91))</f>
        <v>No Knowledge</v>
      </c>
      <c r="E60" s="13" t="s">
        <v>375</v>
      </c>
      <c r="F60" s="13">
        <f>VLOOKUP($D60,'[1]SFIA Level'!$A$2:$B$6,2,FALSE)</f>
        <v>0</v>
      </c>
      <c r="G60" s="153">
        <v>1</v>
      </c>
      <c r="H60" s="16">
        <f t="shared" si="0"/>
        <v>1</v>
      </c>
      <c r="I60" s="13">
        <v>1</v>
      </c>
    </row>
    <row r="61" spans="1:9">
      <c r="A61" s="13" t="s">
        <v>13</v>
      </c>
      <c r="B61" s="13" t="s">
        <v>66</v>
      </c>
      <c r="C61" s="13" t="str">
        <f>VLOOKUP([1]Competence!$B71,[1]Competence!$B$12:$B$100,1,FALSE)</f>
        <v>Network Analytics</v>
      </c>
      <c r="D61" s="13" t="str" cm="1">
        <f t="array" ref="D61">_xlfn.XLOOKUP(B61,[1]Baseline!$D$3:$AZ$3,_xlfn.XLOOKUP(C61,[1]Baseline!$B$4:$B$91,[1]Baseline!$D$4:$AZ$91))</f>
        <v>No Knowledge</v>
      </c>
      <c r="E61" s="13" t="s">
        <v>375</v>
      </c>
      <c r="F61" s="13">
        <f>VLOOKUP($D61,'[1]SFIA Level'!$A$2:$B$6,2,FALSE)</f>
        <v>0</v>
      </c>
      <c r="G61" s="153">
        <v>2</v>
      </c>
      <c r="H61" s="16">
        <f t="shared" si="0"/>
        <v>2</v>
      </c>
      <c r="I61" s="13">
        <v>2</v>
      </c>
    </row>
    <row r="62" spans="1:9">
      <c r="A62" s="13" t="s">
        <v>13</v>
      </c>
      <c r="B62" s="13" t="s">
        <v>66</v>
      </c>
      <c r="C62" s="13" t="str">
        <f>VLOOKUP([1]Competence!$B72,[1]Competence!$B$12:$B$100,1,FALSE)</f>
        <v>Network support</v>
      </c>
      <c r="D62" s="13" t="str" cm="1">
        <f t="array" ref="D62">_xlfn.XLOOKUP(B62,[1]Baseline!$D$3:$AZ$3,_xlfn.XLOOKUP(C62,[1]Baseline!$B$4:$B$91,[1]Baseline!$D$4:$AZ$91))</f>
        <v>Working</v>
      </c>
      <c r="E62" s="13" t="s">
        <v>375</v>
      </c>
      <c r="F62" s="13">
        <f>VLOOKUP($D62,'[1]SFIA Level'!$A$2:$B$6,2,FALSE)</f>
        <v>2</v>
      </c>
      <c r="G62" s="153">
        <v>2</v>
      </c>
      <c r="H62" s="16">
        <f t="shared" si="0"/>
        <v>0</v>
      </c>
      <c r="I62" s="13">
        <v>2</v>
      </c>
    </row>
    <row r="63" spans="1:9">
      <c r="A63" s="13" t="s">
        <v>13</v>
      </c>
      <c r="B63" s="13" t="s">
        <v>66</v>
      </c>
      <c r="C63" s="13" t="str">
        <f>VLOOKUP([1]Competence!$B73,[1]Competence!$B$12:$B$100,1,FALSE)</f>
        <v>Programming/software development</v>
      </c>
      <c r="D63" s="13" t="str" cm="1">
        <f t="array" ref="D63">_xlfn.XLOOKUP(B63,[1]Baseline!$D$3:$AZ$3,_xlfn.XLOOKUP(C63,[1]Baseline!$B$4:$B$91,[1]Baseline!$D$4:$AZ$91))</f>
        <v>No Knowledge</v>
      </c>
      <c r="E63" s="13" t="s">
        <v>375</v>
      </c>
      <c r="F63" s="13">
        <f>VLOOKUP($D63,'[1]SFIA Level'!$A$2:$B$6,2,FALSE)</f>
        <v>0</v>
      </c>
      <c r="G63" s="153">
        <v>1</v>
      </c>
      <c r="H63" s="16">
        <f t="shared" si="0"/>
        <v>1</v>
      </c>
      <c r="I63" s="13">
        <v>1</v>
      </c>
    </row>
    <row r="64" spans="1:9">
      <c r="A64" s="13" t="s">
        <v>13</v>
      </c>
      <c r="B64" s="13" t="s">
        <v>66</v>
      </c>
      <c r="C64" s="13" t="str">
        <f>VLOOKUP([1]Competence!$B74,[1]Competence!$B$12:$B$100,1,FALSE)</f>
        <v>Real-time/embedded systems development</v>
      </c>
      <c r="D64" s="13" t="str" cm="1">
        <f t="array" ref="D64">_xlfn.XLOOKUP(B64,[1]Baseline!$D$3:$AZ$3,_xlfn.XLOOKUP(C64,[1]Baseline!$B$4:$B$91,[1]Baseline!$D$4:$AZ$91))</f>
        <v>No Knowledge</v>
      </c>
      <c r="E64" s="13" t="s">
        <v>373</v>
      </c>
      <c r="F64" s="13">
        <f>VLOOKUP($D64,'[1]SFIA Level'!$A$2:$B$6,2,FALSE)</f>
        <v>0</v>
      </c>
      <c r="G64" s="153">
        <v>1</v>
      </c>
      <c r="H64" s="16">
        <f t="shared" si="0"/>
        <v>1</v>
      </c>
      <c r="I64" s="13">
        <v>1</v>
      </c>
    </row>
    <row r="65" spans="1:9">
      <c r="A65" s="13" t="s">
        <v>13</v>
      </c>
      <c r="B65" s="13" t="s">
        <v>66</v>
      </c>
      <c r="C65" s="13" t="str">
        <f>VLOOKUP([1]Competence!$B75,[1]Competence!$B$12:$B$100,1,FALSE)</f>
        <v>Requirements definition and management</v>
      </c>
      <c r="D65" s="13" t="str" cm="1">
        <f t="array" ref="D65">_xlfn.XLOOKUP(B65,[1]Baseline!$D$3:$AZ$3,_xlfn.XLOOKUP(C65,[1]Baseline!$B$4:$B$91,[1]Baseline!$D$4:$AZ$91))</f>
        <v>No Knowledge</v>
      </c>
      <c r="E65" s="13" t="s">
        <v>373</v>
      </c>
      <c r="F65" s="13">
        <f>VLOOKUP($D65,'[1]SFIA Level'!$A$2:$B$6,2,FALSE)</f>
        <v>0</v>
      </c>
      <c r="G65" s="153">
        <v>2</v>
      </c>
      <c r="H65" s="16">
        <f t="shared" si="0"/>
        <v>2</v>
      </c>
      <c r="I65" s="13">
        <v>2</v>
      </c>
    </row>
    <row r="66" spans="1:9">
      <c r="A66" s="13" t="s">
        <v>13</v>
      </c>
      <c r="B66" s="13" t="s">
        <v>66</v>
      </c>
      <c r="C66" s="13" t="str">
        <f>VLOOKUP([1]Competence!$B76,[1]Competence!$B$12:$B$100,1,FALSE)</f>
        <v>Software configuration</v>
      </c>
      <c r="D66" s="13" t="str" cm="1">
        <f t="array" ref="D66">_xlfn.XLOOKUP(B66,[1]Baseline!$D$3:$AZ$3,_xlfn.XLOOKUP(C66,[1]Baseline!$B$4:$B$91,[1]Baseline!$D$4:$AZ$91))</f>
        <v>No Knowledge</v>
      </c>
      <c r="E66" s="13" t="s">
        <v>376</v>
      </c>
      <c r="F66" s="13">
        <f>VLOOKUP($D66,'[1]SFIA Level'!$A$2:$B$6,2,FALSE)</f>
        <v>0</v>
      </c>
      <c r="G66" s="153">
        <v>3</v>
      </c>
      <c r="H66" s="16">
        <f t="shared" ref="H66:H129" si="1">I66-F66</f>
        <v>3</v>
      </c>
      <c r="I66" s="13">
        <v>3</v>
      </c>
    </row>
    <row r="67" spans="1:9">
      <c r="A67" s="13" t="s">
        <v>13</v>
      </c>
      <c r="B67" s="13" t="s">
        <v>66</v>
      </c>
      <c r="C67" s="13" t="str">
        <f>VLOOKUP([1]Competence!$B77,[1]Competence!$B$12:$B$100,1,FALSE)</f>
        <v>Software design</v>
      </c>
      <c r="D67" s="13" t="str" cm="1">
        <f t="array" ref="D67">_xlfn.XLOOKUP(B67,[1]Baseline!$D$3:$AZ$3,_xlfn.XLOOKUP(C67,[1]Baseline!$B$4:$B$91,[1]Baseline!$D$4:$AZ$91))</f>
        <v>No Knowledge</v>
      </c>
      <c r="E67" s="13" t="s">
        <v>376</v>
      </c>
      <c r="F67" s="13">
        <f>VLOOKUP($D67,'[1]SFIA Level'!$A$2:$B$6,2,FALSE)</f>
        <v>0</v>
      </c>
      <c r="G67" s="153">
        <v>1</v>
      </c>
      <c r="H67" s="16">
        <f t="shared" si="1"/>
        <v>1</v>
      </c>
      <c r="I67" s="13">
        <v>1</v>
      </c>
    </row>
    <row r="68" spans="1:9">
      <c r="A68" s="13" t="s">
        <v>13</v>
      </c>
      <c r="B68" s="13" t="s">
        <v>66</v>
      </c>
      <c r="C68" s="13" t="str">
        <f>VLOOKUP([1]Competence!$B78,[1]Competence!$B$12:$B$100,1,FALSE)</f>
        <v>Solution architecture</v>
      </c>
      <c r="D68" s="13" t="str" cm="1">
        <f t="array" ref="D68">_xlfn.XLOOKUP(B68,[1]Baseline!$D$3:$AZ$3,_xlfn.XLOOKUP(C68,[1]Baseline!$B$4:$B$91,[1]Baseline!$D$4:$AZ$91))</f>
        <v>No Knowledge</v>
      </c>
      <c r="E68" s="13" t="s">
        <v>377</v>
      </c>
      <c r="F68" s="13">
        <f>VLOOKUP($D68,'[1]SFIA Level'!$A$2:$B$6,2,FALSE)</f>
        <v>0</v>
      </c>
      <c r="G68" s="153">
        <v>1</v>
      </c>
      <c r="H68" s="16">
        <f t="shared" si="1"/>
        <v>1</v>
      </c>
      <c r="I68" s="13">
        <v>1</v>
      </c>
    </row>
    <row r="69" spans="1:9">
      <c r="A69" s="13" t="s">
        <v>13</v>
      </c>
      <c r="B69" s="13" t="s">
        <v>66</v>
      </c>
      <c r="C69" s="13" t="str">
        <f>VLOOKUP([1]Competence!$B79,[1]Competence!$B$12:$B$100,1,FALSE)</f>
        <v>System software</v>
      </c>
      <c r="D69" s="13" t="str" cm="1">
        <f t="array" ref="D69">_xlfn.XLOOKUP(B69,[1]Baseline!$D$3:$AZ$3,_xlfn.XLOOKUP(C69,[1]Baseline!$B$4:$B$91,[1]Baseline!$D$4:$AZ$91))</f>
        <v>No Knowledge</v>
      </c>
      <c r="E69" s="13" t="s">
        <v>375</v>
      </c>
      <c r="F69" s="13">
        <f>VLOOKUP($D69,'[1]SFIA Level'!$A$2:$B$6,2,FALSE)</f>
        <v>0</v>
      </c>
      <c r="G69" s="153">
        <v>3</v>
      </c>
      <c r="H69" s="16">
        <f t="shared" si="1"/>
        <v>3</v>
      </c>
      <c r="I69" s="13">
        <v>3</v>
      </c>
    </row>
    <row r="70" spans="1:9">
      <c r="A70" s="13" t="s">
        <v>13</v>
      </c>
      <c r="B70" s="13" t="s">
        <v>66</v>
      </c>
      <c r="C70" s="13" t="str">
        <f>VLOOKUP([1]Competence!$B80,[1]Competence!$B$12:$B$100,1,FALSE)</f>
        <v>Systems and software life cycle engineering</v>
      </c>
      <c r="D70" s="13" t="str" cm="1">
        <f t="array" ref="D70">_xlfn.XLOOKUP(B70,[1]Baseline!$D$3:$AZ$3,_xlfn.XLOOKUP(C70,[1]Baseline!$B$4:$B$91,[1]Baseline!$D$4:$AZ$91))</f>
        <v>No Knowledge</v>
      </c>
      <c r="E70" s="13" t="s">
        <v>375</v>
      </c>
      <c r="F70" s="13">
        <f>VLOOKUP($D70,'[1]SFIA Level'!$A$2:$B$6,2,FALSE)</f>
        <v>0</v>
      </c>
      <c r="G70" s="153">
        <v>2</v>
      </c>
      <c r="H70" s="16">
        <f t="shared" si="1"/>
        <v>2</v>
      </c>
      <c r="I70" s="13">
        <v>2</v>
      </c>
    </row>
    <row r="71" spans="1:9">
      <c r="A71" s="13" t="s">
        <v>13</v>
      </c>
      <c r="B71" s="13" t="s">
        <v>66</v>
      </c>
      <c r="C71" s="13" t="str">
        <f>VLOOKUP([1]Competence!$B81,[1]Competence!$B$12:$B$100,1,FALSE)</f>
        <v>Systems design</v>
      </c>
      <c r="D71" s="13" t="str" cm="1">
        <f t="array" ref="D71">_xlfn.XLOOKUP(B71,[1]Baseline!$D$3:$AZ$3,_xlfn.XLOOKUP(C71,[1]Baseline!$B$4:$B$91,[1]Baseline!$D$4:$AZ$91))</f>
        <v>No Knowledge</v>
      </c>
      <c r="E71" s="13" t="s">
        <v>375</v>
      </c>
      <c r="F71" s="13">
        <f>VLOOKUP($D71,'[1]SFIA Level'!$A$2:$B$6,2,FALSE)</f>
        <v>0</v>
      </c>
      <c r="G71" s="153">
        <v>3</v>
      </c>
      <c r="H71" s="16">
        <f t="shared" si="1"/>
        <v>3</v>
      </c>
      <c r="I71" s="13">
        <v>3</v>
      </c>
    </row>
    <row r="72" spans="1:9">
      <c r="A72" s="13" t="s">
        <v>13</v>
      </c>
      <c r="B72" s="13" t="s">
        <v>66</v>
      </c>
      <c r="C72" s="13" t="str">
        <f>VLOOKUP([1]Competence!$B82,[1]Competence!$B$12:$B$100,1,FALSE)</f>
        <v>Systems development management</v>
      </c>
      <c r="D72" s="13" t="str" cm="1">
        <f t="array" ref="D72">_xlfn.XLOOKUP(B72,[1]Baseline!$D$3:$AZ$3,_xlfn.XLOOKUP(C72,[1]Baseline!$B$4:$B$91,[1]Baseline!$D$4:$AZ$91))</f>
        <v>No Knowledge</v>
      </c>
      <c r="E72" s="13" t="s">
        <v>375</v>
      </c>
      <c r="F72" s="13">
        <f>VLOOKUP($D72,'[1]SFIA Level'!$A$2:$B$6,2,FALSE)</f>
        <v>0</v>
      </c>
      <c r="G72" s="153">
        <v>2</v>
      </c>
      <c r="H72" s="16">
        <f t="shared" si="1"/>
        <v>2</v>
      </c>
      <c r="I72" s="13">
        <v>2</v>
      </c>
    </row>
    <row r="73" spans="1:9">
      <c r="A73" s="13" t="s">
        <v>13</v>
      </c>
      <c r="B73" s="13" t="s">
        <v>66</v>
      </c>
      <c r="C73" s="13" t="str">
        <f>VLOOKUP([1]Competence!$B83,[1]Competence!$B$12:$B$100,1,FALSE)</f>
        <v>Systems installation and removal</v>
      </c>
      <c r="D73" s="13" t="str" cm="1">
        <f t="array" ref="D73">_xlfn.XLOOKUP(B73,[1]Baseline!$D$3:$AZ$3,_xlfn.XLOOKUP(C73,[1]Baseline!$B$4:$B$91,[1]Baseline!$D$4:$AZ$91))</f>
        <v>Working</v>
      </c>
      <c r="E73" s="13" t="s">
        <v>375</v>
      </c>
      <c r="F73" s="13">
        <f>VLOOKUP($D73,'[1]SFIA Level'!$A$2:$B$6,2,FALSE)</f>
        <v>2</v>
      </c>
      <c r="G73" s="153">
        <v>3</v>
      </c>
      <c r="H73" s="16">
        <f t="shared" si="1"/>
        <v>1</v>
      </c>
      <c r="I73" s="13">
        <v>3</v>
      </c>
    </row>
    <row r="74" spans="1:9">
      <c r="A74" s="13" t="s">
        <v>13</v>
      </c>
      <c r="B74" s="13" t="s">
        <v>66</v>
      </c>
      <c r="C74" s="13" t="str">
        <f>VLOOKUP([1]Competence!$B84,[1]Competence!$B$12:$B$100,1,FALSE)</f>
        <v>Testing</v>
      </c>
      <c r="D74" s="13" t="str" cm="1">
        <f t="array" ref="D74">_xlfn.XLOOKUP(B74,[1]Baseline!$D$3:$AZ$3,_xlfn.XLOOKUP(C74,[1]Baseline!$B$4:$B$91,[1]Baseline!$D$4:$AZ$91))</f>
        <v>Working</v>
      </c>
      <c r="E74" s="13" t="s">
        <v>375</v>
      </c>
      <c r="F74" s="13">
        <f>VLOOKUP($D74,'[1]SFIA Level'!$A$2:$B$6,2,FALSE)</f>
        <v>2</v>
      </c>
      <c r="G74" s="153">
        <v>3</v>
      </c>
      <c r="H74" s="16">
        <f t="shared" si="1"/>
        <v>1</v>
      </c>
      <c r="I74" s="13">
        <v>3</v>
      </c>
    </row>
    <row r="75" spans="1:9">
      <c r="A75" s="13" t="s">
        <v>13</v>
      </c>
      <c r="B75" s="13" t="s">
        <v>66</v>
      </c>
      <c r="C75" s="13" t="str">
        <f>VLOOKUP([1]Competence!$B85,[1]Competence!$B$12:$B$100,1,FALSE)</f>
        <v>Innovation</v>
      </c>
      <c r="D75" s="13" t="str" cm="1">
        <f t="array" ref="D75">_xlfn.XLOOKUP(B75,[1]Baseline!$D$3:$AZ$3,_xlfn.XLOOKUP(C75,[1]Baseline!$B$4:$B$91,[1]Baseline!$D$4:$AZ$91))</f>
        <v>No Knowledge</v>
      </c>
      <c r="E75" s="13" t="s">
        <v>375</v>
      </c>
      <c r="F75" s="13">
        <f>VLOOKUP($D75,'[1]SFIA Level'!$A$2:$B$6,2,FALSE)</f>
        <v>0</v>
      </c>
      <c r="G75" s="153">
        <v>2</v>
      </c>
      <c r="H75" s="16">
        <f t="shared" si="1"/>
        <v>2</v>
      </c>
      <c r="I75" s="13">
        <v>2</v>
      </c>
    </row>
    <row r="76" spans="1:9">
      <c r="A76" s="13" t="s">
        <v>13</v>
      </c>
      <c r="B76" s="13" t="s">
        <v>66</v>
      </c>
      <c r="C76" s="13" t="str">
        <f>VLOOKUP([1]Competence!$B86,[1]Competence!$B$12:$B$100,1,FALSE)</f>
        <v>Specialist Advice</v>
      </c>
      <c r="D76" s="13" t="str" cm="1">
        <f t="array" ref="D76">_xlfn.XLOOKUP(B76,[1]Baseline!$D$3:$AZ$3,_xlfn.XLOOKUP(C76,[1]Baseline!$B$4:$B$91,[1]Baseline!$D$4:$AZ$91))</f>
        <v>No Knowledge</v>
      </c>
      <c r="E76" s="13" t="s">
        <v>375</v>
      </c>
      <c r="F76" s="13">
        <f>VLOOKUP($D76,'[1]SFIA Level'!$A$2:$B$6,2,FALSE)</f>
        <v>0</v>
      </c>
      <c r="G76" s="153">
        <v>2</v>
      </c>
      <c r="H76" s="16">
        <f t="shared" si="1"/>
        <v>2</v>
      </c>
      <c r="I76" s="13">
        <v>2</v>
      </c>
    </row>
    <row r="77" spans="1:9">
      <c r="A77" s="13" t="s">
        <v>13</v>
      </c>
      <c r="B77" s="13" t="s">
        <v>66</v>
      </c>
      <c r="C77" s="13" t="str">
        <f>VLOOKUP([1]Competence!$B87,[1]Competence!$B$12:$B$100,1,FALSE)</f>
        <v>Emerging technology monitoring</v>
      </c>
      <c r="D77" s="13" t="str" cm="1">
        <f t="array" ref="D77">_xlfn.XLOOKUP(B77,[1]Baseline!$D$3:$AZ$3,_xlfn.XLOOKUP(C77,[1]Baseline!$B$4:$B$91,[1]Baseline!$D$4:$AZ$91))</f>
        <v>No Knowledge</v>
      </c>
      <c r="E77" s="13" t="s">
        <v>375</v>
      </c>
      <c r="F77" s="13">
        <f>VLOOKUP($D77,'[1]SFIA Level'!$A$2:$B$6,2,FALSE)</f>
        <v>0</v>
      </c>
      <c r="G77" s="153">
        <v>3</v>
      </c>
      <c r="H77" s="16">
        <f t="shared" si="1"/>
        <v>3</v>
      </c>
      <c r="I77" s="13">
        <v>3</v>
      </c>
    </row>
    <row r="78" spans="1:9">
      <c r="A78" s="13" t="s">
        <v>13</v>
      </c>
      <c r="B78" s="13" t="s">
        <v>66</v>
      </c>
      <c r="C78" s="13" t="str">
        <f>VLOOKUP([1]Competence!$B88,[1]Competence!$B$12:$B$100,1,FALSE)</f>
        <v>Systems integration and build</v>
      </c>
      <c r="D78" s="13" t="str" cm="1">
        <f t="array" ref="D78">_xlfn.XLOOKUP(B78,[1]Baseline!$D$3:$AZ$3,_xlfn.XLOOKUP(C78,[1]Baseline!$B$4:$B$91,[1]Baseline!$D$4:$AZ$91))</f>
        <v>Practitioner</v>
      </c>
      <c r="E78" s="13" t="s">
        <v>375</v>
      </c>
      <c r="F78" s="13">
        <f>VLOOKUP($D78,'[1]SFIA Level'!$A$2:$B$6,2,FALSE)</f>
        <v>3</v>
      </c>
      <c r="G78" s="153">
        <v>3</v>
      </c>
      <c r="H78" s="16">
        <f t="shared" si="1"/>
        <v>0</v>
      </c>
      <c r="I78" s="13">
        <v>3</v>
      </c>
    </row>
    <row r="79" spans="1:9">
      <c r="A79" s="13" t="s">
        <v>13</v>
      </c>
      <c r="B79" s="13" t="s">
        <v>66</v>
      </c>
      <c r="C79" s="13" t="str">
        <f>VLOOKUP([1]Competence!$B89,[1]Competence!$B$12:$B$100,1,FALSE)</f>
        <v>Audio Visual</v>
      </c>
      <c r="D79" s="13" t="str" cm="1">
        <f t="array" ref="D79">_xlfn.XLOOKUP(B79,[1]Baseline!$D$3:$AZ$3,_xlfn.XLOOKUP(C79,[1]Baseline!$B$4:$B$91,[1]Baseline!$D$4:$AZ$91))</f>
        <v>Awareness</v>
      </c>
      <c r="E79" s="13" t="s">
        <v>375</v>
      </c>
      <c r="F79" s="13">
        <f>VLOOKUP($D79,'[1]SFIA Level'!$A$2:$B$6,2,FALSE)</f>
        <v>1</v>
      </c>
      <c r="G79" s="153">
        <v>3</v>
      </c>
      <c r="H79" s="16">
        <f t="shared" si="1"/>
        <v>2</v>
      </c>
      <c r="I79" s="13">
        <v>3</v>
      </c>
    </row>
    <row r="80" spans="1:9">
      <c r="A80" s="13" t="s">
        <v>13</v>
      </c>
      <c r="B80" s="13" t="s">
        <v>66</v>
      </c>
      <c r="C80" s="13" t="str">
        <f>VLOOKUP([1]Competence!$B90,[1]Competence!$B$12:$B$100,1,FALSE)</f>
        <v>Augmented Reality</v>
      </c>
      <c r="D80" s="13" t="str" cm="1">
        <f t="array" ref="D80">_xlfn.XLOOKUP(B80,[1]Baseline!$D$3:$AZ$3,_xlfn.XLOOKUP(C80,[1]Baseline!$B$4:$B$91,[1]Baseline!$D$4:$AZ$91))</f>
        <v>Awareness</v>
      </c>
      <c r="E80" s="13" t="s">
        <v>375</v>
      </c>
      <c r="F80" s="13">
        <f>VLOOKUP($D80,'[1]SFIA Level'!$A$2:$B$6,2,FALSE)</f>
        <v>1</v>
      </c>
      <c r="G80" s="153">
        <v>1</v>
      </c>
      <c r="H80" s="16">
        <f t="shared" si="1"/>
        <v>0</v>
      </c>
      <c r="I80" s="13">
        <v>1</v>
      </c>
    </row>
    <row r="81" spans="1:10">
      <c r="A81" s="13" t="s">
        <v>13</v>
      </c>
      <c r="B81" s="13" t="s">
        <v>66</v>
      </c>
      <c r="C81" s="13" t="str">
        <f>VLOOKUP([1]Competence!$B91,[1]Competence!$B$12:$B$100,1,FALSE)</f>
        <v>Benefits management</v>
      </c>
      <c r="D81" s="13" t="str" cm="1">
        <f t="array" ref="D81">_xlfn.XLOOKUP(B81,[1]Baseline!$D$3:$AZ$3,_xlfn.XLOOKUP(C81,[1]Baseline!$B$4:$B$91,[1]Baseline!$D$4:$AZ$91))</f>
        <v>No Knowledge</v>
      </c>
      <c r="E81" s="13" t="s">
        <v>375</v>
      </c>
      <c r="F81" s="13">
        <f>VLOOKUP($D81,'[1]SFIA Level'!$A$2:$B$6,2,FALSE)</f>
        <v>0</v>
      </c>
      <c r="G81" s="153">
        <v>1</v>
      </c>
      <c r="H81" s="16">
        <f t="shared" si="1"/>
        <v>1</v>
      </c>
      <c r="I81" s="13">
        <v>1</v>
      </c>
    </row>
    <row r="82" spans="1:10">
      <c r="A82" s="13" t="s">
        <v>13</v>
      </c>
      <c r="B82" s="13" t="s">
        <v>66</v>
      </c>
      <c r="C82" s="13" t="str">
        <f>VLOOKUP([1]Competence!$B92,[1]Competence!$B$12:$B$100,1,FALSE)</f>
        <v>Business administration</v>
      </c>
      <c r="D82" s="13" t="str" cm="1">
        <f t="array" ref="D82">_xlfn.XLOOKUP(B82,[1]Baseline!$D$3:$AZ$3,_xlfn.XLOOKUP(C82,[1]Baseline!$B$4:$B$91,[1]Baseline!$D$4:$AZ$91))</f>
        <v>No Knowledge</v>
      </c>
      <c r="E82" s="13" t="s">
        <v>375</v>
      </c>
      <c r="F82" s="13">
        <f>VLOOKUP($D82,'[1]SFIA Level'!$A$2:$B$6,2,FALSE)</f>
        <v>0</v>
      </c>
      <c r="G82" s="153">
        <v>0</v>
      </c>
      <c r="H82" s="16">
        <f t="shared" si="1"/>
        <v>0</v>
      </c>
      <c r="I82" s="13">
        <v>0</v>
      </c>
    </row>
    <row r="83" spans="1:10">
      <c r="A83" s="13" t="s">
        <v>13</v>
      </c>
      <c r="B83" s="13" t="s">
        <v>66</v>
      </c>
      <c r="C83" s="13" t="str">
        <f>VLOOKUP([1]Competence!$B93,[1]Competence!$B$12:$B$100,1,FALSE)</f>
        <v>Business intelligence</v>
      </c>
      <c r="D83" s="13" t="str" cm="1">
        <f t="array" ref="D83">_xlfn.XLOOKUP(B83,[1]Baseline!$D$3:$AZ$3,_xlfn.XLOOKUP(C83,[1]Baseline!$B$4:$B$91,[1]Baseline!$D$4:$AZ$91))</f>
        <v>No Knowledge</v>
      </c>
      <c r="E83" s="13" t="s">
        <v>375</v>
      </c>
      <c r="F83" s="13">
        <f>VLOOKUP($D83,'[1]SFIA Level'!$A$2:$B$6,2,FALSE)</f>
        <v>0</v>
      </c>
      <c r="G83" s="153">
        <v>0</v>
      </c>
      <c r="H83" s="16">
        <f t="shared" si="1"/>
        <v>0</v>
      </c>
      <c r="I83" s="13">
        <v>0</v>
      </c>
    </row>
    <row r="84" spans="1:10">
      <c r="A84" s="13" t="s">
        <v>13</v>
      </c>
      <c r="B84" s="13" t="s">
        <v>66</v>
      </c>
      <c r="C84" s="13" t="str">
        <f>VLOOKUP([1]Competence!$B94,[1]Competence!$B$12:$B$100,1,FALSE)</f>
        <v>Business modelling</v>
      </c>
      <c r="D84" s="13" t="str" cm="1">
        <f t="array" ref="D84">_xlfn.XLOOKUP(B84,[1]Baseline!$D$3:$AZ$3,_xlfn.XLOOKUP(C84,[1]Baseline!$B$4:$B$91,[1]Baseline!$D$4:$AZ$91))</f>
        <v>No Knowledge</v>
      </c>
      <c r="E84" s="13" t="s">
        <v>375</v>
      </c>
      <c r="F84" s="13">
        <f>VLOOKUP($D84,'[1]SFIA Level'!$A$2:$B$6,2,FALSE)</f>
        <v>0</v>
      </c>
      <c r="G84" s="153">
        <v>0</v>
      </c>
      <c r="H84" s="16">
        <f t="shared" si="1"/>
        <v>0</v>
      </c>
      <c r="I84" s="13">
        <v>0</v>
      </c>
    </row>
    <row r="85" spans="1:10">
      <c r="A85" s="13" t="s">
        <v>13</v>
      </c>
      <c r="B85" s="13" t="s">
        <v>66</v>
      </c>
      <c r="C85" s="13" t="str">
        <f>VLOOKUP([1]Competence!$B95,[1]Competence!$B$12:$B$100,1,FALSE)</f>
        <v>Business process improvement</v>
      </c>
      <c r="D85" s="13" t="str" cm="1">
        <f t="array" ref="D85">_xlfn.XLOOKUP(B85,[1]Baseline!$D$3:$AZ$3,_xlfn.XLOOKUP(C85,[1]Baseline!$B$4:$B$91,[1]Baseline!$D$4:$AZ$91))</f>
        <v>No Knowledge</v>
      </c>
      <c r="E85" s="13" t="s">
        <v>375</v>
      </c>
      <c r="F85" s="13">
        <f>VLOOKUP($D85,'[1]SFIA Level'!$A$2:$B$6,2,FALSE)</f>
        <v>0</v>
      </c>
      <c r="G85" s="153">
        <v>0</v>
      </c>
      <c r="H85" s="16">
        <f t="shared" si="1"/>
        <v>0</v>
      </c>
      <c r="I85" s="13">
        <v>0</v>
      </c>
    </row>
    <row r="86" spans="1:10">
      <c r="A86" s="13" t="s">
        <v>13</v>
      </c>
      <c r="B86" s="13" t="s">
        <v>66</v>
      </c>
      <c r="C86" s="13" t="str">
        <f>VLOOKUP([1]Competence!$B96,[1]Competence!$B$12:$B$100,1,FALSE)</f>
        <v>Business situation analysis</v>
      </c>
      <c r="D86" s="13" t="str" cm="1">
        <f t="array" ref="D86">_xlfn.XLOOKUP(B86,[1]Baseline!$D$3:$AZ$3,_xlfn.XLOOKUP(C86,[1]Baseline!$B$4:$B$91,[1]Baseline!$D$4:$AZ$91))</f>
        <v>No Knowledge</v>
      </c>
      <c r="E86" s="13" t="s">
        <v>375</v>
      </c>
      <c r="F86" s="13">
        <f>VLOOKUP($D86,'[1]SFIA Level'!$A$2:$B$6,2,FALSE)</f>
        <v>0</v>
      </c>
      <c r="G86" s="153">
        <v>0</v>
      </c>
      <c r="H86" s="16">
        <f t="shared" si="1"/>
        <v>0</v>
      </c>
      <c r="I86" s="13">
        <v>0</v>
      </c>
    </row>
    <row r="87" spans="1:10">
      <c r="A87" s="13" t="s">
        <v>13</v>
      </c>
      <c r="B87" s="13" t="s">
        <v>66</v>
      </c>
      <c r="C87" s="13" t="str">
        <f>VLOOKUP([1]Competence!$B97,[1]Competence!$B$12:$B$100,1,FALSE)</f>
        <v>Programme management</v>
      </c>
      <c r="D87" s="13" t="str" cm="1">
        <f t="array" ref="D87">_xlfn.XLOOKUP(B87,[1]Baseline!$D$3:$AZ$3,_xlfn.XLOOKUP(C87,[1]Baseline!$B$4:$B$91,[1]Baseline!$D$4:$AZ$91))</f>
        <v>No Knowledge</v>
      </c>
      <c r="E87" s="13" t="s">
        <v>375</v>
      </c>
      <c r="F87" s="13">
        <f>VLOOKUP($D87,'[1]SFIA Level'!$A$2:$B$6,2,FALSE)</f>
        <v>0</v>
      </c>
      <c r="G87" s="153">
        <v>1</v>
      </c>
      <c r="H87" s="16">
        <f t="shared" si="1"/>
        <v>1</v>
      </c>
      <c r="I87" s="13">
        <v>1</v>
      </c>
    </row>
    <row r="88" spans="1:10">
      <c r="A88" s="13" t="s">
        <v>13</v>
      </c>
      <c r="B88" s="13" t="s">
        <v>66</v>
      </c>
      <c r="C88" s="13" t="str">
        <f>VLOOKUP([1]Competence!$B98,[1]Competence!$B$12:$B$100,1,FALSE)</f>
        <v>Project management</v>
      </c>
      <c r="D88" s="13" t="str" cm="1">
        <f t="array" ref="D88">_xlfn.XLOOKUP(B88,[1]Baseline!$D$3:$AZ$3,_xlfn.XLOOKUP(C88,[1]Baseline!$B$4:$B$91,[1]Baseline!$D$4:$AZ$91))</f>
        <v>No Knowledge</v>
      </c>
      <c r="E88" s="13" t="s">
        <v>375</v>
      </c>
      <c r="F88" s="13">
        <f>VLOOKUP($D88,'[1]SFIA Level'!$A$2:$B$6,2,FALSE)</f>
        <v>0</v>
      </c>
      <c r="G88" s="153">
        <v>1</v>
      </c>
      <c r="H88" s="16">
        <f t="shared" si="1"/>
        <v>1</v>
      </c>
      <c r="I88" s="13">
        <v>1</v>
      </c>
    </row>
    <row r="89" spans="1:10">
      <c r="A89" s="13" t="s">
        <v>13</v>
      </c>
      <c r="B89" s="13" t="s">
        <v>66</v>
      </c>
      <c r="C89" s="13" t="str">
        <f>VLOOKUP([1]Competence!$B99,[1]Competence!$B$12:$B$100,1,FALSE)</f>
        <v>Quality assurance</v>
      </c>
      <c r="D89" s="13" t="str" cm="1">
        <f t="array" ref="D89">_xlfn.XLOOKUP(B89,[1]Baseline!$D$3:$AZ$3,_xlfn.XLOOKUP(C89,[1]Baseline!$B$4:$B$91,[1]Baseline!$D$4:$AZ$91))</f>
        <v>Working</v>
      </c>
      <c r="E89" s="13" t="s">
        <v>375</v>
      </c>
      <c r="F89" s="13">
        <f>VLOOKUP($D89,'[1]SFIA Level'!$A$2:$B$6,2,FALSE)</f>
        <v>2</v>
      </c>
      <c r="G89" s="153">
        <v>0</v>
      </c>
      <c r="H89" s="16">
        <f t="shared" si="1"/>
        <v>-2</v>
      </c>
      <c r="I89" s="13">
        <v>0</v>
      </c>
    </row>
    <row r="90" spans="1:10">
      <c r="A90" s="13" t="s">
        <v>19</v>
      </c>
      <c r="B90" s="13" t="s">
        <v>58</v>
      </c>
      <c r="C90" s="13" t="str">
        <f>VLOOKUP([1]Competence!$B12,[1]Competence!$B$12:$B$100,1,FALSE)</f>
        <v>Asset Management</v>
      </c>
      <c r="D90" s="13" t="str" cm="1">
        <f t="array" ref="D90">_xlfn.XLOOKUP(B90,[1]Baseline!$D$3:$AZ$3,_xlfn.XLOOKUP(C90,[1]Baseline!$B$4:$B$91,[1]Baseline!$D$4:$AZ$91))</f>
        <v>Working</v>
      </c>
      <c r="E90" s="13" t="s">
        <v>376</v>
      </c>
      <c r="F90" s="13">
        <f>VLOOKUP($D90,'[1]SFIA Level'!$A$2:$B$6,2,FALSE)</f>
        <v>2</v>
      </c>
      <c r="G90" s="153">
        <v>2</v>
      </c>
      <c r="H90" s="16">
        <f t="shared" si="1"/>
        <v>0</v>
      </c>
      <c r="I90" s="13">
        <v>2</v>
      </c>
    </row>
    <row r="91" spans="1:10">
      <c r="A91" s="13" t="s">
        <v>19</v>
      </c>
      <c r="B91" s="13" t="s">
        <v>58</v>
      </c>
      <c r="C91" s="13" t="str">
        <f>VLOOKUP([1]Competence!$B13,[1]Competence!$B$12:$B$100,1,FALSE)</f>
        <v>Change Control</v>
      </c>
      <c r="D91" s="13" t="str" cm="1">
        <f t="array" ref="D91">_xlfn.XLOOKUP(B91,[1]Baseline!$D$3:$AZ$3,_xlfn.XLOOKUP(C91,[1]Baseline!$B$4:$B$91,[1]Baseline!$D$4:$AZ$91))</f>
        <v>Working</v>
      </c>
      <c r="E91" s="13" t="s">
        <v>376</v>
      </c>
      <c r="F91" s="13">
        <f>VLOOKUP($D91,'[1]SFIA Level'!$A$2:$B$6,2,FALSE)</f>
        <v>2</v>
      </c>
      <c r="G91" s="153">
        <v>1</v>
      </c>
      <c r="H91" s="16">
        <f t="shared" si="1"/>
        <v>-1</v>
      </c>
      <c r="I91" s="13">
        <v>1</v>
      </c>
    </row>
    <row r="92" spans="1:10">
      <c r="A92" s="13" t="s">
        <v>19</v>
      </c>
      <c r="B92" s="13" t="s">
        <v>58</v>
      </c>
      <c r="C92" s="13" t="str">
        <f>VLOOKUP([1]Competence!$B14,[1]Competence!$B$12:$B$100,1,FALSE)</f>
        <v>Customer Service Support</v>
      </c>
      <c r="D92" s="13" t="str" cm="1">
        <f t="array" ref="D92">_xlfn.XLOOKUP(B92,[1]Baseline!$D$3:$AZ$3,_xlfn.XLOOKUP(C92,[1]Baseline!$B$4:$B$91,[1]Baseline!$D$4:$AZ$91))</f>
        <v>Practitioner</v>
      </c>
      <c r="E92" s="13" t="s">
        <v>376</v>
      </c>
      <c r="F92" s="13">
        <f>VLOOKUP($D92,'[1]SFIA Level'!$A$2:$B$6,2,FALSE)</f>
        <v>3</v>
      </c>
      <c r="G92" s="153">
        <v>3</v>
      </c>
      <c r="H92" s="16">
        <f t="shared" si="1"/>
        <v>0</v>
      </c>
      <c r="I92" s="13">
        <v>3</v>
      </c>
    </row>
    <row r="93" spans="1:10">
      <c r="A93" s="13" t="s">
        <v>19</v>
      </c>
      <c r="B93" s="13" t="s">
        <v>58</v>
      </c>
      <c r="C93" s="13" t="str">
        <f>VLOOKUP([1]Competence!$B15,[1]Competence!$B$12:$B$100,1,FALSE)</f>
        <v>Incident management</v>
      </c>
      <c r="D93" s="13" t="str" cm="1">
        <f t="array" ref="D93">_xlfn.XLOOKUP(B93,[1]Baseline!$D$3:$AZ$3,_xlfn.XLOOKUP(C93,[1]Baseline!$B$4:$B$91,[1]Baseline!$D$4:$AZ$91))</f>
        <v>Working</v>
      </c>
      <c r="E93" s="13" t="s">
        <v>376</v>
      </c>
      <c r="F93" s="13">
        <f>VLOOKUP($D93,'[1]SFIA Level'!$A$2:$B$6,2,FALSE)</f>
        <v>2</v>
      </c>
      <c r="G93" s="153">
        <v>3</v>
      </c>
      <c r="H93" s="16">
        <f t="shared" si="1"/>
        <v>1</v>
      </c>
      <c r="I93" s="13">
        <v>3</v>
      </c>
    </row>
    <row r="94" spans="1:10">
      <c r="A94" s="13" t="s">
        <v>19</v>
      </c>
      <c r="B94" s="13" t="s">
        <v>58</v>
      </c>
      <c r="C94" s="13" t="str">
        <f>VLOOKUP([1]Competence!$B16,[1]Competence!$B$12:$B$100,1,FALSE)</f>
        <v>Information security</v>
      </c>
      <c r="D94" s="13" t="str" cm="1">
        <f t="array" ref="D94">_xlfn.XLOOKUP(B94,[1]Baseline!$D$3:$AZ$3,_xlfn.XLOOKUP(C94,[1]Baseline!$B$4:$B$91,[1]Baseline!$D$4:$AZ$91))</f>
        <v>Working</v>
      </c>
      <c r="E94" s="13" t="s">
        <v>376</v>
      </c>
      <c r="F94" s="13">
        <f>VLOOKUP($D94,'[1]SFIA Level'!$A$2:$B$6,2,FALSE)</f>
        <v>2</v>
      </c>
      <c r="G94" s="153">
        <v>1</v>
      </c>
      <c r="H94" s="16">
        <f t="shared" si="1"/>
        <v>-1</v>
      </c>
      <c r="I94" s="13">
        <v>1</v>
      </c>
    </row>
    <row r="95" spans="1:10">
      <c r="A95" s="13" t="s">
        <v>19</v>
      </c>
      <c r="B95" s="13" t="s">
        <v>58</v>
      </c>
      <c r="C95" s="13" t="str">
        <f>VLOOKUP([1]Competence!$B17,[1]Competence!$B$12:$B$100,1,FALSE)</f>
        <v>Personal data protection</v>
      </c>
      <c r="D95" s="13" t="str" cm="1">
        <f t="array" ref="D95">_xlfn.XLOOKUP(B95,[1]Baseline!$D$3:$AZ$3,_xlfn.XLOOKUP(C95,[1]Baseline!$B$4:$B$91,[1]Baseline!$D$4:$AZ$91))</f>
        <v>Practitioner</v>
      </c>
      <c r="E95" s="13" t="s">
        <v>374</v>
      </c>
      <c r="F95" s="13">
        <f>VLOOKUP($D95,'[1]SFIA Level'!$A$2:$B$6,2,FALSE)</f>
        <v>3</v>
      </c>
      <c r="G95" s="153">
        <v>2</v>
      </c>
      <c r="H95" s="16">
        <f t="shared" si="1"/>
        <v>-1</v>
      </c>
      <c r="I95" s="13">
        <v>2</v>
      </c>
    </row>
    <row r="96" spans="1:10">
      <c r="A96" s="13" t="s">
        <v>19</v>
      </c>
      <c r="B96" s="13" t="s">
        <v>58</v>
      </c>
      <c r="C96" s="13" t="str">
        <f>VLOOKUP([1]Competence!$B18,[1]Competence!$B$12:$B$100,1,FALSE)</f>
        <v>Problem management</v>
      </c>
      <c r="D96" s="13" t="str" cm="1">
        <f t="array" ref="D96">_xlfn.XLOOKUP(B96,[1]Baseline!$D$3:$AZ$3,_xlfn.XLOOKUP(C96,[1]Baseline!$B$4:$B$91,[1]Baseline!$D$4:$AZ$91))</f>
        <v>Working</v>
      </c>
      <c r="E96" s="13" t="s">
        <v>374</v>
      </c>
      <c r="F96" s="13">
        <f>VLOOKUP($D96,'[1]SFIA Level'!$A$2:$B$6,2,FALSE)</f>
        <v>2</v>
      </c>
      <c r="G96" s="153">
        <v>1</v>
      </c>
      <c r="H96" s="16">
        <f t="shared" si="1"/>
        <v>-1</v>
      </c>
      <c r="I96" s="13">
        <v>1</v>
      </c>
      <c r="J96" s="160"/>
    </row>
    <row r="97" spans="1:10">
      <c r="A97" s="13" t="s">
        <v>19</v>
      </c>
      <c r="B97" s="13" t="s">
        <v>58</v>
      </c>
      <c r="C97" s="13" t="str">
        <f>VLOOKUP([1]Competence!$B19,[1]Competence!$B$12:$B$100,1,FALSE)</f>
        <v>Service catalogue management</v>
      </c>
      <c r="D97" s="13" t="str" cm="1">
        <f t="array" ref="D97">_xlfn.XLOOKUP(B97,[1]Baseline!$D$3:$AZ$3,_xlfn.XLOOKUP(C97,[1]Baseline!$B$4:$B$91,[1]Baseline!$D$4:$AZ$91))</f>
        <v>Working</v>
      </c>
      <c r="E97" s="13" t="s">
        <v>374</v>
      </c>
      <c r="F97" s="13">
        <f>VLOOKUP($D97,'[1]SFIA Level'!$A$2:$B$6,2,FALSE)</f>
        <v>2</v>
      </c>
      <c r="G97" s="153">
        <v>3</v>
      </c>
      <c r="H97" s="16">
        <f t="shared" si="1"/>
        <v>1</v>
      </c>
      <c r="I97" s="13">
        <v>3</v>
      </c>
      <c r="J97" s="160"/>
    </row>
    <row r="98" spans="1:10">
      <c r="A98" s="13" t="s">
        <v>19</v>
      </c>
      <c r="B98" s="13" t="s">
        <v>58</v>
      </c>
      <c r="C98" s="13" t="str">
        <f>VLOOKUP([1]Competence!$B20,[1]Competence!$B$12:$B$100,1,FALSE)</f>
        <v>Service level management</v>
      </c>
      <c r="D98" s="13" t="str" cm="1">
        <f t="array" ref="D98">_xlfn.XLOOKUP(B98,[1]Baseline!$D$3:$AZ$3,_xlfn.XLOOKUP(C98,[1]Baseline!$B$4:$B$91,[1]Baseline!$D$4:$AZ$91))</f>
        <v>Working</v>
      </c>
      <c r="E98" s="13" t="s">
        <v>377</v>
      </c>
      <c r="F98" s="13">
        <f>VLOOKUP($D98,'[1]SFIA Level'!$A$2:$B$6,2,FALSE)</f>
        <v>2</v>
      </c>
      <c r="G98" s="153">
        <v>1</v>
      </c>
      <c r="H98" s="16">
        <f t="shared" si="1"/>
        <v>-1</v>
      </c>
      <c r="I98" s="13">
        <v>1</v>
      </c>
      <c r="J98" s="160"/>
    </row>
    <row r="99" spans="1:10">
      <c r="A99" s="13" t="s">
        <v>19</v>
      </c>
      <c r="B99" s="13" t="s">
        <v>58</v>
      </c>
      <c r="C99" s="13" t="str">
        <f>VLOOKUP([1]Competence!$B21,[1]Competence!$B$12:$B$100,1,FALSE)</f>
        <v>Availability Management</v>
      </c>
      <c r="D99" s="13" t="str" cm="1">
        <f t="array" ref="D99">_xlfn.XLOOKUP(B99,[1]Baseline!$D$3:$AZ$3,_xlfn.XLOOKUP(C99,[1]Baseline!$B$4:$B$91,[1]Baseline!$D$4:$AZ$91))</f>
        <v>Awareness</v>
      </c>
      <c r="E99" s="13" t="s">
        <v>377</v>
      </c>
      <c r="F99" s="13">
        <f>VLOOKUP($D99,'[1]SFIA Level'!$A$2:$B$6,2,FALSE)</f>
        <v>1</v>
      </c>
      <c r="G99" s="153">
        <v>1</v>
      </c>
      <c r="H99" s="16">
        <f t="shared" si="1"/>
        <v>0</v>
      </c>
      <c r="I99" s="13">
        <v>1</v>
      </c>
      <c r="J99" s="160"/>
    </row>
    <row r="100" spans="1:10">
      <c r="A100" s="13" t="s">
        <v>19</v>
      </c>
      <c r="B100" s="13" t="s">
        <v>58</v>
      </c>
      <c r="C100" s="13" t="str">
        <f>VLOOKUP([1]Competence!$B22,[1]Competence!$B$12:$B$100,1,FALSE)</f>
        <v>Capacity management</v>
      </c>
      <c r="D100" s="13" t="str" cm="1">
        <f t="array" ref="D100">_xlfn.XLOOKUP(B100,[1]Baseline!$D$3:$AZ$3,_xlfn.XLOOKUP(C100,[1]Baseline!$B$4:$B$91,[1]Baseline!$D$4:$AZ$91))</f>
        <v>No Knowledge</v>
      </c>
      <c r="E100" s="13" t="s">
        <v>378</v>
      </c>
      <c r="F100" s="13">
        <f>VLOOKUP($D100,'[1]SFIA Level'!$A$2:$B$6,2,FALSE)</f>
        <v>0</v>
      </c>
      <c r="G100" s="153">
        <v>2</v>
      </c>
      <c r="H100" s="16">
        <f t="shared" si="1"/>
        <v>2</v>
      </c>
      <c r="I100" s="13">
        <v>2</v>
      </c>
      <c r="J100" s="160"/>
    </row>
    <row r="101" spans="1:10">
      <c r="A101" s="13" t="s">
        <v>19</v>
      </c>
      <c r="B101" s="13" t="s">
        <v>58</v>
      </c>
      <c r="C101" s="13" t="str">
        <f>VLOOKUP([1]Competence!$B23,[1]Competence!$B$12:$B$100,1,FALSE)</f>
        <v>Configuration Management</v>
      </c>
      <c r="D101" s="13" t="str" cm="1">
        <f t="array" ref="D101">_xlfn.XLOOKUP(B101,[1]Baseline!$D$3:$AZ$3,_xlfn.XLOOKUP(C101,[1]Baseline!$B$4:$B$91,[1]Baseline!$D$4:$AZ$91))</f>
        <v>Awareness</v>
      </c>
      <c r="E101" s="13" t="s">
        <v>49</v>
      </c>
      <c r="F101" s="13">
        <f>VLOOKUP($D101,'[1]SFIA Level'!$A$2:$B$6,2,FALSE)</f>
        <v>1</v>
      </c>
      <c r="G101" s="153">
        <v>3</v>
      </c>
      <c r="H101" s="16">
        <f t="shared" si="1"/>
        <v>2</v>
      </c>
      <c r="I101" s="13">
        <v>3</v>
      </c>
      <c r="J101" s="160"/>
    </row>
    <row r="102" spans="1:10">
      <c r="A102" s="13" t="s">
        <v>19</v>
      </c>
      <c r="B102" s="13" t="s">
        <v>58</v>
      </c>
      <c r="C102" s="13" t="str">
        <f>VLOOKUP([1]Competence!$B24,[1]Competence!$B$12:$B$100,1,FALSE)</f>
        <v>Continuity Management</v>
      </c>
      <c r="D102" s="13" t="str" cm="1">
        <f t="array" ref="D102">_xlfn.XLOOKUP(B102,[1]Baseline!$D$3:$AZ$3,_xlfn.XLOOKUP(C102,[1]Baseline!$B$4:$B$91,[1]Baseline!$D$4:$AZ$91))</f>
        <v>Awareness</v>
      </c>
      <c r="E102" s="13" t="s">
        <v>375</v>
      </c>
      <c r="F102" s="13">
        <f>VLOOKUP($D102,'[1]SFIA Level'!$A$2:$B$6,2,FALSE)</f>
        <v>1</v>
      </c>
      <c r="G102" s="153">
        <v>1</v>
      </c>
      <c r="H102" s="16">
        <f t="shared" si="1"/>
        <v>0</v>
      </c>
      <c r="I102" s="13">
        <v>1</v>
      </c>
      <c r="J102" s="160"/>
    </row>
    <row r="103" spans="1:10">
      <c r="A103" s="13" t="s">
        <v>19</v>
      </c>
      <c r="B103" s="13" t="s">
        <v>58</v>
      </c>
      <c r="C103" s="13" t="str">
        <f>VLOOKUP([1]Competence!$B25,[1]Competence!$B$12:$B$100,1,FALSE)</f>
        <v>Demand Management</v>
      </c>
      <c r="D103" s="13" t="str" cm="1">
        <f t="array" ref="D103">_xlfn.XLOOKUP(B103,[1]Baseline!$D$3:$AZ$3,_xlfn.XLOOKUP(C103,[1]Baseline!$B$4:$B$91,[1]Baseline!$D$4:$AZ$91))</f>
        <v>Awareness</v>
      </c>
      <c r="E103" s="13" t="s">
        <v>375</v>
      </c>
      <c r="F103" s="13">
        <f>VLOOKUP($D103,'[1]SFIA Level'!$A$2:$B$6,2,FALSE)</f>
        <v>1</v>
      </c>
      <c r="G103" s="153">
        <v>2</v>
      </c>
      <c r="H103" s="16">
        <f t="shared" si="1"/>
        <v>1</v>
      </c>
      <c r="I103" s="13">
        <v>2</v>
      </c>
      <c r="J103" s="160"/>
    </row>
    <row r="104" spans="1:10">
      <c r="A104" s="13" t="s">
        <v>19</v>
      </c>
      <c r="B104" s="13" t="s">
        <v>58</v>
      </c>
      <c r="C104" s="13" t="str">
        <f>VLOOKUP([1]Competence!$B26,[1]Competence!$B$12:$B$100,1,FALSE)</f>
        <v>Knowledge management</v>
      </c>
      <c r="D104" s="13" t="str" cm="1">
        <f t="array" ref="D104">_xlfn.XLOOKUP(B104,[1]Baseline!$D$3:$AZ$3,_xlfn.XLOOKUP(C104,[1]Baseline!$B$4:$B$91,[1]Baseline!$D$4:$AZ$91))</f>
        <v>Working</v>
      </c>
      <c r="E104" s="13" t="s">
        <v>375</v>
      </c>
      <c r="F104" s="13">
        <f>VLOOKUP($D104,'[1]SFIA Level'!$A$2:$B$6,2,FALSE)</f>
        <v>2</v>
      </c>
      <c r="G104" s="153">
        <v>1</v>
      </c>
      <c r="H104" s="16">
        <f t="shared" si="1"/>
        <v>-1</v>
      </c>
      <c r="I104" s="13">
        <v>1</v>
      </c>
      <c r="J104" s="160"/>
    </row>
    <row r="105" spans="1:10">
      <c r="A105" s="13" t="s">
        <v>19</v>
      </c>
      <c r="B105" s="13" t="s">
        <v>58</v>
      </c>
      <c r="C105" s="13" t="str">
        <f>VLOOKUP([1]Competence!$B27,[1]Competence!$B$12:$B$100,1,FALSE)</f>
        <v>Methods and tools</v>
      </c>
      <c r="D105" s="13" t="str" cm="1">
        <f t="array" ref="D105">_xlfn.XLOOKUP(B105,[1]Baseline!$D$3:$AZ$3,_xlfn.XLOOKUP(C105,[1]Baseline!$B$4:$B$91,[1]Baseline!$D$4:$AZ$91))</f>
        <v>Awareness</v>
      </c>
      <c r="E105" s="13" t="s">
        <v>375</v>
      </c>
      <c r="F105" s="13">
        <f>VLOOKUP($D105,'[1]SFIA Level'!$A$2:$B$6,2,FALSE)</f>
        <v>1</v>
      </c>
      <c r="G105" s="153">
        <v>0</v>
      </c>
      <c r="H105" s="16">
        <f t="shared" si="1"/>
        <v>-1</v>
      </c>
      <c r="I105" s="13">
        <v>0</v>
      </c>
      <c r="J105" s="160"/>
    </row>
    <row r="106" spans="1:10">
      <c r="A106" s="13" t="s">
        <v>19</v>
      </c>
      <c r="B106" s="13" t="s">
        <v>58</v>
      </c>
      <c r="C106" s="13" t="str">
        <f>VLOOKUP([1]Competence!$B28,[1]Competence!$B$12:$B$100,1,FALSE)</f>
        <v>Release and deployment</v>
      </c>
      <c r="D106" s="13" t="str" cm="1">
        <f t="array" ref="D106">_xlfn.XLOOKUP(B106,[1]Baseline!$D$3:$AZ$3,_xlfn.XLOOKUP(C106,[1]Baseline!$B$4:$B$91,[1]Baseline!$D$4:$AZ$91))</f>
        <v>No Knowledge</v>
      </c>
      <c r="E106" s="13" t="s">
        <v>376</v>
      </c>
      <c r="F106" s="13">
        <f>VLOOKUP($D106,'[1]SFIA Level'!$A$2:$B$6,2,FALSE)</f>
        <v>0</v>
      </c>
      <c r="G106" s="153">
        <v>2</v>
      </c>
      <c r="H106" s="16">
        <f t="shared" si="1"/>
        <v>2</v>
      </c>
      <c r="I106" s="13">
        <v>2</v>
      </c>
      <c r="J106" s="160"/>
    </row>
    <row r="107" spans="1:10">
      <c r="A107" s="13" t="s">
        <v>19</v>
      </c>
      <c r="B107" s="13" t="s">
        <v>58</v>
      </c>
      <c r="C107" s="13" t="str">
        <f>VLOOKUP([1]Competence!$B29,[1]Competence!$B$12:$B$100,1,FALSE)</f>
        <v>Service acceptance</v>
      </c>
      <c r="D107" s="13" t="str" cm="1">
        <f t="array" ref="D107">_xlfn.XLOOKUP(B107,[1]Baseline!$D$3:$AZ$3,_xlfn.XLOOKUP(C107,[1]Baseline!$B$4:$B$91,[1]Baseline!$D$4:$AZ$91))</f>
        <v>No Knowledge</v>
      </c>
      <c r="E107" s="13" t="s">
        <v>376</v>
      </c>
      <c r="F107" s="13">
        <f>VLOOKUP($D107,'[1]SFIA Level'!$A$2:$B$6,2,FALSE)</f>
        <v>0</v>
      </c>
      <c r="G107" s="153">
        <v>2</v>
      </c>
      <c r="H107" s="16">
        <f t="shared" si="1"/>
        <v>2</v>
      </c>
      <c r="I107" s="13">
        <v>2</v>
      </c>
      <c r="J107" s="160"/>
    </row>
    <row r="108" spans="1:10">
      <c r="A108" s="13" t="s">
        <v>19</v>
      </c>
      <c r="B108" s="13" t="s">
        <v>58</v>
      </c>
      <c r="C108" s="13" t="str">
        <f>VLOOKUP([1]Competence!$B30,[1]Competence!$B$12:$B$100,1,FALSE)</f>
        <v>Stakeholder relationship management</v>
      </c>
      <c r="D108" s="13" t="str" cm="1">
        <f t="array" ref="D108">_xlfn.XLOOKUP(B108,[1]Baseline!$D$3:$AZ$3,_xlfn.XLOOKUP(C108,[1]Baseline!$B$4:$B$91,[1]Baseline!$D$4:$AZ$91))</f>
        <v>Working</v>
      </c>
      <c r="E108" s="13" t="s">
        <v>374</v>
      </c>
      <c r="F108" s="13">
        <f>VLOOKUP($D108,'[1]SFIA Level'!$A$2:$B$6,2,FALSE)</f>
        <v>2</v>
      </c>
      <c r="G108" s="153">
        <v>2</v>
      </c>
      <c r="H108" s="16">
        <f t="shared" si="1"/>
        <v>0</v>
      </c>
      <c r="I108" s="13">
        <v>2</v>
      </c>
      <c r="J108" s="160"/>
    </row>
    <row r="109" spans="1:10">
      <c r="A109" s="13" t="s">
        <v>19</v>
      </c>
      <c r="B109" s="13" t="s">
        <v>58</v>
      </c>
      <c r="C109" s="13" t="str">
        <f>VLOOKUP([1]Competence!$B31,[1]Competence!$B$12:$B$100,1,FALSE)</f>
        <v>Storage management</v>
      </c>
      <c r="D109" s="13" t="str" cm="1">
        <f t="array" ref="D109">_xlfn.XLOOKUP(B109,[1]Baseline!$D$3:$AZ$3,_xlfn.XLOOKUP(C109,[1]Baseline!$B$4:$B$91,[1]Baseline!$D$4:$AZ$91))</f>
        <v>Working</v>
      </c>
      <c r="E109" s="13" t="s">
        <v>374</v>
      </c>
      <c r="F109" s="13">
        <f>VLOOKUP($D109,'[1]SFIA Level'!$A$2:$B$6,2,FALSE)</f>
        <v>2</v>
      </c>
      <c r="G109" s="153">
        <v>1</v>
      </c>
      <c r="H109" s="16">
        <f t="shared" si="1"/>
        <v>-1</v>
      </c>
      <c r="I109" s="13">
        <v>1</v>
      </c>
      <c r="J109" s="160"/>
    </row>
    <row r="110" spans="1:10">
      <c r="A110" s="13" t="s">
        <v>19</v>
      </c>
      <c r="B110" s="13" t="s">
        <v>58</v>
      </c>
      <c r="C110" s="13" t="str">
        <f>VLOOKUP([1]Competence!$B32,[1]Competence!$B$12:$B$100,1,FALSE)</f>
        <v>Digital Forensics</v>
      </c>
      <c r="D110" s="13" t="str" cm="1">
        <f t="array" ref="D110">_xlfn.XLOOKUP(B110,[1]Baseline!$D$3:$AZ$3,_xlfn.XLOOKUP(C110,[1]Baseline!$B$4:$B$91,[1]Baseline!$D$4:$AZ$91))</f>
        <v>No Knowledge</v>
      </c>
      <c r="E110" s="13" t="s">
        <v>374</v>
      </c>
      <c r="F110" s="13">
        <f>VLOOKUP($D110,'[1]SFIA Level'!$A$2:$B$6,2,FALSE)</f>
        <v>0</v>
      </c>
      <c r="G110" s="153">
        <v>1</v>
      </c>
      <c r="H110" s="16">
        <f t="shared" si="1"/>
        <v>1</v>
      </c>
      <c r="I110" s="13">
        <v>1</v>
      </c>
      <c r="J110" s="160"/>
    </row>
    <row r="111" spans="1:10">
      <c r="A111" s="13" t="s">
        <v>19</v>
      </c>
      <c r="B111" s="13" t="s">
        <v>58</v>
      </c>
      <c r="C111" s="13" t="str">
        <f>VLOOKUP([1]Competence!$B33,[1]Competence!$B$12:$B$100,1,FALSE)</f>
        <v>Penetration testing</v>
      </c>
      <c r="D111" s="13" t="str" cm="1">
        <f t="array" ref="D111">_xlfn.XLOOKUP(B111,[1]Baseline!$D$3:$AZ$3,_xlfn.XLOOKUP(C111,[1]Baseline!$B$4:$B$91,[1]Baseline!$D$4:$AZ$91))</f>
        <v>No Knowledge</v>
      </c>
      <c r="E111" s="13" t="s">
        <v>378</v>
      </c>
      <c r="F111" s="13">
        <f>VLOOKUP($D111,'[1]SFIA Level'!$A$2:$B$6,2,FALSE)</f>
        <v>0</v>
      </c>
      <c r="G111" s="153">
        <v>1</v>
      </c>
      <c r="H111" s="16">
        <f t="shared" si="1"/>
        <v>1</v>
      </c>
      <c r="I111" s="13">
        <v>1</v>
      </c>
      <c r="J111" s="160"/>
    </row>
    <row r="112" spans="1:10">
      <c r="A112" s="13" t="s">
        <v>19</v>
      </c>
      <c r="B112" s="13" t="s">
        <v>58</v>
      </c>
      <c r="C112" s="13" t="str">
        <f>VLOOKUP([1]Competence!$B34,[1]Competence!$B$12:$B$100,1,FALSE)</f>
        <v>Security Operations</v>
      </c>
      <c r="D112" s="13" t="str" cm="1">
        <f t="array" ref="D112">_xlfn.XLOOKUP(B112,[1]Baseline!$D$3:$AZ$3,_xlfn.XLOOKUP(C112,[1]Baseline!$B$4:$B$91,[1]Baseline!$D$4:$AZ$91))</f>
        <v>Working</v>
      </c>
      <c r="E112" s="13" t="s">
        <v>378</v>
      </c>
      <c r="F112" s="13">
        <f>VLOOKUP($D112,'[1]SFIA Level'!$A$2:$B$6,2,FALSE)</f>
        <v>2</v>
      </c>
      <c r="G112" s="153">
        <v>1</v>
      </c>
      <c r="H112" s="16">
        <f t="shared" si="1"/>
        <v>-1</v>
      </c>
      <c r="I112" s="13">
        <v>1</v>
      </c>
      <c r="J112" s="160"/>
    </row>
    <row r="113" spans="1:10">
      <c r="A113" s="13" t="s">
        <v>19</v>
      </c>
      <c r="B113" s="13" t="s">
        <v>58</v>
      </c>
      <c r="C113" s="13" t="str">
        <f>VLOOKUP([1]Competence!$B35,[1]Competence!$B$12:$B$100,1,FALSE)</f>
        <v>Threat Intelligence</v>
      </c>
      <c r="D113" s="13" t="str" cm="1">
        <f t="array" ref="D113">_xlfn.XLOOKUP(B113,[1]Baseline!$D$3:$AZ$3,_xlfn.XLOOKUP(C113,[1]Baseline!$B$4:$B$91,[1]Baseline!$D$4:$AZ$91))</f>
        <v>No Knowledge</v>
      </c>
      <c r="E113" s="13" t="s">
        <v>378</v>
      </c>
      <c r="F113" s="13">
        <f>VLOOKUP($D113,'[1]SFIA Level'!$A$2:$B$6,2,FALSE)</f>
        <v>0</v>
      </c>
      <c r="G113" s="153">
        <v>1</v>
      </c>
      <c r="H113" s="16">
        <f t="shared" si="1"/>
        <v>1</v>
      </c>
      <c r="I113" s="13">
        <v>1</v>
      </c>
      <c r="J113" s="160"/>
    </row>
    <row r="114" spans="1:10">
      <c r="A114" s="13" t="s">
        <v>19</v>
      </c>
      <c r="B114" s="13" t="s">
        <v>58</v>
      </c>
      <c r="C114" s="13" t="str">
        <f>VLOOKUP([1]Competence!$B36,[1]Competence!$B$12:$B$100,1,FALSE)</f>
        <v>Vulnerability assessment</v>
      </c>
      <c r="D114" s="13" t="str" cm="1">
        <f t="array" ref="D114">_xlfn.XLOOKUP(B114,[1]Baseline!$D$3:$AZ$3,_xlfn.XLOOKUP(C114,[1]Baseline!$B$4:$B$91,[1]Baseline!$D$4:$AZ$91))</f>
        <v>Working</v>
      </c>
      <c r="E114" s="13" t="s">
        <v>49</v>
      </c>
      <c r="F114" s="13">
        <f>VLOOKUP($D114,'[1]SFIA Level'!$A$2:$B$6,2,FALSE)</f>
        <v>2</v>
      </c>
      <c r="G114" s="153">
        <v>1</v>
      </c>
      <c r="H114" s="16">
        <f t="shared" si="1"/>
        <v>-1</v>
      </c>
      <c r="I114" s="13">
        <v>1</v>
      </c>
      <c r="J114" s="160"/>
    </row>
    <row r="115" spans="1:10">
      <c r="A115" s="13" t="s">
        <v>19</v>
      </c>
      <c r="B115" s="13" t="s">
        <v>58</v>
      </c>
      <c r="C115" s="13" t="str">
        <f>VLOOKUP([1]Competence!$B37,[1]Competence!$B$12:$B$100,1,FALSE)</f>
        <v>Vulnerability Research</v>
      </c>
      <c r="D115" s="13" t="str" cm="1">
        <f t="array" ref="D115">_xlfn.XLOOKUP(B115,[1]Baseline!$D$3:$AZ$3,_xlfn.XLOOKUP(C115,[1]Baseline!$B$4:$B$91,[1]Baseline!$D$4:$AZ$91))</f>
        <v>No Knowledge</v>
      </c>
      <c r="E115" s="13" t="s">
        <v>49</v>
      </c>
      <c r="F115" s="13">
        <f>VLOOKUP($D115,'[1]SFIA Level'!$A$2:$B$6,2,FALSE)</f>
        <v>0</v>
      </c>
      <c r="G115" s="153">
        <v>1</v>
      </c>
      <c r="H115" s="16">
        <f t="shared" si="1"/>
        <v>1</v>
      </c>
      <c r="I115" s="13">
        <v>1</v>
      </c>
      <c r="J115" s="160"/>
    </row>
    <row r="116" spans="1:10">
      <c r="A116" s="13" t="s">
        <v>19</v>
      </c>
      <c r="B116" s="13" t="s">
        <v>58</v>
      </c>
      <c r="C116" s="13" t="str">
        <f>VLOOKUP([1]Competence!$B38,[1]Competence!$B$12:$B$100,1,FALSE)</f>
        <v>Competency assessment</v>
      </c>
      <c r="D116" s="13" t="str" cm="1">
        <f t="array" ref="D116">_xlfn.XLOOKUP(B116,[1]Baseline!$D$3:$AZ$3,_xlfn.XLOOKUP(C116,[1]Baseline!$B$4:$B$91,[1]Baseline!$D$4:$AZ$91))</f>
        <v>Awareness</v>
      </c>
      <c r="E116" s="13" t="s">
        <v>49</v>
      </c>
      <c r="F116" s="13">
        <f>VLOOKUP($D116,'[1]SFIA Level'!$A$2:$B$6,2,FALSE)</f>
        <v>1</v>
      </c>
      <c r="G116" s="153">
        <v>1</v>
      </c>
      <c r="H116" s="16">
        <f t="shared" si="1"/>
        <v>0</v>
      </c>
      <c r="I116" s="13">
        <v>1</v>
      </c>
      <c r="J116" s="160"/>
    </row>
    <row r="117" spans="1:10">
      <c r="A117" s="13" t="s">
        <v>19</v>
      </c>
      <c r="B117" s="13" t="s">
        <v>58</v>
      </c>
      <c r="C117" s="13" t="str">
        <f>VLOOKUP([1]Competence!$B39,[1]Competence!$B$12:$B$100,1,FALSE)</f>
        <v>Financial management</v>
      </c>
      <c r="D117" s="13" t="str" cm="1">
        <f t="array" ref="D117">_xlfn.XLOOKUP(B117,[1]Baseline!$D$3:$AZ$3,_xlfn.XLOOKUP(C117,[1]Baseline!$B$4:$B$91,[1]Baseline!$D$4:$AZ$91))</f>
        <v>Awareness</v>
      </c>
      <c r="E117" s="13" t="s">
        <v>49</v>
      </c>
      <c r="F117" s="13">
        <f>VLOOKUP($D117,'[1]SFIA Level'!$A$2:$B$6,2,FALSE)</f>
        <v>1</v>
      </c>
      <c r="G117" s="153">
        <v>0</v>
      </c>
      <c r="H117" s="16">
        <f t="shared" si="1"/>
        <v>-1</v>
      </c>
      <c r="I117" s="13">
        <v>0</v>
      </c>
      <c r="J117" s="160"/>
    </row>
    <row r="118" spans="1:10">
      <c r="A118" s="13" t="s">
        <v>19</v>
      </c>
      <c r="B118" s="13" t="s">
        <v>58</v>
      </c>
      <c r="C118" s="13" t="str">
        <f>VLOOKUP([1]Competence!$B40,[1]Competence!$B$12:$B$100,1,FALSE)</f>
        <v>Organisation design and implementation</v>
      </c>
      <c r="D118" s="13" t="str" cm="1">
        <f t="array" ref="D118">_xlfn.XLOOKUP(B118,[1]Baseline!$D$3:$AZ$3,_xlfn.XLOOKUP(C118,[1]Baseline!$B$4:$B$91,[1]Baseline!$D$4:$AZ$91))</f>
        <v>No Knowledge</v>
      </c>
      <c r="E118" s="13" t="s">
        <v>49</v>
      </c>
      <c r="F118" s="13">
        <f>VLOOKUP($D118,'[1]SFIA Level'!$A$2:$B$6,2,FALSE)</f>
        <v>0</v>
      </c>
      <c r="G118" s="153">
        <v>0</v>
      </c>
      <c r="H118" s="16">
        <f t="shared" si="1"/>
        <v>0</v>
      </c>
      <c r="I118" s="13">
        <v>0</v>
      </c>
      <c r="J118" s="160"/>
    </row>
    <row r="119" spans="1:10">
      <c r="A119" s="13" t="s">
        <v>19</v>
      </c>
      <c r="B119" s="13" t="s">
        <v>58</v>
      </c>
      <c r="C119" s="13" t="str">
        <f>VLOOKUP([1]Competence!$B41,[1]Competence!$B$12:$B$100,1,FALSE)</f>
        <v>Organisational capability development</v>
      </c>
      <c r="D119" s="13" t="str" cm="1">
        <f t="array" ref="D119">_xlfn.XLOOKUP(B119,[1]Baseline!$D$3:$AZ$3,_xlfn.XLOOKUP(C119,[1]Baseline!$B$4:$B$91,[1]Baseline!$D$4:$AZ$91))</f>
        <v>No Knowledge</v>
      </c>
      <c r="E119" s="13" t="s">
        <v>49</v>
      </c>
      <c r="F119" s="13">
        <f>VLOOKUP($D119,'[1]SFIA Level'!$A$2:$B$6,2,FALSE)</f>
        <v>0</v>
      </c>
      <c r="G119" s="153">
        <v>1</v>
      </c>
      <c r="H119" s="16">
        <f t="shared" si="1"/>
        <v>1</v>
      </c>
      <c r="I119" s="13">
        <v>1</v>
      </c>
      <c r="J119" s="160"/>
    </row>
    <row r="120" spans="1:10">
      <c r="A120" s="13" t="s">
        <v>19</v>
      </c>
      <c r="B120" s="13" t="s">
        <v>58</v>
      </c>
      <c r="C120" s="13" t="str">
        <f>VLOOKUP([1]Competence!$B42,[1]Competence!$B$12:$B$100,1,FALSE)</f>
        <v>Organisational change management</v>
      </c>
      <c r="D120" s="13" t="str" cm="1">
        <f t="array" ref="D120">_xlfn.XLOOKUP(B120,[1]Baseline!$D$3:$AZ$3,_xlfn.XLOOKUP(C120,[1]Baseline!$B$4:$B$91,[1]Baseline!$D$4:$AZ$91))</f>
        <v>No Knowledge</v>
      </c>
      <c r="E120" s="13" t="s">
        <v>49</v>
      </c>
      <c r="F120" s="13">
        <f>VLOOKUP($D120,'[1]SFIA Level'!$A$2:$B$6,2,FALSE)</f>
        <v>0</v>
      </c>
      <c r="G120" s="153">
        <v>1</v>
      </c>
      <c r="H120" s="16">
        <f t="shared" si="1"/>
        <v>1</v>
      </c>
      <c r="I120" s="13">
        <v>1</v>
      </c>
      <c r="J120" s="160"/>
    </row>
    <row r="121" spans="1:10">
      <c r="A121" s="13" t="s">
        <v>19</v>
      </c>
      <c r="B121" s="13" t="s">
        <v>58</v>
      </c>
      <c r="C121" s="13" t="str">
        <f>VLOOKUP([1]Competence!$B43,[1]Competence!$B$12:$B$100,1,FALSE)</f>
        <v>Performance Management</v>
      </c>
      <c r="D121" s="13" t="str" cm="1">
        <f t="array" ref="D121">_xlfn.XLOOKUP(B121,[1]Baseline!$D$3:$AZ$3,_xlfn.XLOOKUP(C121,[1]Baseline!$B$4:$B$91,[1]Baseline!$D$4:$AZ$91))</f>
        <v>No Knowledge</v>
      </c>
      <c r="E121" s="13" t="s">
        <v>375</v>
      </c>
      <c r="F121" s="13">
        <f>VLOOKUP($D121,'[1]SFIA Level'!$A$2:$B$6,2,FALSE)</f>
        <v>0</v>
      </c>
      <c r="G121" s="153">
        <v>1</v>
      </c>
      <c r="H121" s="16">
        <f t="shared" si="1"/>
        <v>1</v>
      </c>
      <c r="I121" s="13">
        <v>1</v>
      </c>
      <c r="J121" s="160"/>
    </row>
    <row r="122" spans="1:10">
      <c r="A122" s="13" t="s">
        <v>19</v>
      </c>
      <c r="B122" s="13" t="s">
        <v>58</v>
      </c>
      <c r="C122" s="13" t="str">
        <f>VLOOKUP([1]Competence!$B44,[1]Competence!$B$12:$B$100,1,FALSE)</f>
        <v>Professional Development</v>
      </c>
      <c r="D122" s="13" t="str" cm="1">
        <f t="array" ref="D122">_xlfn.XLOOKUP(B122,[1]Baseline!$D$3:$AZ$3,_xlfn.XLOOKUP(C122,[1]Baseline!$B$4:$B$91,[1]Baseline!$D$4:$AZ$91))</f>
        <v>Awareness</v>
      </c>
      <c r="E122" s="13" t="s">
        <v>375</v>
      </c>
      <c r="F122" s="13">
        <f>VLOOKUP($D122,'[1]SFIA Level'!$A$2:$B$6,2,FALSE)</f>
        <v>1</v>
      </c>
      <c r="G122" s="153">
        <v>1</v>
      </c>
      <c r="H122" s="16">
        <f t="shared" si="1"/>
        <v>0</v>
      </c>
      <c r="I122" s="13">
        <v>1</v>
      </c>
      <c r="J122" s="160"/>
    </row>
    <row r="123" spans="1:10">
      <c r="A123" s="13" t="s">
        <v>19</v>
      </c>
      <c r="B123" s="13" t="s">
        <v>58</v>
      </c>
      <c r="C123" s="13" t="str">
        <f>VLOOKUP([1]Competence!$B45,[1]Competence!$B$12:$B$100,1,FALSE)</f>
        <v>Strategic Planning</v>
      </c>
      <c r="D123" s="13" t="str" cm="1">
        <f t="array" ref="D123">_xlfn.XLOOKUP(B123,[1]Baseline!$D$3:$AZ$3,_xlfn.XLOOKUP(C123,[1]Baseline!$B$4:$B$91,[1]Baseline!$D$4:$AZ$91))</f>
        <v>No Knowledge</v>
      </c>
      <c r="E123" s="13" t="s">
        <v>375</v>
      </c>
      <c r="F123" s="13">
        <f>VLOOKUP($D123,'[1]SFIA Level'!$A$2:$B$6,2,FALSE)</f>
        <v>0</v>
      </c>
      <c r="G123" s="153">
        <v>1</v>
      </c>
      <c r="H123" s="16">
        <f t="shared" si="1"/>
        <v>1</v>
      </c>
      <c r="I123" s="13">
        <v>1</v>
      </c>
      <c r="J123" s="160"/>
    </row>
    <row r="124" spans="1:10">
      <c r="A124" s="13" t="s">
        <v>19</v>
      </c>
      <c r="B124" s="13" t="s">
        <v>58</v>
      </c>
      <c r="C124" s="13" t="str">
        <f>VLOOKUP([1]Competence!$B46,[1]Competence!$B$12:$B$100,1,FALSE)</f>
        <v>Workforce Planning</v>
      </c>
      <c r="D124" s="13" t="str" cm="1">
        <f t="array" ref="D124">_xlfn.XLOOKUP(B124,[1]Baseline!$D$3:$AZ$3,_xlfn.XLOOKUP(C124,[1]Baseline!$B$4:$B$91,[1]Baseline!$D$4:$AZ$91))</f>
        <v>No Knowledge</v>
      </c>
      <c r="E124" s="13" t="s">
        <v>375</v>
      </c>
      <c r="F124" s="13">
        <f>VLOOKUP($D124,'[1]SFIA Level'!$A$2:$B$6,2,FALSE)</f>
        <v>0</v>
      </c>
      <c r="G124" s="153">
        <v>1</v>
      </c>
      <c r="H124" s="16">
        <f t="shared" si="1"/>
        <v>1</v>
      </c>
      <c r="I124" s="13">
        <v>1</v>
      </c>
      <c r="J124" s="160"/>
    </row>
    <row r="125" spans="1:10">
      <c r="A125" s="13" t="s">
        <v>19</v>
      </c>
      <c r="B125" s="13" t="s">
        <v>58</v>
      </c>
      <c r="C125" s="13" t="str">
        <f>VLOOKUP([1]Competence!$B47,[1]Competence!$B$12:$B$100,1,FALSE)</f>
        <v>Audit</v>
      </c>
      <c r="D125" s="13" t="str" cm="1">
        <f t="array" ref="D125">_xlfn.XLOOKUP(B125,[1]Baseline!$D$3:$AZ$3,_xlfn.XLOOKUP(C125,[1]Baseline!$B$4:$B$91,[1]Baseline!$D$4:$AZ$91))</f>
        <v>Awareness</v>
      </c>
      <c r="E125" s="13" t="s">
        <v>375</v>
      </c>
      <c r="F125" s="13">
        <f>VLOOKUP($D125,'[1]SFIA Level'!$A$2:$B$6,2,FALSE)</f>
        <v>1</v>
      </c>
      <c r="G125" s="153">
        <v>1</v>
      </c>
      <c r="H125" s="16">
        <f t="shared" si="1"/>
        <v>0</v>
      </c>
      <c r="I125" s="13">
        <v>1</v>
      </c>
      <c r="J125" s="160"/>
    </row>
    <row r="126" spans="1:10">
      <c r="A126" s="13" t="s">
        <v>19</v>
      </c>
      <c r="B126" s="13" t="s">
        <v>58</v>
      </c>
      <c r="C126" s="13" t="str">
        <f>VLOOKUP([1]Competence!$B48,[1]Competence!$B$12:$B$100,1,FALSE)</f>
        <v>Contract management</v>
      </c>
      <c r="D126" s="13" t="str" cm="1">
        <f t="array" ref="D126">_xlfn.XLOOKUP(B126,[1]Baseline!$D$3:$AZ$3,_xlfn.XLOOKUP(C126,[1]Baseline!$B$4:$B$91,[1]Baseline!$D$4:$AZ$91))</f>
        <v>No Knowledge</v>
      </c>
      <c r="E126" s="13" t="s">
        <v>375</v>
      </c>
      <c r="F126" s="13">
        <f>VLOOKUP($D126,'[1]SFIA Level'!$A$2:$B$6,2,FALSE)</f>
        <v>0</v>
      </c>
      <c r="G126" s="153">
        <v>0</v>
      </c>
      <c r="H126" s="16">
        <f t="shared" si="1"/>
        <v>0</v>
      </c>
      <c r="I126" s="13">
        <v>0</v>
      </c>
      <c r="J126" s="160"/>
    </row>
    <row r="127" spans="1:10">
      <c r="A127" s="13" t="s">
        <v>19</v>
      </c>
      <c r="B127" s="13" t="s">
        <v>58</v>
      </c>
      <c r="C127" s="13" t="str">
        <f>VLOOKUP([1]Competence!$B49,[1]Competence!$B$12:$B$100,1,FALSE)</f>
        <v>Feasibility assessment</v>
      </c>
      <c r="D127" s="13" t="str" cm="1">
        <f t="array" ref="D127">_xlfn.XLOOKUP(B127,[1]Baseline!$D$3:$AZ$3,_xlfn.XLOOKUP(C127,[1]Baseline!$B$4:$B$91,[1]Baseline!$D$4:$AZ$91))</f>
        <v>No Knowledge</v>
      </c>
      <c r="E127" s="13" t="s">
        <v>375</v>
      </c>
      <c r="F127" s="13">
        <f>VLOOKUP($D127,'[1]SFIA Level'!$A$2:$B$6,2,FALSE)</f>
        <v>0</v>
      </c>
      <c r="G127" s="153">
        <v>0</v>
      </c>
      <c r="H127" s="16">
        <f t="shared" si="1"/>
        <v>0</v>
      </c>
      <c r="I127" s="13">
        <v>0</v>
      </c>
      <c r="J127" s="160"/>
    </row>
    <row r="128" spans="1:10">
      <c r="A128" s="13" t="s">
        <v>19</v>
      </c>
      <c r="B128" s="13" t="s">
        <v>58</v>
      </c>
      <c r="C128" s="13" t="str">
        <f>VLOOKUP([1]Competence!$B50,[1]Competence!$B$12:$B$100,1,FALSE)</f>
        <v>Governance</v>
      </c>
      <c r="D128" s="13" t="str" cm="1">
        <f t="array" ref="D128">_xlfn.XLOOKUP(B128,[1]Baseline!$D$3:$AZ$3,_xlfn.XLOOKUP(C128,[1]Baseline!$B$4:$B$91,[1]Baseline!$D$4:$AZ$91))</f>
        <v>Awareness</v>
      </c>
      <c r="E128" s="13" t="s">
        <v>373</v>
      </c>
      <c r="F128" s="13">
        <f>VLOOKUP($D128,'[1]SFIA Level'!$A$2:$B$6,2,FALSE)</f>
        <v>1</v>
      </c>
      <c r="G128" s="153">
        <v>0</v>
      </c>
      <c r="H128" s="16">
        <f t="shared" si="1"/>
        <v>-1</v>
      </c>
      <c r="I128" s="13">
        <v>0</v>
      </c>
      <c r="J128" s="160"/>
    </row>
    <row r="129" spans="1:10">
      <c r="A129" s="13" t="s">
        <v>19</v>
      </c>
      <c r="B129" s="13" t="s">
        <v>58</v>
      </c>
      <c r="C129" s="13" t="str">
        <f>VLOOKUP([1]Competence!$B51,[1]Competence!$B$12:$B$100,1,FALSE)</f>
        <v>Risk management</v>
      </c>
      <c r="D129" s="13" t="str" cm="1">
        <f t="array" ref="D129">_xlfn.XLOOKUP(B129,[1]Baseline!$D$3:$AZ$3,_xlfn.XLOOKUP(C129,[1]Baseline!$B$4:$B$91,[1]Baseline!$D$4:$AZ$91))</f>
        <v>No Knowledge</v>
      </c>
      <c r="E129" s="13" t="s">
        <v>373</v>
      </c>
      <c r="F129" s="13">
        <f>VLOOKUP($D129,'[1]SFIA Level'!$A$2:$B$6,2,FALSE)</f>
        <v>0</v>
      </c>
      <c r="G129" s="153">
        <v>0</v>
      </c>
      <c r="H129" s="16">
        <f t="shared" si="1"/>
        <v>0</v>
      </c>
      <c r="I129" s="13">
        <v>0</v>
      </c>
      <c r="J129" s="160"/>
    </row>
    <row r="130" spans="1:10">
      <c r="A130" s="13" t="s">
        <v>19</v>
      </c>
      <c r="B130" s="13" t="s">
        <v>58</v>
      </c>
      <c r="C130" s="13" t="str">
        <f>VLOOKUP([1]Competence!$B52,[1]Competence!$B$12:$B$100,1,FALSE)</f>
        <v>Sourcing</v>
      </c>
      <c r="D130" s="13" t="str" cm="1">
        <f t="array" ref="D130">_xlfn.XLOOKUP(B130,[1]Baseline!$D$3:$AZ$3,_xlfn.XLOOKUP(C130,[1]Baseline!$B$4:$B$91,[1]Baseline!$D$4:$AZ$91))</f>
        <v>Awareness</v>
      </c>
      <c r="E130" s="13" t="s">
        <v>373</v>
      </c>
      <c r="F130" s="13">
        <f>VLOOKUP($D130,'[1]SFIA Level'!$A$2:$B$6,2,FALSE)</f>
        <v>1</v>
      </c>
      <c r="G130" s="153">
        <v>1</v>
      </c>
      <c r="H130" s="16">
        <f t="shared" ref="H130:H193" si="2">I130-F130</f>
        <v>0</v>
      </c>
      <c r="I130" s="13">
        <v>1</v>
      </c>
      <c r="J130" s="160"/>
    </row>
    <row r="131" spans="1:10">
      <c r="A131" s="13" t="s">
        <v>19</v>
      </c>
      <c r="B131" s="13" t="s">
        <v>58</v>
      </c>
      <c r="C131" s="13" t="str">
        <f>VLOOKUP([1]Competence!$B53,[1]Competence!$B$12:$B$100,1,FALSE)</f>
        <v>Supplier management</v>
      </c>
      <c r="D131" s="13" t="str" cm="1">
        <f t="array" ref="D131">_xlfn.XLOOKUP(B131,[1]Baseline!$D$3:$AZ$3,_xlfn.XLOOKUP(C131,[1]Baseline!$B$4:$B$91,[1]Baseline!$D$4:$AZ$91))</f>
        <v>Awareness</v>
      </c>
      <c r="E131" s="13" t="s">
        <v>373</v>
      </c>
      <c r="F131" s="13">
        <f>VLOOKUP($D131,'[1]SFIA Level'!$A$2:$B$6,2,FALSE)</f>
        <v>1</v>
      </c>
      <c r="G131" s="153">
        <v>1</v>
      </c>
      <c r="H131" s="16">
        <f t="shared" si="2"/>
        <v>0</v>
      </c>
      <c r="I131" s="13">
        <v>1</v>
      </c>
      <c r="J131" s="160"/>
    </row>
    <row r="132" spans="1:10">
      <c r="A132" s="13" t="s">
        <v>19</v>
      </c>
      <c r="B132" s="13" t="s">
        <v>58</v>
      </c>
      <c r="C132" s="13" t="str">
        <f>VLOOKUP([1]Competence!$B54,[1]Competence!$B$12:$B$100,1,FALSE)</f>
        <v>Sustainability</v>
      </c>
      <c r="D132" s="13" t="str" cm="1">
        <f t="array" ref="D132">_xlfn.XLOOKUP(B132,[1]Baseline!$D$3:$AZ$3,_xlfn.XLOOKUP(C132,[1]Baseline!$B$4:$B$91,[1]Baseline!$D$4:$AZ$91))</f>
        <v>Awareness</v>
      </c>
      <c r="E132" s="13" t="s">
        <v>373</v>
      </c>
      <c r="F132" s="13">
        <f>VLOOKUP($D132,'[1]SFIA Level'!$A$2:$B$6,2,FALSE)</f>
        <v>1</v>
      </c>
      <c r="G132" s="153">
        <v>1</v>
      </c>
      <c r="H132" s="16">
        <f t="shared" si="2"/>
        <v>0</v>
      </c>
      <c r="I132" s="13">
        <v>1</v>
      </c>
      <c r="J132" s="160"/>
    </row>
    <row r="133" spans="1:10">
      <c r="A133" s="13" t="s">
        <v>19</v>
      </c>
      <c r="B133" s="13" t="s">
        <v>58</v>
      </c>
      <c r="C133" s="13" t="str">
        <f>VLOOKUP([1]Competence!$B55,[1]Competence!$B$12:$B$100,1,FALSE)</f>
        <v>Acceptance testing</v>
      </c>
      <c r="D133" s="13" t="str" cm="1">
        <f t="array" ref="D133">_xlfn.XLOOKUP(B133,[1]Baseline!$D$3:$AZ$3,_xlfn.XLOOKUP(C133,[1]Baseline!$B$4:$B$91,[1]Baseline!$D$4:$AZ$91))</f>
        <v>Awareness</v>
      </c>
      <c r="E133" s="13" t="s">
        <v>376</v>
      </c>
      <c r="F133" s="13">
        <f>VLOOKUP($D133,'[1]SFIA Level'!$A$2:$B$6,2,FALSE)</f>
        <v>1</v>
      </c>
      <c r="G133" s="153">
        <v>1</v>
      </c>
      <c r="H133" s="16">
        <f t="shared" si="2"/>
        <v>0</v>
      </c>
      <c r="I133" s="13">
        <v>1</v>
      </c>
      <c r="J133" s="160"/>
    </row>
    <row r="134" spans="1:10">
      <c r="A134" s="13" t="s">
        <v>19</v>
      </c>
      <c r="B134" s="13" t="s">
        <v>58</v>
      </c>
      <c r="C134" s="13" t="str">
        <f>VLOOKUP([1]Competence!$B56,[1]Competence!$B$12:$B$100,1,FALSE)</f>
        <v>Application support</v>
      </c>
      <c r="D134" s="13" t="str" cm="1">
        <f t="array" ref="D134">_xlfn.XLOOKUP(B134,[1]Baseline!$D$3:$AZ$3,_xlfn.XLOOKUP(C134,[1]Baseline!$B$4:$B$91,[1]Baseline!$D$4:$AZ$91))</f>
        <v>Working</v>
      </c>
      <c r="E134" s="13" t="s">
        <v>376</v>
      </c>
      <c r="F134" s="13">
        <f>VLOOKUP($D134,'[1]SFIA Level'!$A$2:$B$6,2,FALSE)</f>
        <v>2</v>
      </c>
      <c r="G134" s="153">
        <v>4</v>
      </c>
      <c r="H134" s="16">
        <f t="shared" si="2"/>
        <v>2</v>
      </c>
      <c r="I134" s="13">
        <v>4</v>
      </c>
      <c r="J134" s="160"/>
    </row>
    <row r="135" spans="1:10">
      <c r="A135" s="13" t="s">
        <v>19</v>
      </c>
      <c r="B135" s="13" t="s">
        <v>58</v>
      </c>
      <c r="C135" s="13" t="str">
        <f>VLOOKUP([1]Competence!$B57,[1]Competence!$B$12:$B$100,1,FALSE)</f>
        <v>Data Engineering</v>
      </c>
      <c r="D135" s="13" t="str" cm="1">
        <f t="array" ref="D135">_xlfn.XLOOKUP(B135,[1]Baseline!$D$3:$AZ$3,_xlfn.XLOOKUP(C135,[1]Baseline!$B$4:$B$91,[1]Baseline!$D$4:$AZ$91))</f>
        <v>No Knowledge</v>
      </c>
      <c r="E135" s="13" t="s">
        <v>374</v>
      </c>
      <c r="F135" s="13">
        <f>VLOOKUP($D135,'[1]SFIA Level'!$A$2:$B$6,2,FALSE)</f>
        <v>0</v>
      </c>
      <c r="G135" s="153">
        <v>1</v>
      </c>
      <c r="H135" s="16">
        <f t="shared" si="2"/>
        <v>1</v>
      </c>
      <c r="I135" s="13">
        <v>1</v>
      </c>
      <c r="J135" s="160"/>
    </row>
    <row r="136" spans="1:10">
      <c r="A136" s="13" t="s">
        <v>19</v>
      </c>
      <c r="B136" s="13" t="s">
        <v>58</v>
      </c>
      <c r="C136" s="13" t="str">
        <f>VLOOKUP([1]Competence!$B58,[1]Competence!$B$12:$B$100,1,FALSE)</f>
        <v>Data Management</v>
      </c>
      <c r="D136" s="13" t="str" cm="1">
        <f t="array" ref="D136">_xlfn.XLOOKUP(B136,[1]Baseline!$D$3:$AZ$3,_xlfn.XLOOKUP(C136,[1]Baseline!$B$4:$B$91,[1]Baseline!$D$4:$AZ$91))</f>
        <v>No Knowledge</v>
      </c>
      <c r="E136" s="13" t="s">
        <v>377</v>
      </c>
      <c r="F136" s="13">
        <f>VLOOKUP($D136,'[1]SFIA Level'!$A$2:$B$6,2,FALSE)</f>
        <v>0</v>
      </c>
      <c r="G136" s="153">
        <v>1</v>
      </c>
      <c r="H136" s="16">
        <f t="shared" si="2"/>
        <v>1</v>
      </c>
      <c r="I136" s="13">
        <v>1</v>
      </c>
      <c r="J136" s="160"/>
    </row>
    <row r="137" spans="1:10">
      <c r="A137" s="13" t="s">
        <v>19</v>
      </c>
      <c r="B137" s="13" t="s">
        <v>58</v>
      </c>
      <c r="C137" s="13" t="str">
        <f>VLOOKUP([1]Competence!$B59,[1]Competence!$B$12:$B$100,1,FALSE)</f>
        <v>Data Modelling and Design</v>
      </c>
      <c r="D137" s="13" t="str" cm="1">
        <f t="array" ref="D137">_xlfn.XLOOKUP(B137,[1]Baseline!$D$3:$AZ$3,_xlfn.XLOOKUP(C137,[1]Baseline!$B$4:$B$91,[1]Baseline!$D$4:$AZ$91))</f>
        <v>No Knowledge</v>
      </c>
      <c r="E137" s="13" t="s">
        <v>377</v>
      </c>
      <c r="F137" s="13">
        <f>VLOOKUP($D137,'[1]SFIA Level'!$A$2:$B$6,2,FALSE)</f>
        <v>0</v>
      </c>
      <c r="G137" s="153">
        <v>0</v>
      </c>
      <c r="H137" s="16">
        <f t="shared" si="2"/>
        <v>0</v>
      </c>
      <c r="I137" s="13">
        <v>0</v>
      </c>
      <c r="J137" s="160"/>
    </row>
    <row r="138" spans="1:10">
      <c r="A138" s="13" t="s">
        <v>19</v>
      </c>
      <c r="B138" s="13" t="s">
        <v>58</v>
      </c>
      <c r="C138" s="13" t="str">
        <f>VLOOKUP([1]Competence!$B60,[1]Competence!$B$12:$B$100,1,FALSE)</f>
        <v>Data science</v>
      </c>
      <c r="D138" s="13" t="str" cm="1">
        <f t="array" ref="D138">_xlfn.XLOOKUP(B138,[1]Baseline!$D$3:$AZ$3,_xlfn.XLOOKUP(C138,[1]Baseline!$B$4:$B$91,[1]Baseline!$D$4:$AZ$91))</f>
        <v>No Knowledge</v>
      </c>
      <c r="E138" s="13" t="s">
        <v>377</v>
      </c>
      <c r="F138" s="13">
        <f>VLOOKUP($D138,'[1]SFIA Level'!$A$2:$B$6,2,FALSE)</f>
        <v>0</v>
      </c>
      <c r="G138" s="153">
        <v>0</v>
      </c>
      <c r="H138" s="16">
        <f t="shared" si="2"/>
        <v>0</v>
      </c>
      <c r="I138" s="13">
        <v>0</v>
      </c>
      <c r="J138" s="160"/>
    </row>
    <row r="139" spans="1:10">
      <c r="A139" s="13" t="s">
        <v>19</v>
      </c>
      <c r="B139" s="13" t="s">
        <v>58</v>
      </c>
      <c r="C139" s="13" t="str">
        <f>VLOOKUP([1]Competence!$B61,[1]Competence!$B$12:$B$100,1,FALSE)</f>
        <v>Data visualisation</v>
      </c>
      <c r="D139" s="13" t="str" cm="1">
        <f t="array" ref="D139">_xlfn.XLOOKUP(B139,[1]Baseline!$D$3:$AZ$3,_xlfn.XLOOKUP(C139,[1]Baseline!$B$4:$B$91,[1]Baseline!$D$4:$AZ$91))</f>
        <v>No Knowledge</v>
      </c>
      <c r="E139" s="13" t="s">
        <v>377</v>
      </c>
      <c r="F139" s="13">
        <f>VLOOKUP($D139,'[1]SFIA Level'!$A$2:$B$6,2,FALSE)</f>
        <v>0</v>
      </c>
      <c r="G139" s="153">
        <v>0</v>
      </c>
      <c r="H139" s="16">
        <f t="shared" si="2"/>
        <v>0</v>
      </c>
      <c r="I139" s="13">
        <v>0</v>
      </c>
      <c r="J139" s="160"/>
    </row>
    <row r="140" spans="1:10">
      <c r="A140" s="13" t="s">
        <v>19</v>
      </c>
      <c r="B140" s="13" t="s">
        <v>58</v>
      </c>
      <c r="C140" s="13" t="str">
        <f>VLOOKUP([1]Competence!$B62,[1]Competence!$B$12:$B$100,1,FALSE)</f>
        <v>Database Administration</v>
      </c>
      <c r="D140" s="13" t="str" cm="1">
        <f t="array" ref="D140">_xlfn.XLOOKUP(B140,[1]Baseline!$D$3:$AZ$3,_xlfn.XLOOKUP(C140,[1]Baseline!$B$4:$B$91,[1]Baseline!$D$4:$AZ$91))</f>
        <v>No Knowledge</v>
      </c>
      <c r="E140" s="13" t="s">
        <v>378</v>
      </c>
      <c r="F140" s="13">
        <f>VLOOKUP($D140,'[1]SFIA Level'!$A$2:$B$6,2,FALSE)</f>
        <v>0</v>
      </c>
      <c r="G140" s="153">
        <v>1</v>
      </c>
      <c r="H140" s="16">
        <f t="shared" si="2"/>
        <v>1</v>
      </c>
      <c r="I140" s="13">
        <v>1</v>
      </c>
      <c r="J140" s="160"/>
    </row>
    <row r="141" spans="1:10">
      <c r="A141" s="13" t="s">
        <v>19</v>
      </c>
      <c r="B141" s="13" t="s">
        <v>58</v>
      </c>
      <c r="C141" s="13" t="str">
        <f>VLOOKUP([1]Competence!$B63,[1]Competence!$B$12:$B$100,1,FALSE)</f>
        <v>Database Design</v>
      </c>
      <c r="D141" s="13" t="str" cm="1">
        <f t="array" ref="D141">_xlfn.XLOOKUP(B141,[1]Baseline!$D$3:$AZ$3,_xlfn.XLOOKUP(C141,[1]Baseline!$B$4:$B$91,[1]Baseline!$D$4:$AZ$91))</f>
        <v>No Knowledge</v>
      </c>
      <c r="E141" s="13" t="s">
        <v>378</v>
      </c>
      <c r="F141" s="13">
        <f>VLOOKUP($D141,'[1]SFIA Level'!$A$2:$B$6,2,FALSE)</f>
        <v>0</v>
      </c>
      <c r="G141" s="153">
        <v>1</v>
      </c>
      <c r="H141" s="16">
        <f t="shared" si="2"/>
        <v>1</v>
      </c>
      <c r="I141" s="13">
        <v>1</v>
      </c>
      <c r="J141" s="160"/>
    </row>
    <row r="142" spans="1:10">
      <c r="A142" s="13" t="s">
        <v>19</v>
      </c>
      <c r="B142" s="13" t="s">
        <v>58</v>
      </c>
      <c r="C142" s="13" t="str">
        <f>VLOOKUP([1]Competence!$B64,[1]Competence!$B$12:$B$100,1,FALSE)</f>
        <v>Hardware design</v>
      </c>
      <c r="D142" s="13" t="str" cm="1">
        <f t="array" ref="D142">_xlfn.XLOOKUP(B142,[1]Baseline!$D$3:$AZ$3,_xlfn.XLOOKUP(C142,[1]Baseline!$B$4:$B$91,[1]Baseline!$D$4:$AZ$91))</f>
        <v>No Knowledge</v>
      </c>
      <c r="E142" s="13" t="s">
        <v>378</v>
      </c>
      <c r="F142" s="13">
        <f>VLOOKUP($D142,'[1]SFIA Level'!$A$2:$B$6,2,FALSE)</f>
        <v>0</v>
      </c>
      <c r="G142" s="153">
        <v>1</v>
      </c>
      <c r="H142" s="16">
        <f t="shared" si="2"/>
        <v>1</v>
      </c>
      <c r="I142" s="13">
        <v>1</v>
      </c>
      <c r="J142" s="160"/>
    </row>
    <row r="143" spans="1:10">
      <c r="A143" s="13" t="s">
        <v>19</v>
      </c>
      <c r="B143" s="13" t="s">
        <v>58</v>
      </c>
      <c r="C143" s="13" t="str">
        <f>VLOOKUP([1]Competence!$B65,[1]Competence!$B$12:$B$100,1,FALSE)</f>
        <v>High Performance Computing</v>
      </c>
      <c r="D143" s="13" t="str" cm="1">
        <f t="array" ref="D143">_xlfn.XLOOKUP(B143,[1]Baseline!$D$3:$AZ$3,_xlfn.XLOOKUP(C143,[1]Baseline!$B$4:$B$91,[1]Baseline!$D$4:$AZ$91))</f>
        <v>Awareness</v>
      </c>
      <c r="E143" s="13" t="s">
        <v>378</v>
      </c>
      <c r="F143" s="13">
        <f>VLOOKUP($D143,'[1]SFIA Level'!$A$2:$B$6,2,FALSE)</f>
        <v>1</v>
      </c>
      <c r="G143" s="153">
        <v>0</v>
      </c>
      <c r="H143" s="16">
        <f t="shared" si="2"/>
        <v>-1</v>
      </c>
      <c r="I143" s="13">
        <v>0</v>
      </c>
      <c r="J143" s="160"/>
    </row>
    <row r="144" spans="1:10">
      <c r="A144" s="13" t="s">
        <v>19</v>
      </c>
      <c r="B144" s="13" t="s">
        <v>58</v>
      </c>
      <c r="C144" s="13" t="str">
        <f>VLOOKUP([1]Competence!$B66,[1]Competence!$B$12:$B$100,1,FALSE)</f>
        <v>Research Computing</v>
      </c>
      <c r="D144" s="13" t="str" cm="1">
        <f t="array" ref="D144">_xlfn.XLOOKUP(B144,[1]Baseline!$D$3:$AZ$3,_xlfn.XLOOKUP(C144,[1]Baseline!$B$4:$B$91,[1]Baseline!$D$4:$AZ$91))</f>
        <v>Awareness</v>
      </c>
      <c r="E144" s="13" t="s">
        <v>378</v>
      </c>
      <c r="F144" s="13">
        <f>VLOOKUP($D144,'[1]SFIA Level'!$A$2:$B$6,2,FALSE)</f>
        <v>1</v>
      </c>
      <c r="G144" s="153">
        <v>0</v>
      </c>
      <c r="H144" s="16">
        <f t="shared" si="2"/>
        <v>-1</v>
      </c>
      <c r="I144" s="13">
        <v>0</v>
      </c>
      <c r="J144" s="160"/>
    </row>
    <row r="145" spans="1:10">
      <c r="A145" s="13" t="s">
        <v>19</v>
      </c>
      <c r="B145" s="13" t="s">
        <v>58</v>
      </c>
      <c r="C145" s="13" t="str">
        <f>VLOOKUP([1]Competence!$B67,[1]Competence!$B$12:$B$100,1,FALSE)</f>
        <v>Information assurance</v>
      </c>
      <c r="D145" s="13" t="str" cm="1">
        <f t="array" ref="D145">_xlfn.XLOOKUP(B145,[1]Baseline!$D$3:$AZ$3,_xlfn.XLOOKUP(C145,[1]Baseline!$B$4:$B$91,[1]Baseline!$D$4:$AZ$91))</f>
        <v>Working</v>
      </c>
      <c r="E145" s="13" t="s">
        <v>375</v>
      </c>
      <c r="F145" s="13">
        <f>VLOOKUP($D145,'[1]SFIA Level'!$A$2:$B$6,2,FALSE)</f>
        <v>2</v>
      </c>
      <c r="G145" s="153">
        <v>2</v>
      </c>
      <c r="H145" s="16">
        <f t="shared" si="2"/>
        <v>0</v>
      </c>
      <c r="I145" s="13">
        <v>2</v>
      </c>
      <c r="J145" s="160"/>
    </row>
    <row r="146" spans="1:10">
      <c r="A146" s="13" t="s">
        <v>19</v>
      </c>
      <c r="B146" s="13" t="s">
        <v>58</v>
      </c>
      <c r="C146" s="13" t="str">
        <f>VLOOKUP([1]Competence!$B68,[1]Competence!$B$12:$B$100,1,FALSE)</f>
        <v>Information management</v>
      </c>
      <c r="D146" s="13" t="str" cm="1">
        <f t="array" ref="D146">_xlfn.XLOOKUP(B146,[1]Baseline!$D$3:$AZ$3,_xlfn.XLOOKUP(C146,[1]Baseline!$B$4:$B$91,[1]Baseline!$D$4:$AZ$91))</f>
        <v>Awareness</v>
      </c>
      <c r="E146" s="13" t="s">
        <v>375</v>
      </c>
      <c r="F146" s="13">
        <f>VLOOKUP($D146,'[1]SFIA Level'!$A$2:$B$6,2,FALSE)</f>
        <v>1</v>
      </c>
      <c r="G146" s="153">
        <v>1</v>
      </c>
      <c r="H146" s="16">
        <f t="shared" si="2"/>
        <v>0</v>
      </c>
      <c r="I146" s="13">
        <v>1</v>
      </c>
      <c r="J146" s="160"/>
    </row>
    <row r="147" spans="1:10">
      <c r="A147" s="13" t="s">
        <v>19</v>
      </c>
      <c r="B147" s="13" t="s">
        <v>58</v>
      </c>
      <c r="C147" s="13" t="str">
        <f>VLOOKUP([1]Competence!$B69,[1]Competence!$B$12:$B$100,1,FALSE)</f>
        <v>Infrastructure</v>
      </c>
      <c r="D147" s="13" t="str" cm="1">
        <f t="array" ref="D147">_xlfn.XLOOKUP(B147,[1]Baseline!$D$3:$AZ$3,_xlfn.XLOOKUP(C147,[1]Baseline!$B$4:$B$91,[1]Baseline!$D$4:$AZ$91))</f>
        <v>Awareness</v>
      </c>
      <c r="E147" s="13" t="s">
        <v>375</v>
      </c>
      <c r="F147" s="13">
        <f>VLOOKUP($D147,'[1]SFIA Level'!$A$2:$B$6,2,FALSE)</f>
        <v>1</v>
      </c>
      <c r="G147" s="153">
        <v>1</v>
      </c>
      <c r="H147" s="16">
        <f t="shared" si="2"/>
        <v>0</v>
      </c>
      <c r="I147" s="13">
        <v>1</v>
      </c>
      <c r="J147" s="160"/>
    </row>
    <row r="148" spans="1:10">
      <c r="A148" s="13" t="s">
        <v>19</v>
      </c>
      <c r="B148" s="13" t="s">
        <v>58</v>
      </c>
      <c r="C148" s="13" t="str">
        <f>VLOOKUP([1]Competence!$B70,[1]Competence!$B$12:$B$100,1,FALSE)</f>
        <v>Network design</v>
      </c>
      <c r="D148" s="13" t="str" cm="1">
        <f t="array" ref="D148">_xlfn.XLOOKUP(B148,[1]Baseline!$D$3:$AZ$3,_xlfn.XLOOKUP(C148,[1]Baseline!$B$4:$B$91,[1]Baseline!$D$4:$AZ$91))</f>
        <v>No Knowledge</v>
      </c>
      <c r="E148" s="13" t="s">
        <v>375</v>
      </c>
      <c r="F148" s="13">
        <f>VLOOKUP($D148,'[1]SFIA Level'!$A$2:$B$6,2,FALSE)</f>
        <v>0</v>
      </c>
      <c r="G148" s="153">
        <v>1</v>
      </c>
      <c r="H148" s="16">
        <f t="shared" si="2"/>
        <v>1</v>
      </c>
      <c r="I148" s="13">
        <v>1</v>
      </c>
      <c r="J148" s="160"/>
    </row>
    <row r="149" spans="1:10">
      <c r="A149" s="13" t="s">
        <v>19</v>
      </c>
      <c r="B149" s="13" t="s">
        <v>58</v>
      </c>
      <c r="C149" s="13" t="str">
        <f>VLOOKUP([1]Competence!$B71,[1]Competence!$B$12:$B$100,1,FALSE)</f>
        <v>Network Analytics</v>
      </c>
      <c r="D149" s="13" t="str" cm="1">
        <f t="array" ref="D149">_xlfn.XLOOKUP(B149,[1]Baseline!$D$3:$AZ$3,_xlfn.XLOOKUP(C149,[1]Baseline!$B$4:$B$91,[1]Baseline!$D$4:$AZ$91))</f>
        <v>No Knowledge</v>
      </c>
      <c r="E149" s="13" t="s">
        <v>375</v>
      </c>
      <c r="F149" s="13">
        <f>VLOOKUP($D149,'[1]SFIA Level'!$A$2:$B$6,2,FALSE)</f>
        <v>0</v>
      </c>
      <c r="G149" s="153">
        <v>1</v>
      </c>
      <c r="H149" s="16">
        <f t="shared" si="2"/>
        <v>1</v>
      </c>
      <c r="I149" s="13">
        <v>1</v>
      </c>
      <c r="J149" s="160"/>
    </row>
    <row r="150" spans="1:10">
      <c r="A150" s="13" t="s">
        <v>19</v>
      </c>
      <c r="B150" s="13" t="s">
        <v>58</v>
      </c>
      <c r="C150" s="13" t="str">
        <f>VLOOKUP([1]Competence!$B72,[1]Competence!$B$12:$B$100,1,FALSE)</f>
        <v>Network support</v>
      </c>
      <c r="D150" s="13" t="str" cm="1">
        <f t="array" ref="D150">_xlfn.XLOOKUP(B150,[1]Baseline!$D$3:$AZ$3,_xlfn.XLOOKUP(C150,[1]Baseline!$B$4:$B$91,[1]Baseline!$D$4:$AZ$91))</f>
        <v>Working</v>
      </c>
      <c r="E150" s="13" t="s">
        <v>375</v>
      </c>
      <c r="F150" s="13">
        <f>VLOOKUP($D150,'[1]SFIA Level'!$A$2:$B$6,2,FALSE)</f>
        <v>2</v>
      </c>
      <c r="G150" s="153">
        <v>1</v>
      </c>
      <c r="H150" s="16">
        <f t="shared" si="2"/>
        <v>-1</v>
      </c>
      <c r="I150" s="13">
        <v>1</v>
      </c>
      <c r="J150" s="160"/>
    </row>
    <row r="151" spans="1:10">
      <c r="A151" s="13" t="s">
        <v>19</v>
      </c>
      <c r="B151" s="13" t="s">
        <v>58</v>
      </c>
      <c r="C151" s="13" t="str">
        <f>VLOOKUP([1]Competence!$B73,[1]Competence!$B$12:$B$100,1,FALSE)</f>
        <v>Programming/software development</v>
      </c>
      <c r="D151" s="13" t="str" cm="1">
        <f t="array" ref="D151">_xlfn.XLOOKUP(B151,[1]Baseline!$D$3:$AZ$3,_xlfn.XLOOKUP(C151,[1]Baseline!$B$4:$B$91,[1]Baseline!$D$4:$AZ$91))</f>
        <v>No Knowledge</v>
      </c>
      <c r="E151" s="13" t="s">
        <v>375</v>
      </c>
      <c r="F151" s="13">
        <f>VLOOKUP($D151,'[1]SFIA Level'!$A$2:$B$6,2,FALSE)</f>
        <v>0</v>
      </c>
      <c r="G151" s="153">
        <v>2</v>
      </c>
      <c r="H151" s="16">
        <f t="shared" si="2"/>
        <v>2</v>
      </c>
      <c r="I151" s="13">
        <v>2</v>
      </c>
      <c r="J151" s="160"/>
    </row>
    <row r="152" spans="1:10">
      <c r="A152" s="13" t="s">
        <v>19</v>
      </c>
      <c r="B152" s="13" t="s">
        <v>58</v>
      </c>
      <c r="C152" s="13" t="str">
        <f>VLOOKUP([1]Competence!$B74,[1]Competence!$B$12:$B$100,1,FALSE)</f>
        <v>Real-time/embedded systems development</v>
      </c>
      <c r="D152" s="13" t="str" cm="1">
        <f t="array" ref="D152">_xlfn.XLOOKUP(B152,[1]Baseline!$D$3:$AZ$3,_xlfn.XLOOKUP(C152,[1]Baseline!$B$4:$B$91,[1]Baseline!$D$4:$AZ$91))</f>
        <v>No Knowledge</v>
      </c>
      <c r="E152" s="13" t="s">
        <v>375</v>
      </c>
      <c r="F152" s="13">
        <f>VLOOKUP($D152,'[1]SFIA Level'!$A$2:$B$6,2,FALSE)</f>
        <v>0</v>
      </c>
      <c r="G152" s="153">
        <v>1</v>
      </c>
      <c r="H152" s="16">
        <f t="shared" si="2"/>
        <v>1</v>
      </c>
      <c r="I152" s="13">
        <v>1</v>
      </c>
      <c r="J152" s="160"/>
    </row>
    <row r="153" spans="1:10">
      <c r="A153" s="13" t="s">
        <v>19</v>
      </c>
      <c r="B153" s="13" t="s">
        <v>58</v>
      </c>
      <c r="C153" s="13" t="str">
        <f>VLOOKUP([1]Competence!$B75,[1]Competence!$B$12:$B$100,1,FALSE)</f>
        <v>Requirements definition and management</v>
      </c>
      <c r="D153" s="13" t="str" cm="1">
        <f t="array" ref="D153">_xlfn.XLOOKUP(B153,[1]Baseline!$D$3:$AZ$3,_xlfn.XLOOKUP(C153,[1]Baseline!$B$4:$B$91,[1]Baseline!$D$4:$AZ$91))</f>
        <v>No Knowledge</v>
      </c>
      <c r="E153" s="13" t="s">
        <v>375</v>
      </c>
      <c r="F153" s="13">
        <f>VLOOKUP($D153,'[1]SFIA Level'!$A$2:$B$6,2,FALSE)</f>
        <v>0</v>
      </c>
      <c r="G153" s="153">
        <v>1</v>
      </c>
      <c r="H153" s="16">
        <f t="shared" si="2"/>
        <v>1</v>
      </c>
      <c r="I153" s="13">
        <v>1</v>
      </c>
      <c r="J153" s="160"/>
    </row>
    <row r="154" spans="1:10">
      <c r="A154" s="13" t="s">
        <v>19</v>
      </c>
      <c r="B154" s="13" t="s">
        <v>58</v>
      </c>
      <c r="C154" s="13" t="str">
        <f>VLOOKUP([1]Competence!$B76,[1]Competence!$B$12:$B$100,1,FALSE)</f>
        <v>Software configuration</v>
      </c>
      <c r="D154" s="13" t="str" cm="1">
        <f t="array" ref="D154">_xlfn.XLOOKUP(B154,[1]Baseline!$D$3:$AZ$3,_xlfn.XLOOKUP(C154,[1]Baseline!$B$4:$B$91,[1]Baseline!$D$4:$AZ$91))</f>
        <v>No Knowledge</v>
      </c>
      <c r="E154" s="13" t="s">
        <v>375</v>
      </c>
      <c r="F154" s="13">
        <f>VLOOKUP($D154,'[1]SFIA Level'!$A$2:$B$6,2,FALSE)</f>
        <v>0</v>
      </c>
      <c r="G154" s="153">
        <v>1</v>
      </c>
      <c r="H154" s="16">
        <f t="shared" si="2"/>
        <v>1</v>
      </c>
      <c r="I154" s="13">
        <v>1</v>
      </c>
      <c r="J154" s="160"/>
    </row>
    <row r="155" spans="1:10">
      <c r="A155" s="13" t="s">
        <v>19</v>
      </c>
      <c r="B155" s="13" t="s">
        <v>58</v>
      </c>
      <c r="C155" s="13" t="str">
        <f>VLOOKUP([1]Competence!$B77,[1]Competence!$B$12:$B$100,1,FALSE)</f>
        <v>Software design</v>
      </c>
      <c r="D155" s="13" t="str" cm="1">
        <f t="array" ref="D155">_xlfn.XLOOKUP(B155,[1]Baseline!$D$3:$AZ$3,_xlfn.XLOOKUP(C155,[1]Baseline!$B$4:$B$91,[1]Baseline!$D$4:$AZ$91))</f>
        <v>No Knowledge</v>
      </c>
      <c r="E155" s="13" t="s">
        <v>375</v>
      </c>
      <c r="F155" s="13">
        <f>VLOOKUP($D155,'[1]SFIA Level'!$A$2:$B$6,2,FALSE)</f>
        <v>0</v>
      </c>
      <c r="G155" s="153">
        <v>1</v>
      </c>
      <c r="H155" s="16">
        <f t="shared" si="2"/>
        <v>1</v>
      </c>
      <c r="I155" s="13">
        <v>1</v>
      </c>
      <c r="J155" s="160"/>
    </row>
    <row r="156" spans="1:10">
      <c r="A156" s="13" t="s">
        <v>19</v>
      </c>
      <c r="B156" s="13" t="s">
        <v>58</v>
      </c>
      <c r="C156" s="13" t="str">
        <f>VLOOKUP([1]Competence!$B78,[1]Competence!$B$12:$B$100,1,FALSE)</f>
        <v>Solution architecture</v>
      </c>
      <c r="D156" s="13" t="str" cm="1">
        <f t="array" ref="D156">_xlfn.XLOOKUP(B156,[1]Baseline!$D$3:$AZ$3,_xlfn.XLOOKUP(C156,[1]Baseline!$B$4:$B$91,[1]Baseline!$D$4:$AZ$91))</f>
        <v>No Knowledge</v>
      </c>
      <c r="E156" s="13" t="s">
        <v>375</v>
      </c>
      <c r="F156" s="13">
        <f>VLOOKUP($D156,'[1]SFIA Level'!$A$2:$B$6,2,FALSE)</f>
        <v>0</v>
      </c>
      <c r="G156" s="153">
        <v>1</v>
      </c>
      <c r="H156" s="16">
        <f t="shared" si="2"/>
        <v>1</v>
      </c>
      <c r="I156" s="13">
        <v>1</v>
      </c>
      <c r="J156" s="160"/>
    </row>
    <row r="157" spans="1:10">
      <c r="A157" s="13" t="s">
        <v>19</v>
      </c>
      <c r="B157" s="13" t="s">
        <v>58</v>
      </c>
      <c r="C157" s="13" t="str">
        <f>VLOOKUP([1]Competence!$B79,[1]Competence!$B$12:$B$100,1,FALSE)</f>
        <v>System software</v>
      </c>
      <c r="D157" s="13" t="str" cm="1">
        <f t="array" ref="D157">_xlfn.XLOOKUP(B157,[1]Baseline!$D$3:$AZ$3,_xlfn.XLOOKUP(C157,[1]Baseline!$B$4:$B$91,[1]Baseline!$D$4:$AZ$91))</f>
        <v>No Knowledge</v>
      </c>
      <c r="E157" s="13" t="s">
        <v>375</v>
      </c>
      <c r="F157" s="13">
        <f>VLOOKUP($D157,'[1]SFIA Level'!$A$2:$B$6,2,FALSE)</f>
        <v>0</v>
      </c>
      <c r="G157" s="153">
        <v>4</v>
      </c>
      <c r="H157" s="16">
        <f t="shared" si="2"/>
        <v>4</v>
      </c>
      <c r="I157" s="13">
        <v>4</v>
      </c>
      <c r="J157" s="160"/>
    </row>
    <row r="158" spans="1:10">
      <c r="A158" s="13" t="s">
        <v>19</v>
      </c>
      <c r="B158" s="13" t="s">
        <v>58</v>
      </c>
      <c r="C158" s="13" t="str">
        <f>VLOOKUP([1]Competence!$B80,[1]Competence!$B$12:$B$100,1,FALSE)</f>
        <v>Systems and software life cycle engineering</v>
      </c>
      <c r="D158" s="13" t="str" cm="1">
        <f t="array" ref="D158">_xlfn.XLOOKUP(B158,[1]Baseline!$D$3:$AZ$3,_xlfn.XLOOKUP(C158,[1]Baseline!$B$4:$B$91,[1]Baseline!$D$4:$AZ$91))</f>
        <v>No Knowledge</v>
      </c>
      <c r="E158" s="13" t="s">
        <v>375</v>
      </c>
      <c r="F158" s="13">
        <f>VLOOKUP($D158,'[1]SFIA Level'!$A$2:$B$6,2,FALSE)</f>
        <v>0</v>
      </c>
      <c r="G158" s="153">
        <v>2</v>
      </c>
      <c r="H158" s="16">
        <f t="shared" si="2"/>
        <v>2</v>
      </c>
      <c r="I158" s="13">
        <v>2</v>
      </c>
      <c r="J158" s="160"/>
    </row>
    <row r="159" spans="1:10">
      <c r="A159" s="13" t="s">
        <v>19</v>
      </c>
      <c r="B159" s="13" t="s">
        <v>58</v>
      </c>
      <c r="C159" s="13" t="str">
        <f>VLOOKUP([1]Competence!$B81,[1]Competence!$B$12:$B$100,1,FALSE)</f>
        <v>Systems design</v>
      </c>
      <c r="D159" s="13" t="str" cm="1">
        <f t="array" ref="D159">_xlfn.XLOOKUP(B159,[1]Baseline!$D$3:$AZ$3,_xlfn.XLOOKUP(C159,[1]Baseline!$B$4:$B$91,[1]Baseline!$D$4:$AZ$91))</f>
        <v>No Knowledge</v>
      </c>
      <c r="E159" s="13" t="s">
        <v>375</v>
      </c>
      <c r="F159" s="13">
        <f>VLOOKUP($D159,'[1]SFIA Level'!$A$2:$B$6,2,FALSE)</f>
        <v>0</v>
      </c>
      <c r="G159" s="153">
        <v>1</v>
      </c>
      <c r="H159" s="16">
        <f t="shared" si="2"/>
        <v>1</v>
      </c>
      <c r="I159" s="13">
        <v>1</v>
      </c>
      <c r="J159" s="160"/>
    </row>
    <row r="160" spans="1:10">
      <c r="A160" s="13" t="s">
        <v>19</v>
      </c>
      <c r="B160" s="13" t="s">
        <v>58</v>
      </c>
      <c r="C160" s="13" t="str">
        <f>VLOOKUP([1]Competence!$B82,[1]Competence!$B$12:$B$100,1,FALSE)</f>
        <v>Systems development management</v>
      </c>
      <c r="D160" s="13" t="str" cm="1">
        <f t="array" ref="D160">_xlfn.XLOOKUP(B160,[1]Baseline!$D$3:$AZ$3,_xlfn.XLOOKUP(C160,[1]Baseline!$B$4:$B$91,[1]Baseline!$D$4:$AZ$91))</f>
        <v>No Knowledge</v>
      </c>
      <c r="E160" s="13" t="s">
        <v>375</v>
      </c>
      <c r="F160" s="13">
        <f>VLOOKUP($D160,'[1]SFIA Level'!$A$2:$B$6,2,FALSE)</f>
        <v>0</v>
      </c>
      <c r="G160" s="153">
        <v>1</v>
      </c>
      <c r="H160" s="16">
        <f t="shared" si="2"/>
        <v>1</v>
      </c>
      <c r="I160" s="13">
        <v>1</v>
      </c>
      <c r="J160" s="160"/>
    </row>
    <row r="161" spans="1:10">
      <c r="A161" s="13" t="s">
        <v>19</v>
      </c>
      <c r="B161" s="13" t="s">
        <v>58</v>
      </c>
      <c r="C161" s="13" t="str">
        <f>VLOOKUP([1]Competence!$B83,[1]Competence!$B$12:$B$100,1,FALSE)</f>
        <v>Systems installation and removal</v>
      </c>
      <c r="D161" s="13" t="str" cm="1">
        <f t="array" ref="D161">_xlfn.XLOOKUP(B161,[1]Baseline!$D$3:$AZ$3,_xlfn.XLOOKUP(C161,[1]Baseline!$B$4:$B$91,[1]Baseline!$D$4:$AZ$91))</f>
        <v>Working</v>
      </c>
      <c r="E161" s="13" t="s">
        <v>375</v>
      </c>
      <c r="F161" s="13">
        <f>VLOOKUP($D161,'[1]SFIA Level'!$A$2:$B$6,2,FALSE)</f>
        <v>2</v>
      </c>
      <c r="G161" s="153">
        <v>4</v>
      </c>
      <c r="H161" s="16">
        <f t="shared" si="2"/>
        <v>2</v>
      </c>
      <c r="I161" s="13">
        <v>4</v>
      </c>
      <c r="J161" s="160"/>
    </row>
    <row r="162" spans="1:10">
      <c r="A162" s="13" t="s">
        <v>19</v>
      </c>
      <c r="B162" s="13" t="s">
        <v>58</v>
      </c>
      <c r="C162" s="13" t="str">
        <f>VLOOKUP([1]Competence!$B84,[1]Competence!$B$12:$B$100,1,FALSE)</f>
        <v>Testing</v>
      </c>
      <c r="D162" s="13" t="str" cm="1">
        <f t="array" ref="D162">_xlfn.XLOOKUP(B162,[1]Baseline!$D$3:$AZ$3,_xlfn.XLOOKUP(C162,[1]Baseline!$B$4:$B$91,[1]Baseline!$D$4:$AZ$91))</f>
        <v>Working</v>
      </c>
      <c r="E162" s="13" t="s">
        <v>373</v>
      </c>
      <c r="F162" s="13">
        <f>VLOOKUP($D162,'[1]SFIA Level'!$A$2:$B$6,2,FALSE)</f>
        <v>2</v>
      </c>
      <c r="G162" s="153">
        <v>3</v>
      </c>
      <c r="H162" s="16">
        <f t="shared" si="2"/>
        <v>1</v>
      </c>
      <c r="I162" s="13">
        <v>3</v>
      </c>
      <c r="J162" s="160"/>
    </row>
    <row r="163" spans="1:10">
      <c r="A163" s="13" t="s">
        <v>19</v>
      </c>
      <c r="B163" s="13" t="s">
        <v>58</v>
      </c>
      <c r="C163" s="13" t="str">
        <f>VLOOKUP([1]Competence!$B85,[1]Competence!$B$12:$B$100,1,FALSE)</f>
        <v>Innovation</v>
      </c>
      <c r="D163" s="13" t="str" cm="1">
        <f t="array" ref="D163">_xlfn.XLOOKUP(B163,[1]Baseline!$D$3:$AZ$3,_xlfn.XLOOKUP(C163,[1]Baseline!$B$4:$B$91,[1]Baseline!$D$4:$AZ$91))</f>
        <v>No Knowledge</v>
      </c>
      <c r="E163" s="13" t="s">
        <v>373</v>
      </c>
      <c r="F163" s="13">
        <f>VLOOKUP($D163,'[1]SFIA Level'!$A$2:$B$6,2,FALSE)</f>
        <v>0</v>
      </c>
      <c r="G163" s="153">
        <v>2</v>
      </c>
      <c r="H163" s="16">
        <f t="shared" si="2"/>
        <v>2</v>
      </c>
      <c r="I163" s="13">
        <v>2</v>
      </c>
      <c r="J163" s="160"/>
    </row>
    <row r="164" spans="1:10">
      <c r="A164" s="13" t="s">
        <v>19</v>
      </c>
      <c r="B164" s="13" t="s">
        <v>58</v>
      </c>
      <c r="C164" s="13" t="str">
        <f>VLOOKUP([1]Competence!$B86,[1]Competence!$B$12:$B$100,1,FALSE)</f>
        <v>Specialist Advice</v>
      </c>
      <c r="D164" s="13" t="str" cm="1">
        <f t="array" ref="D164">_xlfn.XLOOKUP(B164,[1]Baseline!$D$3:$AZ$3,_xlfn.XLOOKUP(C164,[1]Baseline!$B$4:$B$91,[1]Baseline!$D$4:$AZ$91))</f>
        <v>No Knowledge</v>
      </c>
      <c r="E164" s="13" t="s">
        <v>373</v>
      </c>
      <c r="F164" s="13">
        <f>VLOOKUP($D164,'[1]SFIA Level'!$A$2:$B$6,2,FALSE)</f>
        <v>0</v>
      </c>
      <c r="G164" s="153">
        <v>4</v>
      </c>
      <c r="H164" s="16">
        <f t="shared" si="2"/>
        <v>4</v>
      </c>
      <c r="I164" s="13">
        <v>4</v>
      </c>
      <c r="J164" s="160"/>
    </row>
    <row r="165" spans="1:10">
      <c r="A165" s="13" t="s">
        <v>19</v>
      </c>
      <c r="B165" s="13" t="s">
        <v>58</v>
      </c>
      <c r="C165" s="13" t="str">
        <f>VLOOKUP([1]Competence!$B87,[1]Competence!$B$12:$B$100,1,FALSE)</f>
        <v>Emerging technology monitoring</v>
      </c>
      <c r="D165" s="13" t="str" cm="1">
        <f t="array" ref="D165">_xlfn.XLOOKUP(B165,[1]Baseline!$D$3:$AZ$3,_xlfn.XLOOKUP(C165,[1]Baseline!$B$4:$B$91,[1]Baseline!$D$4:$AZ$91))</f>
        <v>No Knowledge</v>
      </c>
      <c r="E165" s="13" t="s">
        <v>374</v>
      </c>
      <c r="F165" s="13">
        <f>VLOOKUP($D165,'[1]SFIA Level'!$A$2:$B$6,2,FALSE)</f>
        <v>0</v>
      </c>
      <c r="G165" s="153">
        <v>1</v>
      </c>
      <c r="H165" s="16">
        <f t="shared" si="2"/>
        <v>1</v>
      </c>
      <c r="I165" s="13">
        <v>1</v>
      </c>
      <c r="J165" s="160"/>
    </row>
    <row r="166" spans="1:10">
      <c r="A166" s="13" t="s">
        <v>19</v>
      </c>
      <c r="B166" s="13" t="s">
        <v>58</v>
      </c>
      <c r="C166" s="13" t="str">
        <f>VLOOKUP([1]Competence!$B88,[1]Competence!$B$12:$B$100,1,FALSE)</f>
        <v>Systems integration and build</v>
      </c>
      <c r="D166" s="13" t="str" cm="1">
        <f t="array" ref="D166">_xlfn.XLOOKUP(B166,[1]Baseline!$D$3:$AZ$3,_xlfn.XLOOKUP(C166,[1]Baseline!$B$4:$B$91,[1]Baseline!$D$4:$AZ$91))</f>
        <v>Working</v>
      </c>
      <c r="E166" s="13" t="s">
        <v>374</v>
      </c>
      <c r="F166" s="13">
        <f>VLOOKUP($D166,'[1]SFIA Level'!$A$2:$B$6,2,FALSE)</f>
        <v>2</v>
      </c>
      <c r="G166" s="153">
        <v>1</v>
      </c>
      <c r="H166" s="16">
        <f t="shared" si="2"/>
        <v>-1</v>
      </c>
      <c r="I166" s="13">
        <v>1</v>
      </c>
      <c r="J166" s="160"/>
    </row>
    <row r="167" spans="1:10">
      <c r="A167" s="13" t="s">
        <v>19</v>
      </c>
      <c r="B167" s="13" t="s">
        <v>58</v>
      </c>
      <c r="C167" s="13" t="str">
        <f>VLOOKUP([1]Competence!$B89,[1]Competence!$B$12:$B$100,1,FALSE)</f>
        <v>Audio Visual</v>
      </c>
      <c r="D167" s="13" t="str" cm="1">
        <f t="array" ref="D167">_xlfn.XLOOKUP(B167,[1]Baseline!$D$3:$AZ$3,_xlfn.XLOOKUP(C167,[1]Baseline!$B$4:$B$91,[1]Baseline!$D$4:$AZ$91))</f>
        <v>Awareness</v>
      </c>
      <c r="E167" s="13" t="s">
        <v>374</v>
      </c>
      <c r="F167" s="13">
        <f>VLOOKUP($D167,'[1]SFIA Level'!$A$2:$B$6,2,FALSE)</f>
        <v>1</v>
      </c>
      <c r="G167" s="153">
        <v>4</v>
      </c>
      <c r="H167" s="16">
        <f t="shared" si="2"/>
        <v>3</v>
      </c>
      <c r="I167" s="13">
        <v>4</v>
      </c>
      <c r="J167" s="160"/>
    </row>
    <row r="168" spans="1:10">
      <c r="A168" s="13" t="s">
        <v>19</v>
      </c>
      <c r="B168" s="13" t="s">
        <v>58</v>
      </c>
      <c r="C168" s="13" t="str">
        <f>VLOOKUP([1]Competence!$B90,[1]Competence!$B$12:$B$100,1,FALSE)</f>
        <v>Augmented Reality</v>
      </c>
      <c r="D168" s="13" t="str" cm="1">
        <f t="array" ref="D168">_xlfn.XLOOKUP(B168,[1]Baseline!$D$3:$AZ$3,_xlfn.XLOOKUP(C168,[1]Baseline!$B$4:$B$91,[1]Baseline!$D$4:$AZ$91))</f>
        <v>No Knowledge</v>
      </c>
      <c r="E168" s="13" t="s">
        <v>374</v>
      </c>
      <c r="F168" s="13">
        <f>VLOOKUP($D168,'[1]SFIA Level'!$A$2:$B$6,2,FALSE)</f>
        <v>0</v>
      </c>
      <c r="G168" s="153">
        <v>1</v>
      </c>
      <c r="H168" s="16">
        <f t="shared" si="2"/>
        <v>1</v>
      </c>
      <c r="I168" s="13">
        <v>1</v>
      </c>
      <c r="J168" s="160"/>
    </row>
    <row r="169" spans="1:10">
      <c r="A169" s="13" t="s">
        <v>19</v>
      </c>
      <c r="B169" s="13" t="s">
        <v>58</v>
      </c>
      <c r="C169" s="13" t="str">
        <f>VLOOKUP([1]Competence!$B91,[1]Competence!$B$12:$B$100,1,FALSE)</f>
        <v>Benefits management</v>
      </c>
      <c r="D169" s="13" t="str" cm="1">
        <f t="array" ref="D169">_xlfn.XLOOKUP(B169,[1]Baseline!$D$3:$AZ$3,_xlfn.XLOOKUP(C169,[1]Baseline!$B$4:$B$91,[1]Baseline!$D$4:$AZ$91))</f>
        <v>No Knowledge</v>
      </c>
      <c r="E169" s="13" t="s">
        <v>375</v>
      </c>
      <c r="F169" s="13">
        <f>VLOOKUP($D169,'[1]SFIA Level'!$A$2:$B$6,2,FALSE)</f>
        <v>0</v>
      </c>
      <c r="G169" s="153">
        <v>0</v>
      </c>
      <c r="H169" s="16">
        <f t="shared" si="2"/>
        <v>0</v>
      </c>
      <c r="I169" s="13">
        <v>0</v>
      </c>
      <c r="J169" s="160"/>
    </row>
    <row r="170" spans="1:10">
      <c r="A170" s="13" t="s">
        <v>19</v>
      </c>
      <c r="B170" s="13" t="s">
        <v>58</v>
      </c>
      <c r="C170" s="13" t="str">
        <f>VLOOKUP([1]Competence!$B92,[1]Competence!$B$12:$B$100,1,FALSE)</f>
        <v>Business administration</v>
      </c>
      <c r="D170" s="13" t="str" cm="1">
        <f t="array" ref="D170">_xlfn.XLOOKUP(B170,[1]Baseline!$D$3:$AZ$3,_xlfn.XLOOKUP(C170,[1]Baseline!$B$4:$B$91,[1]Baseline!$D$4:$AZ$91))</f>
        <v>No Knowledge</v>
      </c>
      <c r="E170" s="13" t="s">
        <v>375</v>
      </c>
      <c r="F170" s="13">
        <f>VLOOKUP($D170,'[1]SFIA Level'!$A$2:$B$6,2,FALSE)</f>
        <v>0</v>
      </c>
      <c r="G170" s="153">
        <v>0</v>
      </c>
      <c r="H170" s="16">
        <f t="shared" si="2"/>
        <v>0</v>
      </c>
      <c r="I170" s="13">
        <v>0</v>
      </c>
      <c r="J170" s="160"/>
    </row>
    <row r="171" spans="1:10">
      <c r="A171" s="13" t="s">
        <v>19</v>
      </c>
      <c r="B171" s="13" t="s">
        <v>58</v>
      </c>
      <c r="C171" s="13" t="str">
        <f>VLOOKUP([1]Competence!$B93,[1]Competence!$B$12:$B$100,1,FALSE)</f>
        <v>Business intelligence</v>
      </c>
      <c r="D171" s="13" t="str" cm="1">
        <f t="array" ref="D171">_xlfn.XLOOKUP(B171,[1]Baseline!$D$3:$AZ$3,_xlfn.XLOOKUP(C171,[1]Baseline!$B$4:$B$91,[1]Baseline!$D$4:$AZ$91))</f>
        <v>No Knowledge</v>
      </c>
      <c r="E171" s="13" t="s">
        <v>375</v>
      </c>
      <c r="F171" s="13">
        <f>VLOOKUP($D171,'[1]SFIA Level'!$A$2:$B$6,2,FALSE)</f>
        <v>0</v>
      </c>
      <c r="G171" s="153">
        <v>1</v>
      </c>
      <c r="H171" s="16">
        <f t="shared" si="2"/>
        <v>1</v>
      </c>
      <c r="I171" s="13">
        <v>1</v>
      </c>
      <c r="J171" s="160"/>
    </row>
    <row r="172" spans="1:10">
      <c r="A172" s="13" t="s">
        <v>19</v>
      </c>
      <c r="B172" s="13" t="s">
        <v>58</v>
      </c>
      <c r="C172" s="13" t="str">
        <f>VLOOKUP([1]Competence!$B94,[1]Competence!$B$12:$B$100,1,FALSE)</f>
        <v>Business modelling</v>
      </c>
      <c r="D172" s="13" t="str" cm="1">
        <f t="array" ref="D172">_xlfn.XLOOKUP(B172,[1]Baseline!$D$3:$AZ$3,_xlfn.XLOOKUP(C172,[1]Baseline!$B$4:$B$91,[1]Baseline!$D$4:$AZ$91))</f>
        <v>No Knowledge</v>
      </c>
      <c r="E172" s="13" t="s">
        <v>375</v>
      </c>
      <c r="F172" s="13">
        <f>VLOOKUP($D172,'[1]SFIA Level'!$A$2:$B$6,2,FALSE)</f>
        <v>0</v>
      </c>
      <c r="G172" s="153">
        <v>0</v>
      </c>
      <c r="H172" s="16">
        <f t="shared" si="2"/>
        <v>0</v>
      </c>
      <c r="I172" s="13">
        <v>0</v>
      </c>
      <c r="J172" s="160"/>
    </row>
    <row r="173" spans="1:10">
      <c r="A173" s="13" t="s">
        <v>19</v>
      </c>
      <c r="B173" s="13" t="s">
        <v>58</v>
      </c>
      <c r="C173" s="13" t="str">
        <f>VLOOKUP([1]Competence!$B95,[1]Competence!$B$12:$B$100,1,FALSE)</f>
        <v>Business process improvement</v>
      </c>
      <c r="D173" s="13" t="str" cm="1">
        <f t="array" ref="D173">_xlfn.XLOOKUP(B173,[1]Baseline!$D$3:$AZ$3,_xlfn.XLOOKUP(C173,[1]Baseline!$B$4:$B$91,[1]Baseline!$D$4:$AZ$91))</f>
        <v>No Knowledge</v>
      </c>
      <c r="E173" s="13" t="s">
        <v>375</v>
      </c>
      <c r="F173" s="13">
        <f>VLOOKUP($D173,'[1]SFIA Level'!$A$2:$B$6,2,FALSE)</f>
        <v>0</v>
      </c>
      <c r="G173" s="153">
        <v>0</v>
      </c>
      <c r="H173" s="16">
        <f t="shared" si="2"/>
        <v>0</v>
      </c>
      <c r="I173" s="13">
        <v>0</v>
      </c>
      <c r="J173" s="160"/>
    </row>
    <row r="174" spans="1:10">
      <c r="A174" s="13" t="s">
        <v>19</v>
      </c>
      <c r="B174" s="13" t="s">
        <v>58</v>
      </c>
      <c r="C174" s="13" t="str">
        <f>VLOOKUP([1]Competence!$B96,[1]Competence!$B$12:$B$100,1,FALSE)</f>
        <v>Business situation analysis</v>
      </c>
      <c r="D174" s="13" t="str" cm="1">
        <f t="array" ref="D174">_xlfn.XLOOKUP(B174,[1]Baseline!$D$3:$AZ$3,_xlfn.XLOOKUP(C174,[1]Baseline!$B$4:$B$91,[1]Baseline!$D$4:$AZ$91))</f>
        <v>No Knowledge</v>
      </c>
      <c r="E174" s="13" t="s">
        <v>373</v>
      </c>
      <c r="F174" s="13">
        <f>VLOOKUP($D174,'[1]SFIA Level'!$A$2:$B$6,2,FALSE)</f>
        <v>0</v>
      </c>
      <c r="G174" s="153">
        <v>1</v>
      </c>
      <c r="H174" s="16">
        <f t="shared" si="2"/>
        <v>1</v>
      </c>
      <c r="I174" s="13">
        <v>1</v>
      </c>
      <c r="J174" s="160"/>
    </row>
    <row r="175" spans="1:10">
      <c r="A175" s="13" t="s">
        <v>19</v>
      </c>
      <c r="B175" s="13" t="s">
        <v>58</v>
      </c>
      <c r="C175" s="13" t="str">
        <f>VLOOKUP([1]Competence!$B97,[1]Competence!$B$12:$B$100,1,FALSE)</f>
        <v>Programme management</v>
      </c>
      <c r="D175" s="13" t="str" cm="1">
        <f t="array" ref="D175">_xlfn.XLOOKUP(B175,[1]Baseline!$D$3:$AZ$3,_xlfn.XLOOKUP(C175,[1]Baseline!$B$4:$B$91,[1]Baseline!$D$4:$AZ$91))</f>
        <v>No Knowledge</v>
      </c>
      <c r="E175" s="13" t="s">
        <v>375</v>
      </c>
      <c r="F175" s="13">
        <f>VLOOKUP($D175,'[1]SFIA Level'!$A$2:$B$6,2,FALSE)</f>
        <v>0</v>
      </c>
      <c r="G175" s="153">
        <v>2</v>
      </c>
      <c r="H175" s="16">
        <f t="shared" si="2"/>
        <v>2</v>
      </c>
      <c r="I175" s="13">
        <v>2</v>
      </c>
      <c r="J175" s="160"/>
    </row>
    <row r="176" spans="1:10">
      <c r="A176" s="13" t="s">
        <v>19</v>
      </c>
      <c r="B176" s="13" t="s">
        <v>58</v>
      </c>
      <c r="C176" s="13" t="str">
        <f>VLOOKUP([1]Competence!$B98,[1]Competence!$B$12:$B$100,1,FALSE)</f>
        <v>Project management</v>
      </c>
      <c r="D176" s="13" t="str" cm="1">
        <f t="array" ref="D176">_xlfn.XLOOKUP(B176,[1]Baseline!$D$3:$AZ$3,_xlfn.XLOOKUP(C176,[1]Baseline!$B$4:$B$91,[1]Baseline!$D$4:$AZ$91))</f>
        <v>No Knowledge</v>
      </c>
      <c r="E176" s="13" t="s">
        <v>375</v>
      </c>
      <c r="F176" s="13">
        <f>VLOOKUP($D176,'[1]SFIA Level'!$A$2:$B$6,2,FALSE)</f>
        <v>0</v>
      </c>
      <c r="G176" s="153">
        <v>1</v>
      </c>
      <c r="H176" s="16">
        <f t="shared" si="2"/>
        <v>1</v>
      </c>
      <c r="I176" s="13">
        <v>1</v>
      </c>
      <c r="J176" s="160"/>
    </row>
    <row r="177" spans="1:10">
      <c r="A177" s="13" t="s">
        <v>19</v>
      </c>
      <c r="B177" s="13" t="s">
        <v>58</v>
      </c>
      <c r="C177" s="13" t="str">
        <f>VLOOKUP([1]Competence!$B99,[1]Competence!$B$12:$B$100,1,FALSE)</f>
        <v>Quality assurance</v>
      </c>
      <c r="D177" s="13" t="str" cm="1">
        <f t="array" ref="D177">_xlfn.XLOOKUP(B177,[1]Baseline!$D$3:$AZ$3,_xlfn.XLOOKUP(C177,[1]Baseline!$B$4:$B$91,[1]Baseline!$D$4:$AZ$91))</f>
        <v>Awareness</v>
      </c>
      <c r="E177" s="13" t="s">
        <v>375</v>
      </c>
      <c r="F177" s="13">
        <f>VLOOKUP($D177,'[1]SFIA Level'!$A$2:$B$6,2,FALSE)</f>
        <v>1</v>
      </c>
      <c r="G177" s="153">
        <v>1</v>
      </c>
      <c r="H177" s="16">
        <f t="shared" si="2"/>
        <v>0</v>
      </c>
      <c r="I177" s="13">
        <v>1</v>
      </c>
      <c r="J177" s="160"/>
    </row>
    <row r="178" spans="1:10">
      <c r="A178" s="12" t="s">
        <v>16</v>
      </c>
      <c r="B178" s="13" t="s">
        <v>65</v>
      </c>
      <c r="C178" s="13" t="str">
        <f>VLOOKUP([1]Competence!$B12,[1]Competence!$B$12:$B$100,1,FALSE)</f>
        <v>Asset Management</v>
      </c>
      <c r="D178" s="13" t="str" cm="1">
        <f t="array" ref="D178">_xlfn.XLOOKUP(B178,[1]Baseline!$D$3:$AZ$3,_xlfn.XLOOKUP(C178,[1]Baseline!$B$4:$B$91,[1]Baseline!$D$4:$AZ$91))</f>
        <v>Working</v>
      </c>
      <c r="E178" s="13" t="s">
        <v>374</v>
      </c>
      <c r="F178" s="13">
        <v>3</v>
      </c>
      <c r="G178" s="153">
        <v>3</v>
      </c>
      <c r="H178" s="16">
        <f t="shared" si="2"/>
        <v>0</v>
      </c>
      <c r="I178" s="13">
        <v>3</v>
      </c>
      <c r="J178" s="160"/>
    </row>
    <row r="179" spans="1:10">
      <c r="A179" s="12" t="s">
        <v>16</v>
      </c>
      <c r="B179" s="13" t="s">
        <v>65</v>
      </c>
      <c r="C179" s="13" t="str">
        <f>VLOOKUP([1]Competence!$B13,[1]Competence!$B$12:$B$100,1,FALSE)</f>
        <v>Change Control</v>
      </c>
      <c r="D179" s="13" t="str" cm="1">
        <f t="array" ref="D179">_xlfn.XLOOKUP(B179,[1]Baseline!$D$3:$AZ$3,_xlfn.XLOOKUP(C179,[1]Baseline!$B$4:$B$91,[1]Baseline!$D$4:$AZ$91))</f>
        <v>Working</v>
      </c>
      <c r="E179" s="13" t="s">
        <v>376</v>
      </c>
      <c r="F179" s="13">
        <v>3</v>
      </c>
      <c r="G179" s="153">
        <v>1</v>
      </c>
      <c r="H179" s="16">
        <f t="shared" si="2"/>
        <v>-2</v>
      </c>
      <c r="I179" s="13">
        <v>1</v>
      </c>
      <c r="J179" s="160"/>
    </row>
    <row r="180" spans="1:10">
      <c r="A180" s="12" t="s">
        <v>16</v>
      </c>
      <c r="B180" s="13" t="s">
        <v>65</v>
      </c>
      <c r="C180" s="13" t="str">
        <f>VLOOKUP([1]Competence!$B14,[1]Competence!$B$12:$B$100,1,FALSE)</f>
        <v>Customer Service Support</v>
      </c>
      <c r="D180" s="13" t="str" cm="1">
        <f t="array" ref="D180">_xlfn.XLOOKUP(B180,[1]Baseline!$D$3:$AZ$3,_xlfn.XLOOKUP(C180,[1]Baseline!$B$4:$B$91,[1]Baseline!$D$4:$AZ$91))</f>
        <v>Practitioner</v>
      </c>
      <c r="E180" s="13" t="s">
        <v>374</v>
      </c>
      <c r="F180" s="13">
        <v>2</v>
      </c>
      <c r="G180" s="153">
        <v>3</v>
      </c>
      <c r="H180" s="16">
        <f t="shared" si="2"/>
        <v>1</v>
      </c>
      <c r="I180" s="13">
        <v>3</v>
      </c>
      <c r="J180" s="160"/>
    </row>
    <row r="181" spans="1:10">
      <c r="A181" s="12" t="s">
        <v>16</v>
      </c>
      <c r="B181" s="13" t="s">
        <v>65</v>
      </c>
      <c r="C181" s="13" t="str">
        <f>VLOOKUP([1]Competence!$B15,[1]Competence!$B$12:$B$100,1,FALSE)</f>
        <v>Incident management</v>
      </c>
      <c r="D181" s="13" t="str" cm="1">
        <f t="array" ref="D181">_xlfn.XLOOKUP(B181,[1]Baseline!$D$3:$AZ$3,_xlfn.XLOOKUP(C181,[1]Baseline!$B$4:$B$91,[1]Baseline!$D$4:$AZ$91))</f>
        <v>Practitioner</v>
      </c>
      <c r="E181" s="13" t="s">
        <v>374</v>
      </c>
      <c r="F181" s="13">
        <v>2</v>
      </c>
      <c r="G181" s="153">
        <v>4</v>
      </c>
      <c r="H181" s="16">
        <f t="shared" si="2"/>
        <v>2</v>
      </c>
      <c r="I181" s="13">
        <v>4</v>
      </c>
      <c r="J181" s="160"/>
    </row>
    <row r="182" spans="1:10">
      <c r="A182" s="12" t="s">
        <v>16</v>
      </c>
      <c r="B182" s="13" t="s">
        <v>65</v>
      </c>
      <c r="C182" s="13" t="str">
        <f>VLOOKUP([1]Competence!$B16,[1]Competence!$B$12:$B$100,1,FALSE)</f>
        <v>Information security</v>
      </c>
      <c r="D182" s="13" t="str" cm="1">
        <f t="array" ref="D182">_xlfn.XLOOKUP(B182,[1]Baseline!$D$3:$AZ$3,_xlfn.XLOOKUP(C182,[1]Baseline!$B$4:$B$91,[1]Baseline!$D$4:$AZ$91))</f>
        <v>Working</v>
      </c>
      <c r="E182" s="13" t="s">
        <v>374</v>
      </c>
      <c r="F182" s="13">
        <v>2</v>
      </c>
      <c r="G182" s="153">
        <v>3</v>
      </c>
      <c r="H182" s="16">
        <f t="shared" si="2"/>
        <v>1</v>
      </c>
      <c r="I182" s="13">
        <v>3</v>
      </c>
      <c r="J182" s="160"/>
    </row>
    <row r="183" spans="1:10">
      <c r="A183" s="12" t="s">
        <v>16</v>
      </c>
      <c r="B183" s="13" t="s">
        <v>65</v>
      </c>
      <c r="C183" s="13" t="str">
        <f>VLOOKUP([1]Competence!$B17,[1]Competence!$B$12:$B$100,1,FALSE)</f>
        <v>Personal data protection</v>
      </c>
      <c r="D183" s="13" t="str" cm="1">
        <f t="array" ref="D183">_xlfn.XLOOKUP(B183,[1]Baseline!$D$3:$AZ$3,_xlfn.XLOOKUP(C183,[1]Baseline!$B$4:$B$91,[1]Baseline!$D$4:$AZ$91))</f>
        <v>Practitioner</v>
      </c>
      <c r="E183" s="13" t="s">
        <v>377</v>
      </c>
      <c r="F183" s="13">
        <v>2</v>
      </c>
      <c r="G183" s="153">
        <v>3</v>
      </c>
      <c r="H183" s="16">
        <f t="shared" si="2"/>
        <v>1</v>
      </c>
      <c r="I183" s="13">
        <v>3</v>
      </c>
      <c r="J183" s="160"/>
    </row>
    <row r="184" spans="1:10">
      <c r="A184" s="12" t="s">
        <v>16</v>
      </c>
      <c r="B184" s="13" t="s">
        <v>65</v>
      </c>
      <c r="C184" s="13" t="str">
        <f>VLOOKUP([1]Competence!$B18,[1]Competence!$B$12:$B$100,1,FALSE)</f>
        <v>Problem management</v>
      </c>
      <c r="D184" s="13" t="str" cm="1">
        <f t="array" ref="D184">_xlfn.XLOOKUP(B184,[1]Baseline!$D$3:$AZ$3,_xlfn.XLOOKUP(C184,[1]Baseline!$B$4:$B$91,[1]Baseline!$D$4:$AZ$91))</f>
        <v>Working</v>
      </c>
      <c r="E184" s="13" t="s">
        <v>49</v>
      </c>
      <c r="F184" s="13">
        <v>2</v>
      </c>
      <c r="G184" s="153">
        <v>3</v>
      </c>
      <c r="H184" s="16">
        <f t="shared" si="2"/>
        <v>1</v>
      </c>
      <c r="I184" s="13">
        <v>3</v>
      </c>
      <c r="J184" s="160"/>
    </row>
    <row r="185" spans="1:10">
      <c r="A185" s="12" t="s">
        <v>16</v>
      </c>
      <c r="B185" s="13" t="s">
        <v>65</v>
      </c>
      <c r="C185" s="13" t="str">
        <f>VLOOKUP([1]Competence!$B19,[1]Competence!$B$12:$B$100,1,FALSE)</f>
        <v>Service catalogue management</v>
      </c>
      <c r="D185" s="13" t="str" cm="1">
        <f t="array" ref="D185">_xlfn.XLOOKUP(B185,[1]Baseline!$D$3:$AZ$3,_xlfn.XLOOKUP(C185,[1]Baseline!$B$4:$B$91,[1]Baseline!$D$4:$AZ$91))</f>
        <v>Working</v>
      </c>
      <c r="E185" s="13" t="s">
        <v>49</v>
      </c>
      <c r="F185" s="13">
        <v>2</v>
      </c>
      <c r="G185" s="153">
        <v>3</v>
      </c>
      <c r="H185" s="16">
        <f t="shared" si="2"/>
        <v>1</v>
      </c>
      <c r="I185" s="13">
        <v>3</v>
      </c>
      <c r="J185" s="160"/>
    </row>
    <row r="186" spans="1:10">
      <c r="A186" s="12" t="s">
        <v>16</v>
      </c>
      <c r="B186" s="13" t="s">
        <v>65</v>
      </c>
      <c r="C186" s="13" t="str">
        <f>VLOOKUP([1]Competence!$B20,[1]Competence!$B$12:$B$100,1,FALSE)</f>
        <v>Service level management</v>
      </c>
      <c r="D186" s="13" t="str" cm="1">
        <f t="array" ref="D186">_xlfn.XLOOKUP(B186,[1]Baseline!$D$3:$AZ$3,_xlfn.XLOOKUP(C186,[1]Baseline!$B$4:$B$91,[1]Baseline!$D$4:$AZ$91))</f>
        <v>Working</v>
      </c>
      <c r="E186" s="13" t="s">
        <v>375</v>
      </c>
      <c r="F186" s="13">
        <v>3</v>
      </c>
      <c r="G186" s="153">
        <v>3</v>
      </c>
      <c r="H186" s="16">
        <f t="shared" si="2"/>
        <v>0</v>
      </c>
      <c r="I186" s="13">
        <v>3</v>
      </c>
      <c r="J186" s="160"/>
    </row>
    <row r="187" spans="1:10">
      <c r="A187" s="12" t="s">
        <v>16</v>
      </c>
      <c r="B187" s="13" t="s">
        <v>65</v>
      </c>
      <c r="C187" s="13" t="str">
        <f>VLOOKUP([1]Competence!$B21,[1]Competence!$B$12:$B$100,1,FALSE)</f>
        <v>Availability Management</v>
      </c>
      <c r="D187" s="13" t="str" cm="1">
        <f t="array" ref="D187">_xlfn.XLOOKUP(B187,[1]Baseline!$D$3:$AZ$3,_xlfn.XLOOKUP(C187,[1]Baseline!$B$4:$B$91,[1]Baseline!$D$4:$AZ$91))</f>
        <v>Awareness</v>
      </c>
      <c r="E187" s="13" t="s">
        <v>375</v>
      </c>
      <c r="F187" s="13">
        <v>2</v>
      </c>
      <c r="G187" s="153">
        <v>3</v>
      </c>
      <c r="H187" s="16">
        <f t="shared" si="2"/>
        <v>1</v>
      </c>
      <c r="I187" s="13">
        <v>3</v>
      </c>
      <c r="J187" s="160"/>
    </row>
    <row r="188" spans="1:10">
      <c r="A188" s="12" t="s">
        <v>16</v>
      </c>
      <c r="B188" s="13" t="s">
        <v>65</v>
      </c>
      <c r="C188" s="13" t="str">
        <f>VLOOKUP([1]Competence!$B22,[1]Competence!$B$12:$B$100,1,FALSE)</f>
        <v>Capacity management</v>
      </c>
      <c r="D188" s="13" t="str" cm="1">
        <f t="array" ref="D188">_xlfn.XLOOKUP(B188,[1]Baseline!$D$3:$AZ$3,_xlfn.XLOOKUP(C188,[1]Baseline!$B$4:$B$91,[1]Baseline!$D$4:$AZ$91))</f>
        <v>No Knowledge</v>
      </c>
      <c r="E188" s="13" t="s">
        <v>375</v>
      </c>
      <c r="F188" s="13">
        <v>3</v>
      </c>
      <c r="G188" s="153">
        <v>0</v>
      </c>
      <c r="H188" s="16">
        <f t="shared" si="2"/>
        <v>-3</v>
      </c>
      <c r="I188" s="13">
        <v>0</v>
      </c>
      <c r="J188" s="160"/>
    </row>
    <row r="189" spans="1:10">
      <c r="A189" s="12" t="s">
        <v>16</v>
      </c>
      <c r="B189" s="13" t="s">
        <v>65</v>
      </c>
      <c r="C189" s="13" t="str">
        <f>VLOOKUP([1]Competence!$B23,[1]Competence!$B$12:$B$100,1,FALSE)</f>
        <v>Configuration Management</v>
      </c>
      <c r="D189" s="13" t="str" cm="1">
        <f t="array" ref="D189">_xlfn.XLOOKUP(B189,[1]Baseline!$D$3:$AZ$3,_xlfn.XLOOKUP(C189,[1]Baseline!$B$4:$B$91,[1]Baseline!$D$4:$AZ$91))</f>
        <v>Awareness</v>
      </c>
      <c r="E189" s="13" t="s">
        <v>375</v>
      </c>
      <c r="F189" s="13">
        <v>2</v>
      </c>
      <c r="G189" s="153">
        <v>1</v>
      </c>
      <c r="H189" s="16">
        <f t="shared" si="2"/>
        <v>-1</v>
      </c>
      <c r="I189" s="13">
        <v>1</v>
      </c>
      <c r="J189" s="160"/>
    </row>
    <row r="190" spans="1:10">
      <c r="A190" s="12" t="s">
        <v>16</v>
      </c>
      <c r="B190" s="13" t="s">
        <v>65</v>
      </c>
      <c r="C190" s="13" t="str">
        <f>VLOOKUP([1]Competence!$B24,[1]Competence!$B$12:$B$100,1,FALSE)</f>
        <v>Continuity Management</v>
      </c>
      <c r="D190" s="13" t="str" cm="1">
        <f t="array" ref="D190">_xlfn.XLOOKUP(B190,[1]Baseline!$D$3:$AZ$3,_xlfn.XLOOKUP(C190,[1]Baseline!$B$4:$B$91,[1]Baseline!$D$4:$AZ$91))</f>
        <v>Awareness</v>
      </c>
      <c r="E190" s="13" t="s">
        <v>375</v>
      </c>
      <c r="F190" s="13">
        <v>3</v>
      </c>
      <c r="G190" s="153">
        <v>2</v>
      </c>
      <c r="H190" s="16">
        <f t="shared" si="2"/>
        <v>-1</v>
      </c>
      <c r="I190" s="13">
        <v>2</v>
      </c>
      <c r="J190" s="160"/>
    </row>
    <row r="191" spans="1:10">
      <c r="A191" s="12" t="s">
        <v>16</v>
      </c>
      <c r="B191" s="13" t="s">
        <v>65</v>
      </c>
      <c r="C191" s="13" t="str">
        <f>VLOOKUP([1]Competence!$B25,[1]Competence!$B$12:$B$100,1,FALSE)</f>
        <v>Demand Management</v>
      </c>
      <c r="D191" s="13" t="str" cm="1">
        <f t="array" ref="D191">_xlfn.XLOOKUP(B191,[1]Baseline!$D$3:$AZ$3,_xlfn.XLOOKUP(C191,[1]Baseline!$B$4:$B$91,[1]Baseline!$D$4:$AZ$91))</f>
        <v>Working</v>
      </c>
      <c r="E191" s="13" t="s">
        <v>373</v>
      </c>
      <c r="F191" s="13">
        <v>2</v>
      </c>
      <c r="G191" s="153">
        <v>0</v>
      </c>
      <c r="H191" s="16">
        <f t="shared" si="2"/>
        <v>-2</v>
      </c>
      <c r="I191" s="13">
        <v>0</v>
      </c>
      <c r="J191" s="160"/>
    </row>
    <row r="192" spans="1:10">
      <c r="A192" s="12" t="s">
        <v>16</v>
      </c>
      <c r="B192" s="13" t="s">
        <v>65</v>
      </c>
      <c r="C192" s="13" t="str">
        <f>VLOOKUP([1]Competence!$B26,[1]Competence!$B$12:$B$100,1,FALSE)</f>
        <v>Knowledge management</v>
      </c>
      <c r="D192" s="13" t="str" cm="1">
        <f t="array" ref="D192">_xlfn.XLOOKUP(B192,[1]Baseline!$D$3:$AZ$3,_xlfn.XLOOKUP(C192,[1]Baseline!$B$4:$B$91,[1]Baseline!$D$4:$AZ$91))</f>
        <v>Working</v>
      </c>
      <c r="E192" s="13" t="s">
        <v>373</v>
      </c>
      <c r="F192" s="13">
        <v>2</v>
      </c>
      <c r="G192" s="153">
        <v>3</v>
      </c>
      <c r="H192" s="16">
        <f t="shared" si="2"/>
        <v>1</v>
      </c>
      <c r="I192" s="13">
        <v>3</v>
      </c>
      <c r="J192" s="160"/>
    </row>
    <row r="193" spans="1:10">
      <c r="A193" s="12" t="s">
        <v>16</v>
      </c>
      <c r="B193" s="13" t="s">
        <v>65</v>
      </c>
      <c r="C193" s="13" t="str">
        <f>VLOOKUP([1]Competence!$B27,[1]Competence!$B$12:$B$100,1,FALSE)</f>
        <v>Methods and tools</v>
      </c>
      <c r="D193" s="13" t="str" cm="1">
        <f t="array" ref="D193">_xlfn.XLOOKUP(B193,[1]Baseline!$D$3:$AZ$3,_xlfn.XLOOKUP(C193,[1]Baseline!$B$4:$B$91,[1]Baseline!$D$4:$AZ$91))</f>
        <v>Working</v>
      </c>
      <c r="E193" s="13" t="s">
        <v>373</v>
      </c>
      <c r="F193" s="13">
        <v>2</v>
      </c>
      <c r="G193" s="153">
        <v>3</v>
      </c>
      <c r="H193" s="16">
        <f t="shared" si="2"/>
        <v>1</v>
      </c>
      <c r="I193" s="13">
        <v>3</v>
      </c>
      <c r="J193" s="160"/>
    </row>
    <row r="194" spans="1:10">
      <c r="A194" s="12" t="s">
        <v>16</v>
      </c>
      <c r="B194" s="13" t="s">
        <v>65</v>
      </c>
      <c r="C194" s="13" t="str">
        <f>VLOOKUP([1]Competence!$B28,[1]Competence!$B$12:$B$100,1,FALSE)</f>
        <v>Release and deployment</v>
      </c>
      <c r="D194" s="13" t="str" cm="1">
        <f t="array" ref="D194">_xlfn.XLOOKUP(B194,[1]Baseline!$D$3:$AZ$3,_xlfn.XLOOKUP(C194,[1]Baseline!$B$4:$B$91,[1]Baseline!$D$4:$AZ$91))</f>
        <v>No Knowledge</v>
      </c>
      <c r="E194" s="13" t="s">
        <v>373</v>
      </c>
      <c r="F194" s="13">
        <v>2</v>
      </c>
      <c r="G194" s="153">
        <v>0</v>
      </c>
      <c r="H194" s="16">
        <f t="shared" ref="H194:H257" si="3">I194-F194</f>
        <v>-2</v>
      </c>
      <c r="I194" s="13">
        <v>0</v>
      </c>
      <c r="J194" s="160"/>
    </row>
    <row r="195" spans="1:10">
      <c r="A195" s="12" t="s">
        <v>16</v>
      </c>
      <c r="B195" s="13" t="s">
        <v>65</v>
      </c>
      <c r="C195" s="13" t="str">
        <f>VLOOKUP([1]Competence!$B29,[1]Competence!$B$12:$B$100,1,FALSE)</f>
        <v>Service acceptance</v>
      </c>
      <c r="D195" s="13" t="str" cm="1">
        <f t="array" ref="D195">_xlfn.XLOOKUP(B195,[1]Baseline!$D$3:$AZ$3,_xlfn.XLOOKUP(C195,[1]Baseline!$B$4:$B$91,[1]Baseline!$D$4:$AZ$91))</f>
        <v>No Knowledge</v>
      </c>
      <c r="E195" s="13" t="s">
        <v>373</v>
      </c>
      <c r="F195" s="13">
        <v>2</v>
      </c>
      <c r="G195" s="153">
        <v>1</v>
      </c>
      <c r="H195" s="16">
        <f t="shared" si="3"/>
        <v>-1</v>
      </c>
      <c r="I195" s="13">
        <v>1</v>
      </c>
      <c r="J195" s="160"/>
    </row>
    <row r="196" spans="1:10">
      <c r="A196" s="12" t="s">
        <v>16</v>
      </c>
      <c r="B196" s="13" t="s">
        <v>65</v>
      </c>
      <c r="C196" s="13" t="str">
        <f>VLOOKUP([1]Competence!$B30,[1]Competence!$B$12:$B$100,1,FALSE)</f>
        <v>Stakeholder relationship management</v>
      </c>
      <c r="D196" s="13" t="str" cm="1">
        <f t="array" ref="D196">_xlfn.XLOOKUP(B196,[1]Baseline!$D$3:$AZ$3,_xlfn.XLOOKUP(C196,[1]Baseline!$B$4:$B$91,[1]Baseline!$D$4:$AZ$91))</f>
        <v>Working</v>
      </c>
      <c r="E196" s="13" t="s">
        <v>373</v>
      </c>
      <c r="F196" s="13">
        <v>2</v>
      </c>
      <c r="G196" s="153">
        <v>0</v>
      </c>
      <c r="H196" s="16">
        <f t="shared" si="3"/>
        <v>-2</v>
      </c>
      <c r="I196" s="13">
        <v>0</v>
      </c>
      <c r="J196" s="160"/>
    </row>
    <row r="197" spans="1:10">
      <c r="A197" s="12" t="s">
        <v>16</v>
      </c>
      <c r="B197" s="13" t="s">
        <v>65</v>
      </c>
      <c r="C197" s="13" t="str">
        <f>VLOOKUP([1]Competence!$B31,[1]Competence!$B$12:$B$100,1,FALSE)</f>
        <v>Storage management</v>
      </c>
      <c r="D197" s="13" t="str" cm="1">
        <f t="array" ref="D197">_xlfn.XLOOKUP(B197,[1]Baseline!$D$3:$AZ$3,_xlfn.XLOOKUP(C197,[1]Baseline!$B$4:$B$91,[1]Baseline!$D$4:$AZ$91))</f>
        <v>Working</v>
      </c>
      <c r="E197" s="13" t="s">
        <v>374</v>
      </c>
      <c r="F197" s="13">
        <v>2</v>
      </c>
      <c r="G197" s="153">
        <v>1</v>
      </c>
      <c r="H197" s="16">
        <f t="shared" si="3"/>
        <v>-1</v>
      </c>
      <c r="I197" s="13">
        <v>1</v>
      </c>
      <c r="J197" s="160"/>
    </row>
    <row r="198" spans="1:10">
      <c r="A198" s="12" t="s">
        <v>16</v>
      </c>
      <c r="B198" s="13" t="s">
        <v>65</v>
      </c>
      <c r="C198" s="13" t="str">
        <f>VLOOKUP([1]Competence!$B32,[1]Competence!$B$12:$B$100,1,FALSE)</f>
        <v>Digital Forensics</v>
      </c>
      <c r="D198" s="13" t="str" cm="1">
        <f t="array" ref="D198">_xlfn.XLOOKUP(B198,[1]Baseline!$D$3:$AZ$3,_xlfn.XLOOKUP(C198,[1]Baseline!$B$4:$B$91,[1]Baseline!$D$4:$AZ$91))</f>
        <v>No Knowledge</v>
      </c>
      <c r="E198" s="13" t="s">
        <v>374</v>
      </c>
      <c r="F198" s="13">
        <v>2</v>
      </c>
      <c r="G198" s="153">
        <v>2</v>
      </c>
      <c r="H198" s="16">
        <f t="shared" si="3"/>
        <v>0</v>
      </c>
      <c r="I198" s="13">
        <v>2</v>
      </c>
      <c r="J198" s="160"/>
    </row>
    <row r="199" spans="1:10">
      <c r="A199" s="12" t="s">
        <v>16</v>
      </c>
      <c r="B199" s="13" t="s">
        <v>65</v>
      </c>
      <c r="C199" s="13" t="str">
        <f>VLOOKUP([1]Competence!$B33,[1]Competence!$B$12:$B$100,1,FALSE)</f>
        <v>Penetration testing</v>
      </c>
      <c r="D199" s="13" t="str" cm="1">
        <f t="array" ref="D199">_xlfn.XLOOKUP(B199,[1]Baseline!$D$3:$AZ$3,_xlfn.XLOOKUP(C199,[1]Baseline!$B$4:$B$91,[1]Baseline!$D$4:$AZ$91))</f>
        <v>No Knowledge</v>
      </c>
      <c r="E199" s="13" t="s">
        <v>374</v>
      </c>
      <c r="F199" s="13">
        <v>2</v>
      </c>
      <c r="G199" s="153">
        <v>2</v>
      </c>
      <c r="H199" s="16">
        <f t="shared" si="3"/>
        <v>0</v>
      </c>
      <c r="I199" s="13">
        <v>2</v>
      </c>
      <c r="J199" s="160"/>
    </row>
    <row r="200" spans="1:10">
      <c r="A200" s="12" t="s">
        <v>16</v>
      </c>
      <c r="B200" s="13" t="s">
        <v>65</v>
      </c>
      <c r="C200" s="13" t="str">
        <f>VLOOKUP([1]Competence!$B34,[1]Competence!$B$12:$B$100,1,FALSE)</f>
        <v>Security Operations</v>
      </c>
      <c r="D200" s="13" t="str" cm="1">
        <f t="array" ref="D200">_xlfn.XLOOKUP(B200,[1]Baseline!$D$3:$AZ$3,_xlfn.XLOOKUP(C200,[1]Baseline!$B$4:$B$91,[1]Baseline!$D$4:$AZ$91))</f>
        <v>Working</v>
      </c>
      <c r="E200" s="13" t="s">
        <v>378</v>
      </c>
      <c r="F200" s="13">
        <v>1</v>
      </c>
      <c r="G200" s="153">
        <v>0</v>
      </c>
      <c r="H200" s="16">
        <f t="shared" si="3"/>
        <v>-1</v>
      </c>
      <c r="I200" s="13">
        <v>0</v>
      </c>
      <c r="J200" s="160"/>
    </row>
    <row r="201" spans="1:10">
      <c r="A201" s="12" t="s">
        <v>16</v>
      </c>
      <c r="B201" s="13" t="s">
        <v>65</v>
      </c>
      <c r="C201" s="13" t="str">
        <f>VLOOKUP([1]Competence!$B35,[1]Competence!$B$12:$B$100,1,FALSE)</f>
        <v>Threat Intelligence</v>
      </c>
      <c r="D201" s="13" t="str" cm="1">
        <f t="array" ref="D201">_xlfn.XLOOKUP(B201,[1]Baseline!$D$3:$AZ$3,_xlfn.XLOOKUP(C201,[1]Baseline!$B$4:$B$91,[1]Baseline!$D$4:$AZ$91))</f>
        <v>No Knowledge</v>
      </c>
      <c r="E201" s="13" t="s">
        <v>378</v>
      </c>
      <c r="F201" s="13">
        <v>1</v>
      </c>
      <c r="G201" s="153">
        <v>0</v>
      </c>
      <c r="H201" s="16">
        <f t="shared" si="3"/>
        <v>-1</v>
      </c>
      <c r="I201" s="13">
        <v>0</v>
      </c>
      <c r="J201" s="160"/>
    </row>
    <row r="202" spans="1:10">
      <c r="A202" s="12" t="s">
        <v>16</v>
      </c>
      <c r="B202" s="13" t="s">
        <v>65</v>
      </c>
      <c r="C202" s="13" t="str">
        <f>VLOOKUP([1]Competence!$B36,[1]Competence!$B$12:$B$100,1,FALSE)</f>
        <v>Vulnerability assessment</v>
      </c>
      <c r="D202" s="13" t="str" cm="1">
        <f t="array" ref="D202">_xlfn.XLOOKUP(B202,[1]Baseline!$D$3:$AZ$3,_xlfn.XLOOKUP(C202,[1]Baseline!$B$4:$B$91,[1]Baseline!$D$4:$AZ$91))</f>
        <v>Working</v>
      </c>
      <c r="E202" s="13" t="s">
        <v>49</v>
      </c>
      <c r="F202" s="13">
        <v>1</v>
      </c>
      <c r="G202" s="153">
        <v>2</v>
      </c>
      <c r="H202" s="16">
        <f t="shared" si="3"/>
        <v>1</v>
      </c>
      <c r="I202" s="13">
        <v>2</v>
      </c>
      <c r="J202" s="160"/>
    </row>
    <row r="203" spans="1:10">
      <c r="A203" s="12" t="s">
        <v>16</v>
      </c>
      <c r="B203" s="13" t="s">
        <v>65</v>
      </c>
      <c r="C203" s="13" t="str">
        <f>VLOOKUP([1]Competence!$B37,[1]Competence!$B$12:$B$100,1,FALSE)</f>
        <v>Vulnerability Research</v>
      </c>
      <c r="D203" s="13" t="str" cm="1">
        <f t="array" ref="D203">_xlfn.XLOOKUP(B203,[1]Baseline!$D$3:$AZ$3,_xlfn.XLOOKUP(C203,[1]Baseline!$B$4:$B$91,[1]Baseline!$D$4:$AZ$91))</f>
        <v>No Knowledge</v>
      </c>
      <c r="E203" s="13" t="s">
        <v>49</v>
      </c>
      <c r="F203" s="13">
        <v>1</v>
      </c>
      <c r="G203" s="153">
        <v>2</v>
      </c>
      <c r="H203" s="16">
        <f t="shared" si="3"/>
        <v>1</v>
      </c>
      <c r="I203" s="13">
        <v>2</v>
      </c>
      <c r="J203" s="160"/>
    </row>
    <row r="204" spans="1:10">
      <c r="A204" s="12" t="s">
        <v>16</v>
      </c>
      <c r="B204" s="13" t="s">
        <v>65</v>
      </c>
      <c r="C204" s="13" t="str">
        <f>VLOOKUP([1]Competence!$B38,[1]Competence!$B$12:$B$100,1,FALSE)</f>
        <v>Competency assessment</v>
      </c>
      <c r="D204" s="13" t="str" cm="1">
        <f t="array" ref="D204">_xlfn.XLOOKUP(B204,[1]Baseline!$D$3:$AZ$3,_xlfn.XLOOKUP(C204,[1]Baseline!$B$4:$B$91,[1]Baseline!$D$4:$AZ$91))</f>
        <v>Awareness</v>
      </c>
      <c r="E204" s="13" t="s">
        <v>49</v>
      </c>
      <c r="F204" s="13">
        <v>1</v>
      </c>
      <c r="G204" s="153">
        <v>0</v>
      </c>
      <c r="H204" s="16">
        <f t="shared" si="3"/>
        <v>-1</v>
      </c>
      <c r="I204" s="13">
        <v>0</v>
      </c>
      <c r="J204" s="160"/>
    </row>
    <row r="205" spans="1:10">
      <c r="A205" s="12" t="s">
        <v>16</v>
      </c>
      <c r="B205" s="13" t="s">
        <v>65</v>
      </c>
      <c r="C205" s="13" t="str">
        <f>VLOOKUP([1]Competence!$B39,[1]Competence!$B$12:$B$100,1,FALSE)</f>
        <v>Financial management</v>
      </c>
      <c r="D205" s="13" t="str" cm="1">
        <f t="array" ref="D205">_xlfn.XLOOKUP(B205,[1]Baseline!$D$3:$AZ$3,_xlfn.XLOOKUP(C205,[1]Baseline!$B$4:$B$91,[1]Baseline!$D$4:$AZ$91))</f>
        <v>Working</v>
      </c>
      <c r="E205" s="13" t="s">
        <v>375</v>
      </c>
      <c r="F205" s="13">
        <v>2</v>
      </c>
      <c r="G205" s="153">
        <v>1</v>
      </c>
      <c r="H205" s="16">
        <f t="shared" si="3"/>
        <v>-1</v>
      </c>
      <c r="I205" s="13">
        <v>1</v>
      </c>
      <c r="J205" s="160"/>
    </row>
    <row r="206" spans="1:10">
      <c r="A206" s="12" t="s">
        <v>16</v>
      </c>
      <c r="B206" s="13" t="s">
        <v>65</v>
      </c>
      <c r="C206" s="13" t="str">
        <f>VLOOKUP([1]Competence!$B40,[1]Competence!$B$12:$B$100,1,FALSE)</f>
        <v>Organisation design and implementation</v>
      </c>
      <c r="D206" s="13" t="str" cm="1">
        <f t="array" ref="D206">_xlfn.XLOOKUP(B206,[1]Baseline!$D$3:$AZ$3,_xlfn.XLOOKUP(C206,[1]Baseline!$B$4:$B$91,[1]Baseline!$D$4:$AZ$91))</f>
        <v>No Knowledge</v>
      </c>
      <c r="E206" s="13" t="s">
        <v>375</v>
      </c>
      <c r="F206" s="13">
        <v>1</v>
      </c>
      <c r="G206" s="153">
        <v>1</v>
      </c>
      <c r="H206" s="16">
        <f t="shared" si="3"/>
        <v>0</v>
      </c>
      <c r="I206" s="13">
        <v>1</v>
      </c>
      <c r="J206" s="160"/>
    </row>
    <row r="207" spans="1:10">
      <c r="A207" s="12" t="s">
        <v>16</v>
      </c>
      <c r="B207" s="13" t="s">
        <v>65</v>
      </c>
      <c r="C207" s="13" t="str">
        <f>VLOOKUP([1]Competence!$B41,[1]Competence!$B$12:$B$100,1,FALSE)</f>
        <v>Organisational capability development</v>
      </c>
      <c r="D207" s="13" t="str" cm="1">
        <f t="array" ref="D207">_xlfn.XLOOKUP(B207,[1]Baseline!$D$3:$AZ$3,_xlfn.XLOOKUP(C207,[1]Baseline!$B$4:$B$91,[1]Baseline!$D$4:$AZ$91))</f>
        <v>No Knowledge</v>
      </c>
      <c r="E207" s="13" t="s">
        <v>375</v>
      </c>
      <c r="F207" s="13">
        <v>1</v>
      </c>
      <c r="G207" s="153">
        <v>1</v>
      </c>
      <c r="H207" s="16">
        <f t="shared" si="3"/>
        <v>0</v>
      </c>
      <c r="I207" s="13">
        <v>1</v>
      </c>
      <c r="J207" s="160"/>
    </row>
    <row r="208" spans="1:10">
      <c r="A208" s="12" t="s">
        <v>16</v>
      </c>
      <c r="B208" s="13" t="s">
        <v>65</v>
      </c>
      <c r="C208" s="13" t="str">
        <f>VLOOKUP([1]Competence!$B42,[1]Competence!$B$12:$B$100,1,FALSE)</f>
        <v>Organisational change management</v>
      </c>
      <c r="D208" s="13" t="str" cm="1">
        <f t="array" ref="D208">_xlfn.XLOOKUP(B208,[1]Baseline!$D$3:$AZ$3,_xlfn.XLOOKUP(C208,[1]Baseline!$B$4:$B$91,[1]Baseline!$D$4:$AZ$91))</f>
        <v>No Knowledge</v>
      </c>
      <c r="E208" s="13" t="s">
        <v>375</v>
      </c>
      <c r="F208" s="13">
        <v>3</v>
      </c>
      <c r="G208" s="153">
        <v>0</v>
      </c>
      <c r="H208" s="16">
        <f t="shared" si="3"/>
        <v>-3</v>
      </c>
      <c r="I208" s="13">
        <v>0</v>
      </c>
      <c r="J208" s="160"/>
    </row>
    <row r="209" spans="1:10">
      <c r="A209" s="12" t="s">
        <v>16</v>
      </c>
      <c r="B209" s="13" t="s">
        <v>65</v>
      </c>
      <c r="C209" s="13" t="str">
        <f>VLOOKUP([1]Competence!$B43,[1]Competence!$B$12:$B$100,1,FALSE)</f>
        <v>Performance Management</v>
      </c>
      <c r="D209" s="13" t="str" cm="1">
        <f t="array" ref="D209">_xlfn.XLOOKUP(B209,[1]Baseline!$D$3:$AZ$3,_xlfn.XLOOKUP(C209,[1]Baseline!$B$4:$B$91,[1]Baseline!$D$4:$AZ$91))</f>
        <v>No Knowledge</v>
      </c>
      <c r="E209" s="13" t="s">
        <v>375</v>
      </c>
      <c r="F209" s="13">
        <v>2</v>
      </c>
      <c r="G209" s="153">
        <v>1</v>
      </c>
      <c r="H209" s="16">
        <f t="shared" si="3"/>
        <v>-1</v>
      </c>
      <c r="I209" s="13">
        <v>1</v>
      </c>
      <c r="J209" s="160"/>
    </row>
    <row r="210" spans="1:10">
      <c r="A210" s="12" t="s">
        <v>16</v>
      </c>
      <c r="B210" s="13" t="s">
        <v>65</v>
      </c>
      <c r="C210" s="13" t="str">
        <f>VLOOKUP([1]Competence!$B44,[1]Competence!$B$12:$B$100,1,FALSE)</f>
        <v>Professional Development</v>
      </c>
      <c r="D210" s="13" t="str" cm="1">
        <f t="array" ref="D210">_xlfn.XLOOKUP(B210,[1]Baseline!$D$3:$AZ$3,_xlfn.XLOOKUP(C210,[1]Baseline!$B$4:$B$91,[1]Baseline!$D$4:$AZ$91))</f>
        <v>No Knowledge</v>
      </c>
      <c r="E210" s="13" t="s">
        <v>376</v>
      </c>
      <c r="F210" s="13">
        <v>3</v>
      </c>
      <c r="G210" s="153">
        <v>0</v>
      </c>
      <c r="H210" s="16">
        <f t="shared" si="3"/>
        <v>-3</v>
      </c>
      <c r="I210" s="13">
        <v>0</v>
      </c>
      <c r="J210" s="160"/>
    </row>
    <row r="211" spans="1:10">
      <c r="A211" s="12" t="s">
        <v>16</v>
      </c>
      <c r="B211" s="13" t="s">
        <v>65</v>
      </c>
      <c r="C211" s="13" t="str">
        <f>VLOOKUP([1]Competence!$B45,[1]Competence!$B$12:$B$100,1,FALSE)</f>
        <v>Strategic Planning</v>
      </c>
      <c r="D211" s="13" t="str" cm="1">
        <f t="array" ref="D211">_xlfn.XLOOKUP(B211,[1]Baseline!$D$3:$AZ$3,_xlfn.XLOOKUP(C211,[1]Baseline!$B$4:$B$91,[1]Baseline!$D$4:$AZ$91))</f>
        <v>No Knowledge</v>
      </c>
      <c r="E211" s="13" t="s">
        <v>376</v>
      </c>
      <c r="F211" s="13">
        <v>3</v>
      </c>
      <c r="G211" s="153">
        <v>0</v>
      </c>
      <c r="H211" s="16">
        <f t="shared" si="3"/>
        <v>-3</v>
      </c>
      <c r="I211" s="13">
        <v>0</v>
      </c>
      <c r="J211" s="160"/>
    </row>
    <row r="212" spans="1:10">
      <c r="A212" s="12" t="s">
        <v>16</v>
      </c>
      <c r="B212" s="13" t="s">
        <v>65</v>
      </c>
      <c r="C212" s="13" t="str">
        <f>VLOOKUP([1]Competence!$B46,[1]Competence!$B$12:$B$100,1,FALSE)</f>
        <v>Workforce Planning</v>
      </c>
      <c r="D212" s="13" t="str" cm="1">
        <f t="array" ref="D212">_xlfn.XLOOKUP(B212,[1]Baseline!$D$3:$AZ$3,_xlfn.XLOOKUP(C212,[1]Baseline!$B$4:$B$91,[1]Baseline!$D$4:$AZ$91))</f>
        <v>No Knowledge</v>
      </c>
      <c r="E212" s="13" t="s">
        <v>376</v>
      </c>
      <c r="F212" s="13">
        <v>3</v>
      </c>
      <c r="G212" s="153">
        <v>1</v>
      </c>
      <c r="H212" s="16">
        <f t="shared" si="3"/>
        <v>-2</v>
      </c>
      <c r="I212" s="13">
        <v>1</v>
      </c>
      <c r="J212" s="160"/>
    </row>
    <row r="213" spans="1:10">
      <c r="A213" s="12" t="s">
        <v>16</v>
      </c>
      <c r="B213" s="13" t="s">
        <v>65</v>
      </c>
      <c r="C213" s="13" t="str">
        <f>VLOOKUP([1]Competence!$B47,[1]Competence!$B$12:$B$100,1,FALSE)</f>
        <v>Audit</v>
      </c>
      <c r="D213" s="13" t="str" cm="1">
        <f t="array" ref="D213">_xlfn.XLOOKUP(B213,[1]Baseline!$D$3:$AZ$3,_xlfn.XLOOKUP(C213,[1]Baseline!$B$4:$B$91,[1]Baseline!$D$4:$AZ$91))</f>
        <v>Working</v>
      </c>
      <c r="E213" s="13" t="s">
        <v>374</v>
      </c>
      <c r="F213" s="13">
        <v>2</v>
      </c>
      <c r="G213" s="153">
        <v>0</v>
      </c>
      <c r="H213" s="16">
        <f t="shared" si="3"/>
        <v>-2</v>
      </c>
      <c r="I213" s="13">
        <v>0</v>
      </c>
      <c r="J213" s="160"/>
    </row>
    <row r="214" spans="1:10">
      <c r="A214" s="12" t="s">
        <v>16</v>
      </c>
      <c r="B214" s="13" t="s">
        <v>65</v>
      </c>
      <c r="C214" s="13" t="str">
        <f>VLOOKUP([1]Competence!$B48,[1]Competence!$B$12:$B$100,1,FALSE)</f>
        <v>Contract management</v>
      </c>
      <c r="D214" s="13" t="str" cm="1">
        <f t="array" ref="D214">_xlfn.XLOOKUP(B214,[1]Baseline!$D$3:$AZ$3,_xlfn.XLOOKUP(C214,[1]Baseline!$B$4:$B$91,[1]Baseline!$D$4:$AZ$91))</f>
        <v>Working</v>
      </c>
      <c r="E214" s="13" t="s">
        <v>377</v>
      </c>
      <c r="F214" s="13">
        <v>0</v>
      </c>
      <c r="G214" s="153">
        <v>2</v>
      </c>
      <c r="H214" s="16">
        <f t="shared" si="3"/>
        <v>2</v>
      </c>
      <c r="I214" s="13">
        <v>2</v>
      </c>
      <c r="J214" s="160"/>
    </row>
    <row r="215" spans="1:10">
      <c r="A215" s="12" t="s">
        <v>16</v>
      </c>
      <c r="B215" s="13" t="s">
        <v>65</v>
      </c>
      <c r="C215" s="13" t="str">
        <f>VLOOKUP([1]Competence!$B49,[1]Competence!$B$12:$B$100,1,FALSE)</f>
        <v>Feasibility assessment</v>
      </c>
      <c r="D215" s="13" t="str" cm="1">
        <f t="array" ref="D215">_xlfn.XLOOKUP(B215,[1]Baseline!$D$3:$AZ$3,_xlfn.XLOOKUP(C215,[1]Baseline!$B$4:$B$91,[1]Baseline!$D$4:$AZ$91))</f>
        <v>Working</v>
      </c>
      <c r="E215" s="13" t="s">
        <v>377</v>
      </c>
      <c r="F215" s="13">
        <v>2</v>
      </c>
      <c r="G215" s="153">
        <v>0</v>
      </c>
      <c r="H215" s="16">
        <f t="shared" si="3"/>
        <v>-2</v>
      </c>
      <c r="I215" s="13">
        <v>0</v>
      </c>
      <c r="J215" s="160"/>
    </row>
    <row r="216" spans="1:10">
      <c r="A216" s="12" t="s">
        <v>16</v>
      </c>
      <c r="B216" s="13" t="s">
        <v>65</v>
      </c>
      <c r="C216" s="13" t="str">
        <f>VLOOKUP([1]Competence!$B50,[1]Competence!$B$12:$B$100,1,FALSE)</f>
        <v>Governance</v>
      </c>
      <c r="D216" s="13" t="str" cm="1">
        <f t="array" ref="D216">_xlfn.XLOOKUP(B216,[1]Baseline!$D$3:$AZ$3,_xlfn.XLOOKUP(C216,[1]Baseline!$B$4:$B$91,[1]Baseline!$D$4:$AZ$91))</f>
        <v>Working</v>
      </c>
      <c r="E216" s="13" t="s">
        <v>378</v>
      </c>
      <c r="F216" s="13">
        <v>1</v>
      </c>
      <c r="G216" s="153">
        <v>0</v>
      </c>
      <c r="H216" s="16">
        <f t="shared" si="3"/>
        <v>-1</v>
      </c>
      <c r="I216" s="13">
        <v>0</v>
      </c>
      <c r="J216" s="160"/>
    </row>
    <row r="217" spans="1:10">
      <c r="A217" s="12" t="s">
        <v>16</v>
      </c>
      <c r="B217" s="13" t="s">
        <v>65</v>
      </c>
      <c r="C217" s="13" t="str">
        <f>VLOOKUP([1]Competence!$B51,[1]Competence!$B$12:$B$100,1,FALSE)</f>
        <v>Risk management</v>
      </c>
      <c r="D217" s="13" t="str" cm="1">
        <f t="array" ref="D217">_xlfn.XLOOKUP(B217,[1]Baseline!$D$3:$AZ$3,_xlfn.XLOOKUP(C217,[1]Baseline!$B$4:$B$91,[1]Baseline!$D$4:$AZ$91))</f>
        <v>No Knowledge</v>
      </c>
      <c r="E217" s="13" t="s">
        <v>378</v>
      </c>
      <c r="F217" s="13">
        <v>0</v>
      </c>
      <c r="G217" s="153">
        <v>0</v>
      </c>
      <c r="H217" s="16">
        <f t="shared" si="3"/>
        <v>0</v>
      </c>
      <c r="I217" s="13">
        <v>0</v>
      </c>
      <c r="J217" s="160"/>
    </row>
    <row r="218" spans="1:10">
      <c r="A218" s="12" t="s">
        <v>16</v>
      </c>
      <c r="B218" s="13" t="s">
        <v>65</v>
      </c>
      <c r="C218" s="13" t="str">
        <f>VLOOKUP([1]Competence!$B52,[1]Competence!$B$12:$B$100,1,FALSE)</f>
        <v>Sourcing</v>
      </c>
      <c r="D218" s="13" t="str" cm="1">
        <f t="array" ref="D218">_xlfn.XLOOKUP(B218,[1]Baseline!$D$3:$AZ$3,_xlfn.XLOOKUP(C218,[1]Baseline!$B$4:$B$91,[1]Baseline!$D$4:$AZ$91))</f>
        <v>Working</v>
      </c>
      <c r="E218" s="13" t="s">
        <v>378</v>
      </c>
      <c r="F218" s="13">
        <v>0</v>
      </c>
      <c r="G218" s="153">
        <v>1</v>
      </c>
      <c r="H218" s="16">
        <f t="shared" si="3"/>
        <v>1</v>
      </c>
      <c r="I218" s="13">
        <v>1</v>
      </c>
      <c r="J218" s="160"/>
    </row>
    <row r="219" spans="1:10">
      <c r="A219" s="12" t="s">
        <v>16</v>
      </c>
      <c r="B219" s="13" t="s">
        <v>65</v>
      </c>
      <c r="C219" s="13" t="str">
        <f>VLOOKUP([1]Competence!$B53,[1]Competence!$B$12:$B$100,1,FALSE)</f>
        <v>Supplier management</v>
      </c>
      <c r="D219" s="13" t="str" cm="1">
        <f t="array" ref="D219">_xlfn.XLOOKUP(B219,[1]Baseline!$D$3:$AZ$3,_xlfn.XLOOKUP(C219,[1]Baseline!$B$4:$B$91,[1]Baseline!$D$4:$AZ$91))</f>
        <v>Practitioner</v>
      </c>
      <c r="E219" s="13" t="s">
        <v>49</v>
      </c>
      <c r="F219" s="13">
        <v>2</v>
      </c>
      <c r="G219" s="153">
        <v>0</v>
      </c>
      <c r="H219" s="16">
        <f t="shared" si="3"/>
        <v>-2</v>
      </c>
      <c r="I219" s="13">
        <v>0</v>
      </c>
      <c r="J219" s="160"/>
    </row>
    <row r="220" spans="1:10">
      <c r="A220" s="12" t="s">
        <v>16</v>
      </c>
      <c r="B220" s="13" t="s">
        <v>65</v>
      </c>
      <c r="C220" s="13" t="str">
        <f>VLOOKUP([1]Competence!$B54,[1]Competence!$B$12:$B$100,1,FALSE)</f>
        <v>Sustainability</v>
      </c>
      <c r="D220" s="13" t="str" cm="1">
        <f t="array" ref="D220">_xlfn.XLOOKUP(B220,[1]Baseline!$D$3:$AZ$3,_xlfn.XLOOKUP(C220,[1]Baseline!$B$4:$B$91,[1]Baseline!$D$4:$AZ$91))</f>
        <v>Awareness</v>
      </c>
      <c r="E220" s="13" t="s">
        <v>49</v>
      </c>
      <c r="F220" s="13">
        <v>1</v>
      </c>
      <c r="G220" s="153">
        <v>1</v>
      </c>
      <c r="H220" s="16">
        <f t="shared" si="3"/>
        <v>0</v>
      </c>
      <c r="I220" s="13">
        <v>1</v>
      </c>
      <c r="J220" s="160"/>
    </row>
    <row r="221" spans="1:10">
      <c r="A221" s="12" t="s">
        <v>16</v>
      </c>
      <c r="B221" s="13" t="s">
        <v>65</v>
      </c>
      <c r="C221" s="13" t="str">
        <f>VLOOKUP([1]Competence!$B55,[1]Competence!$B$12:$B$100,1,FALSE)</f>
        <v>Acceptance testing</v>
      </c>
      <c r="D221" s="13" t="str" cm="1">
        <f t="array" ref="D221">_xlfn.XLOOKUP(B221,[1]Baseline!$D$3:$AZ$3,_xlfn.XLOOKUP(C221,[1]Baseline!$B$4:$B$91,[1]Baseline!$D$4:$AZ$91))</f>
        <v>Working</v>
      </c>
      <c r="E221" s="13" t="s">
        <v>49</v>
      </c>
      <c r="F221" s="13">
        <v>1</v>
      </c>
      <c r="G221" s="153">
        <v>2</v>
      </c>
      <c r="H221" s="16">
        <f t="shared" si="3"/>
        <v>1</v>
      </c>
      <c r="I221" s="13">
        <v>2</v>
      </c>
      <c r="J221" s="160"/>
    </row>
    <row r="222" spans="1:10">
      <c r="A222" s="12" t="s">
        <v>16</v>
      </c>
      <c r="B222" s="13" t="s">
        <v>65</v>
      </c>
      <c r="C222" s="13" t="str">
        <f>VLOOKUP([1]Competence!$B56,[1]Competence!$B$12:$B$100,1,FALSE)</f>
        <v>Application support</v>
      </c>
      <c r="D222" s="13" t="str" cm="1">
        <f t="array" ref="D222">_xlfn.XLOOKUP(B222,[1]Baseline!$D$3:$AZ$3,_xlfn.XLOOKUP(C222,[1]Baseline!$B$4:$B$91,[1]Baseline!$D$4:$AZ$91))</f>
        <v>Working</v>
      </c>
      <c r="E222" s="13" t="s">
        <v>375</v>
      </c>
      <c r="F222" s="13">
        <v>2</v>
      </c>
      <c r="G222" s="153">
        <v>1</v>
      </c>
      <c r="H222" s="16">
        <f t="shared" si="3"/>
        <v>-1</v>
      </c>
      <c r="I222" s="13">
        <v>1</v>
      </c>
      <c r="J222" s="160"/>
    </row>
    <row r="223" spans="1:10">
      <c r="A223" s="12" t="s">
        <v>16</v>
      </c>
      <c r="B223" s="13" t="s">
        <v>65</v>
      </c>
      <c r="C223" s="13" t="str">
        <f>VLOOKUP([1]Competence!$B57,[1]Competence!$B$12:$B$100,1,FALSE)</f>
        <v>Data Engineering</v>
      </c>
      <c r="D223" s="13" t="str" cm="1">
        <f t="array" ref="D223">_xlfn.XLOOKUP(B223,[1]Baseline!$D$3:$AZ$3,_xlfn.XLOOKUP(C223,[1]Baseline!$B$4:$B$91,[1]Baseline!$D$4:$AZ$91))</f>
        <v>No Knowledge</v>
      </c>
      <c r="E223" s="13" t="s">
        <v>375</v>
      </c>
      <c r="F223" s="13">
        <v>1</v>
      </c>
      <c r="G223" s="153">
        <v>0</v>
      </c>
      <c r="H223" s="16">
        <f t="shared" si="3"/>
        <v>-1</v>
      </c>
      <c r="I223" s="13">
        <v>0</v>
      </c>
      <c r="J223" s="160"/>
    </row>
    <row r="224" spans="1:10">
      <c r="A224" s="12" t="s">
        <v>16</v>
      </c>
      <c r="B224" s="13" t="s">
        <v>65</v>
      </c>
      <c r="C224" s="13" t="str">
        <f>VLOOKUP([1]Competence!$B58,[1]Competence!$B$12:$B$100,1,FALSE)</f>
        <v>Data Management</v>
      </c>
      <c r="D224" s="13" t="str" cm="1">
        <f t="array" ref="D224">_xlfn.XLOOKUP(B224,[1]Baseline!$D$3:$AZ$3,_xlfn.XLOOKUP(C224,[1]Baseline!$B$4:$B$91,[1]Baseline!$D$4:$AZ$91))</f>
        <v>No Knowledge</v>
      </c>
      <c r="E224" s="13" t="s">
        <v>375</v>
      </c>
      <c r="F224" s="13">
        <v>0</v>
      </c>
      <c r="G224" s="153">
        <v>1</v>
      </c>
      <c r="H224" s="16">
        <f t="shared" si="3"/>
        <v>1</v>
      </c>
      <c r="I224" s="13">
        <v>1</v>
      </c>
      <c r="J224" s="160"/>
    </row>
    <row r="225" spans="1:10">
      <c r="A225" s="12" t="s">
        <v>16</v>
      </c>
      <c r="B225" s="13" t="s">
        <v>65</v>
      </c>
      <c r="C225" s="13" t="str">
        <f>VLOOKUP([1]Competence!$B59,[1]Competence!$B$12:$B$100,1,FALSE)</f>
        <v>Data Modelling and Design</v>
      </c>
      <c r="D225" s="13" t="str" cm="1">
        <f t="array" ref="D225">_xlfn.XLOOKUP(B225,[1]Baseline!$D$3:$AZ$3,_xlfn.XLOOKUP(C225,[1]Baseline!$B$4:$B$91,[1]Baseline!$D$4:$AZ$91))</f>
        <v>No Knowledge</v>
      </c>
      <c r="E225" s="13" t="s">
        <v>375</v>
      </c>
      <c r="F225" s="13">
        <v>0</v>
      </c>
      <c r="G225" s="153">
        <v>1</v>
      </c>
      <c r="H225" s="16">
        <f t="shared" si="3"/>
        <v>1</v>
      </c>
      <c r="I225" s="13">
        <v>1</v>
      </c>
      <c r="J225" s="160"/>
    </row>
    <row r="226" spans="1:10">
      <c r="A226" s="12" t="s">
        <v>16</v>
      </c>
      <c r="B226" s="13" t="s">
        <v>65</v>
      </c>
      <c r="C226" s="13" t="str">
        <f>VLOOKUP([1]Competence!$B60,[1]Competence!$B$12:$B$100,1,FALSE)</f>
        <v>Data science</v>
      </c>
      <c r="D226" s="13" t="str" cm="1">
        <f t="array" ref="D226">_xlfn.XLOOKUP(B226,[1]Baseline!$D$3:$AZ$3,_xlfn.XLOOKUP(C226,[1]Baseline!$B$4:$B$91,[1]Baseline!$D$4:$AZ$91))</f>
        <v>No Knowledge</v>
      </c>
      <c r="E226" s="13" t="s">
        <v>375</v>
      </c>
      <c r="F226" s="13">
        <v>0</v>
      </c>
      <c r="G226" s="153">
        <v>0</v>
      </c>
      <c r="H226" s="16">
        <f t="shared" si="3"/>
        <v>0</v>
      </c>
      <c r="I226" s="13">
        <v>0</v>
      </c>
      <c r="J226" s="160"/>
    </row>
    <row r="227" spans="1:10">
      <c r="A227" s="12" t="s">
        <v>16</v>
      </c>
      <c r="B227" s="13" t="s">
        <v>65</v>
      </c>
      <c r="C227" s="13" t="str">
        <f>VLOOKUP([1]Competence!$B61,[1]Competence!$B$12:$B$100,1,FALSE)</f>
        <v>Data visualisation</v>
      </c>
      <c r="D227" s="13" t="str" cm="1">
        <f t="array" ref="D227">_xlfn.XLOOKUP(B227,[1]Baseline!$D$3:$AZ$3,_xlfn.XLOOKUP(C227,[1]Baseline!$B$4:$B$91,[1]Baseline!$D$4:$AZ$91))</f>
        <v>No Knowledge</v>
      </c>
      <c r="E227" s="13" t="s">
        <v>375</v>
      </c>
      <c r="F227" s="13">
        <v>2</v>
      </c>
      <c r="G227" s="153">
        <v>1</v>
      </c>
      <c r="H227" s="16">
        <f t="shared" si="3"/>
        <v>-1</v>
      </c>
      <c r="I227" s="13">
        <v>1</v>
      </c>
      <c r="J227" s="160"/>
    </row>
    <row r="228" spans="1:10">
      <c r="A228" s="12" t="s">
        <v>16</v>
      </c>
      <c r="B228" s="13" t="s">
        <v>65</v>
      </c>
      <c r="C228" s="13" t="str">
        <f>VLOOKUP([1]Competence!$B62,[1]Competence!$B$12:$B$100,1,FALSE)</f>
        <v>Database Administration</v>
      </c>
      <c r="D228" s="13" t="str" cm="1">
        <f t="array" ref="D228">_xlfn.XLOOKUP(B228,[1]Baseline!$D$3:$AZ$3,_xlfn.XLOOKUP(C228,[1]Baseline!$B$4:$B$91,[1]Baseline!$D$4:$AZ$91))</f>
        <v>No Knowledge</v>
      </c>
      <c r="E228" s="13" t="s">
        <v>375</v>
      </c>
      <c r="F228" s="13">
        <v>2</v>
      </c>
      <c r="G228" s="153">
        <v>1</v>
      </c>
      <c r="H228" s="16">
        <f t="shared" si="3"/>
        <v>-1</v>
      </c>
      <c r="I228" s="13">
        <v>1</v>
      </c>
      <c r="J228" s="160"/>
    </row>
    <row r="229" spans="1:10">
      <c r="A229" s="12" t="s">
        <v>16</v>
      </c>
      <c r="B229" s="13" t="s">
        <v>65</v>
      </c>
      <c r="C229" s="13" t="str">
        <f>VLOOKUP([1]Competence!$B63,[1]Competence!$B$12:$B$100,1,FALSE)</f>
        <v>Database Design</v>
      </c>
      <c r="D229" s="13" t="str" cm="1">
        <f t="array" ref="D229">_xlfn.XLOOKUP(B229,[1]Baseline!$D$3:$AZ$3,_xlfn.XLOOKUP(C229,[1]Baseline!$B$4:$B$91,[1]Baseline!$D$4:$AZ$91))</f>
        <v>No Knowledge</v>
      </c>
      <c r="E229" s="13" t="s">
        <v>375</v>
      </c>
      <c r="F229" s="13">
        <v>0</v>
      </c>
      <c r="G229" s="153">
        <v>0</v>
      </c>
      <c r="H229" s="16">
        <f t="shared" si="3"/>
        <v>0</v>
      </c>
      <c r="I229" s="13">
        <v>0</v>
      </c>
      <c r="J229" s="160"/>
    </row>
    <row r="230" spans="1:10">
      <c r="A230" s="12" t="s">
        <v>16</v>
      </c>
      <c r="B230" s="13" t="s">
        <v>65</v>
      </c>
      <c r="C230" s="13" t="str">
        <f>VLOOKUP([1]Competence!$B64,[1]Competence!$B$12:$B$100,1,FALSE)</f>
        <v>Hardware design</v>
      </c>
      <c r="D230" s="13" t="str" cm="1">
        <f t="array" ref="D230">_xlfn.XLOOKUP(B230,[1]Baseline!$D$3:$AZ$3,_xlfn.XLOOKUP(C230,[1]Baseline!$B$4:$B$91,[1]Baseline!$D$4:$AZ$91))</f>
        <v>No Knowledge</v>
      </c>
      <c r="E230" s="13" t="s">
        <v>375</v>
      </c>
      <c r="F230" s="13">
        <v>0</v>
      </c>
      <c r="G230" s="153">
        <v>1</v>
      </c>
      <c r="H230" s="16">
        <f t="shared" si="3"/>
        <v>1</v>
      </c>
      <c r="I230" s="13">
        <v>1</v>
      </c>
      <c r="J230" s="160"/>
    </row>
    <row r="231" spans="1:10">
      <c r="A231" s="12" t="s">
        <v>16</v>
      </c>
      <c r="B231" s="13" t="s">
        <v>65</v>
      </c>
      <c r="C231" s="13" t="str">
        <f>VLOOKUP([1]Competence!$B65,[1]Competence!$B$12:$B$100,1,FALSE)</f>
        <v>High Performance Computing</v>
      </c>
      <c r="D231" s="13" t="str" cm="1">
        <f t="array" ref="D231">_xlfn.XLOOKUP(B231,[1]Baseline!$D$3:$AZ$3,_xlfn.XLOOKUP(C231,[1]Baseline!$B$4:$B$91,[1]Baseline!$D$4:$AZ$91))</f>
        <v>Awareness</v>
      </c>
      <c r="E231" s="13" t="s">
        <v>375</v>
      </c>
      <c r="F231" s="13">
        <v>0</v>
      </c>
      <c r="G231" s="153">
        <v>0</v>
      </c>
      <c r="H231" s="16">
        <f t="shared" si="3"/>
        <v>0</v>
      </c>
      <c r="I231" s="13">
        <v>0</v>
      </c>
      <c r="J231" s="160"/>
    </row>
    <row r="232" spans="1:10">
      <c r="A232" s="12" t="s">
        <v>16</v>
      </c>
      <c r="B232" s="13" t="s">
        <v>65</v>
      </c>
      <c r="C232" s="13" t="str">
        <f>VLOOKUP([1]Competence!$B66,[1]Competence!$B$12:$B$100,1,FALSE)</f>
        <v>Research Computing</v>
      </c>
      <c r="D232" s="13" t="str" cm="1">
        <f t="array" ref="D232">_xlfn.XLOOKUP(B232,[1]Baseline!$D$3:$AZ$3,_xlfn.XLOOKUP(C232,[1]Baseline!$B$4:$B$91,[1]Baseline!$D$4:$AZ$91))</f>
        <v>Awareness</v>
      </c>
      <c r="E232" s="13" t="s">
        <v>375</v>
      </c>
      <c r="F232" s="13">
        <v>0</v>
      </c>
      <c r="G232" s="153">
        <v>0</v>
      </c>
      <c r="H232" s="16">
        <f t="shared" si="3"/>
        <v>0</v>
      </c>
      <c r="I232" s="13">
        <v>0</v>
      </c>
      <c r="J232" s="160"/>
    </row>
    <row r="233" spans="1:10">
      <c r="A233" s="12" t="s">
        <v>16</v>
      </c>
      <c r="B233" s="13" t="s">
        <v>65</v>
      </c>
      <c r="C233" s="13" t="str">
        <f>VLOOKUP([1]Competence!$B67,[1]Competence!$B$12:$B$100,1,FALSE)</f>
        <v>Information assurance</v>
      </c>
      <c r="D233" s="13" t="str" cm="1">
        <f t="array" ref="D233">_xlfn.XLOOKUP(B233,[1]Baseline!$D$3:$AZ$3,_xlfn.XLOOKUP(C233,[1]Baseline!$B$4:$B$91,[1]Baseline!$D$4:$AZ$91))</f>
        <v>Working</v>
      </c>
      <c r="E233" s="13" t="s">
        <v>375</v>
      </c>
      <c r="F233" s="13">
        <v>0</v>
      </c>
      <c r="G233" s="153">
        <v>2</v>
      </c>
      <c r="H233" s="16">
        <f t="shared" si="3"/>
        <v>2</v>
      </c>
      <c r="I233" s="13">
        <v>2</v>
      </c>
      <c r="J233" s="160"/>
    </row>
    <row r="234" spans="1:10">
      <c r="A234" s="12" t="s">
        <v>16</v>
      </c>
      <c r="B234" s="13" t="s">
        <v>65</v>
      </c>
      <c r="C234" s="13" t="str">
        <f>VLOOKUP([1]Competence!$B68,[1]Competence!$B$12:$B$100,1,FALSE)</f>
        <v>Information management</v>
      </c>
      <c r="D234" s="13" t="str" cm="1">
        <f t="array" ref="D234">_xlfn.XLOOKUP(B234,[1]Baseline!$D$3:$AZ$3,_xlfn.XLOOKUP(C234,[1]Baseline!$B$4:$B$91,[1]Baseline!$D$4:$AZ$91))</f>
        <v>Awareness</v>
      </c>
      <c r="E234" s="13" t="s">
        <v>373</v>
      </c>
      <c r="F234" s="13">
        <v>0</v>
      </c>
      <c r="G234" s="153">
        <v>2</v>
      </c>
      <c r="H234" s="16">
        <f t="shared" si="3"/>
        <v>2</v>
      </c>
      <c r="I234" s="13">
        <v>2</v>
      </c>
      <c r="J234" s="160"/>
    </row>
    <row r="235" spans="1:10">
      <c r="A235" s="12" t="s">
        <v>16</v>
      </c>
      <c r="B235" s="13" t="s">
        <v>65</v>
      </c>
      <c r="C235" s="13" t="str">
        <f>VLOOKUP([1]Competence!$B69,[1]Competence!$B$12:$B$100,1,FALSE)</f>
        <v>Infrastructure</v>
      </c>
      <c r="D235" s="13" t="str" cm="1">
        <f t="array" ref="D235">_xlfn.XLOOKUP(B235,[1]Baseline!$D$3:$AZ$3,_xlfn.XLOOKUP(C235,[1]Baseline!$B$4:$B$91,[1]Baseline!$D$4:$AZ$91))</f>
        <v>Working</v>
      </c>
      <c r="E235" s="13" t="s">
        <v>373</v>
      </c>
      <c r="F235" s="13">
        <v>0</v>
      </c>
      <c r="G235" s="153">
        <v>2</v>
      </c>
      <c r="H235" s="16">
        <f t="shared" si="3"/>
        <v>2</v>
      </c>
      <c r="I235" s="13">
        <v>2</v>
      </c>
      <c r="J235" s="160"/>
    </row>
    <row r="236" spans="1:10">
      <c r="A236" s="12" t="s">
        <v>16</v>
      </c>
      <c r="B236" s="13" t="s">
        <v>65</v>
      </c>
      <c r="C236" s="13" t="str">
        <f>VLOOKUP([1]Competence!$B70,[1]Competence!$B$12:$B$100,1,FALSE)</f>
        <v>Network design</v>
      </c>
      <c r="D236" s="13" t="str" cm="1">
        <f t="array" ref="D236">_xlfn.XLOOKUP(B236,[1]Baseline!$D$3:$AZ$3,_xlfn.XLOOKUP(C236,[1]Baseline!$B$4:$B$91,[1]Baseline!$D$4:$AZ$91))</f>
        <v>No Knowledge</v>
      </c>
      <c r="E236" s="13" t="s">
        <v>373</v>
      </c>
      <c r="F236" s="13">
        <v>0</v>
      </c>
      <c r="G236" s="153">
        <v>0</v>
      </c>
      <c r="H236" s="16">
        <f t="shared" si="3"/>
        <v>0</v>
      </c>
      <c r="I236" s="13">
        <v>0</v>
      </c>
      <c r="J236" s="160"/>
    </row>
    <row r="237" spans="1:10">
      <c r="A237" s="12" t="s">
        <v>16</v>
      </c>
      <c r="B237" s="13" t="s">
        <v>65</v>
      </c>
      <c r="C237" s="13" t="str">
        <f>VLOOKUP([1]Competence!$B71,[1]Competence!$B$12:$B$100,1,FALSE)</f>
        <v>Network Analytics</v>
      </c>
      <c r="D237" s="13" t="str" cm="1">
        <f t="array" ref="D237">_xlfn.XLOOKUP(B237,[1]Baseline!$D$3:$AZ$3,_xlfn.XLOOKUP(C237,[1]Baseline!$B$4:$B$91,[1]Baseline!$D$4:$AZ$91))</f>
        <v>No Knowledge</v>
      </c>
      <c r="E237" s="13" t="s">
        <v>376</v>
      </c>
      <c r="F237" s="13">
        <v>2</v>
      </c>
      <c r="G237" s="153">
        <v>1</v>
      </c>
      <c r="H237" s="16">
        <f t="shared" si="3"/>
        <v>-1</v>
      </c>
      <c r="I237" s="13">
        <v>1</v>
      </c>
      <c r="J237" s="160"/>
    </row>
    <row r="238" spans="1:10">
      <c r="A238" s="12" t="s">
        <v>16</v>
      </c>
      <c r="B238" s="13" t="s">
        <v>65</v>
      </c>
      <c r="C238" s="13" t="str">
        <f>VLOOKUP([1]Competence!$B72,[1]Competence!$B$12:$B$100,1,FALSE)</f>
        <v>Network support</v>
      </c>
      <c r="D238" s="13" t="str" cm="1">
        <f t="array" ref="D238">_xlfn.XLOOKUP(B238,[1]Baseline!$D$3:$AZ$3,_xlfn.XLOOKUP(C238,[1]Baseline!$B$4:$B$91,[1]Baseline!$D$4:$AZ$91))</f>
        <v>Working</v>
      </c>
      <c r="E238" s="13" t="s">
        <v>376</v>
      </c>
      <c r="F238" s="13">
        <v>2</v>
      </c>
      <c r="G238" s="153">
        <v>1</v>
      </c>
      <c r="H238" s="16">
        <f t="shared" si="3"/>
        <v>-1</v>
      </c>
      <c r="I238" s="13">
        <v>1</v>
      </c>
      <c r="J238" s="160"/>
    </row>
    <row r="239" spans="1:10">
      <c r="A239" s="12" t="s">
        <v>16</v>
      </c>
      <c r="B239" s="13" t="s">
        <v>65</v>
      </c>
      <c r="C239" s="13" t="str">
        <f>VLOOKUP([1]Competence!$B73,[1]Competence!$B$12:$B$100,1,FALSE)</f>
        <v>Programming/software development</v>
      </c>
      <c r="D239" s="13" t="str" cm="1">
        <f t="array" ref="D239">_xlfn.XLOOKUP(B239,[1]Baseline!$D$3:$AZ$3,_xlfn.XLOOKUP(C239,[1]Baseline!$B$4:$B$91,[1]Baseline!$D$4:$AZ$91))</f>
        <v>No Knowledge</v>
      </c>
      <c r="E239" s="13" t="s">
        <v>376</v>
      </c>
      <c r="F239" s="13">
        <v>2</v>
      </c>
      <c r="G239" s="153">
        <v>0</v>
      </c>
      <c r="H239" s="16">
        <f t="shared" si="3"/>
        <v>-2</v>
      </c>
      <c r="I239" s="13">
        <v>0</v>
      </c>
      <c r="J239" s="160"/>
    </row>
    <row r="240" spans="1:10">
      <c r="A240" s="12" t="s">
        <v>16</v>
      </c>
      <c r="B240" s="13" t="s">
        <v>65</v>
      </c>
      <c r="C240" s="13" t="str">
        <f>VLOOKUP([1]Competence!$B74,[1]Competence!$B$12:$B$100,1,FALSE)</f>
        <v>Real-time/embedded systems development</v>
      </c>
      <c r="D240" s="13" t="str" cm="1">
        <f t="array" ref="D240">_xlfn.XLOOKUP(B240,[1]Baseline!$D$3:$AZ$3,_xlfn.XLOOKUP(C240,[1]Baseline!$B$4:$B$91,[1]Baseline!$D$4:$AZ$91))</f>
        <v>No Knowledge</v>
      </c>
      <c r="E240" s="13" t="s">
        <v>376</v>
      </c>
      <c r="F240" s="13">
        <v>2</v>
      </c>
      <c r="G240" s="153">
        <v>0</v>
      </c>
      <c r="H240" s="16">
        <f t="shared" si="3"/>
        <v>-2</v>
      </c>
      <c r="I240" s="13">
        <v>0</v>
      </c>
      <c r="J240" s="160"/>
    </row>
    <row r="241" spans="1:10">
      <c r="A241" s="12" t="s">
        <v>16</v>
      </c>
      <c r="B241" s="13" t="s">
        <v>65</v>
      </c>
      <c r="C241" s="13" t="str">
        <f>VLOOKUP([1]Competence!$B75,[1]Competence!$B$12:$B$100,1,FALSE)</f>
        <v>Requirements definition and management</v>
      </c>
      <c r="D241" s="13" t="str" cm="1">
        <f t="array" ref="D241">_xlfn.XLOOKUP(B241,[1]Baseline!$D$3:$AZ$3,_xlfn.XLOOKUP(C241,[1]Baseline!$B$4:$B$91,[1]Baseline!$D$4:$AZ$91))</f>
        <v>No Knowledge</v>
      </c>
      <c r="E241" s="13" t="s">
        <v>374</v>
      </c>
      <c r="F241" s="13">
        <v>2</v>
      </c>
      <c r="G241" s="153">
        <v>0</v>
      </c>
      <c r="H241" s="16">
        <f t="shared" si="3"/>
        <v>-2</v>
      </c>
      <c r="I241" s="13">
        <v>0</v>
      </c>
      <c r="J241" s="160"/>
    </row>
    <row r="242" spans="1:10">
      <c r="A242" s="12" t="s">
        <v>16</v>
      </c>
      <c r="B242" s="13" t="s">
        <v>65</v>
      </c>
      <c r="C242" s="13" t="str">
        <f>VLOOKUP([1]Competence!$B76,[1]Competence!$B$12:$B$100,1,FALSE)</f>
        <v>Software configuration</v>
      </c>
      <c r="D242" s="13" t="str" cm="1">
        <f t="array" ref="D242">_xlfn.XLOOKUP(B242,[1]Baseline!$D$3:$AZ$3,_xlfn.XLOOKUP(C242,[1]Baseline!$B$4:$B$91,[1]Baseline!$D$4:$AZ$91))</f>
        <v>No Knowledge</v>
      </c>
      <c r="E242" s="13" t="s">
        <v>374</v>
      </c>
      <c r="F242" s="13">
        <v>2</v>
      </c>
      <c r="G242" s="153">
        <v>2</v>
      </c>
      <c r="H242" s="16">
        <f t="shared" si="3"/>
        <v>0</v>
      </c>
      <c r="I242" s="13">
        <v>2</v>
      </c>
      <c r="J242" s="160"/>
    </row>
    <row r="243" spans="1:10">
      <c r="A243" s="12" t="s">
        <v>16</v>
      </c>
      <c r="B243" s="13" t="s">
        <v>65</v>
      </c>
      <c r="C243" s="13" t="str">
        <f>VLOOKUP([1]Competence!$B77,[1]Competence!$B$12:$B$100,1,FALSE)</f>
        <v>Software design</v>
      </c>
      <c r="D243" s="13" t="str" cm="1">
        <f t="array" ref="D243">_xlfn.XLOOKUP(B243,[1]Baseline!$D$3:$AZ$3,_xlfn.XLOOKUP(C243,[1]Baseline!$B$4:$B$91,[1]Baseline!$D$4:$AZ$91))</f>
        <v>No Knowledge</v>
      </c>
      <c r="E243" s="13" t="s">
        <v>374</v>
      </c>
      <c r="F243" s="13">
        <v>2</v>
      </c>
      <c r="G243" s="153">
        <v>1</v>
      </c>
      <c r="H243" s="16">
        <f t="shared" si="3"/>
        <v>-1</v>
      </c>
      <c r="I243" s="13">
        <v>1</v>
      </c>
      <c r="J243" s="160"/>
    </row>
    <row r="244" spans="1:10">
      <c r="A244" s="12" t="s">
        <v>16</v>
      </c>
      <c r="B244" s="13" t="s">
        <v>65</v>
      </c>
      <c r="C244" s="13" t="str">
        <f>VLOOKUP([1]Competence!$B78,[1]Competence!$B$12:$B$100,1,FALSE)</f>
        <v>Solution architecture</v>
      </c>
      <c r="D244" s="13" t="str" cm="1">
        <f t="array" ref="D244">_xlfn.XLOOKUP(B244,[1]Baseline!$D$3:$AZ$3,_xlfn.XLOOKUP(C244,[1]Baseline!$B$4:$B$91,[1]Baseline!$D$4:$AZ$91))</f>
        <v>No Knowledge</v>
      </c>
      <c r="E244" s="13" t="s">
        <v>377</v>
      </c>
      <c r="F244" s="13">
        <v>1</v>
      </c>
      <c r="G244" s="153">
        <v>0</v>
      </c>
      <c r="H244" s="16">
        <f t="shared" si="3"/>
        <v>-1</v>
      </c>
      <c r="I244" s="13">
        <v>0</v>
      </c>
      <c r="J244" s="160"/>
    </row>
    <row r="245" spans="1:10">
      <c r="A245" s="12" t="s">
        <v>16</v>
      </c>
      <c r="B245" s="13" t="s">
        <v>65</v>
      </c>
      <c r="C245" s="13" t="str">
        <f>VLOOKUP([1]Competence!$B79,[1]Competence!$B$12:$B$100,1,FALSE)</f>
        <v>System software</v>
      </c>
      <c r="D245" s="13" t="str" cm="1">
        <f t="array" ref="D245">_xlfn.XLOOKUP(B245,[1]Baseline!$D$3:$AZ$3,_xlfn.XLOOKUP(C245,[1]Baseline!$B$4:$B$91,[1]Baseline!$D$4:$AZ$91))</f>
        <v>No Knowledge</v>
      </c>
      <c r="E245" s="13" t="s">
        <v>378</v>
      </c>
      <c r="F245" s="13">
        <v>0</v>
      </c>
      <c r="G245" s="153">
        <v>2</v>
      </c>
      <c r="H245" s="16">
        <f t="shared" si="3"/>
        <v>2</v>
      </c>
      <c r="I245" s="13">
        <v>2</v>
      </c>
      <c r="J245" s="160"/>
    </row>
    <row r="246" spans="1:10">
      <c r="A246" s="12" t="s">
        <v>16</v>
      </c>
      <c r="B246" s="13" t="s">
        <v>65</v>
      </c>
      <c r="C246" s="13" t="str">
        <f>VLOOKUP([1]Competence!$B80,[1]Competence!$B$12:$B$100,1,FALSE)</f>
        <v>Systems and software life cycle engineering</v>
      </c>
      <c r="D246" s="13" t="str" cm="1">
        <f t="array" ref="D246">_xlfn.XLOOKUP(B246,[1]Baseline!$D$3:$AZ$3,_xlfn.XLOOKUP(C246,[1]Baseline!$B$4:$B$91,[1]Baseline!$D$4:$AZ$91))</f>
        <v>No Knowledge</v>
      </c>
      <c r="E246" s="13" t="s">
        <v>378</v>
      </c>
      <c r="F246" s="13">
        <v>0</v>
      </c>
      <c r="G246" s="153">
        <v>1</v>
      </c>
      <c r="H246" s="16">
        <f t="shared" si="3"/>
        <v>1</v>
      </c>
      <c r="I246" s="13">
        <v>1</v>
      </c>
      <c r="J246" s="160"/>
    </row>
    <row r="247" spans="1:10">
      <c r="A247" s="12" t="s">
        <v>16</v>
      </c>
      <c r="B247" s="13" t="s">
        <v>65</v>
      </c>
      <c r="C247" s="13" t="str">
        <f>VLOOKUP([1]Competence!$B81,[1]Competence!$B$12:$B$100,1,FALSE)</f>
        <v>Systems design</v>
      </c>
      <c r="D247" s="13" t="str" cm="1">
        <f t="array" ref="D247">_xlfn.XLOOKUP(B247,[1]Baseline!$D$3:$AZ$3,_xlfn.XLOOKUP(C247,[1]Baseline!$B$4:$B$91,[1]Baseline!$D$4:$AZ$91))</f>
        <v>No Knowledge</v>
      </c>
      <c r="E247" s="13" t="s">
        <v>378</v>
      </c>
      <c r="F247" s="13">
        <v>0</v>
      </c>
      <c r="G247" s="153">
        <v>1</v>
      </c>
      <c r="H247" s="16">
        <f t="shared" si="3"/>
        <v>1</v>
      </c>
      <c r="I247" s="13">
        <v>1</v>
      </c>
      <c r="J247" s="160"/>
    </row>
    <row r="248" spans="1:10">
      <c r="A248" s="12" t="s">
        <v>16</v>
      </c>
      <c r="B248" s="13" t="s">
        <v>65</v>
      </c>
      <c r="C248" s="13" t="str">
        <f>VLOOKUP([1]Competence!$B82,[1]Competence!$B$12:$B$100,1,FALSE)</f>
        <v>Systems development management</v>
      </c>
      <c r="D248" s="13" t="str" cm="1">
        <f t="array" ref="D248">_xlfn.XLOOKUP(B248,[1]Baseline!$D$3:$AZ$3,_xlfn.XLOOKUP(C248,[1]Baseline!$B$4:$B$91,[1]Baseline!$D$4:$AZ$91))</f>
        <v>No Knowledge</v>
      </c>
      <c r="E248" s="13" t="s">
        <v>378</v>
      </c>
      <c r="F248" s="13">
        <v>0</v>
      </c>
      <c r="G248" s="153">
        <v>0</v>
      </c>
      <c r="H248" s="16">
        <f t="shared" si="3"/>
        <v>0</v>
      </c>
      <c r="I248" s="13">
        <v>0</v>
      </c>
      <c r="J248" s="160"/>
    </row>
    <row r="249" spans="1:10">
      <c r="A249" s="12" t="s">
        <v>16</v>
      </c>
      <c r="B249" s="13" t="s">
        <v>65</v>
      </c>
      <c r="C249" s="13" t="str">
        <f>VLOOKUP([1]Competence!$B83,[1]Competence!$B$12:$B$100,1,FALSE)</f>
        <v>Systems installation and removal</v>
      </c>
      <c r="D249" s="13" t="str" cm="1">
        <f t="array" ref="D249">_xlfn.XLOOKUP(B249,[1]Baseline!$D$3:$AZ$3,_xlfn.XLOOKUP(C249,[1]Baseline!$B$4:$B$91,[1]Baseline!$D$4:$AZ$91))</f>
        <v>Working</v>
      </c>
      <c r="E249" s="13" t="s">
        <v>375</v>
      </c>
      <c r="F249" s="13">
        <v>0</v>
      </c>
      <c r="G249" s="153">
        <v>4</v>
      </c>
      <c r="H249" s="16">
        <f t="shared" si="3"/>
        <v>4</v>
      </c>
      <c r="I249" s="13">
        <v>4</v>
      </c>
      <c r="J249" s="160"/>
    </row>
    <row r="250" spans="1:10">
      <c r="A250" s="12" t="s">
        <v>16</v>
      </c>
      <c r="B250" s="13" t="s">
        <v>65</v>
      </c>
      <c r="C250" s="13" t="str">
        <f>VLOOKUP([1]Competence!$B84,[1]Competence!$B$12:$B$100,1,FALSE)</f>
        <v>Testing</v>
      </c>
      <c r="D250" s="13" t="str" cm="1">
        <f t="array" ref="D250">_xlfn.XLOOKUP(B250,[1]Baseline!$D$3:$AZ$3,_xlfn.XLOOKUP(C250,[1]Baseline!$B$4:$B$91,[1]Baseline!$D$4:$AZ$91))</f>
        <v>Working</v>
      </c>
      <c r="E250" s="13" t="s">
        <v>375</v>
      </c>
      <c r="F250" s="13">
        <v>0</v>
      </c>
      <c r="G250" s="153">
        <v>4</v>
      </c>
      <c r="H250" s="16">
        <f t="shared" si="3"/>
        <v>4</v>
      </c>
      <c r="I250" s="13">
        <v>4</v>
      </c>
      <c r="J250" s="160"/>
    </row>
    <row r="251" spans="1:10">
      <c r="A251" s="12" t="s">
        <v>16</v>
      </c>
      <c r="B251" s="13" t="s">
        <v>65</v>
      </c>
      <c r="C251" s="13" t="str">
        <f>VLOOKUP([1]Competence!$B85,[1]Competence!$B$12:$B$100,1,FALSE)</f>
        <v>Innovation</v>
      </c>
      <c r="D251" s="13" t="str" cm="1">
        <f t="array" ref="D251">_xlfn.XLOOKUP(B251,[1]Baseline!$D$3:$AZ$3,_xlfn.XLOOKUP(C251,[1]Baseline!$B$4:$B$91,[1]Baseline!$D$4:$AZ$91))</f>
        <v>No Knowledge</v>
      </c>
      <c r="E251" s="13" t="s">
        <v>375</v>
      </c>
      <c r="F251" s="13">
        <v>0</v>
      </c>
      <c r="G251" s="153">
        <v>3</v>
      </c>
      <c r="H251" s="16">
        <f t="shared" si="3"/>
        <v>3</v>
      </c>
      <c r="I251" s="13">
        <v>3</v>
      </c>
      <c r="J251" s="160"/>
    </row>
    <row r="252" spans="1:10">
      <c r="A252" s="12" t="s">
        <v>16</v>
      </c>
      <c r="B252" s="13" t="s">
        <v>65</v>
      </c>
      <c r="C252" s="13" t="str">
        <f>VLOOKUP([1]Competence!$B86,[1]Competence!$B$12:$B$100,1,FALSE)</f>
        <v>Specialist Advice</v>
      </c>
      <c r="D252" s="13" t="str" cm="1">
        <f t="array" ref="D252">_xlfn.XLOOKUP(B252,[1]Baseline!$D$3:$AZ$3,_xlfn.XLOOKUP(C252,[1]Baseline!$B$4:$B$91,[1]Baseline!$D$4:$AZ$91))</f>
        <v>No Knowledge</v>
      </c>
      <c r="E252" s="13" t="s">
        <v>375</v>
      </c>
      <c r="F252" s="13">
        <v>0</v>
      </c>
      <c r="G252" s="153">
        <v>3</v>
      </c>
      <c r="H252" s="16">
        <f t="shared" si="3"/>
        <v>3</v>
      </c>
      <c r="I252" s="13">
        <v>3</v>
      </c>
      <c r="J252" s="160"/>
    </row>
    <row r="253" spans="1:10">
      <c r="A253" s="12" t="s">
        <v>16</v>
      </c>
      <c r="B253" s="13" t="s">
        <v>65</v>
      </c>
      <c r="C253" s="13" t="str">
        <f>VLOOKUP([1]Competence!$B87,[1]Competence!$B$12:$B$100,1,FALSE)</f>
        <v>Emerging technology monitoring</v>
      </c>
      <c r="D253" s="13" t="str" cm="1">
        <f t="array" ref="D253">_xlfn.XLOOKUP(B253,[1]Baseline!$D$3:$AZ$3,_xlfn.XLOOKUP(C253,[1]Baseline!$B$4:$B$91,[1]Baseline!$D$4:$AZ$91))</f>
        <v>No Knowledge</v>
      </c>
      <c r="E253" s="13" t="s">
        <v>375</v>
      </c>
      <c r="F253" s="13">
        <v>0</v>
      </c>
      <c r="G253" s="153">
        <v>2</v>
      </c>
      <c r="H253" s="16">
        <f t="shared" si="3"/>
        <v>2</v>
      </c>
      <c r="I253" s="13">
        <v>2</v>
      </c>
      <c r="J253" s="160"/>
    </row>
    <row r="254" spans="1:10">
      <c r="A254" s="12" t="s">
        <v>16</v>
      </c>
      <c r="B254" s="13" t="s">
        <v>65</v>
      </c>
      <c r="C254" s="13" t="str">
        <f>VLOOKUP([1]Competence!$B88,[1]Competence!$B$12:$B$100,1,FALSE)</f>
        <v>Systems integration and build</v>
      </c>
      <c r="D254" s="13" t="str" cm="1">
        <f t="array" ref="D254">_xlfn.XLOOKUP(B254,[1]Baseline!$D$3:$AZ$3,_xlfn.XLOOKUP(C254,[1]Baseline!$B$4:$B$91,[1]Baseline!$D$4:$AZ$91))</f>
        <v>Working</v>
      </c>
      <c r="E254" s="13" t="s">
        <v>375</v>
      </c>
      <c r="F254" s="13">
        <v>0</v>
      </c>
      <c r="G254" s="153">
        <v>1</v>
      </c>
      <c r="H254" s="16">
        <f t="shared" si="3"/>
        <v>1</v>
      </c>
      <c r="I254" s="13">
        <v>1</v>
      </c>
      <c r="J254" s="160"/>
    </row>
    <row r="255" spans="1:10">
      <c r="A255" s="12" t="s">
        <v>16</v>
      </c>
      <c r="B255" s="13" t="s">
        <v>65</v>
      </c>
      <c r="C255" s="13" t="str">
        <f>VLOOKUP([1]Competence!$B89,[1]Competence!$B$12:$B$100,1,FALSE)</f>
        <v>Audio Visual</v>
      </c>
      <c r="D255" s="13" t="str" cm="1">
        <f t="array" ref="D255">_xlfn.XLOOKUP(B255,[1]Baseline!$D$3:$AZ$3,_xlfn.XLOOKUP(C255,[1]Baseline!$B$4:$B$91,[1]Baseline!$D$4:$AZ$91))</f>
        <v>No Knowledge</v>
      </c>
      <c r="E255" s="13" t="s">
        <v>375</v>
      </c>
      <c r="F255" s="13">
        <v>0</v>
      </c>
      <c r="G255" s="153">
        <v>1</v>
      </c>
      <c r="H255" s="16">
        <f t="shared" si="3"/>
        <v>1</v>
      </c>
      <c r="I255" s="13">
        <v>1</v>
      </c>
      <c r="J255" s="160"/>
    </row>
    <row r="256" spans="1:10">
      <c r="A256" s="12" t="s">
        <v>16</v>
      </c>
      <c r="B256" s="13" t="s">
        <v>65</v>
      </c>
      <c r="C256" s="13" t="str">
        <f>VLOOKUP([1]Competence!$B90,[1]Competence!$B$12:$B$100,1,FALSE)</f>
        <v>Augmented Reality</v>
      </c>
      <c r="D256" s="13" t="str" cm="1">
        <f t="array" ref="D256">_xlfn.XLOOKUP(B256,[1]Baseline!$D$3:$AZ$3,_xlfn.XLOOKUP(C256,[1]Baseline!$B$4:$B$91,[1]Baseline!$D$4:$AZ$91))</f>
        <v>Awareness</v>
      </c>
      <c r="E256" s="13" t="s">
        <v>376</v>
      </c>
      <c r="F256" s="13">
        <v>2</v>
      </c>
      <c r="G256" s="153">
        <v>0</v>
      </c>
      <c r="H256" s="16">
        <f t="shared" si="3"/>
        <v>-2</v>
      </c>
      <c r="I256" s="13">
        <v>0</v>
      </c>
      <c r="J256" s="160"/>
    </row>
    <row r="257" spans="1:10">
      <c r="A257" s="12" t="s">
        <v>16</v>
      </c>
      <c r="B257" s="13" t="s">
        <v>65</v>
      </c>
      <c r="C257" s="13" t="str">
        <f>VLOOKUP([1]Competence!$B91,[1]Competence!$B$12:$B$100,1,FALSE)</f>
        <v>Benefits management</v>
      </c>
      <c r="D257" s="13" t="str" cm="1">
        <f t="array" ref="D257">_xlfn.XLOOKUP(B257,[1]Baseline!$D$3:$AZ$3,_xlfn.XLOOKUP(C257,[1]Baseline!$B$4:$B$91,[1]Baseline!$D$4:$AZ$91))</f>
        <v>No Knowledge</v>
      </c>
      <c r="E257" s="13" t="s">
        <v>377</v>
      </c>
      <c r="F257" s="13">
        <v>0</v>
      </c>
      <c r="G257" s="153">
        <v>0</v>
      </c>
      <c r="H257" s="16">
        <f t="shared" si="3"/>
        <v>0</v>
      </c>
      <c r="I257" s="13">
        <v>0</v>
      </c>
      <c r="J257" s="160"/>
    </row>
    <row r="258" spans="1:10">
      <c r="A258" s="12" t="s">
        <v>16</v>
      </c>
      <c r="B258" s="13" t="s">
        <v>65</v>
      </c>
      <c r="C258" s="13" t="str">
        <f>VLOOKUP([1]Competence!$B92,[1]Competence!$B$12:$B$100,1,FALSE)</f>
        <v>Business administration</v>
      </c>
      <c r="D258" s="13" t="str" cm="1">
        <f t="array" ref="D258">_xlfn.XLOOKUP(B258,[1]Baseline!$D$3:$AZ$3,_xlfn.XLOOKUP(C258,[1]Baseline!$B$4:$B$91,[1]Baseline!$D$4:$AZ$91))</f>
        <v>No Knowledge</v>
      </c>
      <c r="E258" s="13" t="s">
        <v>377</v>
      </c>
      <c r="F258" s="13">
        <v>0</v>
      </c>
      <c r="G258" s="153">
        <v>0</v>
      </c>
      <c r="H258" s="16">
        <f t="shared" ref="H258:H321" si="4">I258-F258</f>
        <v>0</v>
      </c>
      <c r="I258" s="13">
        <v>0</v>
      </c>
      <c r="J258" s="160"/>
    </row>
    <row r="259" spans="1:10">
      <c r="A259" s="12" t="s">
        <v>16</v>
      </c>
      <c r="B259" s="13" t="s">
        <v>65</v>
      </c>
      <c r="C259" s="13" t="str">
        <f>VLOOKUP([1]Competence!$B93,[1]Competence!$B$12:$B$100,1,FALSE)</f>
        <v>Business intelligence</v>
      </c>
      <c r="D259" s="13" t="str" cm="1">
        <f t="array" ref="D259">_xlfn.XLOOKUP(B259,[1]Baseline!$D$3:$AZ$3,_xlfn.XLOOKUP(C259,[1]Baseline!$B$4:$B$91,[1]Baseline!$D$4:$AZ$91))</f>
        <v>No Knowledge</v>
      </c>
      <c r="E259" s="13" t="s">
        <v>375</v>
      </c>
      <c r="F259" s="13">
        <v>0</v>
      </c>
      <c r="G259" s="153">
        <v>0</v>
      </c>
      <c r="H259" s="16">
        <f t="shared" si="4"/>
        <v>0</v>
      </c>
      <c r="I259" s="13">
        <v>0</v>
      </c>
      <c r="J259" s="160"/>
    </row>
    <row r="260" spans="1:10">
      <c r="A260" s="12" t="s">
        <v>16</v>
      </c>
      <c r="B260" s="13" t="s">
        <v>65</v>
      </c>
      <c r="C260" s="13" t="str">
        <f>VLOOKUP([1]Competence!$B94,[1]Competence!$B$12:$B$100,1,FALSE)</f>
        <v>Business modelling</v>
      </c>
      <c r="D260" s="13" t="str" cm="1">
        <f t="array" ref="D260">_xlfn.XLOOKUP(B260,[1]Baseline!$D$3:$AZ$3,_xlfn.XLOOKUP(C260,[1]Baseline!$B$4:$B$91,[1]Baseline!$D$4:$AZ$91))</f>
        <v>No Knowledge</v>
      </c>
      <c r="E260" s="13" t="s">
        <v>375</v>
      </c>
      <c r="F260" s="13">
        <v>0</v>
      </c>
      <c r="G260" s="153">
        <v>0</v>
      </c>
      <c r="H260" s="16">
        <f t="shared" si="4"/>
        <v>0</v>
      </c>
      <c r="I260" s="13">
        <v>0</v>
      </c>
      <c r="J260" s="160"/>
    </row>
    <row r="261" spans="1:10">
      <c r="A261" s="12" t="s">
        <v>16</v>
      </c>
      <c r="B261" s="13" t="s">
        <v>65</v>
      </c>
      <c r="C261" s="13" t="str">
        <f>VLOOKUP([1]Competence!$B95,[1]Competence!$B$12:$B$100,1,FALSE)</f>
        <v>Business process improvement</v>
      </c>
      <c r="D261" s="13" t="str" cm="1">
        <f t="array" ref="D261">_xlfn.XLOOKUP(B261,[1]Baseline!$D$3:$AZ$3,_xlfn.XLOOKUP(C261,[1]Baseline!$B$4:$B$91,[1]Baseline!$D$4:$AZ$91))</f>
        <v>No Knowledge</v>
      </c>
      <c r="E261" s="13" t="s">
        <v>375</v>
      </c>
      <c r="F261" s="13">
        <v>2</v>
      </c>
      <c r="G261" s="153">
        <v>0</v>
      </c>
      <c r="H261" s="16">
        <f t="shared" si="4"/>
        <v>-2</v>
      </c>
      <c r="I261" s="13">
        <v>0</v>
      </c>
      <c r="J261" s="160"/>
    </row>
    <row r="262" spans="1:10">
      <c r="A262" s="12" t="s">
        <v>16</v>
      </c>
      <c r="B262" s="13" t="s">
        <v>65</v>
      </c>
      <c r="C262" s="13" t="str">
        <f>VLOOKUP([1]Competence!$B96,[1]Competence!$B$12:$B$100,1,FALSE)</f>
        <v>Business situation analysis</v>
      </c>
      <c r="D262" s="13" t="str" cm="1">
        <f t="array" ref="D262">_xlfn.XLOOKUP(B262,[1]Baseline!$D$3:$AZ$3,_xlfn.XLOOKUP(C262,[1]Baseline!$B$4:$B$91,[1]Baseline!$D$4:$AZ$91))</f>
        <v>No Knowledge</v>
      </c>
      <c r="E262" s="13" t="s">
        <v>375</v>
      </c>
      <c r="F262" s="13">
        <v>2</v>
      </c>
      <c r="G262" s="153">
        <v>0</v>
      </c>
      <c r="H262" s="16">
        <f t="shared" si="4"/>
        <v>-2</v>
      </c>
      <c r="I262" s="13">
        <v>0</v>
      </c>
      <c r="J262" s="160"/>
    </row>
    <row r="263" spans="1:10">
      <c r="A263" s="12" t="s">
        <v>16</v>
      </c>
      <c r="B263" s="13" t="s">
        <v>65</v>
      </c>
      <c r="C263" s="13" t="str">
        <f>VLOOKUP([1]Competence!$B97,[1]Competence!$B$12:$B$100,1,FALSE)</f>
        <v>Programme management</v>
      </c>
      <c r="D263" s="13" t="str" cm="1">
        <f t="array" ref="D263">_xlfn.XLOOKUP(B263,[1]Baseline!$D$3:$AZ$3,_xlfn.XLOOKUP(C263,[1]Baseline!$B$4:$B$91,[1]Baseline!$D$4:$AZ$91))</f>
        <v>No Knowledge</v>
      </c>
      <c r="E263" s="13" t="s">
        <v>375</v>
      </c>
      <c r="F263" s="13">
        <v>0</v>
      </c>
      <c r="G263" s="153">
        <v>0</v>
      </c>
      <c r="H263" s="16">
        <f t="shared" si="4"/>
        <v>0</v>
      </c>
      <c r="I263" s="13">
        <v>0</v>
      </c>
      <c r="J263" s="160"/>
    </row>
    <row r="264" spans="1:10">
      <c r="A264" s="12" t="s">
        <v>16</v>
      </c>
      <c r="B264" s="13" t="s">
        <v>65</v>
      </c>
      <c r="C264" s="13" t="str">
        <f>VLOOKUP([1]Competence!$B98,[1]Competence!$B$12:$B$100,1,FALSE)</f>
        <v>Project management</v>
      </c>
      <c r="D264" s="13" t="str" cm="1">
        <f t="array" ref="D264">_xlfn.XLOOKUP(B264,[1]Baseline!$D$3:$AZ$3,_xlfn.XLOOKUP(C264,[1]Baseline!$B$4:$B$91,[1]Baseline!$D$4:$AZ$91))</f>
        <v>No Knowledge</v>
      </c>
      <c r="E264" s="13" t="s">
        <v>375</v>
      </c>
      <c r="F264" s="13">
        <v>0</v>
      </c>
      <c r="G264" s="153">
        <v>0</v>
      </c>
      <c r="H264" s="16">
        <f t="shared" si="4"/>
        <v>0</v>
      </c>
      <c r="I264" s="13">
        <v>0</v>
      </c>
      <c r="J264" s="160"/>
    </row>
    <row r="265" spans="1:10">
      <c r="A265" s="12" t="s">
        <v>16</v>
      </c>
      <c r="B265" s="13" t="s">
        <v>65</v>
      </c>
      <c r="C265" s="13" t="str">
        <f>VLOOKUP([1]Competence!$B99,[1]Competence!$B$12:$B$100,1,FALSE)</f>
        <v>Quality assurance</v>
      </c>
      <c r="D265" s="13" t="str" cm="1">
        <f t="array" ref="D265">_xlfn.XLOOKUP(B265,[1]Baseline!$D$3:$AZ$3,_xlfn.XLOOKUP(C265,[1]Baseline!$B$4:$B$91,[1]Baseline!$D$4:$AZ$91))</f>
        <v>Awareness</v>
      </c>
      <c r="E265" s="13" t="s">
        <v>375</v>
      </c>
      <c r="F265" s="13">
        <v>0</v>
      </c>
      <c r="G265" s="153">
        <v>0</v>
      </c>
      <c r="H265" s="16">
        <f t="shared" si="4"/>
        <v>0</v>
      </c>
      <c r="I265" s="13">
        <v>0</v>
      </c>
      <c r="J265" s="160"/>
    </row>
    <row r="266" spans="1:10">
      <c r="A266" s="13" t="s">
        <v>5</v>
      </c>
      <c r="B266" s="13" t="s">
        <v>61</v>
      </c>
      <c r="C266" s="13" t="str">
        <f>VLOOKUP([1]Competence!$B12,[1]Competence!$B$12:$B$100,1,FALSE)</f>
        <v>Asset Management</v>
      </c>
      <c r="D266" s="13" t="str" cm="1">
        <f t="array" ref="D266">_xlfn.XLOOKUP(B266,[1]Baseline!$D$3:$AZ$3,_xlfn.XLOOKUP(C266,[1]Baseline!$B$4:$B$91,[1]Baseline!$D$4:$AZ$91))</f>
        <v>Practitioner</v>
      </c>
      <c r="E266" s="13" t="s">
        <v>49</v>
      </c>
      <c r="F266" s="13">
        <v>4</v>
      </c>
      <c r="G266" s="153">
        <v>3</v>
      </c>
      <c r="H266" s="16">
        <f t="shared" si="4"/>
        <v>-1</v>
      </c>
      <c r="I266" s="13">
        <v>3</v>
      </c>
      <c r="J266" s="160"/>
    </row>
    <row r="267" spans="1:10">
      <c r="A267" s="13" t="s">
        <v>5</v>
      </c>
      <c r="B267" s="13" t="s">
        <v>61</v>
      </c>
      <c r="C267" s="13" t="str">
        <f>VLOOKUP([1]Competence!$B13,[1]Competence!$B$12:$B$100,1,FALSE)</f>
        <v>Change Control</v>
      </c>
      <c r="D267" s="13" t="str" cm="1">
        <f t="array" ref="D267">_xlfn.XLOOKUP(B267,[1]Baseline!$D$3:$AZ$3,_xlfn.XLOOKUP(C267,[1]Baseline!$B$4:$B$91,[1]Baseline!$D$4:$AZ$91))</f>
        <v>Practitioner</v>
      </c>
      <c r="E267" s="13" t="s">
        <v>378</v>
      </c>
      <c r="F267" s="13">
        <v>2</v>
      </c>
      <c r="G267" s="153">
        <v>3</v>
      </c>
      <c r="H267" s="16">
        <f t="shared" si="4"/>
        <v>1</v>
      </c>
      <c r="I267" s="13">
        <v>3</v>
      </c>
      <c r="J267" s="160"/>
    </row>
    <row r="268" spans="1:10">
      <c r="A268" s="13" t="s">
        <v>5</v>
      </c>
      <c r="B268" s="13" t="s">
        <v>61</v>
      </c>
      <c r="C268" s="13" t="str">
        <f>VLOOKUP([1]Competence!$B14,[1]Competence!$B$12:$B$100,1,FALSE)</f>
        <v>Customer Service Support</v>
      </c>
      <c r="D268" s="13" t="str" cm="1">
        <f t="array" ref="D268">_xlfn.XLOOKUP(B268,[1]Baseline!$D$3:$AZ$3,_xlfn.XLOOKUP(C268,[1]Baseline!$B$4:$B$91,[1]Baseline!$D$4:$AZ$91))</f>
        <v>Practitioner</v>
      </c>
      <c r="E268" s="13" t="s">
        <v>49</v>
      </c>
      <c r="F268" s="13">
        <v>3</v>
      </c>
      <c r="G268" s="153">
        <v>3</v>
      </c>
      <c r="H268" s="16">
        <f t="shared" si="4"/>
        <v>0</v>
      </c>
      <c r="I268" s="13">
        <v>3</v>
      </c>
      <c r="J268" s="160"/>
    </row>
    <row r="269" spans="1:10">
      <c r="A269" s="13" t="s">
        <v>5</v>
      </c>
      <c r="B269" s="13" t="s">
        <v>61</v>
      </c>
      <c r="C269" s="13" t="str">
        <f>VLOOKUP([1]Competence!$B15,[1]Competence!$B$12:$B$100,1,FALSE)</f>
        <v>Incident management</v>
      </c>
      <c r="D269" s="13" t="str" cm="1">
        <f t="array" ref="D269">_xlfn.XLOOKUP(B269,[1]Baseline!$D$3:$AZ$3,_xlfn.XLOOKUP(C269,[1]Baseline!$B$4:$B$91,[1]Baseline!$D$4:$AZ$91))</f>
        <v>Practitioner</v>
      </c>
      <c r="E269" s="13" t="s">
        <v>49</v>
      </c>
      <c r="F269" s="13">
        <v>2</v>
      </c>
      <c r="G269" s="153">
        <v>3</v>
      </c>
      <c r="H269" s="16">
        <f t="shared" si="4"/>
        <v>1</v>
      </c>
      <c r="I269" s="13">
        <v>3</v>
      </c>
      <c r="J269" s="160"/>
    </row>
    <row r="270" spans="1:10">
      <c r="A270" s="13" t="s">
        <v>5</v>
      </c>
      <c r="B270" s="13" t="s">
        <v>61</v>
      </c>
      <c r="C270" s="13" t="str">
        <f>VLOOKUP([1]Competence!$B16,[1]Competence!$B$12:$B$100,1,FALSE)</f>
        <v>Information security</v>
      </c>
      <c r="D270" s="13" t="str" cm="1">
        <f t="array" ref="D270">_xlfn.XLOOKUP(B270,[1]Baseline!$D$3:$AZ$3,_xlfn.XLOOKUP(C270,[1]Baseline!$B$4:$B$91,[1]Baseline!$D$4:$AZ$91))</f>
        <v>Practitioner</v>
      </c>
      <c r="E270" s="13" t="s">
        <v>49</v>
      </c>
      <c r="F270" s="13">
        <v>3</v>
      </c>
      <c r="G270" s="153">
        <v>2</v>
      </c>
      <c r="H270" s="16">
        <f t="shared" si="4"/>
        <v>-1</v>
      </c>
      <c r="I270" s="13">
        <v>2</v>
      </c>
      <c r="J270" s="160"/>
    </row>
    <row r="271" spans="1:10">
      <c r="A271" s="13" t="s">
        <v>5</v>
      </c>
      <c r="B271" s="13" t="s">
        <v>61</v>
      </c>
      <c r="C271" s="13" t="str">
        <f>VLOOKUP([1]Competence!$B17,[1]Competence!$B$12:$B$100,1,FALSE)</f>
        <v>Personal data protection</v>
      </c>
      <c r="D271" s="13" t="str" cm="1">
        <f t="array" ref="D271">_xlfn.XLOOKUP(B271,[1]Baseline!$D$3:$AZ$3,_xlfn.XLOOKUP(C271,[1]Baseline!$B$4:$B$91,[1]Baseline!$D$4:$AZ$91))</f>
        <v>Practitioner</v>
      </c>
      <c r="E271" s="13" t="s">
        <v>376</v>
      </c>
      <c r="F271" s="13">
        <v>4</v>
      </c>
      <c r="G271" s="153">
        <v>3</v>
      </c>
      <c r="H271" s="16">
        <f t="shared" si="4"/>
        <v>-1</v>
      </c>
      <c r="I271" s="13">
        <v>3</v>
      </c>
      <c r="J271" s="160"/>
    </row>
    <row r="272" spans="1:10">
      <c r="A272" s="13" t="s">
        <v>5</v>
      </c>
      <c r="B272" s="13" t="s">
        <v>61</v>
      </c>
      <c r="C272" s="13" t="str">
        <f>VLOOKUP([1]Competence!$B18,[1]Competence!$B$12:$B$100,1,FALSE)</f>
        <v>Problem management</v>
      </c>
      <c r="D272" s="13" t="str" cm="1">
        <f t="array" ref="D272">_xlfn.XLOOKUP(B272,[1]Baseline!$D$3:$AZ$3,_xlfn.XLOOKUP(C272,[1]Baseline!$B$4:$B$91,[1]Baseline!$D$4:$AZ$91))</f>
        <v>Practitioner</v>
      </c>
      <c r="E272" s="13" t="s">
        <v>376</v>
      </c>
      <c r="F272" s="13">
        <v>3</v>
      </c>
      <c r="G272" s="153">
        <v>3</v>
      </c>
      <c r="H272" s="16">
        <f t="shared" si="4"/>
        <v>0</v>
      </c>
      <c r="I272" s="13">
        <v>3</v>
      </c>
      <c r="J272" s="160"/>
    </row>
    <row r="273" spans="1:10">
      <c r="A273" s="13" t="s">
        <v>5</v>
      </c>
      <c r="B273" s="13" t="s">
        <v>61</v>
      </c>
      <c r="C273" s="13" t="str">
        <f>VLOOKUP([1]Competence!$B19,[1]Competence!$B$12:$B$100,1,FALSE)</f>
        <v>Service catalogue management</v>
      </c>
      <c r="D273" s="13" t="str" cm="1">
        <f t="array" ref="D273">_xlfn.XLOOKUP(B273,[1]Baseline!$D$3:$AZ$3,_xlfn.XLOOKUP(C273,[1]Baseline!$B$4:$B$91,[1]Baseline!$D$4:$AZ$91))</f>
        <v>Practitioner</v>
      </c>
      <c r="E273" s="13" t="s">
        <v>374</v>
      </c>
      <c r="F273" s="13">
        <v>2</v>
      </c>
      <c r="G273" s="153">
        <v>3</v>
      </c>
      <c r="H273" s="16">
        <f t="shared" si="4"/>
        <v>1</v>
      </c>
      <c r="I273" s="13">
        <v>3</v>
      </c>
      <c r="J273" s="160"/>
    </row>
    <row r="274" spans="1:10">
      <c r="A274" s="13" t="s">
        <v>5</v>
      </c>
      <c r="B274" s="13" t="s">
        <v>61</v>
      </c>
      <c r="C274" s="13" t="str">
        <f>VLOOKUP([1]Competence!$B20,[1]Competence!$B$12:$B$100,1,FALSE)</f>
        <v>Service level management</v>
      </c>
      <c r="D274" s="13" t="str" cm="1">
        <f t="array" ref="D274">_xlfn.XLOOKUP(B274,[1]Baseline!$D$3:$AZ$3,_xlfn.XLOOKUP(C274,[1]Baseline!$B$4:$B$91,[1]Baseline!$D$4:$AZ$91))</f>
        <v>Working</v>
      </c>
      <c r="E274" s="13" t="s">
        <v>377</v>
      </c>
      <c r="F274" s="13">
        <v>3</v>
      </c>
      <c r="G274" s="153">
        <v>2</v>
      </c>
      <c r="H274" s="16">
        <f t="shared" si="4"/>
        <v>-1</v>
      </c>
      <c r="I274" s="13">
        <v>2</v>
      </c>
      <c r="J274" s="160"/>
    </row>
    <row r="275" spans="1:10">
      <c r="A275" s="13" t="s">
        <v>5</v>
      </c>
      <c r="B275" s="13" t="s">
        <v>61</v>
      </c>
      <c r="C275" s="13" t="str">
        <f>VLOOKUP([1]Competence!$B21,[1]Competence!$B$12:$B$100,1,FALSE)</f>
        <v>Availability Management</v>
      </c>
      <c r="D275" s="13" t="str" cm="1">
        <f t="array" ref="D275">_xlfn.XLOOKUP(B275,[1]Baseline!$D$3:$AZ$3,_xlfn.XLOOKUP(C275,[1]Baseline!$B$4:$B$91,[1]Baseline!$D$4:$AZ$91))</f>
        <v>Working</v>
      </c>
      <c r="E275" s="13" t="s">
        <v>378</v>
      </c>
      <c r="F275" s="13">
        <v>2</v>
      </c>
      <c r="G275" s="153">
        <v>2</v>
      </c>
      <c r="H275" s="16">
        <f t="shared" si="4"/>
        <v>0</v>
      </c>
      <c r="I275" s="13">
        <v>2</v>
      </c>
      <c r="J275" s="160"/>
    </row>
    <row r="276" spans="1:10">
      <c r="A276" s="13" t="s">
        <v>5</v>
      </c>
      <c r="B276" s="13" t="s">
        <v>61</v>
      </c>
      <c r="C276" s="13" t="str">
        <f>VLOOKUP([1]Competence!$B22,[1]Competence!$B$12:$B$100,1,FALSE)</f>
        <v>Capacity management</v>
      </c>
      <c r="D276" s="13" t="str" cm="1">
        <f t="array" ref="D276">_xlfn.XLOOKUP(B276,[1]Baseline!$D$3:$AZ$3,_xlfn.XLOOKUP(C276,[1]Baseline!$B$4:$B$91,[1]Baseline!$D$4:$AZ$91))</f>
        <v>No Knowledge</v>
      </c>
      <c r="E276" s="13" t="s">
        <v>378</v>
      </c>
      <c r="F276" s="13">
        <v>2</v>
      </c>
      <c r="G276" s="153">
        <v>1</v>
      </c>
      <c r="H276" s="16">
        <f t="shared" si="4"/>
        <v>-1</v>
      </c>
      <c r="I276" s="13">
        <v>1</v>
      </c>
      <c r="J276" s="160"/>
    </row>
    <row r="277" spans="1:10">
      <c r="A277" s="13" t="s">
        <v>5</v>
      </c>
      <c r="B277" s="13" t="s">
        <v>61</v>
      </c>
      <c r="C277" s="13" t="str">
        <f>VLOOKUP([1]Competence!$B23,[1]Competence!$B$12:$B$100,1,FALSE)</f>
        <v>Configuration Management</v>
      </c>
      <c r="D277" s="13" t="str" cm="1">
        <f t="array" ref="D277">_xlfn.XLOOKUP(B277,[1]Baseline!$D$3:$AZ$3,_xlfn.XLOOKUP(C277,[1]Baseline!$B$4:$B$91,[1]Baseline!$D$4:$AZ$91))</f>
        <v>Awareness</v>
      </c>
      <c r="E277" s="13" t="s">
        <v>49</v>
      </c>
      <c r="F277" s="13">
        <v>2</v>
      </c>
      <c r="G277" s="153">
        <v>1</v>
      </c>
      <c r="H277" s="16">
        <f t="shared" si="4"/>
        <v>-1</v>
      </c>
      <c r="I277" s="13">
        <v>1</v>
      </c>
      <c r="J277" s="160"/>
    </row>
    <row r="278" spans="1:10">
      <c r="A278" s="13" t="s">
        <v>5</v>
      </c>
      <c r="B278" s="13" t="s">
        <v>61</v>
      </c>
      <c r="C278" s="13" t="str">
        <f>VLOOKUP([1]Competence!$B24,[1]Competence!$B$12:$B$100,1,FALSE)</f>
        <v>Continuity Management</v>
      </c>
      <c r="D278" s="13" t="str" cm="1">
        <f t="array" ref="D278">_xlfn.XLOOKUP(B278,[1]Baseline!$D$3:$AZ$3,_xlfn.XLOOKUP(C278,[1]Baseline!$B$4:$B$91,[1]Baseline!$D$4:$AZ$91))</f>
        <v>Awareness</v>
      </c>
      <c r="E278" s="13" t="s">
        <v>49</v>
      </c>
      <c r="F278" s="13">
        <v>2</v>
      </c>
      <c r="G278" s="153">
        <v>1</v>
      </c>
      <c r="H278" s="16">
        <f t="shared" si="4"/>
        <v>-1</v>
      </c>
      <c r="I278" s="13">
        <v>1</v>
      </c>
      <c r="J278" s="160"/>
    </row>
    <row r="279" spans="1:10">
      <c r="A279" s="13" t="s">
        <v>5</v>
      </c>
      <c r="B279" s="13" t="s">
        <v>61</v>
      </c>
      <c r="C279" s="13" t="str">
        <f>VLOOKUP([1]Competence!$B25,[1]Competence!$B$12:$B$100,1,FALSE)</f>
        <v>Demand Management</v>
      </c>
      <c r="D279" s="13" t="str" cm="1">
        <f t="array" ref="D279">_xlfn.XLOOKUP(B279,[1]Baseline!$D$3:$AZ$3,_xlfn.XLOOKUP(C279,[1]Baseline!$B$4:$B$91,[1]Baseline!$D$4:$AZ$91))</f>
        <v>Awareness</v>
      </c>
      <c r="E279" s="13" t="s">
        <v>375</v>
      </c>
      <c r="F279" s="13">
        <v>3</v>
      </c>
      <c r="G279" s="153">
        <v>1</v>
      </c>
      <c r="H279" s="16">
        <f t="shared" si="4"/>
        <v>-2</v>
      </c>
      <c r="I279" s="13">
        <v>1</v>
      </c>
      <c r="J279" s="160"/>
    </row>
    <row r="280" spans="1:10">
      <c r="A280" s="13" t="s">
        <v>5</v>
      </c>
      <c r="B280" s="13" t="s">
        <v>61</v>
      </c>
      <c r="C280" s="13" t="str">
        <f>VLOOKUP([1]Competence!$B26,[1]Competence!$B$12:$B$100,1,FALSE)</f>
        <v>Knowledge management</v>
      </c>
      <c r="D280" s="13" t="str" cm="1">
        <f t="array" ref="D280">_xlfn.XLOOKUP(B280,[1]Baseline!$D$3:$AZ$3,_xlfn.XLOOKUP(C280,[1]Baseline!$B$4:$B$91,[1]Baseline!$D$4:$AZ$91))</f>
        <v>Working</v>
      </c>
      <c r="E280" s="13" t="s">
        <v>373</v>
      </c>
      <c r="F280" s="13">
        <v>2</v>
      </c>
      <c r="G280" s="153">
        <v>3</v>
      </c>
      <c r="H280" s="16">
        <f t="shared" si="4"/>
        <v>1</v>
      </c>
      <c r="I280" s="13">
        <v>3</v>
      </c>
      <c r="J280" s="160"/>
    </row>
    <row r="281" spans="1:10">
      <c r="A281" s="13" t="s">
        <v>5</v>
      </c>
      <c r="B281" s="13" t="s">
        <v>61</v>
      </c>
      <c r="C281" s="13" t="str">
        <f>VLOOKUP([1]Competence!$B27,[1]Competence!$B$12:$B$100,1,FALSE)</f>
        <v>Methods and tools</v>
      </c>
      <c r="D281" s="13" t="str" cm="1">
        <f t="array" ref="D281">_xlfn.XLOOKUP(B281,[1]Baseline!$D$3:$AZ$3,_xlfn.XLOOKUP(C281,[1]Baseline!$B$4:$B$91,[1]Baseline!$D$4:$AZ$91))</f>
        <v>Awareness</v>
      </c>
      <c r="E281" s="13" t="s">
        <v>376</v>
      </c>
      <c r="F281" s="13">
        <v>3</v>
      </c>
      <c r="G281" s="153">
        <v>3</v>
      </c>
      <c r="H281" s="16">
        <f t="shared" si="4"/>
        <v>0</v>
      </c>
      <c r="I281" s="13">
        <v>3</v>
      </c>
      <c r="J281" s="160"/>
    </row>
    <row r="282" spans="1:10">
      <c r="A282" s="13" t="s">
        <v>5</v>
      </c>
      <c r="B282" s="13" t="s">
        <v>61</v>
      </c>
      <c r="C282" s="13" t="str">
        <f>VLOOKUP([1]Competence!$B28,[1]Competence!$B$12:$B$100,1,FALSE)</f>
        <v>Release and deployment</v>
      </c>
      <c r="D282" s="13" t="str" cm="1">
        <f t="array" ref="D282">_xlfn.XLOOKUP(B282,[1]Baseline!$D$3:$AZ$3,_xlfn.XLOOKUP(C282,[1]Baseline!$B$4:$B$91,[1]Baseline!$D$4:$AZ$91))</f>
        <v>Awareness</v>
      </c>
      <c r="E282" s="13" t="s">
        <v>376</v>
      </c>
      <c r="F282" s="13">
        <v>3</v>
      </c>
      <c r="G282" s="153">
        <v>1</v>
      </c>
      <c r="H282" s="16">
        <f t="shared" si="4"/>
        <v>-2</v>
      </c>
      <c r="I282" s="13">
        <v>1</v>
      </c>
      <c r="J282" s="160"/>
    </row>
    <row r="283" spans="1:10">
      <c r="A283" s="13" t="s">
        <v>5</v>
      </c>
      <c r="B283" s="13" t="s">
        <v>61</v>
      </c>
      <c r="C283" s="13" t="str">
        <f>VLOOKUP([1]Competence!$B29,[1]Competence!$B$12:$B$100,1,FALSE)</f>
        <v>Service acceptance</v>
      </c>
      <c r="D283" s="13" t="str" cm="1">
        <f t="array" ref="D283">_xlfn.XLOOKUP(B283,[1]Baseline!$D$3:$AZ$3,_xlfn.XLOOKUP(C283,[1]Baseline!$B$4:$B$91,[1]Baseline!$D$4:$AZ$91))</f>
        <v>Working</v>
      </c>
      <c r="E283" s="13" t="s">
        <v>376</v>
      </c>
      <c r="F283" s="13">
        <v>3</v>
      </c>
      <c r="G283" s="153">
        <v>0</v>
      </c>
      <c r="H283" s="16">
        <f t="shared" si="4"/>
        <v>-3</v>
      </c>
      <c r="I283" s="13">
        <v>0</v>
      </c>
      <c r="J283" s="160"/>
    </row>
    <row r="284" spans="1:10">
      <c r="A284" s="13" t="s">
        <v>5</v>
      </c>
      <c r="B284" s="13" t="s">
        <v>61</v>
      </c>
      <c r="C284" s="13" t="str">
        <f>VLOOKUP([1]Competence!$B30,[1]Competence!$B$12:$B$100,1,FALSE)</f>
        <v>Stakeholder relationship management</v>
      </c>
      <c r="D284" s="13" t="str" cm="1">
        <f t="array" ref="D284">_xlfn.XLOOKUP(B284,[1]Baseline!$D$3:$AZ$3,_xlfn.XLOOKUP(C284,[1]Baseline!$B$4:$B$91,[1]Baseline!$D$4:$AZ$91))</f>
        <v>Practitioner</v>
      </c>
      <c r="E284" s="13" t="s">
        <v>376</v>
      </c>
      <c r="F284" s="13">
        <v>2</v>
      </c>
      <c r="G284" s="153">
        <v>2</v>
      </c>
      <c r="H284" s="16">
        <f t="shared" si="4"/>
        <v>0</v>
      </c>
      <c r="I284" s="13">
        <v>2</v>
      </c>
      <c r="J284" s="160"/>
    </row>
    <row r="285" spans="1:10">
      <c r="A285" s="13" t="s">
        <v>5</v>
      </c>
      <c r="B285" s="13" t="s">
        <v>61</v>
      </c>
      <c r="C285" s="13" t="str">
        <f>VLOOKUP([1]Competence!$B31,[1]Competence!$B$12:$B$100,1,FALSE)</f>
        <v>Storage management</v>
      </c>
      <c r="D285" s="13" t="str" cm="1">
        <f t="array" ref="D285">_xlfn.XLOOKUP(B285,[1]Baseline!$D$3:$AZ$3,_xlfn.XLOOKUP(C285,[1]Baseline!$B$4:$B$91,[1]Baseline!$D$4:$AZ$91))</f>
        <v>Working</v>
      </c>
      <c r="E285" s="13" t="s">
        <v>374</v>
      </c>
      <c r="F285" s="13">
        <v>1</v>
      </c>
      <c r="G285" s="153">
        <v>2</v>
      </c>
      <c r="H285" s="16">
        <f t="shared" si="4"/>
        <v>1</v>
      </c>
      <c r="I285" s="13">
        <v>2</v>
      </c>
      <c r="J285" s="160"/>
    </row>
    <row r="286" spans="1:10">
      <c r="A286" s="13" t="s">
        <v>5</v>
      </c>
      <c r="B286" s="13" t="s">
        <v>61</v>
      </c>
      <c r="C286" s="13" t="str">
        <f>VLOOKUP([1]Competence!$B32,[1]Competence!$B$12:$B$100,1,FALSE)</f>
        <v>Digital Forensics</v>
      </c>
      <c r="D286" s="13" t="str" cm="1">
        <f t="array" ref="D286">_xlfn.XLOOKUP(B286,[1]Baseline!$D$3:$AZ$3,_xlfn.XLOOKUP(C286,[1]Baseline!$B$4:$B$91,[1]Baseline!$D$4:$AZ$91))</f>
        <v>No Knowledge</v>
      </c>
      <c r="E286" s="13" t="s">
        <v>374</v>
      </c>
      <c r="F286" s="13">
        <v>0</v>
      </c>
      <c r="G286" s="153">
        <v>2</v>
      </c>
      <c r="H286" s="16">
        <f t="shared" si="4"/>
        <v>2</v>
      </c>
      <c r="I286" s="13">
        <v>2</v>
      </c>
      <c r="J286" s="160"/>
    </row>
    <row r="287" spans="1:10">
      <c r="A287" s="13" t="s">
        <v>5</v>
      </c>
      <c r="B287" s="13" t="s">
        <v>61</v>
      </c>
      <c r="C287" s="13" t="str">
        <f>VLOOKUP([1]Competence!$B33,[1]Competence!$B$12:$B$100,1,FALSE)</f>
        <v>Penetration testing</v>
      </c>
      <c r="D287" s="13" t="str" cm="1">
        <f t="array" ref="D287">_xlfn.XLOOKUP(B287,[1]Baseline!$D$3:$AZ$3,_xlfn.XLOOKUP(C287,[1]Baseline!$B$4:$B$91,[1]Baseline!$D$4:$AZ$91))</f>
        <v>No Knowledge</v>
      </c>
      <c r="E287" s="13" t="s">
        <v>374</v>
      </c>
      <c r="F287" s="13">
        <v>2</v>
      </c>
      <c r="G287" s="153">
        <v>0</v>
      </c>
      <c r="H287" s="16">
        <f t="shared" si="4"/>
        <v>-2</v>
      </c>
      <c r="I287" s="13">
        <v>0</v>
      </c>
      <c r="J287" s="160"/>
    </row>
    <row r="288" spans="1:10">
      <c r="A288" s="13" t="s">
        <v>5</v>
      </c>
      <c r="B288" s="13" t="s">
        <v>61</v>
      </c>
      <c r="C288" s="13" t="str">
        <f>VLOOKUP([1]Competence!$B34,[1]Competence!$B$12:$B$100,1,FALSE)</f>
        <v>Security Operations</v>
      </c>
      <c r="D288" s="13" t="str" cm="1">
        <f t="array" ref="D288">_xlfn.XLOOKUP(B288,[1]Baseline!$D$3:$AZ$3,_xlfn.XLOOKUP(C288,[1]Baseline!$B$4:$B$91,[1]Baseline!$D$4:$AZ$91))</f>
        <v>Practitioner</v>
      </c>
      <c r="E288" s="13" t="s">
        <v>374</v>
      </c>
      <c r="F288" s="13">
        <v>2</v>
      </c>
      <c r="G288" s="153">
        <v>2</v>
      </c>
      <c r="H288" s="16">
        <f t="shared" si="4"/>
        <v>0</v>
      </c>
      <c r="I288" s="13">
        <v>2</v>
      </c>
      <c r="J288" s="160"/>
    </row>
    <row r="289" spans="1:10">
      <c r="A289" s="13" t="s">
        <v>5</v>
      </c>
      <c r="B289" s="13" t="s">
        <v>61</v>
      </c>
      <c r="C289" s="13" t="str">
        <f>VLOOKUP([1]Competence!$B35,[1]Competence!$B$12:$B$100,1,FALSE)</f>
        <v>Threat Intelligence</v>
      </c>
      <c r="D289" s="13" t="str" cm="1">
        <f t="array" ref="D289">_xlfn.XLOOKUP(B289,[1]Baseline!$D$3:$AZ$3,_xlfn.XLOOKUP(C289,[1]Baseline!$B$4:$B$91,[1]Baseline!$D$4:$AZ$91))</f>
        <v>No Knowledge</v>
      </c>
      <c r="E289" s="13" t="s">
        <v>377</v>
      </c>
      <c r="F289" s="13">
        <v>0</v>
      </c>
      <c r="G289" s="153">
        <v>1</v>
      </c>
      <c r="H289" s="16">
        <f t="shared" si="4"/>
        <v>1</v>
      </c>
      <c r="I289" s="13">
        <v>1</v>
      </c>
      <c r="J289" s="160"/>
    </row>
    <row r="290" spans="1:10">
      <c r="A290" s="13" t="s">
        <v>5</v>
      </c>
      <c r="B290" s="13" t="s">
        <v>61</v>
      </c>
      <c r="C290" s="13" t="str">
        <f>VLOOKUP([1]Competence!$B36,[1]Competence!$B$12:$B$100,1,FALSE)</f>
        <v>Vulnerability assessment</v>
      </c>
      <c r="D290" s="13" t="str" cm="1">
        <f t="array" ref="D290">_xlfn.XLOOKUP(B290,[1]Baseline!$D$3:$AZ$3,_xlfn.XLOOKUP(C290,[1]Baseline!$B$4:$B$91,[1]Baseline!$D$4:$AZ$91))</f>
        <v>Working</v>
      </c>
      <c r="E290" s="13" t="s">
        <v>377</v>
      </c>
      <c r="F290" s="13">
        <v>2</v>
      </c>
      <c r="G290" s="153">
        <v>2</v>
      </c>
      <c r="H290" s="16">
        <f t="shared" si="4"/>
        <v>0</v>
      </c>
      <c r="I290" s="13">
        <v>2</v>
      </c>
      <c r="J290" s="160"/>
    </row>
    <row r="291" spans="1:10">
      <c r="A291" s="13" t="s">
        <v>5</v>
      </c>
      <c r="B291" s="13" t="s">
        <v>61</v>
      </c>
      <c r="C291" s="13" t="str">
        <f>VLOOKUP([1]Competence!$B37,[1]Competence!$B$12:$B$100,1,FALSE)</f>
        <v>Vulnerability Research</v>
      </c>
      <c r="D291" s="13" t="str" cm="1">
        <f t="array" ref="D291">_xlfn.XLOOKUP(B291,[1]Baseline!$D$3:$AZ$3,_xlfn.XLOOKUP(C291,[1]Baseline!$B$4:$B$91,[1]Baseline!$D$4:$AZ$91))</f>
        <v>No Knowledge</v>
      </c>
      <c r="E291" s="13" t="s">
        <v>377</v>
      </c>
      <c r="F291" s="13">
        <v>0</v>
      </c>
      <c r="G291" s="153">
        <v>0</v>
      </c>
      <c r="H291" s="16">
        <f t="shared" si="4"/>
        <v>0</v>
      </c>
      <c r="I291" s="13">
        <v>0</v>
      </c>
      <c r="J291" s="160"/>
    </row>
    <row r="292" spans="1:10">
      <c r="A292" s="13" t="s">
        <v>5</v>
      </c>
      <c r="B292" s="13" t="s">
        <v>61</v>
      </c>
      <c r="C292" s="13" t="str">
        <f>VLOOKUP([1]Competence!$B38,[1]Competence!$B$12:$B$100,1,FALSE)</f>
        <v>Competency assessment</v>
      </c>
      <c r="D292" s="13" t="str" cm="1">
        <f t="array" ref="D292">_xlfn.XLOOKUP(B292,[1]Baseline!$D$3:$AZ$3,_xlfn.XLOOKUP(C292,[1]Baseline!$B$4:$B$91,[1]Baseline!$D$4:$AZ$91))</f>
        <v>Awareness</v>
      </c>
      <c r="E292" s="13" t="s">
        <v>378</v>
      </c>
      <c r="F292" s="13">
        <v>2</v>
      </c>
      <c r="G292" s="153">
        <v>1</v>
      </c>
      <c r="H292" s="16">
        <f t="shared" si="4"/>
        <v>-1</v>
      </c>
      <c r="I292" s="13">
        <v>1</v>
      </c>
      <c r="J292" s="160"/>
    </row>
    <row r="293" spans="1:10">
      <c r="A293" s="13" t="s">
        <v>5</v>
      </c>
      <c r="B293" s="13" t="s">
        <v>61</v>
      </c>
      <c r="C293" s="13" t="str">
        <f>VLOOKUP([1]Competence!$B39,[1]Competence!$B$12:$B$100,1,FALSE)</f>
        <v>Financial management</v>
      </c>
      <c r="D293" s="13" t="str" cm="1">
        <f t="array" ref="D293">_xlfn.XLOOKUP(B293,[1]Baseline!$D$3:$AZ$3,_xlfn.XLOOKUP(C293,[1]Baseline!$B$4:$B$91,[1]Baseline!$D$4:$AZ$91))</f>
        <v>Awareness</v>
      </c>
      <c r="E293" s="13" t="s">
        <v>378</v>
      </c>
      <c r="F293" s="13">
        <v>1</v>
      </c>
      <c r="G293" s="153">
        <v>2</v>
      </c>
      <c r="H293" s="16">
        <f t="shared" si="4"/>
        <v>1</v>
      </c>
      <c r="I293" s="13">
        <v>2</v>
      </c>
      <c r="J293" s="160"/>
    </row>
    <row r="294" spans="1:10">
      <c r="A294" s="13" t="s">
        <v>5</v>
      </c>
      <c r="B294" s="13" t="s">
        <v>61</v>
      </c>
      <c r="C294" s="13" t="str">
        <f>VLOOKUP([1]Competence!$B40,[1]Competence!$B$12:$B$100,1,FALSE)</f>
        <v>Organisation design and implementation</v>
      </c>
      <c r="D294" s="13" t="str" cm="1">
        <f t="array" ref="D294">_xlfn.XLOOKUP(B294,[1]Baseline!$D$3:$AZ$3,_xlfn.XLOOKUP(C294,[1]Baseline!$B$4:$B$91,[1]Baseline!$D$4:$AZ$91))</f>
        <v>No Knowledge</v>
      </c>
      <c r="E294" s="13" t="s">
        <v>378</v>
      </c>
      <c r="F294" s="13">
        <v>0</v>
      </c>
      <c r="G294" s="153">
        <v>1</v>
      </c>
      <c r="H294" s="16">
        <f t="shared" si="4"/>
        <v>1</v>
      </c>
      <c r="I294" s="13">
        <v>1</v>
      </c>
      <c r="J294" s="160"/>
    </row>
    <row r="295" spans="1:10">
      <c r="A295" s="13" t="s">
        <v>5</v>
      </c>
      <c r="B295" s="13" t="s">
        <v>61</v>
      </c>
      <c r="C295" s="13" t="str">
        <f>VLOOKUP([1]Competence!$B41,[1]Competence!$B$12:$B$100,1,FALSE)</f>
        <v>Organisational capability development</v>
      </c>
      <c r="D295" s="13" t="str" cm="1">
        <f t="array" ref="D295">_xlfn.XLOOKUP(B295,[1]Baseline!$D$3:$AZ$3,_xlfn.XLOOKUP(C295,[1]Baseline!$B$4:$B$91,[1]Baseline!$D$4:$AZ$91))</f>
        <v>No Knowledge</v>
      </c>
      <c r="E295" s="13" t="s">
        <v>49</v>
      </c>
      <c r="F295" s="13">
        <v>1</v>
      </c>
      <c r="G295" s="153">
        <v>1</v>
      </c>
      <c r="H295" s="16">
        <f t="shared" si="4"/>
        <v>0</v>
      </c>
      <c r="I295" s="13">
        <v>1</v>
      </c>
      <c r="J295" s="160"/>
    </row>
    <row r="296" spans="1:10">
      <c r="A296" s="13" t="s">
        <v>5</v>
      </c>
      <c r="B296" s="13" t="s">
        <v>61</v>
      </c>
      <c r="C296" s="13" t="str">
        <f>VLOOKUP([1]Competence!$B42,[1]Competence!$B$12:$B$100,1,FALSE)</f>
        <v>Organisational change management</v>
      </c>
      <c r="D296" s="13" t="str" cm="1">
        <f t="array" ref="D296">_xlfn.XLOOKUP(B296,[1]Baseline!$D$3:$AZ$3,_xlfn.XLOOKUP(C296,[1]Baseline!$B$4:$B$91,[1]Baseline!$D$4:$AZ$91))</f>
        <v>No Knowledge</v>
      </c>
      <c r="E296" s="13" t="s">
        <v>375</v>
      </c>
      <c r="F296" s="13">
        <v>0</v>
      </c>
      <c r="G296" s="153">
        <v>1</v>
      </c>
      <c r="H296" s="16">
        <f t="shared" si="4"/>
        <v>1</v>
      </c>
      <c r="I296" s="13">
        <v>1</v>
      </c>
      <c r="J296" s="160"/>
    </row>
    <row r="297" spans="1:10">
      <c r="A297" s="13" t="s">
        <v>5</v>
      </c>
      <c r="B297" s="13" t="s">
        <v>61</v>
      </c>
      <c r="C297" s="13" t="str">
        <f>VLOOKUP([1]Competence!$B43,[1]Competence!$B$12:$B$100,1,FALSE)</f>
        <v>Performance Management</v>
      </c>
      <c r="D297" s="13" t="str" cm="1">
        <f t="array" ref="D297">_xlfn.XLOOKUP(B297,[1]Baseline!$D$3:$AZ$3,_xlfn.XLOOKUP(C297,[1]Baseline!$B$4:$B$91,[1]Baseline!$D$4:$AZ$91))</f>
        <v>No Knowledge</v>
      </c>
      <c r="E297" s="13" t="s">
        <v>375</v>
      </c>
      <c r="F297" s="13">
        <v>0</v>
      </c>
      <c r="G297" s="153">
        <v>0</v>
      </c>
      <c r="H297" s="16">
        <f t="shared" si="4"/>
        <v>0</v>
      </c>
      <c r="I297" s="13">
        <v>0</v>
      </c>
      <c r="J297" s="160"/>
    </row>
    <row r="298" spans="1:10">
      <c r="A298" s="13" t="s">
        <v>5</v>
      </c>
      <c r="B298" s="13" t="s">
        <v>61</v>
      </c>
      <c r="C298" s="13" t="str">
        <f>VLOOKUP([1]Competence!$B44,[1]Competence!$B$12:$B$100,1,FALSE)</f>
        <v>Professional Development</v>
      </c>
      <c r="D298" s="13" t="str" cm="1">
        <f t="array" ref="D298">_xlfn.XLOOKUP(B298,[1]Baseline!$D$3:$AZ$3,_xlfn.XLOOKUP(C298,[1]Baseline!$B$4:$B$91,[1]Baseline!$D$4:$AZ$91))</f>
        <v>Awareness</v>
      </c>
      <c r="E298" s="13" t="s">
        <v>375</v>
      </c>
      <c r="F298" s="13">
        <v>0</v>
      </c>
      <c r="G298" s="153">
        <v>1</v>
      </c>
      <c r="H298" s="16">
        <f t="shared" si="4"/>
        <v>1</v>
      </c>
      <c r="I298" s="13">
        <v>1</v>
      </c>
      <c r="J298" s="160"/>
    </row>
    <row r="299" spans="1:10">
      <c r="A299" s="13" t="s">
        <v>5</v>
      </c>
      <c r="B299" s="13" t="s">
        <v>61</v>
      </c>
      <c r="C299" s="13" t="str">
        <f>VLOOKUP([1]Competence!$B45,[1]Competence!$B$12:$B$100,1,FALSE)</f>
        <v>Strategic Planning</v>
      </c>
      <c r="D299" s="13" t="str" cm="1">
        <f t="array" ref="D299">_xlfn.XLOOKUP(B299,[1]Baseline!$D$3:$AZ$3,_xlfn.XLOOKUP(C299,[1]Baseline!$B$4:$B$91,[1]Baseline!$D$4:$AZ$91))</f>
        <v>No Knowledge</v>
      </c>
      <c r="E299" s="13" t="s">
        <v>375</v>
      </c>
      <c r="F299" s="13">
        <v>0</v>
      </c>
      <c r="G299" s="153">
        <v>0</v>
      </c>
      <c r="H299" s="16">
        <f t="shared" si="4"/>
        <v>0</v>
      </c>
      <c r="I299" s="13">
        <v>0</v>
      </c>
      <c r="J299" s="160"/>
    </row>
    <row r="300" spans="1:10">
      <c r="A300" s="13" t="s">
        <v>5</v>
      </c>
      <c r="B300" s="13" t="s">
        <v>61</v>
      </c>
      <c r="C300" s="13" t="str">
        <f>VLOOKUP([1]Competence!$B46,[1]Competence!$B$12:$B$100,1,FALSE)</f>
        <v>Workforce Planning</v>
      </c>
      <c r="D300" s="13" t="str" cm="1">
        <f t="array" ref="D300">_xlfn.XLOOKUP(B300,[1]Baseline!$D$3:$AZ$3,_xlfn.XLOOKUP(C300,[1]Baseline!$B$4:$B$91,[1]Baseline!$D$4:$AZ$91))</f>
        <v>No Knowledge</v>
      </c>
      <c r="E300" s="13" t="s">
        <v>375</v>
      </c>
      <c r="F300" s="13">
        <v>0</v>
      </c>
      <c r="G300" s="153">
        <v>1</v>
      </c>
      <c r="H300" s="16">
        <f t="shared" si="4"/>
        <v>1</v>
      </c>
      <c r="I300" s="13">
        <v>1</v>
      </c>
      <c r="J300" s="160"/>
    </row>
    <row r="301" spans="1:10">
      <c r="A301" s="13" t="s">
        <v>5</v>
      </c>
      <c r="B301" s="13" t="s">
        <v>61</v>
      </c>
      <c r="C301" s="13" t="str">
        <f>VLOOKUP([1]Competence!$B47,[1]Competence!$B$12:$B$100,1,FALSE)</f>
        <v>Audit</v>
      </c>
      <c r="D301" s="13" t="str" cm="1">
        <f t="array" ref="D301">_xlfn.XLOOKUP(B301,[1]Baseline!$D$3:$AZ$3,_xlfn.XLOOKUP(C301,[1]Baseline!$B$4:$B$91,[1]Baseline!$D$4:$AZ$91))</f>
        <v>Working</v>
      </c>
      <c r="E301" s="13" t="s">
        <v>375</v>
      </c>
      <c r="F301" s="13">
        <v>1</v>
      </c>
      <c r="G301" s="153">
        <v>1</v>
      </c>
      <c r="H301" s="16">
        <f t="shared" si="4"/>
        <v>0</v>
      </c>
      <c r="I301" s="13">
        <v>1</v>
      </c>
      <c r="J301" s="160"/>
    </row>
    <row r="302" spans="1:10">
      <c r="A302" s="13" t="s">
        <v>5</v>
      </c>
      <c r="B302" s="13" t="s">
        <v>61</v>
      </c>
      <c r="C302" s="13" t="str">
        <f>VLOOKUP([1]Competence!$B48,[1]Competence!$B$12:$B$100,1,FALSE)</f>
        <v>Contract management</v>
      </c>
      <c r="D302" s="13" t="str" cm="1">
        <f t="array" ref="D302">_xlfn.XLOOKUP(B302,[1]Baseline!$D$3:$AZ$3,_xlfn.XLOOKUP(C302,[1]Baseline!$B$4:$B$91,[1]Baseline!$D$4:$AZ$91))</f>
        <v>No Knowledge</v>
      </c>
      <c r="E302" s="13" t="s">
        <v>375</v>
      </c>
      <c r="F302" s="13">
        <v>1</v>
      </c>
      <c r="G302" s="153">
        <v>1</v>
      </c>
      <c r="H302" s="16">
        <f t="shared" si="4"/>
        <v>0</v>
      </c>
      <c r="I302" s="13">
        <v>1</v>
      </c>
      <c r="J302" s="160"/>
    </row>
    <row r="303" spans="1:10">
      <c r="A303" s="13" t="s">
        <v>5</v>
      </c>
      <c r="B303" s="13" t="s">
        <v>61</v>
      </c>
      <c r="C303" s="13" t="str">
        <f>VLOOKUP([1]Competence!$B49,[1]Competence!$B$12:$B$100,1,FALSE)</f>
        <v>Feasibility assessment</v>
      </c>
      <c r="D303" s="13" t="str" cm="1">
        <f t="array" ref="D303">_xlfn.XLOOKUP(B303,[1]Baseline!$D$3:$AZ$3,_xlfn.XLOOKUP(C303,[1]Baseline!$B$4:$B$91,[1]Baseline!$D$4:$AZ$91))</f>
        <v>No Knowledge</v>
      </c>
      <c r="E303" s="13" t="s">
        <v>375</v>
      </c>
      <c r="F303" s="13">
        <v>1</v>
      </c>
      <c r="G303" s="153">
        <v>1</v>
      </c>
      <c r="H303" s="16">
        <f t="shared" si="4"/>
        <v>0</v>
      </c>
      <c r="I303" s="13">
        <v>1</v>
      </c>
      <c r="J303" s="160"/>
    </row>
    <row r="304" spans="1:10">
      <c r="A304" s="13" t="s">
        <v>5</v>
      </c>
      <c r="B304" s="13" t="s">
        <v>61</v>
      </c>
      <c r="C304" s="13" t="str">
        <f>VLOOKUP([1]Competence!$B50,[1]Competence!$B$12:$B$100,1,FALSE)</f>
        <v>Governance</v>
      </c>
      <c r="D304" s="13" t="str" cm="1">
        <f t="array" ref="D304">_xlfn.XLOOKUP(B304,[1]Baseline!$D$3:$AZ$3,_xlfn.XLOOKUP(C304,[1]Baseline!$B$4:$B$91,[1]Baseline!$D$4:$AZ$91))</f>
        <v>Awareness</v>
      </c>
      <c r="E304" s="13" t="s">
        <v>375</v>
      </c>
      <c r="F304" s="13">
        <v>2</v>
      </c>
      <c r="G304" s="153">
        <v>1</v>
      </c>
      <c r="H304" s="16">
        <f t="shared" si="4"/>
        <v>-1</v>
      </c>
      <c r="I304" s="13">
        <v>1</v>
      </c>
      <c r="J304" s="160"/>
    </row>
    <row r="305" spans="1:10">
      <c r="A305" s="13" t="s">
        <v>5</v>
      </c>
      <c r="B305" s="13" t="s">
        <v>61</v>
      </c>
      <c r="C305" s="13" t="str">
        <f>VLOOKUP([1]Competence!$B51,[1]Competence!$B$12:$B$100,1,FALSE)</f>
        <v>Risk management</v>
      </c>
      <c r="D305" s="13" t="str" cm="1">
        <f t="array" ref="D305">_xlfn.XLOOKUP(B305,[1]Baseline!$D$3:$AZ$3,_xlfn.XLOOKUP(C305,[1]Baseline!$B$4:$B$91,[1]Baseline!$D$4:$AZ$91))</f>
        <v>No Knowledge</v>
      </c>
      <c r="E305" s="13" t="s">
        <v>375</v>
      </c>
      <c r="F305" s="13">
        <v>0</v>
      </c>
      <c r="G305" s="153">
        <v>0</v>
      </c>
      <c r="H305" s="16">
        <f t="shared" si="4"/>
        <v>0</v>
      </c>
      <c r="I305" s="13">
        <v>0</v>
      </c>
      <c r="J305" s="160"/>
    </row>
    <row r="306" spans="1:10">
      <c r="A306" s="13" t="s">
        <v>5</v>
      </c>
      <c r="B306" s="13" t="s">
        <v>61</v>
      </c>
      <c r="C306" s="13" t="str">
        <f>VLOOKUP([1]Competence!$B52,[1]Competence!$B$12:$B$100,1,FALSE)</f>
        <v>Sourcing</v>
      </c>
      <c r="D306" s="13" t="str" cm="1">
        <f t="array" ref="D306">_xlfn.XLOOKUP(B306,[1]Baseline!$D$3:$AZ$3,_xlfn.XLOOKUP(C306,[1]Baseline!$B$4:$B$91,[1]Baseline!$D$4:$AZ$91))</f>
        <v>Awareness</v>
      </c>
      <c r="E306" s="13" t="s">
        <v>375</v>
      </c>
      <c r="F306" s="13">
        <v>0</v>
      </c>
      <c r="G306" s="153">
        <v>1</v>
      </c>
      <c r="H306" s="16">
        <f t="shared" si="4"/>
        <v>1</v>
      </c>
      <c r="I306" s="13">
        <v>1</v>
      </c>
      <c r="J306" s="160"/>
    </row>
    <row r="307" spans="1:10">
      <c r="A307" s="13" t="s">
        <v>5</v>
      </c>
      <c r="B307" s="13" t="s">
        <v>61</v>
      </c>
      <c r="C307" s="13" t="str">
        <f>VLOOKUP([1]Competence!$B53,[1]Competence!$B$12:$B$100,1,FALSE)</f>
        <v>Supplier management</v>
      </c>
      <c r="D307" s="13" t="str" cm="1">
        <f t="array" ref="D307">_xlfn.XLOOKUP(B307,[1]Baseline!$D$3:$AZ$3,_xlfn.XLOOKUP(C307,[1]Baseline!$B$4:$B$91,[1]Baseline!$D$4:$AZ$91))</f>
        <v>Awareness</v>
      </c>
      <c r="E307" s="13" t="s">
        <v>375</v>
      </c>
      <c r="F307" s="13">
        <v>0</v>
      </c>
      <c r="G307" s="153">
        <v>1</v>
      </c>
      <c r="H307" s="16">
        <f t="shared" si="4"/>
        <v>1</v>
      </c>
      <c r="I307" s="13">
        <v>1</v>
      </c>
      <c r="J307" s="160"/>
    </row>
    <row r="308" spans="1:10">
      <c r="A308" s="13" t="s">
        <v>5</v>
      </c>
      <c r="B308" s="13" t="s">
        <v>61</v>
      </c>
      <c r="C308" s="13" t="str">
        <f>VLOOKUP([1]Competence!$B54,[1]Competence!$B$12:$B$100,1,FALSE)</f>
        <v>Sustainability</v>
      </c>
      <c r="D308" s="13" t="str" cm="1">
        <f t="array" ref="D308">_xlfn.XLOOKUP(B308,[1]Baseline!$D$3:$AZ$3,_xlfn.XLOOKUP(C308,[1]Baseline!$B$4:$B$91,[1]Baseline!$D$4:$AZ$91))</f>
        <v>Awareness</v>
      </c>
      <c r="E308" s="13" t="s">
        <v>375</v>
      </c>
      <c r="F308" s="13">
        <v>0</v>
      </c>
      <c r="G308" s="153">
        <v>1</v>
      </c>
      <c r="H308" s="16">
        <f t="shared" si="4"/>
        <v>1</v>
      </c>
      <c r="I308" s="13">
        <v>1</v>
      </c>
      <c r="J308" s="160"/>
    </row>
    <row r="309" spans="1:10">
      <c r="A309" s="13" t="s">
        <v>5</v>
      </c>
      <c r="B309" s="13" t="s">
        <v>61</v>
      </c>
      <c r="C309" s="13" t="str">
        <f>VLOOKUP([1]Competence!$B55,[1]Competence!$B$12:$B$100,1,FALSE)</f>
        <v>Acceptance testing</v>
      </c>
      <c r="D309" s="13" t="str" cm="1">
        <f t="array" ref="D309">_xlfn.XLOOKUP(B309,[1]Baseline!$D$3:$AZ$3,_xlfn.XLOOKUP(C309,[1]Baseline!$B$4:$B$91,[1]Baseline!$D$4:$AZ$91))</f>
        <v>Awareness</v>
      </c>
      <c r="E309" s="13" t="s">
        <v>375</v>
      </c>
      <c r="F309" s="13">
        <v>0</v>
      </c>
      <c r="G309" s="153">
        <v>1</v>
      </c>
      <c r="H309" s="16">
        <f t="shared" si="4"/>
        <v>1</v>
      </c>
      <c r="I309" s="13">
        <v>1</v>
      </c>
      <c r="J309" s="160"/>
    </row>
    <row r="310" spans="1:10">
      <c r="A310" s="13" t="s">
        <v>5</v>
      </c>
      <c r="B310" s="13" t="s">
        <v>61</v>
      </c>
      <c r="C310" s="13" t="str">
        <f>VLOOKUP([1]Competence!$B56,[1]Competence!$B$12:$B$100,1,FALSE)</f>
        <v>Application support</v>
      </c>
      <c r="D310" s="13" t="str" cm="1">
        <f t="array" ref="D310">_xlfn.XLOOKUP(B310,[1]Baseline!$D$3:$AZ$3,_xlfn.XLOOKUP(C310,[1]Baseline!$B$4:$B$91,[1]Baseline!$D$4:$AZ$91))</f>
        <v>Working</v>
      </c>
      <c r="E310" s="13" t="s">
        <v>375</v>
      </c>
      <c r="F310" s="13">
        <v>0</v>
      </c>
      <c r="G310" s="153">
        <v>2</v>
      </c>
      <c r="H310" s="16">
        <f t="shared" si="4"/>
        <v>2</v>
      </c>
      <c r="I310" s="13">
        <v>2</v>
      </c>
      <c r="J310" s="160"/>
    </row>
    <row r="311" spans="1:10">
      <c r="A311" s="13" t="s">
        <v>5</v>
      </c>
      <c r="B311" s="13" t="s">
        <v>61</v>
      </c>
      <c r="C311" s="13" t="str">
        <f>VLOOKUP([1]Competence!$B57,[1]Competence!$B$12:$B$100,1,FALSE)</f>
        <v>Data Engineering</v>
      </c>
      <c r="D311" s="13" t="str" cm="1">
        <f t="array" ref="D311">_xlfn.XLOOKUP(B311,[1]Baseline!$D$3:$AZ$3,_xlfn.XLOOKUP(C311,[1]Baseline!$B$4:$B$91,[1]Baseline!$D$4:$AZ$91))</f>
        <v>No Knowledge</v>
      </c>
      <c r="E311" s="13" t="s">
        <v>375</v>
      </c>
      <c r="F311" s="13">
        <v>0</v>
      </c>
      <c r="G311" s="153">
        <v>0</v>
      </c>
      <c r="H311" s="16">
        <f t="shared" si="4"/>
        <v>0</v>
      </c>
      <c r="I311" s="13">
        <v>0</v>
      </c>
      <c r="J311" s="160"/>
    </row>
    <row r="312" spans="1:10">
      <c r="A312" s="13" t="s">
        <v>5</v>
      </c>
      <c r="B312" s="13" t="s">
        <v>61</v>
      </c>
      <c r="C312" s="13" t="str">
        <f>VLOOKUP([1]Competence!$B58,[1]Competence!$B$12:$B$100,1,FALSE)</f>
        <v>Data Management</v>
      </c>
      <c r="D312" s="13" t="str" cm="1">
        <f t="array" ref="D312">_xlfn.XLOOKUP(B312,[1]Baseline!$D$3:$AZ$3,_xlfn.XLOOKUP(C312,[1]Baseline!$B$4:$B$91,[1]Baseline!$D$4:$AZ$91))</f>
        <v>No Knowledge</v>
      </c>
      <c r="E312" s="13" t="s">
        <v>375</v>
      </c>
      <c r="F312" s="13">
        <v>2</v>
      </c>
      <c r="G312" s="153">
        <v>0</v>
      </c>
      <c r="H312" s="16">
        <f t="shared" si="4"/>
        <v>-2</v>
      </c>
      <c r="I312" s="13">
        <v>0</v>
      </c>
      <c r="J312" s="160"/>
    </row>
    <row r="313" spans="1:10">
      <c r="A313" s="13" t="s">
        <v>5</v>
      </c>
      <c r="B313" s="13" t="s">
        <v>61</v>
      </c>
      <c r="C313" s="13" t="str">
        <f>VLOOKUP([1]Competence!$B59,[1]Competence!$B$12:$B$100,1,FALSE)</f>
        <v>Data Modelling and Design</v>
      </c>
      <c r="D313" s="13" t="str" cm="1">
        <f t="array" ref="D313">_xlfn.XLOOKUP(B313,[1]Baseline!$D$3:$AZ$3,_xlfn.XLOOKUP(C313,[1]Baseline!$B$4:$B$91,[1]Baseline!$D$4:$AZ$91))</f>
        <v>No Knowledge</v>
      </c>
      <c r="E313" s="13" t="s">
        <v>375</v>
      </c>
      <c r="F313" s="13">
        <v>0</v>
      </c>
      <c r="G313" s="153">
        <v>0</v>
      </c>
      <c r="H313" s="16">
        <f t="shared" si="4"/>
        <v>0</v>
      </c>
      <c r="I313" s="13">
        <v>0</v>
      </c>
      <c r="J313" s="160"/>
    </row>
    <row r="314" spans="1:10">
      <c r="A314" s="13" t="s">
        <v>5</v>
      </c>
      <c r="B314" s="13" t="s">
        <v>61</v>
      </c>
      <c r="C314" s="13" t="str">
        <f>VLOOKUP([1]Competence!$B60,[1]Competence!$B$12:$B$100,1,FALSE)</f>
        <v>Data science</v>
      </c>
      <c r="D314" s="13" t="str" cm="1">
        <f t="array" ref="D314">_xlfn.XLOOKUP(B314,[1]Baseline!$D$3:$AZ$3,_xlfn.XLOOKUP(C314,[1]Baseline!$B$4:$B$91,[1]Baseline!$D$4:$AZ$91))</f>
        <v>No Knowledge</v>
      </c>
      <c r="E314" s="13" t="s">
        <v>376</v>
      </c>
      <c r="F314" s="13">
        <v>2</v>
      </c>
      <c r="G314" s="153">
        <v>1</v>
      </c>
      <c r="H314" s="16">
        <f t="shared" si="4"/>
        <v>-1</v>
      </c>
      <c r="I314" s="13">
        <v>1</v>
      </c>
      <c r="J314" s="160"/>
    </row>
    <row r="315" spans="1:10">
      <c r="A315" s="13" t="s">
        <v>5</v>
      </c>
      <c r="B315" s="13" t="s">
        <v>61</v>
      </c>
      <c r="C315" s="13" t="str">
        <f>VLOOKUP([1]Competence!$B61,[1]Competence!$B$12:$B$100,1,FALSE)</f>
        <v>Data visualisation</v>
      </c>
      <c r="D315" s="13" t="str" cm="1">
        <f t="array" ref="D315">_xlfn.XLOOKUP(B315,[1]Baseline!$D$3:$AZ$3,_xlfn.XLOOKUP(C315,[1]Baseline!$B$4:$B$91,[1]Baseline!$D$4:$AZ$91))</f>
        <v>No Knowledge</v>
      </c>
      <c r="E315" s="13" t="s">
        <v>376</v>
      </c>
      <c r="F315" s="13">
        <v>2</v>
      </c>
      <c r="G315" s="153">
        <v>1</v>
      </c>
      <c r="H315" s="16">
        <f t="shared" si="4"/>
        <v>-1</v>
      </c>
      <c r="I315" s="13">
        <v>1</v>
      </c>
      <c r="J315" s="160"/>
    </row>
    <row r="316" spans="1:10">
      <c r="A316" s="13" t="s">
        <v>5</v>
      </c>
      <c r="B316" s="13" t="s">
        <v>61</v>
      </c>
      <c r="C316" s="13" t="str">
        <f>VLOOKUP([1]Competence!$B62,[1]Competence!$B$12:$B$100,1,FALSE)</f>
        <v>Database Administration</v>
      </c>
      <c r="D316" s="13" t="str" cm="1">
        <f t="array" ref="D316">_xlfn.XLOOKUP(B316,[1]Baseline!$D$3:$AZ$3,_xlfn.XLOOKUP(C316,[1]Baseline!$B$4:$B$91,[1]Baseline!$D$4:$AZ$91))</f>
        <v>No Knowledge</v>
      </c>
      <c r="E316" s="13" t="s">
        <v>376</v>
      </c>
      <c r="F316" s="13">
        <v>2</v>
      </c>
      <c r="G316" s="153">
        <v>1</v>
      </c>
      <c r="H316" s="16">
        <f t="shared" si="4"/>
        <v>-1</v>
      </c>
      <c r="I316" s="13">
        <v>1</v>
      </c>
      <c r="J316" s="160"/>
    </row>
    <row r="317" spans="1:10">
      <c r="A317" s="13" t="s">
        <v>5</v>
      </c>
      <c r="B317" s="13" t="s">
        <v>61</v>
      </c>
      <c r="C317" s="13" t="str">
        <f>VLOOKUP([1]Competence!$B63,[1]Competence!$B$12:$B$100,1,FALSE)</f>
        <v>Database Design</v>
      </c>
      <c r="D317" s="13" t="str" cm="1">
        <f t="array" ref="D317">_xlfn.XLOOKUP(B317,[1]Baseline!$D$3:$AZ$3,_xlfn.XLOOKUP(C317,[1]Baseline!$B$4:$B$91,[1]Baseline!$D$4:$AZ$91))</f>
        <v>No Knowledge</v>
      </c>
      <c r="E317" s="13" t="s">
        <v>374</v>
      </c>
      <c r="F317" s="13">
        <v>1</v>
      </c>
      <c r="G317" s="153">
        <v>0</v>
      </c>
      <c r="H317" s="16">
        <f t="shared" si="4"/>
        <v>-1</v>
      </c>
      <c r="I317" s="13">
        <v>0</v>
      </c>
      <c r="J317" s="160"/>
    </row>
    <row r="318" spans="1:10">
      <c r="A318" s="13" t="s">
        <v>5</v>
      </c>
      <c r="B318" s="13" t="s">
        <v>61</v>
      </c>
      <c r="C318" s="13" t="str">
        <f>VLOOKUP([1]Competence!$B64,[1]Competence!$B$12:$B$100,1,FALSE)</f>
        <v>Hardware design</v>
      </c>
      <c r="D318" s="13" t="str" cm="1">
        <f t="array" ref="D318">_xlfn.XLOOKUP(B318,[1]Baseline!$D$3:$AZ$3,_xlfn.XLOOKUP(C318,[1]Baseline!$B$4:$B$91,[1]Baseline!$D$4:$AZ$91))</f>
        <v>No Knowledge</v>
      </c>
      <c r="E318" s="13" t="s">
        <v>374</v>
      </c>
      <c r="F318" s="13">
        <v>0</v>
      </c>
      <c r="G318" s="153">
        <v>0</v>
      </c>
      <c r="H318" s="16">
        <f t="shared" si="4"/>
        <v>0</v>
      </c>
      <c r="I318" s="13">
        <v>0</v>
      </c>
      <c r="J318" s="160"/>
    </row>
    <row r="319" spans="1:10">
      <c r="A319" s="13" t="s">
        <v>5</v>
      </c>
      <c r="B319" s="13" t="s">
        <v>61</v>
      </c>
      <c r="C319" s="13" t="str">
        <f>VLOOKUP([1]Competence!$B65,[1]Competence!$B$12:$B$100,1,FALSE)</f>
        <v>High Performance Computing</v>
      </c>
      <c r="D319" s="13" t="str" cm="1">
        <f t="array" ref="D319">_xlfn.XLOOKUP(B319,[1]Baseline!$D$3:$AZ$3,_xlfn.XLOOKUP(C319,[1]Baseline!$B$4:$B$91,[1]Baseline!$D$4:$AZ$91))</f>
        <v>Awareness</v>
      </c>
      <c r="E319" s="13" t="s">
        <v>374</v>
      </c>
      <c r="F319" s="13">
        <v>0</v>
      </c>
      <c r="G319" s="153">
        <v>1</v>
      </c>
      <c r="H319" s="16">
        <f t="shared" si="4"/>
        <v>1</v>
      </c>
      <c r="I319" s="13">
        <v>1</v>
      </c>
      <c r="J319" s="160"/>
    </row>
    <row r="320" spans="1:10">
      <c r="A320" s="13" t="s">
        <v>5</v>
      </c>
      <c r="B320" s="13" t="s">
        <v>61</v>
      </c>
      <c r="C320" s="13" t="str">
        <f>VLOOKUP([1]Competence!$B66,[1]Competence!$B$12:$B$100,1,FALSE)</f>
        <v>Research Computing</v>
      </c>
      <c r="D320" s="13" t="str" cm="1">
        <f t="array" ref="D320">_xlfn.XLOOKUP(B320,[1]Baseline!$D$3:$AZ$3,_xlfn.XLOOKUP(C320,[1]Baseline!$B$4:$B$91,[1]Baseline!$D$4:$AZ$91))</f>
        <v>Awareness</v>
      </c>
      <c r="E320" s="13" t="s">
        <v>374</v>
      </c>
      <c r="F320" s="13">
        <v>2</v>
      </c>
      <c r="G320" s="153">
        <v>1</v>
      </c>
      <c r="H320" s="16">
        <f t="shared" si="4"/>
        <v>-1</v>
      </c>
      <c r="I320" s="13">
        <v>1</v>
      </c>
      <c r="J320" s="160"/>
    </row>
    <row r="321" spans="1:10">
      <c r="A321" s="13" t="s">
        <v>5</v>
      </c>
      <c r="B321" s="13" t="s">
        <v>61</v>
      </c>
      <c r="C321" s="13" t="str">
        <f>VLOOKUP([1]Competence!$B67,[1]Competence!$B$12:$B$100,1,FALSE)</f>
        <v>Information assurance</v>
      </c>
      <c r="D321" s="13" t="str" cm="1">
        <f t="array" ref="D321">_xlfn.XLOOKUP(B321,[1]Baseline!$D$3:$AZ$3,_xlfn.XLOOKUP(C321,[1]Baseline!$B$4:$B$91,[1]Baseline!$D$4:$AZ$91))</f>
        <v>Practitioner</v>
      </c>
      <c r="E321" s="13" t="s">
        <v>374</v>
      </c>
      <c r="F321" s="13">
        <v>0</v>
      </c>
      <c r="G321" s="153">
        <v>2</v>
      </c>
      <c r="H321" s="16">
        <f t="shared" si="4"/>
        <v>2</v>
      </c>
      <c r="I321" s="13">
        <v>2</v>
      </c>
      <c r="J321" s="160"/>
    </row>
    <row r="322" spans="1:10">
      <c r="A322" s="13" t="s">
        <v>5</v>
      </c>
      <c r="B322" s="13" t="s">
        <v>61</v>
      </c>
      <c r="C322" s="13" t="str">
        <f>VLOOKUP([1]Competence!$B68,[1]Competence!$B$12:$B$100,1,FALSE)</f>
        <v>Information management</v>
      </c>
      <c r="D322" s="13" t="str" cm="1">
        <f t="array" ref="D322">_xlfn.XLOOKUP(B322,[1]Baseline!$D$3:$AZ$3,_xlfn.XLOOKUP(C322,[1]Baseline!$B$4:$B$91,[1]Baseline!$D$4:$AZ$91))</f>
        <v>Awareness</v>
      </c>
      <c r="E322" s="13" t="s">
        <v>377</v>
      </c>
      <c r="F322" s="13">
        <v>0</v>
      </c>
      <c r="G322" s="153">
        <v>1</v>
      </c>
      <c r="H322" s="16">
        <f t="shared" ref="H322:H385" si="5">I322-F322</f>
        <v>1</v>
      </c>
      <c r="I322" s="13">
        <v>1</v>
      </c>
      <c r="J322" s="160"/>
    </row>
    <row r="323" spans="1:10">
      <c r="A323" s="13" t="s">
        <v>5</v>
      </c>
      <c r="B323" s="13" t="s">
        <v>61</v>
      </c>
      <c r="C323" s="13" t="str">
        <f>VLOOKUP([1]Competence!$B69,[1]Competence!$B$12:$B$100,1,FALSE)</f>
        <v>Infrastructure</v>
      </c>
      <c r="D323" s="13" t="str" cm="1">
        <f t="array" ref="D323">_xlfn.XLOOKUP(B323,[1]Baseline!$D$3:$AZ$3,_xlfn.XLOOKUP(C323,[1]Baseline!$B$4:$B$91,[1]Baseline!$D$4:$AZ$91))</f>
        <v>Working</v>
      </c>
      <c r="E323" s="13" t="s">
        <v>378</v>
      </c>
      <c r="F323" s="13">
        <v>0</v>
      </c>
      <c r="G323" s="153">
        <v>2</v>
      </c>
      <c r="H323" s="16">
        <f t="shared" si="5"/>
        <v>2</v>
      </c>
      <c r="I323" s="13">
        <v>2</v>
      </c>
      <c r="J323" s="160"/>
    </row>
    <row r="324" spans="1:10">
      <c r="A324" s="13" t="s">
        <v>5</v>
      </c>
      <c r="B324" s="13" t="s">
        <v>61</v>
      </c>
      <c r="C324" s="13" t="str">
        <f>VLOOKUP([1]Competence!$B70,[1]Competence!$B$12:$B$100,1,FALSE)</f>
        <v>Network design</v>
      </c>
      <c r="D324" s="13" t="str" cm="1">
        <f t="array" ref="D324">_xlfn.XLOOKUP(B324,[1]Baseline!$D$3:$AZ$3,_xlfn.XLOOKUP(C324,[1]Baseline!$B$4:$B$91,[1]Baseline!$D$4:$AZ$91))</f>
        <v>No Knowledge</v>
      </c>
      <c r="E324" s="13" t="s">
        <v>378</v>
      </c>
      <c r="F324" s="13">
        <v>0</v>
      </c>
      <c r="G324" s="153">
        <v>0</v>
      </c>
      <c r="H324" s="16">
        <f t="shared" si="5"/>
        <v>0</v>
      </c>
      <c r="I324" s="13">
        <v>0</v>
      </c>
      <c r="J324" s="160"/>
    </row>
    <row r="325" spans="1:10">
      <c r="A325" s="13" t="s">
        <v>5</v>
      </c>
      <c r="B325" s="13" t="s">
        <v>61</v>
      </c>
      <c r="C325" s="13" t="str">
        <f>VLOOKUP([1]Competence!$B71,[1]Competence!$B$12:$B$100,1,FALSE)</f>
        <v>Network Analytics</v>
      </c>
      <c r="D325" s="13" t="str" cm="1">
        <f t="array" ref="D325">_xlfn.XLOOKUP(B325,[1]Baseline!$D$3:$AZ$3,_xlfn.XLOOKUP(C325,[1]Baseline!$B$4:$B$91,[1]Baseline!$D$4:$AZ$91))</f>
        <v>No Knowledge</v>
      </c>
      <c r="E325" s="13" t="s">
        <v>378</v>
      </c>
      <c r="F325" s="13">
        <v>0</v>
      </c>
      <c r="G325" s="153">
        <v>1</v>
      </c>
      <c r="H325" s="16">
        <f t="shared" si="5"/>
        <v>1</v>
      </c>
      <c r="I325" s="13">
        <v>1</v>
      </c>
      <c r="J325" s="160"/>
    </row>
    <row r="326" spans="1:10">
      <c r="A326" s="13" t="s">
        <v>5</v>
      </c>
      <c r="B326" s="13" t="s">
        <v>61</v>
      </c>
      <c r="C326" s="13" t="str">
        <f>VLOOKUP([1]Competence!$B72,[1]Competence!$B$12:$B$100,1,FALSE)</f>
        <v>Network support</v>
      </c>
      <c r="D326" s="13" t="str" cm="1">
        <f t="array" ref="D326">_xlfn.XLOOKUP(B326,[1]Baseline!$D$3:$AZ$3,_xlfn.XLOOKUP(C326,[1]Baseline!$B$4:$B$91,[1]Baseline!$D$4:$AZ$91))</f>
        <v>Working</v>
      </c>
      <c r="E326" s="13" t="s">
        <v>49</v>
      </c>
      <c r="F326" s="13">
        <v>0</v>
      </c>
      <c r="G326" s="153">
        <v>3</v>
      </c>
      <c r="H326" s="16">
        <f t="shared" si="5"/>
        <v>3</v>
      </c>
      <c r="I326" s="13">
        <v>3</v>
      </c>
      <c r="J326" s="160"/>
    </row>
    <row r="327" spans="1:10">
      <c r="A327" s="13" t="s">
        <v>5</v>
      </c>
      <c r="B327" s="13" t="s">
        <v>61</v>
      </c>
      <c r="C327" s="13" t="str">
        <f>VLOOKUP([1]Competence!$B73,[1]Competence!$B$12:$B$100,1,FALSE)</f>
        <v>Programming/software development</v>
      </c>
      <c r="D327" s="13" t="str" cm="1">
        <f t="array" ref="D327">_xlfn.XLOOKUP(B327,[1]Baseline!$D$3:$AZ$3,_xlfn.XLOOKUP(C327,[1]Baseline!$B$4:$B$91,[1]Baseline!$D$4:$AZ$91))</f>
        <v>No Knowledge</v>
      </c>
      <c r="E327" s="13" t="s">
        <v>375</v>
      </c>
      <c r="F327" s="13">
        <v>0</v>
      </c>
      <c r="G327" s="153">
        <v>0</v>
      </c>
      <c r="H327" s="16">
        <f t="shared" si="5"/>
        <v>0</v>
      </c>
      <c r="I327" s="13">
        <v>0</v>
      </c>
      <c r="J327" s="160"/>
    </row>
    <row r="328" spans="1:10">
      <c r="A328" s="13" t="s">
        <v>5</v>
      </c>
      <c r="B328" s="13" t="s">
        <v>61</v>
      </c>
      <c r="C328" s="13" t="str">
        <f>VLOOKUP([1]Competence!$B74,[1]Competence!$B$12:$B$100,1,FALSE)</f>
        <v>Real-time/embedded systems development</v>
      </c>
      <c r="D328" s="13" t="str" cm="1">
        <f t="array" ref="D328">_xlfn.XLOOKUP(B328,[1]Baseline!$D$3:$AZ$3,_xlfn.XLOOKUP(C328,[1]Baseline!$B$4:$B$91,[1]Baseline!$D$4:$AZ$91))</f>
        <v>No Knowledge</v>
      </c>
      <c r="E328" s="13" t="s">
        <v>375</v>
      </c>
      <c r="F328" s="13">
        <v>0</v>
      </c>
      <c r="G328" s="153">
        <v>0</v>
      </c>
      <c r="H328" s="16">
        <f t="shared" si="5"/>
        <v>0</v>
      </c>
      <c r="I328" s="13">
        <v>0</v>
      </c>
      <c r="J328" s="160"/>
    </row>
    <row r="329" spans="1:10">
      <c r="A329" s="13" t="s">
        <v>5</v>
      </c>
      <c r="B329" s="13" t="s">
        <v>61</v>
      </c>
      <c r="C329" s="13" t="str">
        <f>VLOOKUP([1]Competence!$B75,[1]Competence!$B$12:$B$100,1,FALSE)</f>
        <v>Requirements definition and management</v>
      </c>
      <c r="D329" s="13" t="str" cm="1">
        <f t="array" ref="D329">_xlfn.XLOOKUP(B329,[1]Baseline!$D$3:$AZ$3,_xlfn.XLOOKUP(C329,[1]Baseline!$B$4:$B$91,[1]Baseline!$D$4:$AZ$91))</f>
        <v>No Knowledge</v>
      </c>
      <c r="E329" s="13" t="s">
        <v>375</v>
      </c>
      <c r="F329" s="13">
        <v>0</v>
      </c>
      <c r="G329" s="153">
        <v>1</v>
      </c>
      <c r="H329" s="16">
        <f t="shared" si="5"/>
        <v>1</v>
      </c>
      <c r="I329" s="13">
        <v>1</v>
      </c>
      <c r="J329" s="160"/>
    </row>
    <row r="330" spans="1:10">
      <c r="A330" s="13" t="s">
        <v>5</v>
      </c>
      <c r="B330" s="13" t="s">
        <v>61</v>
      </c>
      <c r="C330" s="13" t="str">
        <f>VLOOKUP([1]Competence!$B76,[1]Competence!$B$12:$B$100,1,FALSE)</f>
        <v>Software configuration</v>
      </c>
      <c r="D330" s="13" t="str" cm="1">
        <f t="array" ref="D330">_xlfn.XLOOKUP(B330,[1]Baseline!$D$3:$AZ$3,_xlfn.XLOOKUP(C330,[1]Baseline!$B$4:$B$91,[1]Baseline!$D$4:$AZ$91))</f>
        <v>No Knowledge</v>
      </c>
      <c r="E330" s="13" t="s">
        <v>375</v>
      </c>
      <c r="F330" s="13">
        <v>0</v>
      </c>
      <c r="G330" s="153">
        <v>1</v>
      </c>
      <c r="H330" s="16">
        <f t="shared" si="5"/>
        <v>1</v>
      </c>
      <c r="I330" s="13">
        <v>1</v>
      </c>
      <c r="J330" s="160"/>
    </row>
    <row r="331" spans="1:10">
      <c r="A331" s="13" t="s">
        <v>5</v>
      </c>
      <c r="B331" s="13" t="s">
        <v>61</v>
      </c>
      <c r="C331" s="13" t="str">
        <f>VLOOKUP([1]Competence!$B77,[1]Competence!$B$12:$B$100,1,FALSE)</f>
        <v>Software design</v>
      </c>
      <c r="D331" s="13" t="str" cm="1">
        <f t="array" ref="D331">_xlfn.XLOOKUP(B331,[1]Baseline!$D$3:$AZ$3,_xlfn.XLOOKUP(C331,[1]Baseline!$B$4:$B$91,[1]Baseline!$D$4:$AZ$91))</f>
        <v>No Knowledge</v>
      </c>
      <c r="E331" s="13" t="s">
        <v>375</v>
      </c>
      <c r="F331" s="13">
        <v>0</v>
      </c>
      <c r="G331" s="153">
        <v>0</v>
      </c>
      <c r="H331" s="16">
        <f t="shared" si="5"/>
        <v>0</v>
      </c>
      <c r="I331" s="13">
        <v>0</v>
      </c>
      <c r="J331" s="160"/>
    </row>
    <row r="332" spans="1:10">
      <c r="A332" s="13" t="s">
        <v>5</v>
      </c>
      <c r="B332" s="13" t="s">
        <v>61</v>
      </c>
      <c r="C332" s="13" t="str">
        <f>VLOOKUP([1]Competence!$B78,[1]Competence!$B$12:$B$100,1,FALSE)</f>
        <v>Solution architecture</v>
      </c>
      <c r="D332" s="13" t="str" cm="1">
        <f t="array" ref="D332">_xlfn.XLOOKUP(B332,[1]Baseline!$D$3:$AZ$3,_xlfn.XLOOKUP(C332,[1]Baseline!$B$4:$B$91,[1]Baseline!$D$4:$AZ$91))</f>
        <v>No Knowledge</v>
      </c>
      <c r="E332" s="13" t="s">
        <v>375</v>
      </c>
      <c r="F332" s="13">
        <v>0</v>
      </c>
      <c r="G332" s="153">
        <v>0</v>
      </c>
      <c r="H332" s="16">
        <f t="shared" si="5"/>
        <v>0</v>
      </c>
      <c r="I332" s="13">
        <v>0</v>
      </c>
      <c r="J332" s="160"/>
    </row>
    <row r="333" spans="1:10">
      <c r="A333" s="13" t="s">
        <v>5</v>
      </c>
      <c r="B333" s="13" t="s">
        <v>61</v>
      </c>
      <c r="C333" s="13" t="str">
        <f>VLOOKUP([1]Competence!$B79,[1]Competence!$B$12:$B$100,1,FALSE)</f>
        <v>System software</v>
      </c>
      <c r="D333" s="13" t="str" cm="1">
        <f t="array" ref="D333">_xlfn.XLOOKUP(B333,[1]Baseline!$D$3:$AZ$3,_xlfn.XLOOKUP(C333,[1]Baseline!$B$4:$B$91,[1]Baseline!$D$4:$AZ$91))</f>
        <v>No Knowledge</v>
      </c>
      <c r="E333" s="13" t="s">
        <v>375</v>
      </c>
      <c r="F333" s="13">
        <v>0</v>
      </c>
      <c r="G333" s="153">
        <v>2</v>
      </c>
      <c r="H333" s="16">
        <f t="shared" si="5"/>
        <v>2</v>
      </c>
      <c r="I333" s="13">
        <v>2</v>
      </c>
      <c r="J333" s="160"/>
    </row>
    <row r="334" spans="1:10">
      <c r="A334" s="13" t="s">
        <v>5</v>
      </c>
      <c r="B334" s="13" t="s">
        <v>61</v>
      </c>
      <c r="C334" s="13" t="str">
        <f>VLOOKUP([1]Competence!$B80,[1]Competence!$B$12:$B$100,1,FALSE)</f>
        <v>Systems and software life cycle engineering</v>
      </c>
      <c r="D334" s="13" t="str" cm="1">
        <f t="array" ref="D334">_xlfn.XLOOKUP(B334,[1]Baseline!$D$3:$AZ$3,_xlfn.XLOOKUP(C334,[1]Baseline!$B$4:$B$91,[1]Baseline!$D$4:$AZ$91))</f>
        <v>No Knowledge</v>
      </c>
      <c r="E334" s="13" t="s">
        <v>375</v>
      </c>
      <c r="F334" s="13">
        <v>0</v>
      </c>
      <c r="G334" s="153">
        <v>1</v>
      </c>
      <c r="H334" s="16">
        <f t="shared" si="5"/>
        <v>1</v>
      </c>
      <c r="I334" s="13">
        <v>1</v>
      </c>
      <c r="J334" s="160"/>
    </row>
    <row r="335" spans="1:10">
      <c r="A335" s="13" t="s">
        <v>5</v>
      </c>
      <c r="B335" s="13" t="s">
        <v>61</v>
      </c>
      <c r="C335" s="13" t="str">
        <f>VLOOKUP([1]Competence!$B81,[1]Competence!$B$12:$B$100,1,FALSE)</f>
        <v>Systems design</v>
      </c>
      <c r="D335" s="13" t="str" cm="1">
        <f t="array" ref="D335">_xlfn.XLOOKUP(B335,[1]Baseline!$D$3:$AZ$3,_xlfn.XLOOKUP(C335,[1]Baseline!$B$4:$B$91,[1]Baseline!$D$4:$AZ$91))</f>
        <v>No Knowledge</v>
      </c>
      <c r="E335" s="13" t="s">
        <v>375</v>
      </c>
      <c r="F335" s="13">
        <v>0</v>
      </c>
      <c r="G335" s="153">
        <v>0</v>
      </c>
      <c r="H335" s="16">
        <f t="shared" si="5"/>
        <v>0</v>
      </c>
      <c r="I335" s="13">
        <v>0</v>
      </c>
      <c r="J335" s="160"/>
    </row>
    <row r="336" spans="1:10">
      <c r="A336" s="13" t="s">
        <v>5</v>
      </c>
      <c r="B336" s="13" t="s">
        <v>61</v>
      </c>
      <c r="C336" s="13" t="str">
        <f>VLOOKUP([1]Competence!$B82,[1]Competence!$B$12:$B$100,1,FALSE)</f>
        <v>Systems development management</v>
      </c>
      <c r="D336" s="13" t="str" cm="1">
        <f t="array" ref="D336">_xlfn.XLOOKUP(B336,[1]Baseline!$D$3:$AZ$3,_xlfn.XLOOKUP(C336,[1]Baseline!$B$4:$B$91,[1]Baseline!$D$4:$AZ$91))</f>
        <v>No Knowledge</v>
      </c>
      <c r="E336" s="13" t="s">
        <v>375</v>
      </c>
      <c r="F336" s="13">
        <v>0</v>
      </c>
      <c r="G336" s="153">
        <v>0</v>
      </c>
      <c r="H336" s="16">
        <f t="shared" si="5"/>
        <v>0</v>
      </c>
      <c r="I336" s="13">
        <v>0</v>
      </c>
      <c r="J336" s="160"/>
    </row>
    <row r="337" spans="1:10">
      <c r="A337" s="13" t="s">
        <v>5</v>
      </c>
      <c r="B337" s="13" t="s">
        <v>61</v>
      </c>
      <c r="C337" s="13" t="str">
        <f>VLOOKUP([1]Competence!$B83,[1]Competence!$B$12:$B$100,1,FALSE)</f>
        <v>Systems installation and removal</v>
      </c>
      <c r="D337" s="13" t="str" cm="1">
        <f t="array" ref="D337">_xlfn.XLOOKUP(B337,[1]Baseline!$D$3:$AZ$3,_xlfn.XLOOKUP(C337,[1]Baseline!$B$4:$B$91,[1]Baseline!$D$4:$AZ$91))</f>
        <v>Practitioner</v>
      </c>
      <c r="E337" s="13" t="s">
        <v>375</v>
      </c>
      <c r="F337" s="13">
        <v>0</v>
      </c>
      <c r="G337" s="153">
        <v>3</v>
      </c>
      <c r="H337" s="16">
        <f t="shared" si="5"/>
        <v>3</v>
      </c>
      <c r="I337" s="13">
        <v>3</v>
      </c>
      <c r="J337" s="160"/>
    </row>
    <row r="338" spans="1:10">
      <c r="A338" s="13" t="s">
        <v>5</v>
      </c>
      <c r="B338" s="13" t="s">
        <v>61</v>
      </c>
      <c r="C338" s="13" t="str">
        <f>VLOOKUP([1]Competence!$B84,[1]Competence!$B$12:$B$100,1,FALSE)</f>
        <v>Testing</v>
      </c>
      <c r="D338" s="13" t="str" cm="1">
        <f t="array" ref="D338">_xlfn.XLOOKUP(B338,[1]Baseline!$D$3:$AZ$3,_xlfn.XLOOKUP(C338,[1]Baseline!$B$4:$B$91,[1]Baseline!$D$4:$AZ$91))</f>
        <v>Working</v>
      </c>
      <c r="E338" s="13" t="s">
        <v>375</v>
      </c>
      <c r="F338" s="13">
        <v>1</v>
      </c>
      <c r="G338" s="153">
        <v>2</v>
      </c>
      <c r="H338" s="16">
        <f t="shared" si="5"/>
        <v>1</v>
      </c>
      <c r="I338" s="13">
        <v>2</v>
      </c>
      <c r="J338" s="160"/>
    </row>
    <row r="339" spans="1:10">
      <c r="A339" s="13" t="s">
        <v>5</v>
      </c>
      <c r="B339" s="13" t="s">
        <v>61</v>
      </c>
      <c r="C339" s="13" t="str">
        <f>VLOOKUP([1]Competence!$B85,[1]Competence!$B$12:$B$100,1,FALSE)</f>
        <v>Innovation</v>
      </c>
      <c r="D339" s="13" t="str" cm="1">
        <f t="array" ref="D339">_xlfn.XLOOKUP(B339,[1]Baseline!$D$3:$AZ$3,_xlfn.XLOOKUP(C339,[1]Baseline!$B$4:$B$91,[1]Baseline!$D$4:$AZ$91))</f>
        <v>No Knowledge</v>
      </c>
      <c r="E339" s="13" t="s">
        <v>373</v>
      </c>
      <c r="F339" s="13">
        <v>0</v>
      </c>
      <c r="G339" s="153">
        <v>1</v>
      </c>
      <c r="H339" s="16">
        <f t="shared" si="5"/>
        <v>1</v>
      </c>
      <c r="I339" s="13">
        <v>1</v>
      </c>
      <c r="J339" s="160"/>
    </row>
    <row r="340" spans="1:10">
      <c r="A340" s="13" t="s">
        <v>5</v>
      </c>
      <c r="B340" s="13" t="s">
        <v>61</v>
      </c>
      <c r="C340" s="13" t="str">
        <f>VLOOKUP([1]Competence!$B86,[1]Competence!$B$12:$B$100,1,FALSE)</f>
        <v>Specialist Advice</v>
      </c>
      <c r="D340" s="13" t="str" cm="1">
        <f t="array" ref="D340">_xlfn.XLOOKUP(B340,[1]Baseline!$D$3:$AZ$3,_xlfn.XLOOKUP(C340,[1]Baseline!$B$4:$B$91,[1]Baseline!$D$4:$AZ$91))</f>
        <v>No Knowledge</v>
      </c>
      <c r="E340" s="13" t="s">
        <v>373</v>
      </c>
      <c r="F340" s="13">
        <v>0</v>
      </c>
      <c r="G340" s="153">
        <v>1</v>
      </c>
      <c r="H340" s="16">
        <f t="shared" si="5"/>
        <v>1</v>
      </c>
      <c r="I340" s="13">
        <v>1</v>
      </c>
      <c r="J340" s="160"/>
    </row>
    <row r="341" spans="1:10">
      <c r="A341" s="13" t="s">
        <v>5</v>
      </c>
      <c r="B341" s="13" t="s">
        <v>61</v>
      </c>
      <c r="C341" s="13" t="str">
        <f>VLOOKUP([1]Competence!$B87,[1]Competence!$B$12:$B$100,1,FALSE)</f>
        <v>Emerging technology monitoring</v>
      </c>
      <c r="D341" s="13" t="str" cm="1">
        <f t="array" ref="D341">_xlfn.XLOOKUP(B341,[1]Baseline!$D$3:$AZ$3,_xlfn.XLOOKUP(C341,[1]Baseline!$B$4:$B$91,[1]Baseline!$D$4:$AZ$91))</f>
        <v>No Knowledge</v>
      </c>
      <c r="E341" s="13" t="s">
        <v>373</v>
      </c>
      <c r="F341" s="13">
        <v>0</v>
      </c>
      <c r="G341" s="153">
        <v>1</v>
      </c>
      <c r="H341" s="16">
        <f t="shared" si="5"/>
        <v>1</v>
      </c>
      <c r="I341" s="13">
        <v>1</v>
      </c>
      <c r="J341" s="160"/>
    </row>
    <row r="342" spans="1:10">
      <c r="A342" s="13" t="s">
        <v>5</v>
      </c>
      <c r="B342" s="13" t="s">
        <v>61</v>
      </c>
      <c r="C342" s="13" t="str">
        <f>VLOOKUP([1]Competence!$B88,[1]Competence!$B$12:$B$100,1,FALSE)</f>
        <v>Systems integration and build</v>
      </c>
      <c r="D342" s="13" t="str" cm="1">
        <f t="array" ref="D342">_xlfn.XLOOKUP(B342,[1]Baseline!$D$3:$AZ$3,_xlfn.XLOOKUP(C342,[1]Baseline!$B$4:$B$91,[1]Baseline!$D$4:$AZ$91))</f>
        <v>Practitioner</v>
      </c>
      <c r="E342" s="13" t="s">
        <v>373</v>
      </c>
      <c r="F342" s="13">
        <v>0</v>
      </c>
      <c r="G342" s="153">
        <v>2</v>
      </c>
      <c r="H342" s="16">
        <f t="shared" si="5"/>
        <v>2</v>
      </c>
      <c r="I342" s="13">
        <v>2</v>
      </c>
      <c r="J342" s="160"/>
    </row>
    <row r="343" spans="1:10">
      <c r="A343" s="13" t="s">
        <v>5</v>
      </c>
      <c r="B343" s="13" t="s">
        <v>61</v>
      </c>
      <c r="C343" s="13" t="str">
        <f>VLOOKUP([1]Competence!$B89,[1]Competence!$B$12:$B$100,1,FALSE)</f>
        <v>Audio Visual</v>
      </c>
      <c r="D343" s="13" t="str" cm="1">
        <f t="array" ref="D343">_xlfn.XLOOKUP(B343,[1]Baseline!$D$3:$AZ$3,_xlfn.XLOOKUP(C343,[1]Baseline!$B$4:$B$91,[1]Baseline!$D$4:$AZ$91))</f>
        <v>Practitioner</v>
      </c>
      <c r="E343" s="13" t="s">
        <v>373</v>
      </c>
      <c r="F343" s="13">
        <v>0</v>
      </c>
      <c r="G343" s="153">
        <v>3</v>
      </c>
      <c r="H343" s="16">
        <f t="shared" si="5"/>
        <v>3</v>
      </c>
      <c r="I343" s="13">
        <v>3</v>
      </c>
      <c r="J343" s="160"/>
    </row>
    <row r="344" spans="1:10">
      <c r="A344" s="13" t="s">
        <v>5</v>
      </c>
      <c r="B344" s="13" t="s">
        <v>61</v>
      </c>
      <c r="C344" s="13" t="str">
        <f>VLOOKUP([1]Competence!$B90,[1]Competence!$B$12:$B$100,1,FALSE)</f>
        <v>Augmented Reality</v>
      </c>
      <c r="D344" s="13" t="str" cm="1">
        <f t="array" ref="D344">_xlfn.XLOOKUP(B344,[1]Baseline!$D$3:$AZ$3,_xlfn.XLOOKUP(C344,[1]Baseline!$B$4:$B$91,[1]Baseline!$D$4:$AZ$91))</f>
        <v>Awareness</v>
      </c>
      <c r="E344" s="13" t="s">
        <v>373</v>
      </c>
      <c r="F344" s="13">
        <v>0</v>
      </c>
      <c r="G344" s="153">
        <v>0</v>
      </c>
      <c r="H344" s="16">
        <f t="shared" si="5"/>
        <v>0</v>
      </c>
      <c r="I344" s="13">
        <v>0</v>
      </c>
      <c r="J344" s="160"/>
    </row>
    <row r="345" spans="1:10">
      <c r="A345" s="13" t="s">
        <v>5</v>
      </c>
      <c r="B345" s="13" t="s">
        <v>61</v>
      </c>
      <c r="C345" s="13" t="str">
        <f>VLOOKUP([1]Competence!$B91,[1]Competence!$B$12:$B$100,1,FALSE)</f>
        <v>Benefits management</v>
      </c>
      <c r="D345" s="13" t="str" cm="1">
        <f t="array" ref="D345">_xlfn.XLOOKUP(B345,[1]Baseline!$D$3:$AZ$3,_xlfn.XLOOKUP(C345,[1]Baseline!$B$4:$B$91,[1]Baseline!$D$4:$AZ$91))</f>
        <v>No Knowledge</v>
      </c>
      <c r="E345" s="13" t="s">
        <v>373</v>
      </c>
      <c r="F345" s="13">
        <v>0</v>
      </c>
      <c r="G345" s="153">
        <v>1</v>
      </c>
      <c r="H345" s="16">
        <f t="shared" si="5"/>
        <v>1</v>
      </c>
      <c r="I345" s="13">
        <v>1</v>
      </c>
      <c r="J345" s="160"/>
    </row>
    <row r="346" spans="1:10">
      <c r="A346" s="13" t="s">
        <v>5</v>
      </c>
      <c r="B346" s="13" t="s">
        <v>61</v>
      </c>
      <c r="C346" s="13" t="str">
        <f>VLOOKUP([1]Competence!$B92,[1]Competence!$B$12:$B$100,1,FALSE)</f>
        <v>Business administration</v>
      </c>
      <c r="D346" s="13" t="str" cm="1">
        <f t="array" ref="D346">_xlfn.XLOOKUP(B346,[1]Baseline!$D$3:$AZ$3,_xlfn.XLOOKUP(C346,[1]Baseline!$B$4:$B$91,[1]Baseline!$D$4:$AZ$91))</f>
        <v>No Knowledge</v>
      </c>
      <c r="E346" s="13" t="s">
        <v>374</v>
      </c>
      <c r="F346" s="13">
        <v>1</v>
      </c>
      <c r="G346" s="153">
        <v>2</v>
      </c>
      <c r="H346" s="16">
        <f t="shared" si="5"/>
        <v>1</v>
      </c>
      <c r="I346" s="13">
        <v>2</v>
      </c>
      <c r="J346" s="160"/>
    </row>
    <row r="347" spans="1:10">
      <c r="A347" s="13" t="s">
        <v>5</v>
      </c>
      <c r="B347" s="13" t="s">
        <v>61</v>
      </c>
      <c r="C347" s="13" t="str">
        <f>VLOOKUP([1]Competence!$B93,[1]Competence!$B$12:$B$100,1,FALSE)</f>
        <v>Business intelligence</v>
      </c>
      <c r="D347" s="13" t="str" cm="1">
        <f t="array" ref="D347">_xlfn.XLOOKUP(B347,[1]Baseline!$D$3:$AZ$3,_xlfn.XLOOKUP(C347,[1]Baseline!$B$4:$B$91,[1]Baseline!$D$4:$AZ$91))</f>
        <v>No Knowledge</v>
      </c>
      <c r="E347" s="13" t="s">
        <v>377</v>
      </c>
      <c r="F347" s="13">
        <v>0</v>
      </c>
      <c r="G347" s="153">
        <v>1</v>
      </c>
      <c r="H347" s="16">
        <f t="shared" si="5"/>
        <v>1</v>
      </c>
      <c r="I347" s="13">
        <v>1</v>
      </c>
      <c r="J347" s="160"/>
    </row>
    <row r="348" spans="1:10">
      <c r="A348" s="13" t="s">
        <v>5</v>
      </c>
      <c r="B348" s="13" t="s">
        <v>61</v>
      </c>
      <c r="C348" s="13" t="str">
        <f>VLOOKUP([1]Competence!$B94,[1]Competence!$B$12:$B$100,1,FALSE)</f>
        <v>Business modelling</v>
      </c>
      <c r="D348" s="13" t="str" cm="1">
        <f t="array" ref="D348">_xlfn.XLOOKUP(B348,[1]Baseline!$D$3:$AZ$3,_xlfn.XLOOKUP(C348,[1]Baseline!$B$4:$B$91,[1]Baseline!$D$4:$AZ$91))</f>
        <v>No Knowledge</v>
      </c>
      <c r="E348" s="13" t="s">
        <v>375</v>
      </c>
      <c r="F348" s="13">
        <v>0</v>
      </c>
      <c r="G348" s="153">
        <v>1</v>
      </c>
      <c r="H348" s="16">
        <f t="shared" si="5"/>
        <v>1</v>
      </c>
      <c r="I348" s="13">
        <v>1</v>
      </c>
      <c r="J348" s="160"/>
    </row>
    <row r="349" spans="1:10">
      <c r="A349" s="13" t="s">
        <v>5</v>
      </c>
      <c r="B349" s="13" t="s">
        <v>61</v>
      </c>
      <c r="C349" s="13" t="str">
        <f>VLOOKUP([1]Competence!$B95,[1]Competence!$B$12:$B$100,1,FALSE)</f>
        <v>Business process improvement</v>
      </c>
      <c r="D349" s="13" t="str" cm="1">
        <f t="array" ref="D349">_xlfn.XLOOKUP(B349,[1]Baseline!$D$3:$AZ$3,_xlfn.XLOOKUP(C349,[1]Baseline!$B$4:$B$91,[1]Baseline!$D$4:$AZ$91))</f>
        <v>No Knowledge</v>
      </c>
      <c r="E349" s="13" t="s">
        <v>375</v>
      </c>
      <c r="F349" s="13">
        <v>1</v>
      </c>
      <c r="G349" s="153">
        <v>1</v>
      </c>
      <c r="H349" s="16">
        <f t="shared" si="5"/>
        <v>0</v>
      </c>
      <c r="I349" s="13">
        <v>1</v>
      </c>
      <c r="J349" s="160"/>
    </row>
    <row r="350" spans="1:10">
      <c r="A350" s="13" t="s">
        <v>5</v>
      </c>
      <c r="B350" s="13" t="s">
        <v>61</v>
      </c>
      <c r="C350" s="13" t="str">
        <f>VLOOKUP([1]Competence!$B96,[1]Competence!$B$12:$B$100,1,FALSE)</f>
        <v>Business situation analysis</v>
      </c>
      <c r="D350" s="13" t="str" cm="1">
        <f t="array" ref="D350">_xlfn.XLOOKUP(B350,[1]Baseline!$D$3:$AZ$3,_xlfn.XLOOKUP(C350,[1]Baseline!$B$4:$B$91,[1]Baseline!$D$4:$AZ$91))</f>
        <v>No Knowledge</v>
      </c>
      <c r="E350" s="13" t="s">
        <v>375</v>
      </c>
      <c r="F350" s="13">
        <v>0</v>
      </c>
      <c r="G350" s="153">
        <v>1</v>
      </c>
      <c r="H350" s="16">
        <f t="shared" si="5"/>
        <v>1</v>
      </c>
      <c r="I350" s="13">
        <v>1</v>
      </c>
      <c r="J350" s="160"/>
    </row>
    <row r="351" spans="1:10">
      <c r="A351" s="13" t="s">
        <v>5</v>
      </c>
      <c r="B351" s="13" t="s">
        <v>61</v>
      </c>
      <c r="C351" s="13" t="str">
        <f>VLOOKUP([1]Competence!$B97,[1]Competence!$B$12:$B$100,1,FALSE)</f>
        <v>Programme management</v>
      </c>
      <c r="D351" s="13" t="str" cm="1">
        <f t="array" ref="D351">_xlfn.XLOOKUP(B351,[1]Baseline!$D$3:$AZ$3,_xlfn.XLOOKUP(C351,[1]Baseline!$B$4:$B$91,[1]Baseline!$D$4:$AZ$91))</f>
        <v>No Knowledge</v>
      </c>
      <c r="E351" s="13" t="s">
        <v>375</v>
      </c>
      <c r="F351" s="13">
        <v>1</v>
      </c>
      <c r="G351" s="153">
        <v>1</v>
      </c>
      <c r="H351" s="16">
        <f t="shared" si="5"/>
        <v>0</v>
      </c>
      <c r="I351" s="13">
        <v>1</v>
      </c>
      <c r="J351" s="160"/>
    </row>
    <row r="352" spans="1:10">
      <c r="A352" s="13" t="s">
        <v>5</v>
      </c>
      <c r="B352" s="13" t="s">
        <v>61</v>
      </c>
      <c r="C352" s="13" t="str">
        <f>VLOOKUP([1]Competence!$B98,[1]Competence!$B$12:$B$100,1,FALSE)</f>
        <v>Project management</v>
      </c>
      <c r="D352" s="13" t="str" cm="1">
        <f t="array" ref="D352">_xlfn.XLOOKUP(B352,[1]Baseline!$D$3:$AZ$3,_xlfn.XLOOKUP(C352,[1]Baseline!$B$4:$B$91,[1]Baseline!$D$4:$AZ$91))</f>
        <v>No Knowledge</v>
      </c>
      <c r="E352" s="13" t="s">
        <v>375</v>
      </c>
      <c r="F352" s="13">
        <v>1</v>
      </c>
      <c r="G352" s="153">
        <v>1</v>
      </c>
      <c r="H352" s="16">
        <f t="shared" si="5"/>
        <v>0</v>
      </c>
      <c r="I352" s="13">
        <v>1</v>
      </c>
      <c r="J352" s="160"/>
    </row>
    <row r="353" spans="1:10">
      <c r="A353" s="13" t="s">
        <v>5</v>
      </c>
      <c r="B353" s="13" t="s">
        <v>61</v>
      </c>
      <c r="C353" s="13" t="str">
        <f>VLOOKUP([1]Competence!$B99,[1]Competence!$B$12:$B$100,1,FALSE)</f>
        <v>Quality assurance</v>
      </c>
      <c r="D353" s="13" t="str" cm="1">
        <f t="array" ref="D353">_xlfn.XLOOKUP(B353,[1]Baseline!$D$3:$AZ$3,_xlfn.XLOOKUP(C353,[1]Baseline!$B$4:$B$91,[1]Baseline!$D$4:$AZ$91))</f>
        <v>Working</v>
      </c>
      <c r="E353" s="13" t="s">
        <v>373</v>
      </c>
      <c r="F353" s="13">
        <v>0</v>
      </c>
      <c r="G353" s="153">
        <v>1</v>
      </c>
      <c r="H353" s="16">
        <f t="shared" si="5"/>
        <v>1</v>
      </c>
      <c r="I353" s="13">
        <v>1</v>
      </c>
      <c r="J353" s="160"/>
    </row>
    <row r="354" spans="1:10">
      <c r="A354" s="13" t="s">
        <v>23</v>
      </c>
      <c r="B354" s="13" t="s">
        <v>81</v>
      </c>
      <c r="C354" s="13" t="str">
        <f>VLOOKUP([1]Competence!$B12,[1]Competence!$B$12:$B$100,1,FALSE)</f>
        <v>Asset Management</v>
      </c>
      <c r="D354" s="13" t="str" cm="1">
        <f t="array" ref="D354">_xlfn.XLOOKUP(B354,[1]Baseline!$D$3:$AZ$3,_xlfn.XLOOKUP(C354,[1]Baseline!$B$4:$B$91,[1]Baseline!$D$4:$AZ$91))</f>
        <v>Working</v>
      </c>
      <c r="E354" s="13" t="s">
        <v>377</v>
      </c>
      <c r="F354" s="13">
        <v>3</v>
      </c>
      <c r="G354" s="153">
        <v>2</v>
      </c>
      <c r="H354" s="16">
        <f t="shared" si="5"/>
        <v>-1</v>
      </c>
      <c r="I354" s="13">
        <v>2</v>
      </c>
      <c r="J354" s="160"/>
    </row>
    <row r="355" spans="1:10">
      <c r="A355" s="13" t="s">
        <v>23</v>
      </c>
      <c r="B355" s="13" t="s">
        <v>81</v>
      </c>
      <c r="C355" s="13" t="str">
        <f>VLOOKUP([1]Competence!$B13,[1]Competence!$B$12:$B$100,1,FALSE)</f>
        <v>Change Control</v>
      </c>
      <c r="D355" s="13" t="str" cm="1">
        <f t="array" ref="D355">_xlfn.XLOOKUP(B355,[1]Baseline!$D$3:$AZ$3,_xlfn.XLOOKUP(C355,[1]Baseline!$B$4:$B$91,[1]Baseline!$D$4:$AZ$91))</f>
        <v>Practitioner</v>
      </c>
      <c r="E355" s="13" t="s">
        <v>377</v>
      </c>
      <c r="F355" s="13">
        <v>3</v>
      </c>
      <c r="G355" s="153">
        <v>2</v>
      </c>
      <c r="H355" s="16">
        <f t="shared" si="5"/>
        <v>-1</v>
      </c>
      <c r="I355" s="13">
        <v>2</v>
      </c>
      <c r="J355" s="160"/>
    </row>
    <row r="356" spans="1:10">
      <c r="A356" s="13" t="s">
        <v>23</v>
      </c>
      <c r="B356" s="13" t="s">
        <v>81</v>
      </c>
      <c r="C356" s="13" t="str">
        <f>VLOOKUP([1]Competence!$B14,[1]Competence!$B$12:$B$100,1,FALSE)</f>
        <v>Customer Service Support</v>
      </c>
      <c r="D356" s="13" t="str" cm="1">
        <f t="array" ref="D356">_xlfn.XLOOKUP(B356,[1]Baseline!$D$3:$AZ$3,_xlfn.XLOOKUP(C356,[1]Baseline!$B$4:$B$91,[1]Baseline!$D$4:$AZ$91))</f>
        <v>Practitioner</v>
      </c>
      <c r="E356" s="13" t="s">
        <v>374</v>
      </c>
      <c r="F356" s="13">
        <v>3</v>
      </c>
      <c r="G356" s="153">
        <v>2</v>
      </c>
      <c r="H356" s="16">
        <f t="shared" si="5"/>
        <v>-1</v>
      </c>
      <c r="I356" s="13">
        <v>2</v>
      </c>
      <c r="J356" s="160"/>
    </row>
    <row r="357" spans="1:10">
      <c r="A357" s="13" t="s">
        <v>23</v>
      </c>
      <c r="B357" s="13" t="s">
        <v>81</v>
      </c>
      <c r="C357" s="13" t="str">
        <f>VLOOKUP([1]Competence!$B15,[1]Competence!$B$12:$B$100,1,FALSE)</f>
        <v>Incident management</v>
      </c>
      <c r="D357" s="13" t="str" cm="1">
        <f t="array" ref="D357">_xlfn.XLOOKUP(B357,[1]Baseline!$D$3:$AZ$3,_xlfn.XLOOKUP(C357,[1]Baseline!$B$4:$B$91,[1]Baseline!$D$4:$AZ$91))</f>
        <v>Working</v>
      </c>
      <c r="E357" s="13" t="s">
        <v>377</v>
      </c>
      <c r="F357" s="13">
        <v>3</v>
      </c>
      <c r="G357" s="153">
        <v>2</v>
      </c>
      <c r="H357" s="16">
        <f t="shared" si="5"/>
        <v>-1</v>
      </c>
      <c r="I357" s="13">
        <v>2</v>
      </c>
      <c r="J357" s="160"/>
    </row>
    <row r="358" spans="1:10">
      <c r="A358" s="13" t="s">
        <v>23</v>
      </c>
      <c r="B358" s="13" t="s">
        <v>81</v>
      </c>
      <c r="C358" s="13" t="str">
        <f>VLOOKUP([1]Competence!$B16,[1]Competence!$B$12:$B$100,1,FALSE)</f>
        <v>Information security</v>
      </c>
      <c r="D358" s="13" t="str" cm="1">
        <f t="array" ref="D358">_xlfn.XLOOKUP(B358,[1]Baseline!$D$3:$AZ$3,_xlfn.XLOOKUP(C358,[1]Baseline!$B$4:$B$91,[1]Baseline!$D$4:$AZ$91))</f>
        <v>Practitioner</v>
      </c>
      <c r="E358" s="13" t="s">
        <v>377</v>
      </c>
      <c r="F358" s="13">
        <v>3</v>
      </c>
      <c r="G358" s="153">
        <v>2</v>
      </c>
      <c r="H358" s="16">
        <f t="shared" si="5"/>
        <v>-1</v>
      </c>
      <c r="I358" s="13">
        <v>2</v>
      </c>
      <c r="J358" s="160"/>
    </row>
    <row r="359" spans="1:10">
      <c r="A359" s="13" t="s">
        <v>23</v>
      </c>
      <c r="B359" s="13" t="s">
        <v>81</v>
      </c>
      <c r="C359" s="13" t="str">
        <f>VLOOKUP([1]Competence!$B17,[1]Competence!$B$12:$B$100,1,FALSE)</f>
        <v>Personal data protection</v>
      </c>
      <c r="D359" s="13" t="str" cm="1">
        <f t="array" ref="D359">_xlfn.XLOOKUP(B359,[1]Baseline!$D$3:$AZ$3,_xlfn.XLOOKUP(C359,[1]Baseline!$B$4:$B$91,[1]Baseline!$D$4:$AZ$91))</f>
        <v>Practitioner</v>
      </c>
      <c r="E359" s="13" t="s">
        <v>49</v>
      </c>
      <c r="F359" s="13">
        <v>2</v>
      </c>
      <c r="G359" s="153">
        <v>2</v>
      </c>
      <c r="H359" s="16">
        <f t="shared" si="5"/>
        <v>0</v>
      </c>
      <c r="I359" s="13">
        <v>2</v>
      </c>
      <c r="J359" s="160"/>
    </row>
    <row r="360" spans="1:10">
      <c r="A360" s="13" t="s">
        <v>23</v>
      </c>
      <c r="B360" s="13" t="s">
        <v>81</v>
      </c>
      <c r="C360" s="13" t="str">
        <f>VLOOKUP([1]Competence!$B18,[1]Competence!$B$12:$B$100,1,FALSE)</f>
        <v>Problem management</v>
      </c>
      <c r="D360" s="13" t="str" cm="1">
        <f t="array" ref="D360">_xlfn.XLOOKUP(B360,[1]Baseline!$D$3:$AZ$3,_xlfn.XLOOKUP(C360,[1]Baseline!$B$4:$B$91,[1]Baseline!$D$4:$AZ$91))</f>
        <v>Working</v>
      </c>
      <c r="E360" s="13" t="s">
        <v>376</v>
      </c>
      <c r="F360" s="13">
        <v>3</v>
      </c>
      <c r="G360" s="153">
        <v>2</v>
      </c>
      <c r="H360" s="16">
        <f t="shared" si="5"/>
        <v>-1</v>
      </c>
      <c r="I360" s="13">
        <v>2</v>
      </c>
      <c r="J360" s="160"/>
    </row>
    <row r="361" spans="1:10">
      <c r="A361" s="13" t="s">
        <v>23</v>
      </c>
      <c r="B361" s="13" t="s">
        <v>81</v>
      </c>
      <c r="C361" s="13" t="str">
        <f>VLOOKUP([1]Competence!$B19,[1]Competence!$B$12:$B$100,1,FALSE)</f>
        <v>Service catalogue management</v>
      </c>
      <c r="D361" s="13" t="str" cm="1">
        <f t="array" ref="D361">_xlfn.XLOOKUP(B361,[1]Baseline!$D$3:$AZ$3,_xlfn.XLOOKUP(C361,[1]Baseline!$B$4:$B$91,[1]Baseline!$D$4:$AZ$91))</f>
        <v>Working</v>
      </c>
      <c r="E361" s="13" t="s">
        <v>376</v>
      </c>
      <c r="F361" s="13">
        <v>3</v>
      </c>
      <c r="G361" s="153">
        <v>2</v>
      </c>
      <c r="H361" s="16">
        <f t="shared" si="5"/>
        <v>-1</v>
      </c>
      <c r="I361" s="13">
        <v>2</v>
      </c>
      <c r="J361" s="160"/>
    </row>
    <row r="362" spans="1:10">
      <c r="A362" s="13" t="s">
        <v>23</v>
      </c>
      <c r="B362" s="13" t="s">
        <v>81</v>
      </c>
      <c r="C362" s="13" t="str">
        <f>VLOOKUP([1]Competence!$B20,[1]Competence!$B$12:$B$100,1,FALSE)</f>
        <v>Service level management</v>
      </c>
      <c r="D362" s="13" t="str" cm="1">
        <f t="array" ref="D362">_xlfn.XLOOKUP(B362,[1]Baseline!$D$3:$AZ$3,_xlfn.XLOOKUP(C362,[1]Baseline!$B$4:$B$91,[1]Baseline!$D$4:$AZ$91))</f>
        <v>Working</v>
      </c>
      <c r="E362" s="13" t="s">
        <v>376</v>
      </c>
      <c r="F362" s="13">
        <v>3</v>
      </c>
      <c r="G362" s="153">
        <v>1</v>
      </c>
      <c r="H362" s="16">
        <f t="shared" si="5"/>
        <v>-2</v>
      </c>
      <c r="I362" s="13">
        <v>1</v>
      </c>
      <c r="J362" s="160"/>
    </row>
    <row r="363" spans="1:10">
      <c r="A363" s="13" t="s">
        <v>23</v>
      </c>
      <c r="B363" s="13" t="s">
        <v>81</v>
      </c>
      <c r="C363" s="13" t="str">
        <f>VLOOKUP([1]Competence!$B21,[1]Competence!$B$12:$B$100,1,FALSE)</f>
        <v>Availability Management</v>
      </c>
      <c r="D363" s="13" t="str" cm="1">
        <f t="array" ref="D363">_xlfn.XLOOKUP(B363,[1]Baseline!$D$3:$AZ$3,_xlfn.XLOOKUP(C363,[1]Baseline!$B$4:$B$91,[1]Baseline!$D$4:$AZ$91))</f>
        <v>Working</v>
      </c>
      <c r="E363" s="13" t="s">
        <v>376</v>
      </c>
      <c r="F363" s="13">
        <v>2</v>
      </c>
      <c r="G363" s="153">
        <v>1</v>
      </c>
      <c r="H363" s="16">
        <f t="shared" si="5"/>
        <v>-1</v>
      </c>
      <c r="I363" s="13">
        <v>1</v>
      </c>
      <c r="J363" s="160"/>
    </row>
    <row r="364" spans="1:10">
      <c r="A364" s="13" t="s">
        <v>23</v>
      </c>
      <c r="B364" s="13" t="s">
        <v>81</v>
      </c>
      <c r="C364" s="13" t="str">
        <f>VLOOKUP([1]Competence!$B22,[1]Competence!$B$12:$B$100,1,FALSE)</f>
        <v>Capacity management</v>
      </c>
      <c r="D364" s="13" t="str" cm="1">
        <f t="array" ref="D364">_xlfn.XLOOKUP(B364,[1]Baseline!$D$3:$AZ$3,_xlfn.XLOOKUP(C364,[1]Baseline!$B$4:$B$91,[1]Baseline!$D$4:$AZ$91))</f>
        <v>Working</v>
      </c>
      <c r="E364" s="13" t="s">
        <v>374</v>
      </c>
      <c r="F364" s="13">
        <v>2</v>
      </c>
      <c r="G364" s="153">
        <v>2</v>
      </c>
      <c r="H364" s="16">
        <f t="shared" si="5"/>
        <v>0</v>
      </c>
      <c r="I364" s="13">
        <v>2</v>
      </c>
      <c r="J364" s="160"/>
    </row>
    <row r="365" spans="1:10">
      <c r="A365" s="13" t="s">
        <v>23</v>
      </c>
      <c r="B365" s="13" t="s">
        <v>81</v>
      </c>
      <c r="C365" s="13" t="str">
        <f>VLOOKUP([1]Competence!$B23,[1]Competence!$B$12:$B$100,1,FALSE)</f>
        <v>Configuration Management</v>
      </c>
      <c r="D365" s="13" t="str" cm="1">
        <f t="array" ref="D365">_xlfn.XLOOKUP(B365,[1]Baseline!$D$3:$AZ$3,_xlfn.XLOOKUP(C365,[1]Baseline!$B$4:$B$91,[1]Baseline!$D$4:$AZ$91))</f>
        <v>Working</v>
      </c>
      <c r="E365" s="13" t="s">
        <v>374</v>
      </c>
      <c r="F365" s="13">
        <v>2</v>
      </c>
      <c r="G365" s="153">
        <v>2</v>
      </c>
      <c r="H365" s="16">
        <f t="shared" si="5"/>
        <v>0</v>
      </c>
      <c r="I365" s="13">
        <v>2</v>
      </c>
      <c r="J365" s="160"/>
    </row>
    <row r="366" spans="1:10">
      <c r="A366" s="13" t="s">
        <v>23</v>
      </c>
      <c r="B366" s="13" t="s">
        <v>81</v>
      </c>
      <c r="C366" s="13" t="str">
        <f>VLOOKUP([1]Competence!$B24,[1]Competence!$B$12:$B$100,1,FALSE)</f>
        <v>Continuity Management</v>
      </c>
      <c r="D366" s="13" t="str" cm="1">
        <f t="array" ref="D366">_xlfn.XLOOKUP(B366,[1]Baseline!$D$3:$AZ$3,_xlfn.XLOOKUP(C366,[1]Baseline!$B$4:$B$91,[1]Baseline!$D$4:$AZ$91))</f>
        <v>Working</v>
      </c>
      <c r="E366" s="13" t="s">
        <v>374</v>
      </c>
      <c r="F366" s="13">
        <v>3</v>
      </c>
      <c r="G366" s="153">
        <v>1</v>
      </c>
      <c r="H366" s="16">
        <f t="shared" si="5"/>
        <v>-2</v>
      </c>
      <c r="I366" s="13">
        <v>1</v>
      </c>
      <c r="J366" s="160"/>
    </row>
    <row r="367" spans="1:10">
      <c r="A367" s="13" t="s">
        <v>23</v>
      </c>
      <c r="B367" s="13" t="s">
        <v>81</v>
      </c>
      <c r="C367" s="13" t="str">
        <f>VLOOKUP([1]Competence!$B25,[1]Competence!$B$12:$B$100,1,FALSE)</f>
        <v>Demand Management</v>
      </c>
      <c r="D367" s="13" t="str" cm="1">
        <f t="array" ref="D367">_xlfn.XLOOKUP(B367,[1]Baseline!$D$3:$AZ$3,_xlfn.XLOOKUP(C367,[1]Baseline!$B$4:$B$91,[1]Baseline!$D$4:$AZ$91))</f>
        <v>Working</v>
      </c>
      <c r="E367" s="13" t="s">
        <v>374</v>
      </c>
      <c r="F367" s="13">
        <v>3</v>
      </c>
      <c r="G367" s="153">
        <v>1</v>
      </c>
      <c r="H367" s="16">
        <f t="shared" si="5"/>
        <v>-2</v>
      </c>
      <c r="I367" s="13">
        <v>1</v>
      </c>
      <c r="J367" s="160"/>
    </row>
    <row r="368" spans="1:10">
      <c r="A368" s="13" t="s">
        <v>23</v>
      </c>
      <c r="B368" s="13" t="s">
        <v>81</v>
      </c>
      <c r="C368" s="13" t="str">
        <f>VLOOKUP([1]Competence!$B26,[1]Competence!$B$12:$B$100,1,FALSE)</f>
        <v>Knowledge management</v>
      </c>
      <c r="D368" s="13" t="str" cm="1">
        <f t="array" ref="D368">_xlfn.XLOOKUP(B368,[1]Baseline!$D$3:$AZ$3,_xlfn.XLOOKUP(C368,[1]Baseline!$B$4:$B$91,[1]Baseline!$D$4:$AZ$91))</f>
        <v>Working</v>
      </c>
      <c r="E368" s="13" t="s">
        <v>374</v>
      </c>
      <c r="F368" s="13">
        <v>3</v>
      </c>
      <c r="G368" s="153">
        <v>2</v>
      </c>
      <c r="H368" s="16">
        <f t="shared" si="5"/>
        <v>-1</v>
      </c>
      <c r="I368" s="13">
        <v>2</v>
      </c>
      <c r="J368" s="160"/>
    </row>
    <row r="369" spans="1:10">
      <c r="A369" s="13" t="s">
        <v>23</v>
      </c>
      <c r="B369" s="13" t="s">
        <v>81</v>
      </c>
      <c r="C369" s="13" t="str">
        <f>VLOOKUP([1]Competence!$B27,[1]Competence!$B$12:$B$100,1,FALSE)</f>
        <v>Methods and tools</v>
      </c>
      <c r="D369" s="13" t="str" cm="1">
        <f t="array" ref="D369">_xlfn.XLOOKUP(B369,[1]Baseline!$D$3:$AZ$3,_xlfn.XLOOKUP(C369,[1]Baseline!$B$4:$B$91,[1]Baseline!$D$4:$AZ$91))</f>
        <v>Practitioner</v>
      </c>
      <c r="E369" s="13" t="s">
        <v>377</v>
      </c>
      <c r="F369" s="13">
        <v>3</v>
      </c>
      <c r="G369" s="153">
        <v>2</v>
      </c>
      <c r="H369" s="16">
        <f t="shared" si="5"/>
        <v>-1</v>
      </c>
      <c r="I369" s="13">
        <v>2</v>
      </c>
      <c r="J369" s="160"/>
    </row>
    <row r="370" spans="1:10">
      <c r="A370" s="13" t="s">
        <v>23</v>
      </c>
      <c r="B370" s="13" t="s">
        <v>81</v>
      </c>
      <c r="C370" s="13" t="str">
        <f>VLOOKUP([1]Competence!$B28,[1]Competence!$B$12:$B$100,1,FALSE)</f>
        <v>Release and deployment</v>
      </c>
      <c r="D370" s="13" t="str" cm="1">
        <f t="array" ref="D370">_xlfn.XLOOKUP(B370,[1]Baseline!$D$3:$AZ$3,_xlfn.XLOOKUP(C370,[1]Baseline!$B$4:$B$91,[1]Baseline!$D$4:$AZ$91))</f>
        <v>Practitioner</v>
      </c>
      <c r="E370" s="13" t="s">
        <v>49</v>
      </c>
      <c r="F370" s="13">
        <v>2</v>
      </c>
      <c r="G370" s="153">
        <v>2</v>
      </c>
      <c r="H370" s="16">
        <f t="shared" si="5"/>
        <v>0</v>
      </c>
      <c r="I370" s="13">
        <v>2</v>
      </c>
      <c r="J370" s="160"/>
    </row>
    <row r="371" spans="1:10">
      <c r="A371" s="13" t="s">
        <v>23</v>
      </c>
      <c r="B371" s="13" t="s">
        <v>81</v>
      </c>
      <c r="C371" s="13" t="str">
        <f>VLOOKUP([1]Competence!$B29,[1]Competence!$B$12:$B$100,1,FALSE)</f>
        <v>Service acceptance</v>
      </c>
      <c r="D371" s="13" t="str" cm="1">
        <f t="array" ref="D371">_xlfn.XLOOKUP(B371,[1]Baseline!$D$3:$AZ$3,_xlfn.XLOOKUP(C371,[1]Baseline!$B$4:$B$91,[1]Baseline!$D$4:$AZ$91))</f>
        <v>Practitioner</v>
      </c>
      <c r="E371" s="13" t="s">
        <v>49</v>
      </c>
      <c r="F371" s="13">
        <v>2</v>
      </c>
      <c r="G371" s="153">
        <v>2</v>
      </c>
      <c r="H371" s="16">
        <f t="shared" si="5"/>
        <v>0</v>
      </c>
      <c r="I371" s="13">
        <v>2</v>
      </c>
      <c r="J371" s="160"/>
    </row>
    <row r="372" spans="1:10">
      <c r="A372" s="13" t="s">
        <v>23</v>
      </c>
      <c r="B372" s="13" t="s">
        <v>81</v>
      </c>
      <c r="C372" s="13" t="str">
        <f>VLOOKUP([1]Competence!$B30,[1]Competence!$B$12:$B$100,1,FALSE)</f>
        <v>Stakeholder relationship management</v>
      </c>
      <c r="D372" s="13" t="str" cm="1">
        <f t="array" ref="D372">_xlfn.XLOOKUP(B372,[1]Baseline!$D$3:$AZ$3,_xlfn.XLOOKUP(C372,[1]Baseline!$B$4:$B$91,[1]Baseline!$D$4:$AZ$91))</f>
        <v>Working</v>
      </c>
      <c r="E372" s="13" t="s">
        <v>49</v>
      </c>
      <c r="F372" s="13">
        <v>2</v>
      </c>
      <c r="G372" s="153">
        <v>2</v>
      </c>
      <c r="H372" s="16">
        <f t="shared" si="5"/>
        <v>0</v>
      </c>
      <c r="I372" s="13">
        <v>2</v>
      </c>
      <c r="J372" s="160"/>
    </row>
    <row r="373" spans="1:10">
      <c r="A373" s="13" t="s">
        <v>23</v>
      </c>
      <c r="B373" s="13" t="s">
        <v>81</v>
      </c>
      <c r="C373" s="13" t="str">
        <f>VLOOKUP([1]Competence!$B31,[1]Competence!$B$12:$B$100,1,FALSE)</f>
        <v>Storage management</v>
      </c>
      <c r="D373" s="13" t="str" cm="1">
        <f t="array" ref="D373">_xlfn.XLOOKUP(B373,[1]Baseline!$D$3:$AZ$3,_xlfn.XLOOKUP(C373,[1]Baseline!$B$4:$B$91,[1]Baseline!$D$4:$AZ$91))</f>
        <v>Awareness</v>
      </c>
      <c r="E373" s="13" t="s">
        <v>49</v>
      </c>
      <c r="F373" s="13">
        <v>2</v>
      </c>
      <c r="G373" s="153">
        <v>1</v>
      </c>
      <c r="H373" s="16">
        <f t="shared" si="5"/>
        <v>-1</v>
      </c>
      <c r="I373" s="13">
        <v>1</v>
      </c>
      <c r="J373" s="160"/>
    </row>
    <row r="374" spans="1:10">
      <c r="A374" s="13" t="s">
        <v>23</v>
      </c>
      <c r="B374" s="13" t="s">
        <v>81</v>
      </c>
      <c r="C374" s="13" t="str">
        <f>VLOOKUP([1]Competence!$B32,[1]Competence!$B$12:$B$100,1,FALSE)</f>
        <v>Digital Forensics</v>
      </c>
      <c r="D374" s="13" t="str" cm="1">
        <f t="array" ref="D374">_xlfn.XLOOKUP(B374,[1]Baseline!$D$3:$AZ$3,_xlfn.XLOOKUP(C374,[1]Baseline!$B$4:$B$91,[1]Baseline!$D$4:$AZ$91))</f>
        <v>Practitioner</v>
      </c>
      <c r="E374" s="13" t="s">
        <v>375</v>
      </c>
      <c r="F374" s="13">
        <v>2</v>
      </c>
      <c r="G374" s="153">
        <v>0</v>
      </c>
      <c r="H374" s="16">
        <f t="shared" si="5"/>
        <v>-2</v>
      </c>
      <c r="I374" s="13">
        <v>0</v>
      </c>
      <c r="J374" s="160"/>
    </row>
    <row r="375" spans="1:10">
      <c r="A375" s="13" t="s">
        <v>23</v>
      </c>
      <c r="B375" s="13" t="s">
        <v>81</v>
      </c>
      <c r="C375" s="13" t="str">
        <f>VLOOKUP([1]Competence!$B33,[1]Competence!$B$12:$B$100,1,FALSE)</f>
        <v>Penetration testing</v>
      </c>
      <c r="D375" s="13" t="str" cm="1">
        <f t="array" ref="D375">_xlfn.XLOOKUP(B375,[1]Baseline!$D$3:$AZ$3,_xlfn.XLOOKUP(C375,[1]Baseline!$B$4:$B$91,[1]Baseline!$D$4:$AZ$91))</f>
        <v>Working</v>
      </c>
      <c r="E375" s="13" t="s">
        <v>375</v>
      </c>
      <c r="F375" s="13">
        <v>1</v>
      </c>
      <c r="G375" s="153">
        <v>1</v>
      </c>
      <c r="H375" s="16">
        <f t="shared" si="5"/>
        <v>0</v>
      </c>
      <c r="I375" s="13">
        <v>1</v>
      </c>
      <c r="J375" s="160"/>
    </row>
    <row r="376" spans="1:10">
      <c r="A376" s="13" t="s">
        <v>23</v>
      </c>
      <c r="B376" s="13" t="s">
        <v>81</v>
      </c>
      <c r="C376" s="13" t="str">
        <f>VLOOKUP([1]Competence!$B34,[1]Competence!$B$12:$B$100,1,FALSE)</f>
        <v>Security Operations</v>
      </c>
      <c r="D376" s="13" t="str" cm="1">
        <f t="array" ref="D376">_xlfn.XLOOKUP(B376,[1]Baseline!$D$3:$AZ$3,_xlfn.XLOOKUP(C376,[1]Baseline!$B$4:$B$91,[1]Baseline!$D$4:$AZ$91))</f>
        <v>Practitioner</v>
      </c>
      <c r="E376" s="13" t="s">
        <v>375</v>
      </c>
      <c r="F376" s="13">
        <v>1</v>
      </c>
      <c r="G376" s="153">
        <v>2</v>
      </c>
      <c r="H376" s="16">
        <f t="shared" si="5"/>
        <v>1</v>
      </c>
      <c r="I376" s="13">
        <v>2</v>
      </c>
      <c r="J376" s="160"/>
    </row>
    <row r="377" spans="1:10">
      <c r="A377" s="13" t="s">
        <v>23</v>
      </c>
      <c r="B377" s="13" t="s">
        <v>81</v>
      </c>
      <c r="C377" s="13" t="str">
        <f>VLOOKUP([1]Competence!$B35,[1]Competence!$B$12:$B$100,1,FALSE)</f>
        <v>Threat Intelligence</v>
      </c>
      <c r="D377" s="13" t="str" cm="1">
        <f t="array" ref="D377">_xlfn.XLOOKUP(B377,[1]Baseline!$D$3:$AZ$3,_xlfn.XLOOKUP(C377,[1]Baseline!$B$4:$B$91,[1]Baseline!$D$4:$AZ$91))</f>
        <v>Working</v>
      </c>
      <c r="E377" s="13" t="s">
        <v>376</v>
      </c>
      <c r="F377" s="13">
        <v>2</v>
      </c>
      <c r="G377" s="153">
        <v>0</v>
      </c>
      <c r="H377" s="16">
        <f t="shared" si="5"/>
        <v>-2</v>
      </c>
      <c r="I377" s="13">
        <v>0</v>
      </c>
      <c r="J377" s="160"/>
    </row>
    <row r="378" spans="1:10">
      <c r="A378" s="13" t="s">
        <v>23</v>
      </c>
      <c r="B378" s="13" t="s">
        <v>81</v>
      </c>
      <c r="C378" s="13" t="str">
        <f>VLOOKUP([1]Competence!$B36,[1]Competence!$B$12:$B$100,1,FALSE)</f>
        <v>Vulnerability assessment</v>
      </c>
      <c r="D378" s="13" t="str" cm="1">
        <f t="array" ref="D378">_xlfn.XLOOKUP(B378,[1]Baseline!$D$3:$AZ$3,_xlfn.XLOOKUP(C378,[1]Baseline!$B$4:$B$91,[1]Baseline!$D$4:$AZ$91))</f>
        <v>Working</v>
      </c>
      <c r="E378" s="13" t="s">
        <v>376</v>
      </c>
      <c r="F378" s="13">
        <v>2</v>
      </c>
      <c r="G378" s="153">
        <v>1</v>
      </c>
      <c r="H378" s="16">
        <f t="shared" si="5"/>
        <v>-1</v>
      </c>
      <c r="I378" s="13">
        <v>1</v>
      </c>
      <c r="J378" s="160"/>
    </row>
    <row r="379" spans="1:10">
      <c r="A379" s="13" t="s">
        <v>23</v>
      </c>
      <c r="B379" s="13" t="s">
        <v>81</v>
      </c>
      <c r="C379" s="13" t="str">
        <f>VLOOKUP([1]Competence!$B37,[1]Competence!$B$12:$B$100,1,FALSE)</f>
        <v>Vulnerability Research</v>
      </c>
      <c r="D379" s="13" t="str" cm="1">
        <f t="array" ref="D379">_xlfn.XLOOKUP(B379,[1]Baseline!$D$3:$AZ$3,_xlfn.XLOOKUP(C379,[1]Baseline!$B$4:$B$91,[1]Baseline!$D$4:$AZ$91))</f>
        <v>No Knowledge</v>
      </c>
      <c r="E379" s="13" t="s">
        <v>376</v>
      </c>
      <c r="F379" s="13">
        <v>2</v>
      </c>
      <c r="G379" s="153">
        <v>1</v>
      </c>
      <c r="H379" s="16">
        <f t="shared" si="5"/>
        <v>-1</v>
      </c>
      <c r="I379" s="13">
        <v>1</v>
      </c>
      <c r="J379" s="160"/>
    </row>
    <row r="380" spans="1:10">
      <c r="A380" s="13" t="s">
        <v>23</v>
      </c>
      <c r="B380" s="13" t="s">
        <v>81</v>
      </c>
      <c r="C380" s="13" t="str">
        <f>VLOOKUP([1]Competence!$B38,[1]Competence!$B$12:$B$100,1,FALSE)</f>
        <v>Competency assessment</v>
      </c>
      <c r="D380" s="13" t="str" cm="1">
        <f t="array" ref="D380">_xlfn.XLOOKUP(B380,[1]Baseline!$D$3:$AZ$3,_xlfn.XLOOKUP(C380,[1]Baseline!$B$4:$B$91,[1]Baseline!$D$4:$AZ$91))</f>
        <v>Awareness</v>
      </c>
      <c r="E380" s="13" t="s">
        <v>376</v>
      </c>
      <c r="F380" s="13">
        <v>2</v>
      </c>
      <c r="G380" s="153">
        <v>1</v>
      </c>
      <c r="H380" s="16">
        <f t="shared" si="5"/>
        <v>-1</v>
      </c>
      <c r="I380" s="13">
        <v>1</v>
      </c>
      <c r="J380" s="160"/>
    </row>
    <row r="381" spans="1:10">
      <c r="A381" s="13" t="s">
        <v>23</v>
      </c>
      <c r="B381" s="13" t="s">
        <v>81</v>
      </c>
      <c r="C381" s="13" t="str">
        <f>VLOOKUP([1]Competence!$B39,[1]Competence!$B$12:$B$100,1,FALSE)</f>
        <v>Financial management</v>
      </c>
      <c r="D381" s="13" t="str" cm="1">
        <f t="array" ref="D381">_xlfn.XLOOKUP(B381,[1]Baseline!$D$3:$AZ$3,_xlfn.XLOOKUP(C381,[1]Baseline!$B$4:$B$91,[1]Baseline!$D$4:$AZ$91))</f>
        <v>No Knowledge</v>
      </c>
      <c r="E381" s="13" t="s">
        <v>376</v>
      </c>
      <c r="F381" s="13">
        <v>2</v>
      </c>
      <c r="G381" s="153">
        <v>1</v>
      </c>
      <c r="H381" s="16">
        <f t="shared" si="5"/>
        <v>-1</v>
      </c>
      <c r="I381" s="13">
        <v>1</v>
      </c>
      <c r="J381" s="160"/>
    </row>
    <row r="382" spans="1:10">
      <c r="A382" s="13" t="s">
        <v>23</v>
      </c>
      <c r="B382" s="13" t="s">
        <v>81</v>
      </c>
      <c r="C382" s="13" t="str">
        <f>VLOOKUP([1]Competence!$B40,[1]Competence!$B$12:$B$100,1,FALSE)</f>
        <v>Organisation design and implementation</v>
      </c>
      <c r="D382" s="13" t="str" cm="1">
        <f t="array" ref="D382">_xlfn.XLOOKUP(B382,[1]Baseline!$D$3:$AZ$3,_xlfn.XLOOKUP(C382,[1]Baseline!$B$4:$B$91,[1]Baseline!$D$4:$AZ$91))</f>
        <v>No Knowledge</v>
      </c>
      <c r="E382" s="13" t="s">
        <v>374</v>
      </c>
      <c r="F382" s="13">
        <v>2</v>
      </c>
      <c r="G382" s="153">
        <v>1</v>
      </c>
      <c r="H382" s="16">
        <f t="shared" si="5"/>
        <v>-1</v>
      </c>
      <c r="I382" s="13">
        <v>1</v>
      </c>
      <c r="J382" s="160"/>
    </row>
    <row r="383" spans="1:10">
      <c r="A383" s="13" t="s">
        <v>23</v>
      </c>
      <c r="B383" s="13" t="s">
        <v>81</v>
      </c>
      <c r="C383" s="13" t="str">
        <f>VLOOKUP([1]Competence!$B41,[1]Competence!$B$12:$B$100,1,FALSE)</f>
        <v>Organisational capability development</v>
      </c>
      <c r="D383" s="13" t="str" cm="1">
        <f t="array" ref="D383">_xlfn.XLOOKUP(B383,[1]Baseline!$D$3:$AZ$3,_xlfn.XLOOKUP(C383,[1]Baseline!$B$4:$B$91,[1]Baseline!$D$4:$AZ$91))</f>
        <v>No Knowledge</v>
      </c>
      <c r="E383" s="13" t="s">
        <v>374</v>
      </c>
      <c r="F383" s="13">
        <v>2</v>
      </c>
      <c r="G383" s="153">
        <v>2</v>
      </c>
      <c r="H383" s="16">
        <f t="shared" si="5"/>
        <v>0</v>
      </c>
      <c r="I383" s="13">
        <v>2</v>
      </c>
      <c r="J383" s="160"/>
    </row>
    <row r="384" spans="1:10">
      <c r="A384" s="13" t="s">
        <v>23</v>
      </c>
      <c r="B384" s="13" t="s">
        <v>81</v>
      </c>
      <c r="C384" s="13" t="str">
        <f>VLOOKUP([1]Competence!$B42,[1]Competence!$B$12:$B$100,1,FALSE)</f>
        <v>Organisational change management</v>
      </c>
      <c r="D384" s="13" t="str" cm="1">
        <f t="array" ref="D384">_xlfn.XLOOKUP(B384,[1]Baseline!$D$3:$AZ$3,_xlfn.XLOOKUP(C384,[1]Baseline!$B$4:$B$91,[1]Baseline!$D$4:$AZ$91))</f>
        <v>No Knowledge</v>
      </c>
      <c r="E384" s="13" t="s">
        <v>374</v>
      </c>
      <c r="F384" s="13">
        <v>2</v>
      </c>
      <c r="G384" s="153">
        <v>1</v>
      </c>
      <c r="H384" s="16">
        <f t="shared" si="5"/>
        <v>-1</v>
      </c>
      <c r="I384" s="13">
        <v>1</v>
      </c>
      <c r="J384" s="160"/>
    </row>
    <row r="385" spans="1:10">
      <c r="A385" s="13" t="s">
        <v>23</v>
      </c>
      <c r="B385" s="13" t="s">
        <v>81</v>
      </c>
      <c r="C385" s="13" t="str">
        <f>VLOOKUP([1]Competence!$B43,[1]Competence!$B$12:$B$100,1,FALSE)</f>
        <v>Performance Management</v>
      </c>
      <c r="D385" s="13" t="str" cm="1">
        <f t="array" ref="D385">_xlfn.XLOOKUP(B385,[1]Baseline!$D$3:$AZ$3,_xlfn.XLOOKUP(C385,[1]Baseline!$B$4:$B$91,[1]Baseline!$D$4:$AZ$91))</f>
        <v>Awareness</v>
      </c>
      <c r="E385" s="13" t="s">
        <v>374</v>
      </c>
      <c r="F385" s="13">
        <v>1</v>
      </c>
      <c r="G385" s="153">
        <v>1</v>
      </c>
      <c r="H385" s="16">
        <f t="shared" si="5"/>
        <v>0</v>
      </c>
      <c r="I385" s="13">
        <v>1</v>
      </c>
      <c r="J385" s="160"/>
    </row>
    <row r="386" spans="1:10">
      <c r="A386" s="13" t="s">
        <v>23</v>
      </c>
      <c r="B386" s="13" t="s">
        <v>81</v>
      </c>
      <c r="C386" s="13" t="str">
        <f>VLOOKUP([1]Competence!$B44,[1]Competence!$B$12:$B$100,1,FALSE)</f>
        <v>Professional Development</v>
      </c>
      <c r="D386" s="13" t="str" cm="1">
        <f t="array" ref="D386">_xlfn.XLOOKUP(B386,[1]Baseline!$D$3:$AZ$3,_xlfn.XLOOKUP(C386,[1]Baseline!$B$4:$B$91,[1]Baseline!$D$4:$AZ$91))</f>
        <v>Working</v>
      </c>
      <c r="E386" s="13" t="s">
        <v>378</v>
      </c>
      <c r="F386" s="13">
        <v>1</v>
      </c>
      <c r="G386" s="153">
        <v>2</v>
      </c>
      <c r="H386" s="16">
        <f t="shared" ref="H386:H449" si="6">I386-F386</f>
        <v>1</v>
      </c>
      <c r="I386" s="13">
        <v>2</v>
      </c>
      <c r="J386" s="160"/>
    </row>
    <row r="387" spans="1:10">
      <c r="A387" s="13" t="s">
        <v>23</v>
      </c>
      <c r="B387" s="13" t="s">
        <v>81</v>
      </c>
      <c r="C387" s="13" t="str">
        <f>VLOOKUP([1]Competence!$B45,[1]Competence!$B$12:$B$100,1,FALSE)</f>
        <v>Strategic Planning</v>
      </c>
      <c r="D387" s="13" t="str" cm="1">
        <f t="array" ref="D387">_xlfn.XLOOKUP(B387,[1]Baseline!$D$3:$AZ$3,_xlfn.XLOOKUP(C387,[1]Baseline!$B$4:$B$91,[1]Baseline!$D$4:$AZ$91))</f>
        <v>No Knowledge</v>
      </c>
      <c r="E387" s="13" t="s">
        <v>49</v>
      </c>
      <c r="F387" s="13">
        <v>0</v>
      </c>
      <c r="G387" s="153">
        <v>1</v>
      </c>
      <c r="H387" s="16">
        <f t="shared" si="6"/>
        <v>1</v>
      </c>
      <c r="I387" s="13">
        <v>1</v>
      </c>
      <c r="J387" s="160"/>
    </row>
    <row r="388" spans="1:10">
      <c r="A388" s="13" t="s">
        <v>23</v>
      </c>
      <c r="B388" s="13" t="s">
        <v>81</v>
      </c>
      <c r="C388" s="13" t="str">
        <f>VLOOKUP([1]Competence!$B46,[1]Competence!$B$12:$B$100,1,FALSE)</f>
        <v>Workforce Planning</v>
      </c>
      <c r="D388" s="13" t="str" cm="1">
        <f t="array" ref="D388">_xlfn.XLOOKUP(B388,[1]Baseline!$D$3:$AZ$3,_xlfn.XLOOKUP(C388,[1]Baseline!$B$4:$B$91,[1]Baseline!$D$4:$AZ$91))</f>
        <v>No Knowledge</v>
      </c>
      <c r="E388" s="13" t="s">
        <v>49</v>
      </c>
      <c r="F388" s="13">
        <v>1</v>
      </c>
      <c r="G388" s="153">
        <v>1</v>
      </c>
      <c r="H388" s="16">
        <f t="shared" si="6"/>
        <v>0</v>
      </c>
      <c r="I388" s="13">
        <v>1</v>
      </c>
      <c r="J388" s="160"/>
    </row>
    <row r="389" spans="1:10">
      <c r="A389" s="13" t="s">
        <v>23</v>
      </c>
      <c r="B389" s="13" t="s">
        <v>81</v>
      </c>
      <c r="C389" s="13" t="str">
        <f>VLOOKUP([1]Competence!$B47,[1]Competence!$B$12:$B$100,1,FALSE)</f>
        <v>Audit</v>
      </c>
      <c r="D389" s="13" t="str" cm="1">
        <f t="array" ref="D389">_xlfn.XLOOKUP(B389,[1]Baseline!$D$3:$AZ$3,_xlfn.XLOOKUP(C389,[1]Baseline!$B$4:$B$91,[1]Baseline!$D$4:$AZ$91))</f>
        <v>Working</v>
      </c>
      <c r="E389" s="13" t="s">
        <v>375</v>
      </c>
      <c r="F389" s="13">
        <v>3</v>
      </c>
      <c r="G389" s="153">
        <v>1</v>
      </c>
      <c r="H389" s="16">
        <f t="shared" si="6"/>
        <v>-2</v>
      </c>
      <c r="I389" s="13">
        <v>1</v>
      </c>
      <c r="J389" s="160"/>
    </row>
    <row r="390" spans="1:10">
      <c r="A390" s="13" t="s">
        <v>23</v>
      </c>
      <c r="B390" s="13" t="s">
        <v>81</v>
      </c>
      <c r="C390" s="13" t="str">
        <f>VLOOKUP([1]Competence!$B48,[1]Competence!$B$12:$B$100,1,FALSE)</f>
        <v>Contract management</v>
      </c>
      <c r="D390" s="13" t="str" cm="1">
        <f t="array" ref="D390">_xlfn.XLOOKUP(B390,[1]Baseline!$D$3:$AZ$3,_xlfn.XLOOKUP(C390,[1]Baseline!$B$4:$B$91,[1]Baseline!$D$4:$AZ$91))</f>
        <v>Awareness</v>
      </c>
      <c r="E390" s="13" t="s">
        <v>375</v>
      </c>
      <c r="F390" s="13">
        <v>3</v>
      </c>
      <c r="G390" s="153">
        <v>1</v>
      </c>
      <c r="H390" s="16">
        <f t="shared" si="6"/>
        <v>-2</v>
      </c>
      <c r="I390" s="13">
        <v>1</v>
      </c>
      <c r="J390" s="160"/>
    </row>
    <row r="391" spans="1:10">
      <c r="A391" s="13" t="s">
        <v>23</v>
      </c>
      <c r="B391" s="13" t="s">
        <v>81</v>
      </c>
      <c r="C391" s="13" t="str">
        <f>VLOOKUP([1]Competence!$B49,[1]Competence!$B$12:$B$100,1,FALSE)</f>
        <v>Feasibility assessment</v>
      </c>
      <c r="D391" s="13" t="str" cm="1">
        <f t="array" ref="D391">_xlfn.XLOOKUP(B391,[1]Baseline!$D$3:$AZ$3,_xlfn.XLOOKUP(C391,[1]Baseline!$B$4:$B$91,[1]Baseline!$D$4:$AZ$91))</f>
        <v>Working</v>
      </c>
      <c r="E391" s="13" t="s">
        <v>375</v>
      </c>
      <c r="F391" s="13">
        <v>2</v>
      </c>
      <c r="G391" s="153">
        <v>0</v>
      </c>
      <c r="H391" s="16">
        <f t="shared" si="6"/>
        <v>-2</v>
      </c>
      <c r="I391" s="13">
        <v>0</v>
      </c>
      <c r="J391" s="160"/>
    </row>
    <row r="392" spans="1:10">
      <c r="A392" s="13" t="s">
        <v>23</v>
      </c>
      <c r="B392" s="13" t="s">
        <v>81</v>
      </c>
      <c r="C392" s="13" t="str">
        <f>VLOOKUP([1]Competence!$B50,[1]Competence!$B$12:$B$100,1,FALSE)</f>
        <v>Governance</v>
      </c>
      <c r="D392" s="13" t="str" cm="1">
        <f t="array" ref="D392">_xlfn.XLOOKUP(B392,[1]Baseline!$D$3:$AZ$3,_xlfn.XLOOKUP(C392,[1]Baseline!$B$4:$B$91,[1]Baseline!$D$4:$AZ$91))</f>
        <v>Working</v>
      </c>
      <c r="E392" s="13" t="s">
        <v>375</v>
      </c>
      <c r="F392" s="13">
        <v>0</v>
      </c>
      <c r="G392" s="153">
        <v>0</v>
      </c>
      <c r="H392" s="16">
        <f t="shared" si="6"/>
        <v>0</v>
      </c>
      <c r="I392" s="13">
        <v>0</v>
      </c>
      <c r="J392" s="160"/>
    </row>
    <row r="393" spans="1:10">
      <c r="A393" s="13" t="s">
        <v>23</v>
      </c>
      <c r="B393" s="13" t="s">
        <v>81</v>
      </c>
      <c r="C393" s="13" t="str">
        <f>VLOOKUP([1]Competence!$B51,[1]Competence!$B$12:$B$100,1,FALSE)</f>
        <v>Risk management</v>
      </c>
      <c r="D393" s="13" t="str" cm="1">
        <f t="array" ref="D393">_xlfn.XLOOKUP(B393,[1]Baseline!$D$3:$AZ$3,_xlfn.XLOOKUP(C393,[1]Baseline!$B$4:$B$91,[1]Baseline!$D$4:$AZ$91))</f>
        <v>Working</v>
      </c>
      <c r="E393" s="13" t="s">
        <v>375</v>
      </c>
      <c r="F393" s="13">
        <v>0</v>
      </c>
      <c r="G393" s="153">
        <v>1</v>
      </c>
      <c r="H393" s="16">
        <f t="shared" si="6"/>
        <v>1</v>
      </c>
      <c r="I393" s="13">
        <v>1</v>
      </c>
      <c r="J393" s="160"/>
    </row>
    <row r="394" spans="1:10">
      <c r="A394" s="13" t="s">
        <v>23</v>
      </c>
      <c r="B394" s="13" t="s">
        <v>81</v>
      </c>
      <c r="C394" s="13" t="str">
        <f>VLOOKUP([1]Competence!$B52,[1]Competence!$B$12:$B$100,1,FALSE)</f>
        <v>Sourcing</v>
      </c>
      <c r="D394" s="13" t="str" cm="1">
        <f t="array" ref="D394">_xlfn.XLOOKUP(B394,[1]Baseline!$D$3:$AZ$3,_xlfn.XLOOKUP(C394,[1]Baseline!$B$4:$B$91,[1]Baseline!$D$4:$AZ$91))</f>
        <v>Working</v>
      </c>
      <c r="E394" s="13" t="s">
        <v>375</v>
      </c>
      <c r="F394" s="13">
        <v>0</v>
      </c>
      <c r="G394" s="153">
        <v>1</v>
      </c>
      <c r="H394" s="16">
        <f t="shared" si="6"/>
        <v>1</v>
      </c>
      <c r="I394" s="13">
        <v>1</v>
      </c>
      <c r="J394" s="160"/>
    </row>
    <row r="395" spans="1:10">
      <c r="A395" s="13" t="s">
        <v>23</v>
      </c>
      <c r="B395" s="13" t="s">
        <v>81</v>
      </c>
      <c r="C395" s="13" t="str">
        <f>VLOOKUP([1]Competence!$B53,[1]Competence!$B$12:$B$100,1,FALSE)</f>
        <v>Supplier management</v>
      </c>
      <c r="D395" s="13" t="str" cm="1">
        <f t="array" ref="D395">_xlfn.XLOOKUP(B395,[1]Baseline!$D$3:$AZ$3,_xlfn.XLOOKUP(C395,[1]Baseline!$B$4:$B$91,[1]Baseline!$D$4:$AZ$91))</f>
        <v>Working</v>
      </c>
      <c r="E395" s="13" t="s">
        <v>375</v>
      </c>
      <c r="F395" s="13">
        <v>0</v>
      </c>
      <c r="G395" s="153">
        <v>1</v>
      </c>
      <c r="H395" s="16">
        <f t="shared" si="6"/>
        <v>1</v>
      </c>
      <c r="I395" s="13">
        <v>1</v>
      </c>
      <c r="J395" s="160"/>
    </row>
    <row r="396" spans="1:10">
      <c r="A396" s="13" t="s">
        <v>23</v>
      </c>
      <c r="B396" s="13" t="s">
        <v>81</v>
      </c>
      <c r="C396" s="13" t="str">
        <f>VLOOKUP([1]Competence!$B54,[1]Competence!$B$12:$B$100,1,FALSE)</f>
        <v>Sustainability</v>
      </c>
      <c r="D396" s="13" t="str" cm="1">
        <f t="array" ref="D396">_xlfn.XLOOKUP(B396,[1]Baseline!$D$3:$AZ$3,_xlfn.XLOOKUP(C396,[1]Baseline!$B$4:$B$91,[1]Baseline!$D$4:$AZ$91))</f>
        <v>Awareness</v>
      </c>
      <c r="E396" s="13" t="s">
        <v>375</v>
      </c>
      <c r="F396" s="13">
        <v>1</v>
      </c>
      <c r="G396" s="153">
        <v>1</v>
      </c>
      <c r="H396" s="16">
        <f t="shared" si="6"/>
        <v>0</v>
      </c>
      <c r="I396" s="13">
        <v>1</v>
      </c>
      <c r="J396" s="160"/>
    </row>
    <row r="397" spans="1:10">
      <c r="A397" s="13" t="s">
        <v>23</v>
      </c>
      <c r="B397" s="13" t="s">
        <v>81</v>
      </c>
      <c r="C397" s="13" t="str">
        <f>VLOOKUP([1]Competence!$B55,[1]Competence!$B$12:$B$100,1,FALSE)</f>
        <v>Acceptance testing</v>
      </c>
      <c r="D397" s="13" t="str" cm="1">
        <f t="array" ref="D397">_xlfn.XLOOKUP(B397,[1]Baseline!$D$3:$AZ$3,_xlfn.XLOOKUP(C397,[1]Baseline!$B$4:$B$91,[1]Baseline!$D$4:$AZ$91))</f>
        <v>Working</v>
      </c>
      <c r="E397" s="13" t="s">
        <v>375</v>
      </c>
      <c r="F397" s="13">
        <v>2</v>
      </c>
      <c r="G397" s="153">
        <v>3</v>
      </c>
      <c r="H397" s="16">
        <f t="shared" si="6"/>
        <v>1</v>
      </c>
      <c r="I397" s="13">
        <v>3</v>
      </c>
      <c r="J397" s="160"/>
    </row>
    <row r="398" spans="1:10">
      <c r="A398" s="13" t="s">
        <v>23</v>
      </c>
      <c r="B398" s="13" t="s">
        <v>81</v>
      </c>
      <c r="C398" s="13" t="str">
        <f>VLOOKUP([1]Competence!$B56,[1]Competence!$B$12:$B$100,1,FALSE)</f>
        <v>Application support</v>
      </c>
      <c r="D398" s="13" t="str" cm="1">
        <f t="array" ref="D398">_xlfn.XLOOKUP(B398,[1]Baseline!$D$3:$AZ$3,_xlfn.XLOOKUP(C398,[1]Baseline!$B$4:$B$91,[1]Baseline!$D$4:$AZ$91))</f>
        <v>Practitioner</v>
      </c>
      <c r="E398" s="13" t="s">
        <v>375</v>
      </c>
      <c r="F398" s="13">
        <v>2</v>
      </c>
      <c r="G398" s="153">
        <v>3</v>
      </c>
      <c r="H398" s="16">
        <f t="shared" si="6"/>
        <v>1</v>
      </c>
      <c r="I398" s="13">
        <v>3</v>
      </c>
      <c r="J398" s="160"/>
    </row>
    <row r="399" spans="1:10">
      <c r="A399" s="13" t="s">
        <v>23</v>
      </c>
      <c r="B399" s="13" t="s">
        <v>81</v>
      </c>
      <c r="C399" s="13" t="str">
        <f>VLOOKUP([1]Competence!$B57,[1]Competence!$B$12:$B$100,1,FALSE)</f>
        <v>Data Engineering</v>
      </c>
      <c r="D399" s="13" t="str" cm="1">
        <f t="array" ref="D399">_xlfn.XLOOKUP(B399,[1]Baseline!$D$3:$AZ$3,_xlfn.XLOOKUP(C399,[1]Baseline!$B$4:$B$91,[1]Baseline!$D$4:$AZ$91))</f>
        <v>Awareness</v>
      </c>
      <c r="E399" s="13" t="s">
        <v>375</v>
      </c>
      <c r="F399" s="13">
        <v>0</v>
      </c>
      <c r="G399" s="153">
        <v>3</v>
      </c>
      <c r="H399" s="16">
        <f t="shared" si="6"/>
        <v>3</v>
      </c>
      <c r="I399" s="13">
        <v>3</v>
      </c>
      <c r="J399" s="160"/>
    </row>
    <row r="400" spans="1:10">
      <c r="A400" s="13" t="s">
        <v>23</v>
      </c>
      <c r="B400" s="13" t="s">
        <v>81</v>
      </c>
      <c r="C400" s="13" t="str">
        <f>VLOOKUP([1]Competence!$B58,[1]Competence!$B$12:$B$100,1,FALSE)</f>
        <v>Data Management</v>
      </c>
      <c r="D400" s="13" t="str" cm="1">
        <f t="array" ref="D400">_xlfn.XLOOKUP(B400,[1]Baseline!$D$3:$AZ$3,_xlfn.XLOOKUP(C400,[1]Baseline!$B$4:$B$91,[1]Baseline!$D$4:$AZ$91))</f>
        <v>No Knowledge</v>
      </c>
      <c r="E400" s="13" t="s">
        <v>373</v>
      </c>
      <c r="F400" s="13">
        <v>0</v>
      </c>
      <c r="G400" s="153">
        <v>3</v>
      </c>
      <c r="H400" s="16">
        <f t="shared" si="6"/>
        <v>3</v>
      </c>
      <c r="I400" s="13">
        <v>3</v>
      </c>
      <c r="J400" s="160"/>
    </row>
    <row r="401" spans="1:10">
      <c r="A401" s="13" t="s">
        <v>23</v>
      </c>
      <c r="B401" s="13" t="s">
        <v>81</v>
      </c>
      <c r="C401" s="13" t="str">
        <f>VLOOKUP([1]Competence!$B59,[1]Competence!$B$12:$B$100,1,FALSE)</f>
        <v>Data Modelling and Design</v>
      </c>
      <c r="D401" s="13" t="str" cm="1">
        <f t="array" ref="D401">_xlfn.XLOOKUP(B401,[1]Baseline!$D$3:$AZ$3,_xlfn.XLOOKUP(C401,[1]Baseline!$B$4:$B$91,[1]Baseline!$D$4:$AZ$91))</f>
        <v>No Knowledge</v>
      </c>
      <c r="E401" s="13" t="s">
        <v>373</v>
      </c>
      <c r="F401" s="13">
        <v>0</v>
      </c>
      <c r="G401" s="153">
        <v>3</v>
      </c>
      <c r="H401" s="16">
        <f t="shared" si="6"/>
        <v>3</v>
      </c>
      <c r="I401" s="13">
        <v>3</v>
      </c>
      <c r="J401" s="160"/>
    </row>
    <row r="402" spans="1:10">
      <c r="A402" s="13" t="s">
        <v>23</v>
      </c>
      <c r="B402" s="13" t="s">
        <v>81</v>
      </c>
      <c r="C402" s="13" t="str">
        <f>VLOOKUP([1]Competence!$B60,[1]Competence!$B$12:$B$100,1,FALSE)</f>
        <v>Data science</v>
      </c>
      <c r="D402" s="13" t="str" cm="1">
        <f t="array" ref="D402">_xlfn.XLOOKUP(B402,[1]Baseline!$D$3:$AZ$3,_xlfn.XLOOKUP(C402,[1]Baseline!$B$4:$B$91,[1]Baseline!$D$4:$AZ$91))</f>
        <v>No Knowledge</v>
      </c>
      <c r="E402" s="13" t="s">
        <v>373</v>
      </c>
      <c r="F402" s="13">
        <v>0</v>
      </c>
      <c r="G402" s="153">
        <v>2</v>
      </c>
      <c r="H402" s="16">
        <f t="shared" si="6"/>
        <v>2</v>
      </c>
      <c r="I402" s="13">
        <v>2</v>
      </c>
      <c r="J402" s="160"/>
    </row>
    <row r="403" spans="1:10">
      <c r="A403" s="13" t="s">
        <v>23</v>
      </c>
      <c r="B403" s="13" t="s">
        <v>81</v>
      </c>
      <c r="C403" s="13" t="str">
        <f>VLOOKUP([1]Competence!$B61,[1]Competence!$B$12:$B$100,1,FALSE)</f>
        <v>Data visualisation</v>
      </c>
      <c r="D403" s="13" t="str" cm="1">
        <f t="array" ref="D403">_xlfn.XLOOKUP(B403,[1]Baseline!$D$3:$AZ$3,_xlfn.XLOOKUP(C403,[1]Baseline!$B$4:$B$91,[1]Baseline!$D$4:$AZ$91))</f>
        <v>No Knowledge</v>
      </c>
      <c r="E403" s="13" t="s">
        <v>377</v>
      </c>
      <c r="F403" s="13">
        <v>0</v>
      </c>
      <c r="G403" s="153">
        <v>3</v>
      </c>
      <c r="H403" s="16">
        <f t="shared" si="6"/>
        <v>3</v>
      </c>
      <c r="I403" s="13">
        <v>3</v>
      </c>
      <c r="J403" s="160"/>
    </row>
    <row r="404" spans="1:10">
      <c r="A404" s="13" t="s">
        <v>23</v>
      </c>
      <c r="B404" s="13" t="s">
        <v>81</v>
      </c>
      <c r="C404" s="13" t="str">
        <f>VLOOKUP([1]Competence!$B62,[1]Competence!$B$12:$B$100,1,FALSE)</f>
        <v>Database Administration</v>
      </c>
      <c r="D404" s="13" t="str" cm="1">
        <f t="array" ref="D404">_xlfn.XLOOKUP(B404,[1]Baseline!$D$3:$AZ$3,_xlfn.XLOOKUP(C404,[1]Baseline!$B$4:$B$91,[1]Baseline!$D$4:$AZ$91))</f>
        <v>Working</v>
      </c>
      <c r="E404" s="13" t="s">
        <v>378</v>
      </c>
      <c r="F404" s="13">
        <v>0</v>
      </c>
      <c r="G404" s="153">
        <v>3</v>
      </c>
      <c r="H404" s="16">
        <f t="shared" si="6"/>
        <v>3</v>
      </c>
      <c r="I404" s="13">
        <v>3</v>
      </c>
      <c r="J404" s="160"/>
    </row>
    <row r="405" spans="1:10">
      <c r="A405" s="13" t="s">
        <v>23</v>
      </c>
      <c r="B405" s="13" t="s">
        <v>81</v>
      </c>
      <c r="C405" s="13" t="str">
        <f>VLOOKUP([1]Competence!$B63,[1]Competence!$B$12:$B$100,1,FALSE)</f>
        <v>Database Design</v>
      </c>
      <c r="D405" s="13" t="str" cm="1">
        <f t="array" ref="D405">_xlfn.XLOOKUP(B405,[1]Baseline!$D$3:$AZ$3,_xlfn.XLOOKUP(C405,[1]Baseline!$B$4:$B$91,[1]Baseline!$D$4:$AZ$91))</f>
        <v>Working</v>
      </c>
      <c r="E405" s="13" t="s">
        <v>378</v>
      </c>
      <c r="F405" s="13">
        <v>0</v>
      </c>
      <c r="G405" s="153">
        <v>3</v>
      </c>
      <c r="H405" s="16">
        <f t="shared" si="6"/>
        <v>3</v>
      </c>
      <c r="I405" s="13">
        <v>3</v>
      </c>
      <c r="J405" s="160"/>
    </row>
    <row r="406" spans="1:10">
      <c r="A406" s="13" t="s">
        <v>23</v>
      </c>
      <c r="B406" s="13" t="s">
        <v>81</v>
      </c>
      <c r="C406" s="13" t="str">
        <f>VLOOKUP([1]Competence!$B64,[1]Competence!$B$12:$B$100,1,FALSE)</f>
        <v>Hardware design</v>
      </c>
      <c r="D406" s="13" t="str" cm="1">
        <f t="array" ref="D406">_xlfn.XLOOKUP(B406,[1]Baseline!$D$3:$AZ$3,_xlfn.XLOOKUP(C406,[1]Baseline!$B$4:$B$91,[1]Baseline!$D$4:$AZ$91))</f>
        <v>No Knowledge</v>
      </c>
      <c r="E406" s="13" t="s">
        <v>378</v>
      </c>
      <c r="F406" s="13">
        <v>0</v>
      </c>
      <c r="G406" s="153">
        <v>1</v>
      </c>
      <c r="H406" s="16">
        <f t="shared" si="6"/>
        <v>1</v>
      </c>
      <c r="I406" s="13">
        <v>1</v>
      </c>
      <c r="J406" s="160"/>
    </row>
    <row r="407" spans="1:10">
      <c r="A407" s="13" t="s">
        <v>23</v>
      </c>
      <c r="B407" s="13" t="s">
        <v>81</v>
      </c>
      <c r="C407" s="13" t="str">
        <f>VLOOKUP([1]Competence!$B65,[1]Competence!$B$12:$B$100,1,FALSE)</f>
        <v>High Performance Computing</v>
      </c>
      <c r="D407" s="13" t="str" cm="1">
        <f t="array" ref="D407">_xlfn.XLOOKUP(B407,[1]Baseline!$D$3:$AZ$3,_xlfn.XLOOKUP(C407,[1]Baseline!$B$4:$B$91,[1]Baseline!$D$4:$AZ$91))</f>
        <v>No Knowledge</v>
      </c>
      <c r="E407" s="13" t="s">
        <v>378</v>
      </c>
      <c r="F407" s="13">
        <v>0</v>
      </c>
      <c r="G407" s="153">
        <v>1</v>
      </c>
      <c r="H407" s="16">
        <f t="shared" si="6"/>
        <v>1</v>
      </c>
      <c r="I407" s="13">
        <v>1</v>
      </c>
      <c r="J407" s="160"/>
    </row>
    <row r="408" spans="1:10">
      <c r="A408" s="13" t="s">
        <v>23</v>
      </c>
      <c r="B408" s="13" t="s">
        <v>81</v>
      </c>
      <c r="C408" s="13" t="str">
        <f>VLOOKUP([1]Competence!$B66,[1]Competence!$B$12:$B$100,1,FALSE)</f>
        <v>Research Computing</v>
      </c>
      <c r="D408" s="13" t="str" cm="1">
        <f t="array" ref="D408">_xlfn.XLOOKUP(B408,[1]Baseline!$D$3:$AZ$3,_xlfn.XLOOKUP(C408,[1]Baseline!$B$4:$B$91,[1]Baseline!$D$4:$AZ$91))</f>
        <v>Awareness</v>
      </c>
      <c r="E408" s="13" t="s">
        <v>378</v>
      </c>
      <c r="F408" s="13">
        <v>1</v>
      </c>
      <c r="G408" s="153">
        <v>1</v>
      </c>
      <c r="H408" s="16">
        <f t="shared" si="6"/>
        <v>0</v>
      </c>
      <c r="I408" s="13">
        <v>1</v>
      </c>
      <c r="J408" s="160"/>
    </row>
    <row r="409" spans="1:10">
      <c r="A409" s="13" t="s">
        <v>23</v>
      </c>
      <c r="B409" s="13" t="s">
        <v>81</v>
      </c>
      <c r="C409" s="13" t="str">
        <f>VLOOKUP([1]Competence!$B67,[1]Competence!$B$12:$B$100,1,FALSE)</f>
        <v>Information assurance</v>
      </c>
      <c r="D409" s="13" t="str" cm="1">
        <f t="array" ref="D409">_xlfn.XLOOKUP(B409,[1]Baseline!$D$3:$AZ$3,_xlfn.XLOOKUP(C409,[1]Baseline!$B$4:$B$91,[1]Baseline!$D$4:$AZ$91))</f>
        <v>Practitioner</v>
      </c>
      <c r="E409" s="13" t="s">
        <v>378</v>
      </c>
      <c r="F409" s="13">
        <v>0</v>
      </c>
      <c r="G409" s="153">
        <v>2</v>
      </c>
      <c r="H409" s="16">
        <f t="shared" si="6"/>
        <v>2</v>
      </c>
      <c r="I409" s="13">
        <v>2</v>
      </c>
      <c r="J409" s="160"/>
    </row>
    <row r="410" spans="1:10">
      <c r="A410" s="13" t="s">
        <v>23</v>
      </c>
      <c r="B410" s="13" t="s">
        <v>81</v>
      </c>
      <c r="C410" s="13" t="str">
        <f>VLOOKUP([1]Competence!$B68,[1]Competence!$B$12:$B$100,1,FALSE)</f>
        <v>Information management</v>
      </c>
      <c r="D410" s="13" t="str" cm="1">
        <f t="array" ref="D410">_xlfn.XLOOKUP(B410,[1]Baseline!$D$3:$AZ$3,_xlfn.XLOOKUP(C410,[1]Baseline!$B$4:$B$91,[1]Baseline!$D$4:$AZ$91))</f>
        <v>Practitioner</v>
      </c>
      <c r="E410" s="13" t="s">
        <v>378</v>
      </c>
      <c r="F410" s="13">
        <v>0</v>
      </c>
      <c r="G410" s="153">
        <v>2</v>
      </c>
      <c r="H410" s="16">
        <f t="shared" si="6"/>
        <v>2</v>
      </c>
      <c r="I410" s="13">
        <v>2</v>
      </c>
      <c r="J410" s="160"/>
    </row>
    <row r="411" spans="1:10">
      <c r="A411" s="13" t="s">
        <v>23</v>
      </c>
      <c r="B411" s="13" t="s">
        <v>81</v>
      </c>
      <c r="C411" s="13" t="str">
        <f>VLOOKUP([1]Competence!$B69,[1]Competence!$B$12:$B$100,1,FALSE)</f>
        <v>Infrastructure</v>
      </c>
      <c r="D411" s="13" t="str" cm="1">
        <f t="array" ref="D411">_xlfn.XLOOKUP(B411,[1]Baseline!$D$3:$AZ$3,_xlfn.XLOOKUP(C411,[1]Baseline!$B$4:$B$91,[1]Baseline!$D$4:$AZ$91))</f>
        <v>Working</v>
      </c>
      <c r="E411" s="13" t="s">
        <v>49</v>
      </c>
      <c r="F411" s="13">
        <v>0</v>
      </c>
      <c r="G411" s="153">
        <v>2</v>
      </c>
      <c r="H411" s="16">
        <f t="shared" si="6"/>
        <v>2</v>
      </c>
      <c r="I411" s="13">
        <v>2</v>
      </c>
      <c r="J411" s="160"/>
    </row>
    <row r="412" spans="1:10">
      <c r="A412" s="13" t="s">
        <v>23</v>
      </c>
      <c r="B412" s="13" t="s">
        <v>81</v>
      </c>
      <c r="C412" s="13" t="str">
        <f>VLOOKUP([1]Competence!$B70,[1]Competence!$B$12:$B$100,1,FALSE)</f>
        <v>Network design</v>
      </c>
      <c r="D412" s="13" t="str" cm="1">
        <f t="array" ref="D412">_xlfn.XLOOKUP(B412,[1]Baseline!$D$3:$AZ$3,_xlfn.XLOOKUP(C412,[1]Baseline!$B$4:$B$91,[1]Baseline!$D$4:$AZ$91))</f>
        <v>Awareness</v>
      </c>
      <c r="E412" s="13" t="s">
        <v>375</v>
      </c>
      <c r="F412" s="13">
        <v>2</v>
      </c>
      <c r="G412" s="153">
        <v>0</v>
      </c>
      <c r="H412" s="16">
        <f t="shared" si="6"/>
        <v>-2</v>
      </c>
      <c r="I412" s="13">
        <v>0</v>
      </c>
      <c r="J412" s="160"/>
    </row>
    <row r="413" spans="1:10">
      <c r="A413" s="13" t="s">
        <v>23</v>
      </c>
      <c r="B413" s="13" t="s">
        <v>81</v>
      </c>
      <c r="C413" s="13" t="str">
        <f>VLOOKUP([1]Competence!$B71,[1]Competence!$B$12:$B$100,1,FALSE)</f>
        <v>Network Analytics</v>
      </c>
      <c r="D413" s="13" t="str" cm="1">
        <f t="array" ref="D413">_xlfn.XLOOKUP(B413,[1]Baseline!$D$3:$AZ$3,_xlfn.XLOOKUP(C413,[1]Baseline!$B$4:$B$91,[1]Baseline!$D$4:$AZ$91))</f>
        <v>No Knowledge</v>
      </c>
      <c r="E413" s="13" t="s">
        <v>375</v>
      </c>
      <c r="F413" s="13">
        <v>2</v>
      </c>
      <c r="G413" s="153">
        <v>0</v>
      </c>
      <c r="H413" s="16">
        <f t="shared" si="6"/>
        <v>-2</v>
      </c>
      <c r="I413" s="13">
        <v>0</v>
      </c>
      <c r="J413" s="160"/>
    </row>
    <row r="414" spans="1:10">
      <c r="A414" s="13" t="s">
        <v>23</v>
      </c>
      <c r="B414" s="13" t="s">
        <v>81</v>
      </c>
      <c r="C414" s="13" t="str">
        <f>VLOOKUP([1]Competence!$B72,[1]Competence!$B$12:$B$100,1,FALSE)</f>
        <v>Network support</v>
      </c>
      <c r="D414" s="13" t="str" cm="1">
        <f t="array" ref="D414">_xlfn.XLOOKUP(B414,[1]Baseline!$D$3:$AZ$3,_xlfn.XLOOKUP(C414,[1]Baseline!$B$4:$B$91,[1]Baseline!$D$4:$AZ$91))</f>
        <v>No Knowledge</v>
      </c>
      <c r="E414" s="13" t="s">
        <v>375</v>
      </c>
      <c r="F414" s="13">
        <v>0</v>
      </c>
      <c r="G414" s="153">
        <v>0</v>
      </c>
      <c r="H414" s="16">
        <f t="shared" si="6"/>
        <v>0</v>
      </c>
      <c r="I414" s="13">
        <v>0</v>
      </c>
      <c r="J414" s="160"/>
    </row>
    <row r="415" spans="1:10">
      <c r="A415" s="13" t="s">
        <v>23</v>
      </c>
      <c r="B415" s="13" t="s">
        <v>81</v>
      </c>
      <c r="C415" s="13" t="str">
        <f>VLOOKUP([1]Competence!$B73,[1]Competence!$B$12:$B$100,1,FALSE)</f>
        <v>Programming/software development</v>
      </c>
      <c r="D415" s="13" t="str" cm="1">
        <f t="array" ref="D415">_xlfn.XLOOKUP(B415,[1]Baseline!$D$3:$AZ$3,_xlfn.XLOOKUP(C415,[1]Baseline!$B$4:$B$91,[1]Baseline!$D$4:$AZ$91))</f>
        <v>Practitioner</v>
      </c>
      <c r="E415" s="13" t="s">
        <v>375</v>
      </c>
      <c r="F415" s="13">
        <v>0</v>
      </c>
      <c r="G415" s="153">
        <v>3</v>
      </c>
      <c r="H415" s="16">
        <f t="shared" si="6"/>
        <v>3</v>
      </c>
      <c r="I415" s="13">
        <v>3</v>
      </c>
      <c r="J415" s="160"/>
    </row>
    <row r="416" spans="1:10">
      <c r="A416" s="13" t="s">
        <v>23</v>
      </c>
      <c r="B416" s="13" t="s">
        <v>81</v>
      </c>
      <c r="C416" s="13" t="str">
        <f>VLOOKUP([1]Competence!$B74,[1]Competence!$B$12:$B$100,1,FALSE)</f>
        <v>Real-time/embedded systems development</v>
      </c>
      <c r="D416" s="13" t="str" cm="1">
        <f t="array" ref="D416">_xlfn.XLOOKUP(B416,[1]Baseline!$D$3:$AZ$3,_xlfn.XLOOKUP(C416,[1]Baseline!$B$4:$B$91,[1]Baseline!$D$4:$AZ$91))</f>
        <v>Awareness</v>
      </c>
      <c r="E416" s="13" t="s">
        <v>375</v>
      </c>
      <c r="F416" s="13">
        <v>0</v>
      </c>
      <c r="G416" s="153">
        <v>0</v>
      </c>
      <c r="H416" s="16">
        <f t="shared" si="6"/>
        <v>0</v>
      </c>
      <c r="I416" s="13">
        <v>0</v>
      </c>
      <c r="J416" s="160"/>
    </row>
    <row r="417" spans="1:10">
      <c r="A417" s="13" t="s">
        <v>23</v>
      </c>
      <c r="B417" s="13" t="s">
        <v>81</v>
      </c>
      <c r="C417" s="13" t="str">
        <f>VLOOKUP([1]Competence!$B75,[1]Competence!$B$12:$B$100,1,FALSE)</f>
        <v>Requirements definition and management</v>
      </c>
      <c r="D417" s="13" t="str" cm="1">
        <f t="array" ref="D417">_xlfn.XLOOKUP(B417,[1]Baseline!$D$3:$AZ$3,_xlfn.XLOOKUP(C417,[1]Baseline!$B$4:$B$91,[1]Baseline!$D$4:$AZ$91))</f>
        <v>Practitioner</v>
      </c>
      <c r="E417" s="13" t="s">
        <v>375</v>
      </c>
      <c r="F417" s="13">
        <v>0</v>
      </c>
      <c r="G417" s="153">
        <v>3</v>
      </c>
      <c r="H417" s="16">
        <f t="shared" si="6"/>
        <v>3</v>
      </c>
      <c r="I417" s="13">
        <v>3</v>
      </c>
      <c r="J417" s="160"/>
    </row>
    <row r="418" spans="1:10">
      <c r="A418" s="13" t="s">
        <v>23</v>
      </c>
      <c r="B418" s="13" t="s">
        <v>81</v>
      </c>
      <c r="C418" s="13" t="str">
        <f>VLOOKUP([1]Competence!$B76,[1]Competence!$B$12:$B$100,1,FALSE)</f>
        <v>Software configuration</v>
      </c>
      <c r="D418" s="13" t="str" cm="1">
        <f t="array" ref="D418">_xlfn.XLOOKUP(B418,[1]Baseline!$D$3:$AZ$3,_xlfn.XLOOKUP(C418,[1]Baseline!$B$4:$B$91,[1]Baseline!$D$4:$AZ$91))</f>
        <v>Practitioner</v>
      </c>
      <c r="E418" s="13" t="s">
        <v>375</v>
      </c>
      <c r="F418" s="13">
        <v>2</v>
      </c>
      <c r="G418" s="153">
        <v>2</v>
      </c>
      <c r="H418" s="16">
        <f t="shared" si="6"/>
        <v>0</v>
      </c>
      <c r="I418" s="13">
        <v>2</v>
      </c>
      <c r="J418" s="160"/>
    </row>
    <row r="419" spans="1:10">
      <c r="A419" s="13" t="s">
        <v>23</v>
      </c>
      <c r="B419" s="13" t="s">
        <v>81</v>
      </c>
      <c r="C419" s="13" t="str">
        <f>VLOOKUP([1]Competence!$B77,[1]Competence!$B$12:$B$100,1,FALSE)</f>
        <v>Software design</v>
      </c>
      <c r="D419" s="13" t="str" cm="1">
        <f t="array" ref="D419">_xlfn.XLOOKUP(B419,[1]Baseline!$D$3:$AZ$3,_xlfn.XLOOKUP(C419,[1]Baseline!$B$4:$B$91,[1]Baseline!$D$4:$AZ$91))</f>
        <v>Practitioner</v>
      </c>
      <c r="E419" s="13" t="s">
        <v>375</v>
      </c>
      <c r="F419" s="13">
        <v>0</v>
      </c>
      <c r="G419" s="153">
        <v>3</v>
      </c>
      <c r="H419" s="16">
        <f t="shared" si="6"/>
        <v>3</v>
      </c>
      <c r="I419" s="13">
        <v>3</v>
      </c>
      <c r="J419" s="160"/>
    </row>
    <row r="420" spans="1:10">
      <c r="A420" s="13" t="s">
        <v>23</v>
      </c>
      <c r="B420" s="13" t="s">
        <v>81</v>
      </c>
      <c r="C420" s="13" t="str">
        <f>VLOOKUP([1]Competence!$B78,[1]Competence!$B$12:$B$100,1,FALSE)</f>
        <v>Solution architecture</v>
      </c>
      <c r="D420" s="13" t="str" cm="1">
        <f t="array" ref="D420">_xlfn.XLOOKUP(B420,[1]Baseline!$D$3:$AZ$3,_xlfn.XLOOKUP(C420,[1]Baseline!$B$4:$B$91,[1]Baseline!$D$4:$AZ$91))</f>
        <v>Awareness</v>
      </c>
      <c r="E420" s="13" t="s">
        <v>373</v>
      </c>
      <c r="F420" s="13">
        <v>0</v>
      </c>
      <c r="G420" s="153">
        <v>1</v>
      </c>
      <c r="H420" s="16">
        <f t="shared" si="6"/>
        <v>1</v>
      </c>
      <c r="I420" s="13">
        <v>1</v>
      </c>
      <c r="J420" s="160"/>
    </row>
    <row r="421" spans="1:10">
      <c r="A421" s="13" t="s">
        <v>23</v>
      </c>
      <c r="B421" s="13" t="s">
        <v>81</v>
      </c>
      <c r="C421" s="13" t="str">
        <f>VLOOKUP([1]Competence!$B79,[1]Competence!$B$12:$B$100,1,FALSE)</f>
        <v>System software</v>
      </c>
      <c r="D421" s="13" t="str" cm="1">
        <f t="array" ref="D421">_xlfn.XLOOKUP(B421,[1]Baseline!$D$3:$AZ$3,_xlfn.XLOOKUP(C421,[1]Baseline!$B$4:$B$91,[1]Baseline!$D$4:$AZ$91))</f>
        <v>Practitioner</v>
      </c>
      <c r="E421" s="13" t="s">
        <v>373</v>
      </c>
      <c r="F421" s="13">
        <v>0</v>
      </c>
      <c r="G421" s="153">
        <v>1</v>
      </c>
      <c r="H421" s="16">
        <f t="shared" si="6"/>
        <v>1</v>
      </c>
      <c r="I421" s="13">
        <v>1</v>
      </c>
      <c r="J421" s="160"/>
    </row>
    <row r="422" spans="1:10">
      <c r="A422" s="13" t="s">
        <v>23</v>
      </c>
      <c r="B422" s="13" t="s">
        <v>81</v>
      </c>
      <c r="C422" s="13" t="str">
        <f>VLOOKUP([1]Competence!$B80,[1]Competence!$B$12:$B$100,1,FALSE)</f>
        <v>Systems and software life cycle engineering</v>
      </c>
      <c r="D422" s="13" t="str" cm="1">
        <f t="array" ref="D422">_xlfn.XLOOKUP(B422,[1]Baseline!$D$3:$AZ$3,_xlfn.XLOOKUP(C422,[1]Baseline!$B$4:$B$91,[1]Baseline!$D$4:$AZ$91))</f>
        <v>Practitioner</v>
      </c>
      <c r="E422" s="13" t="s">
        <v>373</v>
      </c>
      <c r="F422" s="13">
        <v>0</v>
      </c>
      <c r="G422" s="153">
        <v>2</v>
      </c>
      <c r="H422" s="16">
        <f t="shared" si="6"/>
        <v>2</v>
      </c>
      <c r="I422" s="13">
        <v>2</v>
      </c>
      <c r="J422" s="160"/>
    </row>
    <row r="423" spans="1:10">
      <c r="A423" s="13" t="s">
        <v>23</v>
      </c>
      <c r="B423" s="13" t="s">
        <v>81</v>
      </c>
      <c r="C423" s="13" t="str">
        <f>VLOOKUP([1]Competence!$B81,[1]Competence!$B$12:$B$100,1,FALSE)</f>
        <v>Systems design</v>
      </c>
      <c r="D423" s="13" t="str" cm="1">
        <f t="array" ref="D423">_xlfn.XLOOKUP(B423,[1]Baseline!$D$3:$AZ$3,_xlfn.XLOOKUP(C423,[1]Baseline!$B$4:$B$91,[1]Baseline!$D$4:$AZ$91))</f>
        <v>Awareness</v>
      </c>
      <c r="E423" s="13" t="s">
        <v>374</v>
      </c>
      <c r="F423" s="13">
        <v>0</v>
      </c>
      <c r="G423" s="153">
        <v>0</v>
      </c>
      <c r="H423" s="16">
        <f t="shared" si="6"/>
        <v>0</v>
      </c>
      <c r="I423" s="13">
        <v>0</v>
      </c>
      <c r="J423" s="160"/>
    </row>
    <row r="424" spans="1:10">
      <c r="A424" s="13" t="s">
        <v>23</v>
      </c>
      <c r="B424" s="13" t="s">
        <v>81</v>
      </c>
      <c r="C424" s="13" t="str">
        <f>VLOOKUP([1]Competence!$B82,[1]Competence!$B$12:$B$100,1,FALSE)</f>
        <v>Systems development management</v>
      </c>
      <c r="D424" s="13" t="str" cm="1">
        <f t="array" ref="D424">_xlfn.XLOOKUP(B424,[1]Baseline!$D$3:$AZ$3,_xlfn.XLOOKUP(C424,[1]Baseline!$B$4:$B$91,[1]Baseline!$D$4:$AZ$91))</f>
        <v>Awareness</v>
      </c>
      <c r="E424" s="13" t="s">
        <v>378</v>
      </c>
      <c r="F424" s="13">
        <v>0</v>
      </c>
      <c r="G424" s="153">
        <v>0</v>
      </c>
      <c r="H424" s="16">
        <f t="shared" si="6"/>
        <v>0</v>
      </c>
      <c r="I424" s="13">
        <v>0</v>
      </c>
      <c r="J424" s="160"/>
    </row>
    <row r="425" spans="1:10">
      <c r="A425" s="13" t="s">
        <v>23</v>
      </c>
      <c r="B425" s="13" t="s">
        <v>81</v>
      </c>
      <c r="C425" s="13" t="str">
        <f>VLOOKUP([1]Competence!$B83,[1]Competence!$B$12:$B$100,1,FALSE)</f>
        <v>Systems installation and removal</v>
      </c>
      <c r="D425" s="13" t="str" cm="1">
        <f t="array" ref="D425">_xlfn.XLOOKUP(B425,[1]Baseline!$D$3:$AZ$3,_xlfn.XLOOKUP(C425,[1]Baseline!$B$4:$B$91,[1]Baseline!$D$4:$AZ$91))</f>
        <v>Awareness</v>
      </c>
      <c r="E425" s="13" t="s">
        <v>375</v>
      </c>
      <c r="F425" s="13">
        <v>0</v>
      </c>
      <c r="G425" s="153">
        <v>1</v>
      </c>
      <c r="H425" s="16">
        <f t="shared" si="6"/>
        <v>1</v>
      </c>
      <c r="I425" s="13">
        <v>1</v>
      </c>
      <c r="J425" s="160"/>
    </row>
    <row r="426" spans="1:10">
      <c r="A426" s="13" t="s">
        <v>23</v>
      </c>
      <c r="B426" s="13" t="s">
        <v>81</v>
      </c>
      <c r="C426" s="13" t="str">
        <f>VLOOKUP([1]Competence!$B84,[1]Competence!$B$12:$B$100,1,FALSE)</f>
        <v>Testing</v>
      </c>
      <c r="D426" s="13" t="str" cm="1">
        <f t="array" ref="D426">_xlfn.XLOOKUP(B426,[1]Baseline!$D$3:$AZ$3,_xlfn.XLOOKUP(C426,[1]Baseline!$B$4:$B$91,[1]Baseline!$D$4:$AZ$91))</f>
        <v>Practitioner</v>
      </c>
      <c r="E426" s="13" t="s">
        <v>375</v>
      </c>
      <c r="F426" s="13">
        <v>0</v>
      </c>
      <c r="G426" s="153">
        <v>3</v>
      </c>
      <c r="H426" s="16">
        <f t="shared" si="6"/>
        <v>3</v>
      </c>
      <c r="I426" s="13">
        <v>3</v>
      </c>
      <c r="J426" s="160"/>
    </row>
    <row r="427" spans="1:10">
      <c r="A427" s="13" t="s">
        <v>23</v>
      </c>
      <c r="B427" s="13" t="s">
        <v>81</v>
      </c>
      <c r="C427" s="13" t="str">
        <f>VLOOKUP([1]Competence!$B85,[1]Competence!$B$12:$B$100,1,FALSE)</f>
        <v>Innovation</v>
      </c>
      <c r="D427" s="13" t="str" cm="1">
        <f t="array" ref="D427">_xlfn.XLOOKUP(B427,[1]Baseline!$D$3:$AZ$3,_xlfn.XLOOKUP(C427,[1]Baseline!$B$4:$B$91,[1]Baseline!$D$4:$AZ$91))</f>
        <v>Working</v>
      </c>
      <c r="E427" s="13" t="s">
        <v>375</v>
      </c>
      <c r="F427" s="13">
        <v>0</v>
      </c>
      <c r="G427" s="153">
        <v>2</v>
      </c>
      <c r="H427" s="16">
        <f t="shared" si="6"/>
        <v>2</v>
      </c>
      <c r="I427" s="13">
        <v>2</v>
      </c>
      <c r="J427" s="160"/>
    </row>
    <row r="428" spans="1:10">
      <c r="A428" s="13" t="s">
        <v>23</v>
      </c>
      <c r="B428" s="13" t="s">
        <v>81</v>
      </c>
      <c r="C428" s="13" t="str">
        <f>VLOOKUP([1]Competence!$B86,[1]Competence!$B$12:$B$100,1,FALSE)</f>
        <v>Specialist Advice</v>
      </c>
      <c r="D428" s="13" t="str" cm="1">
        <f t="array" ref="D428">_xlfn.XLOOKUP(B428,[1]Baseline!$D$3:$AZ$3,_xlfn.XLOOKUP(C428,[1]Baseline!$B$4:$B$91,[1]Baseline!$D$4:$AZ$91))</f>
        <v>Working</v>
      </c>
      <c r="E428" s="13" t="s">
        <v>375</v>
      </c>
      <c r="F428" s="13">
        <v>0</v>
      </c>
      <c r="G428" s="153">
        <v>2</v>
      </c>
      <c r="H428" s="16">
        <f t="shared" si="6"/>
        <v>2</v>
      </c>
      <c r="I428" s="13">
        <v>2</v>
      </c>
      <c r="J428" s="160"/>
    </row>
    <row r="429" spans="1:10">
      <c r="A429" s="13" t="s">
        <v>23</v>
      </c>
      <c r="B429" s="13" t="s">
        <v>81</v>
      </c>
      <c r="C429" s="13" t="str">
        <f>VLOOKUP([1]Competence!$B87,[1]Competence!$B$12:$B$100,1,FALSE)</f>
        <v>Emerging technology monitoring</v>
      </c>
      <c r="D429" s="13" t="str" cm="1">
        <f t="array" ref="D429">_xlfn.XLOOKUP(B429,[1]Baseline!$D$3:$AZ$3,_xlfn.XLOOKUP(C429,[1]Baseline!$B$4:$B$91,[1]Baseline!$D$4:$AZ$91))</f>
        <v>Awareness</v>
      </c>
      <c r="E429" s="13" t="s">
        <v>375</v>
      </c>
      <c r="F429" s="13">
        <v>0</v>
      </c>
      <c r="G429" s="153">
        <v>3</v>
      </c>
      <c r="H429" s="16">
        <f t="shared" si="6"/>
        <v>3</v>
      </c>
      <c r="I429" s="13">
        <v>3</v>
      </c>
      <c r="J429" s="160"/>
    </row>
    <row r="430" spans="1:10">
      <c r="A430" s="13" t="s">
        <v>23</v>
      </c>
      <c r="B430" s="13" t="s">
        <v>81</v>
      </c>
      <c r="C430" s="13" t="str">
        <f>VLOOKUP([1]Competence!$B88,[1]Competence!$B$12:$B$100,1,FALSE)</f>
        <v>Systems integration and build</v>
      </c>
      <c r="D430" s="13" t="str" cm="1">
        <f t="array" ref="D430">_xlfn.XLOOKUP(B430,[1]Baseline!$D$3:$AZ$3,_xlfn.XLOOKUP(C430,[1]Baseline!$B$4:$B$91,[1]Baseline!$D$4:$AZ$91))</f>
        <v>No Knowledge</v>
      </c>
      <c r="E430" s="13" t="s">
        <v>375</v>
      </c>
      <c r="F430" s="13">
        <v>1</v>
      </c>
      <c r="G430" s="153">
        <v>0</v>
      </c>
      <c r="H430" s="16">
        <f t="shared" si="6"/>
        <v>-1</v>
      </c>
      <c r="I430" s="13">
        <v>0</v>
      </c>
      <c r="J430" s="160"/>
    </row>
    <row r="431" spans="1:10">
      <c r="A431" s="13" t="s">
        <v>23</v>
      </c>
      <c r="B431" s="13" t="s">
        <v>81</v>
      </c>
      <c r="C431" s="13" t="str">
        <f>VLOOKUP([1]Competence!$B89,[1]Competence!$B$12:$B$100,1,FALSE)</f>
        <v>Audio Visual</v>
      </c>
      <c r="D431" s="13" t="str" cm="1">
        <f t="array" ref="D431">_xlfn.XLOOKUP(B431,[1]Baseline!$D$3:$AZ$3,_xlfn.XLOOKUP(C431,[1]Baseline!$B$4:$B$91,[1]Baseline!$D$4:$AZ$91))</f>
        <v>No Knowledge</v>
      </c>
      <c r="E431" s="13" t="s">
        <v>375</v>
      </c>
      <c r="F431" s="13">
        <v>0</v>
      </c>
      <c r="G431" s="153">
        <v>2</v>
      </c>
      <c r="H431" s="16">
        <f t="shared" si="6"/>
        <v>2</v>
      </c>
      <c r="I431" s="13">
        <v>2</v>
      </c>
      <c r="J431" s="160"/>
    </row>
    <row r="432" spans="1:10">
      <c r="A432" s="13" t="s">
        <v>23</v>
      </c>
      <c r="B432" s="13" t="s">
        <v>81</v>
      </c>
      <c r="C432" s="13" t="str">
        <f>VLOOKUP([1]Competence!$B90,[1]Competence!$B$12:$B$100,1,FALSE)</f>
        <v>Augmented Reality</v>
      </c>
      <c r="D432" s="13" t="str" cm="1">
        <f t="array" ref="D432">_xlfn.XLOOKUP(B432,[1]Baseline!$D$3:$AZ$3,_xlfn.XLOOKUP(C432,[1]Baseline!$B$4:$B$91,[1]Baseline!$D$4:$AZ$91))</f>
        <v>No Knowledge</v>
      </c>
      <c r="E432" s="13" t="s">
        <v>373</v>
      </c>
      <c r="F432" s="13">
        <v>0</v>
      </c>
      <c r="G432" s="153">
        <v>1</v>
      </c>
      <c r="H432" s="16">
        <f t="shared" si="6"/>
        <v>1</v>
      </c>
      <c r="I432" s="13">
        <v>1</v>
      </c>
      <c r="J432" s="160"/>
    </row>
    <row r="433" spans="1:10">
      <c r="A433" s="13" t="s">
        <v>23</v>
      </c>
      <c r="B433" s="13" t="s">
        <v>81</v>
      </c>
      <c r="C433" s="13" t="str">
        <f>VLOOKUP([1]Competence!$B91,[1]Competence!$B$12:$B$100,1,FALSE)</f>
        <v>Benefits management</v>
      </c>
      <c r="D433" s="13" t="str" cm="1">
        <f t="array" ref="D433">_xlfn.XLOOKUP(B433,[1]Baseline!$D$3:$AZ$3,_xlfn.XLOOKUP(C433,[1]Baseline!$B$4:$B$91,[1]Baseline!$D$4:$AZ$91))</f>
        <v>No Knowledge</v>
      </c>
      <c r="E433" s="13" t="s">
        <v>373</v>
      </c>
      <c r="F433" s="13">
        <v>0</v>
      </c>
      <c r="G433" s="153">
        <v>0</v>
      </c>
      <c r="H433" s="16">
        <f t="shared" si="6"/>
        <v>0</v>
      </c>
      <c r="I433" s="13">
        <v>0</v>
      </c>
      <c r="J433" s="160"/>
    </row>
    <row r="434" spans="1:10">
      <c r="A434" s="13" t="s">
        <v>23</v>
      </c>
      <c r="B434" s="13" t="s">
        <v>81</v>
      </c>
      <c r="C434" s="13" t="str">
        <f>VLOOKUP([1]Competence!$B92,[1]Competence!$B$12:$B$100,1,FALSE)</f>
        <v>Business administration</v>
      </c>
      <c r="D434" s="13" t="str" cm="1">
        <f t="array" ref="D434">_xlfn.XLOOKUP(B434,[1]Baseline!$D$3:$AZ$3,_xlfn.XLOOKUP(C434,[1]Baseline!$B$4:$B$91,[1]Baseline!$D$4:$AZ$91))</f>
        <v>No Knowledge</v>
      </c>
      <c r="E434" s="13" t="s">
        <v>373</v>
      </c>
      <c r="F434" s="13">
        <v>0</v>
      </c>
      <c r="G434" s="153">
        <v>2</v>
      </c>
      <c r="H434" s="16">
        <f t="shared" si="6"/>
        <v>2</v>
      </c>
      <c r="I434" s="13">
        <v>2</v>
      </c>
      <c r="J434" s="160"/>
    </row>
    <row r="435" spans="1:10">
      <c r="A435" s="13" t="s">
        <v>23</v>
      </c>
      <c r="B435" s="13" t="s">
        <v>81</v>
      </c>
      <c r="C435" s="13" t="str">
        <f>VLOOKUP([1]Competence!$B93,[1]Competence!$B$12:$B$100,1,FALSE)</f>
        <v>Business intelligence</v>
      </c>
      <c r="D435" s="13" t="str" cm="1">
        <f t="array" ref="D435">_xlfn.XLOOKUP(B435,[1]Baseline!$D$3:$AZ$3,_xlfn.XLOOKUP(C435,[1]Baseline!$B$4:$B$91,[1]Baseline!$D$4:$AZ$91))</f>
        <v>No Knowledge</v>
      </c>
      <c r="E435" s="13" t="s">
        <v>375</v>
      </c>
      <c r="F435" s="13">
        <v>0</v>
      </c>
      <c r="G435" s="153">
        <v>2</v>
      </c>
      <c r="H435" s="16">
        <f t="shared" si="6"/>
        <v>2</v>
      </c>
      <c r="I435" s="13">
        <v>2</v>
      </c>
      <c r="J435" s="160"/>
    </row>
    <row r="436" spans="1:10">
      <c r="A436" s="13" t="s">
        <v>23</v>
      </c>
      <c r="B436" s="13" t="s">
        <v>81</v>
      </c>
      <c r="C436" s="13" t="str">
        <f>VLOOKUP([1]Competence!$B94,[1]Competence!$B$12:$B$100,1,FALSE)</f>
        <v>Business modelling</v>
      </c>
      <c r="D436" s="13" t="str" cm="1">
        <f t="array" ref="D436">_xlfn.XLOOKUP(B436,[1]Baseline!$D$3:$AZ$3,_xlfn.XLOOKUP(C436,[1]Baseline!$B$4:$B$91,[1]Baseline!$D$4:$AZ$91))</f>
        <v>No Knowledge</v>
      </c>
      <c r="E436" s="13" t="s">
        <v>375</v>
      </c>
      <c r="F436" s="13">
        <v>0</v>
      </c>
      <c r="G436" s="153">
        <v>1</v>
      </c>
      <c r="H436" s="16">
        <f t="shared" si="6"/>
        <v>1</v>
      </c>
      <c r="I436" s="13">
        <v>1</v>
      </c>
      <c r="J436" s="160"/>
    </row>
    <row r="437" spans="1:10">
      <c r="A437" s="13" t="s">
        <v>23</v>
      </c>
      <c r="B437" s="13" t="s">
        <v>81</v>
      </c>
      <c r="C437" s="13" t="str">
        <f>VLOOKUP([1]Competence!$B95,[1]Competence!$B$12:$B$100,1,FALSE)</f>
        <v>Business process improvement</v>
      </c>
      <c r="D437" s="13" t="str" cm="1">
        <f t="array" ref="D437">_xlfn.XLOOKUP(B437,[1]Baseline!$D$3:$AZ$3,_xlfn.XLOOKUP(C437,[1]Baseline!$B$4:$B$91,[1]Baseline!$D$4:$AZ$91))</f>
        <v>No Knowledge</v>
      </c>
      <c r="E437" s="13" t="s">
        <v>375</v>
      </c>
      <c r="F437" s="13">
        <v>0</v>
      </c>
      <c r="G437" s="153">
        <v>0</v>
      </c>
      <c r="H437" s="16">
        <f t="shared" si="6"/>
        <v>0</v>
      </c>
      <c r="I437" s="13">
        <v>0</v>
      </c>
      <c r="J437" s="160"/>
    </row>
    <row r="438" spans="1:10">
      <c r="A438" s="13" t="s">
        <v>23</v>
      </c>
      <c r="B438" s="13" t="s">
        <v>81</v>
      </c>
      <c r="C438" s="13" t="str">
        <f>VLOOKUP([1]Competence!$B96,[1]Competence!$B$12:$B$100,1,FALSE)</f>
        <v>Business situation analysis</v>
      </c>
      <c r="D438" s="13" t="str" cm="1">
        <f t="array" ref="D438">_xlfn.XLOOKUP(B438,[1]Baseline!$D$3:$AZ$3,_xlfn.XLOOKUP(C438,[1]Baseline!$B$4:$B$91,[1]Baseline!$D$4:$AZ$91))</f>
        <v>No Knowledge</v>
      </c>
      <c r="E438" s="13" t="s">
        <v>375</v>
      </c>
      <c r="F438" s="13">
        <v>0</v>
      </c>
      <c r="G438" s="153">
        <v>1</v>
      </c>
      <c r="H438" s="16">
        <f t="shared" si="6"/>
        <v>1</v>
      </c>
      <c r="I438" s="13">
        <v>1</v>
      </c>
      <c r="J438" s="160"/>
    </row>
    <row r="439" spans="1:10">
      <c r="A439" s="13" t="s">
        <v>23</v>
      </c>
      <c r="B439" s="13" t="s">
        <v>81</v>
      </c>
      <c r="C439" s="13" t="str">
        <f>VLOOKUP([1]Competence!$B97,[1]Competence!$B$12:$B$100,1,FALSE)</f>
        <v>Programme management</v>
      </c>
      <c r="D439" s="13" t="str" cm="1">
        <f t="array" ref="D439">_xlfn.XLOOKUP(B439,[1]Baseline!$D$3:$AZ$3,_xlfn.XLOOKUP(C439,[1]Baseline!$B$4:$B$91,[1]Baseline!$D$4:$AZ$91))</f>
        <v>No Knowledge</v>
      </c>
      <c r="E439" s="13" t="s">
        <v>375</v>
      </c>
      <c r="F439" s="13">
        <v>0</v>
      </c>
      <c r="G439" s="153">
        <v>0</v>
      </c>
      <c r="H439" s="16">
        <f t="shared" si="6"/>
        <v>0</v>
      </c>
      <c r="I439" s="13">
        <v>0</v>
      </c>
      <c r="J439" s="160"/>
    </row>
    <row r="440" spans="1:10">
      <c r="A440" s="13" t="s">
        <v>23</v>
      </c>
      <c r="B440" s="13" t="s">
        <v>81</v>
      </c>
      <c r="C440" s="13" t="str">
        <f>VLOOKUP([1]Competence!$B98,[1]Competence!$B$12:$B$100,1,FALSE)</f>
        <v>Project management</v>
      </c>
      <c r="D440" s="13" t="str" cm="1">
        <f t="array" ref="D440">_xlfn.XLOOKUP(B440,[1]Baseline!$D$3:$AZ$3,_xlfn.XLOOKUP(C440,[1]Baseline!$B$4:$B$91,[1]Baseline!$D$4:$AZ$91))</f>
        <v>No Knowledge</v>
      </c>
      <c r="E440" s="13" t="s">
        <v>375</v>
      </c>
      <c r="F440" s="13">
        <v>0</v>
      </c>
      <c r="G440" s="153">
        <v>1</v>
      </c>
      <c r="H440" s="16">
        <f t="shared" si="6"/>
        <v>1</v>
      </c>
      <c r="I440" s="13">
        <v>1</v>
      </c>
      <c r="J440" s="160"/>
    </row>
    <row r="441" spans="1:10">
      <c r="A441" s="13" t="s">
        <v>23</v>
      </c>
      <c r="B441" s="13" t="s">
        <v>81</v>
      </c>
      <c r="C441" s="13" t="str">
        <f>VLOOKUP([1]Competence!$B99,[1]Competence!$B$12:$B$100,1,FALSE)</f>
        <v>Quality assurance</v>
      </c>
      <c r="D441" s="13" t="str" cm="1">
        <f t="array" ref="D441">_xlfn.XLOOKUP(B441,[1]Baseline!$D$3:$AZ$3,_xlfn.XLOOKUP(C441,[1]Baseline!$B$4:$B$91,[1]Baseline!$D$4:$AZ$91))</f>
        <v>No Knowledge</v>
      </c>
      <c r="E441" s="13" t="s">
        <v>375</v>
      </c>
      <c r="F441" s="13">
        <v>0</v>
      </c>
      <c r="G441" s="153">
        <v>2</v>
      </c>
      <c r="H441" s="16">
        <f t="shared" si="6"/>
        <v>2</v>
      </c>
      <c r="I441" s="13">
        <v>2</v>
      </c>
      <c r="J441" s="160"/>
    </row>
    <row r="442" spans="1:10">
      <c r="A442" s="13" t="s">
        <v>12</v>
      </c>
      <c r="B442" s="13" t="s">
        <v>66</v>
      </c>
      <c r="C442" s="13" t="str">
        <f>VLOOKUP([1]Competence!$B12,[1]Competence!$B$12:$B$100,1,FALSE)</f>
        <v>Asset Management</v>
      </c>
      <c r="D442" s="13" t="str" cm="1">
        <f t="array" ref="D442">_xlfn.XLOOKUP(B442,[1]Baseline!$D$3:$AZ$3,_xlfn.XLOOKUP(C442,[1]Baseline!$B$4:$B$91,[1]Baseline!$D$4:$AZ$91))</f>
        <v>Practitioner</v>
      </c>
      <c r="E442" s="13" t="s">
        <v>49</v>
      </c>
      <c r="F442" s="13">
        <v>2</v>
      </c>
      <c r="G442" s="153">
        <v>3</v>
      </c>
      <c r="H442" s="16">
        <f t="shared" si="6"/>
        <v>1</v>
      </c>
      <c r="I442" s="13">
        <v>3</v>
      </c>
      <c r="J442" s="160"/>
    </row>
    <row r="443" spans="1:10">
      <c r="A443" s="13" t="s">
        <v>12</v>
      </c>
      <c r="B443" s="13" t="s">
        <v>66</v>
      </c>
      <c r="C443" s="13" t="str">
        <f>VLOOKUP([1]Competence!$B13,[1]Competence!$B$12:$B$100,1,FALSE)</f>
        <v>Change Control</v>
      </c>
      <c r="D443" s="13" t="str" cm="1">
        <f t="array" ref="D443">_xlfn.XLOOKUP(B443,[1]Baseline!$D$3:$AZ$3,_xlfn.XLOOKUP(C443,[1]Baseline!$B$4:$B$91,[1]Baseline!$D$4:$AZ$91))</f>
        <v>Practitioner</v>
      </c>
      <c r="E443" s="13" t="s">
        <v>375</v>
      </c>
      <c r="F443" s="13">
        <v>2</v>
      </c>
      <c r="G443" s="153">
        <v>2</v>
      </c>
      <c r="H443" s="16">
        <f t="shared" si="6"/>
        <v>0</v>
      </c>
      <c r="I443" s="13">
        <v>2</v>
      </c>
      <c r="J443" s="160"/>
    </row>
    <row r="444" spans="1:10">
      <c r="A444" s="13" t="s">
        <v>12</v>
      </c>
      <c r="B444" s="13" t="s">
        <v>66</v>
      </c>
      <c r="C444" s="13" t="str">
        <f>VLOOKUP([1]Competence!$B14,[1]Competence!$B$12:$B$100,1,FALSE)</f>
        <v>Customer Service Support</v>
      </c>
      <c r="D444" s="13" t="str" cm="1">
        <f t="array" ref="D444">_xlfn.XLOOKUP(B444,[1]Baseline!$D$3:$AZ$3,_xlfn.XLOOKUP(C444,[1]Baseline!$B$4:$B$91,[1]Baseline!$D$4:$AZ$91))</f>
        <v>Practitioner</v>
      </c>
      <c r="E444" s="13" t="s">
        <v>375</v>
      </c>
      <c r="F444" s="13">
        <v>3</v>
      </c>
      <c r="G444" s="153">
        <v>3</v>
      </c>
      <c r="H444" s="16">
        <f t="shared" si="6"/>
        <v>0</v>
      </c>
      <c r="I444" s="13">
        <v>3</v>
      </c>
      <c r="J444" s="160"/>
    </row>
    <row r="445" spans="1:10">
      <c r="A445" s="13" t="s">
        <v>12</v>
      </c>
      <c r="B445" s="13" t="s">
        <v>66</v>
      </c>
      <c r="C445" s="13" t="str">
        <f>VLOOKUP([1]Competence!$B15,[1]Competence!$B$12:$B$100,1,FALSE)</f>
        <v>Incident management</v>
      </c>
      <c r="D445" s="13" t="str" cm="1">
        <f t="array" ref="D445">_xlfn.XLOOKUP(B445,[1]Baseline!$D$3:$AZ$3,_xlfn.XLOOKUP(C445,[1]Baseline!$B$4:$B$91,[1]Baseline!$D$4:$AZ$91))</f>
        <v>Practitioner</v>
      </c>
      <c r="E445" s="13" t="s">
        <v>375</v>
      </c>
      <c r="F445" s="13">
        <v>3</v>
      </c>
      <c r="G445" s="153">
        <v>3</v>
      </c>
      <c r="H445" s="16">
        <f t="shared" si="6"/>
        <v>0</v>
      </c>
      <c r="I445" s="13">
        <v>3</v>
      </c>
      <c r="J445" s="160"/>
    </row>
    <row r="446" spans="1:10">
      <c r="A446" s="13" t="s">
        <v>12</v>
      </c>
      <c r="B446" s="13" t="s">
        <v>66</v>
      </c>
      <c r="C446" s="13" t="str">
        <f>VLOOKUP([1]Competence!$B16,[1]Competence!$B$12:$B$100,1,FALSE)</f>
        <v>Information security</v>
      </c>
      <c r="D446" s="13" t="str" cm="1">
        <f t="array" ref="D446">_xlfn.XLOOKUP(B446,[1]Baseline!$D$3:$AZ$3,_xlfn.XLOOKUP(C446,[1]Baseline!$B$4:$B$91,[1]Baseline!$D$4:$AZ$91))</f>
        <v>Practitioner</v>
      </c>
      <c r="E446" s="13" t="s">
        <v>375</v>
      </c>
      <c r="F446" s="13">
        <v>2</v>
      </c>
      <c r="G446" s="153">
        <v>2</v>
      </c>
      <c r="H446" s="16">
        <f t="shared" si="6"/>
        <v>0</v>
      </c>
      <c r="I446" s="13">
        <v>2</v>
      </c>
      <c r="J446" s="160"/>
    </row>
    <row r="447" spans="1:10">
      <c r="A447" s="13" t="s">
        <v>12</v>
      </c>
      <c r="B447" s="13" t="s">
        <v>66</v>
      </c>
      <c r="C447" s="13" t="str">
        <f>VLOOKUP([1]Competence!$B17,[1]Competence!$B$12:$B$100,1,FALSE)</f>
        <v>Personal data protection</v>
      </c>
      <c r="D447" s="13" t="str" cm="1">
        <f t="array" ref="D447">_xlfn.XLOOKUP(B447,[1]Baseline!$D$3:$AZ$3,_xlfn.XLOOKUP(C447,[1]Baseline!$B$4:$B$91,[1]Baseline!$D$4:$AZ$91))</f>
        <v>Practitioner</v>
      </c>
      <c r="E447" s="13" t="s">
        <v>375</v>
      </c>
      <c r="F447" s="13">
        <v>2</v>
      </c>
      <c r="G447" s="153">
        <v>3</v>
      </c>
      <c r="H447" s="16">
        <f t="shared" si="6"/>
        <v>1</v>
      </c>
      <c r="I447" s="13">
        <v>3</v>
      </c>
      <c r="J447" s="160"/>
    </row>
    <row r="448" spans="1:10">
      <c r="A448" s="13" t="s">
        <v>12</v>
      </c>
      <c r="B448" s="13" t="s">
        <v>66</v>
      </c>
      <c r="C448" s="13" t="str">
        <f>VLOOKUP([1]Competence!$B18,[1]Competence!$B$12:$B$100,1,FALSE)</f>
        <v>Problem management</v>
      </c>
      <c r="D448" s="13" t="str" cm="1">
        <f t="array" ref="D448">_xlfn.XLOOKUP(B448,[1]Baseline!$D$3:$AZ$3,_xlfn.XLOOKUP(C448,[1]Baseline!$B$4:$B$91,[1]Baseline!$D$4:$AZ$91))</f>
        <v>Working</v>
      </c>
      <c r="E448" s="13" t="s">
        <v>373</v>
      </c>
      <c r="F448" s="13">
        <v>2</v>
      </c>
      <c r="G448" s="153">
        <v>3</v>
      </c>
      <c r="H448" s="16">
        <f t="shared" si="6"/>
        <v>1</v>
      </c>
      <c r="I448" s="13">
        <v>3</v>
      </c>
      <c r="J448" s="160"/>
    </row>
    <row r="449" spans="1:10">
      <c r="A449" s="13" t="s">
        <v>12</v>
      </c>
      <c r="B449" s="13" t="s">
        <v>66</v>
      </c>
      <c r="C449" s="13" t="str">
        <f>VLOOKUP([1]Competence!$B19,[1]Competence!$B$12:$B$100,1,FALSE)</f>
        <v>Service catalogue management</v>
      </c>
      <c r="D449" s="13" t="str" cm="1">
        <f t="array" ref="D449">_xlfn.XLOOKUP(B449,[1]Baseline!$D$3:$AZ$3,_xlfn.XLOOKUP(C449,[1]Baseline!$B$4:$B$91,[1]Baseline!$D$4:$AZ$91))</f>
        <v>Working</v>
      </c>
      <c r="E449" s="13" t="s">
        <v>373</v>
      </c>
      <c r="F449" s="13">
        <v>2</v>
      </c>
      <c r="G449" s="153">
        <v>3</v>
      </c>
      <c r="H449" s="16">
        <f t="shared" si="6"/>
        <v>1</v>
      </c>
      <c r="I449" s="13">
        <v>3</v>
      </c>
      <c r="J449" s="160"/>
    </row>
    <row r="450" spans="1:10">
      <c r="A450" s="13" t="s">
        <v>12</v>
      </c>
      <c r="B450" s="13" t="s">
        <v>66</v>
      </c>
      <c r="C450" s="13" t="str">
        <f>VLOOKUP([1]Competence!$B20,[1]Competence!$B$12:$B$100,1,FALSE)</f>
        <v>Service level management</v>
      </c>
      <c r="D450" s="13" t="str" cm="1">
        <f t="array" ref="D450">_xlfn.XLOOKUP(B450,[1]Baseline!$D$3:$AZ$3,_xlfn.XLOOKUP(C450,[1]Baseline!$B$4:$B$91,[1]Baseline!$D$4:$AZ$91))</f>
        <v>Practitioner</v>
      </c>
      <c r="E450" s="13" t="s">
        <v>373</v>
      </c>
      <c r="F450" s="13">
        <v>2</v>
      </c>
      <c r="G450" s="153">
        <v>2</v>
      </c>
      <c r="H450" s="16">
        <f t="shared" ref="H450:H513" si="7">I450-F450</f>
        <v>0</v>
      </c>
      <c r="I450" s="13">
        <v>2</v>
      </c>
      <c r="J450" s="160"/>
    </row>
    <row r="451" spans="1:10">
      <c r="A451" s="13" t="s">
        <v>12</v>
      </c>
      <c r="B451" s="13" t="s">
        <v>66</v>
      </c>
      <c r="C451" s="13" t="str">
        <f>VLOOKUP([1]Competence!$B21,[1]Competence!$B$12:$B$100,1,FALSE)</f>
        <v>Availability Management</v>
      </c>
      <c r="D451" s="13" t="str" cm="1">
        <f t="array" ref="D451">_xlfn.XLOOKUP(B451,[1]Baseline!$D$3:$AZ$3,_xlfn.XLOOKUP(C451,[1]Baseline!$B$4:$B$91,[1]Baseline!$D$4:$AZ$91))</f>
        <v>Awareness</v>
      </c>
      <c r="E451" s="13" t="s">
        <v>373</v>
      </c>
      <c r="F451" s="13">
        <v>2</v>
      </c>
      <c r="G451" s="153">
        <v>1</v>
      </c>
      <c r="H451" s="16">
        <f t="shared" si="7"/>
        <v>-1</v>
      </c>
      <c r="I451" s="13">
        <v>1</v>
      </c>
      <c r="J451" s="160"/>
    </row>
    <row r="452" spans="1:10">
      <c r="A452" s="13" t="s">
        <v>12</v>
      </c>
      <c r="B452" s="13" t="s">
        <v>66</v>
      </c>
      <c r="C452" s="13" t="str">
        <f>VLOOKUP([1]Competence!$B22,[1]Competence!$B$12:$B$100,1,FALSE)</f>
        <v>Capacity management</v>
      </c>
      <c r="D452" s="13" t="str" cm="1">
        <f t="array" ref="D452">_xlfn.XLOOKUP(B452,[1]Baseline!$D$3:$AZ$3,_xlfn.XLOOKUP(C452,[1]Baseline!$B$4:$B$91,[1]Baseline!$D$4:$AZ$91))</f>
        <v>No Knowledge</v>
      </c>
      <c r="E452" s="13" t="s">
        <v>376</v>
      </c>
      <c r="F452" s="13">
        <v>3</v>
      </c>
      <c r="G452" s="153">
        <v>1</v>
      </c>
      <c r="H452" s="16">
        <f t="shared" si="7"/>
        <v>-2</v>
      </c>
      <c r="I452" s="13">
        <v>1</v>
      </c>
      <c r="J452" s="160"/>
    </row>
    <row r="453" spans="1:10">
      <c r="A453" s="13" t="s">
        <v>12</v>
      </c>
      <c r="B453" s="13" t="s">
        <v>66</v>
      </c>
      <c r="C453" s="13" t="str">
        <f>VLOOKUP([1]Competence!$B23,[1]Competence!$B$12:$B$100,1,FALSE)</f>
        <v>Configuration Management</v>
      </c>
      <c r="D453" s="13" t="str" cm="1">
        <f t="array" ref="D453">_xlfn.XLOOKUP(B453,[1]Baseline!$D$3:$AZ$3,_xlfn.XLOOKUP(C453,[1]Baseline!$B$4:$B$91,[1]Baseline!$D$4:$AZ$91))</f>
        <v>Working</v>
      </c>
      <c r="E453" s="13" t="s">
        <v>376</v>
      </c>
      <c r="F453" s="13">
        <v>3</v>
      </c>
      <c r="G453" s="153">
        <v>1</v>
      </c>
      <c r="H453" s="16">
        <f t="shared" si="7"/>
        <v>-2</v>
      </c>
      <c r="I453" s="13">
        <v>1</v>
      </c>
      <c r="J453" s="160"/>
    </row>
    <row r="454" spans="1:10">
      <c r="A454" s="13" t="s">
        <v>12</v>
      </c>
      <c r="B454" s="13" t="s">
        <v>66</v>
      </c>
      <c r="C454" s="13" t="str">
        <f>VLOOKUP([1]Competence!$B24,[1]Competence!$B$12:$B$100,1,FALSE)</f>
        <v>Continuity Management</v>
      </c>
      <c r="D454" s="13" t="str" cm="1">
        <f t="array" ref="D454">_xlfn.XLOOKUP(B454,[1]Baseline!$D$3:$AZ$3,_xlfn.XLOOKUP(C454,[1]Baseline!$B$4:$B$91,[1]Baseline!$D$4:$AZ$91))</f>
        <v>Awareness</v>
      </c>
      <c r="E454" s="13" t="s">
        <v>374</v>
      </c>
      <c r="F454" s="13">
        <v>2</v>
      </c>
      <c r="G454" s="153">
        <v>1</v>
      </c>
      <c r="H454" s="16">
        <f t="shared" si="7"/>
        <v>-1</v>
      </c>
      <c r="I454" s="13">
        <v>1</v>
      </c>
      <c r="J454" s="160"/>
    </row>
    <row r="455" spans="1:10">
      <c r="A455" s="13" t="s">
        <v>12</v>
      </c>
      <c r="B455" s="13" t="s">
        <v>66</v>
      </c>
      <c r="C455" s="13" t="str">
        <f>VLOOKUP([1]Competence!$B25,[1]Competence!$B$12:$B$100,1,FALSE)</f>
        <v>Demand Management</v>
      </c>
      <c r="D455" s="13" t="str" cm="1">
        <f t="array" ref="D455">_xlfn.XLOOKUP(B455,[1]Baseline!$D$3:$AZ$3,_xlfn.XLOOKUP(C455,[1]Baseline!$B$4:$B$91,[1]Baseline!$D$4:$AZ$91))</f>
        <v>Working</v>
      </c>
      <c r="E455" s="13" t="s">
        <v>374</v>
      </c>
      <c r="F455" s="13">
        <v>2</v>
      </c>
      <c r="G455" s="153">
        <v>2</v>
      </c>
      <c r="H455" s="16">
        <f t="shared" si="7"/>
        <v>0</v>
      </c>
      <c r="I455" s="13">
        <v>2</v>
      </c>
      <c r="J455" s="160"/>
    </row>
    <row r="456" spans="1:10">
      <c r="A456" s="13" t="s">
        <v>12</v>
      </c>
      <c r="B456" s="13" t="s">
        <v>66</v>
      </c>
      <c r="C456" s="13" t="str">
        <f>VLOOKUP([1]Competence!$B26,[1]Competence!$B$12:$B$100,1,FALSE)</f>
        <v>Knowledge management</v>
      </c>
      <c r="D456" s="13" t="str" cm="1">
        <f t="array" ref="D456">_xlfn.XLOOKUP(B456,[1]Baseline!$D$3:$AZ$3,_xlfn.XLOOKUP(C456,[1]Baseline!$B$4:$B$91,[1]Baseline!$D$4:$AZ$91))</f>
        <v>Working</v>
      </c>
      <c r="E456" s="13" t="s">
        <v>374</v>
      </c>
      <c r="F456" s="13">
        <v>2</v>
      </c>
      <c r="G456" s="153">
        <v>2</v>
      </c>
      <c r="H456" s="16">
        <f t="shared" si="7"/>
        <v>0</v>
      </c>
      <c r="I456" s="13">
        <v>2</v>
      </c>
      <c r="J456" s="160"/>
    </row>
    <row r="457" spans="1:10">
      <c r="A457" s="13" t="s">
        <v>12</v>
      </c>
      <c r="B457" s="13" t="s">
        <v>66</v>
      </c>
      <c r="C457" s="13" t="str">
        <f>VLOOKUP([1]Competence!$B27,[1]Competence!$B$12:$B$100,1,FALSE)</f>
        <v>Methods and tools</v>
      </c>
      <c r="D457" s="13" t="str" cm="1">
        <f t="array" ref="D457">_xlfn.XLOOKUP(B457,[1]Baseline!$D$3:$AZ$3,_xlfn.XLOOKUP(C457,[1]Baseline!$B$4:$B$91,[1]Baseline!$D$4:$AZ$91))</f>
        <v>Working</v>
      </c>
      <c r="E457" s="13" t="s">
        <v>374</v>
      </c>
      <c r="F457" s="13">
        <v>2</v>
      </c>
      <c r="G457" s="153">
        <v>2</v>
      </c>
      <c r="H457" s="16">
        <f t="shared" si="7"/>
        <v>0</v>
      </c>
      <c r="I457" s="13">
        <v>2</v>
      </c>
      <c r="J457" s="160"/>
    </row>
    <row r="458" spans="1:10">
      <c r="A458" s="13" t="s">
        <v>12</v>
      </c>
      <c r="B458" s="13" t="s">
        <v>66</v>
      </c>
      <c r="C458" s="13" t="str">
        <f>VLOOKUP([1]Competence!$B28,[1]Competence!$B$12:$B$100,1,FALSE)</f>
        <v>Release and deployment</v>
      </c>
      <c r="D458" s="13" t="str" cm="1">
        <f t="array" ref="D458">_xlfn.XLOOKUP(B458,[1]Baseline!$D$3:$AZ$3,_xlfn.XLOOKUP(C458,[1]Baseline!$B$4:$B$91,[1]Baseline!$D$4:$AZ$91))</f>
        <v>No Knowledge</v>
      </c>
      <c r="E458" s="13" t="s">
        <v>374</v>
      </c>
      <c r="F458" s="13">
        <v>3</v>
      </c>
      <c r="G458" s="153">
        <v>2</v>
      </c>
      <c r="H458" s="16">
        <f t="shared" si="7"/>
        <v>-1</v>
      </c>
      <c r="I458" s="13">
        <v>2</v>
      </c>
      <c r="J458" s="160"/>
    </row>
    <row r="459" spans="1:10">
      <c r="A459" s="13" t="s">
        <v>12</v>
      </c>
      <c r="B459" s="13" t="s">
        <v>66</v>
      </c>
      <c r="C459" s="13" t="str">
        <f>VLOOKUP([1]Competence!$B29,[1]Competence!$B$12:$B$100,1,FALSE)</f>
        <v>Service acceptance</v>
      </c>
      <c r="D459" s="13" t="str" cm="1">
        <f t="array" ref="D459">_xlfn.XLOOKUP(B459,[1]Baseline!$D$3:$AZ$3,_xlfn.XLOOKUP(C459,[1]Baseline!$B$4:$B$91,[1]Baseline!$D$4:$AZ$91))</f>
        <v>No Knowledge</v>
      </c>
      <c r="E459" s="13" t="s">
        <v>374</v>
      </c>
      <c r="F459" s="13">
        <v>2</v>
      </c>
      <c r="G459" s="153">
        <v>1</v>
      </c>
      <c r="H459" s="16">
        <f t="shared" si="7"/>
        <v>-1</v>
      </c>
      <c r="I459" s="13">
        <v>1</v>
      </c>
      <c r="J459" s="160"/>
    </row>
    <row r="460" spans="1:10">
      <c r="A460" s="13" t="s">
        <v>12</v>
      </c>
      <c r="B460" s="13" t="s">
        <v>66</v>
      </c>
      <c r="C460" s="13" t="str">
        <f>VLOOKUP([1]Competence!$B30,[1]Competence!$B$12:$B$100,1,FALSE)</f>
        <v>Stakeholder relationship management</v>
      </c>
      <c r="D460" s="13" t="str" cm="1">
        <f t="array" ref="D460">_xlfn.XLOOKUP(B460,[1]Baseline!$D$3:$AZ$3,_xlfn.XLOOKUP(C460,[1]Baseline!$B$4:$B$91,[1]Baseline!$D$4:$AZ$91))</f>
        <v>Practitioner</v>
      </c>
      <c r="E460" s="13" t="s">
        <v>49</v>
      </c>
      <c r="F460" s="13">
        <v>2</v>
      </c>
      <c r="G460" s="153">
        <v>2</v>
      </c>
      <c r="H460" s="16">
        <f t="shared" si="7"/>
        <v>0</v>
      </c>
      <c r="I460" s="13">
        <v>2</v>
      </c>
      <c r="J460" s="160"/>
    </row>
    <row r="461" spans="1:10">
      <c r="A461" s="13" t="s">
        <v>12</v>
      </c>
      <c r="B461" s="13" t="s">
        <v>66</v>
      </c>
      <c r="C461" s="13" t="str">
        <f>VLOOKUP([1]Competence!$B31,[1]Competence!$B$12:$B$100,1,FALSE)</f>
        <v>Storage management</v>
      </c>
      <c r="D461" s="13" t="str" cm="1">
        <f t="array" ref="D461">_xlfn.XLOOKUP(B461,[1]Baseline!$D$3:$AZ$3,_xlfn.XLOOKUP(C461,[1]Baseline!$B$4:$B$91,[1]Baseline!$D$4:$AZ$91))</f>
        <v>Working</v>
      </c>
      <c r="E461" s="13" t="s">
        <v>49</v>
      </c>
      <c r="F461" s="13">
        <v>1</v>
      </c>
      <c r="G461" s="153">
        <v>2</v>
      </c>
      <c r="H461" s="16">
        <f t="shared" si="7"/>
        <v>1</v>
      </c>
      <c r="I461" s="13">
        <v>2</v>
      </c>
      <c r="J461" s="160"/>
    </row>
    <row r="462" spans="1:10">
      <c r="A462" s="13" t="s">
        <v>12</v>
      </c>
      <c r="B462" s="13" t="s">
        <v>66</v>
      </c>
      <c r="C462" s="13" t="str">
        <f>VLOOKUP([1]Competence!$B32,[1]Competence!$B$12:$B$100,1,FALSE)</f>
        <v>Digital Forensics</v>
      </c>
      <c r="D462" s="13" t="str" cm="1">
        <f t="array" ref="D462">_xlfn.XLOOKUP(B462,[1]Baseline!$D$3:$AZ$3,_xlfn.XLOOKUP(C462,[1]Baseline!$B$4:$B$91,[1]Baseline!$D$4:$AZ$91))</f>
        <v>No Knowledge</v>
      </c>
      <c r="E462" s="13" t="s">
        <v>49</v>
      </c>
      <c r="F462" s="13">
        <v>1</v>
      </c>
      <c r="G462" s="153">
        <v>2</v>
      </c>
      <c r="H462" s="16">
        <f t="shared" si="7"/>
        <v>1</v>
      </c>
      <c r="I462" s="13">
        <v>2</v>
      </c>
      <c r="J462" s="160"/>
    </row>
    <row r="463" spans="1:10">
      <c r="A463" s="13" t="s">
        <v>12</v>
      </c>
      <c r="B463" s="13" t="s">
        <v>66</v>
      </c>
      <c r="C463" s="13" t="str">
        <f>VLOOKUP([1]Competence!$B33,[1]Competence!$B$12:$B$100,1,FALSE)</f>
        <v>Penetration testing</v>
      </c>
      <c r="D463" s="13" t="str" cm="1">
        <f t="array" ref="D463">_xlfn.XLOOKUP(B463,[1]Baseline!$D$3:$AZ$3,_xlfn.XLOOKUP(C463,[1]Baseline!$B$4:$B$91,[1]Baseline!$D$4:$AZ$91))</f>
        <v>No Knowledge</v>
      </c>
      <c r="E463" s="13" t="s">
        <v>49</v>
      </c>
      <c r="F463" s="13">
        <v>2</v>
      </c>
      <c r="G463" s="153">
        <v>1</v>
      </c>
      <c r="H463" s="16">
        <f t="shared" si="7"/>
        <v>-1</v>
      </c>
      <c r="I463" s="13">
        <v>1</v>
      </c>
      <c r="J463" s="160"/>
    </row>
    <row r="464" spans="1:10">
      <c r="A464" s="13" t="s">
        <v>12</v>
      </c>
      <c r="B464" s="13" t="s">
        <v>66</v>
      </c>
      <c r="C464" s="13" t="str">
        <f>VLOOKUP([1]Competence!$B34,[1]Competence!$B$12:$B$100,1,FALSE)</f>
        <v>Security Operations</v>
      </c>
      <c r="D464" s="13" t="str" cm="1">
        <f t="array" ref="D464">_xlfn.XLOOKUP(B464,[1]Baseline!$D$3:$AZ$3,_xlfn.XLOOKUP(C464,[1]Baseline!$B$4:$B$91,[1]Baseline!$D$4:$AZ$91))</f>
        <v>Practitioner</v>
      </c>
      <c r="E464" s="13" t="s">
        <v>375</v>
      </c>
      <c r="F464" s="13">
        <v>2</v>
      </c>
      <c r="G464" s="153">
        <v>2</v>
      </c>
      <c r="H464" s="16">
        <f t="shared" si="7"/>
        <v>0</v>
      </c>
      <c r="I464" s="13">
        <v>2</v>
      </c>
      <c r="J464" s="160"/>
    </row>
    <row r="465" spans="1:10">
      <c r="A465" s="13" t="s">
        <v>12</v>
      </c>
      <c r="B465" s="13" t="s">
        <v>66</v>
      </c>
      <c r="C465" s="13" t="str">
        <f>VLOOKUP([1]Competence!$B35,[1]Competence!$B$12:$B$100,1,FALSE)</f>
        <v>Threat Intelligence</v>
      </c>
      <c r="D465" s="13" t="str" cm="1">
        <f t="array" ref="D465">_xlfn.XLOOKUP(B465,[1]Baseline!$D$3:$AZ$3,_xlfn.XLOOKUP(C465,[1]Baseline!$B$4:$B$91,[1]Baseline!$D$4:$AZ$91))</f>
        <v>No Knowledge</v>
      </c>
      <c r="E465" s="13" t="s">
        <v>375</v>
      </c>
      <c r="F465" s="13">
        <v>2</v>
      </c>
      <c r="G465" s="153">
        <v>1</v>
      </c>
      <c r="H465" s="16">
        <f t="shared" si="7"/>
        <v>-1</v>
      </c>
      <c r="I465" s="13">
        <v>1</v>
      </c>
      <c r="J465" s="160"/>
    </row>
    <row r="466" spans="1:10">
      <c r="A466" s="13" t="s">
        <v>12</v>
      </c>
      <c r="B466" s="13" t="s">
        <v>66</v>
      </c>
      <c r="C466" s="13" t="str">
        <f>VLOOKUP([1]Competence!$B36,[1]Competence!$B$12:$B$100,1,FALSE)</f>
        <v>Vulnerability assessment</v>
      </c>
      <c r="D466" s="13" t="str" cm="1">
        <f t="array" ref="D466">_xlfn.XLOOKUP(B466,[1]Baseline!$D$3:$AZ$3,_xlfn.XLOOKUP(C466,[1]Baseline!$B$4:$B$91,[1]Baseline!$D$4:$AZ$91))</f>
        <v>Working</v>
      </c>
      <c r="E466" s="13" t="s">
        <v>375</v>
      </c>
      <c r="F466" s="13">
        <v>3</v>
      </c>
      <c r="G466" s="153">
        <v>2</v>
      </c>
      <c r="H466" s="16">
        <f t="shared" si="7"/>
        <v>-1</v>
      </c>
      <c r="I466" s="13">
        <v>2</v>
      </c>
      <c r="J466" s="160"/>
    </row>
    <row r="467" spans="1:10">
      <c r="A467" s="13" t="s">
        <v>12</v>
      </c>
      <c r="B467" s="13" t="s">
        <v>66</v>
      </c>
      <c r="C467" s="13" t="str">
        <f>VLOOKUP([1]Competence!$B37,[1]Competence!$B$12:$B$100,1,FALSE)</f>
        <v>Vulnerability Research</v>
      </c>
      <c r="D467" s="13" t="str" cm="1">
        <f t="array" ref="D467">_xlfn.XLOOKUP(B467,[1]Baseline!$D$3:$AZ$3,_xlfn.XLOOKUP(C467,[1]Baseline!$B$4:$B$91,[1]Baseline!$D$4:$AZ$91))</f>
        <v>No Knowledge</v>
      </c>
      <c r="E467" s="13" t="s">
        <v>375</v>
      </c>
      <c r="F467" s="13">
        <v>3</v>
      </c>
      <c r="G467" s="153">
        <v>0</v>
      </c>
      <c r="H467" s="16">
        <f t="shared" si="7"/>
        <v>-3</v>
      </c>
      <c r="I467" s="13">
        <v>0</v>
      </c>
      <c r="J467" s="160"/>
    </row>
    <row r="468" spans="1:10">
      <c r="A468" s="13" t="s">
        <v>12</v>
      </c>
      <c r="B468" s="13" t="s">
        <v>66</v>
      </c>
      <c r="C468" s="13" t="str">
        <f>VLOOKUP([1]Competence!$B38,[1]Competence!$B$12:$B$100,1,FALSE)</f>
        <v>Competency assessment</v>
      </c>
      <c r="D468" s="13" t="str" cm="1">
        <f t="array" ref="D468">_xlfn.XLOOKUP(B468,[1]Baseline!$D$3:$AZ$3,_xlfn.XLOOKUP(C468,[1]Baseline!$B$4:$B$91,[1]Baseline!$D$4:$AZ$91))</f>
        <v>Awareness</v>
      </c>
      <c r="E468" s="13" t="s">
        <v>376</v>
      </c>
      <c r="F468" s="13">
        <v>3</v>
      </c>
      <c r="G468" s="153">
        <v>1</v>
      </c>
      <c r="H468" s="16">
        <f t="shared" si="7"/>
        <v>-2</v>
      </c>
      <c r="I468" s="13">
        <v>1</v>
      </c>
      <c r="J468" s="160"/>
    </row>
    <row r="469" spans="1:10">
      <c r="A469" s="13" t="s">
        <v>12</v>
      </c>
      <c r="B469" s="13" t="s">
        <v>66</v>
      </c>
      <c r="C469" s="13" t="str">
        <f>VLOOKUP([1]Competence!$B39,[1]Competence!$B$12:$B$100,1,FALSE)</f>
        <v>Financial management</v>
      </c>
      <c r="D469" s="13" t="str" cm="1">
        <f t="array" ref="D469">_xlfn.XLOOKUP(B469,[1]Baseline!$D$3:$AZ$3,_xlfn.XLOOKUP(C469,[1]Baseline!$B$4:$B$91,[1]Baseline!$D$4:$AZ$91))</f>
        <v>Working</v>
      </c>
      <c r="E469" s="13" t="s">
        <v>376</v>
      </c>
      <c r="F469" s="13">
        <v>3</v>
      </c>
      <c r="G469" s="153">
        <v>1</v>
      </c>
      <c r="H469" s="16">
        <f t="shared" si="7"/>
        <v>-2</v>
      </c>
      <c r="I469" s="13">
        <v>1</v>
      </c>
      <c r="J469" s="160"/>
    </row>
    <row r="470" spans="1:10">
      <c r="A470" s="13" t="s">
        <v>12</v>
      </c>
      <c r="B470" s="13" t="s">
        <v>66</v>
      </c>
      <c r="C470" s="13" t="str">
        <f>VLOOKUP([1]Competence!$B40,[1]Competence!$B$12:$B$100,1,FALSE)</f>
        <v>Organisation design and implementation</v>
      </c>
      <c r="D470" s="13" t="str" cm="1">
        <f t="array" ref="D470">_xlfn.XLOOKUP(B470,[1]Baseline!$D$3:$AZ$3,_xlfn.XLOOKUP(C470,[1]Baseline!$B$4:$B$91,[1]Baseline!$D$4:$AZ$91))</f>
        <v>No Knowledge</v>
      </c>
      <c r="E470" s="13" t="s">
        <v>376</v>
      </c>
      <c r="F470" s="13">
        <v>2</v>
      </c>
      <c r="G470" s="153">
        <v>0</v>
      </c>
      <c r="H470" s="16">
        <f t="shared" si="7"/>
        <v>-2</v>
      </c>
      <c r="I470" s="13">
        <v>0</v>
      </c>
      <c r="J470" s="160"/>
    </row>
    <row r="471" spans="1:10">
      <c r="A471" s="13" t="s">
        <v>12</v>
      </c>
      <c r="B471" s="13" t="s">
        <v>66</v>
      </c>
      <c r="C471" s="13" t="str">
        <f>VLOOKUP([1]Competence!$B41,[1]Competence!$B$12:$B$100,1,FALSE)</f>
        <v>Organisational capability development</v>
      </c>
      <c r="D471" s="13" t="str" cm="1">
        <f t="array" ref="D471">_xlfn.XLOOKUP(B471,[1]Baseline!$D$3:$AZ$3,_xlfn.XLOOKUP(C471,[1]Baseline!$B$4:$B$91,[1]Baseline!$D$4:$AZ$91))</f>
        <v>No Knowledge</v>
      </c>
      <c r="E471" s="13" t="s">
        <v>374</v>
      </c>
      <c r="F471" s="13">
        <v>2</v>
      </c>
      <c r="G471" s="153">
        <v>0</v>
      </c>
      <c r="H471" s="16">
        <f t="shared" si="7"/>
        <v>-2</v>
      </c>
      <c r="I471" s="13">
        <v>0</v>
      </c>
      <c r="J471" s="160"/>
    </row>
    <row r="472" spans="1:10">
      <c r="A472" s="13" t="s">
        <v>12</v>
      </c>
      <c r="B472" s="13" t="s">
        <v>66</v>
      </c>
      <c r="C472" s="13" t="str">
        <f>VLOOKUP([1]Competence!$B42,[1]Competence!$B$12:$B$100,1,FALSE)</f>
        <v>Organisational change management</v>
      </c>
      <c r="D472" s="13" t="str" cm="1">
        <f t="array" ref="D472">_xlfn.XLOOKUP(B472,[1]Baseline!$D$3:$AZ$3,_xlfn.XLOOKUP(C472,[1]Baseline!$B$4:$B$91,[1]Baseline!$D$4:$AZ$91))</f>
        <v>No Knowledge</v>
      </c>
      <c r="E472" s="13" t="s">
        <v>374</v>
      </c>
      <c r="F472" s="13">
        <v>2</v>
      </c>
      <c r="G472" s="153">
        <v>0</v>
      </c>
      <c r="H472" s="16">
        <f t="shared" si="7"/>
        <v>-2</v>
      </c>
      <c r="I472" s="13">
        <v>0</v>
      </c>
      <c r="J472" s="160"/>
    </row>
    <row r="473" spans="1:10">
      <c r="A473" s="13" t="s">
        <v>12</v>
      </c>
      <c r="B473" s="13" t="s">
        <v>66</v>
      </c>
      <c r="C473" s="13" t="str">
        <f>VLOOKUP([1]Competence!$B43,[1]Competence!$B$12:$B$100,1,FALSE)</f>
        <v>Performance Management</v>
      </c>
      <c r="D473" s="13" t="str" cm="1">
        <f t="array" ref="D473">_xlfn.XLOOKUP(B473,[1]Baseline!$D$3:$AZ$3,_xlfn.XLOOKUP(C473,[1]Baseline!$B$4:$B$91,[1]Baseline!$D$4:$AZ$91))</f>
        <v>No Knowledge</v>
      </c>
      <c r="E473" s="13" t="s">
        <v>374</v>
      </c>
      <c r="F473" s="13">
        <v>2</v>
      </c>
      <c r="G473" s="153">
        <v>0</v>
      </c>
      <c r="H473" s="16">
        <f t="shared" si="7"/>
        <v>-2</v>
      </c>
      <c r="I473" s="13">
        <v>0</v>
      </c>
      <c r="J473" s="160"/>
    </row>
    <row r="474" spans="1:10">
      <c r="A474" s="13" t="s">
        <v>12</v>
      </c>
      <c r="B474" s="13" t="s">
        <v>66</v>
      </c>
      <c r="C474" s="13" t="str">
        <f>VLOOKUP([1]Competence!$B44,[1]Competence!$B$12:$B$100,1,FALSE)</f>
        <v>Professional Development</v>
      </c>
      <c r="D474" s="13" t="str" cm="1">
        <f t="array" ref="D474">_xlfn.XLOOKUP(B474,[1]Baseline!$D$3:$AZ$3,_xlfn.XLOOKUP(C474,[1]Baseline!$B$4:$B$91,[1]Baseline!$D$4:$AZ$91))</f>
        <v>No Knowledge</v>
      </c>
      <c r="E474" s="13" t="s">
        <v>374</v>
      </c>
      <c r="F474" s="13">
        <v>2</v>
      </c>
      <c r="G474" s="153">
        <v>1</v>
      </c>
      <c r="H474" s="16">
        <f t="shared" si="7"/>
        <v>-1</v>
      </c>
      <c r="I474" s="13">
        <v>1</v>
      </c>
      <c r="J474" s="160"/>
    </row>
    <row r="475" spans="1:10">
      <c r="A475" s="13" t="s">
        <v>12</v>
      </c>
      <c r="B475" s="13" t="s">
        <v>66</v>
      </c>
      <c r="C475" s="13" t="str">
        <f>VLOOKUP([1]Competence!$B45,[1]Competence!$B$12:$B$100,1,FALSE)</f>
        <v>Strategic Planning</v>
      </c>
      <c r="D475" s="13" t="str" cm="1">
        <f t="array" ref="D475">_xlfn.XLOOKUP(B475,[1]Baseline!$D$3:$AZ$3,_xlfn.XLOOKUP(C475,[1]Baseline!$B$4:$B$91,[1]Baseline!$D$4:$AZ$91))</f>
        <v>No Knowledge</v>
      </c>
      <c r="E475" s="13" t="s">
        <v>374</v>
      </c>
      <c r="F475" s="13">
        <v>2</v>
      </c>
      <c r="G475" s="153">
        <v>0</v>
      </c>
      <c r="H475" s="16">
        <f t="shared" si="7"/>
        <v>-2</v>
      </c>
      <c r="I475" s="13">
        <v>0</v>
      </c>
      <c r="J475" s="160"/>
    </row>
    <row r="476" spans="1:10">
      <c r="A476" s="13" t="s">
        <v>12</v>
      </c>
      <c r="B476" s="13" t="s">
        <v>66</v>
      </c>
      <c r="C476" s="13" t="str">
        <f>VLOOKUP([1]Competence!$B46,[1]Competence!$B$12:$B$100,1,FALSE)</f>
        <v>Workforce Planning</v>
      </c>
      <c r="D476" s="13" t="str" cm="1">
        <f t="array" ref="D476">_xlfn.XLOOKUP(B476,[1]Baseline!$D$3:$AZ$3,_xlfn.XLOOKUP(C476,[1]Baseline!$B$4:$B$91,[1]Baseline!$D$4:$AZ$91))</f>
        <v>No Knowledge</v>
      </c>
      <c r="E476" s="13" t="s">
        <v>377</v>
      </c>
      <c r="F476" s="13">
        <v>1</v>
      </c>
      <c r="G476" s="153">
        <v>1</v>
      </c>
      <c r="H476" s="16">
        <f t="shared" si="7"/>
        <v>0</v>
      </c>
      <c r="I476" s="13">
        <v>1</v>
      </c>
      <c r="J476" s="160"/>
    </row>
    <row r="477" spans="1:10">
      <c r="A477" s="13" t="s">
        <v>12</v>
      </c>
      <c r="B477" s="13" t="s">
        <v>66</v>
      </c>
      <c r="C477" s="13" t="str">
        <f>VLOOKUP([1]Competence!$B47,[1]Competence!$B$12:$B$100,1,FALSE)</f>
        <v>Audit</v>
      </c>
      <c r="D477" s="13" t="str" cm="1">
        <f t="array" ref="D477">_xlfn.XLOOKUP(B477,[1]Baseline!$D$3:$AZ$3,_xlfn.XLOOKUP(C477,[1]Baseline!$B$4:$B$91,[1]Baseline!$D$4:$AZ$91))</f>
        <v>Working</v>
      </c>
      <c r="E477" s="13" t="s">
        <v>377</v>
      </c>
      <c r="F477" s="13">
        <v>2</v>
      </c>
      <c r="G477" s="153">
        <v>1</v>
      </c>
      <c r="H477" s="16">
        <f t="shared" si="7"/>
        <v>-1</v>
      </c>
      <c r="I477" s="13">
        <v>1</v>
      </c>
      <c r="J477" s="160"/>
    </row>
    <row r="478" spans="1:10">
      <c r="A478" s="13" t="s">
        <v>12</v>
      </c>
      <c r="B478" s="13" t="s">
        <v>66</v>
      </c>
      <c r="C478" s="13" t="str">
        <f>VLOOKUP([1]Competence!$B48,[1]Competence!$B$12:$B$100,1,FALSE)</f>
        <v>Contract management</v>
      </c>
      <c r="D478" s="13" t="str" cm="1">
        <f t="array" ref="D478">_xlfn.XLOOKUP(B478,[1]Baseline!$D$3:$AZ$3,_xlfn.XLOOKUP(C478,[1]Baseline!$B$4:$B$91,[1]Baseline!$D$4:$AZ$91))</f>
        <v>Working</v>
      </c>
      <c r="E478" s="13" t="s">
        <v>377</v>
      </c>
      <c r="F478" s="13">
        <v>2</v>
      </c>
      <c r="G478" s="153">
        <v>0</v>
      </c>
      <c r="H478" s="16">
        <f t="shared" si="7"/>
        <v>-2</v>
      </c>
      <c r="I478" s="13">
        <v>0</v>
      </c>
      <c r="J478" s="160"/>
    </row>
    <row r="479" spans="1:10">
      <c r="A479" s="13" t="s">
        <v>12</v>
      </c>
      <c r="B479" s="13" t="s">
        <v>66</v>
      </c>
      <c r="C479" s="13" t="str">
        <f>VLOOKUP([1]Competence!$B49,[1]Competence!$B$12:$B$100,1,FALSE)</f>
        <v>Feasibility assessment</v>
      </c>
      <c r="D479" s="13" t="str" cm="1">
        <f t="array" ref="D479">_xlfn.XLOOKUP(B479,[1]Baseline!$D$3:$AZ$3,_xlfn.XLOOKUP(C479,[1]Baseline!$B$4:$B$91,[1]Baseline!$D$4:$AZ$91))</f>
        <v>Working</v>
      </c>
      <c r="E479" s="13" t="s">
        <v>377</v>
      </c>
      <c r="F479" s="13">
        <v>0</v>
      </c>
      <c r="G479" s="153">
        <v>0</v>
      </c>
      <c r="H479" s="16">
        <f t="shared" si="7"/>
        <v>0</v>
      </c>
      <c r="I479" s="13">
        <v>0</v>
      </c>
      <c r="J479" s="160"/>
    </row>
    <row r="480" spans="1:10">
      <c r="A480" s="13" t="s">
        <v>12</v>
      </c>
      <c r="B480" s="13" t="s">
        <v>66</v>
      </c>
      <c r="C480" s="13" t="str">
        <f>VLOOKUP([1]Competence!$B50,[1]Competence!$B$12:$B$100,1,FALSE)</f>
        <v>Governance</v>
      </c>
      <c r="D480" s="13" t="str" cm="1">
        <f t="array" ref="D480">_xlfn.XLOOKUP(B480,[1]Baseline!$D$3:$AZ$3,_xlfn.XLOOKUP(C480,[1]Baseline!$B$4:$B$91,[1]Baseline!$D$4:$AZ$91))</f>
        <v>Working</v>
      </c>
      <c r="E480" s="13" t="s">
        <v>378</v>
      </c>
      <c r="F480" s="13">
        <v>1</v>
      </c>
      <c r="G480" s="153">
        <v>1</v>
      </c>
      <c r="H480" s="16">
        <f t="shared" si="7"/>
        <v>0</v>
      </c>
      <c r="I480" s="13">
        <v>1</v>
      </c>
      <c r="J480" s="160"/>
    </row>
    <row r="481" spans="1:10">
      <c r="A481" s="13" t="s">
        <v>12</v>
      </c>
      <c r="B481" s="13" t="s">
        <v>66</v>
      </c>
      <c r="C481" s="13" t="str">
        <f>VLOOKUP([1]Competence!$B51,[1]Competence!$B$12:$B$100,1,FALSE)</f>
        <v>Risk management</v>
      </c>
      <c r="D481" s="13" t="str" cm="1">
        <f t="array" ref="D481">_xlfn.XLOOKUP(B481,[1]Baseline!$D$3:$AZ$3,_xlfn.XLOOKUP(C481,[1]Baseline!$B$4:$B$91,[1]Baseline!$D$4:$AZ$91))</f>
        <v>No Knowledge</v>
      </c>
      <c r="E481" s="13" t="s">
        <v>378</v>
      </c>
      <c r="F481" s="13">
        <v>1</v>
      </c>
      <c r="G481" s="153">
        <v>0</v>
      </c>
      <c r="H481" s="16">
        <f t="shared" si="7"/>
        <v>-1</v>
      </c>
      <c r="I481" s="13">
        <v>0</v>
      </c>
      <c r="J481" s="160"/>
    </row>
    <row r="482" spans="1:10">
      <c r="A482" s="13" t="s">
        <v>12</v>
      </c>
      <c r="B482" s="13" t="s">
        <v>66</v>
      </c>
      <c r="C482" s="13" t="str">
        <f>VLOOKUP([1]Competence!$B52,[1]Competence!$B$12:$B$100,1,FALSE)</f>
        <v>Sourcing</v>
      </c>
      <c r="D482" s="13" t="str" cm="1">
        <f t="array" ref="D482">_xlfn.XLOOKUP(B482,[1]Baseline!$D$3:$AZ$3,_xlfn.XLOOKUP(C482,[1]Baseline!$B$4:$B$91,[1]Baseline!$D$4:$AZ$91))</f>
        <v>Practitioner</v>
      </c>
      <c r="E482" s="13" t="s">
        <v>378</v>
      </c>
      <c r="F482" s="13">
        <v>0</v>
      </c>
      <c r="G482" s="153">
        <v>1</v>
      </c>
      <c r="H482" s="16">
        <f t="shared" si="7"/>
        <v>1</v>
      </c>
      <c r="I482" s="13">
        <v>1</v>
      </c>
      <c r="J482" s="160"/>
    </row>
    <row r="483" spans="1:10">
      <c r="A483" s="13" t="s">
        <v>12</v>
      </c>
      <c r="B483" s="13" t="s">
        <v>66</v>
      </c>
      <c r="C483" s="13" t="str">
        <f>VLOOKUP([1]Competence!$B53,[1]Competence!$B$12:$B$100,1,FALSE)</f>
        <v>Supplier management</v>
      </c>
      <c r="D483" s="13" t="str" cm="1">
        <f t="array" ref="D483">_xlfn.XLOOKUP(B483,[1]Baseline!$D$3:$AZ$3,_xlfn.XLOOKUP(C483,[1]Baseline!$B$4:$B$91,[1]Baseline!$D$4:$AZ$91))</f>
        <v>Practitioner</v>
      </c>
      <c r="E483" s="13" t="s">
        <v>378</v>
      </c>
      <c r="F483" s="13">
        <v>0</v>
      </c>
      <c r="G483" s="153">
        <v>1</v>
      </c>
      <c r="H483" s="16">
        <f t="shared" si="7"/>
        <v>1</v>
      </c>
      <c r="I483" s="13">
        <v>1</v>
      </c>
      <c r="J483" s="160"/>
    </row>
    <row r="484" spans="1:10">
      <c r="A484" s="13" t="s">
        <v>12</v>
      </c>
      <c r="B484" s="13" t="s">
        <v>66</v>
      </c>
      <c r="C484" s="13" t="str">
        <f>VLOOKUP([1]Competence!$B54,[1]Competence!$B$12:$B$100,1,FALSE)</f>
        <v>Sustainability</v>
      </c>
      <c r="D484" s="13" t="str" cm="1">
        <f t="array" ref="D484">_xlfn.XLOOKUP(B484,[1]Baseline!$D$3:$AZ$3,_xlfn.XLOOKUP(C484,[1]Baseline!$B$4:$B$91,[1]Baseline!$D$4:$AZ$91))</f>
        <v>Awareness</v>
      </c>
      <c r="E484" s="13" t="s">
        <v>378</v>
      </c>
      <c r="F484" s="13">
        <v>0</v>
      </c>
      <c r="G484" s="153">
        <v>1</v>
      </c>
      <c r="H484" s="16">
        <f t="shared" si="7"/>
        <v>1</v>
      </c>
      <c r="I484" s="13">
        <v>1</v>
      </c>
      <c r="J484" s="160"/>
    </row>
    <row r="485" spans="1:10">
      <c r="A485" s="13" t="s">
        <v>12</v>
      </c>
      <c r="B485" s="13" t="s">
        <v>66</v>
      </c>
      <c r="C485" s="13" t="str">
        <f>VLOOKUP([1]Competence!$B55,[1]Competence!$B$12:$B$100,1,FALSE)</f>
        <v>Acceptance testing</v>
      </c>
      <c r="D485" s="13" t="str" cm="1">
        <f t="array" ref="D485">_xlfn.XLOOKUP(B485,[1]Baseline!$D$3:$AZ$3,_xlfn.XLOOKUP(C485,[1]Baseline!$B$4:$B$91,[1]Baseline!$D$4:$AZ$91))</f>
        <v>Working</v>
      </c>
      <c r="E485" s="13" t="s">
        <v>378</v>
      </c>
      <c r="F485" s="13">
        <v>0</v>
      </c>
      <c r="G485" s="153">
        <v>1</v>
      </c>
      <c r="H485" s="16">
        <f t="shared" si="7"/>
        <v>1</v>
      </c>
      <c r="I485" s="13">
        <v>1</v>
      </c>
      <c r="J485" s="160"/>
    </row>
    <row r="486" spans="1:10">
      <c r="A486" s="13" t="s">
        <v>12</v>
      </c>
      <c r="B486" s="13" t="s">
        <v>66</v>
      </c>
      <c r="C486" s="13" t="str">
        <f>VLOOKUP([1]Competence!$B56,[1]Competence!$B$12:$B$100,1,FALSE)</f>
        <v>Application support</v>
      </c>
      <c r="D486" s="13" t="str" cm="1">
        <f t="array" ref="D486">_xlfn.XLOOKUP(B486,[1]Baseline!$D$3:$AZ$3,_xlfn.XLOOKUP(C486,[1]Baseline!$B$4:$B$91,[1]Baseline!$D$4:$AZ$91))</f>
        <v>Working</v>
      </c>
      <c r="E486" s="13" t="s">
        <v>378</v>
      </c>
      <c r="F486" s="13">
        <v>1</v>
      </c>
      <c r="G486" s="153">
        <v>2</v>
      </c>
      <c r="H486" s="16">
        <f t="shared" si="7"/>
        <v>1</v>
      </c>
      <c r="I486" s="13">
        <v>2</v>
      </c>
      <c r="J486" s="160"/>
    </row>
    <row r="487" spans="1:10">
      <c r="A487" s="13" t="s">
        <v>12</v>
      </c>
      <c r="B487" s="13" t="s">
        <v>66</v>
      </c>
      <c r="C487" s="13" t="str">
        <f>VLOOKUP([1]Competence!$B57,[1]Competence!$B$12:$B$100,1,FALSE)</f>
        <v>Data Engineering</v>
      </c>
      <c r="D487" s="13" t="str" cm="1">
        <f t="array" ref="D487">_xlfn.XLOOKUP(B487,[1]Baseline!$D$3:$AZ$3,_xlfn.XLOOKUP(C487,[1]Baseline!$B$4:$B$91,[1]Baseline!$D$4:$AZ$91))</f>
        <v>No Knowledge</v>
      </c>
      <c r="E487" s="13" t="s">
        <v>378</v>
      </c>
      <c r="F487" s="13">
        <v>0</v>
      </c>
      <c r="G487" s="153">
        <v>0</v>
      </c>
      <c r="H487" s="16">
        <f t="shared" si="7"/>
        <v>0</v>
      </c>
      <c r="I487" s="13">
        <v>0</v>
      </c>
      <c r="J487" s="160"/>
    </row>
    <row r="488" spans="1:10">
      <c r="A488" s="13" t="s">
        <v>12</v>
      </c>
      <c r="B488" s="13" t="s">
        <v>66</v>
      </c>
      <c r="C488" s="13" t="str">
        <f>VLOOKUP([1]Competence!$B58,[1]Competence!$B$12:$B$100,1,FALSE)</f>
        <v>Data Management</v>
      </c>
      <c r="D488" s="13" t="str" cm="1">
        <f t="array" ref="D488">_xlfn.XLOOKUP(B488,[1]Baseline!$D$3:$AZ$3,_xlfn.XLOOKUP(C488,[1]Baseline!$B$4:$B$91,[1]Baseline!$D$4:$AZ$91))</f>
        <v>No Knowledge</v>
      </c>
      <c r="E488" s="13" t="s">
        <v>49</v>
      </c>
      <c r="F488" s="13">
        <v>1</v>
      </c>
      <c r="G488" s="153">
        <v>0</v>
      </c>
      <c r="H488" s="16">
        <f t="shared" si="7"/>
        <v>-1</v>
      </c>
      <c r="I488" s="13">
        <v>0</v>
      </c>
      <c r="J488" s="160"/>
    </row>
    <row r="489" spans="1:10">
      <c r="A489" s="13" t="s">
        <v>12</v>
      </c>
      <c r="B489" s="13" t="s">
        <v>66</v>
      </c>
      <c r="C489" s="13" t="str">
        <f>VLOOKUP([1]Competence!$B59,[1]Competence!$B$12:$B$100,1,FALSE)</f>
        <v>Data Modelling and Design</v>
      </c>
      <c r="D489" s="13" t="str" cm="1">
        <f t="array" ref="D489">_xlfn.XLOOKUP(B489,[1]Baseline!$D$3:$AZ$3,_xlfn.XLOOKUP(C489,[1]Baseline!$B$4:$B$91,[1]Baseline!$D$4:$AZ$91))</f>
        <v>No Knowledge</v>
      </c>
      <c r="E489" s="13" t="s">
        <v>49</v>
      </c>
      <c r="F489" s="13">
        <v>1</v>
      </c>
      <c r="G489" s="153">
        <v>0</v>
      </c>
      <c r="H489" s="16">
        <f t="shared" si="7"/>
        <v>-1</v>
      </c>
      <c r="I489" s="13">
        <v>0</v>
      </c>
      <c r="J489" s="160"/>
    </row>
    <row r="490" spans="1:10">
      <c r="A490" s="13" t="s">
        <v>12</v>
      </c>
      <c r="B490" s="13" t="s">
        <v>66</v>
      </c>
      <c r="C490" s="13" t="str">
        <f>VLOOKUP([1]Competence!$B60,[1]Competence!$B$12:$B$100,1,FALSE)</f>
        <v>Data science</v>
      </c>
      <c r="D490" s="13" t="str" cm="1">
        <f t="array" ref="D490">_xlfn.XLOOKUP(B490,[1]Baseline!$D$3:$AZ$3,_xlfn.XLOOKUP(C490,[1]Baseline!$B$4:$B$91,[1]Baseline!$D$4:$AZ$91))</f>
        <v>No Knowledge</v>
      </c>
      <c r="E490" s="13" t="s">
        <v>49</v>
      </c>
      <c r="F490" s="13">
        <v>1</v>
      </c>
      <c r="G490" s="153">
        <v>0</v>
      </c>
      <c r="H490" s="16">
        <f t="shared" si="7"/>
        <v>-1</v>
      </c>
      <c r="I490" s="13">
        <v>0</v>
      </c>
      <c r="J490" s="160"/>
    </row>
    <row r="491" spans="1:10">
      <c r="A491" s="13" t="s">
        <v>12</v>
      </c>
      <c r="B491" s="13" t="s">
        <v>66</v>
      </c>
      <c r="C491" s="13" t="str">
        <f>VLOOKUP([1]Competence!$B61,[1]Competence!$B$12:$B$100,1,FALSE)</f>
        <v>Data visualisation</v>
      </c>
      <c r="D491" s="13" t="str" cm="1">
        <f t="array" ref="D491">_xlfn.XLOOKUP(B491,[1]Baseline!$D$3:$AZ$3,_xlfn.XLOOKUP(C491,[1]Baseline!$B$4:$B$91,[1]Baseline!$D$4:$AZ$91))</f>
        <v>No Knowledge</v>
      </c>
      <c r="E491" s="13" t="s">
        <v>375</v>
      </c>
      <c r="F491" s="13">
        <v>0</v>
      </c>
      <c r="G491" s="153">
        <v>0</v>
      </c>
      <c r="H491" s="16">
        <f t="shared" si="7"/>
        <v>0</v>
      </c>
      <c r="I491" s="13">
        <v>0</v>
      </c>
      <c r="J491" s="160"/>
    </row>
    <row r="492" spans="1:10">
      <c r="A492" s="13" t="s">
        <v>12</v>
      </c>
      <c r="B492" s="13" t="s">
        <v>66</v>
      </c>
      <c r="C492" s="13" t="str">
        <f>VLOOKUP([1]Competence!$B62,[1]Competence!$B$12:$B$100,1,FALSE)</f>
        <v>Database Administration</v>
      </c>
      <c r="D492" s="13" t="str" cm="1">
        <f t="array" ref="D492">_xlfn.XLOOKUP(B492,[1]Baseline!$D$3:$AZ$3,_xlfn.XLOOKUP(C492,[1]Baseline!$B$4:$B$91,[1]Baseline!$D$4:$AZ$91))</f>
        <v>No Knowledge</v>
      </c>
      <c r="E492" s="13" t="s">
        <v>375</v>
      </c>
      <c r="F492" s="13">
        <v>0</v>
      </c>
      <c r="G492" s="153">
        <v>0</v>
      </c>
      <c r="H492" s="16">
        <f t="shared" si="7"/>
        <v>0</v>
      </c>
      <c r="I492" s="13">
        <v>0</v>
      </c>
      <c r="J492" s="160"/>
    </row>
    <row r="493" spans="1:10">
      <c r="A493" s="13" t="s">
        <v>12</v>
      </c>
      <c r="B493" s="13" t="s">
        <v>66</v>
      </c>
      <c r="C493" s="13" t="str">
        <f>VLOOKUP([1]Competence!$B63,[1]Competence!$B$12:$B$100,1,FALSE)</f>
        <v>Database Design</v>
      </c>
      <c r="D493" s="13" t="str" cm="1">
        <f t="array" ref="D493">_xlfn.XLOOKUP(B493,[1]Baseline!$D$3:$AZ$3,_xlfn.XLOOKUP(C493,[1]Baseline!$B$4:$B$91,[1]Baseline!$D$4:$AZ$91))</f>
        <v>No Knowledge</v>
      </c>
      <c r="E493" s="13" t="s">
        <v>375</v>
      </c>
      <c r="F493" s="13">
        <v>0</v>
      </c>
      <c r="G493" s="153">
        <v>0</v>
      </c>
      <c r="H493" s="16">
        <f t="shared" si="7"/>
        <v>0</v>
      </c>
      <c r="I493" s="13">
        <v>0</v>
      </c>
      <c r="J493" s="160"/>
    </row>
    <row r="494" spans="1:10">
      <c r="A494" s="13" t="s">
        <v>12</v>
      </c>
      <c r="B494" s="13" t="s">
        <v>66</v>
      </c>
      <c r="C494" s="13" t="str">
        <f>VLOOKUP([1]Competence!$B64,[1]Competence!$B$12:$B$100,1,FALSE)</f>
        <v>Hardware design</v>
      </c>
      <c r="D494" s="13" t="str" cm="1">
        <f t="array" ref="D494">_xlfn.XLOOKUP(B494,[1]Baseline!$D$3:$AZ$3,_xlfn.XLOOKUP(C494,[1]Baseline!$B$4:$B$91,[1]Baseline!$D$4:$AZ$91))</f>
        <v>No Knowledge</v>
      </c>
      <c r="E494" s="13" t="s">
        <v>375</v>
      </c>
      <c r="F494" s="13">
        <v>0</v>
      </c>
      <c r="G494" s="153">
        <v>1</v>
      </c>
      <c r="H494" s="16">
        <f t="shared" si="7"/>
        <v>1</v>
      </c>
      <c r="I494" s="13">
        <v>1</v>
      </c>
      <c r="J494" s="160"/>
    </row>
    <row r="495" spans="1:10">
      <c r="A495" s="13" t="s">
        <v>12</v>
      </c>
      <c r="B495" s="13" t="s">
        <v>66</v>
      </c>
      <c r="C495" s="13" t="str">
        <f>VLOOKUP([1]Competence!$B65,[1]Competence!$B$12:$B$100,1,FALSE)</f>
        <v>High Performance Computing</v>
      </c>
      <c r="D495" s="13" t="str" cm="1">
        <f t="array" ref="D495">_xlfn.XLOOKUP(B495,[1]Baseline!$D$3:$AZ$3,_xlfn.XLOOKUP(C495,[1]Baseline!$B$4:$B$91,[1]Baseline!$D$4:$AZ$91))</f>
        <v>Awareness</v>
      </c>
      <c r="E495" s="13" t="s">
        <v>375</v>
      </c>
      <c r="F495" s="13">
        <v>0</v>
      </c>
      <c r="G495" s="153">
        <v>2</v>
      </c>
      <c r="H495" s="16">
        <f t="shared" si="7"/>
        <v>2</v>
      </c>
      <c r="I495" s="13">
        <v>2</v>
      </c>
      <c r="J495" s="160"/>
    </row>
    <row r="496" spans="1:10">
      <c r="A496" s="13" t="s">
        <v>12</v>
      </c>
      <c r="B496" s="13" t="s">
        <v>66</v>
      </c>
      <c r="C496" s="13" t="str">
        <f>VLOOKUP([1]Competence!$B66,[1]Competence!$B$12:$B$100,1,FALSE)</f>
        <v>Research Computing</v>
      </c>
      <c r="D496" s="13" t="str" cm="1">
        <f t="array" ref="D496">_xlfn.XLOOKUP(B496,[1]Baseline!$D$3:$AZ$3,_xlfn.XLOOKUP(C496,[1]Baseline!$B$4:$B$91,[1]Baseline!$D$4:$AZ$91))</f>
        <v>Awareness</v>
      </c>
      <c r="E496" s="13" t="s">
        <v>375</v>
      </c>
      <c r="F496" s="13">
        <v>0</v>
      </c>
      <c r="G496" s="153">
        <v>1</v>
      </c>
      <c r="H496" s="16">
        <f t="shared" si="7"/>
        <v>1</v>
      </c>
      <c r="I496" s="13">
        <v>1</v>
      </c>
      <c r="J496" s="160"/>
    </row>
    <row r="497" spans="1:10">
      <c r="A497" s="13" t="s">
        <v>12</v>
      </c>
      <c r="B497" s="13" t="s">
        <v>66</v>
      </c>
      <c r="C497" s="13" t="str">
        <f>VLOOKUP([1]Competence!$B67,[1]Competence!$B$12:$B$100,1,FALSE)</f>
        <v>Information assurance</v>
      </c>
      <c r="D497" s="13" t="str" cm="1">
        <f t="array" ref="D497">_xlfn.XLOOKUP(B497,[1]Baseline!$D$3:$AZ$3,_xlfn.XLOOKUP(C497,[1]Baseline!$B$4:$B$91,[1]Baseline!$D$4:$AZ$91))</f>
        <v>Working</v>
      </c>
      <c r="E497" s="13" t="s">
        <v>375</v>
      </c>
      <c r="F497" s="13">
        <v>1</v>
      </c>
      <c r="G497" s="153">
        <v>2</v>
      </c>
      <c r="H497" s="16">
        <f t="shared" si="7"/>
        <v>1</v>
      </c>
      <c r="I497" s="13">
        <v>2</v>
      </c>
      <c r="J497" s="160"/>
    </row>
    <row r="498" spans="1:10">
      <c r="A498" s="13" t="s">
        <v>12</v>
      </c>
      <c r="B498" s="13" t="s">
        <v>66</v>
      </c>
      <c r="C498" s="13" t="str">
        <f>VLOOKUP([1]Competence!$B68,[1]Competence!$B$12:$B$100,1,FALSE)</f>
        <v>Information management</v>
      </c>
      <c r="D498" s="13" t="str" cm="1">
        <f t="array" ref="D498">_xlfn.XLOOKUP(B498,[1]Baseline!$D$3:$AZ$3,_xlfn.XLOOKUP(C498,[1]Baseline!$B$4:$B$91,[1]Baseline!$D$4:$AZ$91))</f>
        <v>Awareness</v>
      </c>
      <c r="E498" s="13" t="s">
        <v>375</v>
      </c>
      <c r="F498" s="13">
        <v>2</v>
      </c>
      <c r="G498" s="153">
        <v>1</v>
      </c>
      <c r="H498" s="16">
        <f t="shared" si="7"/>
        <v>-1</v>
      </c>
      <c r="I498" s="13">
        <v>1</v>
      </c>
      <c r="J498" s="160"/>
    </row>
    <row r="499" spans="1:10">
      <c r="A499" s="13" t="s">
        <v>12</v>
      </c>
      <c r="B499" s="13" t="s">
        <v>66</v>
      </c>
      <c r="C499" s="13" t="str">
        <f>VLOOKUP([1]Competence!$B69,[1]Competence!$B$12:$B$100,1,FALSE)</f>
        <v>Infrastructure</v>
      </c>
      <c r="D499" s="13" t="str" cm="1">
        <f t="array" ref="D499">_xlfn.XLOOKUP(B499,[1]Baseline!$D$3:$AZ$3,_xlfn.XLOOKUP(C499,[1]Baseline!$B$4:$B$91,[1]Baseline!$D$4:$AZ$91))</f>
        <v>Working</v>
      </c>
      <c r="E499" s="13" t="s">
        <v>375</v>
      </c>
      <c r="F499" s="13">
        <v>2</v>
      </c>
      <c r="G499" s="153">
        <v>2</v>
      </c>
      <c r="H499" s="16">
        <f t="shared" si="7"/>
        <v>0</v>
      </c>
      <c r="I499" s="13">
        <v>2</v>
      </c>
      <c r="J499" s="160"/>
    </row>
    <row r="500" spans="1:10">
      <c r="A500" s="13" t="s">
        <v>12</v>
      </c>
      <c r="B500" s="13" t="s">
        <v>66</v>
      </c>
      <c r="C500" s="13" t="str">
        <f>VLOOKUP([1]Competence!$B70,[1]Competence!$B$12:$B$100,1,FALSE)</f>
        <v>Network design</v>
      </c>
      <c r="D500" s="13" t="str" cm="1">
        <f t="array" ref="D500">_xlfn.XLOOKUP(B500,[1]Baseline!$D$3:$AZ$3,_xlfn.XLOOKUP(C500,[1]Baseline!$B$4:$B$91,[1]Baseline!$D$4:$AZ$91))</f>
        <v>No Knowledge</v>
      </c>
      <c r="E500" s="13" t="s">
        <v>375</v>
      </c>
      <c r="F500" s="13">
        <v>2</v>
      </c>
      <c r="G500" s="153">
        <v>0</v>
      </c>
      <c r="H500" s="16">
        <f t="shared" si="7"/>
        <v>-2</v>
      </c>
      <c r="I500" s="13">
        <v>0</v>
      </c>
      <c r="J500" s="160"/>
    </row>
    <row r="501" spans="1:10">
      <c r="A501" s="13" t="s">
        <v>12</v>
      </c>
      <c r="B501" s="13" t="s">
        <v>66</v>
      </c>
      <c r="C501" s="13" t="str">
        <f>VLOOKUP([1]Competence!$B71,[1]Competence!$B$12:$B$100,1,FALSE)</f>
        <v>Network Analytics</v>
      </c>
      <c r="D501" s="13" t="str" cm="1">
        <f t="array" ref="D501">_xlfn.XLOOKUP(B501,[1]Baseline!$D$3:$AZ$3,_xlfn.XLOOKUP(C501,[1]Baseline!$B$4:$B$91,[1]Baseline!$D$4:$AZ$91))</f>
        <v>No Knowledge</v>
      </c>
      <c r="E501" s="13" t="s">
        <v>375</v>
      </c>
      <c r="F501" s="13">
        <v>0</v>
      </c>
      <c r="G501" s="153">
        <v>1</v>
      </c>
      <c r="H501" s="16">
        <f t="shared" si="7"/>
        <v>1</v>
      </c>
      <c r="I501" s="13">
        <v>1</v>
      </c>
      <c r="J501" s="160"/>
    </row>
    <row r="502" spans="1:10">
      <c r="A502" s="13" t="s">
        <v>12</v>
      </c>
      <c r="B502" s="13" t="s">
        <v>66</v>
      </c>
      <c r="C502" s="13" t="str">
        <f>VLOOKUP([1]Competence!$B72,[1]Competence!$B$12:$B$100,1,FALSE)</f>
        <v>Network support</v>
      </c>
      <c r="D502" s="13" t="str" cm="1">
        <f t="array" ref="D502">_xlfn.XLOOKUP(B502,[1]Baseline!$D$3:$AZ$3,_xlfn.XLOOKUP(C502,[1]Baseline!$B$4:$B$91,[1]Baseline!$D$4:$AZ$91))</f>
        <v>Working</v>
      </c>
      <c r="E502" s="13" t="s">
        <v>375</v>
      </c>
      <c r="F502" s="13">
        <v>0</v>
      </c>
      <c r="G502" s="153">
        <v>2</v>
      </c>
      <c r="H502" s="16">
        <f t="shared" si="7"/>
        <v>2</v>
      </c>
      <c r="I502" s="13">
        <v>2</v>
      </c>
      <c r="J502" s="160"/>
    </row>
    <row r="503" spans="1:10">
      <c r="A503" s="13" t="s">
        <v>12</v>
      </c>
      <c r="B503" s="13" t="s">
        <v>66</v>
      </c>
      <c r="C503" s="13" t="str">
        <f>VLOOKUP([1]Competence!$B73,[1]Competence!$B$12:$B$100,1,FALSE)</f>
        <v>Programming/software development</v>
      </c>
      <c r="D503" s="13" t="str" cm="1">
        <f t="array" ref="D503">_xlfn.XLOOKUP(B503,[1]Baseline!$D$3:$AZ$3,_xlfn.XLOOKUP(C503,[1]Baseline!$B$4:$B$91,[1]Baseline!$D$4:$AZ$91))</f>
        <v>No Knowledge</v>
      </c>
      <c r="E503" s="13" t="s">
        <v>373</v>
      </c>
      <c r="F503" s="13">
        <v>0</v>
      </c>
      <c r="G503" s="153">
        <v>1</v>
      </c>
      <c r="H503" s="16">
        <f t="shared" si="7"/>
        <v>1</v>
      </c>
      <c r="I503" s="13">
        <v>1</v>
      </c>
      <c r="J503" s="160"/>
    </row>
    <row r="504" spans="1:10">
      <c r="A504" s="13" t="s">
        <v>12</v>
      </c>
      <c r="B504" s="13" t="s">
        <v>66</v>
      </c>
      <c r="C504" s="13" t="str">
        <f>VLOOKUP([1]Competence!$B74,[1]Competence!$B$12:$B$100,1,FALSE)</f>
        <v>Real-time/embedded systems development</v>
      </c>
      <c r="D504" s="13" t="str" cm="1">
        <f t="array" ref="D504">_xlfn.XLOOKUP(B504,[1]Baseline!$D$3:$AZ$3,_xlfn.XLOOKUP(C504,[1]Baseline!$B$4:$B$91,[1]Baseline!$D$4:$AZ$91))</f>
        <v>No Knowledge</v>
      </c>
      <c r="E504" s="13" t="s">
        <v>373</v>
      </c>
      <c r="F504" s="13">
        <v>0</v>
      </c>
      <c r="G504" s="153">
        <v>1</v>
      </c>
      <c r="H504" s="16">
        <f t="shared" si="7"/>
        <v>1</v>
      </c>
      <c r="I504" s="13">
        <v>1</v>
      </c>
      <c r="J504" s="160"/>
    </row>
    <row r="505" spans="1:10">
      <c r="A505" s="13" t="s">
        <v>12</v>
      </c>
      <c r="B505" s="13" t="s">
        <v>66</v>
      </c>
      <c r="C505" s="13" t="str">
        <f>VLOOKUP([1]Competence!$B75,[1]Competence!$B$12:$B$100,1,FALSE)</f>
        <v>Requirements definition and management</v>
      </c>
      <c r="D505" s="13" t="str" cm="1">
        <f t="array" ref="D505">_xlfn.XLOOKUP(B505,[1]Baseline!$D$3:$AZ$3,_xlfn.XLOOKUP(C505,[1]Baseline!$B$4:$B$91,[1]Baseline!$D$4:$AZ$91))</f>
        <v>No Knowledge</v>
      </c>
      <c r="E505" s="13" t="s">
        <v>373</v>
      </c>
      <c r="F505" s="13">
        <v>0</v>
      </c>
      <c r="G505" s="153">
        <v>1</v>
      </c>
      <c r="H505" s="16">
        <f t="shared" si="7"/>
        <v>1</v>
      </c>
      <c r="I505" s="13">
        <v>1</v>
      </c>
      <c r="J505" s="160"/>
    </row>
    <row r="506" spans="1:10">
      <c r="A506" s="13" t="s">
        <v>12</v>
      </c>
      <c r="B506" s="13" t="s">
        <v>66</v>
      </c>
      <c r="C506" s="13" t="str">
        <f>VLOOKUP([1]Competence!$B76,[1]Competence!$B$12:$B$100,1,FALSE)</f>
        <v>Software configuration</v>
      </c>
      <c r="D506" s="13" t="str" cm="1">
        <f t="array" ref="D506">_xlfn.XLOOKUP(B506,[1]Baseline!$D$3:$AZ$3,_xlfn.XLOOKUP(C506,[1]Baseline!$B$4:$B$91,[1]Baseline!$D$4:$AZ$91))</f>
        <v>No Knowledge</v>
      </c>
      <c r="E506" s="13" t="s">
        <v>373</v>
      </c>
      <c r="F506" s="13">
        <v>2</v>
      </c>
      <c r="G506" s="153">
        <v>1</v>
      </c>
      <c r="H506" s="16">
        <f t="shared" si="7"/>
        <v>-1</v>
      </c>
      <c r="I506" s="13">
        <v>1</v>
      </c>
      <c r="J506" s="160"/>
    </row>
    <row r="507" spans="1:10">
      <c r="A507" s="13" t="s">
        <v>12</v>
      </c>
      <c r="B507" s="13" t="s">
        <v>66</v>
      </c>
      <c r="C507" s="13" t="str">
        <f>VLOOKUP([1]Competence!$B77,[1]Competence!$B$12:$B$100,1,FALSE)</f>
        <v>Software design</v>
      </c>
      <c r="D507" s="13" t="str" cm="1">
        <f t="array" ref="D507">_xlfn.XLOOKUP(B507,[1]Baseline!$D$3:$AZ$3,_xlfn.XLOOKUP(C507,[1]Baseline!$B$4:$B$91,[1]Baseline!$D$4:$AZ$91))</f>
        <v>No Knowledge</v>
      </c>
      <c r="E507" s="13" t="s">
        <v>373</v>
      </c>
      <c r="F507" s="13">
        <v>2</v>
      </c>
      <c r="G507" s="153">
        <v>1</v>
      </c>
      <c r="H507" s="16">
        <f t="shared" si="7"/>
        <v>-1</v>
      </c>
      <c r="I507" s="13">
        <v>1</v>
      </c>
      <c r="J507" s="160"/>
    </row>
    <row r="508" spans="1:10">
      <c r="A508" s="13" t="s">
        <v>12</v>
      </c>
      <c r="B508" s="13" t="s">
        <v>66</v>
      </c>
      <c r="C508" s="13" t="str">
        <f>VLOOKUP([1]Competence!$B78,[1]Competence!$B$12:$B$100,1,FALSE)</f>
        <v>Solution architecture</v>
      </c>
      <c r="D508" s="13" t="str" cm="1">
        <f t="array" ref="D508">_xlfn.XLOOKUP(B508,[1]Baseline!$D$3:$AZ$3,_xlfn.XLOOKUP(C508,[1]Baseline!$B$4:$B$91,[1]Baseline!$D$4:$AZ$91))</f>
        <v>No Knowledge</v>
      </c>
      <c r="E508" s="13" t="s">
        <v>376</v>
      </c>
      <c r="F508" s="13">
        <v>2</v>
      </c>
      <c r="G508" s="153">
        <v>0</v>
      </c>
      <c r="H508" s="16">
        <f t="shared" si="7"/>
        <v>-2</v>
      </c>
      <c r="I508" s="13">
        <v>0</v>
      </c>
      <c r="J508" s="160"/>
    </row>
    <row r="509" spans="1:10">
      <c r="A509" s="13" t="s">
        <v>12</v>
      </c>
      <c r="B509" s="13" t="s">
        <v>66</v>
      </c>
      <c r="C509" s="13" t="str">
        <f>VLOOKUP([1]Competence!$B79,[1]Competence!$B$12:$B$100,1,FALSE)</f>
        <v>System software</v>
      </c>
      <c r="D509" s="13" t="str" cm="1">
        <f t="array" ref="D509">_xlfn.XLOOKUP(B509,[1]Baseline!$D$3:$AZ$3,_xlfn.XLOOKUP(C509,[1]Baseline!$B$4:$B$91,[1]Baseline!$D$4:$AZ$91))</f>
        <v>No Knowledge</v>
      </c>
      <c r="E509" s="13" t="s">
        <v>376</v>
      </c>
      <c r="F509" s="13">
        <v>2</v>
      </c>
      <c r="G509" s="153">
        <v>1</v>
      </c>
      <c r="H509" s="16">
        <f t="shared" si="7"/>
        <v>-1</v>
      </c>
      <c r="I509" s="13">
        <v>1</v>
      </c>
      <c r="J509" s="160"/>
    </row>
    <row r="510" spans="1:10">
      <c r="A510" s="13" t="s">
        <v>12</v>
      </c>
      <c r="B510" s="13" t="s">
        <v>66</v>
      </c>
      <c r="C510" s="13" t="str">
        <f>VLOOKUP([1]Competence!$B80,[1]Competence!$B$12:$B$100,1,FALSE)</f>
        <v>Systems and software life cycle engineering</v>
      </c>
      <c r="D510" s="13" t="str" cm="1">
        <f t="array" ref="D510">_xlfn.XLOOKUP(B510,[1]Baseline!$D$3:$AZ$3,_xlfn.XLOOKUP(C510,[1]Baseline!$B$4:$B$91,[1]Baseline!$D$4:$AZ$91))</f>
        <v>No Knowledge</v>
      </c>
      <c r="E510" s="13" t="s">
        <v>376</v>
      </c>
      <c r="F510" s="13">
        <v>2</v>
      </c>
      <c r="G510" s="153">
        <v>1</v>
      </c>
      <c r="H510" s="16">
        <f t="shared" si="7"/>
        <v>-1</v>
      </c>
      <c r="I510" s="13">
        <v>1</v>
      </c>
      <c r="J510" s="160"/>
    </row>
    <row r="511" spans="1:10">
      <c r="A511" s="13" t="s">
        <v>12</v>
      </c>
      <c r="B511" s="13" t="s">
        <v>66</v>
      </c>
      <c r="C511" s="13" t="str">
        <f>VLOOKUP([1]Competence!$B81,[1]Competence!$B$12:$B$100,1,FALSE)</f>
        <v>Systems design</v>
      </c>
      <c r="D511" s="13" t="str" cm="1">
        <f t="array" ref="D511">_xlfn.XLOOKUP(B511,[1]Baseline!$D$3:$AZ$3,_xlfn.XLOOKUP(C511,[1]Baseline!$B$4:$B$91,[1]Baseline!$D$4:$AZ$91))</f>
        <v>No Knowledge</v>
      </c>
      <c r="E511" s="13" t="s">
        <v>376</v>
      </c>
      <c r="F511" s="13">
        <v>2</v>
      </c>
      <c r="G511" s="153">
        <v>1</v>
      </c>
      <c r="H511" s="16">
        <f t="shared" si="7"/>
        <v>-1</v>
      </c>
      <c r="I511" s="13">
        <v>1</v>
      </c>
      <c r="J511" s="160"/>
    </row>
    <row r="512" spans="1:10">
      <c r="A512" s="13" t="s">
        <v>12</v>
      </c>
      <c r="B512" s="13" t="s">
        <v>66</v>
      </c>
      <c r="C512" s="13" t="str">
        <f>VLOOKUP([1]Competence!$B82,[1]Competence!$B$12:$B$100,1,FALSE)</f>
        <v>Systems development management</v>
      </c>
      <c r="D512" s="13" t="str" cm="1">
        <f t="array" ref="D512">_xlfn.XLOOKUP(B512,[1]Baseline!$D$3:$AZ$3,_xlfn.XLOOKUP(C512,[1]Baseline!$B$4:$B$91,[1]Baseline!$D$4:$AZ$91))</f>
        <v>No Knowledge</v>
      </c>
      <c r="E512" s="13" t="s">
        <v>377</v>
      </c>
      <c r="F512" s="13">
        <v>0</v>
      </c>
      <c r="G512" s="153">
        <v>2</v>
      </c>
      <c r="H512" s="16">
        <f t="shared" si="7"/>
        <v>2</v>
      </c>
      <c r="I512" s="13">
        <v>2</v>
      </c>
      <c r="J512" s="160"/>
    </row>
    <row r="513" spans="1:10">
      <c r="A513" s="13" t="s">
        <v>12</v>
      </c>
      <c r="B513" s="13" t="s">
        <v>66</v>
      </c>
      <c r="C513" s="13" t="str">
        <f>VLOOKUP([1]Competence!$B83,[1]Competence!$B$12:$B$100,1,FALSE)</f>
        <v>Systems installation and removal</v>
      </c>
      <c r="D513" s="13" t="str" cm="1">
        <f t="array" ref="D513">_xlfn.XLOOKUP(B513,[1]Baseline!$D$3:$AZ$3,_xlfn.XLOOKUP(C513,[1]Baseline!$B$4:$B$91,[1]Baseline!$D$4:$AZ$91))</f>
        <v>Working</v>
      </c>
      <c r="E513" s="13" t="s">
        <v>378</v>
      </c>
      <c r="F513" s="13">
        <v>0</v>
      </c>
      <c r="G513" s="153">
        <v>3</v>
      </c>
      <c r="H513" s="16">
        <f t="shared" si="7"/>
        <v>3</v>
      </c>
      <c r="I513" s="13">
        <v>3</v>
      </c>
      <c r="J513" s="160"/>
    </row>
    <row r="514" spans="1:10">
      <c r="A514" s="13" t="s">
        <v>12</v>
      </c>
      <c r="B514" s="13" t="s">
        <v>66</v>
      </c>
      <c r="C514" s="13" t="str">
        <f>VLOOKUP([1]Competence!$B84,[1]Competence!$B$12:$B$100,1,FALSE)</f>
        <v>Testing</v>
      </c>
      <c r="D514" s="13" t="str" cm="1">
        <f t="array" ref="D514">_xlfn.XLOOKUP(B514,[1]Baseline!$D$3:$AZ$3,_xlfn.XLOOKUP(C514,[1]Baseline!$B$4:$B$91,[1]Baseline!$D$4:$AZ$91))</f>
        <v>Working</v>
      </c>
      <c r="E514" s="13" t="s">
        <v>375</v>
      </c>
      <c r="F514" s="13">
        <v>1</v>
      </c>
      <c r="G514" s="153">
        <v>2</v>
      </c>
      <c r="H514" s="16">
        <f t="shared" ref="H514:H577" si="8">I514-F514</f>
        <v>1</v>
      </c>
      <c r="I514" s="13">
        <v>2</v>
      </c>
      <c r="J514" s="160"/>
    </row>
    <row r="515" spans="1:10">
      <c r="A515" s="13" t="s">
        <v>12</v>
      </c>
      <c r="B515" s="13" t="s">
        <v>66</v>
      </c>
      <c r="C515" s="13" t="str">
        <f>VLOOKUP([1]Competence!$B85,[1]Competence!$B$12:$B$100,1,FALSE)</f>
        <v>Innovation</v>
      </c>
      <c r="D515" s="13" t="str" cm="1">
        <f t="array" ref="D515">_xlfn.XLOOKUP(B515,[1]Baseline!$D$3:$AZ$3,_xlfn.XLOOKUP(C515,[1]Baseline!$B$4:$B$91,[1]Baseline!$D$4:$AZ$91))</f>
        <v>No Knowledge</v>
      </c>
      <c r="E515" s="13" t="s">
        <v>375</v>
      </c>
      <c r="F515" s="13">
        <v>1</v>
      </c>
      <c r="G515" s="153">
        <v>0</v>
      </c>
      <c r="H515" s="16">
        <f t="shared" si="8"/>
        <v>-1</v>
      </c>
      <c r="I515" s="13">
        <v>0</v>
      </c>
      <c r="J515" s="160"/>
    </row>
    <row r="516" spans="1:10">
      <c r="A516" s="13" t="s">
        <v>12</v>
      </c>
      <c r="B516" s="13" t="s">
        <v>66</v>
      </c>
      <c r="C516" s="13" t="str">
        <f>VLOOKUP([1]Competence!$B86,[1]Competence!$B$12:$B$100,1,FALSE)</f>
        <v>Specialist Advice</v>
      </c>
      <c r="D516" s="13" t="str" cm="1">
        <f t="array" ref="D516">_xlfn.XLOOKUP(B516,[1]Baseline!$D$3:$AZ$3,_xlfn.XLOOKUP(C516,[1]Baseline!$B$4:$B$91,[1]Baseline!$D$4:$AZ$91))</f>
        <v>No Knowledge</v>
      </c>
      <c r="E516" s="13" t="s">
        <v>375</v>
      </c>
      <c r="F516" s="13">
        <v>0</v>
      </c>
      <c r="G516" s="153">
        <v>1</v>
      </c>
      <c r="H516" s="16">
        <f t="shared" si="8"/>
        <v>1</v>
      </c>
      <c r="I516" s="13">
        <v>1</v>
      </c>
      <c r="J516" s="160"/>
    </row>
    <row r="517" spans="1:10">
      <c r="A517" s="13" t="s">
        <v>12</v>
      </c>
      <c r="B517" s="13" t="s">
        <v>66</v>
      </c>
      <c r="C517" s="13" t="str">
        <f>VLOOKUP([1]Competence!$B87,[1]Competence!$B$12:$B$100,1,FALSE)</f>
        <v>Emerging technology monitoring</v>
      </c>
      <c r="D517" s="13" t="str" cm="1">
        <f t="array" ref="D517">_xlfn.XLOOKUP(B517,[1]Baseline!$D$3:$AZ$3,_xlfn.XLOOKUP(C517,[1]Baseline!$B$4:$B$91,[1]Baseline!$D$4:$AZ$91))</f>
        <v>No Knowledge</v>
      </c>
      <c r="E517" s="13" t="s">
        <v>375</v>
      </c>
      <c r="F517" s="13">
        <v>0</v>
      </c>
      <c r="G517" s="153">
        <v>1</v>
      </c>
      <c r="H517" s="16">
        <f t="shared" si="8"/>
        <v>1</v>
      </c>
      <c r="I517" s="13">
        <v>1</v>
      </c>
      <c r="J517" s="160"/>
    </row>
    <row r="518" spans="1:10">
      <c r="A518" s="13" t="s">
        <v>12</v>
      </c>
      <c r="B518" s="13" t="s">
        <v>66</v>
      </c>
      <c r="C518" s="13" t="str">
        <f>VLOOKUP([1]Competence!$B88,[1]Competence!$B$12:$B$100,1,FALSE)</f>
        <v>Systems integration and build</v>
      </c>
      <c r="D518" s="13" t="str" cm="1">
        <f t="array" ref="D518">_xlfn.XLOOKUP(B518,[1]Baseline!$D$3:$AZ$3,_xlfn.XLOOKUP(C518,[1]Baseline!$B$4:$B$91,[1]Baseline!$D$4:$AZ$91))</f>
        <v>Practitioner</v>
      </c>
      <c r="E518" s="13" t="s">
        <v>375</v>
      </c>
      <c r="F518" s="13">
        <v>0</v>
      </c>
      <c r="G518" s="153">
        <v>2</v>
      </c>
      <c r="H518" s="16">
        <f t="shared" si="8"/>
        <v>2</v>
      </c>
      <c r="I518" s="13">
        <v>2</v>
      </c>
      <c r="J518" s="160"/>
    </row>
    <row r="519" spans="1:10">
      <c r="A519" s="13" t="s">
        <v>12</v>
      </c>
      <c r="B519" s="13" t="s">
        <v>66</v>
      </c>
      <c r="C519" s="13" t="str">
        <f>VLOOKUP([1]Competence!$B89,[1]Competence!$B$12:$B$100,1,FALSE)</f>
        <v>Audio Visual</v>
      </c>
      <c r="D519" s="13" t="str" cm="1">
        <f t="array" ref="D519">_xlfn.XLOOKUP(B519,[1]Baseline!$D$3:$AZ$3,_xlfn.XLOOKUP(C519,[1]Baseline!$B$4:$B$91,[1]Baseline!$D$4:$AZ$91))</f>
        <v>Awareness</v>
      </c>
      <c r="E519" s="13" t="s">
        <v>375</v>
      </c>
      <c r="F519" s="13">
        <v>0</v>
      </c>
      <c r="G519" s="153">
        <v>2</v>
      </c>
      <c r="H519" s="16">
        <f t="shared" si="8"/>
        <v>2</v>
      </c>
      <c r="I519" s="13">
        <v>2</v>
      </c>
      <c r="J519" s="160"/>
    </row>
    <row r="520" spans="1:10">
      <c r="A520" s="13" t="s">
        <v>12</v>
      </c>
      <c r="B520" s="13" t="s">
        <v>66</v>
      </c>
      <c r="C520" s="13" t="str">
        <f>VLOOKUP([1]Competence!$B90,[1]Competence!$B$12:$B$100,1,FALSE)</f>
        <v>Augmented Reality</v>
      </c>
      <c r="D520" s="13" t="str" cm="1">
        <f t="array" ref="D520">_xlfn.XLOOKUP(B520,[1]Baseline!$D$3:$AZ$3,_xlfn.XLOOKUP(C520,[1]Baseline!$B$4:$B$91,[1]Baseline!$D$4:$AZ$91))</f>
        <v>Awareness</v>
      </c>
      <c r="E520" s="13" t="s">
        <v>375</v>
      </c>
      <c r="F520" s="13">
        <v>0</v>
      </c>
      <c r="G520" s="153">
        <v>0</v>
      </c>
      <c r="H520" s="16">
        <f t="shared" si="8"/>
        <v>0</v>
      </c>
      <c r="I520" s="13">
        <v>0</v>
      </c>
      <c r="J520" s="160"/>
    </row>
    <row r="521" spans="1:10">
      <c r="A521" s="13" t="s">
        <v>12</v>
      </c>
      <c r="B521" s="13" t="s">
        <v>66</v>
      </c>
      <c r="C521" s="13" t="str">
        <f>VLOOKUP([1]Competence!$B91,[1]Competence!$B$12:$B$100,1,FALSE)</f>
        <v>Benefits management</v>
      </c>
      <c r="D521" s="13" t="str" cm="1">
        <f t="array" ref="D521">_xlfn.XLOOKUP(B521,[1]Baseline!$D$3:$AZ$3,_xlfn.XLOOKUP(C521,[1]Baseline!$B$4:$B$91,[1]Baseline!$D$4:$AZ$91))</f>
        <v>No Knowledge</v>
      </c>
      <c r="E521" s="13" t="s">
        <v>375</v>
      </c>
      <c r="F521" s="13">
        <v>0</v>
      </c>
      <c r="G521" s="153">
        <v>0</v>
      </c>
      <c r="H521" s="16">
        <f t="shared" si="8"/>
        <v>0</v>
      </c>
      <c r="I521" s="13">
        <v>0</v>
      </c>
      <c r="J521" s="160"/>
    </row>
    <row r="522" spans="1:10">
      <c r="A522" s="13" t="s">
        <v>12</v>
      </c>
      <c r="B522" s="13" t="s">
        <v>66</v>
      </c>
      <c r="C522" s="13" t="str">
        <f>VLOOKUP([1]Competence!$B92,[1]Competence!$B$12:$B$100,1,FALSE)</f>
        <v>Business administration</v>
      </c>
      <c r="D522" s="13" t="str" cm="1">
        <f t="array" ref="D522">_xlfn.XLOOKUP(B522,[1]Baseline!$D$3:$AZ$3,_xlfn.XLOOKUP(C522,[1]Baseline!$B$4:$B$91,[1]Baseline!$D$4:$AZ$91))</f>
        <v>No Knowledge</v>
      </c>
      <c r="E522" s="13" t="s">
        <v>375</v>
      </c>
      <c r="F522" s="13">
        <v>0</v>
      </c>
      <c r="G522" s="153">
        <v>0</v>
      </c>
      <c r="H522" s="16">
        <f t="shared" si="8"/>
        <v>0</v>
      </c>
      <c r="I522" s="13">
        <v>0</v>
      </c>
      <c r="J522" s="160"/>
    </row>
    <row r="523" spans="1:10">
      <c r="A523" s="13" t="s">
        <v>12</v>
      </c>
      <c r="B523" s="13" t="s">
        <v>66</v>
      </c>
      <c r="C523" s="13" t="str">
        <f>VLOOKUP([1]Competence!$B93,[1]Competence!$B$12:$B$100,1,FALSE)</f>
        <v>Business intelligence</v>
      </c>
      <c r="D523" s="13" t="str" cm="1">
        <f t="array" ref="D523">_xlfn.XLOOKUP(B523,[1]Baseline!$D$3:$AZ$3,_xlfn.XLOOKUP(C523,[1]Baseline!$B$4:$B$91,[1]Baseline!$D$4:$AZ$91))</f>
        <v>No Knowledge</v>
      </c>
      <c r="E523" s="13" t="s">
        <v>375</v>
      </c>
      <c r="F523" s="13">
        <v>0</v>
      </c>
      <c r="G523" s="153">
        <v>0</v>
      </c>
      <c r="H523" s="16">
        <f t="shared" si="8"/>
        <v>0</v>
      </c>
      <c r="I523" s="13">
        <v>0</v>
      </c>
      <c r="J523" s="160"/>
    </row>
    <row r="524" spans="1:10">
      <c r="A524" s="13" t="s">
        <v>12</v>
      </c>
      <c r="B524" s="13" t="s">
        <v>66</v>
      </c>
      <c r="C524" s="13" t="str">
        <f>VLOOKUP([1]Competence!$B94,[1]Competence!$B$12:$B$100,1,FALSE)</f>
        <v>Business modelling</v>
      </c>
      <c r="D524" s="13" t="str" cm="1">
        <f t="array" ref="D524">_xlfn.XLOOKUP(B524,[1]Baseline!$D$3:$AZ$3,_xlfn.XLOOKUP(C524,[1]Baseline!$B$4:$B$91,[1]Baseline!$D$4:$AZ$91))</f>
        <v>No Knowledge</v>
      </c>
      <c r="E524" s="13" t="s">
        <v>375</v>
      </c>
      <c r="F524" s="13">
        <v>2</v>
      </c>
      <c r="G524" s="153">
        <v>0</v>
      </c>
      <c r="H524" s="16">
        <f t="shared" si="8"/>
        <v>-2</v>
      </c>
      <c r="I524" s="13">
        <v>0</v>
      </c>
      <c r="J524" s="160"/>
    </row>
    <row r="525" spans="1:10">
      <c r="A525" s="13" t="s">
        <v>12</v>
      </c>
      <c r="B525" s="13" t="s">
        <v>66</v>
      </c>
      <c r="C525" s="13" t="str">
        <f>VLOOKUP([1]Competence!$B95,[1]Competence!$B$12:$B$100,1,FALSE)</f>
        <v>Business process improvement</v>
      </c>
      <c r="D525" s="13" t="str" cm="1">
        <f t="array" ref="D525">_xlfn.XLOOKUP(B525,[1]Baseline!$D$3:$AZ$3,_xlfn.XLOOKUP(C525,[1]Baseline!$B$4:$B$91,[1]Baseline!$D$4:$AZ$91))</f>
        <v>No Knowledge</v>
      </c>
      <c r="E525" s="13" t="s">
        <v>375</v>
      </c>
      <c r="F525" s="13">
        <v>0</v>
      </c>
      <c r="G525" s="153">
        <v>0</v>
      </c>
      <c r="H525" s="16">
        <f t="shared" si="8"/>
        <v>0</v>
      </c>
      <c r="I525" s="13">
        <v>0</v>
      </c>
      <c r="J525" s="160"/>
    </row>
    <row r="526" spans="1:10">
      <c r="A526" s="13" t="s">
        <v>12</v>
      </c>
      <c r="B526" s="13" t="s">
        <v>66</v>
      </c>
      <c r="C526" s="13" t="str">
        <f>VLOOKUP([1]Competence!$B96,[1]Competence!$B$12:$B$100,1,FALSE)</f>
        <v>Business situation analysis</v>
      </c>
      <c r="D526" s="13" t="str" cm="1">
        <f t="array" ref="D526">_xlfn.XLOOKUP(B526,[1]Baseline!$D$3:$AZ$3,_xlfn.XLOOKUP(C526,[1]Baseline!$B$4:$B$91,[1]Baseline!$D$4:$AZ$91))</f>
        <v>No Knowledge</v>
      </c>
      <c r="E526" s="13" t="s">
        <v>375</v>
      </c>
      <c r="F526" s="13">
        <v>0</v>
      </c>
      <c r="G526" s="153">
        <v>0</v>
      </c>
      <c r="H526" s="16">
        <f t="shared" si="8"/>
        <v>0</v>
      </c>
      <c r="I526" s="13">
        <v>0</v>
      </c>
      <c r="J526" s="160"/>
    </row>
    <row r="527" spans="1:10">
      <c r="A527" s="13" t="s">
        <v>12</v>
      </c>
      <c r="B527" s="13" t="s">
        <v>66</v>
      </c>
      <c r="C527" s="13" t="str">
        <f>VLOOKUP([1]Competence!$B97,[1]Competence!$B$12:$B$100,1,FALSE)</f>
        <v>Programme management</v>
      </c>
      <c r="D527" s="13" t="str" cm="1">
        <f t="array" ref="D527">_xlfn.XLOOKUP(B527,[1]Baseline!$D$3:$AZ$3,_xlfn.XLOOKUP(C527,[1]Baseline!$B$4:$B$91,[1]Baseline!$D$4:$AZ$91))</f>
        <v>No Knowledge</v>
      </c>
      <c r="E527" s="13" t="s">
        <v>377</v>
      </c>
      <c r="F527" s="13">
        <v>0</v>
      </c>
      <c r="G527" s="153">
        <v>2</v>
      </c>
      <c r="H527" s="16">
        <f t="shared" si="8"/>
        <v>2</v>
      </c>
      <c r="I527" s="13">
        <v>2</v>
      </c>
      <c r="J527" s="160"/>
    </row>
    <row r="528" spans="1:10">
      <c r="A528" s="13" t="s">
        <v>12</v>
      </c>
      <c r="B528" s="13" t="s">
        <v>66</v>
      </c>
      <c r="C528" s="13" t="str">
        <f>VLOOKUP([1]Competence!$B98,[1]Competence!$B$12:$B$100,1,FALSE)</f>
        <v>Project management</v>
      </c>
      <c r="D528" s="13" t="str" cm="1">
        <f t="array" ref="D528">_xlfn.XLOOKUP(B528,[1]Baseline!$D$3:$AZ$3,_xlfn.XLOOKUP(C528,[1]Baseline!$B$4:$B$91,[1]Baseline!$D$4:$AZ$91))</f>
        <v>No Knowledge</v>
      </c>
      <c r="E528" s="13" t="s">
        <v>375</v>
      </c>
      <c r="F528" s="13">
        <v>0</v>
      </c>
      <c r="G528" s="153">
        <v>0</v>
      </c>
      <c r="H528" s="16">
        <f t="shared" si="8"/>
        <v>0</v>
      </c>
      <c r="I528" s="13">
        <v>0</v>
      </c>
      <c r="J528" s="160"/>
    </row>
    <row r="529" spans="1:10">
      <c r="A529" s="13" t="s">
        <v>12</v>
      </c>
      <c r="B529" s="13" t="s">
        <v>66</v>
      </c>
      <c r="C529" s="13" t="str">
        <f>VLOOKUP([1]Competence!$B99,[1]Competence!$B$12:$B$100,1,FALSE)</f>
        <v>Quality assurance</v>
      </c>
      <c r="D529" s="13" t="str" cm="1">
        <f t="array" ref="D529">_xlfn.XLOOKUP(B529,[1]Baseline!$D$3:$AZ$3,_xlfn.XLOOKUP(C529,[1]Baseline!$B$4:$B$91,[1]Baseline!$D$4:$AZ$91))</f>
        <v>Working</v>
      </c>
      <c r="E529" s="13" t="s">
        <v>375</v>
      </c>
      <c r="F529" s="13">
        <v>0</v>
      </c>
      <c r="G529" s="153">
        <v>2</v>
      </c>
      <c r="H529" s="16">
        <f t="shared" si="8"/>
        <v>2</v>
      </c>
      <c r="I529" s="13">
        <v>2</v>
      </c>
      <c r="J529" s="160"/>
    </row>
    <row r="530" spans="1:10">
      <c r="A530" s="13" t="s">
        <v>4</v>
      </c>
      <c r="B530" s="13" t="s">
        <v>63</v>
      </c>
      <c r="C530" s="13" t="str">
        <f>VLOOKUP([1]Competence!$B12,[1]Competence!$B$12:$B$100,1,FALSE)</f>
        <v>Asset Management</v>
      </c>
      <c r="D530" s="13" t="str" cm="1">
        <f t="array" ref="D530">_xlfn.XLOOKUP(B530,[1]Baseline!$D$3:$AZ$3,_xlfn.XLOOKUP(C530,[1]Baseline!$B$4:$B$91,[1]Baseline!$D$4:$AZ$91))</f>
        <v>Practitioner</v>
      </c>
      <c r="E530" s="13" t="s">
        <v>375</v>
      </c>
      <c r="F530" s="13">
        <v>1</v>
      </c>
      <c r="G530" s="153">
        <v>3</v>
      </c>
      <c r="H530" s="16">
        <f t="shared" si="8"/>
        <v>2</v>
      </c>
      <c r="I530" s="13">
        <v>3</v>
      </c>
      <c r="J530" s="160"/>
    </row>
    <row r="531" spans="1:10">
      <c r="A531" s="13" t="s">
        <v>4</v>
      </c>
      <c r="B531" s="13" t="s">
        <v>63</v>
      </c>
      <c r="C531" s="13" t="str">
        <f>VLOOKUP([1]Competence!$B13,[1]Competence!$B$12:$B$100,1,FALSE)</f>
        <v>Change Control</v>
      </c>
      <c r="D531" s="13" t="str" cm="1">
        <f t="array" ref="D531">_xlfn.XLOOKUP(B531,[1]Baseline!$D$3:$AZ$3,_xlfn.XLOOKUP(C531,[1]Baseline!$B$4:$B$91,[1]Baseline!$D$4:$AZ$91))</f>
        <v>Expert</v>
      </c>
      <c r="E531" s="13" t="s">
        <v>375</v>
      </c>
      <c r="F531" s="13">
        <v>2</v>
      </c>
      <c r="G531" s="153">
        <v>3</v>
      </c>
      <c r="H531" s="16">
        <f t="shared" si="8"/>
        <v>1</v>
      </c>
      <c r="I531" s="13">
        <v>3</v>
      </c>
      <c r="J531" s="160"/>
    </row>
    <row r="532" spans="1:10">
      <c r="A532" s="13" t="s">
        <v>4</v>
      </c>
      <c r="B532" s="13" t="s">
        <v>63</v>
      </c>
      <c r="C532" s="13" t="str">
        <f>VLOOKUP([1]Competence!$B14,[1]Competence!$B$12:$B$100,1,FALSE)</f>
        <v>Customer Service Support</v>
      </c>
      <c r="D532" s="13" t="str" cm="1">
        <f t="array" ref="D532">_xlfn.XLOOKUP(B532,[1]Baseline!$D$3:$AZ$3,_xlfn.XLOOKUP(C532,[1]Baseline!$B$4:$B$91,[1]Baseline!$D$4:$AZ$91))</f>
        <v>Expert</v>
      </c>
      <c r="E532" s="13" t="s">
        <v>376</v>
      </c>
      <c r="F532" s="13">
        <v>2</v>
      </c>
      <c r="G532" s="153">
        <v>4</v>
      </c>
      <c r="H532" s="16">
        <f t="shared" si="8"/>
        <v>2</v>
      </c>
      <c r="I532" s="13">
        <v>4</v>
      </c>
      <c r="J532" s="160"/>
    </row>
    <row r="533" spans="1:10">
      <c r="A533" s="13" t="s">
        <v>4</v>
      </c>
      <c r="B533" s="13" t="s">
        <v>63</v>
      </c>
      <c r="C533" s="13" t="str">
        <f>VLOOKUP([1]Competence!$B15,[1]Competence!$B$12:$B$100,1,FALSE)</f>
        <v>Incident management</v>
      </c>
      <c r="D533" s="13" t="str" cm="1">
        <f t="array" ref="D533">_xlfn.XLOOKUP(B533,[1]Baseline!$D$3:$AZ$3,_xlfn.XLOOKUP(C533,[1]Baseline!$B$4:$B$91,[1]Baseline!$D$4:$AZ$91))</f>
        <v>Expert</v>
      </c>
      <c r="E533" s="13" t="s">
        <v>375</v>
      </c>
      <c r="F533" s="13">
        <v>1</v>
      </c>
      <c r="G533" s="153">
        <v>4</v>
      </c>
      <c r="H533" s="16">
        <f t="shared" si="8"/>
        <v>3</v>
      </c>
      <c r="I533" s="13">
        <v>4</v>
      </c>
      <c r="J533" s="160"/>
    </row>
    <row r="534" spans="1:10">
      <c r="A534" s="13" t="s">
        <v>4</v>
      </c>
      <c r="B534" s="13" t="s">
        <v>63</v>
      </c>
      <c r="C534" s="13" t="str">
        <f>VLOOKUP([1]Competence!$B16,[1]Competence!$B$12:$B$100,1,FALSE)</f>
        <v>Information security</v>
      </c>
      <c r="D534" s="13" t="str" cm="1">
        <f t="array" ref="D534">_xlfn.XLOOKUP(B534,[1]Baseline!$D$3:$AZ$3,_xlfn.XLOOKUP(C534,[1]Baseline!$B$4:$B$91,[1]Baseline!$D$4:$AZ$91))</f>
        <v>Practitioner</v>
      </c>
      <c r="E534" s="13" t="s">
        <v>49</v>
      </c>
      <c r="F534" s="13">
        <v>1</v>
      </c>
      <c r="G534" s="153">
        <v>3</v>
      </c>
      <c r="H534" s="16">
        <f t="shared" si="8"/>
        <v>2</v>
      </c>
      <c r="I534" s="13">
        <v>3</v>
      </c>
      <c r="J534" s="160"/>
    </row>
    <row r="535" spans="1:10">
      <c r="A535" s="13" t="s">
        <v>4</v>
      </c>
      <c r="B535" s="13" t="s">
        <v>63</v>
      </c>
      <c r="C535" s="13" t="str">
        <f>VLOOKUP([1]Competence!$B17,[1]Competence!$B$12:$B$100,1,FALSE)</f>
        <v>Personal data protection</v>
      </c>
      <c r="D535" s="13" t="str" cm="1">
        <f t="array" ref="D535">_xlfn.XLOOKUP(B535,[1]Baseline!$D$3:$AZ$3,_xlfn.XLOOKUP(C535,[1]Baseline!$B$4:$B$91,[1]Baseline!$D$4:$AZ$91))</f>
        <v>Practitioner</v>
      </c>
      <c r="E535" s="13" t="s">
        <v>375</v>
      </c>
      <c r="F535" s="13">
        <v>0</v>
      </c>
      <c r="G535" s="153">
        <v>3</v>
      </c>
      <c r="H535" s="16">
        <f t="shared" si="8"/>
        <v>3</v>
      </c>
      <c r="I535" s="13">
        <v>3</v>
      </c>
      <c r="J535" s="160"/>
    </row>
    <row r="536" spans="1:10">
      <c r="A536" s="13" t="s">
        <v>4</v>
      </c>
      <c r="B536" s="13" t="s">
        <v>63</v>
      </c>
      <c r="C536" s="13" t="str">
        <f>VLOOKUP([1]Competence!$B18,[1]Competence!$B$12:$B$100,1,FALSE)</f>
        <v>Problem management</v>
      </c>
      <c r="D536" s="13" t="str" cm="1">
        <f t="array" ref="D536">_xlfn.XLOOKUP(B536,[1]Baseline!$D$3:$AZ$3,_xlfn.XLOOKUP(C536,[1]Baseline!$B$4:$B$91,[1]Baseline!$D$4:$AZ$91))</f>
        <v>Expert</v>
      </c>
      <c r="E536" s="13" t="s">
        <v>374</v>
      </c>
      <c r="F536" s="13">
        <v>1</v>
      </c>
      <c r="G536" s="153">
        <v>2</v>
      </c>
      <c r="H536" s="16">
        <f t="shared" si="8"/>
        <v>1</v>
      </c>
      <c r="I536" s="13">
        <v>2</v>
      </c>
      <c r="J536" s="160"/>
    </row>
    <row r="537" spans="1:10">
      <c r="A537" s="13" t="s">
        <v>4</v>
      </c>
      <c r="B537" s="13" t="s">
        <v>63</v>
      </c>
      <c r="C537" s="13" t="str">
        <f>VLOOKUP([1]Competence!$B19,[1]Competence!$B$12:$B$100,1,FALSE)</f>
        <v>Service catalogue management</v>
      </c>
      <c r="D537" s="13" t="str" cm="1">
        <f t="array" ref="D537">_xlfn.XLOOKUP(B537,[1]Baseline!$D$3:$AZ$3,_xlfn.XLOOKUP(C537,[1]Baseline!$B$4:$B$91,[1]Baseline!$D$4:$AZ$91))</f>
        <v>Expert</v>
      </c>
      <c r="E537" s="13" t="s">
        <v>373</v>
      </c>
      <c r="F537" s="13">
        <v>0</v>
      </c>
      <c r="G537" s="153">
        <v>3</v>
      </c>
      <c r="H537" s="16">
        <f t="shared" si="8"/>
        <v>3</v>
      </c>
      <c r="I537" s="13">
        <v>3</v>
      </c>
      <c r="J537" s="160"/>
    </row>
    <row r="538" spans="1:10">
      <c r="A538" s="13" t="s">
        <v>4</v>
      </c>
      <c r="B538" s="13" t="s">
        <v>63</v>
      </c>
      <c r="C538" s="13" t="str">
        <f>VLOOKUP([1]Competence!$B20,[1]Competence!$B$12:$B$100,1,FALSE)</f>
        <v>Service level management</v>
      </c>
      <c r="D538" s="13" t="str" cm="1">
        <f t="array" ref="D538">_xlfn.XLOOKUP(B538,[1]Baseline!$D$3:$AZ$3,_xlfn.XLOOKUP(C538,[1]Baseline!$B$4:$B$91,[1]Baseline!$D$4:$AZ$91))</f>
        <v>Expert</v>
      </c>
      <c r="E538" s="13" t="s">
        <v>373</v>
      </c>
      <c r="F538" s="13">
        <v>0</v>
      </c>
      <c r="G538" s="153">
        <v>3</v>
      </c>
      <c r="H538" s="16">
        <f t="shared" si="8"/>
        <v>3</v>
      </c>
      <c r="I538" s="13">
        <v>3</v>
      </c>
      <c r="J538" s="160"/>
    </row>
    <row r="539" spans="1:10">
      <c r="A539" s="13" t="s">
        <v>4</v>
      </c>
      <c r="B539" s="13" t="s">
        <v>63</v>
      </c>
      <c r="C539" s="13" t="str">
        <f>VLOOKUP([1]Competence!$B21,[1]Competence!$B$12:$B$100,1,FALSE)</f>
        <v>Availability Management</v>
      </c>
      <c r="D539" s="13" t="str" cm="1">
        <f t="array" ref="D539">_xlfn.XLOOKUP(B539,[1]Baseline!$D$3:$AZ$3,_xlfn.XLOOKUP(C539,[1]Baseline!$B$4:$B$91,[1]Baseline!$D$4:$AZ$91))</f>
        <v>Working</v>
      </c>
      <c r="E539" s="13" t="s">
        <v>373</v>
      </c>
      <c r="F539" s="13">
        <v>0</v>
      </c>
      <c r="G539" s="153">
        <v>2</v>
      </c>
      <c r="H539" s="16">
        <f t="shared" si="8"/>
        <v>2</v>
      </c>
      <c r="I539" s="13">
        <v>2</v>
      </c>
      <c r="J539" s="160"/>
    </row>
    <row r="540" spans="1:10">
      <c r="A540" s="13" t="s">
        <v>4</v>
      </c>
      <c r="B540" s="13" t="s">
        <v>63</v>
      </c>
      <c r="C540" s="13" t="str">
        <f>VLOOKUP([1]Competence!$B22,[1]Competence!$B$12:$B$100,1,FALSE)</f>
        <v>Capacity management</v>
      </c>
      <c r="D540" s="13" t="str" cm="1">
        <f t="array" ref="D540">_xlfn.XLOOKUP(B540,[1]Baseline!$D$3:$AZ$3,_xlfn.XLOOKUP(C540,[1]Baseline!$B$4:$B$91,[1]Baseline!$D$4:$AZ$91))</f>
        <v>No Knowledge</v>
      </c>
      <c r="E540" s="13" t="s">
        <v>373</v>
      </c>
      <c r="F540" s="13">
        <v>0</v>
      </c>
      <c r="G540" s="153">
        <v>1</v>
      </c>
      <c r="H540" s="16">
        <f t="shared" si="8"/>
        <v>1</v>
      </c>
      <c r="I540" s="13">
        <v>1</v>
      </c>
      <c r="J540" s="160"/>
    </row>
    <row r="541" spans="1:10">
      <c r="A541" s="13" t="s">
        <v>4</v>
      </c>
      <c r="B541" s="13" t="s">
        <v>63</v>
      </c>
      <c r="C541" s="13" t="str">
        <f>VLOOKUP([1]Competence!$B23,[1]Competence!$B$12:$B$100,1,FALSE)</f>
        <v>Configuration Management</v>
      </c>
      <c r="D541" s="13" t="str" cm="1">
        <f t="array" ref="D541">_xlfn.XLOOKUP(B541,[1]Baseline!$D$3:$AZ$3,_xlfn.XLOOKUP(C541,[1]Baseline!$B$4:$B$91,[1]Baseline!$D$4:$AZ$91))</f>
        <v>Awareness</v>
      </c>
      <c r="E541" s="13" t="s">
        <v>373</v>
      </c>
      <c r="F541" s="13">
        <v>0</v>
      </c>
      <c r="G541" s="153">
        <v>1</v>
      </c>
      <c r="H541" s="16">
        <f t="shared" si="8"/>
        <v>1</v>
      </c>
      <c r="I541" s="13">
        <v>1</v>
      </c>
      <c r="J541" s="160"/>
    </row>
    <row r="542" spans="1:10">
      <c r="A542" s="13" t="s">
        <v>4</v>
      </c>
      <c r="B542" s="13" t="s">
        <v>63</v>
      </c>
      <c r="C542" s="13" t="str">
        <f>VLOOKUP([1]Competence!$B24,[1]Competence!$B$12:$B$100,1,FALSE)</f>
        <v>Continuity Management</v>
      </c>
      <c r="D542" s="13" t="str" cm="1">
        <f t="array" ref="D542">_xlfn.XLOOKUP(B542,[1]Baseline!$D$3:$AZ$3,_xlfn.XLOOKUP(C542,[1]Baseline!$B$4:$B$91,[1]Baseline!$D$4:$AZ$91))</f>
        <v>Awareness</v>
      </c>
      <c r="E542" s="13" t="s">
        <v>373</v>
      </c>
      <c r="F542" s="13">
        <v>0</v>
      </c>
      <c r="G542" s="153">
        <v>1</v>
      </c>
      <c r="H542" s="16">
        <f t="shared" si="8"/>
        <v>1</v>
      </c>
      <c r="I542" s="13">
        <v>1</v>
      </c>
      <c r="J542" s="160"/>
    </row>
    <row r="543" spans="1:10">
      <c r="A543" s="13" t="s">
        <v>4</v>
      </c>
      <c r="B543" s="13" t="s">
        <v>63</v>
      </c>
      <c r="C543" s="13" t="str">
        <f>VLOOKUP([1]Competence!$B25,[1]Competence!$B$12:$B$100,1,FALSE)</f>
        <v>Demand Management</v>
      </c>
      <c r="D543" s="13" t="str" cm="1">
        <f t="array" ref="D543">_xlfn.XLOOKUP(B543,[1]Baseline!$D$3:$AZ$3,_xlfn.XLOOKUP(C543,[1]Baseline!$B$4:$B$91,[1]Baseline!$D$4:$AZ$91))</f>
        <v>Awareness</v>
      </c>
      <c r="E543" s="13" t="s">
        <v>374</v>
      </c>
      <c r="F543" s="13">
        <v>0</v>
      </c>
      <c r="G543" s="153">
        <v>1</v>
      </c>
      <c r="H543" s="16">
        <f t="shared" si="8"/>
        <v>1</v>
      </c>
      <c r="I543" s="13">
        <v>1</v>
      </c>
      <c r="J543" s="160"/>
    </row>
    <row r="544" spans="1:10">
      <c r="A544" s="13" t="s">
        <v>4</v>
      </c>
      <c r="B544" s="13" t="s">
        <v>63</v>
      </c>
      <c r="C544" s="13" t="str">
        <f>VLOOKUP([1]Competence!$B26,[1]Competence!$B$12:$B$100,1,FALSE)</f>
        <v>Knowledge management</v>
      </c>
      <c r="D544" s="13" t="str" cm="1">
        <f t="array" ref="D544">_xlfn.XLOOKUP(B544,[1]Baseline!$D$3:$AZ$3,_xlfn.XLOOKUP(C544,[1]Baseline!$B$4:$B$91,[1]Baseline!$D$4:$AZ$91))</f>
        <v>Working</v>
      </c>
      <c r="E544" s="13" t="s">
        <v>376</v>
      </c>
      <c r="F544" s="13">
        <v>2</v>
      </c>
      <c r="G544" s="153">
        <v>2</v>
      </c>
      <c r="H544" s="16">
        <f t="shared" si="8"/>
        <v>0</v>
      </c>
      <c r="I544" s="13">
        <v>2</v>
      </c>
      <c r="J544" s="160"/>
    </row>
    <row r="545" spans="1:10">
      <c r="A545" s="13" t="s">
        <v>4</v>
      </c>
      <c r="B545" s="13" t="s">
        <v>63</v>
      </c>
      <c r="C545" s="13" t="str">
        <f>VLOOKUP([1]Competence!$B27,[1]Competence!$B$12:$B$100,1,FALSE)</f>
        <v>Methods and tools</v>
      </c>
      <c r="D545" s="13" t="str" cm="1">
        <f t="array" ref="D545">_xlfn.XLOOKUP(B545,[1]Baseline!$D$3:$AZ$3,_xlfn.XLOOKUP(C545,[1]Baseline!$B$4:$B$91,[1]Baseline!$D$4:$AZ$91))</f>
        <v>Awareness</v>
      </c>
      <c r="E545" s="13" t="s">
        <v>378</v>
      </c>
      <c r="F545" s="13">
        <v>1</v>
      </c>
      <c r="G545" s="153">
        <v>1</v>
      </c>
      <c r="H545" s="16">
        <f t="shared" si="8"/>
        <v>0</v>
      </c>
      <c r="I545" s="13">
        <v>1</v>
      </c>
      <c r="J545" s="160"/>
    </row>
    <row r="546" spans="1:10">
      <c r="A546" s="13" t="s">
        <v>4</v>
      </c>
      <c r="B546" s="13" t="s">
        <v>63</v>
      </c>
      <c r="C546" s="13" t="str">
        <f>VLOOKUP([1]Competence!$B28,[1]Competence!$B$12:$B$100,1,FALSE)</f>
        <v>Release and deployment</v>
      </c>
      <c r="D546" s="13" t="str" cm="1">
        <f t="array" ref="D546">_xlfn.XLOOKUP(B546,[1]Baseline!$D$3:$AZ$3,_xlfn.XLOOKUP(C546,[1]Baseline!$B$4:$B$91,[1]Baseline!$D$4:$AZ$91))</f>
        <v>Awareness</v>
      </c>
      <c r="E546" s="13" t="s">
        <v>374</v>
      </c>
      <c r="F546" s="13">
        <v>1</v>
      </c>
      <c r="G546" s="153">
        <v>1</v>
      </c>
      <c r="H546" s="16">
        <f t="shared" si="8"/>
        <v>0</v>
      </c>
      <c r="I546" s="13">
        <v>1</v>
      </c>
      <c r="J546" s="160"/>
    </row>
    <row r="547" spans="1:10">
      <c r="A547" s="13" t="s">
        <v>4</v>
      </c>
      <c r="B547" s="13" t="s">
        <v>63</v>
      </c>
      <c r="C547" s="13" t="str">
        <f>VLOOKUP([1]Competence!$B29,[1]Competence!$B$12:$B$100,1,FALSE)</f>
        <v>Service acceptance</v>
      </c>
      <c r="D547" s="13" t="str" cm="1">
        <f t="array" ref="D547">_xlfn.XLOOKUP(B547,[1]Baseline!$D$3:$AZ$3,_xlfn.XLOOKUP(C547,[1]Baseline!$B$4:$B$91,[1]Baseline!$D$4:$AZ$91))</f>
        <v>Practitioner</v>
      </c>
      <c r="E547" s="13" t="s">
        <v>374</v>
      </c>
      <c r="F547" s="13">
        <v>1</v>
      </c>
      <c r="G547" s="153">
        <v>2</v>
      </c>
      <c r="H547" s="16">
        <f t="shared" si="8"/>
        <v>1</v>
      </c>
      <c r="I547" s="13">
        <v>2</v>
      </c>
      <c r="J547" s="160"/>
    </row>
    <row r="548" spans="1:10">
      <c r="A548" s="13" t="s">
        <v>4</v>
      </c>
      <c r="B548" s="13" t="s">
        <v>63</v>
      </c>
      <c r="C548" s="13" t="str">
        <f>VLOOKUP([1]Competence!$B30,[1]Competence!$B$12:$B$100,1,FALSE)</f>
        <v>Stakeholder relationship management</v>
      </c>
      <c r="D548" s="13" t="str" cm="1">
        <f t="array" ref="D548">_xlfn.XLOOKUP(B548,[1]Baseline!$D$3:$AZ$3,_xlfn.XLOOKUP(C548,[1]Baseline!$B$4:$B$91,[1]Baseline!$D$4:$AZ$91))</f>
        <v>Practitioner</v>
      </c>
      <c r="E548" s="13" t="s">
        <v>49</v>
      </c>
      <c r="F548" s="13">
        <v>0</v>
      </c>
      <c r="G548" s="153">
        <v>3</v>
      </c>
      <c r="H548" s="16">
        <f t="shared" si="8"/>
        <v>3</v>
      </c>
      <c r="I548" s="13">
        <v>3</v>
      </c>
      <c r="J548" s="160"/>
    </row>
    <row r="549" spans="1:10">
      <c r="A549" s="13" t="s">
        <v>4</v>
      </c>
      <c r="B549" s="13" t="s">
        <v>63</v>
      </c>
      <c r="C549" s="13" t="str">
        <f>VLOOKUP([1]Competence!$B31,[1]Competence!$B$12:$B$100,1,FALSE)</f>
        <v>Storage management</v>
      </c>
      <c r="D549" s="13" t="str" cm="1">
        <f t="array" ref="D549">_xlfn.XLOOKUP(B549,[1]Baseline!$D$3:$AZ$3,_xlfn.XLOOKUP(C549,[1]Baseline!$B$4:$B$91,[1]Baseline!$D$4:$AZ$91))</f>
        <v>Working</v>
      </c>
      <c r="E549" s="13" t="s">
        <v>376</v>
      </c>
      <c r="F549" s="13">
        <v>3</v>
      </c>
      <c r="G549" s="153">
        <v>3</v>
      </c>
      <c r="H549" s="16">
        <f t="shared" si="8"/>
        <v>0</v>
      </c>
      <c r="I549" s="13">
        <v>3</v>
      </c>
      <c r="J549" s="160"/>
    </row>
    <row r="550" spans="1:10">
      <c r="A550" s="13" t="s">
        <v>4</v>
      </c>
      <c r="B550" s="13" t="s">
        <v>63</v>
      </c>
      <c r="C550" s="13" t="str">
        <f>VLOOKUP([1]Competence!$B32,[1]Competence!$B$12:$B$100,1,FALSE)</f>
        <v>Digital Forensics</v>
      </c>
      <c r="D550" s="13" t="str" cm="1">
        <f t="array" ref="D550">_xlfn.XLOOKUP(B550,[1]Baseline!$D$3:$AZ$3,_xlfn.XLOOKUP(C550,[1]Baseline!$B$4:$B$91,[1]Baseline!$D$4:$AZ$91))</f>
        <v>No Knowledge</v>
      </c>
      <c r="E550" s="13" t="s">
        <v>375</v>
      </c>
      <c r="F550" s="13">
        <v>0</v>
      </c>
      <c r="G550" s="153">
        <v>1</v>
      </c>
      <c r="H550" s="16">
        <f t="shared" si="8"/>
        <v>1</v>
      </c>
      <c r="I550" s="13">
        <v>1</v>
      </c>
      <c r="J550" s="160"/>
    </row>
    <row r="551" spans="1:10">
      <c r="A551" s="13" t="s">
        <v>4</v>
      </c>
      <c r="B551" s="13" t="s">
        <v>63</v>
      </c>
      <c r="C551" s="13" t="str">
        <f>VLOOKUP([1]Competence!$B33,[1]Competence!$B$12:$B$100,1,FALSE)</f>
        <v>Penetration testing</v>
      </c>
      <c r="D551" s="13" t="str" cm="1">
        <f t="array" ref="D551">_xlfn.XLOOKUP(B551,[1]Baseline!$D$3:$AZ$3,_xlfn.XLOOKUP(C551,[1]Baseline!$B$4:$B$91,[1]Baseline!$D$4:$AZ$91))</f>
        <v>No Knowledge</v>
      </c>
      <c r="E551" s="13" t="s">
        <v>375</v>
      </c>
      <c r="F551" s="13">
        <v>0</v>
      </c>
      <c r="G551" s="153">
        <v>2</v>
      </c>
      <c r="H551" s="16">
        <f t="shared" si="8"/>
        <v>2</v>
      </c>
      <c r="I551" s="13">
        <v>2</v>
      </c>
      <c r="J551" s="160"/>
    </row>
    <row r="552" spans="1:10">
      <c r="A552" s="13" t="s">
        <v>4</v>
      </c>
      <c r="B552" s="13" t="s">
        <v>63</v>
      </c>
      <c r="C552" s="13" t="str">
        <f>VLOOKUP([1]Competence!$B34,[1]Competence!$B$12:$B$100,1,FALSE)</f>
        <v>Security Operations</v>
      </c>
      <c r="D552" s="13" t="str" cm="1">
        <f t="array" ref="D552">_xlfn.XLOOKUP(B552,[1]Baseline!$D$3:$AZ$3,_xlfn.XLOOKUP(C552,[1]Baseline!$B$4:$B$91,[1]Baseline!$D$4:$AZ$91))</f>
        <v>Practitioner</v>
      </c>
      <c r="E552" s="13" t="s">
        <v>375</v>
      </c>
      <c r="F552" s="13">
        <v>0</v>
      </c>
      <c r="G552" s="153">
        <v>3</v>
      </c>
      <c r="H552" s="16">
        <f t="shared" si="8"/>
        <v>3</v>
      </c>
      <c r="I552" s="13">
        <v>3</v>
      </c>
      <c r="J552" s="160"/>
    </row>
    <row r="553" spans="1:10">
      <c r="A553" s="13" t="s">
        <v>4</v>
      </c>
      <c r="B553" s="13" t="s">
        <v>63</v>
      </c>
      <c r="C553" s="13" t="str">
        <f>VLOOKUP([1]Competence!$B35,[1]Competence!$B$12:$B$100,1,FALSE)</f>
        <v>Threat Intelligence</v>
      </c>
      <c r="D553" s="13" t="str" cm="1">
        <f t="array" ref="D553">_xlfn.XLOOKUP(B553,[1]Baseline!$D$3:$AZ$3,_xlfn.XLOOKUP(C553,[1]Baseline!$B$4:$B$91,[1]Baseline!$D$4:$AZ$91))</f>
        <v>No Knowledge</v>
      </c>
      <c r="E553" s="13" t="s">
        <v>375</v>
      </c>
      <c r="F553" s="13">
        <v>0</v>
      </c>
      <c r="G553" s="153">
        <v>1</v>
      </c>
      <c r="H553" s="16">
        <f t="shared" si="8"/>
        <v>1</v>
      </c>
      <c r="I553" s="13">
        <v>1</v>
      </c>
      <c r="J553" s="160"/>
    </row>
    <row r="554" spans="1:10">
      <c r="A554" s="13" t="s">
        <v>4</v>
      </c>
      <c r="B554" s="13" t="s">
        <v>63</v>
      </c>
      <c r="C554" s="13" t="str">
        <f>VLOOKUP([1]Competence!$B36,[1]Competence!$B$12:$B$100,1,FALSE)</f>
        <v>Vulnerability assessment</v>
      </c>
      <c r="D554" s="13" t="str" cm="1">
        <f t="array" ref="D554">_xlfn.XLOOKUP(B554,[1]Baseline!$D$3:$AZ$3,_xlfn.XLOOKUP(C554,[1]Baseline!$B$4:$B$91,[1]Baseline!$D$4:$AZ$91))</f>
        <v>Working</v>
      </c>
      <c r="E554" s="13" t="s">
        <v>375</v>
      </c>
      <c r="F554" s="13">
        <v>0</v>
      </c>
      <c r="G554" s="153">
        <v>2</v>
      </c>
      <c r="H554" s="16">
        <f t="shared" si="8"/>
        <v>2</v>
      </c>
      <c r="I554" s="13">
        <v>2</v>
      </c>
      <c r="J554" s="160"/>
    </row>
    <row r="555" spans="1:10">
      <c r="A555" s="13" t="s">
        <v>4</v>
      </c>
      <c r="B555" s="13" t="s">
        <v>63</v>
      </c>
      <c r="C555" s="13" t="str">
        <f>VLOOKUP([1]Competence!$B37,[1]Competence!$B$12:$B$100,1,FALSE)</f>
        <v>Vulnerability Research</v>
      </c>
      <c r="D555" s="13" t="str" cm="1">
        <f t="array" ref="D555">_xlfn.XLOOKUP(B555,[1]Baseline!$D$3:$AZ$3,_xlfn.XLOOKUP(C555,[1]Baseline!$B$4:$B$91,[1]Baseline!$D$4:$AZ$91))</f>
        <v>No Knowledge</v>
      </c>
      <c r="E555" s="13" t="s">
        <v>375</v>
      </c>
      <c r="F555" s="13">
        <v>0</v>
      </c>
      <c r="G555" s="153">
        <v>1</v>
      </c>
      <c r="H555" s="16">
        <f t="shared" si="8"/>
        <v>1</v>
      </c>
      <c r="I555" s="13">
        <v>1</v>
      </c>
      <c r="J555" s="160"/>
    </row>
    <row r="556" spans="1:10">
      <c r="A556" s="13" t="s">
        <v>4</v>
      </c>
      <c r="B556" s="13" t="s">
        <v>63</v>
      </c>
      <c r="C556" s="13" t="str">
        <f>VLOOKUP([1]Competence!$B38,[1]Competence!$B$12:$B$100,1,FALSE)</f>
        <v>Competency assessment</v>
      </c>
      <c r="D556" s="13" t="str" cm="1">
        <f t="array" ref="D556">_xlfn.XLOOKUP(B556,[1]Baseline!$D$3:$AZ$3,_xlfn.XLOOKUP(C556,[1]Baseline!$B$4:$B$91,[1]Baseline!$D$4:$AZ$91))</f>
        <v>Working</v>
      </c>
      <c r="E556" s="13" t="s">
        <v>375</v>
      </c>
      <c r="F556" s="13">
        <v>0</v>
      </c>
      <c r="G556" s="153">
        <v>1</v>
      </c>
      <c r="H556" s="16">
        <f t="shared" si="8"/>
        <v>1</v>
      </c>
      <c r="I556" s="13">
        <v>1</v>
      </c>
      <c r="J556" s="160"/>
    </row>
    <row r="557" spans="1:10">
      <c r="A557" s="13" t="s">
        <v>4</v>
      </c>
      <c r="B557" s="13" t="s">
        <v>63</v>
      </c>
      <c r="C557" s="13" t="str">
        <f>VLOOKUP([1]Competence!$B39,[1]Competence!$B$12:$B$100,1,FALSE)</f>
        <v>Financial management</v>
      </c>
      <c r="D557" s="13" t="str" cm="1">
        <f t="array" ref="D557">_xlfn.XLOOKUP(B557,[1]Baseline!$D$3:$AZ$3,_xlfn.XLOOKUP(C557,[1]Baseline!$B$4:$B$91,[1]Baseline!$D$4:$AZ$91))</f>
        <v>Working</v>
      </c>
      <c r="E557" s="13" t="s">
        <v>374</v>
      </c>
      <c r="F557" s="13">
        <v>1</v>
      </c>
      <c r="G557" s="153">
        <v>2</v>
      </c>
      <c r="H557" s="16">
        <f t="shared" si="8"/>
        <v>1</v>
      </c>
      <c r="I557" s="13">
        <v>2</v>
      </c>
      <c r="J557" s="160"/>
    </row>
    <row r="558" spans="1:10">
      <c r="A558" s="13" t="s">
        <v>4</v>
      </c>
      <c r="B558" s="13" t="s">
        <v>63</v>
      </c>
      <c r="C558" s="13" t="str">
        <f>VLOOKUP([1]Competence!$B40,[1]Competence!$B$12:$B$100,1,FALSE)</f>
        <v>Organisation design and implementation</v>
      </c>
      <c r="D558" s="13" t="str" cm="1">
        <f t="array" ref="D558">_xlfn.XLOOKUP(B558,[1]Baseline!$D$3:$AZ$3,_xlfn.XLOOKUP(C558,[1]Baseline!$B$4:$B$91,[1]Baseline!$D$4:$AZ$91))</f>
        <v>No Knowledge</v>
      </c>
      <c r="E558" s="13" t="s">
        <v>377</v>
      </c>
      <c r="F558" s="13">
        <v>0</v>
      </c>
      <c r="G558" s="153">
        <v>0</v>
      </c>
      <c r="H558" s="16">
        <f t="shared" si="8"/>
        <v>0</v>
      </c>
      <c r="I558" s="13">
        <v>0</v>
      </c>
      <c r="J558" s="160"/>
    </row>
    <row r="559" spans="1:10">
      <c r="A559" s="13" t="s">
        <v>4</v>
      </c>
      <c r="B559" s="13" t="s">
        <v>63</v>
      </c>
      <c r="C559" s="13" t="str">
        <f>VLOOKUP([1]Competence!$B41,[1]Competence!$B$12:$B$100,1,FALSE)</f>
        <v>Organisational capability development</v>
      </c>
      <c r="D559" s="13" t="str" cm="1">
        <f t="array" ref="D559">_xlfn.XLOOKUP(B559,[1]Baseline!$D$3:$AZ$3,_xlfn.XLOOKUP(C559,[1]Baseline!$B$4:$B$91,[1]Baseline!$D$4:$AZ$91))</f>
        <v>No Knowledge</v>
      </c>
      <c r="E559" s="13" t="s">
        <v>375</v>
      </c>
      <c r="F559" s="13">
        <v>0</v>
      </c>
      <c r="G559" s="153">
        <v>1</v>
      </c>
      <c r="H559" s="16">
        <f t="shared" si="8"/>
        <v>1</v>
      </c>
      <c r="I559" s="13">
        <v>1</v>
      </c>
      <c r="J559" s="160"/>
    </row>
    <row r="560" spans="1:10">
      <c r="A560" s="13" t="s">
        <v>4</v>
      </c>
      <c r="B560" s="13" t="s">
        <v>63</v>
      </c>
      <c r="C560" s="13" t="str">
        <f>VLOOKUP([1]Competence!$B42,[1]Competence!$B$12:$B$100,1,FALSE)</f>
        <v>Organisational change management</v>
      </c>
      <c r="D560" s="13" t="str" cm="1">
        <f t="array" ref="D560">_xlfn.XLOOKUP(B560,[1]Baseline!$D$3:$AZ$3,_xlfn.XLOOKUP(C560,[1]Baseline!$B$4:$B$91,[1]Baseline!$D$4:$AZ$91))</f>
        <v>Awareness</v>
      </c>
      <c r="E560" s="13" t="s">
        <v>49</v>
      </c>
      <c r="F560" s="13">
        <v>0</v>
      </c>
      <c r="G560" s="153">
        <v>0</v>
      </c>
      <c r="H560" s="16">
        <f t="shared" si="8"/>
        <v>0</v>
      </c>
      <c r="I560" s="13">
        <v>0</v>
      </c>
      <c r="J560" s="160"/>
    </row>
    <row r="561" spans="1:10">
      <c r="A561" s="13" t="s">
        <v>4</v>
      </c>
      <c r="B561" s="13" t="s">
        <v>63</v>
      </c>
      <c r="C561" s="13" t="str">
        <f>VLOOKUP([1]Competence!$B43,[1]Competence!$B$12:$B$100,1,FALSE)</f>
        <v>Performance Management</v>
      </c>
      <c r="D561" s="13" t="str" cm="1">
        <f t="array" ref="D561">_xlfn.XLOOKUP(B561,[1]Baseline!$D$3:$AZ$3,_xlfn.XLOOKUP(C561,[1]Baseline!$B$4:$B$91,[1]Baseline!$D$4:$AZ$91))</f>
        <v>Working</v>
      </c>
      <c r="E561" s="13" t="s">
        <v>378</v>
      </c>
      <c r="F561" s="13">
        <v>1</v>
      </c>
      <c r="G561" s="153">
        <v>1</v>
      </c>
      <c r="H561" s="16">
        <f t="shared" si="8"/>
        <v>0</v>
      </c>
      <c r="I561" s="13">
        <v>1</v>
      </c>
      <c r="J561" s="160"/>
    </row>
    <row r="562" spans="1:10">
      <c r="A562" s="13" t="s">
        <v>4</v>
      </c>
      <c r="B562" s="13" t="s">
        <v>63</v>
      </c>
      <c r="C562" s="13" t="str">
        <f>VLOOKUP([1]Competence!$B44,[1]Competence!$B$12:$B$100,1,FALSE)</f>
        <v>Professional Development</v>
      </c>
      <c r="D562" s="13" t="str" cm="1">
        <f t="array" ref="D562">_xlfn.XLOOKUP(B562,[1]Baseline!$D$3:$AZ$3,_xlfn.XLOOKUP(C562,[1]Baseline!$B$4:$B$91,[1]Baseline!$D$4:$AZ$91))</f>
        <v>Working</v>
      </c>
      <c r="E562" s="13" t="s">
        <v>49</v>
      </c>
      <c r="F562" s="13">
        <v>1</v>
      </c>
      <c r="G562" s="153">
        <v>2</v>
      </c>
      <c r="H562" s="16">
        <f t="shared" si="8"/>
        <v>1</v>
      </c>
      <c r="I562" s="13">
        <v>2</v>
      </c>
      <c r="J562" s="160"/>
    </row>
    <row r="563" spans="1:10">
      <c r="A563" s="13" t="s">
        <v>4</v>
      </c>
      <c r="B563" s="13" t="s">
        <v>63</v>
      </c>
      <c r="C563" s="13" t="str">
        <f>VLOOKUP([1]Competence!$B45,[1]Competence!$B$12:$B$100,1,FALSE)</f>
        <v>Strategic Planning</v>
      </c>
      <c r="D563" s="13" t="str" cm="1">
        <f t="array" ref="D563">_xlfn.XLOOKUP(B563,[1]Baseline!$D$3:$AZ$3,_xlfn.XLOOKUP(C563,[1]Baseline!$B$4:$B$91,[1]Baseline!$D$4:$AZ$91))</f>
        <v>Awareness</v>
      </c>
      <c r="E563" s="13" t="s">
        <v>375</v>
      </c>
      <c r="F563" s="13">
        <v>0</v>
      </c>
      <c r="G563" s="153">
        <v>1</v>
      </c>
      <c r="H563" s="16">
        <f t="shared" si="8"/>
        <v>1</v>
      </c>
      <c r="I563" s="13">
        <v>1</v>
      </c>
      <c r="J563" s="160"/>
    </row>
    <row r="564" spans="1:10">
      <c r="A564" s="13" t="s">
        <v>4</v>
      </c>
      <c r="B564" s="13" t="s">
        <v>63</v>
      </c>
      <c r="C564" s="13" t="str">
        <f>VLOOKUP([1]Competence!$B46,[1]Competence!$B$12:$B$100,1,FALSE)</f>
        <v>Workforce Planning</v>
      </c>
      <c r="D564" s="13" t="str" cm="1">
        <f t="array" ref="D564">_xlfn.XLOOKUP(B564,[1]Baseline!$D$3:$AZ$3,_xlfn.XLOOKUP(C564,[1]Baseline!$B$4:$B$91,[1]Baseline!$D$4:$AZ$91))</f>
        <v>Working</v>
      </c>
      <c r="E564" s="13" t="s">
        <v>375</v>
      </c>
      <c r="F564" s="13">
        <v>1</v>
      </c>
      <c r="G564" s="153">
        <v>1</v>
      </c>
      <c r="H564" s="16">
        <f t="shared" si="8"/>
        <v>0</v>
      </c>
      <c r="I564" s="13">
        <v>1</v>
      </c>
      <c r="J564" s="160"/>
    </row>
    <row r="565" spans="1:10">
      <c r="A565" s="13" t="s">
        <v>4</v>
      </c>
      <c r="B565" s="13" t="s">
        <v>63</v>
      </c>
      <c r="C565" s="13" t="str">
        <f>VLOOKUP([1]Competence!$B47,[1]Competence!$B$12:$B$100,1,FALSE)</f>
        <v>Audit</v>
      </c>
      <c r="D565" s="13" t="str" cm="1">
        <f t="array" ref="D565">_xlfn.XLOOKUP(B565,[1]Baseline!$D$3:$AZ$3,_xlfn.XLOOKUP(C565,[1]Baseline!$B$4:$B$91,[1]Baseline!$D$4:$AZ$91))</f>
        <v>Working</v>
      </c>
      <c r="E565" s="13" t="s">
        <v>376</v>
      </c>
      <c r="F565" s="13">
        <v>2</v>
      </c>
      <c r="G565" s="153">
        <v>1</v>
      </c>
      <c r="H565" s="16">
        <f t="shared" si="8"/>
        <v>-1</v>
      </c>
      <c r="I565" s="13">
        <v>1</v>
      </c>
      <c r="J565" s="160"/>
    </row>
    <row r="566" spans="1:10">
      <c r="A566" s="13" t="s">
        <v>4</v>
      </c>
      <c r="B566" s="13" t="s">
        <v>63</v>
      </c>
      <c r="C566" s="13" t="str">
        <f>VLOOKUP([1]Competence!$B48,[1]Competence!$B$12:$B$100,1,FALSE)</f>
        <v>Contract management</v>
      </c>
      <c r="D566" s="13" t="str" cm="1">
        <f t="array" ref="D566">_xlfn.XLOOKUP(B566,[1]Baseline!$D$3:$AZ$3,_xlfn.XLOOKUP(C566,[1]Baseline!$B$4:$B$91,[1]Baseline!$D$4:$AZ$91))</f>
        <v>No Knowledge</v>
      </c>
      <c r="E566" s="13" t="s">
        <v>375</v>
      </c>
      <c r="F566" s="13">
        <v>2</v>
      </c>
      <c r="G566" s="153">
        <v>0</v>
      </c>
      <c r="H566" s="16">
        <f t="shared" si="8"/>
        <v>-2</v>
      </c>
      <c r="I566" s="13">
        <v>0</v>
      </c>
      <c r="J566" s="160"/>
    </row>
    <row r="567" spans="1:10">
      <c r="A567" s="13" t="s">
        <v>4</v>
      </c>
      <c r="B567" s="13" t="s">
        <v>63</v>
      </c>
      <c r="C567" s="13" t="str">
        <f>VLOOKUP([1]Competence!$B49,[1]Competence!$B$12:$B$100,1,FALSE)</f>
        <v>Feasibility assessment</v>
      </c>
      <c r="D567" s="13" t="str" cm="1">
        <f t="array" ref="D567">_xlfn.XLOOKUP(B567,[1]Baseline!$D$3:$AZ$3,_xlfn.XLOOKUP(C567,[1]Baseline!$B$4:$B$91,[1]Baseline!$D$4:$AZ$91))</f>
        <v>No Knowledge</v>
      </c>
      <c r="E567" s="13" t="s">
        <v>375</v>
      </c>
      <c r="F567" s="13">
        <v>1</v>
      </c>
      <c r="G567" s="153">
        <v>0</v>
      </c>
      <c r="H567" s="16">
        <f t="shared" si="8"/>
        <v>-1</v>
      </c>
      <c r="I567" s="13">
        <v>0</v>
      </c>
      <c r="J567" s="160"/>
    </row>
    <row r="568" spans="1:10">
      <c r="A568" s="13" t="s">
        <v>4</v>
      </c>
      <c r="B568" s="13" t="s">
        <v>63</v>
      </c>
      <c r="C568" s="13" t="str">
        <f>VLOOKUP([1]Competence!$B50,[1]Competence!$B$12:$B$100,1,FALSE)</f>
        <v>Governance</v>
      </c>
      <c r="D568" s="13" t="str" cm="1">
        <f t="array" ref="D568">_xlfn.XLOOKUP(B568,[1]Baseline!$D$3:$AZ$3,_xlfn.XLOOKUP(C568,[1]Baseline!$B$4:$B$91,[1]Baseline!$D$4:$AZ$91))</f>
        <v>Working</v>
      </c>
      <c r="E568" s="13" t="s">
        <v>376</v>
      </c>
      <c r="F568" s="13">
        <v>2</v>
      </c>
      <c r="G568" s="153">
        <v>1</v>
      </c>
      <c r="H568" s="16">
        <f t="shared" si="8"/>
        <v>-1</v>
      </c>
      <c r="I568" s="13">
        <v>1</v>
      </c>
      <c r="J568" s="160"/>
    </row>
    <row r="569" spans="1:10">
      <c r="A569" s="13" t="s">
        <v>4</v>
      </c>
      <c r="B569" s="13" t="s">
        <v>63</v>
      </c>
      <c r="C569" s="13" t="str">
        <f>VLOOKUP([1]Competence!$B51,[1]Competence!$B$12:$B$100,1,FALSE)</f>
        <v>Risk management</v>
      </c>
      <c r="D569" s="13" t="str" cm="1">
        <f t="array" ref="D569">_xlfn.XLOOKUP(B569,[1]Baseline!$D$3:$AZ$3,_xlfn.XLOOKUP(C569,[1]Baseline!$B$4:$B$91,[1]Baseline!$D$4:$AZ$91))</f>
        <v>No Knowledge</v>
      </c>
      <c r="E569" s="13" t="s">
        <v>375</v>
      </c>
      <c r="F569" s="13">
        <v>1</v>
      </c>
      <c r="G569" s="153">
        <v>0</v>
      </c>
      <c r="H569" s="16">
        <f t="shared" si="8"/>
        <v>-1</v>
      </c>
      <c r="I569" s="13">
        <v>0</v>
      </c>
      <c r="J569" s="160"/>
    </row>
    <row r="570" spans="1:10">
      <c r="A570" s="13" t="s">
        <v>4</v>
      </c>
      <c r="B570" s="13" t="s">
        <v>63</v>
      </c>
      <c r="C570" s="13" t="str">
        <f>VLOOKUP([1]Competence!$B52,[1]Competence!$B$12:$B$100,1,FALSE)</f>
        <v>Sourcing</v>
      </c>
      <c r="D570" s="13" t="str" cm="1">
        <f t="array" ref="D570">_xlfn.XLOOKUP(B570,[1]Baseline!$D$3:$AZ$3,_xlfn.XLOOKUP(C570,[1]Baseline!$B$4:$B$91,[1]Baseline!$D$4:$AZ$91))</f>
        <v>Awareness</v>
      </c>
      <c r="E570" s="13" t="s">
        <v>375</v>
      </c>
      <c r="F570" s="13">
        <v>0</v>
      </c>
      <c r="G570" s="153">
        <v>2</v>
      </c>
      <c r="H570" s="16">
        <f t="shared" si="8"/>
        <v>2</v>
      </c>
      <c r="I570" s="13">
        <v>2</v>
      </c>
      <c r="J570" s="160"/>
    </row>
    <row r="571" spans="1:10">
      <c r="A571" s="13" t="s">
        <v>4</v>
      </c>
      <c r="B571" s="13" t="s">
        <v>63</v>
      </c>
      <c r="C571" s="13" t="str">
        <f>VLOOKUP([1]Competence!$B53,[1]Competence!$B$12:$B$100,1,FALSE)</f>
        <v>Supplier management</v>
      </c>
      <c r="D571" s="13" t="str" cm="1">
        <f t="array" ref="D571">_xlfn.XLOOKUP(B571,[1]Baseline!$D$3:$AZ$3,_xlfn.XLOOKUP(C571,[1]Baseline!$B$4:$B$91,[1]Baseline!$D$4:$AZ$91))</f>
        <v>Working</v>
      </c>
      <c r="E571" s="13" t="s">
        <v>374</v>
      </c>
      <c r="F571" s="13">
        <v>2</v>
      </c>
      <c r="G571" s="153">
        <v>2</v>
      </c>
      <c r="H571" s="16">
        <f t="shared" si="8"/>
        <v>0</v>
      </c>
      <c r="I571" s="13">
        <v>2</v>
      </c>
      <c r="J571" s="160"/>
    </row>
    <row r="572" spans="1:10">
      <c r="A572" s="13" t="s">
        <v>4</v>
      </c>
      <c r="B572" s="13" t="s">
        <v>63</v>
      </c>
      <c r="C572" s="13" t="str">
        <f>VLOOKUP([1]Competence!$B54,[1]Competence!$B$12:$B$100,1,FALSE)</f>
        <v>Sustainability</v>
      </c>
      <c r="D572" s="13" t="str" cm="1">
        <f t="array" ref="D572">_xlfn.XLOOKUP(B572,[1]Baseline!$D$3:$AZ$3,_xlfn.XLOOKUP(C572,[1]Baseline!$B$4:$B$91,[1]Baseline!$D$4:$AZ$91))</f>
        <v>Awareness</v>
      </c>
      <c r="E572" s="13" t="s">
        <v>374</v>
      </c>
      <c r="F572" s="13">
        <v>1</v>
      </c>
      <c r="G572" s="153">
        <v>1</v>
      </c>
      <c r="H572" s="16">
        <f t="shared" si="8"/>
        <v>0</v>
      </c>
      <c r="I572" s="13">
        <v>1</v>
      </c>
      <c r="J572" s="160"/>
    </row>
    <row r="573" spans="1:10">
      <c r="A573" s="13" t="s">
        <v>4</v>
      </c>
      <c r="B573" s="13" t="s">
        <v>63</v>
      </c>
      <c r="C573" s="13" t="str">
        <f>VLOOKUP([1]Competence!$B55,[1]Competence!$B$12:$B$100,1,FALSE)</f>
        <v>Acceptance testing</v>
      </c>
      <c r="D573" s="13" t="str" cm="1">
        <f t="array" ref="D573">_xlfn.XLOOKUP(B573,[1]Baseline!$D$3:$AZ$3,_xlfn.XLOOKUP(C573,[1]Baseline!$B$4:$B$91,[1]Baseline!$D$4:$AZ$91))</f>
        <v>Awareness</v>
      </c>
      <c r="E573" s="13" t="s">
        <v>375</v>
      </c>
      <c r="F573" s="13">
        <v>0</v>
      </c>
      <c r="G573" s="153">
        <v>1</v>
      </c>
      <c r="H573" s="16">
        <f t="shared" si="8"/>
        <v>1</v>
      </c>
      <c r="I573" s="13">
        <v>1</v>
      </c>
      <c r="J573" s="160"/>
    </row>
    <row r="574" spans="1:10">
      <c r="A574" s="13" t="s">
        <v>4</v>
      </c>
      <c r="B574" s="13" t="s">
        <v>63</v>
      </c>
      <c r="C574" s="13" t="str">
        <f>VLOOKUP([1]Competence!$B56,[1]Competence!$B$12:$B$100,1,FALSE)</f>
        <v>Application support</v>
      </c>
      <c r="D574" s="13" t="str" cm="1">
        <f t="array" ref="D574">_xlfn.XLOOKUP(B574,[1]Baseline!$D$3:$AZ$3,_xlfn.XLOOKUP(C574,[1]Baseline!$B$4:$B$91,[1]Baseline!$D$4:$AZ$91))</f>
        <v>Working</v>
      </c>
      <c r="E574" s="13" t="s">
        <v>375</v>
      </c>
      <c r="F574" s="13">
        <v>0</v>
      </c>
      <c r="G574" s="153">
        <v>2</v>
      </c>
      <c r="H574" s="16">
        <f t="shared" si="8"/>
        <v>2</v>
      </c>
      <c r="I574" s="13">
        <v>2</v>
      </c>
      <c r="J574" s="160"/>
    </row>
    <row r="575" spans="1:10">
      <c r="A575" s="13" t="s">
        <v>4</v>
      </c>
      <c r="B575" s="13" t="s">
        <v>63</v>
      </c>
      <c r="C575" s="13" t="str">
        <f>VLOOKUP([1]Competence!$B57,[1]Competence!$B$12:$B$100,1,FALSE)</f>
        <v>Data Engineering</v>
      </c>
      <c r="D575" s="13" t="str" cm="1">
        <f t="array" ref="D575">_xlfn.XLOOKUP(B575,[1]Baseline!$D$3:$AZ$3,_xlfn.XLOOKUP(C575,[1]Baseline!$B$4:$B$91,[1]Baseline!$D$4:$AZ$91))</f>
        <v>No Knowledge</v>
      </c>
      <c r="E575" s="13" t="s">
        <v>375</v>
      </c>
      <c r="F575" s="13">
        <v>2</v>
      </c>
      <c r="G575" s="153">
        <v>2</v>
      </c>
      <c r="H575" s="16">
        <f t="shared" si="8"/>
        <v>0</v>
      </c>
      <c r="I575" s="13">
        <v>2</v>
      </c>
      <c r="J575" s="160"/>
    </row>
    <row r="576" spans="1:10">
      <c r="A576" s="13" t="s">
        <v>4</v>
      </c>
      <c r="B576" s="13" t="s">
        <v>63</v>
      </c>
      <c r="C576" s="13" t="str">
        <f>VLOOKUP([1]Competence!$B58,[1]Competence!$B$12:$B$100,1,FALSE)</f>
        <v>Data Management</v>
      </c>
      <c r="D576" s="13" t="str" cm="1">
        <f t="array" ref="D576">_xlfn.XLOOKUP(B576,[1]Baseline!$D$3:$AZ$3,_xlfn.XLOOKUP(C576,[1]Baseline!$B$4:$B$91,[1]Baseline!$D$4:$AZ$91))</f>
        <v>No Knowledge</v>
      </c>
      <c r="E576" s="13" t="s">
        <v>378</v>
      </c>
      <c r="F576" s="13">
        <v>0</v>
      </c>
      <c r="G576" s="153">
        <v>2</v>
      </c>
      <c r="H576" s="16">
        <f t="shared" si="8"/>
        <v>2</v>
      </c>
      <c r="I576" s="13">
        <v>2</v>
      </c>
      <c r="J576" s="160"/>
    </row>
    <row r="577" spans="1:10">
      <c r="A577" s="13" t="s">
        <v>4</v>
      </c>
      <c r="B577" s="13" t="s">
        <v>63</v>
      </c>
      <c r="C577" s="13" t="str">
        <f>VLOOKUP([1]Competence!$B59,[1]Competence!$B$12:$B$100,1,FALSE)</f>
        <v>Data Modelling and Design</v>
      </c>
      <c r="D577" s="13" t="str" cm="1">
        <f t="array" ref="D577">_xlfn.XLOOKUP(B577,[1]Baseline!$D$3:$AZ$3,_xlfn.XLOOKUP(C577,[1]Baseline!$B$4:$B$91,[1]Baseline!$D$4:$AZ$91))</f>
        <v>No Knowledge</v>
      </c>
      <c r="E577" s="13" t="s">
        <v>378</v>
      </c>
      <c r="F577" s="13">
        <v>0</v>
      </c>
      <c r="G577" s="153">
        <v>1</v>
      </c>
      <c r="H577" s="16">
        <f t="shared" si="8"/>
        <v>1</v>
      </c>
      <c r="I577" s="13">
        <v>1</v>
      </c>
      <c r="J577" s="160"/>
    </row>
    <row r="578" spans="1:10">
      <c r="A578" s="13" t="s">
        <v>4</v>
      </c>
      <c r="B578" s="13" t="s">
        <v>63</v>
      </c>
      <c r="C578" s="13" t="str">
        <f>VLOOKUP([1]Competence!$B60,[1]Competence!$B$12:$B$100,1,FALSE)</f>
        <v>Data science</v>
      </c>
      <c r="D578" s="13" t="str" cm="1">
        <f t="array" ref="D578">_xlfn.XLOOKUP(B578,[1]Baseline!$D$3:$AZ$3,_xlfn.XLOOKUP(C578,[1]Baseline!$B$4:$B$91,[1]Baseline!$D$4:$AZ$91))</f>
        <v>No Knowledge</v>
      </c>
      <c r="E578" s="13" t="s">
        <v>378</v>
      </c>
      <c r="F578" s="13">
        <v>0</v>
      </c>
      <c r="G578" s="153">
        <v>1</v>
      </c>
      <c r="H578" s="16">
        <f t="shared" ref="H578:H641" si="9">I578-F578</f>
        <v>1</v>
      </c>
      <c r="I578" s="13">
        <v>1</v>
      </c>
      <c r="J578" s="160"/>
    </row>
    <row r="579" spans="1:10">
      <c r="A579" s="13" t="s">
        <v>4</v>
      </c>
      <c r="B579" s="13" t="s">
        <v>63</v>
      </c>
      <c r="C579" s="13" t="str">
        <f>VLOOKUP([1]Competence!$B61,[1]Competence!$B$12:$B$100,1,FALSE)</f>
        <v>Data visualisation</v>
      </c>
      <c r="D579" s="13" t="str" cm="1">
        <f t="array" ref="D579">_xlfn.XLOOKUP(B579,[1]Baseline!$D$3:$AZ$3,_xlfn.XLOOKUP(C579,[1]Baseline!$B$4:$B$91,[1]Baseline!$D$4:$AZ$91))</f>
        <v>No Knowledge</v>
      </c>
      <c r="E579" s="13" t="s">
        <v>377</v>
      </c>
      <c r="F579" s="13">
        <v>0</v>
      </c>
      <c r="G579" s="153">
        <v>1</v>
      </c>
      <c r="H579" s="16">
        <f t="shared" si="9"/>
        <v>1</v>
      </c>
      <c r="I579" s="13">
        <v>1</v>
      </c>
      <c r="J579" s="160"/>
    </row>
    <row r="580" spans="1:10">
      <c r="A580" s="13" t="s">
        <v>4</v>
      </c>
      <c r="B580" s="13" t="s">
        <v>63</v>
      </c>
      <c r="C580" s="13" t="str">
        <f>VLOOKUP([1]Competence!$B62,[1]Competence!$B$12:$B$100,1,FALSE)</f>
        <v>Database Administration</v>
      </c>
      <c r="D580" s="13" t="str" cm="1">
        <f t="array" ref="D580">_xlfn.XLOOKUP(B580,[1]Baseline!$D$3:$AZ$3,_xlfn.XLOOKUP(C580,[1]Baseline!$B$4:$B$91,[1]Baseline!$D$4:$AZ$91))</f>
        <v>No Knowledge</v>
      </c>
      <c r="E580" s="13" t="s">
        <v>378</v>
      </c>
      <c r="F580" s="13">
        <v>0</v>
      </c>
      <c r="G580" s="153">
        <v>2</v>
      </c>
      <c r="H580" s="16">
        <f t="shared" si="9"/>
        <v>2</v>
      </c>
      <c r="I580" s="13">
        <v>2</v>
      </c>
      <c r="J580" s="160"/>
    </row>
    <row r="581" spans="1:10">
      <c r="A581" s="13" t="s">
        <v>4</v>
      </c>
      <c r="B581" s="13" t="s">
        <v>63</v>
      </c>
      <c r="C581" s="13" t="str">
        <f>VLOOKUP([1]Competence!$B63,[1]Competence!$B$12:$B$100,1,FALSE)</f>
        <v>Database Design</v>
      </c>
      <c r="D581" s="13" t="str" cm="1">
        <f t="array" ref="D581">_xlfn.XLOOKUP(B581,[1]Baseline!$D$3:$AZ$3,_xlfn.XLOOKUP(C581,[1]Baseline!$B$4:$B$91,[1]Baseline!$D$4:$AZ$91))</f>
        <v>No Knowledge</v>
      </c>
      <c r="E581" s="13" t="s">
        <v>376</v>
      </c>
      <c r="F581" s="13">
        <v>3</v>
      </c>
      <c r="G581" s="153">
        <v>1</v>
      </c>
      <c r="H581" s="16">
        <f t="shared" si="9"/>
        <v>-2</v>
      </c>
      <c r="I581" s="13">
        <v>1</v>
      </c>
      <c r="J581" s="160"/>
    </row>
    <row r="582" spans="1:10">
      <c r="A582" s="13" t="s">
        <v>4</v>
      </c>
      <c r="B582" s="13" t="s">
        <v>63</v>
      </c>
      <c r="C582" s="13" t="str">
        <f>VLOOKUP([1]Competence!$B64,[1]Competence!$B$12:$B$100,1,FALSE)</f>
        <v>Hardware design</v>
      </c>
      <c r="D582" s="13" t="str" cm="1">
        <f t="array" ref="D582">_xlfn.XLOOKUP(B582,[1]Baseline!$D$3:$AZ$3,_xlfn.XLOOKUP(C582,[1]Baseline!$B$4:$B$91,[1]Baseline!$D$4:$AZ$91))</f>
        <v>No Knowledge</v>
      </c>
      <c r="E582" s="13" t="s">
        <v>376</v>
      </c>
      <c r="F582" s="13">
        <v>2</v>
      </c>
      <c r="G582" s="153">
        <v>1</v>
      </c>
      <c r="H582" s="16">
        <f t="shared" si="9"/>
        <v>-1</v>
      </c>
      <c r="I582" s="13">
        <v>1</v>
      </c>
      <c r="J582" s="160"/>
    </row>
    <row r="583" spans="1:10">
      <c r="A583" s="13" t="s">
        <v>4</v>
      </c>
      <c r="B583" s="13" t="s">
        <v>63</v>
      </c>
      <c r="C583" s="13" t="str">
        <f>VLOOKUP([1]Competence!$B65,[1]Competence!$B$12:$B$100,1,FALSE)</f>
        <v>High Performance Computing</v>
      </c>
      <c r="D583" s="13" t="str" cm="1">
        <f t="array" ref="D583">_xlfn.XLOOKUP(B583,[1]Baseline!$D$3:$AZ$3,_xlfn.XLOOKUP(C583,[1]Baseline!$B$4:$B$91,[1]Baseline!$D$4:$AZ$91))</f>
        <v>Awareness</v>
      </c>
      <c r="E583" s="13" t="s">
        <v>378</v>
      </c>
      <c r="F583" s="13">
        <v>1</v>
      </c>
      <c r="G583" s="153">
        <v>2</v>
      </c>
      <c r="H583" s="16">
        <f t="shared" si="9"/>
        <v>1</v>
      </c>
      <c r="I583" s="13">
        <v>2</v>
      </c>
      <c r="J583" s="160"/>
    </row>
    <row r="584" spans="1:10">
      <c r="A584" s="13" t="s">
        <v>4</v>
      </c>
      <c r="B584" s="13" t="s">
        <v>63</v>
      </c>
      <c r="C584" s="13" t="str">
        <f>VLOOKUP([1]Competence!$B66,[1]Competence!$B$12:$B$100,1,FALSE)</f>
        <v>Research Computing</v>
      </c>
      <c r="D584" s="13" t="str" cm="1">
        <f t="array" ref="D584">_xlfn.XLOOKUP(B584,[1]Baseline!$D$3:$AZ$3,_xlfn.XLOOKUP(C584,[1]Baseline!$B$4:$B$91,[1]Baseline!$D$4:$AZ$91))</f>
        <v>Awareness</v>
      </c>
      <c r="E584" s="13" t="s">
        <v>373</v>
      </c>
      <c r="F584" s="13">
        <v>0</v>
      </c>
      <c r="G584" s="153">
        <v>2</v>
      </c>
      <c r="H584" s="16">
        <f t="shared" si="9"/>
        <v>2</v>
      </c>
      <c r="I584" s="13">
        <v>2</v>
      </c>
      <c r="J584" s="160"/>
    </row>
    <row r="585" spans="1:10">
      <c r="A585" s="13" t="s">
        <v>4</v>
      </c>
      <c r="B585" s="13" t="s">
        <v>63</v>
      </c>
      <c r="C585" s="13" t="str">
        <f>VLOOKUP([1]Competence!$B67,[1]Competence!$B$12:$B$100,1,FALSE)</f>
        <v>Information assurance</v>
      </c>
      <c r="D585" s="13" t="str" cm="1">
        <f t="array" ref="D585">_xlfn.XLOOKUP(B585,[1]Baseline!$D$3:$AZ$3,_xlfn.XLOOKUP(C585,[1]Baseline!$B$4:$B$91,[1]Baseline!$D$4:$AZ$91))</f>
        <v>Practitioner</v>
      </c>
      <c r="E585" s="13" t="s">
        <v>375</v>
      </c>
      <c r="F585" s="13">
        <v>0</v>
      </c>
      <c r="G585" s="153">
        <v>3</v>
      </c>
      <c r="H585" s="16">
        <f t="shared" si="9"/>
        <v>3</v>
      </c>
      <c r="I585" s="13">
        <v>3</v>
      </c>
      <c r="J585" s="160"/>
    </row>
    <row r="586" spans="1:10">
      <c r="A586" s="13" t="s">
        <v>4</v>
      </c>
      <c r="B586" s="13" t="s">
        <v>63</v>
      </c>
      <c r="C586" s="13" t="str">
        <f>VLOOKUP([1]Competence!$B68,[1]Competence!$B$12:$B$100,1,FALSE)</f>
        <v>Information management</v>
      </c>
      <c r="D586" s="13" t="str" cm="1">
        <f t="array" ref="D586">_xlfn.XLOOKUP(B586,[1]Baseline!$D$3:$AZ$3,_xlfn.XLOOKUP(C586,[1]Baseline!$B$4:$B$91,[1]Baseline!$D$4:$AZ$91))</f>
        <v>Awareness</v>
      </c>
      <c r="E586" s="13" t="s">
        <v>373</v>
      </c>
      <c r="F586" s="13">
        <v>0</v>
      </c>
      <c r="G586" s="153">
        <v>1</v>
      </c>
      <c r="H586" s="16">
        <f t="shared" si="9"/>
        <v>1</v>
      </c>
      <c r="I586" s="13">
        <v>1</v>
      </c>
      <c r="J586" s="160"/>
    </row>
    <row r="587" spans="1:10">
      <c r="A587" s="13" t="s">
        <v>4</v>
      </c>
      <c r="B587" s="13" t="s">
        <v>63</v>
      </c>
      <c r="C587" s="13" t="str">
        <f>VLOOKUP([1]Competence!$B69,[1]Competence!$B$12:$B$100,1,FALSE)</f>
        <v>Infrastructure</v>
      </c>
      <c r="D587" s="13" t="str" cm="1">
        <f t="array" ref="D587">_xlfn.XLOOKUP(B587,[1]Baseline!$D$3:$AZ$3,_xlfn.XLOOKUP(C587,[1]Baseline!$B$4:$B$91,[1]Baseline!$D$4:$AZ$91))</f>
        <v>Working</v>
      </c>
      <c r="E587" s="13" t="s">
        <v>373</v>
      </c>
      <c r="F587" s="13">
        <v>1</v>
      </c>
      <c r="G587" s="153">
        <v>2</v>
      </c>
      <c r="H587" s="16">
        <f t="shared" si="9"/>
        <v>1</v>
      </c>
      <c r="I587" s="13">
        <v>2</v>
      </c>
      <c r="J587" s="160"/>
    </row>
    <row r="588" spans="1:10">
      <c r="A588" s="13" t="s">
        <v>4</v>
      </c>
      <c r="B588" s="13" t="s">
        <v>63</v>
      </c>
      <c r="C588" s="13" t="str">
        <f>VLOOKUP([1]Competence!$B70,[1]Competence!$B$12:$B$100,1,FALSE)</f>
        <v>Network design</v>
      </c>
      <c r="D588" s="13" t="str" cm="1">
        <f t="array" ref="D588">_xlfn.XLOOKUP(B588,[1]Baseline!$D$3:$AZ$3,_xlfn.XLOOKUP(C588,[1]Baseline!$B$4:$B$91,[1]Baseline!$D$4:$AZ$91))</f>
        <v>No Knowledge</v>
      </c>
      <c r="E588" s="13" t="s">
        <v>375</v>
      </c>
      <c r="F588" s="13">
        <v>0</v>
      </c>
      <c r="G588" s="153">
        <v>3</v>
      </c>
      <c r="H588" s="16">
        <f t="shared" si="9"/>
        <v>3</v>
      </c>
      <c r="I588" s="13">
        <v>3</v>
      </c>
      <c r="J588" s="160"/>
    </row>
    <row r="589" spans="1:10">
      <c r="A589" s="13" t="s">
        <v>4</v>
      </c>
      <c r="B589" s="13" t="s">
        <v>63</v>
      </c>
      <c r="C589" s="13" t="str">
        <f>VLOOKUP([1]Competence!$B71,[1]Competence!$B$12:$B$100,1,FALSE)</f>
        <v>Network Analytics</v>
      </c>
      <c r="D589" s="13" t="str" cm="1">
        <f t="array" ref="D589">_xlfn.XLOOKUP(B589,[1]Baseline!$D$3:$AZ$3,_xlfn.XLOOKUP(C589,[1]Baseline!$B$4:$B$91,[1]Baseline!$D$4:$AZ$91))</f>
        <v>No Knowledge</v>
      </c>
      <c r="E589" s="13" t="s">
        <v>374</v>
      </c>
      <c r="F589" s="13">
        <v>0</v>
      </c>
      <c r="G589" s="153">
        <v>3</v>
      </c>
      <c r="H589" s="16">
        <f t="shared" si="9"/>
        <v>3</v>
      </c>
      <c r="I589" s="13">
        <v>3</v>
      </c>
      <c r="J589" s="160"/>
    </row>
    <row r="590" spans="1:10">
      <c r="A590" s="13" t="s">
        <v>4</v>
      </c>
      <c r="B590" s="13" t="s">
        <v>63</v>
      </c>
      <c r="C590" s="13" t="str">
        <f>VLOOKUP([1]Competence!$B72,[1]Competence!$B$12:$B$100,1,FALSE)</f>
        <v>Network support</v>
      </c>
      <c r="D590" s="13" t="str" cm="1">
        <f t="array" ref="D590">_xlfn.XLOOKUP(B590,[1]Baseline!$D$3:$AZ$3,_xlfn.XLOOKUP(C590,[1]Baseline!$B$4:$B$91,[1]Baseline!$D$4:$AZ$91))</f>
        <v>Working</v>
      </c>
      <c r="E590" s="13" t="s">
        <v>375</v>
      </c>
      <c r="F590" s="13">
        <v>0</v>
      </c>
      <c r="G590" s="153">
        <v>3</v>
      </c>
      <c r="H590" s="16">
        <f t="shared" si="9"/>
        <v>3</v>
      </c>
      <c r="I590" s="13">
        <v>3</v>
      </c>
      <c r="J590" s="160"/>
    </row>
    <row r="591" spans="1:10">
      <c r="A591" s="13" t="s">
        <v>4</v>
      </c>
      <c r="B591" s="13" t="s">
        <v>63</v>
      </c>
      <c r="C591" s="13" t="str">
        <f>VLOOKUP([1]Competence!$B73,[1]Competence!$B$12:$B$100,1,FALSE)</f>
        <v>Programming/software development</v>
      </c>
      <c r="D591" s="13" t="str" cm="1">
        <f t="array" ref="D591">_xlfn.XLOOKUP(B591,[1]Baseline!$D$3:$AZ$3,_xlfn.XLOOKUP(C591,[1]Baseline!$B$4:$B$91,[1]Baseline!$D$4:$AZ$91))</f>
        <v>No Knowledge</v>
      </c>
      <c r="E591" s="13" t="s">
        <v>375</v>
      </c>
      <c r="F591" s="13">
        <v>1</v>
      </c>
      <c r="G591" s="153">
        <v>1</v>
      </c>
      <c r="H591" s="16">
        <f t="shared" si="9"/>
        <v>0</v>
      </c>
      <c r="I591" s="13">
        <v>1</v>
      </c>
      <c r="J591" s="160"/>
    </row>
    <row r="592" spans="1:10">
      <c r="A592" s="13" t="s">
        <v>4</v>
      </c>
      <c r="B592" s="13" t="s">
        <v>63</v>
      </c>
      <c r="C592" s="13" t="str">
        <f>VLOOKUP([1]Competence!$B74,[1]Competence!$B$12:$B$100,1,FALSE)</f>
        <v>Real-time/embedded systems development</v>
      </c>
      <c r="D592" s="13" t="str" cm="1">
        <f t="array" ref="D592">_xlfn.XLOOKUP(B592,[1]Baseline!$D$3:$AZ$3,_xlfn.XLOOKUP(C592,[1]Baseline!$B$4:$B$91,[1]Baseline!$D$4:$AZ$91))</f>
        <v>No Knowledge</v>
      </c>
      <c r="E592" s="13" t="s">
        <v>49</v>
      </c>
      <c r="F592" s="13">
        <v>0</v>
      </c>
      <c r="G592" s="153">
        <v>0</v>
      </c>
      <c r="H592" s="16">
        <f t="shared" si="9"/>
        <v>0</v>
      </c>
      <c r="I592" s="13">
        <v>0</v>
      </c>
      <c r="J592" s="160"/>
    </row>
    <row r="593" spans="1:10">
      <c r="A593" s="13" t="s">
        <v>4</v>
      </c>
      <c r="B593" s="13" t="s">
        <v>63</v>
      </c>
      <c r="C593" s="13" t="str">
        <f>VLOOKUP([1]Competence!$B75,[1]Competence!$B$12:$B$100,1,FALSE)</f>
        <v>Requirements definition and management</v>
      </c>
      <c r="D593" s="13" t="str" cm="1">
        <f t="array" ref="D593">_xlfn.XLOOKUP(B593,[1]Baseline!$D$3:$AZ$3,_xlfn.XLOOKUP(C593,[1]Baseline!$B$4:$B$91,[1]Baseline!$D$4:$AZ$91))</f>
        <v>No Knowledge</v>
      </c>
      <c r="E593" s="13" t="s">
        <v>377</v>
      </c>
      <c r="F593" s="13">
        <v>2</v>
      </c>
      <c r="G593" s="153">
        <v>1</v>
      </c>
      <c r="H593" s="16">
        <f t="shared" si="9"/>
        <v>-1</v>
      </c>
      <c r="I593" s="13">
        <v>1</v>
      </c>
      <c r="J593" s="160"/>
    </row>
    <row r="594" spans="1:10">
      <c r="A594" s="13" t="s">
        <v>4</v>
      </c>
      <c r="B594" s="13" t="s">
        <v>63</v>
      </c>
      <c r="C594" s="13" t="str">
        <f>VLOOKUP([1]Competence!$B76,[1]Competence!$B$12:$B$100,1,FALSE)</f>
        <v>Software configuration</v>
      </c>
      <c r="D594" s="13" t="str" cm="1">
        <f t="array" ref="D594">_xlfn.XLOOKUP(B594,[1]Baseline!$D$3:$AZ$3,_xlfn.XLOOKUP(C594,[1]Baseline!$B$4:$B$91,[1]Baseline!$D$4:$AZ$91))</f>
        <v>No Knowledge</v>
      </c>
      <c r="E594" s="13" t="s">
        <v>374</v>
      </c>
      <c r="F594" s="13">
        <v>0</v>
      </c>
      <c r="G594" s="153">
        <v>2</v>
      </c>
      <c r="H594" s="16">
        <f t="shared" si="9"/>
        <v>2</v>
      </c>
      <c r="I594" s="13">
        <v>2</v>
      </c>
      <c r="J594" s="160"/>
    </row>
    <row r="595" spans="1:10">
      <c r="A595" s="13" t="s">
        <v>4</v>
      </c>
      <c r="B595" s="13" t="s">
        <v>63</v>
      </c>
      <c r="C595" s="13" t="str">
        <f>VLOOKUP([1]Competence!$B77,[1]Competence!$B$12:$B$100,1,FALSE)</f>
        <v>Software design</v>
      </c>
      <c r="D595" s="13" t="str" cm="1">
        <f t="array" ref="D595">_xlfn.XLOOKUP(B595,[1]Baseline!$D$3:$AZ$3,_xlfn.XLOOKUP(C595,[1]Baseline!$B$4:$B$91,[1]Baseline!$D$4:$AZ$91))</f>
        <v>No Knowledge</v>
      </c>
      <c r="E595" s="13" t="s">
        <v>376</v>
      </c>
      <c r="F595" s="13">
        <v>2</v>
      </c>
      <c r="G595" s="153">
        <v>1</v>
      </c>
      <c r="H595" s="16">
        <f t="shared" si="9"/>
        <v>-1</v>
      </c>
      <c r="I595" s="13">
        <v>1</v>
      </c>
      <c r="J595" s="160"/>
    </row>
    <row r="596" spans="1:10">
      <c r="A596" s="13" t="s">
        <v>4</v>
      </c>
      <c r="B596" s="13" t="s">
        <v>63</v>
      </c>
      <c r="C596" s="13" t="str">
        <f>VLOOKUP([1]Competence!$B78,[1]Competence!$B$12:$B$100,1,FALSE)</f>
        <v>Solution architecture</v>
      </c>
      <c r="D596" s="13" t="str" cm="1">
        <f t="array" ref="D596">_xlfn.XLOOKUP(B596,[1]Baseline!$D$3:$AZ$3,_xlfn.XLOOKUP(C596,[1]Baseline!$B$4:$B$91,[1]Baseline!$D$4:$AZ$91))</f>
        <v>No Knowledge</v>
      </c>
      <c r="E596" s="13" t="s">
        <v>376</v>
      </c>
      <c r="F596" s="13">
        <v>2</v>
      </c>
      <c r="G596" s="153">
        <v>0</v>
      </c>
      <c r="H596" s="16">
        <f t="shared" si="9"/>
        <v>-2</v>
      </c>
      <c r="I596" s="13">
        <v>0</v>
      </c>
      <c r="J596" s="160"/>
    </row>
    <row r="597" spans="1:10">
      <c r="A597" s="13" t="s">
        <v>4</v>
      </c>
      <c r="B597" s="13" t="s">
        <v>63</v>
      </c>
      <c r="C597" s="13" t="str">
        <f>VLOOKUP([1]Competence!$B79,[1]Competence!$B$12:$B$100,1,FALSE)</f>
        <v>System software</v>
      </c>
      <c r="D597" s="13" t="str" cm="1">
        <f t="array" ref="D597">_xlfn.XLOOKUP(B597,[1]Baseline!$D$3:$AZ$3,_xlfn.XLOOKUP(C597,[1]Baseline!$B$4:$B$91,[1]Baseline!$D$4:$AZ$91))</f>
        <v>No Knowledge</v>
      </c>
      <c r="E597" s="13" t="s">
        <v>375</v>
      </c>
      <c r="F597" s="13">
        <v>0</v>
      </c>
      <c r="G597" s="153">
        <v>1</v>
      </c>
      <c r="H597" s="16">
        <f t="shared" si="9"/>
        <v>1</v>
      </c>
      <c r="I597" s="13">
        <v>1</v>
      </c>
      <c r="J597" s="160"/>
    </row>
    <row r="598" spans="1:10">
      <c r="A598" s="13" t="s">
        <v>4</v>
      </c>
      <c r="B598" s="13" t="s">
        <v>63</v>
      </c>
      <c r="C598" s="13" t="str">
        <f>VLOOKUP([1]Competence!$B80,[1]Competence!$B$12:$B$100,1,FALSE)</f>
        <v>Systems and software life cycle engineering</v>
      </c>
      <c r="D598" s="13" t="str" cm="1">
        <f t="array" ref="D598">_xlfn.XLOOKUP(B598,[1]Baseline!$D$3:$AZ$3,_xlfn.XLOOKUP(C598,[1]Baseline!$B$4:$B$91,[1]Baseline!$D$4:$AZ$91))</f>
        <v>No Knowledge</v>
      </c>
      <c r="E598" s="13" t="s">
        <v>375</v>
      </c>
      <c r="F598" s="13">
        <v>0</v>
      </c>
      <c r="G598" s="153">
        <v>0</v>
      </c>
      <c r="H598" s="16">
        <f t="shared" si="9"/>
        <v>0</v>
      </c>
      <c r="I598" s="13">
        <v>0</v>
      </c>
      <c r="J598" s="160"/>
    </row>
    <row r="599" spans="1:10">
      <c r="A599" s="13" t="s">
        <v>4</v>
      </c>
      <c r="B599" s="13" t="s">
        <v>63</v>
      </c>
      <c r="C599" s="13" t="str">
        <f>VLOOKUP([1]Competence!$B81,[1]Competence!$B$12:$B$100,1,FALSE)</f>
        <v>Systems design</v>
      </c>
      <c r="D599" s="13" t="str" cm="1">
        <f t="array" ref="D599">_xlfn.XLOOKUP(B599,[1]Baseline!$D$3:$AZ$3,_xlfn.XLOOKUP(C599,[1]Baseline!$B$4:$B$91,[1]Baseline!$D$4:$AZ$91))</f>
        <v>No Knowledge</v>
      </c>
      <c r="E599" s="13" t="s">
        <v>375</v>
      </c>
      <c r="F599" s="13">
        <v>0</v>
      </c>
      <c r="G599" s="153">
        <v>1</v>
      </c>
      <c r="H599" s="16">
        <f t="shared" si="9"/>
        <v>1</v>
      </c>
      <c r="I599" s="13">
        <v>1</v>
      </c>
      <c r="J599" s="160"/>
    </row>
    <row r="600" spans="1:10">
      <c r="A600" s="13" t="s">
        <v>4</v>
      </c>
      <c r="B600" s="13" t="s">
        <v>63</v>
      </c>
      <c r="C600" s="13" t="str">
        <f>VLOOKUP([1]Competence!$B82,[1]Competence!$B$12:$B$100,1,FALSE)</f>
        <v>Systems development management</v>
      </c>
      <c r="D600" s="13" t="str" cm="1">
        <f t="array" ref="D600">_xlfn.XLOOKUP(B600,[1]Baseline!$D$3:$AZ$3,_xlfn.XLOOKUP(C600,[1]Baseline!$B$4:$B$91,[1]Baseline!$D$4:$AZ$91))</f>
        <v>No Knowledge</v>
      </c>
      <c r="E600" s="13" t="s">
        <v>49</v>
      </c>
      <c r="F600" s="13">
        <v>1</v>
      </c>
      <c r="G600" s="153">
        <v>0</v>
      </c>
      <c r="H600" s="16">
        <f t="shared" si="9"/>
        <v>-1</v>
      </c>
      <c r="I600" s="13">
        <v>0</v>
      </c>
      <c r="J600" s="160"/>
    </row>
    <row r="601" spans="1:10">
      <c r="A601" s="13" t="s">
        <v>4</v>
      </c>
      <c r="B601" s="13" t="s">
        <v>63</v>
      </c>
      <c r="C601" s="13" t="str">
        <f>VLOOKUP([1]Competence!$B83,[1]Competence!$B$12:$B$100,1,FALSE)</f>
        <v>Systems installation and removal</v>
      </c>
      <c r="D601" s="13" t="str" cm="1">
        <f t="array" ref="D601">_xlfn.XLOOKUP(B601,[1]Baseline!$D$3:$AZ$3,_xlfn.XLOOKUP(C601,[1]Baseline!$B$4:$B$91,[1]Baseline!$D$4:$AZ$91))</f>
        <v>Practitioner</v>
      </c>
      <c r="E601" s="13" t="s">
        <v>375</v>
      </c>
      <c r="F601" s="13">
        <v>0</v>
      </c>
      <c r="G601" s="153">
        <v>4</v>
      </c>
      <c r="H601" s="16">
        <f t="shared" si="9"/>
        <v>4</v>
      </c>
      <c r="I601" s="13">
        <v>4</v>
      </c>
      <c r="J601" s="160"/>
    </row>
    <row r="602" spans="1:10">
      <c r="A602" s="13" t="s">
        <v>4</v>
      </c>
      <c r="B602" s="13" t="s">
        <v>63</v>
      </c>
      <c r="C602" s="13" t="str">
        <f>VLOOKUP([1]Competence!$B84,[1]Competence!$B$12:$B$100,1,FALSE)</f>
        <v>Testing</v>
      </c>
      <c r="D602" s="13" t="str" cm="1">
        <f t="array" ref="D602">_xlfn.XLOOKUP(B602,[1]Baseline!$D$3:$AZ$3,_xlfn.XLOOKUP(C602,[1]Baseline!$B$4:$B$91,[1]Baseline!$D$4:$AZ$91))</f>
        <v>Working</v>
      </c>
      <c r="E602" s="13" t="s">
        <v>374</v>
      </c>
      <c r="F602" s="13">
        <v>2</v>
      </c>
      <c r="G602" s="153">
        <v>3</v>
      </c>
      <c r="H602" s="16">
        <f t="shared" si="9"/>
        <v>1</v>
      </c>
      <c r="I602" s="13">
        <v>3</v>
      </c>
      <c r="J602" s="160"/>
    </row>
    <row r="603" spans="1:10">
      <c r="A603" s="13" t="s">
        <v>4</v>
      </c>
      <c r="B603" s="13" t="s">
        <v>63</v>
      </c>
      <c r="C603" s="13" t="str">
        <f>VLOOKUP([1]Competence!$B85,[1]Competence!$B$12:$B$100,1,FALSE)</f>
        <v>Innovation</v>
      </c>
      <c r="D603" s="13" t="str" cm="1">
        <f t="array" ref="D603">_xlfn.XLOOKUP(B603,[1]Baseline!$D$3:$AZ$3,_xlfn.XLOOKUP(C603,[1]Baseline!$B$4:$B$91,[1]Baseline!$D$4:$AZ$91))</f>
        <v>No Knowledge</v>
      </c>
      <c r="E603" s="13" t="s">
        <v>374</v>
      </c>
      <c r="F603" s="13">
        <v>2</v>
      </c>
      <c r="G603" s="153">
        <v>2</v>
      </c>
      <c r="H603" s="16">
        <f t="shared" si="9"/>
        <v>0</v>
      </c>
      <c r="I603" s="13">
        <v>2</v>
      </c>
      <c r="J603" s="160"/>
    </row>
    <row r="604" spans="1:10">
      <c r="A604" s="13" t="s">
        <v>4</v>
      </c>
      <c r="B604" s="13" t="s">
        <v>63</v>
      </c>
      <c r="C604" s="13" t="str">
        <f>VLOOKUP([1]Competence!$B86,[1]Competence!$B$12:$B$100,1,FALSE)</f>
        <v>Specialist Advice</v>
      </c>
      <c r="D604" s="13" t="str" cm="1">
        <f t="array" ref="D604">_xlfn.XLOOKUP(B604,[1]Baseline!$D$3:$AZ$3,_xlfn.XLOOKUP(C604,[1]Baseline!$B$4:$B$91,[1]Baseline!$D$4:$AZ$91))</f>
        <v>No Knowledge</v>
      </c>
      <c r="E604" s="13" t="s">
        <v>378</v>
      </c>
      <c r="F604" s="13">
        <v>0</v>
      </c>
      <c r="G604" s="153">
        <v>2</v>
      </c>
      <c r="H604" s="16">
        <f t="shared" si="9"/>
        <v>2</v>
      </c>
      <c r="I604" s="13">
        <v>2</v>
      </c>
      <c r="J604" s="160"/>
    </row>
    <row r="605" spans="1:10">
      <c r="A605" s="13" t="s">
        <v>4</v>
      </c>
      <c r="B605" s="13" t="s">
        <v>63</v>
      </c>
      <c r="C605" s="13" t="str">
        <f>VLOOKUP([1]Competence!$B87,[1]Competence!$B$12:$B$100,1,FALSE)</f>
        <v>Emerging technology monitoring</v>
      </c>
      <c r="D605" s="13" t="str" cm="1">
        <f t="array" ref="D605">_xlfn.XLOOKUP(B605,[1]Baseline!$D$3:$AZ$3,_xlfn.XLOOKUP(C605,[1]Baseline!$B$4:$B$91,[1]Baseline!$D$4:$AZ$91))</f>
        <v>Working</v>
      </c>
      <c r="E605" s="13" t="s">
        <v>49</v>
      </c>
      <c r="F605" s="13">
        <v>1</v>
      </c>
      <c r="G605" s="153">
        <v>3</v>
      </c>
      <c r="H605" s="16">
        <f t="shared" si="9"/>
        <v>2</v>
      </c>
      <c r="I605" s="13">
        <v>3</v>
      </c>
      <c r="J605" s="160"/>
    </row>
    <row r="606" spans="1:10">
      <c r="A606" s="13" t="s">
        <v>4</v>
      </c>
      <c r="B606" s="13" t="s">
        <v>63</v>
      </c>
      <c r="C606" s="13" t="str">
        <f>VLOOKUP([1]Competence!$B88,[1]Competence!$B$12:$B$100,1,FALSE)</f>
        <v>Systems integration and build</v>
      </c>
      <c r="D606" s="13" t="str" cm="1">
        <f t="array" ref="D606">_xlfn.XLOOKUP(B606,[1]Baseline!$D$3:$AZ$3,_xlfn.XLOOKUP(C606,[1]Baseline!$B$4:$B$91,[1]Baseline!$D$4:$AZ$91))</f>
        <v>Practitioner</v>
      </c>
      <c r="E606" s="13" t="s">
        <v>49</v>
      </c>
      <c r="F606" s="13">
        <v>1</v>
      </c>
      <c r="G606" s="153">
        <v>2</v>
      </c>
      <c r="H606" s="16">
        <f t="shared" si="9"/>
        <v>1</v>
      </c>
      <c r="I606" s="13">
        <v>2</v>
      </c>
      <c r="J606" s="160"/>
    </row>
    <row r="607" spans="1:10">
      <c r="A607" s="13" t="s">
        <v>4</v>
      </c>
      <c r="B607" s="13" t="s">
        <v>63</v>
      </c>
      <c r="C607" s="13" t="str">
        <f>VLOOKUP([1]Competence!$B89,[1]Competence!$B$12:$B$100,1,FALSE)</f>
        <v>Audio Visual</v>
      </c>
      <c r="D607" s="13" t="str" cm="1">
        <f t="array" ref="D607">_xlfn.XLOOKUP(B607,[1]Baseline!$D$3:$AZ$3,_xlfn.XLOOKUP(C607,[1]Baseline!$B$4:$B$91,[1]Baseline!$D$4:$AZ$91))</f>
        <v>Practitioner</v>
      </c>
      <c r="E607" s="13" t="s">
        <v>375</v>
      </c>
      <c r="F607" s="13">
        <v>0</v>
      </c>
      <c r="G607" s="153">
        <v>3</v>
      </c>
      <c r="H607" s="16">
        <f t="shared" si="9"/>
        <v>3</v>
      </c>
      <c r="I607" s="13">
        <v>3</v>
      </c>
      <c r="J607" s="160"/>
    </row>
    <row r="608" spans="1:10">
      <c r="A608" s="13" t="s">
        <v>4</v>
      </c>
      <c r="B608" s="13" t="s">
        <v>63</v>
      </c>
      <c r="C608" s="13" t="str">
        <f>VLOOKUP([1]Competence!$B90,[1]Competence!$B$12:$B$100,1,FALSE)</f>
        <v>Augmented Reality</v>
      </c>
      <c r="D608" s="13" t="str" cm="1">
        <f t="array" ref="D608">_xlfn.XLOOKUP(B608,[1]Baseline!$D$3:$AZ$3,_xlfn.XLOOKUP(C608,[1]Baseline!$B$4:$B$91,[1]Baseline!$D$4:$AZ$91))</f>
        <v>Awareness</v>
      </c>
      <c r="E608" s="13" t="s">
        <v>375</v>
      </c>
      <c r="F608" s="13">
        <v>0</v>
      </c>
      <c r="G608" s="153">
        <v>3</v>
      </c>
      <c r="H608" s="16">
        <f t="shared" si="9"/>
        <v>3</v>
      </c>
      <c r="I608" s="13">
        <v>3</v>
      </c>
      <c r="J608" s="160"/>
    </row>
    <row r="609" spans="1:10">
      <c r="A609" s="13" t="s">
        <v>4</v>
      </c>
      <c r="B609" s="13" t="s">
        <v>63</v>
      </c>
      <c r="C609" s="13" t="str">
        <f>VLOOKUP([1]Competence!$B91,[1]Competence!$B$12:$B$100,1,FALSE)</f>
        <v>Benefits management</v>
      </c>
      <c r="D609" s="13" t="str" cm="1">
        <f t="array" ref="D609">_xlfn.XLOOKUP(B609,[1]Baseline!$D$3:$AZ$3,_xlfn.XLOOKUP(C609,[1]Baseline!$B$4:$B$91,[1]Baseline!$D$4:$AZ$91))</f>
        <v>No Knowledge</v>
      </c>
      <c r="E609" s="13" t="s">
        <v>375</v>
      </c>
      <c r="F609" s="13">
        <v>0</v>
      </c>
      <c r="G609" s="153">
        <v>1</v>
      </c>
      <c r="H609" s="16">
        <f t="shared" si="9"/>
        <v>1</v>
      </c>
      <c r="I609" s="13">
        <v>1</v>
      </c>
      <c r="J609" s="160"/>
    </row>
    <row r="610" spans="1:10">
      <c r="A610" s="13" t="s">
        <v>4</v>
      </c>
      <c r="B610" s="13" t="s">
        <v>63</v>
      </c>
      <c r="C610" s="13" t="str">
        <f>VLOOKUP([1]Competence!$B92,[1]Competence!$B$12:$B$100,1,FALSE)</f>
        <v>Business administration</v>
      </c>
      <c r="D610" s="13" t="str" cm="1">
        <f t="array" ref="D610">_xlfn.XLOOKUP(B610,[1]Baseline!$D$3:$AZ$3,_xlfn.XLOOKUP(C610,[1]Baseline!$B$4:$B$91,[1]Baseline!$D$4:$AZ$91))</f>
        <v>No Knowledge</v>
      </c>
      <c r="E610" s="13" t="s">
        <v>375</v>
      </c>
      <c r="F610" s="13">
        <v>0</v>
      </c>
      <c r="G610" s="153">
        <v>1</v>
      </c>
      <c r="H610" s="16">
        <f t="shared" si="9"/>
        <v>1</v>
      </c>
      <c r="I610" s="13">
        <v>1</v>
      </c>
      <c r="J610" s="160"/>
    </row>
    <row r="611" spans="1:10">
      <c r="A611" s="13" t="s">
        <v>4</v>
      </c>
      <c r="B611" s="13" t="s">
        <v>63</v>
      </c>
      <c r="C611" s="13" t="str">
        <f>VLOOKUP([1]Competence!$B93,[1]Competence!$B$12:$B$100,1,FALSE)</f>
        <v>Business intelligence</v>
      </c>
      <c r="D611" s="13" t="str" cm="1">
        <f t="array" ref="D611">_xlfn.XLOOKUP(B611,[1]Baseline!$D$3:$AZ$3,_xlfn.XLOOKUP(C611,[1]Baseline!$B$4:$B$91,[1]Baseline!$D$4:$AZ$91))</f>
        <v>No Knowledge</v>
      </c>
      <c r="E611" s="13" t="s">
        <v>375</v>
      </c>
      <c r="F611" s="13">
        <v>2</v>
      </c>
      <c r="G611" s="153">
        <v>0</v>
      </c>
      <c r="H611" s="16">
        <f t="shared" si="9"/>
        <v>-2</v>
      </c>
      <c r="I611" s="13">
        <v>0</v>
      </c>
      <c r="J611" s="160"/>
    </row>
    <row r="612" spans="1:10">
      <c r="A612" s="13" t="s">
        <v>4</v>
      </c>
      <c r="B612" s="13" t="s">
        <v>63</v>
      </c>
      <c r="C612" s="13" t="str">
        <f>VLOOKUP([1]Competence!$B94,[1]Competence!$B$12:$B$100,1,FALSE)</f>
        <v>Business modelling</v>
      </c>
      <c r="D612" s="13" t="str" cm="1">
        <f t="array" ref="D612">_xlfn.XLOOKUP(B612,[1]Baseline!$D$3:$AZ$3,_xlfn.XLOOKUP(C612,[1]Baseline!$B$4:$B$91,[1]Baseline!$D$4:$AZ$91))</f>
        <v>No Knowledge</v>
      </c>
      <c r="E612" s="13" t="s">
        <v>375</v>
      </c>
      <c r="F612" s="13">
        <v>2</v>
      </c>
      <c r="G612" s="153">
        <v>0</v>
      </c>
      <c r="H612" s="16">
        <f t="shared" si="9"/>
        <v>-2</v>
      </c>
      <c r="I612" s="13">
        <v>0</v>
      </c>
      <c r="J612" s="160"/>
    </row>
    <row r="613" spans="1:10">
      <c r="A613" s="13" t="s">
        <v>4</v>
      </c>
      <c r="B613" s="13" t="s">
        <v>63</v>
      </c>
      <c r="C613" s="13" t="str">
        <f>VLOOKUP([1]Competence!$B95,[1]Competence!$B$12:$B$100,1,FALSE)</f>
        <v>Business process improvement</v>
      </c>
      <c r="D613" s="13" t="str" cm="1">
        <f t="array" ref="D613">_xlfn.XLOOKUP(B613,[1]Baseline!$D$3:$AZ$3,_xlfn.XLOOKUP(C613,[1]Baseline!$B$4:$B$91,[1]Baseline!$D$4:$AZ$91))</f>
        <v>No Knowledge</v>
      </c>
      <c r="E613" s="13" t="s">
        <v>375</v>
      </c>
      <c r="F613" s="13">
        <v>2</v>
      </c>
      <c r="G613" s="153">
        <v>0</v>
      </c>
      <c r="H613" s="16">
        <f t="shared" si="9"/>
        <v>-2</v>
      </c>
      <c r="I613" s="13">
        <v>0</v>
      </c>
      <c r="J613" s="160"/>
    </row>
    <row r="614" spans="1:10">
      <c r="A614" s="13" t="s">
        <v>4</v>
      </c>
      <c r="B614" s="13" t="s">
        <v>63</v>
      </c>
      <c r="C614" s="13" t="str">
        <f>VLOOKUP([1]Competence!$B96,[1]Competence!$B$12:$B$100,1,FALSE)</f>
        <v>Business situation analysis</v>
      </c>
      <c r="D614" s="13" t="str" cm="1">
        <f t="array" ref="D614">_xlfn.XLOOKUP(B614,[1]Baseline!$D$3:$AZ$3,_xlfn.XLOOKUP(C614,[1]Baseline!$B$4:$B$91,[1]Baseline!$D$4:$AZ$91))</f>
        <v>No Knowledge</v>
      </c>
      <c r="E614" s="13" t="s">
        <v>377</v>
      </c>
      <c r="F614" s="13">
        <v>0</v>
      </c>
      <c r="G614" s="153">
        <v>0</v>
      </c>
      <c r="H614" s="16">
        <f t="shared" si="9"/>
        <v>0</v>
      </c>
      <c r="I614" s="13">
        <v>0</v>
      </c>
      <c r="J614" s="160"/>
    </row>
    <row r="615" spans="1:10">
      <c r="A615" s="13" t="s">
        <v>4</v>
      </c>
      <c r="B615" s="13" t="s">
        <v>63</v>
      </c>
      <c r="C615" s="13" t="str">
        <f>VLOOKUP([1]Competence!$B97,[1]Competence!$B$12:$B$100,1,FALSE)</f>
        <v>Programme management</v>
      </c>
      <c r="D615" s="13" t="str" cm="1">
        <f t="array" ref="D615">_xlfn.XLOOKUP(B615,[1]Baseline!$D$3:$AZ$3,_xlfn.XLOOKUP(C615,[1]Baseline!$B$4:$B$91,[1]Baseline!$D$4:$AZ$91))</f>
        <v>No Knowledge</v>
      </c>
      <c r="E615" s="13" t="s">
        <v>377</v>
      </c>
      <c r="F615" s="13">
        <v>2</v>
      </c>
      <c r="G615" s="153">
        <v>0</v>
      </c>
      <c r="H615" s="16">
        <f t="shared" si="9"/>
        <v>-2</v>
      </c>
      <c r="I615" s="13">
        <v>0</v>
      </c>
      <c r="J615" s="160"/>
    </row>
    <row r="616" spans="1:10">
      <c r="A616" s="13" t="s">
        <v>4</v>
      </c>
      <c r="B616" s="13" t="s">
        <v>63</v>
      </c>
      <c r="C616" s="13" t="str">
        <f>VLOOKUP([1]Competence!$B98,[1]Competence!$B$12:$B$100,1,FALSE)</f>
        <v>Project management</v>
      </c>
      <c r="D616" s="13" t="str" cm="1">
        <f t="array" ref="D616">_xlfn.XLOOKUP(B616,[1]Baseline!$D$3:$AZ$3,_xlfn.XLOOKUP(C616,[1]Baseline!$B$4:$B$91,[1]Baseline!$D$4:$AZ$91))</f>
        <v>No Knowledge</v>
      </c>
      <c r="E616" s="13" t="s">
        <v>377</v>
      </c>
      <c r="F616" s="13">
        <v>0</v>
      </c>
      <c r="G616" s="153">
        <v>2</v>
      </c>
      <c r="H616" s="16">
        <f t="shared" si="9"/>
        <v>2</v>
      </c>
      <c r="I616" s="13">
        <v>2</v>
      </c>
      <c r="J616" s="160"/>
    </row>
    <row r="617" spans="1:10">
      <c r="A617" s="13" t="s">
        <v>4</v>
      </c>
      <c r="B617" s="13" t="s">
        <v>63</v>
      </c>
      <c r="C617" s="13" t="str">
        <f>VLOOKUP([1]Competence!$B99,[1]Competence!$B$12:$B$100,1,FALSE)</f>
        <v>Quality assurance</v>
      </c>
      <c r="D617" s="13" t="str" cm="1">
        <f t="array" ref="D617">_xlfn.XLOOKUP(B617,[1]Baseline!$D$3:$AZ$3,_xlfn.XLOOKUP(C617,[1]Baseline!$B$4:$B$91,[1]Baseline!$D$4:$AZ$91))</f>
        <v>Working</v>
      </c>
      <c r="E617" s="13" t="s">
        <v>378</v>
      </c>
      <c r="F617" s="13">
        <v>0</v>
      </c>
      <c r="G617" s="153">
        <v>1</v>
      </c>
      <c r="H617" s="16">
        <f t="shared" si="9"/>
        <v>1</v>
      </c>
      <c r="I617" s="13">
        <v>1</v>
      </c>
      <c r="J617" s="160"/>
    </row>
    <row r="618" spans="1:10">
      <c r="A618" s="13" t="s">
        <v>15</v>
      </c>
      <c r="B618" s="13" t="s">
        <v>66</v>
      </c>
      <c r="C618" s="13" t="str">
        <f>VLOOKUP([1]Competence!$B12,[1]Competence!$B$12:$B$100,1,FALSE)</f>
        <v>Asset Management</v>
      </c>
      <c r="D618" s="13" t="str" cm="1">
        <f t="array" ref="D618">_xlfn.XLOOKUP(B618,[1]Baseline!$D$3:$AZ$3,_xlfn.XLOOKUP(C618,[1]Baseline!$B$4:$B$91,[1]Baseline!$D$4:$AZ$91))</f>
        <v>Practitioner</v>
      </c>
      <c r="E618" s="13" t="s">
        <v>373</v>
      </c>
      <c r="F618" s="13">
        <v>3</v>
      </c>
      <c r="G618" s="153">
        <v>3</v>
      </c>
      <c r="H618" s="16">
        <f t="shared" si="9"/>
        <v>0</v>
      </c>
      <c r="I618" s="13">
        <v>3</v>
      </c>
      <c r="J618" s="160"/>
    </row>
    <row r="619" spans="1:10">
      <c r="A619" s="13" t="s">
        <v>15</v>
      </c>
      <c r="B619" s="13" t="s">
        <v>66</v>
      </c>
      <c r="C619" s="13" t="str">
        <f>VLOOKUP([1]Competence!$B13,[1]Competence!$B$12:$B$100,1,FALSE)</f>
        <v>Change Control</v>
      </c>
      <c r="D619" s="13" t="str" cm="1">
        <f t="array" ref="D619">_xlfn.XLOOKUP(B619,[1]Baseline!$D$3:$AZ$3,_xlfn.XLOOKUP(C619,[1]Baseline!$B$4:$B$91,[1]Baseline!$D$4:$AZ$91))</f>
        <v>Practitioner</v>
      </c>
      <c r="E619" s="13" t="s">
        <v>373</v>
      </c>
      <c r="F619" s="13">
        <v>3</v>
      </c>
      <c r="G619" s="153">
        <v>3</v>
      </c>
      <c r="H619" s="16">
        <f t="shared" si="9"/>
        <v>0</v>
      </c>
      <c r="I619" s="13">
        <v>3</v>
      </c>
      <c r="J619" s="160"/>
    </row>
    <row r="620" spans="1:10">
      <c r="A620" s="13" t="s">
        <v>15</v>
      </c>
      <c r="B620" s="13" t="s">
        <v>66</v>
      </c>
      <c r="C620" s="13" t="str">
        <f>VLOOKUP([1]Competence!$B14,[1]Competence!$B$12:$B$100,1,FALSE)</f>
        <v>Customer Service Support</v>
      </c>
      <c r="D620" s="13" t="str" cm="1">
        <f t="array" ref="D620">_xlfn.XLOOKUP(B620,[1]Baseline!$D$3:$AZ$3,_xlfn.XLOOKUP(C620,[1]Baseline!$B$4:$B$91,[1]Baseline!$D$4:$AZ$91))</f>
        <v>Practitioner</v>
      </c>
      <c r="E620" s="13" t="s">
        <v>373</v>
      </c>
      <c r="F620" s="13">
        <v>3</v>
      </c>
      <c r="G620" s="153">
        <v>3</v>
      </c>
      <c r="H620" s="16">
        <f t="shared" si="9"/>
        <v>0</v>
      </c>
      <c r="I620" s="13">
        <v>3</v>
      </c>
      <c r="J620" s="160"/>
    </row>
    <row r="621" spans="1:10">
      <c r="A621" s="13" t="s">
        <v>15</v>
      </c>
      <c r="B621" s="13" t="s">
        <v>66</v>
      </c>
      <c r="C621" s="13" t="str">
        <f>VLOOKUP([1]Competence!$B15,[1]Competence!$B$12:$B$100,1,FALSE)</f>
        <v>Incident management</v>
      </c>
      <c r="D621" s="13" t="str" cm="1">
        <f t="array" ref="D621">_xlfn.XLOOKUP(B621,[1]Baseline!$D$3:$AZ$3,_xlfn.XLOOKUP(C621,[1]Baseline!$B$4:$B$91,[1]Baseline!$D$4:$AZ$91))</f>
        <v>Practitioner</v>
      </c>
      <c r="E621" s="13" t="s">
        <v>373</v>
      </c>
      <c r="F621" s="13">
        <v>3</v>
      </c>
      <c r="G621" s="153">
        <v>3</v>
      </c>
      <c r="H621" s="16">
        <f t="shared" si="9"/>
        <v>0</v>
      </c>
      <c r="I621" s="13">
        <v>3</v>
      </c>
      <c r="J621" s="160"/>
    </row>
    <row r="622" spans="1:10">
      <c r="A622" s="13" t="s">
        <v>15</v>
      </c>
      <c r="B622" s="13" t="s">
        <v>66</v>
      </c>
      <c r="C622" s="13" t="str">
        <f>VLOOKUP([1]Competence!$B16,[1]Competence!$B$12:$B$100,1,FALSE)</f>
        <v>Information security</v>
      </c>
      <c r="D622" s="13" t="str" cm="1">
        <f t="array" ref="D622">_xlfn.XLOOKUP(B622,[1]Baseline!$D$3:$AZ$3,_xlfn.XLOOKUP(C622,[1]Baseline!$B$4:$B$91,[1]Baseline!$D$4:$AZ$91))</f>
        <v>Practitioner</v>
      </c>
      <c r="E622" s="13" t="s">
        <v>376</v>
      </c>
      <c r="F622" s="13">
        <v>3</v>
      </c>
      <c r="G622" s="153">
        <v>2</v>
      </c>
      <c r="H622" s="16">
        <f t="shared" si="9"/>
        <v>-1</v>
      </c>
      <c r="I622" s="13">
        <v>2</v>
      </c>
      <c r="J622" s="160"/>
    </row>
    <row r="623" spans="1:10">
      <c r="A623" s="13" t="s">
        <v>15</v>
      </c>
      <c r="B623" s="13" t="s">
        <v>66</v>
      </c>
      <c r="C623" s="13" t="str">
        <f>VLOOKUP([1]Competence!$B17,[1]Competence!$B$12:$B$100,1,FALSE)</f>
        <v>Personal data protection</v>
      </c>
      <c r="D623" s="13" t="str" cm="1">
        <f t="array" ref="D623">_xlfn.XLOOKUP(B623,[1]Baseline!$D$3:$AZ$3,_xlfn.XLOOKUP(C623,[1]Baseline!$B$4:$B$91,[1]Baseline!$D$4:$AZ$91))</f>
        <v>Practitioner</v>
      </c>
      <c r="E623" s="13" t="s">
        <v>374</v>
      </c>
      <c r="F623" s="13">
        <v>3</v>
      </c>
      <c r="G623" s="153">
        <v>3</v>
      </c>
      <c r="H623" s="16">
        <f t="shared" si="9"/>
        <v>0</v>
      </c>
      <c r="I623" s="13">
        <v>3</v>
      </c>
      <c r="J623" s="160"/>
    </row>
    <row r="624" spans="1:10">
      <c r="A624" s="13" t="s">
        <v>15</v>
      </c>
      <c r="B624" s="13" t="s">
        <v>66</v>
      </c>
      <c r="C624" s="13" t="str">
        <f>VLOOKUP([1]Competence!$B18,[1]Competence!$B$12:$B$100,1,FALSE)</f>
        <v>Problem management</v>
      </c>
      <c r="D624" s="13" t="str" cm="1">
        <f t="array" ref="D624">_xlfn.XLOOKUP(B624,[1]Baseline!$D$3:$AZ$3,_xlfn.XLOOKUP(C624,[1]Baseline!$B$4:$B$91,[1]Baseline!$D$4:$AZ$91))</f>
        <v>Working</v>
      </c>
      <c r="E624" s="13" t="s">
        <v>374</v>
      </c>
      <c r="F624" s="13">
        <v>3</v>
      </c>
      <c r="G624" s="153">
        <v>3</v>
      </c>
      <c r="H624" s="16">
        <f t="shared" si="9"/>
        <v>0</v>
      </c>
      <c r="I624" s="13">
        <v>3</v>
      </c>
      <c r="J624" s="160"/>
    </row>
    <row r="625" spans="1:10">
      <c r="A625" s="13" t="s">
        <v>15</v>
      </c>
      <c r="B625" s="13" t="s">
        <v>66</v>
      </c>
      <c r="C625" s="13" t="str">
        <f>VLOOKUP([1]Competence!$B19,[1]Competence!$B$12:$B$100,1,FALSE)</f>
        <v>Service catalogue management</v>
      </c>
      <c r="D625" s="13" t="str" cm="1">
        <f t="array" ref="D625">_xlfn.XLOOKUP(B625,[1]Baseline!$D$3:$AZ$3,_xlfn.XLOOKUP(C625,[1]Baseline!$B$4:$B$91,[1]Baseline!$D$4:$AZ$91))</f>
        <v>Working</v>
      </c>
      <c r="E625" s="13" t="s">
        <v>374</v>
      </c>
      <c r="F625" s="13">
        <v>3</v>
      </c>
      <c r="G625" s="153">
        <v>3</v>
      </c>
      <c r="H625" s="16">
        <f t="shared" si="9"/>
        <v>0</v>
      </c>
      <c r="I625" s="13">
        <v>3</v>
      </c>
      <c r="J625" s="160"/>
    </row>
    <row r="626" spans="1:10">
      <c r="A626" s="13" t="s">
        <v>15</v>
      </c>
      <c r="B626" s="13" t="s">
        <v>66</v>
      </c>
      <c r="C626" s="13" t="str">
        <f>VLOOKUP([1]Competence!$B20,[1]Competence!$B$12:$B$100,1,FALSE)</f>
        <v>Service level management</v>
      </c>
      <c r="D626" s="13" t="str" cm="1">
        <f t="array" ref="D626">_xlfn.XLOOKUP(B626,[1]Baseline!$D$3:$AZ$3,_xlfn.XLOOKUP(C626,[1]Baseline!$B$4:$B$91,[1]Baseline!$D$4:$AZ$91))</f>
        <v>Practitioner</v>
      </c>
      <c r="E626" s="13" t="s">
        <v>377</v>
      </c>
      <c r="F626" s="13">
        <v>2</v>
      </c>
      <c r="G626" s="153">
        <v>1</v>
      </c>
      <c r="H626" s="16">
        <f t="shared" si="9"/>
        <v>-1</v>
      </c>
      <c r="I626" s="13">
        <v>1</v>
      </c>
      <c r="J626" s="160"/>
    </row>
    <row r="627" spans="1:10">
      <c r="A627" s="13" t="s">
        <v>15</v>
      </c>
      <c r="B627" s="13" t="s">
        <v>66</v>
      </c>
      <c r="C627" s="13" t="str">
        <f>VLOOKUP([1]Competence!$B21,[1]Competence!$B$12:$B$100,1,FALSE)</f>
        <v>Availability Management</v>
      </c>
      <c r="D627" s="13" t="str" cm="1">
        <f t="array" ref="D627">_xlfn.XLOOKUP(B627,[1]Baseline!$D$3:$AZ$3,_xlfn.XLOOKUP(C627,[1]Baseline!$B$4:$B$91,[1]Baseline!$D$4:$AZ$91))</f>
        <v>Awareness</v>
      </c>
      <c r="E627" s="13" t="s">
        <v>49</v>
      </c>
      <c r="F627" s="13">
        <v>2</v>
      </c>
      <c r="G627" s="153">
        <v>2</v>
      </c>
      <c r="H627" s="16">
        <f t="shared" si="9"/>
        <v>0</v>
      </c>
      <c r="I627" s="13">
        <v>2</v>
      </c>
      <c r="J627" s="160"/>
    </row>
    <row r="628" spans="1:10">
      <c r="A628" s="13" t="s">
        <v>15</v>
      </c>
      <c r="B628" s="13" t="s">
        <v>66</v>
      </c>
      <c r="C628" s="13" t="str">
        <f>VLOOKUP([1]Competence!$B22,[1]Competence!$B$12:$B$100,1,FALSE)</f>
        <v>Capacity management</v>
      </c>
      <c r="D628" s="13" t="str" cm="1">
        <f t="array" ref="D628">_xlfn.XLOOKUP(B628,[1]Baseline!$D$3:$AZ$3,_xlfn.XLOOKUP(C628,[1]Baseline!$B$4:$B$91,[1]Baseline!$D$4:$AZ$91))</f>
        <v>No Knowledge</v>
      </c>
      <c r="E628" s="13" t="s">
        <v>375</v>
      </c>
      <c r="F628" s="13">
        <v>2</v>
      </c>
      <c r="G628" s="153">
        <v>2</v>
      </c>
      <c r="H628" s="16">
        <f t="shared" si="9"/>
        <v>0</v>
      </c>
      <c r="I628" s="13">
        <v>2</v>
      </c>
      <c r="J628" s="160"/>
    </row>
    <row r="629" spans="1:10">
      <c r="A629" s="13" t="s">
        <v>15</v>
      </c>
      <c r="B629" s="13" t="s">
        <v>66</v>
      </c>
      <c r="C629" s="13" t="str">
        <f>VLOOKUP([1]Competence!$B23,[1]Competence!$B$12:$B$100,1,FALSE)</f>
        <v>Configuration Management</v>
      </c>
      <c r="D629" s="13" t="str" cm="1">
        <f t="array" ref="D629">_xlfn.XLOOKUP(B629,[1]Baseline!$D$3:$AZ$3,_xlfn.XLOOKUP(C629,[1]Baseline!$B$4:$B$91,[1]Baseline!$D$4:$AZ$91))</f>
        <v>Working</v>
      </c>
      <c r="E629" s="13" t="s">
        <v>375</v>
      </c>
      <c r="F629" s="13">
        <v>3</v>
      </c>
      <c r="G629" s="153">
        <v>3</v>
      </c>
      <c r="H629" s="16">
        <f t="shared" si="9"/>
        <v>0</v>
      </c>
      <c r="I629" s="13">
        <v>3</v>
      </c>
      <c r="J629" s="160"/>
    </row>
    <row r="630" spans="1:10">
      <c r="A630" s="13" t="s">
        <v>15</v>
      </c>
      <c r="B630" s="13" t="s">
        <v>66</v>
      </c>
      <c r="C630" s="13" t="str">
        <f>VLOOKUP([1]Competence!$B24,[1]Competence!$B$12:$B$100,1,FALSE)</f>
        <v>Continuity Management</v>
      </c>
      <c r="D630" s="13" t="str" cm="1">
        <f t="array" ref="D630">_xlfn.XLOOKUP(B630,[1]Baseline!$D$3:$AZ$3,_xlfn.XLOOKUP(C630,[1]Baseline!$B$4:$B$91,[1]Baseline!$D$4:$AZ$91))</f>
        <v>Awareness</v>
      </c>
      <c r="E630" s="13" t="s">
        <v>375</v>
      </c>
      <c r="F630" s="13">
        <v>3</v>
      </c>
      <c r="G630" s="153">
        <v>1</v>
      </c>
      <c r="H630" s="16">
        <f t="shared" si="9"/>
        <v>-2</v>
      </c>
      <c r="I630" s="13">
        <v>1</v>
      </c>
      <c r="J630" s="160"/>
    </row>
    <row r="631" spans="1:10">
      <c r="A631" s="13" t="s">
        <v>15</v>
      </c>
      <c r="B631" s="13" t="s">
        <v>66</v>
      </c>
      <c r="C631" s="13" t="str">
        <f>VLOOKUP([1]Competence!$B25,[1]Competence!$B$12:$B$100,1,FALSE)</f>
        <v>Demand Management</v>
      </c>
      <c r="D631" s="13" t="str" cm="1">
        <f t="array" ref="D631">_xlfn.XLOOKUP(B631,[1]Baseline!$D$3:$AZ$3,_xlfn.XLOOKUP(C631,[1]Baseline!$B$4:$B$91,[1]Baseline!$D$4:$AZ$91))</f>
        <v>Working</v>
      </c>
      <c r="E631" s="13" t="s">
        <v>375</v>
      </c>
      <c r="F631" s="13">
        <v>4</v>
      </c>
      <c r="G631" s="153">
        <v>1</v>
      </c>
      <c r="H631" s="16">
        <f t="shared" si="9"/>
        <v>-3</v>
      </c>
      <c r="I631" s="13">
        <v>1</v>
      </c>
      <c r="J631" s="160"/>
    </row>
    <row r="632" spans="1:10">
      <c r="A632" s="13" t="s">
        <v>15</v>
      </c>
      <c r="B632" s="13" t="s">
        <v>66</v>
      </c>
      <c r="C632" s="13" t="str">
        <f>VLOOKUP([1]Competence!$B26,[1]Competence!$B$12:$B$100,1,FALSE)</f>
        <v>Knowledge management</v>
      </c>
      <c r="D632" s="13" t="str" cm="1">
        <f t="array" ref="D632">_xlfn.XLOOKUP(B632,[1]Baseline!$D$3:$AZ$3,_xlfn.XLOOKUP(C632,[1]Baseline!$B$4:$B$91,[1]Baseline!$D$4:$AZ$91))</f>
        <v>Working</v>
      </c>
      <c r="E632" s="13" t="s">
        <v>375</v>
      </c>
      <c r="F632" s="13">
        <v>3</v>
      </c>
      <c r="G632" s="153">
        <v>3</v>
      </c>
      <c r="H632" s="16">
        <f t="shared" si="9"/>
        <v>0</v>
      </c>
      <c r="I632" s="13">
        <v>3</v>
      </c>
      <c r="J632" s="160"/>
    </row>
    <row r="633" spans="1:10">
      <c r="A633" s="13" t="s">
        <v>15</v>
      </c>
      <c r="B633" s="13" t="s">
        <v>66</v>
      </c>
      <c r="C633" s="13" t="str">
        <f>VLOOKUP([1]Competence!$B27,[1]Competence!$B$12:$B$100,1,FALSE)</f>
        <v>Methods and tools</v>
      </c>
      <c r="D633" s="13" t="str" cm="1">
        <f t="array" ref="D633">_xlfn.XLOOKUP(B633,[1]Baseline!$D$3:$AZ$3,_xlfn.XLOOKUP(C633,[1]Baseline!$B$4:$B$91,[1]Baseline!$D$4:$AZ$91))</f>
        <v>Working</v>
      </c>
      <c r="E633" s="13" t="s">
        <v>375</v>
      </c>
      <c r="F633" s="13">
        <v>3</v>
      </c>
      <c r="G633" s="153">
        <v>2</v>
      </c>
      <c r="H633" s="16">
        <f t="shared" si="9"/>
        <v>-1</v>
      </c>
      <c r="I633" s="13">
        <v>2</v>
      </c>
      <c r="J633" s="160"/>
    </row>
    <row r="634" spans="1:10">
      <c r="A634" s="13" t="s">
        <v>15</v>
      </c>
      <c r="B634" s="13" t="s">
        <v>66</v>
      </c>
      <c r="C634" s="13" t="str">
        <f>VLOOKUP([1]Competence!$B28,[1]Competence!$B$12:$B$100,1,FALSE)</f>
        <v>Release and deployment</v>
      </c>
      <c r="D634" s="13" t="str" cm="1">
        <f t="array" ref="D634">_xlfn.XLOOKUP(B634,[1]Baseline!$D$3:$AZ$3,_xlfn.XLOOKUP(C634,[1]Baseline!$B$4:$B$91,[1]Baseline!$D$4:$AZ$91))</f>
        <v>No Knowledge</v>
      </c>
      <c r="E634" s="13" t="s">
        <v>375</v>
      </c>
      <c r="F634" s="13">
        <v>2</v>
      </c>
      <c r="G634" s="153">
        <v>2</v>
      </c>
      <c r="H634" s="16">
        <f t="shared" si="9"/>
        <v>0</v>
      </c>
      <c r="I634" s="13">
        <v>2</v>
      </c>
      <c r="J634" s="160"/>
    </row>
    <row r="635" spans="1:10">
      <c r="A635" s="13" t="s">
        <v>15</v>
      </c>
      <c r="B635" s="13" t="s">
        <v>66</v>
      </c>
      <c r="C635" s="13" t="str">
        <f>VLOOKUP([1]Competence!$B29,[1]Competence!$B$12:$B$100,1,FALSE)</f>
        <v>Service acceptance</v>
      </c>
      <c r="D635" s="13" t="str" cm="1">
        <f t="array" ref="D635">_xlfn.XLOOKUP(B635,[1]Baseline!$D$3:$AZ$3,_xlfn.XLOOKUP(C635,[1]Baseline!$B$4:$B$91,[1]Baseline!$D$4:$AZ$91))</f>
        <v>No Knowledge</v>
      </c>
      <c r="E635" s="13" t="s">
        <v>375</v>
      </c>
      <c r="F635" s="13">
        <v>3</v>
      </c>
      <c r="G635" s="153">
        <v>1</v>
      </c>
      <c r="H635" s="16">
        <f t="shared" si="9"/>
        <v>-2</v>
      </c>
      <c r="I635" s="13">
        <v>1</v>
      </c>
      <c r="J635" s="160"/>
    </row>
    <row r="636" spans="1:10">
      <c r="A636" s="13" t="s">
        <v>15</v>
      </c>
      <c r="B636" s="13" t="s">
        <v>66</v>
      </c>
      <c r="C636" s="13" t="str">
        <f>VLOOKUP([1]Competence!$B30,[1]Competence!$B$12:$B$100,1,FALSE)</f>
        <v>Stakeholder relationship management</v>
      </c>
      <c r="D636" s="13" t="str" cm="1">
        <f t="array" ref="D636">_xlfn.XLOOKUP(B636,[1]Baseline!$D$3:$AZ$3,_xlfn.XLOOKUP(C636,[1]Baseline!$B$4:$B$91,[1]Baseline!$D$4:$AZ$91))</f>
        <v>Practitioner</v>
      </c>
      <c r="E636" s="13" t="s">
        <v>373</v>
      </c>
      <c r="F636" s="13">
        <v>3</v>
      </c>
      <c r="G636" s="153">
        <v>3</v>
      </c>
      <c r="H636" s="16">
        <f t="shared" si="9"/>
        <v>0</v>
      </c>
      <c r="I636" s="13">
        <v>3</v>
      </c>
      <c r="J636" s="160"/>
    </row>
    <row r="637" spans="1:10">
      <c r="A637" s="13" t="s">
        <v>15</v>
      </c>
      <c r="B637" s="13" t="s">
        <v>66</v>
      </c>
      <c r="C637" s="13" t="str">
        <f>VLOOKUP([1]Competence!$B31,[1]Competence!$B$12:$B$100,1,FALSE)</f>
        <v>Storage management</v>
      </c>
      <c r="D637" s="13" t="str" cm="1">
        <f t="array" ref="D637">_xlfn.XLOOKUP(B637,[1]Baseline!$D$3:$AZ$3,_xlfn.XLOOKUP(C637,[1]Baseline!$B$4:$B$91,[1]Baseline!$D$4:$AZ$91))</f>
        <v>Working</v>
      </c>
      <c r="E637" s="13" t="s">
        <v>373</v>
      </c>
      <c r="F637" s="13">
        <v>3</v>
      </c>
      <c r="G637" s="153">
        <v>2</v>
      </c>
      <c r="H637" s="16">
        <f t="shared" si="9"/>
        <v>-1</v>
      </c>
      <c r="I637" s="13">
        <v>2</v>
      </c>
      <c r="J637" s="160"/>
    </row>
    <row r="638" spans="1:10">
      <c r="A638" s="13" t="s">
        <v>15</v>
      </c>
      <c r="B638" s="13" t="s">
        <v>66</v>
      </c>
      <c r="C638" s="13" t="str">
        <f>VLOOKUP([1]Competence!$B32,[1]Competence!$B$12:$B$100,1,FALSE)</f>
        <v>Digital Forensics</v>
      </c>
      <c r="D638" s="13" t="str" cm="1">
        <f t="array" ref="D638">_xlfn.XLOOKUP(B638,[1]Baseline!$D$3:$AZ$3,_xlfn.XLOOKUP(C638,[1]Baseline!$B$4:$B$91,[1]Baseline!$D$4:$AZ$91))</f>
        <v>No Knowledge</v>
      </c>
      <c r="E638" s="13" t="s">
        <v>376</v>
      </c>
      <c r="F638" s="13">
        <v>3</v>
      </c>
      <c r="G638" s="153">
        <v>0</v>
      </c>
      <c r="H638" s="16">
        <f t="shared" si="9"/>
        <v>-3</v>
      </c>
      <c r="I638" s="13">
        <v>0</v>
      </c>
      <c r="J638" s="160"/>
    </row>
    <row r="639" spans="1:10">
      <c r="A639" s="13" t="s">
        <v>15</v>
      </c>
      <c r="B639" s="13" t="s">
        <v>66</v>
      </c>
      <c r="C639" s="13" t="str">
        <f>VLOOKUP([1]Competence!$B33,[1]Competence!$B$12:$B$100,1,FALSE)</f>
        <v>Penetration testing</v>
      </c>
      <c r="D639" s="13" t="str" cm="1">
        <f t="array" ref="D639">_xlfn.XLOOKUP(B639,[1]Baseline!$D$3:$AZ$3,_xlfn.XLOOKUP(C639,[1]Baseline!$B$4:$B$91,[1]Baseline!$D$4:$AZ$91))</f>
        <v>No Knowledge</v>
      </c>
      <c r="E639" s="13" t="s">
        <v>374</v>
      </c>
      <c r="F639" s="13">
        <v>3</v>
      </c>
      <c r="G639" s="153">
        <v>0</v>
      </c>
      <c r="H639" s="16">
        <f t="shared" si="9"/>
        <v>-3</v>
      </c>
      <c r="I639" s="13">
        <v>0</v>
      </c>
      <c r="J639" s="160"/>
    </row>
    <row r="640" spans="1:10">
      <c r="A640" s="13" t="s">
        <v>15</v>
      </c>
      <c r="B640" s="13" t="s">
        <v>66</v>
      </c>
      <c r="C640" s="13" t="str">
        <f>VLOOKUP([1]Competence!$B34,[1]Competence!$B$12:$B$100,1,FALSE)</f>
        <v>Security Operations</v>
      </c>
      <c r="D640" s="13" t="str" cm="1">
        <f t="array" ref="D640">_xlfn.XLOOKUP(B640,[1]Baseline!$D$3:$AZ$3,_xlfn.XLOOKUP(C640,[1]Baseline!$B$4:$B$91,[1]Baseline!$D$4:$AZ$91))</f>
        <v>Practitioner</v>
      </c>
      <c r="E640" s="13" t="s">
        <v>374</v>
      </c>
      <c r="F640" s="13">
        <v>3</v>
      </c>
      <c r="G640" s="153">
        <v>2</v>
      </c>
      <c r="H640" s="16">
        <f t="shared" si="9"/>
        <v>-1</v>
      </c>
      <c r="I640" s="13">
        <v>2</v>
      </c>
      <c r="J640" s="160"/>
    </row>
    <row r="641" spans="1:10">
      <c r="A641" s="13" t="s">
        <v>15</v>
      </c>
      <c r="B641" s="13" t="s">
        <v>66</v>
      </c>
      <c r="C641" s="13" t="str">
        <f>VLOOKUP([1]Competence!$B35,[1]Competence!$B$12:$B$100,1,FALSE)</f>
        <v>Threat Intelligence</v>
      </c>
      <c r="D641" s="13" t="str" cm="1">
        <f t="array" ref="D641">_xlfn.XLOOKUP(B641,[1]Baseline!$D$3:$AZ$3,_xlfn.XLOOKUP(C641,[1]Baseline!$B$4:$B$91,[1]Baseline!$D$4:$AZ$91))</f>
        <v>No Knowledge</v>
      </c>
      <c r="E641" s="13" t="s">
        <v>374</v>
      </c>
      <c r="F641" s="13">
        <v>3</v>
      </c>
      <c r="G641" s="153">
        <v>0</v>
      </c>
      <c r="H641" s="16">
        <f t="shared" si="9"/>
        <v>-3</v>
      </c>
      <c r="I641" s="13">
        <v>0</v>
      </c>
      <c r="J641" s="160"/>
    </row>
    <row r="642" spans="1:10">
      <c r="A642" s="13" t="s">
        <v>15</v>
      </c>
      <c r="B642" s="13" t="s">
        <v>66</v>
      </c>
      <c r="C642" s="13" t="str">
        <f>VLOOKUP([1]Competence!$B36,[1]Competence!$B$12:$B$100,1,FALSE)</f>
        <v>Vulnerability assessment</v>
      </c>
      <c r="D642" s="13" t="str" cm="1">
        <f t="array" ref="D642">_xlfn.XLOOKUP(B642,[1]Baseline!$D$3:$AZ$3,_xlfn.XLOOKUP(C642,[1]Baseline!$B$4:$B$91,[1]Baseline!$D$4:$AZ$91))</f>
        <v>Working</v>
      </c>
      <c r="E642" s="13" t="s">
        <v>374</v>
      </c>
      <c r="F642" s="13">
        <v>3</v>
      </c>
      <c r="G642" s="153">
        <v>2</v>
      </c>
      <c r="H642" s="16">
        <f t="shared" ref="H642:H705" si="10">I642-F642</f>
        <v>-1</v>
      </c>
      <c r="I642" s="13">
        <v>2</v>
      </c>
      <c r="J642" s="160"/>
    </row>
    <row r="643" spans="1:10">
      <c r="A643" s="13" t="s">
        <v>15</v>
      </c>
      <c r="B643" s="13" t="s">
        <v>66</v>
      </c>
      <c r="C643" s="13" t="str">
        <f>VLOOKUP([1]Competence!$B37,[1]Competence!$B$12:$B$100,1,FALSE)</f>
        <v>Vulnerability Research</v>
      </c>
      <c r="D643" s="13" t="str" cm="1">
        <f t="array" ref="D643">_xlfn.XLOOKUP(B643,[1]Baseline!$D$3:$AZ$3,_xlfn.XLOOKUP(C643,[1]Baseline!$B$4:$B$91,[1]Baseline!$D$4:$AZ$91))</f>
        <v>No Knowledge</v>
      </c>
      <c r="E643" s="13" t="s">
        <v>374</v>
      </c>
      <c r="F643" s="13">
        <v>3</v>
      </c>
      <c r="G643" s="153">
        <v>1</v>
      </c>
      <c r="H643" s="16">
        <f t="shared" si="10"/>
        <v>-2</v>
      </c>
      <c r="I643" s="13">
        <v>1</v>
      </c>
      <c r="J643" s="160"/>
    </row>
    <row r="644" spans="1:10">
      <c r="A644" s="13" t="s">
        <v>15</v>
      </c>
      <c r="B644" s="13" t="s">
        <v>66</v>
      </c>
      <c r="C644" s="13" t="str">
        <f>VLOOKUP([1]Competence!$B38,[1]Competence!$B$12:$B$100,1,FALSE)</f>
        <v>Competency assessment</v>
      </c>
      <c r="D644" s="13" t="str" cm="1">
        <f t="array" ref="D644">_xlfn.XLOOKUP(B644,[1]Baseline!$D$3:$AZ$3,_xlfn.XLOOKUP(C644,[1]Baseline!$B$4:$B$91,[1]Baseline!$D$4:$AZ$91))</f>
        <v>Awareness</v>
      </c>
      <c r="E644" s="13" t="s">
        <v>377</v>
      </c>
      <c r="F644" s="13">
        <v>3</v>
      </c>
      <c r="G644" s="153">
        <v>0</v>
      </c>
      <c r="H644" s="16">
        <f t="shared" si="10"/>
        <v>-3</v>
      </c>
      <c r="I644" s="13">
        <v>0</v>
      </c>
      <c r="J644" s="160"/>
    </row>
    <row r="645" spans="1:10">
      <c r="A645" s="13" t="s">
        <v>15</v>
      </c>
      <c r="B645" s="13" t="s">
        <v>66</v>
      </c>
      <c r="C645" s="13" t="str">
        <f>VLOOKUP([1]Competence!$B39,[1]Competence!$B$12:$B$100,1,FALSE)</f>
        <v>Financial management</v>
      </c>
      <c r="D645" s="13" t="str" cm="1">
        <f t="array" ref="D645">_xlfn.XLOOKUP(B645,[1]Baseline!$D$3:$AZ$3,_xlfn.XLOOKUP(C645,[1]Baseline!$B$4:$B$91,[1]Baseline!$D$4:$AZ$91))</f>
        <v>Working</v>
      </c>
      <c r="E645" s="13" t="s">
        <v>377</v>
      </c>
      <c r="F645" s="13">
        <v>1</v>
      </c>
      <c r="G645" s="153">
        <v>2</v>
      </c>
      <c r="H645" s="16">
        <f t="shared" si="10"/>
        <v>1</v>
      </c>
      <c r="I645" s="13">
        <v>2</v>
      </c>
      <c r="J645" s="160"/>
    </row>
    <row r="646" spans="1:10">
      <c r="A646" s="13" t="s">
        <v>15</v>
      </c>
      <c r="B646" s="13" t="s">
        <v>66</v>
      </c>
      <c r="C646" s="13" t="str">
        <f>VLOOKUP([1]Competence!$B40,[1]Competence!$B$12:$B$100,1,FALSE)</f>
        <v>Organisation design and implementation</v>
      </c>
      <c r="D646" s="13" t="str" cm="1">
        <f t="array" ref="D646">_xlfn.XLOOKUP(B646,[1]Baseline!$D$3:$AZ$3,_xlfn.XLOOKUP(C646,[1]Baseline!$B$4:$B$91,[1]Baseline!$D$4:$AZ$91))</f>
        <v>No Knowledge</v>
      </c>
      <c r="E646" s="13" t="s">
        <v>377</v>
      </c>
      <c r="F646" s="13">
        <v>3</v>
      </c>
      <c r="G646" s="153">
        <v>0</v>
      </c>
      <c r="H646" s="16">
        <f t="shared" si="10"/>
        <v>-3</v>
      </c>
      <c r="I646" s="13">
        <v>0</v>
      </c>
      <c r="J646" s="160"/>
    </row>
    <row r="647" spans="1:10">
      <c r="A647" s="13" t="s">
        <v>15</v>
      </c>
      <c r="B647" s="13" t="s">
        <v>66</v>
      </c>
      <c r="C647" s="13" t="str">
        <f>VLOOKUP([1]Competence!$B41,[1]Competence!$B$12:$B$100,1,FALSE)</f>
        <v>Organisational capability development</v>
      </c>
      <c r="D647" s="13" t="str" cm="1">
        <f t="array" ref="D647">_xlfn.XLOOKUP(B647,[1]Baseline!$D$3:$AZ$3,_xlfn.XLOOKUP(C647,[1]Baseline!$B$4:$B$91,[1]Baseline!$D$4:$AZ$91))</f>
        <v>No Knowledge</v>
      </c>
      <c r="E647" s="13" t="s">
        <v>378</v>
      </c>
      <c r="F647" s="13">
        <v>1</v>
      </c>
      <c r="G647" s="153">
        <v>1</v>
      </c>
      <c r="H647" s="16">
        <f t="shared" si="10"/>
        <v>0</v>
      </c>
      <c r="I647" s="13">
        <v>1</v>
      </c>
      <c r="J647" s="160"/>
    </row>
    <row r="648" spans="1:10">
      <c r="A648" s="13" t="s">
        <v>15</v>
      </c>
      <c r="B648" s="13" t="s">
        <v>66</v>
      </c>
      <c r="C648" s="13" t="str">
        <f>VLOOKUP([1]Competence!$B42,[1]Competence!$B$12:$B$100,1,FALSE)</f>
        <v>Organisational change management</v>
      </c>
      <c r="D648" s="13" t="str" cm="1">
        <f t="array" ref="D648">_xlfn.XLOOKUP(B648,[1]Baseline!$D$3:$AZ$3,_xlfn.XLOOKUP(C648,[1]Baseline!$B$4:$B$91,[1]Baseline!$D$4:$AZ$91))</f>
        <v>No Knowledge</v>
      </c>
      <c r="E648" s="13" t="s">
        <v>49</v>
      </c>
      <c r="F648" s="13">
        <v>2</v>
      </c>
      <c r="G648" s="153">
        <v>1</v>
      </c>
      <c r="H648" s="16">
        <f t="shared" si="10"/>
        <v>-1</v>
      </c>
      <c r="I648" s="13">
        <v>1</v>
      </c>
      <c r="J648" s="160"/>
    </row>
    <row r="649" spans="1:10">
      <c r="A649" s="13" t="s">
        <v>15</v>
      </c>
      <c r="B649" s="13" t="s">
        <v>66</v>
      </c>
      <c r="C649" s="13" t="str">
        <f>VLOOKUP([1]Competence!$B43,[1]Competence!$B$12:$B$100,1,FALSE)</f>
        <v>Performance Management</v>
      </c>
      <c r="D649" s="13" t="str" cm="1">
        <f t="array" ref="D649">_xlfn.XLOOKUP(B649,[1]Baseline!$D$3:$AZ$3,_xlfn.XLOOKUP(C649,[1]Baseline!$B$4:$B$91,[1]Baseline!$D$4:$AZ$91))</f>
        <v>No Knowledge</v>
      </c>
      <c r="E649" s="13" t="s">
        <v>49</v>
      </c>
      <c r="F649" s="13">
        <v>2</v>
      </c>
      <c r="G649" s="153">
        <v>1</v>
      </c>
      <c r="H649" s="16">
        <f t="shared" si="10"/>
        <v>-1</v>
      </c>
      <c r="I649" s="13">
        <v>1</v>
      </c>
      <c r="J649" s="160"/>
    </row>
    <row r="650" spans="1:10">
      <c r="A650" s="13" t="s">
        <v>15</v>
      </c>
      <c r="B650" s="13" t="s">
        <v>66</v>
      </c>
      <c r="C650" s="13" t="str">
        <f>VLOOKUP([1]Competence!$B44,[1]Competence!$B$12:$B$100,1,FALSE)</f>
        <v>Professional Development</v>
      </c>
      <c r="D650" s="13" t="str" cm="1">
        <f t="array" ref="D650">_xlfn.XLOOKUP(B650,[1]Baseline!$D$3:$AZ$3,_xlfn.XLOOKUP(C650,[1]Baseline!$B$4:$B$91,[1]Baseline!$D$4:$AZ$91))</f>
        <v>No Knowledge</v>
      </c>
      <c r="E650" s="13" t="s">
        <v>49</v>
      </c>
      <c r="F650" s="13">
        <v>2</v>
      </c>
      <c r="G650" s="153">
        <v>1</v>
      </c>
      <c r="H650" s="16">
        <f t="shared" si="10"/>
        <v>-1</v>
      </c>
      <c r="I650" s="13">
        <v>1</v>
      </c>
      <c r="J650" s="160"/>
    </row>
    <row r="651" spans="1:10">
      <c r="A651" s="13" t="s">
        <v>15</v>
      </c>
      <c r="B651" s="13" t="s">
        <v>66</v>
      </c>
      <c r="C651" s="13" t="str">
        <f>VLOOKUP([1]Competence!$B45,[1]Competence!$B$12:$B$100,1,FALSE)</f>
        <v>Strategic Planning</v>
      </c>
      <c r="D651" s="13" t="str" cm="1">
        <f t="array" ref="D651">_xlfn.XLOOKUP(B651,[1]Baseline!$D$3:$AZ$3,_xlfn.XLOOKUP(C651,[1]Baseline!$B$4:$B$91,[1]Baseline!$D$4:$AZ$91))</f>
        <v>No Knowledge</v>
      </c>
      <c r="E651" s="13" t="s">
        <v>49</v>
      </c>
      <c r="F651" s="13">
        <v>1</v>
      </c>
      <c r="G651" s="153">
        <v>0</v>
      </c>
      <c r="H651" s="16">
        <f t="shared" si="10"/>
        <v>-1</v>
      </c>
      <c r="I651" s="13">
        <v>0</v>
      </c>
      <c r="J651" s="160"/>
    </row>
    <row r="652" spans="1:10">
      <c r="A652" s="13" t="s">
        <v>15</v>
      </c>
      <c r="B652" s="13" t="s">
        <v>66</v>
      </c>
      <c r="C652" s="13" t="str">
        <f>VLOOKUP([1]Competence!$B46,[1]Competence!$B$12:$B$100,1,FALSE)</f>
        <v>Workforce Planning</v>
      </c>
      <c r="D652" s="13" t="str" cm="1">
        <f t="array" ref="D652">_xlfn.XLOOKUP(B652,[1]Baseline!$D$3:$AZ$3,_xlfn.XLOOKUP(C652,[1]Baseline!$B$4:$B$91,[1]Baseline!$D$4:$AZ$91))</f>
        <v>No Knowledge</v>
      </c>
      <c r="E652" s="13" t="s">
        <v>375</v>
      </c>
      <c r="F652" s="13">
        <v>2</v>
      </c>
      <c r="G652" s="153">
        <v>1</v>
      </c>
      <c r="H652" s="16">
        <f t="shared" si="10"/>
        <v>-1</v>
      </c>
      <c r="I652" s="13">
        <v>1</v>
      </c>
      <c r="J652" s="160"/>
    </row>
    <row r="653" spans="1:10">
      <c r="A653" s="13" t="s">
        <v>15</v>
      </c>
      <c r="B653" s="13" t="s">
        <v>66</v>
      </c>
      <c r="C653" s="13" t="str">
        <f>VLOOKUP([1]Competence!$B47,[1]Competence!$B$12:$B$100,1,FALSE)</f>
        <v>Audit</v>
      </c>
      <c r="D653" s="13" t="str" cm="1">
        <f t="array" ref="D653">_xlfn.XLOOKUP(B653,[1]Baseline!$D$3:$AZ$3,_xlfn.XLOOKUP(C653,[1]Baseline!$B$4:$B$91,[1]Baseline!$D$4:$AZ$91))</f>
        <v>Working</v>
      </c>
      <c r="E653" s="13" t="s">
        <v>375</v>
      </c>
      <c r="F653" s="13">
        <v>3</v>
      </c>
      <c r="G653" s="153">
        <v>1</v>
      </c>
      <c r="H653" s="16">
        <f t="shared" si="10"/>
        <v>-2</v>
      </c>
      <c r="I653" s="13">
        <v>1</v>
      </c>
      <c r="J653" s="160"/>
    </row>
    <row r="654" spans="1:10">
      <c r="A654" s="13" t="s">
        <v>15</v>
      </c>
      <c r="B654" s="13" t="s">
        <v>66</v>
      </c>
      <c r="C654" s="13" t="str">
        <f>VLOOKUP([1]Competence!$B48,[1]Competence!$B$12:$B$100,1,FALSE)</f>
        <v>Contract management</v>
      </c>
      <c r="D654" s="13" t="str" cm="1">
        <f t="array" ref="D654">_xlfn.XLOOKUP(B654,[1]Baseline!$D$3:$AZ$3,_xlfn.XLOOKUP(C654,[1]Baseline!$B$4:$B$91,[1]Baseline!$D$4:$AZ$91))</f>
        <v>Working</v>
      </c>
      <c r="E654" s="13" t="s">
        <v>375</v>
      </c>
      <c r="F654" s="13">
        <v>3</v>
      </c>
      <c r="G654" s="153">
        <v>0</v>
      </c>
      <c r="H654" s="16">
        <f t="shared" si="10"/>
        <v>-3</v>
      </c>
      <c r="I654" s="13">
        <v>0</v>
      </c>
      <c r="J654" s="160"/>
    </row>
    <row r="655" spans="1:10">
      <c r="A655" s="13" t="s">
        <v>15</v>
      </c>
      <c r="B655" s="13" t="s">
        <v>66</v>
      </c>
      <c r="C655" s="13" t="str">
        <f>VLOOKUP([1]Competence!$B49,[1]Competence!$B$12:$B$100,1,FALSE)</f>
        <v>Feasibility assessment</v>
      </c>
      <c r="D655" s="13" t="str" cm="1">
        <f t="array" ref="D655">_xlfn.XLOOKUP(B655,[1]Baseline!$D$3:$AZ$3,_xlfn.XLOOKUP(C655,[1]Baseline!$B$4:$B$91,[1]Baseline!$D$4:$AZ$91))</f>
        <v>Working</v>
      </c>
      <c r="E655" s="13" t="s">
        <v>373</v>
      </c>
      <c r="F655" s="13">
        <v>3</v>
      </c>
      <c r="G655" s="153">
        <v>1</v>
      </c>
      <c r="H655" s="16">
        <f t="shared" si="10"/>
        <v>-2</v>
      </c>
      <c r="I655" s="13">
        <v>1</v>
      </c>
      <c r="J655" s="160"/>
    </row>
    <row r="656" spans="1:10">
      <c r="A656" s="13" t="s">
        <v>15</v>
      </c>
      <c r="B656" s="13" t="s">
        <v>66</v>
      </c>
      <c r="C656" s="13" t="str">
        <f>VLOOKUP([1]Competence!$B50,[1]Competence!$B$12:$B$100,1,FALSE)</f>
        <v>Governance</v>
      </c>
      <c r="D656" s="13" t="str" cm="1">
        <f t="array" ref="D656">_xlfn.XLOOKUP(B656,[1]Baseline!$D$3:$AZ$3,_xlfn.XLOOKUP(C656,[1]Baseline!$B$4:$B$91,[1]Baseline!$D$4:$AZ$91))</f>
        <v>Working</v>
      </c>
      <c r="E656" s="13" t="s">
        <v>376</v>
      </c>
      <c r="F656" s="13">
        <v>3</v>
      </c>
      <c r="G656" s="153">
        <v>1</v>
      </c>
      <c r="H656" s="16">
        <f t="shared" si="10"/>
        <v>-2</v>
      </c>
      <c r="I656" s="13">
        <v>1</v>
      </c>
      <c r="J656" s="160"/>
    </row>
    <row r="657" spans="1:10">
      <c r="A657" s="13" t="s">
        <v>15</v>
      </c>
      <c r="B657" s="13" t="s">
        <v>66</v>
      </c>
      <c r="C657" s="13" t="str">
        <f>VLOOKUP([1]Competence!$B51,[1]Competence!$B$12:$B$100,1,FALSE)</f>
        <v>Risk management</v>
      </c>
      <c r="D657" s="13" t="str" cm="1">
        <f t="array" ref="D657">_xlfn.XLOOKUP(B657,[1]Baseline!$D$3:$AZ$3,_xlfn.XLOOKUP(C657,[1]Baseline!$B$4:$B$91,[1]Baseline!$D$4:$AZ$91))</f>
        <v>No Knowledge</v>
      </c>
      <c r="E657" s="13" t="s">
        <v>376</v>
      </c>
      <c r="F657" s="13">
        <v>3</v>
      </c>
      <c r="G657" s="153">
        <v>1</v>
      </c>
      <c r="H657" s="16">
        <f t="shared" si="10"/>
        <v>-2</v>
      </c>
      <c r="I657" s="13">
        <v>1</v>
      </c>
      <c r="J657" s="160"/>
    </row>
    <row r="658" spans="1:10">
      <c r="A658" s="13" t="s">
        <v>15</v>
      </c>
      <c r="B658" s="13" t="s">
        <v>66</v>
      </c>
      <c r="C658" s="13" t="str">
        <f>VLOOKUP([1]Competence!$B52,[1]Competence!$B$12:$B$100,1,FALSE)</f>
        <v>Sourcing</v>
      </c>
      <c r="D658" s="13" t="str" cm="1">
        <f t="array" ref="D658">_xlfn.XLOOKUP(B658,[1]Baseline!$D$3:$AZ$3,_xlfn.XLOOKUP(C658,[1]Baseline!$B$4:$B$91,[1]Baseline!$D$4:$AZ$91))</f>
        <v>Practitioner</v>
      </c>
      <c r="E658" s="13" t="s">
        <v>376</v>
      </c>
      <c r="F658" s="13">
        <v>3</v>
      </c>
      <c r="G658" s="153">
        <v>3</v>
      </c>
      <c r="H658" s="16">
        <f t="shared" si="10"/>
        <v>0</v>
      </c>
      <c r="I658" s="13">
        <v>3</v>
      </c>
      <c r="J658" s="160"/>
    </row>
    <row r="659" spans="1:10">
      <c r="A659" s="13" t="s">
        <v>15</v>
      </c>
      <c r="B659" s="13" t="s">
        <v>66</v>
      </c>
      <c r="C659" s="13" t="str">
        <f>VLOOKUP([1]Competence!$B53,[1]Competence!$B$12:$B$100,1,FALSE)</f>
        <v>Supplier management</v>
      </c>
      <c r="D659" s="13" t="str" cm="1">
        <f t="array" ref="D659">_xlfn.XLOOKUP(B659,[1]Baseline!$D$3:$AZ$3,_xlfn.XLOOKUP(C659,[1]Baseline!$B$4:$B$91,[1]Baseline!$D$4:$AZ$91))</f>
        <v>Practitioner</v>
      </c>
      <c r="E659" s="13" t="s">
        <v>376</v>
      </c>
      <c r="F659" s="13">
        <v>3</v>
      </c>
      <c r="G659" s="153">
        <v>1</v>
      </c>
      <c r="H659" s="16">
        <f t="shared" si="10"/>
        <v>-2</v>
      </c>
      <c r="I659" s="13">
        <v>1</v>
      </c>
      <c r="J659" s="160"/>
    </row>
    <row r="660" spans="1:10">
      <c r="A660" s="13" t="s">
        <v>15</v>
      </c>
      <c r="B660" s="13" t="s">
        <v>66</v>
      </c>
      <c r="C660" s="13" t="str">
        <f>VLOOKUP([1]Competence!$B54,[1]Competence!$B$12:$B$100,1,FALSE)</f>
        <v>Sustainability</v>
      </c>
      <c r="D660" s="13" t="str" cm="1">
        <f t="array" ref="D660">_xlfn.XLOOKUP(B660,[1]Baseline!$D$3:$AZ$3,_xlfn.XLOOKUP(C660,[1]Baseline!$B$4:$B$91,[1]Baseline!$D$4:$AZ$91))</f>
        <v>Awareness</v>
      </c>
      <c r="E660" s="13" t="s">
        <v>376</v>
      </c>
      <c r="F660" s="13">
        <v>3</v>
      </c>
      <c r="G660" s="153">
        <v>0</v>
      </c>
      <c r="H660" s="16">
        <f t="shared" si="10"/>
        <v>-3</v>
      </c>
      <c r="I660" s="13">
        <v>0</v>
      </c>
      <c r="J660" s="160"/>
    </row>
    <row r="661" spans="1:10">
      <c r="A661" s="13" t="s">
        <v>15</v>
      </c>
      <c r="B661" s="13" t="s">
        <v>66</v>
      </c>
      <c r="C661" s="13" t="str">
        <f>VLOOKUP([1]Competence!$B55,[1]Competence!$B$12:$B$100,1,FALSE)</f>
        <v>Acceptance testing</v>
      </c>
      <c r="D661" s="13" t="str" cm="1">
        <f t="array" ref="D661">_xlfn.XLOOKUP(B661,[1]Baseline!$D$3:$AZ$3,_xlfn.XLOOKUP(C661,[1]Baseline!$B$4:$B$91,[1]Baseline!$D$4:$AZ$91))</f>
        <v>Working</v>
      </c>
      <c r="E661" s="13" t="s">
        <v>374</v>
      </c>
      <c r="F661" s="13">
        <v>3</v>
      </c>
      <c r="G661" s="153">
        <v>1</v>
      </c>
      <c r="H661" s="16">
        <f t="shared" si="10"/>
        <v>-2</v>
      </c>
      <c r="I661" s="13">
        <v>1</v>
      </c>
      <c r="J661" s="160"/>
    </row>
    <row r="662" spans="1:10">
      <c r="A662" s="13" t="s">
        <v>15</v>
      </c>
      <c r="B662" s="13" t="s">
        <v>66</v>
      </c>
      <c r="C662" s="13" t="str">
        <f>VLOOKUP([1]Competence!$B56,[1]Competence!$B$12:$B$100,1,FALSE)</f>
        <v>Application support</v>
      </c>
      <c r="D662" s="13" t="str" cm="1">
        <f t="array" ref="D662">_xlfn.XLOOKUP(B662,[1]Baseline!$D$3:$AZ$3,_xlfn.XLOOKUP(C662,[1]Baseline!$B$4:$B$91,[1]Baseline!$D$4:$AZ$91))</f>
        <v>Working</v>
      </c>
      <c r="E662" s="13" t="s">
        <v>374</v>
      </c>
      <c r="F662" s="13">
        <v>3</v>
      </c>
      <c r="G662" s="153">
        <v>2</v>
      </c>
      <c r="H662" s="16">
        <f t="shared" si="10"/>
        <v>-1</v>
      </c>
      <c r="I662" s="13">
        <v>2</v>
      </c>
      <c r="J662" s="160"/>
    </row>
    <row r="663" spans="1:10">
      <c r="A663" s="13" t="s">
        <v>15</v>
      </c>
      <c r="B663" s="13" t="s">
        <v>66</v>
      </c>
      <c r="C663" s="13" t="str">
        <f>VLOOKUP([1]Competence!$B57,[1]Competence!$B$12:$B$100,1,FALSE)</f>
        <v>Data Engineering</v>
      </c>
      <c r="D663" s="13" t="str" cm="1">
        <f t="array" ref="D663">_xlfn.XLOOKUP(B663,[1]Baseline!$D$3:$AZ$3,_xlfn.XLOOKUP(C663,[1]Baseline!$B$4:$B$91,[1]Baseline!$D$4:$AZ$91))</f>
        <v>No Knowledge</v>
      </c>
      <c r="E663" s="13" t="s">
        <v>374</v>
      </c>
      <c r="F663" s="13">
        <v>3</v>
      </c>
      <c r="G663" s="153">
        <v>0</v>
      </c>
      <c r="H663" s="16">
        <f t="shared" si="10"/>
        <v>-3</v>
      </c>
      <c r="I663" s="13">
        <v>0</v>
      </c>
      <c r="J663" s="160"/>
    </row>
    <row r="664" spans="1:10">
      <c r="A664" s="13" t="s">
        <v>15</v>
      </c>
      <c r="B664" s="13" t="s">
        <v>66</v>
      </c>
      <c r="C664" s="13" t="str">
        <f>VLOOKUP([1]Competence!$B58,[1]Competence!$B$12:$B$100,1,FALSE)</f>
        <v>Data Management</v>
      </c>
      <c r="D664" s="13" t="str" cm="1">
        <f t="array" ref="D664">_xlfn.XLOOKUP(B664,[1]Baseline!$D$3:$AZ$3,_xlfn.XLOOKUP(C664,[1]Baseline!$B$4:$B$91,[1]Baseline!$D$4:$AZ$91))</f>
        <v>No Knowledge</v>
      </c>
      <c r="E664" s="13" t="s">
        <v>377</v>
      </c>
      <c r="F664" s="13">
        <v>0</v>
      </c>
      <c r="G664" s="153">
        <v>2</v>
      </c>
      <c r="H664" s="16">
        <f t="shared" si="10"/>
        <v>2</v>
      </c>
      <c r="I664" s="13">
        <v>2</v>
      </c>
      <c r="J664" s="160"/>
    </row>
    <row r="665" spans="1:10">
      <c r="A665" s="13" t="s">
        <v>15</v>
      </c>
      <c r="B665" s="13" t="s">
        <v>66</v>
      </c>
      <c r="C665" s="13" t="str">
        <f>VLOOKUP([1]Competence!$B59,[1]Competence!$B$12:$B$100,1,FALSE)</f>
        <v>Data Modelling and Design</v>
      </c>
      <c r="D665" s="13" t="str" cm="1">
        <f t="array" ref="D665">_xlfn.XLOOKUP(B665,[1]Baseline!$D$3:$AZ$3,_xlfn.XLOOKUP(C665,[1]Baseline!$B$4:$B$91,[1]Baseline!$D$4:$AZ$91))</f>
        <v>No Knowledge</v>
      </c>
      <c r="E665" s="13" t="s">
        <v>377</v>
      </c>
      <c r="F665" s="13">
        <v>1</v>
      </c>
      <c r="G665" s="153">
        <v>1</v>
      </c>
      <c r="H665" s="16">
        <f t="shared" si="10"/>
        <v>0</v>
      </c>
      <c r="I665" s="13">
        <v>1</v>
      </c>
      <c r="J665" s="160"/>
    </row>
    <row r="666" spans="1:10">
      <c r="A666" s="13" t="s">
        <v>15</v>
      </c>
      <c r="B666" s="13" t="s">
        <v>66</v>
      </c>
      <c r="C666" s="13" t="str">
        <f>VLOOKUP([1]Competence!$B60,[1]Competence!$B$12:$B$100,1,FALSE)</f>
        <v>Data science</v>
      </c>
      <c r="D666" s="13" t="str" cm="1">
        <f t="array" ref="D666">_xlfn.XLOOKUP(B666,[1]Baseline!$D$3:$AZ$3,_xlfn.XLOOKUP(C666,[1]Baseline!$B$4:$B$91,[1]Baseline!$D$4:$AZ$91))</f>
        <v>No Knowledge</v>
      </c>
      <c r="E666" s="13" t="s">
        <v>378</v>
      </c>
      <c r="F666" s="13">
        <v>0</v>
      </c>
      <c r="G666" s="153">
        <v>0</v>
      </c>
      <c r="H666" s="16">
        <f t="shared" si="10"/>
        <v>0</v>
      </c>
      <c r="I666" s="13">
        <v>0</v>
      </c>
      <c r="J666" s="160"/>
    </row>
    <row r="667" spans="1:10">
      <c r="A667" s="13" t="s">
        <v>15</v>
      </c>
      <c r="B667" s="13" t="s">
        <v>66</v>
      </c>
      <c r="C667" s="13" t="str">
        <f>VLOOKUP([1]Competence!$B61,[1]Competence!$B$12:$B$100,1,FALSE)</f>
        <v>Data visualisation</v>
      </c>
      <c r="D667" s="13" t="str" cm="1">
        <f t="array" ref="D667">_xlfn.XLOOKUP(B667,[1]Baseline!$D$3:$AZ$3,_xlfn.XLOOKUP(C667,[1]Baseline!$B$4:$B$91,[1]Baseline!$D$4:$AZ$91))</f>
        <v>No Knowledge</v>
      </c>
      <c r="E667" s="13" t="s">
        <v>378</v>
      </c>
      <c r="F667" s="13">
        <v>1</v>
      </c>
      <c r="G667" s="153">
        <v>1</v>
      </c>
      <c r="H667" s="16">
        <f t="shared" si="10"/>
        <v>0</v>
      </c>
      <c r="I667" s="13">
        <v>1</v>
      </c>
      <c r="J667" s="160"/>
    </row>
    <row r="668" spans="1:10">
      <c r="A668" s="13" t="s">
        <v>15</v>
      </c>
      <c r="B668" s="13" t="s">
        <v>66</v>
      </c>
      <c r="C668" s="13" t="str">
        <f>VLOOKUP([1]Competence!$B62,[1]Competence!$B$12:$B$100,1,FALSE)</f>
        <v>Database Administration</v>
      </c>
      <c r="D668" s="13" t="str" cm="1">
        <f t="array" ref="D668">_xlfn.XLOOKUP(B668,[1]Baseline!$D$3:$AZ$3,_xlfn.XLOOKUP(C668,[1]Baseline!$B$4:$B$91,[1]Baseline!$D$4:$AZ$91))</f>
        <v>No Knowledge</v>
      </c>
      <c r="E668" s="13" t="s">
        <v>378</v>
      </c>
      <c r="F668" s="13">
        <v>0</v>
      </c>
      <c r="G668" s="153">
        <v>0</v>
      </c>
      <c r="H668" s="16">
        <f t="shared" si="10"/>
        <v>0</v>
      </c>
      <c r="I668" s="13">
        <v>0</v>
      </c>
      <c r="J668" s="160"/>
    </row>
    <row r="669" spans="1:10">
      <c r="A669" s="13" t="s">
        <v>15</v>
      </c>
      <c r="B669" s="13" t="s">
        <v>66</v>
      </c>
      <c r="C669" s="13" t="str">
        <f>VLOOKUP([1]Competence!$B63,[1]Competence!$B$12:$B$100,1,FALSE)</f>
        <v>Database Design</v>
      </c>
      <c r="D669" s="13" t="str" cm="1">
        <f t="array" ref="D669">_xlfn.XLOOKUP(B669,[1]Baseline!$D$3:$AZ$3,_xlfn.XLOOKUP(C669,[1]Baseline!$B$4:$B$91,[1]Baseline!$D$4:$AZ$91))</f>
        <v>No Knowledge</v>
      </c>
      <c r="E669" s="13" t="s">
        <v>49</v>
      </c>
      <c r="F669" s="13">
        <v>1</v>
      </c>
      <c r="G669" s="153">
        <v>1</v>
      </c>
      <c r="H669" s="16">
        <f t="shared" si="10"/>
        <v>0</v>
      </c>
      <c r="I669" s="13">
        <v>1</v>
      </c>
      <c r="J669" s="160"/>
    </row>
    <row r="670" spans="1:10">
      <c r="A670" s="13" t="s">
        <v>15</v>
      </c>
      <c r="B670" s="13" t="s">
        <v>66</v>
      </c>
      <c r="C670" s="13" t="str">
        <f>VLOOKUP([1]Competence!$B64,[1]Competence!$B$12:$B$100,1,FALSE)</f>
        <v>Hardware design</v>
      </c>
      <c r="D670" s="13" t="str" cm="1">
        <f t="array" ref="D670">_xlfn.XLOOKUP(B670,[1]Baseline!$D$3:$AZ$3,_xlfn.XLOOKUP(C670,[1]Baseline!$B$4:$B$91,[1]Baseline!$D$4:$AZ$91))</f>
        <v>No Knowledge</v>
      </c>
      <c r="E670" s="13" t="s">
        <v>49</v>
      </c>
      <c r="F670" s="13">
        <v>1</v>
      </c>
      <c r="G670" s="153">
        <v>1</v>
      </c>
      <c r="H670" s="16">
        <f t="shared" si="10"/>
        <v>0</v>
      </c>
      <c r="I670" s="13">
        <v>1</v>
      </c>
      <c r="J670" s="160"/>
    </row>
    <row r="671" spans="1:10">
      <c r="A671" s="13" t="s">
        <v>15</v>
      </c>
      <c r="B671" s="13" t="s">
        <v>66</v>
      </c>
      <c r="C671" s="13" t="str">
        <f>VLOOKUP([1]Competence!$B65,[1]Competence!$B$12:$B$100,1,FALSE)</f>
        <v>High Performance Computing</v>
      </c>
      <c r="D671" s="13" t="str" cm="1">
        <f t="array" ref="D671">_xlfn.XLOOKUP(B671,[1]Baseline!$D$3:$AZ$3,_xlfn.XLOOKUP(C671,[1]Baseline!$B$4:$B$91,[1]Baseline!$D$4:$AZ$91))</f>
        <v>Awareness</v>
      </c>
      <c r="E671" s="13" t="s">
        <v>375</v>
      </c>
      <c r="F671" s="13">
        <v>0</v>
      </c>
      <c r="G671" s="153">
        <v>1</v>
      </c>
      <c r="H671" s="16">
        <f t="shared" si="10"/>
        <v>1</v>
      </c>
      <c r="I671" s="13">
        <v>1</v>
      </c>
      <c r="J671" s="160"/>
    </row>
    <row r="672" spans="1:10">
      <c r="A672" s="13" t="s">
        <v>15</v>
      </c>
      <c r="B672" s="13" t="s">
        <v>66</v>
      </c>
      <c r="C672" s="13" t="str">
        <f>VLOOKUP([1]Competence!$B66,[1]Competence!$B$12:$B$100,1,FALSE)</f>
        <v>Research Computing</v>
      </c>
      <c r="D672" s="13" t="str" cm="1">
        <f t="array" ref="D672">_xlfn.XLOOKUP(B672,[1]Baseline!$D$3:$AZ$3,_xlfn.XLOOKUP(C672,[1]Baseline!$B$4:$B$91,[1]Baseline!$D$4:$AZ$91))</f>
        <v>Awareness</v>
      </c>
      <c r="E672" s="13" t="s">
        <v>375</v>
      </c>
      <c r="F672" s="13">
        <v>0</v>
      </c>
      <c r="G672" s="153">
        <v>1</v>
      </c>
      <c r="H672" s="16">
        <f t="shared" si="10"/>
        <v>1</v>
      </c>
      <c r="I672" s="13">
        <v>1</v>
      </c>
      <c r="J672" s="160"/>
    </row>
    <row r="673" spans="1:10">
      <c r="A673" s="13" t="s">
        <v>15</v>
      </c>
      <c r="B673" s="13" t="s">
        <v>66</v>
      </c>
      <c r="C673" s="13" t="str">
        <f>VLOOKUP([1]Competence!$B67,[1]Competence!$B$12:$B$100,1,FALSE)</f>
        <v>Information assurance</v>
      </c>
      <c r="D673" s="13" t="str" cm="1">
        <f t="array" ref="D673">_xlfn.XLOOKUP(B673,[1]Baseline!$D$3:$AZ$3,_xlfn.XLOOKUP(C673,[1]Baseline!$B$4:$B$91,[1]Baseline!$D$4:$AZ$91))</f>
        <v>Working</v>
      </c>
      <c r="E673" s="13" t="s">
        <v>375</v>
      </c>
      <c r="F673" s="13">
        <v>1</v>
      </c>
      <c r="G673" s="153">
        <v>2</v>
      </c>
      <c r="H673" s="16">
        <f t="shared" si="10"/>
        <v>1</v>
      </c>
      <c r="I673" s="13">
        <v>2</v>
      </c>
      <c r="J673" s="160"/>
    </row>
    <row r="674" spans="1:10">
      <c r="A674" s="13" t="s">
        <v>15</v>
      </c>
      <c r="B674" s="13" t="s">
        <v>66</v>
      </c>
      <c r="C674" s="13" t="str">
        <f>VLOOKUP([1]Competence!$B68,[1]Competence!$B$12:$B$100,1,FALSE)</f>
        <v>Information management</v>
      </c>
      <c r="D674" s="13" t="str" cm="1">
        <f t="array" ref="D674">_xlfn.XLOOKUP(B674,[1]Baseline!$D$3:$AZ$3,_xlfn.XLOOKUP(C674,[1]Baseline!$B$4:$B$91,[1]Baseline!$D$4:$AZ$91))</f>
        <v>Awareness</v>
      </c>
      <c r="E674" s="13" t="s">
        <v>375</v>
      </c>
      <c r="F674" s="13">
        <v>1</v>
      </c>
      <c r="G674" s="153">
        <v>1</v>
      </c>
      <c r="H674" s="16">
        <f t="shared" si="10"/>
        <v>0</v>
      </c>
      <c r="I674" s="13">
        <v>1</v>
      </c>
      <c r="J674" s="160"/>
    </row>
    <row r="675" spans="1:10">
      <c r="A675" s="13" t="s">
        <v>15</v>
      </c>
      <c r="B675" s="13" t="s">
        <v>66</v>
      </c>
      <c r="C675" s="13" t="str">
        <f>VLOOKUP([1]Competence!$B69,[1]Competence!$B$12:$B$100,1,FALSE)</f>
        <v>Infrastructure</v>
      </c>
      <c r="D675" s="13" t="str" cm="1">
        <f t="array" ref="D675">_xlfn.XLOOKUP(B675,[1]Baseline!$D$3:$AZ$3,_xlfn.XLOOKUP(C675,[1]Baseline!$B$4:$B$91,[1]Baseline!$D$4:$AZ$91))</f>
        <v>Working</v>
      </c>
      <c r="E675" s="13" t="s">
        <v>375</v>
      </c>
      <c r="F675" s="13">
        <v>0</v>
      </c>
      <c r="G675" s="153">
        <v>2</v>
      </c>
      <c r="H675" s="16">
        <f t="shared" si="10"/>
        <v>2</v>
      </c>
      <c r="I675" s="13">
        <v>2</v>
      </c>
      <c r="J675" s="160"/>
    </row>
    <row r="676" spans="1:10">
      <c r="A676" s="13" t="s">
        <v>15</v>
      </c>
      <c r="B676" s="13" t="s">
        <v>66</v>
      </c>
      <c r="C676" s="13" t="str">
        <f>VLOOKUP([1]Competence!$B70,[1]Competence!$B$12:$B$100,1,FALSE)</f>
        <v>Network design</v>
      </c>
      <c r="D676" s="13" t="str" cm="1">
        <f t="array" ref="D676">_xlfn.XLOOKUP(B676,[1]Baseline!$D$3:$AZ$3,_xlfn.XLOOKUP(C676,[1]Baseline!$B$4:$B$91,[1]Baseline!$D$4:$AZ$91))</f>
        <v>No Knowledge</v>
      </c>
      <c r="E676" s="13" t="s">
        <v>375</v>
      </c>
      <c r="F676" s="13">
        <v>0</v>
      </c>
      <c r="G676" s="153">
        <v>1</v>
      </c>
      <c r="H676" s="16">
        <f t="shared" si="10"/>
        <v>1</v>
      </c>
      <c r="I676" s="13">
        <v>1</v>
      </c>
      <c r="J676" s="160"/>
    </row>
    <row r="677" spans="1:10">
      <c r="A677" s="13" t="s">
        <v>15</v>
      </c>
      <c r="B677" s="13" t="s">
        <v>66</v>
      </c>
      <c r="C677" s="13" t="str">
        <f>VLOOKUP([1]Competence!$B71,[1]Competence!$B$12:$B$100,1,FALSE)</f>
        <v>Network Analytics</v>
      </c>
      <c r="D677" s="13" t="str" cm="1">
        <f t="array" ref="D677">_xlfn.XLOOKUP(B677,[1]Baseline!$D$3:$AZ$3,_xlfn.XLOOKUP(C677,[1]Baseline!$B$4:$B$91,[1]Baseline!$D$4:$AZ$91))</f>
        <v>No Knowledge</v>
      </c>
      <c r="E677" s="13" t="s">
        <v>375</v>
      </c>
      <c r="F677" s="13">
        <v>0</v>
      </c>
      <c r="G677" s="153">
        <v>1</v>
      </c>
      <c r="H677" s="16">
        <f t="shared" si="10"/>
        <v>1</v>
      </c>
      <c r="I677" s="13">
        <v>1</v>
      </c>
      <c r="J677" s="160"/>
    </row>
    <row r="678" spans="1:10">
      <c r="A678" s="13" t="s">
        <v>15</v>
      </c>
      <c r="B678" s="13" t="s">
        <v>66</v>
      </c>
      <c r="C678" s="13" t="str">
        <f>VLOOKUP([1]Competence!$B72,[1]Competence!$B$12:$B$100,1,FALSE)</f>
        <v>Network support</v>
      </c>
      <c r="D678" s="13" t="str" cm="1">
        <f t="array" ref="D678">_xlfn.XLOOKUP(B678,[1]Baseline!$D$3:$AZ$3,_xlfn.XLOOKUP(C678,[1]Baseline!$B$4:$B$91,[1]Baseline!$D$4:$AZ$91))</f>
        <v>Working</v>
      </c>
      <c r="E678" s="13" t="s">
        <v>375</v>
      </c>
      <c r="F678" s="13">
        <v>0</v>
      </c>
      <c r="G678" s="153">
        <v>2</v>
      </c>
      <c r="H678" s="16">
        <f t="shared" si="10"/>
        <v>2</v>
      </c>
      <c r="I678" s="13">
        <v>2</v>
      </c>
      <c r="J678" s="160"/>
    </row>
    <row r="679" spans="1:10">
      <c r="A679" s="13" t="s">
        <v>15</v>
      </c>
      <c r="B679" s="13" t="s">
        <v>66</v>
      </c>
      <c r="C679" s="13" t="str">
        <f>VLOOKUP([1]Competence!$B73,[1]Competence!$B$12:$B$100,1,FALSE)</f>
        <v>Programming/software development</v>
      </c>
      <c r="D679" s="13" t="str" cm="1">
        <f t="array" ref="D679">_xlfn.XLOOKUP(B679,[1]Baseline!$D$3:$AZ$3,_xlfn.XLOOKUP(C679,[1]Baseline!$B$4:$B$91,[1]Baseline!$D$4:$AZ$91))</f>
        <v>No Knowledge</v>
      </c>
      <c r="E679" s="13" t="s">
        <v>375</v>
      </c>
      <c r="F679" s="13">
        <v>3</v>
      </c>
      <c r="G679" s="153">
        <v>1</v>
      </c>
      <c r="H679" s="16">
        <f t="shared" si="10"/>
        <v>-2</v>
      </c>
      <c r="I679" s="13">
        <v>1</v>
      </c>
      <c r="J679" s="160"/>
    </row>
    <row r="680" spans="1:10">
      <c r="A680" s="13" t="s">
        <v>15</v>
      </c>
      <c r="B680" s="13" t="s">
        <v>66</v>
      </c>
      <c r="C680" s="13" t="str">
        <f>VLOOKUP([1]Competence!$B74,[1]Competence!$B$12:$B$100,1,FALSE)</f>
        <v>Real-time/embedded systems development</v>
      </c>
      <c r="D680" s="13" t="str" cm="1">
        <f t="array" ref="D680">_xlfn.XLOOKUP(B680,[1]Baseline!$D$3:$AZ$3,_xlfn.XLOOKUP(C680,[1]Baseline!$B$4:$B$91,[1]Baseline!$D$4:$AZ$91))</f>
        <v>No Knowledge</v>
      </c>
      <c r="E680" s="13" t="s">
        <v>375</v>
      </c>
      <c r="F680" s="13">
        <v>3</v>
      </c>
      <c r="G680" s="153">
        <v>0</v>
      </c>
      <c r="H680" s="16">
        <f t="shared" si="10"/>
        <v>-3</v>
      </c>
      <c r="I680" s="13">
        <v>0</v>
      </c>
      <c r="J680" s="160"/>
    </row>
    <row r="681" spans="1:10">
      <c r="A681" s="13" t="s">
        <v>15</v>
      </c>
      <c r="B681" s="13" t="s">
        <v>66</v>
      </c>
      <c r="C681" s="13" t="str">
        <f>VLOOKUP([1]Competence!$B75,[1]Competence!$B$12:$B$100,1,FALSE)</f>
        <v>Requirements definition and management</v>
      </c>
      <c r="D681" s="13" t="str" cm="1">
        <f t="array" ref="D681">_xlfn.XLOOKUP(B681,[1]Baseline!$D$3:$AZ$3,_xlfn.XLOOKUP(C681,[1]Baseline!$B$4:$B$91,[1]Baseline!$D$4:$AZ$91))</f>
        <v>No Knowledge</v>
      </c>
      <c r="E681" s="13" t="s">
        <v>375</v>
      </c>
      <c r="F681" s="13">
        <v>0</v>
      </c>
      <c r="G681" s="153">
        <v>1</v>
      </c>
      <c r="H681" s="16">
        <f t="shared" si="10"/>
        <v>1</v>
      </c>
      <c r="I681" s="13">
        <v>1</v>
      </c>
      <c r="J681" s="160"/>
    </row>
    <row r="682" spans="1:10">
      <c r="A682" s="13" t="s">
        <v>15</v>
      </c>
      <c r="B682" s="13" t="s">
        <v>66</v>
      </c>
      <c r="C682" s="13" t="str">
        <f>VLOOKUP([1]Competence!$B76,[1]Competence!$B$12:$B$100,1,FALSE)</f>
        <v>Software configuration</v>
      </c>
      <c r="D682" s="13" t="str" cm="1">
        <f t="array" ref="D682">_xlfn.XLOOKUP(B682,[1]Baseline!$D$3:$AZ$3,_xlfn.XLOOKUP(C682,[1]Baseline!$B$4:$B$91,[1]Baseline!$D$4:$AZ$91))</f>
        <v>No Knowledge</v>
      </c>
      <c r="E682" s="13" t="s">
        <v>373</v>
      </c>
      <c r="F682" s="13">
        <v>0</v>
      </c>
      <c r="G682" s="153">
        <v>1</v>
      </c>
      <c r="H682" s="16">
        <f t="shared" si="10"/>
        <v>1</v>
      </c>
      <c r="I682" s="13">
        <v>1</v>
      </c>
      <c r="J682" s="160"/>
    </row>
    <row r="683" spans="1:10">
      <c r="A683" s="13" t="s">
        <v>15</v>
      </c>
      <c r="B683" s="13" t="s">
        <v>66</v>
      </c>
      <c r="C683" s="13" t="str">
        <f>VLOOKUP([1]Competence!$B77,[1]Competence!$B$12:$B$100,1,FALSE)</f>
        <v>Software design</v>
      </c>
      <c r="D683" s="13" t="str" cm="1">
        <f t="array" ref="D683">_xlfn.XLOOKUP(B683,[1]Baseline!$D$3:$AZ$3,_xlfn.XLOOKUP(C683,[1]Baseline!$B$4:$B$91,[1]Baseline!$D$4:$AZ$91))</f>
        <v>No Knowledge</v>
      </c>
      <c r="E683" s="13" t="s">
        <v>373</v>
      </c>
      <c r="F683" s="13">
        <v>0</v>
      </c>
      <c r="G683" s="153">
        <v>0</v>
      </c>
      <c r="H683" s="16">
        <f t="shared" si="10"/>
        <v>0</v>
      </c>
      <c r="I683" s="13">
        <v>0</v>
      </c>
      <c r="J683" s="160"/>
    </row>
    <row r="684" spans="1:10">
      <c r="A684" s="13" t="s">
        <v>15</v>
      </c>
      <c r="B684" s="13" t="s">
        <v>66</v>
      </c>
      <c r="C684" s="13" t="str">
        <f>VLOOKUP([1]Competence!$B78,[1]Competence!$B$12:$B$100,1,FALSE)</f>
        <v>Solution architecture</v>
      </c>
      <c r="D684" s="13" t="str" cm="1">
        <f t="array" ref="D684">_xlfn.XLOOKUP(B684,[1]Baseline!$D$3:$AZ$3,_xlfn.XLOOKUP(C684,[1]Baseline!$B$4:$B$91,[1]Baseline!$D$4:$AZ$91))</f>
        <v>No Knowledge</v>
      </c>
      <c r="E684" s="13" t="s">
        <v>376</v>
      </c>
      <c r="F684" s="13">
        <v>2</v>
      </c>
      <c r="G684" s="153">
        <v>0</v>
      </c>
      <c r="H684" s="16">
        <f t="shared" si="10"/>
        <v>-2</v>
      </c>
      <c r="I684" s="13">
        <v>0</v>
      </c>
      <c r="J684" s="160"/>
    </row>
    <row r="685" spans="1:10">
      <c r="A685" s="13" t="s">
        <v>15</v>
      </c>
      <c r="B685" s="13" t="s">
        <v>66</v>
      </c>
      <c r="C685" s="13" t="str">
        <f>VLOOKUP([1]Competence!$B79,[1]Competence!$B$12:$B$100,1,FALSE)</f>
        <v>System software</v>
      </c>
      <c r="D685" s="13" t="str" cm="1">
        <f t="array" ref="D685">_xlfn.XLOOKUP(B685,[1]Baseline!$D$3:$AZ$3,_xlfn.XLOOKUP(C685,[1]Baseline!$B$4:$B$91,[1]Baseline!$D$4:$AZ$91))</f>
        <v>No Knowledge</v>
      </c>
      <c r="E685" s="13" t="s">
        <v>376</v>
      </c>
      <c r="F685" s="13">
        <v>2</v>
      </c>
      <c r="G685" s="153">
        <v>0</v>
      </c>
      <c r="H685" s="16">
        <f t="shared" si="10"/>
        <v>-2</v>
      </c>
      <c r="I685" s="13">
        <v>0</v>
      </c>
      <c r="J685" s="160"/>
    </row>
    <row r="686" spans="1:10">
      <c r="A686" s="13" t="s">
        <v>15</v>
      </c>
      <c r="B686" s="13" t="s">
        <v>66</v>
      </c>
      <c r="C686" s="13" t="str">
        <f>VLOOKUP([1]Competence!$B80,[1]Competence!$B$12:$B$100,1,FALSE)</f>
        <v>Systems and software life cycle engineering</v>
      </c>
      <c r="D686" s="13" t="str" cm="1">
        <f t="array" ref="D686">_xlfn.XLOOKUP(B686,[1]Baseline!$D$3:$AZ$3,_xlfn.XLOOKUP(C686,[1]Baseline!$B$4:$B$91,[1]Baseline!$D$4:$AZ$91))</f>
        <v>No Knowledge</v>
      </c>
      <c r="E686" s="13" t="s">
        <v>378</v>
      </c>
      <c r="F686" s="13">
        <v>1</v>
      </c>
      <c r="G686" s="153">
        <v>0</v>
      </c>
      <c r="H686" s="16">
        <f t="shared" si="10"/>
        <v>-1</v>
      </c>
      <c r="I686" s="13">
        <v>0</v>
      </c>
      <c r="J686" s="160"/>
    </row>
    <row r="687" spans="1:10">
      <c r="A687" s="13" t="s">
        <v>15</v>
      </c>
      <c r="B687" s="13" t="s">
        <v>66</v>
      </c>
      <c r="C687" s="13" t="str">
        <f>VLOOKUP([1]Competence!$B81,[1]Competence!$B$12:$B$100,1,FALSE)</f>
        <v>Systems design</v>
      </c>
      <c r="D687" s="13" t="str" cm="1">
        <f t="array" ref="D687">_xlfn.XLOOKUP(B687,[1]Baseline!$D$3:$AZ$3,_xlfn.XLOOKUP(C687,[1]Baseline!$B$4:$B$91,[1]Baseline!$D$4:$AZ$91))</f>
        <v>No Knowledge</v>
      </c>
      <c r="E687" s="13" t="s">
        <v>378</v>
      </c>
      <c r="F687" s="13">
        <v>0</v>
      </c>
      <c r="G687" s="153">
        <v>2</v>
      </c>
      <c r="H687" s="16">
        <f t="shared" si="10"/>
        <v>2</v>
      </c>
      <c r="I687" s="13">
        <v>2</v>
      </c>
      <c r="J687" s="160"/>
    </row>
    <row r="688" spans="1:10">
      <c r="A688" s="13" t="s">
        <v>15</v>
      </c>
      <c r="B688" s="13" t="s">
        <v>66</v>
      </c>
      <c r="C688" s="13" t="str">
        <f>VLOOKUP([1]Competence!$B82,[1]Competence!$B$12:$B$100,1,FALSE)</f>
        <v>Systems development management</v>
      </c>
      <c r="D688" s="13" t="str" cm="1">
        <f t="array" ref="D688">_xlfn.XLOOKUP(B688,[1]Baseline!$D$3:$AZ$3,_xlfn.XLOOKUP(C688,[1]Baseline!$B$4:$B$91,[1]Baseline!$D$4:$AZ$91))</f>
        <v>No Knowledge</v>
      </c>
      <c r="E688" s="13" t="s">
        <v>378</v>
      </c>
      <c r="F688" s="13">
        <v>0</v>
      </c>
      <c r="G688" s="153">
        <v>1</v>
      </c>
      <c r="H688" s="16">
        <f t="shared" si="10"/>
        <v>1</v>
      </c>
      <c r="I688" s="13">
        <v>1</v>
      </c>
      <c r="J688" s="160"/>
    </row>
    <row r="689" spans="1:10">
      <c r="A689" s="13" t="s">
        <v>15</v>
      </c>
      <c r="B689" s="13" t="s">
        <v>66</v>
      </c>
      <c r="C689" s="13" t="str">
        <f>VLOOKUP([1]Competence!$B83,[1]Competence!$B$12:$B$100,1,FALSE)</f>
        <v>Systems installation and removal</v>
      </c>
      <c r="D689" s="13" t="str" cm="1">
        <f t="array" ref="D689">_xlfn.XLOOKUP(B689,[1]Baseline!$D$3:$AZ$3,_xlfn.XLOOKUP(C689,[1]Baseline!$B$4:$B$91,[1]Baseline!$D$4:$AZ$91))</f>
        <v>Working</v>
      </c>
      <c r="E689" s="13" t="s">
        <v>378</v>
      </c>
      <c r="F689" s="13">
        <v>0</v>
      </c>
      <c r="G689" s="153">
        <v>3</v>
      </c>
      <c r="H689" s="16">
        <f t="shared" si="10"/>
        <v>3</v>
      </c>
      <c r="I689" s="13">
        <v>3</v>
      </c>
      <c r="J689" s="160"/>
    </row>
    <row r="690" spans="1:10">
      <c r="A690" s="13" t="s">
        <v>15</v>
      </c>
      <c r="B690" s="13" t="s">
        <v>66</v>
      </c>
      <c r="C690" s="13" t="str">
        <f>VLOOKUP([1]Competence!$B84,[1]Competence!$B$12:$B$100,1,FALSE)</f>
        <v>Testing</v>
      </c>
      <c r="D690" s="13" t="str" cm="1">
        <f t="array" ref="D690">_xlfn.XLOOKUP(B690,[1]Baseline!$D$3:$AZ$3,_xlfn.XLOOKUP(C690,[1]Baseline!$B$4:$B$91,[1]Baseline!$D$4:$AZ$91))</f>
        <v>Working</v>
      </c>
      <c r="E690" s="13" t="s">
        <v>378</v>
      </c>
      <c r="F690" s="13">
        <v>0</v>
      </c>
      <c r="G690" s="153">
        <v>3</v>
      </c>
      <c r="H690" s="16">
        <f t="shared" si="10"/>
        <v>3</v>
      </c>
      <c r="I690" s="13">
        <v>3</v>
      </c>
      <c r="J690" s="160"/>
    </row>
    <row r="691" spans="1:10">
      <c r="A691" s="13" t="s">
        <v>15</v>
      </c>
      <c r="B691" s="13" t="s">
        <v>66</v>
      </c>
      <c r="C691" s="13" t="str">
        <f>VLOOKUP([1]Competence!$B85,[1]Competence!$B$12:$B$100,1,FALSE)</f>
        <v>Innovation</v>
      </c>
      <c r="D691" s="13" t="str" cm="1">
        <f t="array" ref="D691">_xlfn.XLOOKUP(B691,[1]Baseline!$D$3:$AZ$3,_xlfn.XLOOKUP(C691,[1]Baseline!$B$4:$B$91,[1]Baseline!$D$4:$AZ$91))</f>
        <v>No Knowledge</v>
      </c>
      <c r="E691" s="13" t="s">
        <v>375</v>
      </c>
      <c r="F691" s="13">
        <v>1</v>
      </c>
      <c r="G691" s="153">
        <v>1</v>
      </c>
      <c r="H691" s="16">
        <f t="shared" si="10"/>
        <v>0</v>
      </c>
      <c r="I691" s="13">
        <v>1</v>
      </c>
      <c r="J691" s="160"/>
    </row>
    <row r="692" spans="1:10">
      <c r="A692" s="13" t="s">
        <v>15</v>
      </c>
      <c r="B692" s="13" t="s">
        <v>66</v>
      </c>
      <c r="C692" s="13" t="str">
        <f>VLOOKUP([1]Competence!$B86,[1]Competence!$B$12:$B$100,1,FALSE)</f>
        <v>Specialist Advice</v>
      </c>
      <c r="D692" s="13" t="str" cm="1">
        <f t="array" ref="D692">_xlfn.XLOOKUP(B692,[1]Baseline!$D$3:$AZ$3,_xlfn.XLOOKUP(C692,[1]Baseline!$B$4:$B$91,[1]Baseline!$D$4:$AZ$91))</f>
        <v>No Knowledge</v>
      </c>
      <c r="E692" s="13" t="s">
        <v>375</v>
      </c>
      <c r="F692" s="13">
        <v>0</v>
      </c>
      <c r="G692" s="153">
        <v>3</v>
      </c>
      <c r="H692" s="16">
        <f t="shared" si="10"/>
        <v>3</v>
      </c>
      <c r="I692" s="13">
        <v>3</v>
      </c>
      <c r="J692" s="160"/>
    </row>
    <row r="693" spans="1:10">
      <c r="A693" s="13" t="s">
        <v>15</v>
      </c>
      <c r="B693" s="13" t="s">
        <v>66</v>
      </c>
      <c r="C693" s="13" t="str">
        <f>VLOOKUP([1]Competence!$B87,[1]Competence!$B$12:$B$100,1,FALSE)</f>
        <v>Emerging technology monitoring</v>
      </c>
      <c r="D693" s="13" t="str" cm="1">
        <f t="array" ref="D693">_xlfn.XLOOKUP(B693,[1]Baseline!$D$3:$AZ$3,_xlfn.XLOOKUP(C693,[1]Baseline!$B$4:$B$91,[1]Baseline!$D$4:$AZ$91))</f>
        <v>No Knowledge</v>
      </c>
      <c r="E693" s="13" t="s">
        <v>375</v>
      </c>
      <c r="F693" s="13">
        <v>0</v>
      </c>
      <c r="G693" s="153">
        <v>2</v>
      </c>
      <c r="H693" s="16">
        <f t="shared" si="10"/>
        <v>2</v>
      </c>
      <c r="I693" s="13">
        <v>2</v>
      </c>
      <c r="J693" s="160"/>
    </row>
    <row r="694" spans="1:10">
      <c r="A694" s="13" t="s">
        <v>15</v>
      </c>
      <c r="B694" s="13" t="s">
        <v>66</v>
      </c>
      <c r="C694" s="13" t="str">
        <f>VLOOKUP([1]Competence!$B88,[1]Competence!$B$12:$B$100,1,FALSE)</f>
        <v>Systems integration and build</v>
      </c>
      <c r="D694" s="13" t="str" cm="1">
        <f t="array" ref="D694">_xlfn.XLOOKUP(B694,[1]Baseline!$D$3:$AZ$3,_xlfn.XLOOKUP(C694,[1]Baseline!$B$4:$B$91,[1]Baseline!$D$4:$AZ$91))</f>
        <v>Practitioner</v>
      </c>
      <c r="E694" s="13" t="s">
        <v>375</v>
      </c>
      <c r="F694" s="13">
        <v>0</v>
      </c>
      <c r="G694" s="153">
        <v>3</v>
      </c>
      <c r="H694" s="16">
        <f t="shared" si="10"/>
        <v>3</v>
      </c>
      <c r="I694" s="13">
        <v>3</v>
      </c>
      <c r="J694" s="160"/>
    </row>
    <row r="695" spans="1:10">
      <c r="A695" s="13" t="s">
        <v>15</v>
      </c>
      <c r="B695" s="13" t="s">
        <v>66</v>
      </c>
      <c r="C695" s="13" t="str">
        <f>VLOOKUP([1]Competence!$B89,[1]Competence!$B$12:$B$100,1,FALSE)</f>
        <v>Audio Visual</v>
      </c>
      <c r="D695" s="13" t="str" cm="1">
        <f t="array" ref="D695">_xlfn.XLOOKUP(B695,[1]Baseline!$D$3:$AZ$3,_xlfn.XLOOKUP(C695,[1]Baseline!$B$4:$B$91,[1]Baseline!$D$4:$AZ$91))</f>
        <v>Awareness</v>
      </c>
      <c r="E695" s="13" t="s">
        <v>375</v>
      </c>
      <c r="F695" s="13">
        <v>0</v>
      </c>
      <c r="G695" s="153">
        <v>2</v>
      </c>
      <c r="H695" s="16">
        <f t="shared" si="10"/>
        <v>2</v>
      </c>
      <c r="I695" s="13">
        <v>2</v>
      </c>
      <c r="J695" s="160"/>
    </row>
    <row r="696" spans="1:10">
      <c r="A696" s="13" t="s">
        <v>15</v>
      </c>
      <c r="B696" s="13" t="s">
        <v>66</v>
      </c>
      <c r="C696" s="13" t="str">
        <f>VLOOKUP([1]Competence!$B90,[1]Competence!$B$12:$B$100,1,FALSE)</f>
        <v>Augmented Reality</v>
      </c>
      <c r="D696" s="13" t="str" cm="1">
        <f t="array" ref="D696">_xlfn.XLOOKUP(B696,[1]Baseline!$D$3:$AZ$3,_xlfn.XLOOKUP(C696,[1]Baseline!$B$4:$B$91,[1]Baseline!$D$4:$AZ$91))</f>
        <v>Awareness</v>
      </c>
      <c r="E696" s="13" t="s">
        <v>375</v>
      </c>
      <c r="F696" s="13">
        <v>0</v>
      </c>
      <c r="G696" s="153">
        <v>0</v>
      </c>
      <c r="H696" s="16">
        <f t="shared" si="10"/>
        <v>0</v>
      </c>
      <c r="I696" s="13">
        <v>0</v>
      </c>
      <c r="J696" s="160"/>
    </row>
    <row r="697" spans="1:10">
      <c r="A697" s="13" t="s">
        <v>15</v>
      </c>
      <c r="B697" s="13" t="s">
        <v>66</v>
      </c>
      <c r="C697" s="13" t="str">
        <f>VLOOKUP([1]Competence!$B91,[1]Competence!$B$12:$B$100,1,FALSE)</f>
        <v>Benefits management</v>
      </c>
      <c r="D697" s="13" t="str" cm="1">
        <f t="array" ref="D697">_xlfn.XLOOKUP(B697,[1]Baseline!$D$3:$AZ$3,_xlfn.XLOOKUP(C697,[1]Baseline!$B$4:$B$91,[1]Baseline!$D$4:$AZ$91))</f>
        <v>No Knowledge</v>
      </c>
      <c r="E697" s="13" t="s">
        <v>375</v>
      </c>
      <c r="F697" s="13">
        <v>0</v>
      </c>
      <c r="G697" s="153">
        <v>0</v>
      </c>
      <c r="H697" s="16">
        <f t="shared" si="10"/>
        <v>0</v>
      </c>
      <c r="I697" s="13">
        <v>0</v>
      </c>
      <c r="J697" s="160"/>
    </row>
    <row r="698" spans="1:10">
      <c r="A698" s="13" t="s">
        <v>15</v>
      </c>
      <c r="B698" s="13" t="s">
        <v>66</v>
      </c>
      <c r="C698" s="13" t="str">
        <f>VLOOKUP([1]Competence!$B92,[1]Competence!$B$12:$B$100,1,FALSE)</f>
        <v>Business administration</v>
      </c>
      <c r="D698" s="13" t="str" cm="1">
        <f t="array" ref="D698">_xlfn.XLOOKUP(B698,[1]Baseline!$D$3:$AZ$3,_xlfn.XLOOKUP(C698,[1]Baseline!$B$4:$B$91,[1]Baseline!$D$4:$AZ$91))</f>
        <v>No Knowledge</v>
      </c>
      <c r="E698" s="13" t="s">
        <v>375</v>
      </c>
      <c r="F698" s="13">
        <v>0</v>
      </c>
      <c r="G698" s="153">
        <v>2</v>
      </c>
      <c r="H698" s="16">
        <f t="shared" si="10"/>
        <v>2</v>
      </c>
      <c r="I698" s="13">
        <v>2</v>
      </c>
      <c r="J698" s="160"/>
    </row>
    <row r="699" spans="1:10">
      <c r="A699" s="13" t="s">
        <v>15</v>
      </c>
      <c r="B699" s="13" t="s">
        <v>66</v>
      </c>
      <c r="C699" s="13" t="str">
        <f>VLOOKUP([1]Competence!$B93,[1]Competence!$B$12:$B$100,1,FALSE)</f>
        <v>Business intelligence</v>
      </c>
      <c r="D699" s="13" t="str" cm="1">
        <f t="array" ref="D699">_xlfn.XLOOKUP(B699,[1]Baseline!$D$3:$AZ$3,_xlfn.XLOOKUP(C699,[1]Baseline!$B$4:$B$91,[1]Baseline!$D$4:$AZ$91))</f>
        <v>No Knowledge</v>
      </c>
      <c r="E699" s="13" t="s">
        <v>375</v>
      </c>
      <c r="F699" s="13">
        <v>2</v>
      </c>
      <c r="G699" s="153">
        <v>0</v>
      </c>
      <c r="H699" s="16">
        <f t="shared" si="10"/>
        <v>-2</v>
      </c>
      <c r="I699" s="13">
        <v>0</v>
      </c>
      <c r="J699" s="160"/>
    </row>
    <row r="700" spans="1:10">
      <c r="A700" s="13" t="s">
        <v>15</v>
      </c>
      <c r="B700" s="13" t="s">
        <v>66</v>
      </c>
      <c r="C700" s="13" t="str">
        <f>VLOOKUP([1]Competence!$B94,[1]Competence!$B$12:$B$100,1,FALSE)</f>
        <v>Business modelling</v>
      </c>
      <c r="D700" s="13" t="str" cm="1">
        <f t="array" ref="D700">_xlfn.XLOOKUP(B700,[1]Baseline!$D$3:$AZ$3,_xlfn.XLOOKUP(C700,[1]Baseline!$B$4:$B$91,[1]Baseline!$D$4:$AZ$91))</f>
        <v>No Knowledge</v>
      </c>
      <c r="E700" s="13" t="s">
        <v>375</v>
      </c>
      <c r="F700" s="13">
        <v>2</v>
      </c>
      <c r="G700" s="153">
        <v>0</v>
      </c>
      <c r="H700" s="16">
        <f t="shared" si="10"/>
        <v>-2</v>
      </c>
      <c r="I700" s="13">
        <v>0</v>
      </c>
      <c r="J700" s="160"/>
    </row>
    <row r="701" spans="1:10">
      <c r="A701" s="13" t="s">
        <v>15</v>
      </c>
      <c r="B701" s="13" t="s">
        <v>66</v>
      </c>
      <c r="C701" s="13" t="str">
        <f>VLOOKUP([1]Competence!$B95,[1]Competence!$B$12:$B$100,1,FALSE)</f>
        <v>Business process improvement</v>
      </c>
      <c r="D701" s="13" t="str" cm="1">
        <f t="array" ref="D701">_xlfn.XLOOKUP(B701,[1]Baseline!$D$3:$AZ$3,_xlfn.XLOOKUP(C701,[1]Baseline!$B$4:$B$91,[1]Baseline!$D$4:$AZ$91))</f>
        <v>No Knowledge</v>
      </c>
      <c r="E701" s="13" t="s">
        <v>375</v>
      </c>
      <c r="F701" s="13">
        <v>1</v>
      </c>
      <c r="G701" s="153">
        <v>0</v>
      </c>
      <c r="H701" s="16">
        <f t="shared" si="10"/>
        <v>-1</v>
      </c>
      <c r="I701" s="13">
        <v>0</v>
      </c>
      <c r="J701" s="160"/>
    </row>
    <row r="702" spans="1:10">
      <c r="A702" s="13" t="s">
        <v>15</v>
      </c>
      <c r="B702" s="13" t="s">
        <v>66</v>
      </c>
      <c r="C702" s="13" t="str">
        <f>VLOOKUP([1]Competence!$B96,[1]Competence!$B$12:$B$100,1,FALSE)</f>
        <v>Business situation analysis</v>
      </c>
      <c r="D702" s="13" t="str" cm="1">
        <f t="array" ref="D702">_xlfn.XLOOKUP(B702,[1]Baseline!$D$3:$AZ$3,_xlfn.XLOOKUP(C702,[1]Baseline!$B$4:$B$91,[1]Baseline!$D$4:$AZ$91))</f>
        <v>No Knowledge</v>
      </c>
      <c r="E702" s="13" t="s">
        <v>49</v>
      </c>
      <c r="F702" s="13">
        <v>1</v>
      </c>
      <c r="G702" s="153">
        <v>0</v>
      </c>
      <c r="H702" s="16">
        <f t="shared" si="10"/>
        <v>-1</v>
      </c>
      <c r="I702" s="13">
        <v>0</v>
      </c>
      <c r="J702" s="160"/>
    </row>
    <row r="703" spans="1:10">
      <c r="A703" s="13" t="s">
        <v>15</v>
      </c>
      <c r="B703" s="13" t="s">
        <v>66</v>
      </c>
      <c r="C703" s="13" t="str">
        <f>VLOOKUP([1]Competence!$B97,[1]Competence!$B$12:$B$100,1,FALSE)</f>
        <v>Programme management</v>
      </c>
      <c r="D703" s="13" t="str" cm="1">
        <f t="array" ref="D703">_xlfn.XLOOKUP(B703,[1]Baseline!$D$3:$AZ$3,_xlfn.XLOOKUP(C703,[1]Baseline!$B$4:$B$91,[1]Baseline!$D$4:$AZ$91))</f>
        <v>No Knowledge</v>
      </c>
      <c r="E703" s="13" t="s">
        <v>375</v>
      </c>
      <c r="F703" s="13">
        <v>0</v>
      </c>
      <c r="G703" s="153">
        <v>1</v>
      </c>
      <c r="H703" s="16">
        <f t="shared" si="10"/>
        <v>1</v>
      </c>
      <c r="I703" s="13">
        <v>1</v>
      </c>
      <c r="J703" s="160"/>
    </row>
    <row r="704" spans="1:10">
      <c r="A704" s="13" t="s">
        <v>15</v>
      </c>
      <c r="B704" s="13" t="s">
        <v>66</v>
      </c>
      <c r="C704" s="13" t="str">
        <f>VLOOKUP([1]Competence!$B98,[1]Competence!$B$12:$B$100,1,FALSE)</f>
        <v>Project management</v>
      </c>
      <c r="D704" s="13" t="str" cm="1">
        <f t="array" ref="D704">_xlfn.XLOOKUP(B704,[1]Baseline!$D$3:$AZ$3,_xlfn.XLOOKUP(C704,[1]Baseline!$B$4:$B$91,[1]Baseline!$D$4:$AZ$91))</f>
        <v>No Knowledge</v>
      </c>
      <c r="E704" s="13" t="s">
        <v>375</v>
      </c>
      <c r="F704" s="13">
        <v>0</v>
      </c>
      <c r="G704" s="153">
        <v>0</v>
      </c>
      <c r="H704" s="16">
        <f t="shared" si="10"/>
        <v>0</v>
      </c>
      <c r="I704" s="13">
        <v>0</v>
      </c>
      <c r="J704" s="160"/>
    </row>
    <row r="705" spans="1:10">
      <c r="A705" s="13" t="s">
        <v>15</v>
      </c>
      <c r="B705" s="13" t="s">
        <v>66</v>
      </c>
      <c r="C705" s="13" t="str">
        <f>VLOOKUP([1]Competence!$B99,[1]Competence!$B$12:$B$100,1,FALSE)</f>
        <v>Quality assurance</v>
      </c>
      <c r="D705" s="13" t="str" cm="1">
        <f t="array" ref="D705">_xlfn.XLOOKUP(B705,[1]Baseline!$D$3:$AZ$3,_xlfn.XLOOKUP(C705,[1]Baseline!$B$4:$B$91,[1]Baseline!$D$4:$AZ$91))</f>
        <v>Working</v>
      </c>
      <c r="E705" s="13" t="s">
        <v>375</v>
      </c>
      <c r="F705" s="13">
        <v>0</v>
      </c>
      <c r="G705" s="153">
        <v>1</v>
      </c>
      <c r="H705" s="16">
        <f t="shared" si="10"/>
        <v>1</v>
      </c>
      <c r="I705" s="13">
        <v>1</v>
      </c>
      <c r="J705" s="160"/>
    </row>
    <row r="706" spans="1:10">
      <c r="A706" s="13" t="s">
        <v>14</v>
      </c>
      <c r="B706" s="13" t="s">
        <v>73</v>
      </c>
      <c r="C706" s="13" t="str">
        <f>VLOOKUP([1]Competence!$B12,[1]Competence!$B$12:$B$100,1,FALSE)</f>
        <v>Asset Management</v>
      </c>
      <c r="D706" s="13" t="str" cm="1">
        <f t="array" ref="D706">_xlfn.XLOOKUP(B706,[1]Baseline!$D$3:$AZ$3,_xlfn.XLOOKUP(C706,[1]Baseline!$B$4:$B$91,[1]Baseline!$D$4:$AZ$91))</f>
        <v>Working</v>
      </c>
      <c r="E706" s="13" t="s">
        <v>373</v>
      </c>
      <c r="F706" s="13">
        <v>3</v>
      </c>
      <c r="G706" s="153">
        <v>2</v>
      </c>
      <c r="H706" s="16">
        <f t="shared" ref="H706:H769" si="11">I706-F706</f>
        <v>-1</v>
      </c>
      <c r="I706" s="13">
        <v>2</v>
      </c>
      <c r="J706" s="160"/>
    </row>
    <row r="707" spans="1:10">
      <c r="A707" s="13" t="s">
        <v>14</v>
      </c>
      <c r="B707" s="13" t="s">
        <v>73</v>
      </c>
      <c r="C707" s="13" t="str">
        <f>VLOOKUP([1]Competence!$B13,[1]Competence!$B$12:$B$100,1,FALSE)</f>
        <v>Change Control</v>
      </c>
      <c r="D707" s="13" t="str" cm="1">
        <f t="array" ref="D707">_xlfn.XLOOKUP(B707,[1]Baseline!$D$3:$AZ$3,_xlfn.XLOOKUP(C707,[1]Baseline!$B$4:$B$91,[1]Baseline!$D$4:$AZ$91))</f>
        <v>Practitioner</v>
      </c>
      <c r="E707" s="13" t="s">
        <v>373</v>
      </c>
      <c r="F707" s="13">
        <v>3</v>
      </c>
      <c r="G707" s="153">
        <v>3</v>
      </c>
      <c r="H707" s="16">
        <f t="shared" si="11"/>
        <v>0</v>
      </c>
      <c r="I707" s="13">
        <v>3</v>
      </c>
      <c r="J707" s="160"/>
    </row>
    <row r="708" spans="1:10">
      <c r="A708" s="13" t="s">
        <v>14</v>
      </c>
      <c r="B708" s="13" t="s">
        <v>73</v>
      </c>
      <c r="C708" s="13" t="str">
        <f>VLOOKUP([1]Competence!$B14,[1]Competence!$B$12:$B$100,1,FALSE)</f>
        <v>Customer Service Support</v>
      </c>
      <c r="D708" s="13" t="str" cm="1">
        <f t="array" ref="D708">_xlfn.XLOOKUP(B708,[1]Baseline!$D$3:$AZ$3,_xlfn.XLOOKUP(C708,[1]Baseline!$B$4:$B$91,[1]Baseline!$D$4:$AZ$91))</f>
        <v>Practitioner</v>
      </c>
      <c r="E708" s="13" t="s">
        <v>373</v>
      </c>
      <c r="F708" s="13">
        <v>3</v>
      </c>
      <c r="G708" s="153">
        <v>2</v>
      </c>
      <c r="H708" s="16">
        <f t="shared" si="11"/>
        <v>-1</v>
      </c>
      <c r="I708" s="13">
        <v>2</v>
      </c>
      <c r="J708" s="160"/>
    </row>
    <row r="709" spans="1:10">
      <c r="A709" s="13" t="s">
        <v>14</v>
      </c>
      <c r="B709" s="13" t="s">
        <v>73</v>
      </c>
      <c r="C709" s="13" t="str">
        <f>VLOOKUP([1]Competence!$B15,[1]Competence!$B$12:$B$100,1,FALSE)</f>
        <v>Incident management</v>
      </c>
      <c r="D709" s="13" t="str" cm="1">
        <f t="array" ref="D709">_xlfn.XLOOKUP(B709,[1]Baseline!$D$3:$AZ$3,_xlfn.XLOOKUP(C709,[1]Baseline!$B$4:$B$91,[1]Baseline!$D$4:$AZ$91))</f>
        <v>Working</v>
      </c>
      <c r="E709" s="13" t="s">
        <v>375</v>
      </c>
      <c r="F709" s="13">
        <v>2</v>
      </c>
      <c r="G709" s="153">
        <v>4</v>
      </c>
      <c r="H709" s="16">
        <f t="shared" si="11"/>
        <v>2</v>
      </c>
      <c r="I709" s="13">
        <v>4</v>
      </c>
      <c r="J709" s="160"/>
    </row>
    <row r="710" spans="1:10">
      <c r="A710" s="13" t="s">
        <v>14</v>
      </c>
      <c r="B710" s="13" t="s">
        <v>73</v>
      </c>
      <c r="C710" s="13" t="str">
        <f>VLOOKUP([1]Competence!$B16,[1]Competence!$B$12:$B$100,1,FALSE)</f>
        <v>Information security</v>
      </c>
      <c r="D710" s="13" t="str" cm="1">
        <f t="array" ref="D710">_xlfn.XLOOKUP(B710,[1]Baseline!$D$3:$AZ$3,_xlfn.XLOOKUP(C710,[1]Baseline!$B$4:$B$91,[1]Baseline!$D$4:$AZ$91))</f>
        <v>Practitioner</v>
      </c>
      <c r="E710" s="13" t="s">
        <v>373</v>
      </c>
      <c r="F710" s="13">
        <v>3</v>
      </c>
      <c r="G710" s="153">
        <v>3</v>
      </c>
      <c r="H710" s="16">
        <f t="shared" si="11"/>
        <v>0</v>
      </c>
      <c r="I710" s="13">
        <v>3</v>
      </c>
      <c r="J710" s="160"/>
    </row>
    <row r="711" spans="1:10">
      <c r="A711" s="13" t="s">
        <v>14</v>
      </c>
      <c r="B711" s="13" t="s">
        <v>73</v>
      </c>
      <c r="C711" s="13" t="str">
        <f>VLOOKUP([1]Competence!$B17,[1]Competence!$B$12:$B$100,1,FALSE)</f>
        <v>Personal data protection</v>
      </c>
      <c r="D711" s="13" t="str" cm="1">
        <f t="array" ref="D711">_xlfn.XLOOKUP(B711,[1]Baseline!$D$3:$AZ$3,_xlfn.XLOOKUP(C711,[1]Baseline!$B$4:$B$91,[1]Baseline!$D$4:$AZ$91))</f>
        <v>Practitioner</v>
      </c>
      <c r="E711" s="13" t="s">
        <v>376</v>
      </c>
      <c r="F711" s="13">
        <v>3</v>
      </c>
      <c r="G711" s="153">
        <v>3</v>
      </c>
      <c r="H711" s="16">
        <f t="shared" si="11"/>
        <v>0</v>
      </c>
      <c r="I711" s="13">
        <v>3</v>
      </c>
      <c r="J711" s="160"/>
    </row>
    <row r="712" spans="1:10">
      <c r="A712" s="13" t="s">
        <v>14</v>
      </c>
      <c r="B712" s="13" t="s">
        <v>73</v>
      </c>
      <c r="C712" s="13" t="str">
        <f>VLOOKUP([1]Competence!$B18,[1]Competence!$B$12:$B$100,1,FALSE)</f>
        <v>Problem management</v>
      </c>
      <c r="D712" s="13" t="str" cm="1">
        <f t="array" ref="D712">_xlfn.XLOOKUP(B712,[1]Baseline!$D$3:$AZ$3,_xlfn.XLOOKUP(C712,[1]Baseline!$B$4:$B$91,[1]Baseline!$D$4:$AZ$91))</f>
        <v>Expert</v>
      </c>
      <c r="E712" s="13" t="s">
        <v>376</v>
      </c>
      <c r="F712" s="13">
        <v>3</v>
      </c>
      <c r="G712" s="153">
        <v>3</v>
      </c>
      <c r="H712" s="16">
        <f t="shared" si="11"/>
        <v>0</v>
      </c>
      <c r="I712" s="13">
        <v>3</v>
      </c>
      <c r="J712" s="160"/>
    </row>
    <row r="713" spans="1:10">
      <c r="A713" s="13" t="s">
        <v>14</v>
      </c>
      <c r="B713" s="13" t="s">
        <v>73</v>
      </c>
      <c r="C713" s="13" t="str">
        <f>VLOOKUP([1]Competence!$B19,[1]Competence!$B$12:$B$100,1,FALSE)</f>
        <v>Service catalogue management</v>
      </c>
      <c r="D713" s="13" t="str" cm="1">
        <f t="array" ref="D713">_xlfn.XLOOKUP(B713,[1]Baseline!$D$3:$AZ$3,_xlfn.XLOOKUP(C713,[1]Baseline!$B$4:$B$91,[1]Baseline!$D$4:$AZ$91))</f>
        <v>Expert</v>
      </c>
      <c r="E713" s="13" t="s">
        <v>376</v>
      </c>
      <c r="F713" s="13">
        <v>3</v>
      </c>
      <c r="G713" s="153">
        <v>2</v>
      </c>
      <c r="H713" s="16">
        <f t="shared" si="11"/>
        <v>-1</v>
      </c>
      <c r="I713" s="13">
        <v>2</v>
      </c>
      <c r="J713" s="160"/>
    </row>
    <row r="714" spans="1:10">
      <c r="A714" s="13" t="s">
        <v>14</v>
      </c>
      <c r="B714" s="13" t="s">
        <v>73</v>
      </c>
      <c r="C714" s="13" t="str">
        <f>VLOOKUP([1]Competence!$B20,[1]Competence!$B$12:$B$100,1,FALSE)</f>
        <v>Service level management</v>
      </c>
      <c r="D714" s="13" t="str" cm="1">
        <f t="array" ref="D714">_xlfn.XLOOKUP(B714,[1]Baseline!$D$3:$AZ$3,_xlfn.XLOOKUP(C714,[1]Baseline!$B$4:$B$91,[1]Baseline!$D$4:$AZ$91))</f>
        <v>Expert</v>
      </c>
      <c r="E714" s="13" t="s">
        <v>374</v>
      </c>
      <c r="F714" s="13">
        <v>3</v>
      </c>
      <c r="G714" s="153">
        <v>2</v>
      </c>
      <c r="H714" s="16">
        <f t="shared" si="11"/>
        <v>-1</v>
      </c>
      <c r="I714" s="13">
        <v>2</v>
      </c>
      <c r="J714" s="160"/>
    </row>
    <row r="715" spans="1:10">
      <c r="A715" s="13" t="s">
        <v>14</v>
      </c>
      <c r="B715" s="13" t="s">
        <v>73</v>
      </c>
      <c r="C715" s="13" t="str">
        <f>VLOOKUP([1]Competence!$B21,[1]Competence!$B$12:$B$100,1,FALSE)</f>
        <v>Availability Management</v>
      </c>
      <c r="D715" s="13" t="str" cm="1">
        <f t="array" ref="D715">_xlfn.XLOOKUP(B715,[1]Baseline!$D$3:$AZ$3,_xlfn.XLOOKUP(C715,[1]Baseline!$B$4:$B$91,[1]Baseline!$D$4:$AZ$91))</f>
        <v>Expert</v>
      </c>
      <c r="E715" s="13" t="s">
        <v>374</v>
      </c>
      <c r="F715" s="13">
        <v>3</v>
      </c>
      <c r="G715" s="153">
        <v>3</v>
      </c>
      <c r="H715" s="16">
        <f t="shared" si="11"/>
        <v>0</v>
      </c>
      <c r="I715" s="13">
        <v>3</v>
      </c>
      <c r="J715" s="160"/>
    </row>
    <row r="716" spans="1:10">
      <c r="A716" s="13" t="s">
        <v>14</v>
      </c>
      <c r="B716" s="13" t="s">
        <v>73</v>
      </c>
      <c r="C716" s="13" t="str">
        <f>VLOOKUP([1]Competence!$B22,[1]Competence!$B$12:$B$100,1,FALSE)</f>
        <v>Capacity management</v>
      </c>
      <c r="D716" s="13" t="str" cm="1">
        <f t="array" ref="D716">_xlfn.XLOOKUP(B716,[1]Baseline!$D$3:$AZ$3,_xlfn.XLOOKUP(C716,[1]Baseline!$B$4:$B$91,[1]Baseline!$D$4:$AZ$91))</f>
        <v>Expert</v>
      </c>
      <c r="E716" s="13" t="s">
        <v>374</v>
      </c>
      <c r="F716" s="13">
        <v>3</v>
      </c>
      <c r="G716" s="153">
        <v>3</v>
      </c>
      <c r="H716" s="16">
        <f t="shared" si="11"/>
        <v>0</v>
      </c>
      <c r="I716" s="13">
        <v>3</v>
      </c>
      <c r="J716" s="160"/>
    </row>
    <row r="717" spans="1:10">
      <c r="A717" s="13" t="s">
        <v>14</v>
      </c>
      <c r="B717" s="13" t="s">
        <v>73</v>
      </c>
      <c r="C717" s="13" t="str">
        <f>VLOOKUP([1]Competence!$B23,[1]Competence!$B$12:$B$100,1,FALSE)</f>
        <v>Configuration Management</v>
      </c>
      <c r="D717" s="13" t="str" cm="1">
        <f t="array" ref="D717">_xlfn.XLOOKUP(B717,[1]Baseline!$D$3:$AZ$3,_xlfn.XLOOKUP(C717,[1]Baseline!$B$4:$B$91,[1]Baseline!$D$4:$AZ$91))</f>
        <v>Expert</v>
      </c>
      <c r="E717" s="13" t="s">
        <v>374</v>
      </c>
      <c r="F717" s="13">
        <v>3</v>
      </c>
      <c r="G717" s="153">
        <v>3</v>
      </c>
      <c r="H717" s="16">
        <f t="shared" si="11"/>
        <v>0</v>
      </c>
      <c r="I717" s="13">
        <v>3</v>
      </c>
      <c r="J717" s="160"/>
    </row>
    <row r="718" spans="1:10">
      <c r="A718" s="13" t="s">
        <v>14</v>
      </c>
      <c r="B718" s="13" t="s">
        <v>73</v>
      </c>
      <c r="C718" s="13" t="str">
        <f>VLOOKUP([1]Competence!$B24,[1]Competence!$B$12:$B$100,1,FALSE)</f>
        <v>Continuity Management</v>
      </c>
      <c r="D718" s="13" t="str" cm="1">
        <f t="array" ref="D718">_xlfn.XLOOKUP(B718,[1]Baseline!$D$3:$AZ$3,_xlfn.XLOOKUP(C718,[1]Baseline!$B$4:$B$91,[1]Baseline!$D$4:$AZ$91))</f>
        <v>Expert</v>
      </c>
      <c r="E718" s="13" t="s">
        <v>374</v>
      </c>
      <c r="F718" s="13">
        <v>3</v>
      </c>
      <c r="G718" s="153">
        <v>2</v>
      </c>
      <c r="H718" s="16">
        <f t="shared" si="11"/>
        <v>-1</v>
      </c>
      <c r="I718" s="13">
        <v>2</v>
      </c>
      <c r="J718" s="160"/>
    </row>
    <row r="719" spans="1:10">
      <c r="A719" s="13" t="s">
        <v>14</v>
      </c>
      <c r="B719" s="13" t="s">
        <v>73</v>
      </c>
      <c r="C719" s="13" t="str">
        <f>VLOOKUP([1]Competence!$B25,[1]Competence!$B$12:$B$100,1,FALSE)</f>
        <v>Demand Management</v>
      </c>
      <c r="D719" s="13" t="str" cm="1">
        <f t="array" ref="D719">_xlfn.XLOOKUP(B719,[1]Baseline!$D$3:$AZ$3,_xlfn.XLOOKUP(C719,[1]Baseline!$B$4:$B$91,[1]Baseline!$D$4:$AZ$91))</f>
        <v>Practitioner</v>
      </c>
      <c r="E719" s="13" t="s">
        <v>377</v>
      </c>
      <c r="F719" s="13">
        <v>3</v>
      </c>
      <c r="G719" s="153">
        <v>2</v>
      </c>
      <c r="H719" s="16">
        <f t="shared" si="11"/>
        <v>-1</v>
      </c>
      <c r="I719" s="13">
        <v>2</v>
      </c>
      <c r="J719" s="160"/>
    </row>
    <row r="720" spans="1:10">
      <c r="A720" s="13" t="s">
        <v>14</v>
      </c>
      <c r="B720" s="13" t="s">
        <v>73</v>
      </c>
      <c r="C720" s="13" t="str">
        <f>VLOOKUP([1]Competence!$B26,[1]Competence!$B$12:$B$100,1,FALSE)</f>
        <v>Knowledge management</v>
      </c>
      <c r="D720" s="13" t="str" cm="1">
        <f t="array" ref="D720">_xlfn.XLOOKUP(B720,[1]Baseline!$D$3:$AZ$3,_xlfn.XLOOKUP(C720,[1]Baseline!$B$4:$B$91,[1]Baseline!$D$4:$AZ$91))</f>
        <v>Expert</v>
      </c>
      <c r="E720" s="13" t="s">
        <v>49</v>
      </c>
      <c r="F720" s="13">
        <v>2</v>
      </c>
      <c r="G720" s="153">
        <v>3</v>
      </c>
      <c r="H720" s="16">
        <f t="shared" si="11"/>
        <v>1</v>
      </c>
      <c r="I720" s="13">
        <v>3</v>
      </c>
      <c r="J720" s="160"/>
    </row>
    <row r="721" spans="1:10">
      <c r="A721" s="13" t="s">
        <v>14</v>
      </c>
      <c r="B721" s="13" t="s">
        <v>73</v>
      </c>
      <c r="C721" s="13" t="str">
        <f>VLOOKUP([1]Competence!$B27,[1]Competence!$B$12:$B$100,1,FALSE)</f>
        <v>Methods and tools</v>
      </c>
      <c r="D721" s="13" t="str" cm="1">
        <f t="array" ref="D721">_xlfn.XLOOKUP(B721,[1]Baseline!$D$3:$AZ$3,_xlfn.XLOOKUP(C721,[1]Baseline!$B$4:$B$91,[1]Baseline!$D$4:$AZ$91))</f>
        <v>Expert</v>
      </c>
      <c r="E721" s="13" t="s">
        <v>49</v>
      </c>
      <c r="F721" s="13">
        <v>2</v>
      </c>
      <c r="G721" s="153">
        <v>2</v>
      </c>
      <c r="H721" s="16">
        <f t="shared" si="11"/>
        <v>0</v>
      </c>
      <c r="I721" s="13">
        <v>2</v>
      </c>
      <c r="J721" s="160"/>
    </row>
    <row r="722" spans="1:10">
      <c r="A722" s="13" t="s">
        <v>14</v>
      </c>
      <c r="B722" s="13" t="s">
        <v>73</v>
      </c>
      <c r="C722" s="13" t="str">
        <f>VLOOKUP([1]Competence!$B28,[1]Competence!$B$12:$B$100,1,FALSE)</f>
        <v>Release and deployment</v>
      </c>
      <c r="D722" s="13" t="str" cm="1">
        <f t="array" ref="D722">_xlfn.XLOOKUP(B722,[1]Baseline!$D$3:$AZ$3,_xlfn.XLOOKUP(C722,[1]Baseline!$B$4:$B$91,[1]Baseline!$D$4:$AZ$91))</f>
        <v>Expert</v>
      </c>
      <c r="E722" s="13" t="s">
        <v>375</v>
      </c>
      <c r="F722" s="13">
        <v>3</v>
      </c>
      <c r="G722" s="153">
        <v>3</v>
      </c>
      <c r="H722" s="16">
        <f t="shared" si="11"/>
        <v>0</v>
      </c>
      <c r="I722" s="13">
        <v>3</v>
      </c>
      <c r="J722" s="160"/>
    </row>
    <row r="723" spans="1:10">
      <c r="A723" s="13" t="s">
        <v>14</v>
      </c>
      <c r="B723" s="13" t="s">
        <v>73</v>
      </c>
      <c r="C723" s="13" t="str">
        <f>VLOOKUP([1]Competence!$B29,[1]Competence!$B$12:$B$100,1,FALSE)</f>
        <v>Service acceptance</v>
      </c>
      <c r="D723" s="13" t="str" cm="1">
        <f t="array" ref="D723">_xlfn.XLOOKUP(B723,[1]Baseline!$D$3:$AZ$3,_xlfn.XLOOKUP(C723,[1]Baseline!$B$4:$B$91,[1]Baseline!$D$4:$AZ$91))</f>
        <v>Expert</v>
      </c>
      <c r="E723" s="13" t="s">
        <v>375</v>
      </c>
      <c r="F723" s="13">
        <v>3</v>
      </c>
      <c r="G723" s="153">
        <v>2</v>
      </c>
      <c r="H723" s="16">
        <f t="shared" si="11"/>
        <v>-1</v>
      </c>
      <c r="I723" s="13">
        <v>2</v>
      </c>
      <c r="J723" s="160"/>
    </row>
    <row r="724" spans="1:10">
      <c r="A724" s="13" t="s">
        <v>14</v>
      </c>
      <c r="B724" s="13" t="s">
        <v>73</v>
      </c>
      <c r="C724" s="13" t="str">
        <f>VLOOKUP([1]Competence!$B30,[1]Competence!$B$12:$B$100,1,FALSE)</f>
        <v>Stakeholder relationship management</v>
      </c>
      <c r="D724" s="13" t="str" cm="1">
        <f t="array" ref="D724">_xlfn.XLOOKUP(B724,[1]Baseline!$D$3:$AZ$3,_xlfn.XLOOKUP(C724,[1]Baseline!$B$4:$B$91,[1]Baseline!$D$4:$AZ$91))</f>
        <v>Expert</v>
      </c>
      <c r="E724" s="13" t="s">
        <v>375</v>
      </c>
      <c r="F724" s="13">
        <v>3</v>
      </c>
      <c r="G724" s="153">
        <v>3</v>
      </c>
      <c r="H724" s="16">
        <f t="shared" si="11"/>
        <v>0</v>
      </c>
      <c r="I724" s="13">
        <v>3</v>
      </c>
      <c r="J724" s="160"/>
    </row>
    <row r="725" spans="1:10">
      <c r="A725" s="13" t="s">
        <v>14</v>
      </c>
      <c r="B725" s="13" t="s">
        <v>73</v>
      </c>
      <c r="C725" s="13" t="str">
        <f>VLOOKUP([1]Competence!$B31,[1]Competence!$B$12:$B$100,1,FALSE)</f>
        <v>Storage management</v>
      </c>
      <c r="D725" s="13" t="str" cm="1">
        <f t="array" ref="D725">_xlfn.XLOOKUP(B725,[1]Baseline!$D$3:$AZ$3,_xlfn.XLOOKUP(C725,[1]Baseline!$B$4:$B$91,[1]Baseline!$D$4:$AZ$91))</f>
        <v>Expert</v>
      </c>
      <c r="E725" s="13" t="s">
        <v>375</v>
      </c>
      <c r="F725" s="13">
        <v>3</v>
      </c>
      <c r="G725" s="153">
        <v>2</v>
      </c>
      <c r="H725" s="16">
        <f t="shared" si="11"/>
        <v>-1</v>
      </c>
      <c r="I725" s="13">
        <v>2</v>
      </c>
      <c r="J725" s="160"/>
    </row>
    <row r="726" spans="1:10">
      <c r="A726" s="13" t="s">
        <v>14</v>
      </c>
      <c r="B726" s="13" t="s">
        <v>73</v>
      </c>
      <c r="C726" s="13" t="str">
        <f>VLOOKUP([1]Competence!$B32,[1]Competence!$B$12:$B$100,1,FALSE)</f>
        <v>Digital Forensics</v>
      </c>
      <c r="D726" s="13" t="str" cm="1">
        <f t="array" ref="D726">_xlfn.XLOOKUP(B726,[1]Baseline!$D$3:$AZ$3,_xlfn.XLOOKUP(C726,[1]Baseline!$B$4:$B$91,[1]Baseline!$D$4:$AZ$91))</f>
        <v>No Knowledge</v>
      </c>
      <c r="E726" s="13" t="s">
        <v>375</v>
      </c>
      <c r="F726" s="13">
        <v>3</v>
      </c>
      <c r="G726" s="153">
        <v>2</v>
      </c>
      <c r="H726" s="16">
        <f t="shared" si="11"/>
        <v>-1</v>
      </c>
      <c r="I726" s="13">
        <v>2</v>
      </c>
      <c r="J726" s="160"/>
    </row>
    <row r="727" spans="1:10">
      <c r="A727" s="13" t="s">
        <v>14</v>
      </c>
      <c r="B727" s="13" t="s">
        <v>73</v>
      </c>
      <c r="C727" s="13" t="str">
        <f>VLOOKUP([1]Competence!$B33,[1]Competence!$B$12:$B$100,1,FALSE)</f>
        <v>Penetration testing</v>
      </c>
      <c r="D727" s="13" t="str" cm="1">
        <f t="array" ref="D727">_xlfn.XLOOKUP(B727,[1]Baseline!$D$3:$AZ$3,_xlfn.XLOOKUP(C727,[1]Baseline!$B$4:$B$91,[1]Baseline!$D$4:$AZ$91))</f>
        <v>Practitioner</v>
      </c>
      <c r="E727" s="13" t="s">
        <v>375</v>
      </c>
      <c r="F727" s="13">
        <v>3</v>
      </c>
      <c r="G727" s="153">
        <v>3</v>
      </c>
      <c r="H727" s="16">
        <f t="shared" si="11"/>
        <v>0</v>
      </c>
      <c r="I727" s="13">
        <v>3</v>
      </c>
      <c r="J727" s="160"/>
    </row>
    <row r="728" spans="1:10">
      <c r="A728" s="13" t="s">
        <v>14</v>
      </c>
      <c r="B728" s="13" t="s">
        <v>73</v>
      </c>
      <c r="C728" s="13" t="str">
        <f>VLOOKUP([1]Competence!$B34,[1]Competence!$B$12:$B$100,1,FALSE)</f>
        <v>Security Operations</v>
      </c>
      <c r="D728" s="13" t="str" cm="1">
        <f t="array" ref="D728">_xlfn.XLOOKUP(B728,[1]Baseline!$D$3:$AZ$3,_xlfn.XLOOKUP(C728,[1]Baseline!$B$4:$B$91,[1]Baseline!$D$4:$AZ$91))</f>
        <v>Practitioner</v>
      </c>
      <c r="E728" s="13" t="s">
        <v>373</v>
      </c>
      <c r="F728" s="13">
        <v>3</v>
      </c>
      <c r="G728" s="153">
        <v>3</v>
      </c>
      <c r="H728" s="16">
        <f t="shared" si="11"/>
        <v>0</v>
      </c>
      <c r="I728" s="13">
        <v>3</v>
      </c>
      <c r="J728" s="160"/>
    </row>
    <row r="729" spans="1:10">
      <c r="A729" s="13" t="s">
        <v>14</v>
      </c>
      <c r="B729" s="13" t="s">
        <v>73</v>
      </c>
      <c r="C729" s="13" t="str">
        <f>VLOOKUP([1]Competence!$B35,[1]Competence!$B$12:$B$100,1,FALSE)</f>
        <v>Threat Intelligence</v>
      </c>
      <c r="D729" s="13" t="str" cm="1">
        <f t="array" ref="D729">_xlfn.XLOOKUP(B729,[1]Baseline!$D$3:$AZ$3,_xlfn.XLOOKUP(C729,[1]Baseline!$B$4:$B$91,[1]Baseline!$D$4:$AZ$91))</f>
        <v>Working</v>
      </c>
      <c r="E729" s="13" t="s">
        <v>373</v>
      </c>
      <c r="F729" s="13">
        <v>3</v>
      </c>
      <c r="G729" s="153">
        <v>3</v>
      </c>
      <c r="H729" s="16">
        <f t="shared" si="11"/>
        <v>0</v>
      </c>
      <c r="I729" s="13">
        <v>3</v>
      </c>
      <c r="J729" s="160"/>
    </row>
    <row r="730" spans="1:10">
      <c r="A730" s="13" t="s">
        <v>14</v>
      </c>
      <c r="B730" s="13" t="s">
        <v>73</v>
      </c>
      <c r="C730" s="13" t="str">
        <f>VLOOKUP([1]Competence!$B36,[1]Competence!$B$12:$B$100,1,FALSE)</f>
        <v>Vulnerability assessment</v>
      </c>
      <c r="D730" s="13" t="str" cm="1">
        <f t="array" ref="D730">_xlfn.XLOOKUP(B730,[1]Baseline!$D$3:$AZ$3,_xlfn.XLOOKUP(C730,[1]Baseline!$B$4:$B$91,[1]Baseline!$D$4:$AZ$91))</f>
        <v>Practitioner</v>
      </c>
      <c r="E730" s="13" t="s">
        <v>376</v>
      </c>
      <c r="F730" s="13">
        <v>2</v>
      </c>
      <c r="G730" s="153">
        <v>2</v>
      </c>
      <c r="H730" s="16">
        <f t="shared" si="11"/>
        <v>0</v>
      </c>
      <c r="I730" s="13">
        <v>2</v>
      </c>
      <c r="J730" s="160"/>
    </row>
    <row r="731" spans="1:10">
      <c r="A731" s="13" t="s">
        <v>14</v>
      </c>
      <c r="B731" s="13" t="s">
        <v>73</v>
      </c>
      <c r="C731" s="13" t="str">
        <f>VLOOKUP([1]Competence!$B37,[1]Competence!$B$12:$B$100,1,FALSE)</f>
        <v>Vulnerability Research</v>
      </c>
      <c r="D731" s="13" t="str" cm="1">
        <f t="array" ref="D731">_xlfn.XLOOKUP(B731,[1]Baseline!$D$3:$AZ$3,_xlfn.XLOOKUP(C731,[1]Baseline!$B$4:$B$91,[1]Baseline!$D$4:$AZ$91))</f>
        <v>Working</v>
      </c>
      <c r="E731" s="13" t="s">
        <v>376</v>
      </c>
      <c r="F731" s="13">
        <v>3</v>
      </c>
      <c r="G731" s="153">
        <v>2</v>
      </c>
      <c r="H731" s="16">
        <f t="shared" si="11"/>
        <v>-1</v>
      </c>
      <c r="I731" s="13">
        <v>2</v>
      </c>
      <c r="J731" s="160"/>
    </row>
    <row r="732" spans="1:10">
      <c r="A732" s="13" t="s">
        <v>14</v>
      </c>
      <c r="B732" s="13" t="s">
        <v>73</v>
      </c>
      <c r="C732" s="13" t="str">
        <f>VLOOKUP([1]Competence!$B38,[1]Competence!$B$12:$B$100,1,FALSE)</f>
        <v>Competency assessment</v>
      </c>
      <c r="D732" s="13" t="str" cm="1">
        <f t="array" ref="D732">_xlfn.XLOOKUP(B732,[1]Baseline!$D$3:$AZ$3,_xlfn.XLOOKUP(C732,[1]Baseline!$B$4:$B$91,[1]Baseline!$D$4:$AZ$91))</f>
        <v>Awareness</v>
      </c>
      <c r="E732" s="13" t="s">
        <v>376</v>
      </c>
      <c r="F732" s="13">
        <v>3</v>
      </c>
      <c r="G732" s="153">
        <v>2</v>
      </c>
      <c r="H732" s="16">
        <f t="shared" si="11"/>
        <v>-1</v>
      </c>
      <c r="I732" s="13">
        <v>2</v>
      </c>
      <c r="J732" s="160"/>
    </row>
    <row r="733" spans="1:10">
      <c r="A733" s="13" t="s">
        <v>14</v>
      </c>
      <c r="B733" s="13" t="s">
        <v>73</v>
      </c>
      <c r="C733" s="13" t="str">
        <f>VLOOKUP([1]Competence!$B39,[1]Competence!$B$12:$B$100,1,FALSE)</f>
        <v>Financial management</v>
      </c>
      <c r="D733" s="13" t="str" cm="1">
        <f t="array" ref="D733">_xlfn.XLOOKUP(B733,[1]Baseline!$D$3:$AZ$3,_xlfn.XLOOKUP(C733,[1]Baseline!$B$4:$B$91,[1]Baseline!$D$4:$AZ$91))</f>
        <v>Working</v>
      </c>
      <c r="E733" s="13" t="s">
        <v>376</v>
      </c>
      <c r="F733" s="13">
        <v>3</v>
      </c>
      <c r="G733" s="153">
        <v>3</v>
      </c>
      <c r="H733" s="16">
        <f t="shared" si="11"/>
        <v>0</v>
      </c>
      <c r="I733" s="13">
        <v>3</v>
      </c>
      <c r="J733" s="160"/>
    </row>
    <row r="734" spans="1:10">
      <c r="A734" s="13" t="s">
        <v>14</v>
      </c>
      <c r="B734" s="13" t="s">
        <v>73</v>
      </c>
      <c r="C734" s="13" t="str">
        <f>VLOOKUP([1]Competence!$B40,[1]Competence!$B$12:$B$100,1,FALSE)</f>
        <v>Organisation design and implementation</v>
      </c>
      <c r="D734" s="13" t="str" cm="1">
        <f t="array" ref="D734">_xlfn.XLOOKUP(B734,[1]Baseline!$D$3:$AZ$3,_xlfn.XLOOKUP(C734,[1]Baseline!$B$4:$B$91,[1]Baseline!$D$4:$AZ$91))</f>
        <v>No Knowledge</v>
      </c>
      <c r="E734" s="13" t="s">
        <v>376</v>
      </c>
      <c r="F734" s="13">
        <v>3</v>
      </c>
      <c r="G734" s="153">
        <v>1</v>
      </c>
      <c r="H734" s="16">
        <f t="shared" si="11"/>
        <v>-2</v>
      </c>
      <c r="I734" s="13">
        <v>1</v>
      </c>
      <c r="J734" s="160"/>
    </row>
    <row r="735" spans="1:10">
      <c r="A735" s="13" t="s">
        <v>14</v>
      </c>
      <c r="B735" s="13" t="s">
        <v>73</v>
      </c>
      <c r="C735" s="13" t="str">
        <f>VLOOKUP([1]Competence!$B41,[1]Competence!$B$12:$B$100,1,FALSE)</f>
        <v>Organisational capability development</v>
      </c>
      <c r="D735" s="13" t="str" cm="1">
        <f t="array" ref="D735">_xlfn.XLOOKUP(B735,[1]Baseline!$D$3:$AZ$3,_xlfn.XLOOKUP(C735,[1]Baseline!$B$4:$B$91,[1]Baseline!$D$4:$AZ$91))</f>
        <v>No Knowledge</v>
      </c>
      <c r="E735" s="13" t="s">
        <v>374</v>
      </c>
      <c r="F735" s="13">
        <v>3</v>
      </c>
      <c r="G735" s="153">
        <v>3</v>
      </c>
      <c r="H735" s="16">
        <f t="shared" si="11"/>
        <v>0</v>
      </c>
      <c r="I735" s="13">
        <v>3</v>
      </c>
      <c r="J735" s="160"/>
    </row>
    <row r="736" spans="1:10">
      <c r="A736" s="13" t="s">
        <v>14</v>
      </c>
      <c r="B736" s="13" t="s">
        <v>73</v>
      </c>
      <c r="C736" s="13" t="str">
        <f>VLOOKUP([1]Competence!$B42,[1]Competence!$B$12:$B$100,1,FALSE)</f>
        <v>Organisational change management</v>
      </c>
      <c r="D736" s="13" t="str" cm="1">
        <f t="array" ref="D736">_xlfn.XLOOKUP(B736,[1]Baseline!$D$3:$AZ$3,_xlfn.XLOOKUP(C736,[1]Baseline!$B$4:$B$91,[1]Baseline!$D$4:$AZ$91))</f>
        <v>Awareness</v>
      </c>
      <c r="E736" s="13" t="s">
        <v>374</v>
      </c>
      <c r="F736" s="13">
        <v>3</v>
      </c>
      <c r="G736" s="153">
        <v>3</v>
      </c>
      <c r="H736" s="16">
        <f t="shared" si="11"/>
        <v>0</v>
      </c>
      <c r="I736" s="13">
        <v>3</v>
      </c>
      <c r="J736" s="160"/>
    </row>
    <row r="737" spans="1:10">
      <c r="A737" s="13" t="s">
        <v>14</v>
      </c>
      <c r="B737" s="13" t="s">
        <v>73</v>
      </c>
      <c r="C737" s="13" t="str">
        <f>VLOOKUP([1]Competence!$B43,[1]Competence!$B$12:$B$100,1,FALSE)</f>
        <v>Performance Management</v>
      </c>
      <c r="D737" s="13" t="str" cm="1">
        <f t="array" ref="D737">_xlfn.XLOOKUP(B737,[1]Baseline!$D$3:$AZ$3,_xlfn.XLOOKUP(C737,[1]Baseline!$B$4:$B$91,[1]Baseline!$D$4:$AZ$91))</f>
        <v>Awareness</v>
      </c>
      <c r="E737" s="13" t="s">
        <v>374</v>
      </c>
      <c r="F737" s="13">
        <v>3</v>
      </c>
      <c r="G737" s="153">
        <v>3</v>
      </c>
      <c r="H737" s="16">
        <f t="shared" si="11"/>
        <v>0</v>
      </c>
      <c r="I737" s="13">
        <v>3</v>
      </c>
      <c r="J737" s="160"/>
    </row>
    <row r="738" spans="1:10">
      <c r="A738" s="13" t="s">
        <v>14</v>
      </c>
      <c r="B738" s="13" t="s">
        <v>73</v>
      </c>
      <c r="C738" s="13" t="str">
        <f>VLOOKUP([1]Competence!$B44,[1]Competence!$B$12:$B$100,1,FALSE)</f>
        <v>Professional Development</v>
      </c>
      <c r="D738" s="13" t="str" cm="1">
        <f t="array" ref="D738">_xlfn.XLOOKUP(B738,[1]Baseline!$D$3:$AZ$3,_xlfn.XLOOKUP(C738,[1]Baseline!$B$4:$B$91,[1]Baseline!$D$4:$AZ$91))</f>
        <v>Awareness</v>
      </c>
      <c r="E738" s="13" t="s">
        <v>374</v>
      </c>
      <c r="F738" s="13">
        <v>3</v>
      </c>
      <c r="G738" s="153">
        <v>3</v>
      </c>
      <c r="H738" s="16">
        <f t="shared" si="11"/>
        <v>0</v>
      </c>
      <c r="I738" s="13">
        <v>3</v>
      </c>
      <c r="J738" s="160"/>
    </row>
    <row r="739" spans="1:10">
      <c r="A739" s="13" t="s">
        <v>14</v>
      </c>
      <c r="B739" s="13" t="s">
        <v>73</v>
      </c>
      <c r="C739" s="13" t="str">
        <f>VLOOKUP([1]Competence!$B45,[1]Competence!$B$12:$B$100,1,FALSE)</f>
        <v>Strategic Planning</v>
      </c>
      <c r="D739" s="13" t="str" cm="1">
        <f t="array" ref="D739">_xlfn.XLOOKUP(B739,[1]Baseline!$D$3:$AZ$3,_xlfn.XLOOKUP(C739,[1]Baseline!$B$4:$B$91,[1]Baseline!$D$4:$AZ$91))</f>
        <v>Awareness</v>
      </c>
      <c r="E739" s="13" t="s">
        <v>374</v>
      </c>
      <c r="F739" s="13">
        <v>3</v>
      </c>
      <c r="G739" s="153">
        <v>2</v>
      </c>
      <c r="H739" s="16">
        <f t="shared" si="11"/>
        <v>-1</v>
      </c>
      <c r="I739" s="13">
        <v>2</v>
      </c>
      <c r="J739" s="160"/>
    </row>
    <row r="740" spans="1:10">
      <c r="A740" s="13" t="s">
        <v>14</v>
      </c>
      <c r="B740" s="13" t="s">
        <v>73</v>
      </c>
      <c r="C740" s="13" t="str">
        <f>VLOOKUP([1]Competence!$B46,[1]Competence!$B$12:$B$100,1,FALSE)</f>
        <v>Workforce Planning</v>
      </c>
      <c r="D740" s="13" t="str" cm="1">
        <f t="array" ref="D740">_xlfn.XLOOKUP(B740,[1]Baseline!$D$3:$AZ$3,_xlfn.XLOOKUP(C740,[1]Baseline!$B$4:$B$91,[1]Baseline!$D$4:$AZ$91))</f>
        <v>Awareness</v>
      </c>
      <c r="E740" s="13" t="s">
        <v>374</v>
      </c>
      <c r="F740" s="13">
        <v>3</v>
      </c>
      <c r="G740" s="153">
        <v>2</v>
      </c>
      <c r="H740" s="16">
        <f t="shared" si="11"/>
        <v>-1</v>
      </c>
      <c r="I740" s="13">
        <v>2</v>
      </c>
      <c r="J740" s="160"/>
    </row>
    <row r="741" spans="1:10">
      <c r="A741" s="13" t="s">
        <v>14</v>
      </c>
      <c r="B741" s="13" t="s">
        <v>73</v>
      </c>
      <c r="C741" s="13" t="str">
        <f>VLOOKUP([1]Competence!$B47,[1]Competence!$B$12:$B$100,1,FALSE)</f>
        <v>Audit</v>
      </c>
      <c r="D741" s="13" t="str" cm="1">
        <f t="array" ref="D741">_xlfn.XLOOKUP(B741,[1]Baseline!$D$3:$AZ$3,_xlfn.XLOOKUP(C741,[1]Baseline!$B$4:$B$91,[1]Baseline!$D$4:$AZ$91))</f>
        <v>Working</v>
      </c>
      <c r="E741" s="13" t="s">
        <v>377</v>
      </c>
      <c r="F741" s="13">
        <v>3</v>
      </c>
      <c r="G741" s="153">
        <v>3</v>
      </c>
      <c r="H741" s="16">
        <f t="shared" si="11"/>
        <v>0</v>
      </c>
      <c r="I741" s="13">
        <v>3</v>
      </c>
      <c r="J741" s="160"/>
    </row>
    <row r="742" spans="1:10">
      <c r="A742" s="13" t="s">
        <v>14</v>
      </c>
      <c r="B742" s="13" t="s">
        <v>73</v>
      </c>
      <c r="C742" s="13" t="str">
        <f>VLOOKUP([1]Competence!$B48,[1]Competence!$B$12:$B$100,1,FALSE)</f>
        <v>Contract management</v>
      </c>
      <c r="D742" s="13" t="str" cm="1">
        <f t="array" ref="D742">_xlfn.XLOOKUP(B742,[1]Baseline!$D$3:$AZ$3,_xlfn.XLOOKUP(C742,[1]Baseline!$B$4:$B$91,[1]Baseline!$D$4:$AZ$91))</f>
        <v>Working</v>
      </c>
      <c r="E742" s="13" t="s">
        <v>49</v>
      </c>
      <c r="F742" s="13">
        <v>2</v>
      </c>
      <c r="G742" s="153">
        <v>1</v>
      </c>
      <c r="H742" s="16">
        <f t="shared" si="11"/>
        <v>-1</v>
      </c>
      <c r="I742" s="13">
        <v>1</v>
      </c>
      <c r="J742" s="160"/>
    </row>
    <row r="743" spans="1:10">
      <c r="A743" s="13" t="s">
        <v>14</v>
      </c>
      <c r="B743" s="13" t="s">
        <v>73</v>
      </c>
      <c r="C743" s="13" t="str">
        <f>VLOOKUP([1]Competence!$B49,[1]Competence!$B$12:$B$100,1,FALSE)</f>
        <v>Feasibility assessment</v>
      </c>
      <c r="D743" s="13" t="str" cm="1">
        <f t="array" ref="D743">_xlfn.XLOOKUP(B743,[1]Baseline!$D$3:$AZ$3,_xlfn.XLOOKUP(C743,[1]Baseline!$B$4:$B$91,[1]Baseline!$D$4:$AZ$91))</f>
        <v>Working</v>
      </c>
      <c r="E743" s="13" t="s">
        <v>375</v>
      </c>
      <c r="F743" s="13">
        <v>2</v>
      </c>
      <c r="G743" s="153">
        <v>2</v>
      </c>
      <c r="H743" s="16">
        <f t="shared" si="11"/>
        <v>0</v>
      </c>
      <c r="I743" s="13">
        <v>2</v>
      </c>
      <c r="J743" s="160"/>
    </row>
    <row r="744" spans="1:10">
      <c r="A744" s="13" t="s">
        <v>14</v>
      </c>
      <c r="B744" s="13" t="s">
        <v>73</v>
      </c>
      <c r="C744" s="13" t="str">
        <f>VLOOKUP([1]Competence!$B50,[1]Competence!$B$12:$B$100,1,FALSE)</f>
        <v>Governance</v>
      </c>
      <c r="D744" s="13" t="str" cm="1">
        <f t="array" ref="D744">_xlfn.XLOOKUP(B744,[1]Baseline!$D$3:$AZ$3,_xlfn.XLOOKUP(C744,[1]Baseline!$B$4:$B$91,[1]Baseline!$D$4:$AZ$91))</f>
        <v>Practitioner</v>
      </c>
      <c r="E744" s="13" t="s">
        <v>375</v>
      </c>
      <c r="F744" s="13">
        <v>0</v>
      </c>
      <c r="G744" s="153">
        <v>2</v>
      </c>
      <c r="H744" s="16">
        <f t="shared" si="11"/>
        <v>2</v>
      </c>
      <c r="I744" s="13">
        <v>2</v>
      </c>
      <c r="J744" s="160"/>
    </row>
    <row r="745" spans="1:10">
      <c r="A745" s="13" t="s">
        <v>14</v>
      </c>
      <c r="B745" s="13" t="s">
        <v>73</v>
      </c>
      <c r="C745" s="13" t="str">
        <f>VLOOKUP([1]Competence!$B51,[1]Competence!$B$12:$B$100,1,FALSE)</f>
        <v>Risk management</v>
      </c>
      <c r="D745" s="13" t="str" cm="1">
        <f t="array" ref="D745">_xlfn.XLOOKUP(B745,[1]Baseline!$D$3:$AZ$3,_xlfn.XLOOKUP(C745,[1]Baseline!$B$4:$B$91,[1]Baseline!$D$4:$AZ$91))</f>
        <v>Practitioner</v>
      </c>
      <c r="E745" s="13" t="s">
        <v>375</v>
      </c>
      <c r="F745" s="13">
        <v>0</v>
      </c>
      <c r="G745" s="153">
        <v>3</v>
      </c>
      <c r="H745" s="16">
        <f t="shared" si="11"/>
        <v>3</v>
      </c>
      <c r="I745" s="13">
        <v>3</v>
      </c>
      <c r="J745" s="160"/>
    </row>
    <row r="746" spans="1:10">
      <c r="A746" s="13" t="s">
        <v>14</v>
      </c>
      <c r="B746" s="13" t="s">
        <v>73</v>
      </c>
      <c r="C746" s="13" t="str">
        <f>VLOOKUP([1]Competence!$B52,[1]Competence!$B$12:$B$100,1,FALSE)</f>
        <v>Sourcing</v>
      </c>
      <c r="D746" s="13" t="str" cm="1">
        <f t="array" ref="D746">_xlfn.XLOOKUP(B746,[1]Baseline!$D$3:$AZ$3,_xlfn.XLOOKUP(C746,[1]Baseline!$B$4:$B$91,[1]Baseline!$D$4:$AZ$91))</f>
        <v>Awareness</v>
      </c>
      <c r="E746" s="13" t="s">
        <v>375</v>
      </c>
      <c r="F746" s="13">
        <v>2</v>
      </c>
      <c r="G746" s="153">
        <v>2</v>
      </c>
      <c r="H746" s="16">
        <f t="shared" si="11"/>
        <v>0</v>
      </c>
      <c r="I746" s="13">
        <v>2</v>
      </c>
      <c r="J746" s="160"/>
    </row>
    <row r="747" spans="1:10">
      <c r="A747" s="13" t="s">
        <v>14</v>
      </c>
      <c r="B747" s="13" t="s">
        <v>73</v>
      </c>
      <c r="C747" s="13" t="str">
        <f>VLOOKUP([1]Competence!$B53,[1]Competence!$B$12:$B$100,1,FALSE)</f>
        <v>Supplier management</v>
      </c>
      <c r="D747" s="13" t="str" cm="1">
        <f t="array" ref="D747">_xlfn.XLOOKUP(B747,[1]Baseline!$D$3:$AZ$3,_xlfn.XLOOKUP(C747,[1]Baseline!$B$4:$B$91,[1]Baseline!$D$4:$AZ$91))</f>
        <v>Practitioner</v>
      </c>
      <c r="E747" s="13" t="s">
        <v>375</v>
      </c>
      <c r="F747" s="13">
        <v>1</v>
      </c>
      <c r="G747" s="153">
        <v>1</v>
      </c>
      <c r="H747" s="16">
        <f t="shared" si="11"/>
        <v>0</v>
      </c>
      <c r="I747" s="13">
        <v>1</v>
      </c>
      <c r="J747" s="160"/>
    </row>
    <row r="748" spans="1:10">
      <c r="A748" s="13" t="s">
        <v>14</v>
      </c>
      <c r="B748" s="13" t="s">
        <v>73</v>
      </c>
      <c r="C748" s="13" t="str">
        <f>VLOOKUP([1]Competence!$B54,[1]Competence!$B$12:$B$100,1,FALSE)</f>
        <v>Sustainability</v>
      </c>
      <c r="D748" s="13" t="str" cm="1">
        <f t="array" ref="D748">_xlfn.XLOOKUP(B748,[1]Baseline!$D$3:$AZ$3,_xlfn.XLOOKUP(C748,[1]Baseline!$B$4:$B$91,[1]Baseline!$D$4:$AZ$91))</f>
        <v>Awareness</v>
      </c>
      <c r="E748" s="13" t="s">
        <v>375</v>
      </c>
      <c r="F748" s="13">
        <v>1</v>
      </c>
      <c r="G748" s="153">
        <v>2</v>
      </c>
      <c r="H748" s="16">
        <f t="shared" si="11"/>
        <v>1</v>
      </c>
      <c r="I748" s="13">
        <v>2</v>
      </c>
      <c r="J748" s="160"/>
    </row>
    <row r="749" spans="1:10">
      <c r="A749" s="13" t="s">
        <v>14</v>
      </c>
      <c r="B749" s="13" t="s">
        <v>73</v>
      </c>
      <c r="C749" s="13" t="str">
        <f>VLOOKUP([1]Competence!$B55,[1]Competence!$B$12:$B$100,1,FALSE)</f>
        <v>Acceptance testing</v>
      </c>
      <c r="D749" s="13" t="str" cm="1">
        <f t="array" ref="D749">_xlfn.XLOOKUP(B749,[1]Baseline!$D$3:$AZ$3,_xlfn.XLOOKUP(C749,[1]Baseline!$B$4:$B$91,[1]Baseline!$D$4:$AZ$91))</f>
        <v>Working</v>
      </c>
      <c r="E749" s="13" t="s">
        <v>375</v>
      </c>
      <c r="F749" s="13">
        <v>3</v>
      </c>
      <c r="G749" s="153">
        <v>2</v>
      </c>
      <c r="H749" s="16">
        <f t="shared" si="11"/>
        <v>-1</v>
      </c>
      <c r="I749" s="13">
        <v>2</v>
      </c>
      <c r="J749" s="160"/>
    </row>
    <row r="750" spans="1:10">
      <c r="A750" s="13" t="s">
        <v>14</v>
      </c>
      <c r="B750" s="13" t="s">
        <v>73</v>
      </c>
      <c r="C750" s="13" t="str">
        <f>VLOOKUP([1]Competence!$B56,[1]Competence!$B$12:$B$100,1,FALSE)</f>
        <v>Application support</v>
      </c>
      <c r="D750" s="13" t="str" cm="1">
        <f t="array" ref="D750">_xlfn.XLOOKUP(B750,[1]Baseline!$D$3:$AZ$3,_xlfn.XLOOKUP(C750,[1]Baseline!$B$4:$B$91,[1]Baseline!$D$4:$AZ$91))</f>
        <v>Awareness</v>
      </c>
      <c r="E750" s="13" t="s">
        <v>375</v>
      </c>
      <c r="F750" s="13">
        <v>4</v>
      </c>
      <c r="G750" s="153">
        <v>3</v>
      </c>
      <c r="H750" s="16">
        <f t="shared" si="11"/>
        <v>-1</v>
      </c>
      <c r="I750" s="13">
        <v>3</v>
      </c>
      <c r="J750" s="160"/>
    </row>
    <row r="751" spans="1:10">
      <c r="A751" s="13" t="s">
        <v>14</v>
      </c>
      <c r="B751" s="13" t="s">
        <v>73</v>
      </c>
      <c r="C751" s="13" t="str">
        <f>VLOOKUP([1]Competence!$B57,[1]Competence!$B$12:$B$100,1,FALSE)</f>
        <v>Data Engineering</v>
      </c>
      <c r="D751" s="13" t="str" cm="1">
        <f t="array" ref="D751">_xlfn.XLOOKUP(B751,[1]Baseline!$D$3:$AZ$3,_xlfn.XLOOKUP(C751,[1]Baseline!$B$4:$B$91,[1]Baseline!$D$4:$AZ$91))</f>
        <v>No Knowledge</v>
      </c>
      <c r="E751" s="13" t="s">
        <v>375</v>
      </c>
      <c r="F751" s="13">
        <v>0</v>
      </c>
      <c r="G751" s="153">
        <v>1</v>
      </c>
      <c r="H751" s="16">
        <f t="shared" si="11"/>
        <v>1</v>
      </c>
      <c r="I751" s="13">
        <v>1</v>
      </c>
      <c r="J751" s="160"/>
    </row>
    <row r="752" spans="1:10">
      <c r="A752" s="13" t="s">
        <v>14</v>
      </c>
      <c r="B752" s="13" t="s">
        <v>73</v>
      </c>
      <c r="C752" s="13" t="str">
        <f>VLOOKUP([1]Competence!$B58,[1]Competence!$B$12:$B$100,1,FALSE)</f>
        <v>Data Management</v>
      </c>
      <c r="D752" s="13" t="str" cm="1">
        <f t="array" ref="D752">_xlfn.XLOOKUP(B752,[1]Baseline!$D$3:$AZ$3,_xlfn.XLOOKUP(C752,[1]Baseline!$B$4:$B$91,[1]Baseline!$D$4:$AZ$91))</f>
        <v>No Knowledge</v>
      </c>
      <c r="E752" s="13" t="s">
        <v>375</v>
      </c>
      <c r="F752" s="13">
        <v>0</v>
      </c>
      <c r="G752" s="153">
        <v>3</v>
      </c>
      <c r="H752" s="16">
        <f t="shared" si="11"/>
        <v>3</v>
      </c>
      <c r="I752" s="13">
        <v>3</v>
      </c>
      <c r="J752" s="160"/>
    </row>
    <row r="753" spans="1:10">
      <c r="A753" s="13" t="s">
        <v>14</v>
      </c>
      <c r="B753" s="13" t="s">
        <v>73</v>
      </c>
      <c r="C753" s="13" t="str">
        <f>VLOOKUP([1]Competence!$B59,[1]Competence!$B$12:$B$100,1,FALSE)</f>
        <v>Data Modelling and Design</v>
      </c>
      <c r="D753" s="13" t="str" cm="1">
        <f t="array" ref="D753">_xlfn.XLOOKUP(B753,[1]Baseline!$D$3:$AZ$3,_xlfn.XLOOKUP(C753,[1]Baseline!$B$4:$B$91,[1]Baseline!$D$4:$AZ$91))</f>
        <v>No Knowledge</v>
      </c>
      <c r="E753" s="13" t="s">
        <v>375</v>
      </c>
      <c r="F753" s="13">
        <v>0</v>
      </c>
      <c r="G753" s="153">
        <v>0</v>
      </c>
      <c r="H753" s="16">
        <f t="shared" si="11"/>
        <v>0</v>
      </c>
      <c r="I753" s="13">
        <v>0</v>
      </c>
      <c r="J753" s="160"/>
    </row>
    <row r="754" spans="1:10">
      <c r="A754" s="13" t="s">
        <v>14</v>
      </c>
      <c r="B754" s="13" t="s">
        <v>73</v>
      </c>
      <c r="C754" s="13" t="str">
        <f>VLOOKUP([1]Competence!$B60,[1]Competence!$B$12:$B$100,1,FALSE)</f>
        <v>Data science</v>
      </c>
      <c r="D754" s="13" t="str" cm="1">
        <f t="array" ref="D754">_xlfn.XLOOKUP(B754,[1]Baseline!$D$3:$AZ$3,_xlfn.XLOOKUP(C754,[1]Baseline!$B$4:$B$91,[1]Baseline!$D$4:$AZ$91))</f>
        <v>No Knowledge</v>
      </c>
      <c r="E754" s="13" t="s">
        <v>375</v>
      </c>
      <c r="F754" s="13">
        <v>3</v>
      </c>
      <c r="G754" s="153">
        <v>0</v>
      </c>
      <c r="H754" s="16">
        <f t="shared" si="11"/>
        <v>-3</v>
      </c>
      <c r="I754" s="13">
        <v>0</v>
      </c>
      <c r="J754" s="160"/>
    </row>
    <row r="755" spans="1:10">
      <c r="A755" s="13" t="s">
        <v>14</v>
      </c>
      <c r="B755" s="13" t="s">
        <v>73</v>
      </c>
      <c r="C755" s="13" t="str">
        <f>VLOOKUP([1]Competence!$B61,[1]Competence!$B$12:$B$100,1,FALSE)</f>
        <v>Data visualisation</v>
      </c>
      <c r="D755" s="13" t="str" cm="1">
        <f t="array" ref="D755">_xlfn.XLOOKUP(B755,[1]Baseline!$D$3:$AZ$3,_xlfn.XLOOKUP(C755,[1]Baseline!$B$4:$B$91,[1]Baseline!$D$4:$AZ$91))</f>
        <v>No Knowledge</v>
      </c>
      <c r="E755" s="13" t="s">
        <v>375</v>
      </c>
      <c r="F755" s="13">
        <v>3</v>
      </c>
      <c r="G755" s="153">
        <v>1</v>
      </c>
      <c r="H755" s="16">
        <f t="shared" si="11"/>
        <v>-2</v>
      </c>
      <c r="I755" s="13">
        <v>1</v>
      </c>
      <c r="J755" s="160"/>
    </row>
    <row r="756" spans="1:10">
      <c r="A756" s="13" t="s">
        <v>14</v>
      </c>
      <c r="B756" s="13" t="s">
        <v>73</v>
      </c>
      <c r="C756" s="13" t="str">
        <f>VLOOKUP([1]Competence!$B62,[1]Competence!$B$12:$B$100,1,FALSE)</f>
        <v>Database Administration</v>
      </c>
      <c r="D756" s="13" t="str" cm="1">
        <f t="array" ref="D756">_xlfn.XLOOKUP(B756,[1]Baseline!$D$3:$AZ$3,_xlfn.XLOOKUP(C756,[1]Baseline!$B$4:$B$91,[1]Baseline!$D$4:$AZ$91))</f>
        <v>Working</v>
      </c>
      <c r="E756" s="13" t="s">
        <v>373</v>
      </c>
      <c r="F756" s="13">
        <v>3</v>
      </c>
      <c r="G756" s="153">
        <v>2</v>
      </c>
      <c r="H756" s="16">
        <f t="shared" si="11"/>
        <v>-1</v>
      </c>
      <c r="I756" s="13">
        <v>2</v>
      </c>
      <c r="J756" s="160"/>
    </row>
    <row r="757" spans="1:10">
      <c r="A757" s="13" t="s">
        <v>14</v>
      </c>
      <c r="B757" s="13" t="s">
        <v>73</v>
      </c>
      <c r="C757" s="13" t="str">
        <f>VLOOKUP([1]Competence!$B63,[1]Competence!$B$12:$B$100,1,FALSE)</f>
        <v>Database Design</v>
      </c>
      <c r="D757" s="13" t="str" cm="1">
        <f t="array" ref="D757">_xlfn.XLOOKUP(B757,[1]Baseline!$D$3:$AZ$3,_xlfn.XLOOKUP(C757,[1]Baseline!$B$4:$B$91,[1]Baseline!$D$4:$AZ$91))</f>
        <v>No Knowledge</v>
      </c>
      <c r="E757" s="13" t="s">
        <v>377</v>
      </c>
      <c r="F757" s="13">
        <v>2</v>
      </c>
      <c r="G757" s="153">
        <v>1</v>
      </c>
      <c r="H757" s="16">
        <f t="shared" si="11"/>
        <v>-1</v>
      </c>
      <c r="I757" s="13">
        <v>1</v>
      </c>
      <c r="J757" s="160"/>
    </row>
    <row r="758" spans="1:10">
      <c r="A758" s="13" t="s">
        <v>14</v>
      </c>
      <c r="B758" s="13" t="s">
        <v>73</v>
      </c>
      <c r="C758" s="13" t="str">
        <f>VLOOKUP([1]Competence!$B64,[1]Competence!$B$12:$B$100,1,FALSE)</f>
        <v>Hardware design</v>
      </c>
      <c r="D758" s="13" t="str" cm="1">
        <f t="array" ref="D758">_xlfn.XLOOKUP(B758,[1]Baseline!$D$3:$AZ$3,_xlfn.XLOOKUP(C758,[1]Baseline!$B$4:$B$91,[1]Baseline!$D$4:$AZ$91))</f>
        <v>Expert</v>
      </c>
      <c r="E758" s="13" t="s">
        <v>377</v>
      </c>
      <c r="F758" s="13">
        <v>1</v>
      </c>
      <c r="G758" s="153">
        <v>2</v>
      </c>
      <c r="H758" s="16">
        <f t="shared" si="11"/>
        <v>1</v>
      </c>
      <c r="I758" s="13">
        <v>2</v>
      </c>
      <c r="J758" s="160"/>
    </row>
    <row r="759" spans="1:10">
      <c r="A759" s="13" t="s">
        <v>14</v>
      </c>
      <c r="B759" s="13" t="s">
        <v>73</v>
      </c>
      <c r="C759" s="13" t="str">
        <f>VLOOKUP([1]Competence!$B65,[1]Competence!$B$12:$B$100,1,FALSE)</f>
        <v>High Performance Computing</v>
      </c>
      <c r="D759" s="13" t="str" cm="1">
        <f t="array" ref="D759">_xlfn.XLOOKUP(B759,[1]Baseline!$D$3:$AZ$3,_xlfn.XLOOKUP(C759,[1]Baseline!$B$4:$B$91,[1]Baseline!$D$4:$AZ$91))</f>
        <v>Working</v>
      </c>
      <c r="E759" s="13" t="s">
        <v>378</v>
      </c>
      <c r="F759" s="13">
        <v>1</v>
      </c>
      <c r="G759" s="153">
        <v>1</v>
      </c>
      <c r="H759" s="16">
        <f t="shared" si="11"/>
        <v>0</v>
      </c>
      <c r="I759" s="13">
        <v>1</v>
      </c>
      <c r="J759" s="160"/>
    </row>
    <row r="760" spans="1:10">
      <c r="A760" s="13" t="s">
        <v>14</v>
      </c>
      <c r="B760" s="13" t="s">
        <v>73</v>
      </c>
      <c r="C760" s="13" t="str">
        <f>VLOOKUP([1]Competence!$B66,[1]Competence!$B$12:$B$100,1,FALSE)</f>
        <v>Research Computing</v>
      </c>
      <c r="D760" s="13" t="str" cm="1">
        <f t="array" ref="D760">_xlfn.XLOOKUP(B760,[1]Baseline!$D$3:$AZ$3,_xlfn.XLOOKUP(C760,[1]Baseline!$B$4:$B$91,[1]Baseline!$D$4:$AZ$91))</f>
        <v>Working</v>
      </c>
      <c r="E760" s="13" t="s">
        <v>378</v>
      </c>
      <c r="F760" s="13">
        <v>0</v>
      </c>
      <c r="G760" s="153">
        <v>1</v>
      </c>
      <c r="H760" s="16">
        <f t="shared" si="11"/>
        <v>1</v>
      </c>
      <c r="I760" s="13">
        <v>1</v>
      </c>
      <c r="J760" s="160"/>
    </row>
    <row r="761" spans="1:10">
      <c r="A761" s="13" t="s">
        <v>14</v>
      </c>
      <c r="B761" s="13" t="s">
        <v>73</v>
      </c>
      <c r="C761" s="13" t="str">
        <f>VLOOKUP([1]Competence!$B67,[1]Competence!$B$12:$B$100,1,FALSE)</f>
        <v>Information assurance</v>
      </c>
      <c r="D761" s="13" t="str" cm="1">
        <f t="array" ref="D761">_xlfn.XLOOKUP(B761,[1]Baseline!$D$3:$AZ$3,_xlfn.XLOOKUP(C761,[1]Baseline!$B$4:$B$91,[1]Baseline!$D$4:$AZ$91))</f>
        <v>Practitioner</v>
      </c>
      <c r="E761" s="13" t="s">
        <v>49</v>
      </c>
      <c r="F761" s="13">
        <v>2</v>
      </c>
      <c r="G761" s="153">
        <v>3</v>
      </c>
      <c r="H761" s="16">
        <f t="shared" si="11"/>
        <v>1</v>
      </c>
      <c r="I761" s="13">
        <v>3</v>
      </c>
      <c r="J761" s="160"/>
    </row>
    <row r="762" spans="1:10">
      <c r="A762" s="13" t="s">
        <v>14</v>
      </c>
      <c r="B762" s="13" t="s">
        <v>73</v>
      </c>
      <c r="C762" s="13" t="str">
        <f>VLOOKUP([1]Competence!$B68,[1]Competence!$B$12:$B$100,1,FALSE)</f>
        <v>Information management</v>
      </c>
      <c r="D762" s="13" t="str" cm="1">
        <f t="array" ref="D762">_xlfn.XLOOKUP(B762,[1]Baseline!$D$3:$AZ$3,_xlfn.XLOOKUP(C762,[1]Baseline!$B$4:$B$91,[1]Baseline!$D$4:$AZ$91))</f>
        <v>Expert</v>
      </c>
      <c r="E762" s="13" t="s">
        <v>49</v>
      </c>
      <c r="F762" s="13">
        <v>1</v>
      </c>
      <c r="G762" s="153">
        <v>2</v>
      </c>
      <c r="H762" s="16">
        <f t="shared" si="11"/>
        <v>1</v>
      </c>
      <c r="I762" s="13">
        <v>2</v>
      </c>
      <c r="J762" s="160"/>
    </row>
    <row r="763" spans="1:10">
      <c r="A763" s="13" t="s">
        <v>14</v>
      </c>
      <c r="B763" s="13" t="s">
        <v>73</v>
      </c>
      <c r="C763" s="13" t="str">
        <f>VLOOKUP([1]Competence!$B69,[1]Competence!$B$12:$B$100,1,FALSE)</f>
        <v>Infrastructure</v>
      </c>
      <c r="D763" s="13" t="str" cm="1">
        <f t="array" ref="D763">_xlfn.XLOOKUP(B763,[1]Baseline!$D$3:$AZ$3,_xlfn.XLOOKUP(C763,[1]Baseline!$B$4:$B$91,[1]Baseline!$D$4:$AZ$91))</f>
        <v>Expert</v>
      </c>
      <c r="E763" s="13" t="s">
        <v>49</v>
      </c>
      <c r="F763" s="13">
        <v>1</v>
      </c>
      <c r="G763" s="153">
        <v>4</v>
      </c>
      <c r="H763" s="16">
        <f t="shared" si="11"/>
        <v>3</v>
      </c>
      <c r="I763" s="13">
        <v>4</v>
      </c>
      <c r="J763" s="160"/>
    </row>
    <row r="764" spans="1:10">
      <c r="A764" s="13" t="s">
        <v>14</v>
      </c>
      <c r="B764" s="13" t="s">
        <v>73</v>
      </c>
      <c r="C764" s="13" t="str">
        <f>VLOOKUP([1]Competence!$B70,[1]Competence!$B$12:$B$100,1,FALSE)</f>
        <v>Network design</v>
      </c>
      <c r="D764" s="13" t="str" cm="1">
        <f t="array" ref="D764">_xlfn.XLOOKUP(B764,[1]Baseline!$D$3:$AZ$3,_xlfn.XLOOKUP(C764,[1]Baseline!$B$4:$B$91,[1]Baseline!$D$4:$AZ$91))</f>
        <v>Practitioner</v>
      </c>
      <c r="E764" s="13" t="s">
        <v>49</v>
      </c>
      <c r="F764" s="13">
        <v>1</v>
      </c>
      <c r="G764" s="153">
        <v>2</v>
      </c>
      <c r="H764" s="16">
        <f t="shared" si="11"/>
        <v>1</v>
      </c>
      <c r="I764" s="13">
        <v>2</v>
      </c>
      <c r="J764" s="160"/>
    </row>
    <row r="765" spans="1:10">
      <c r="A765" s="13" t="s">
        <v>14</v>
      </c>
      <c r="B765" s="13" t="s">
        <v>73</v>
      </c>
      <c r="C765" s="13" t="str">
        <f>VLOOKUP([1]Competence!$B71,[1]Competence!$B$12:$B$100,1,FALSE)</f>
        <v>Network Analytics</v>
      </c>
      <c r="D765" s="13" t="str" cm="1">
        <f t="array" ref="D765">_xlfn.XLOOKUP(B765,[1]Baseline!$D$3:$AZ$3,_xlfn.XLOOKUP(C765,[1]Baseline!$B$4:$B$91,[1]Baseline!$D$4:$AZ$91))</f>
        <v>Practitioner</v>
      </c>
      <c r="E765" s="13" t="s">
        <v>375</v>
      </c>
      <c r="F765" s="13">
        <v>0</v>
      </c>
      <c r="G765" s="153">
        <v>2</v>
      </c>
      <c r="H765" s="16">
        <f t="shared" si="11"/>
        <v>2</v>
      </c>
      <c r="I765" s="13">
        <v>2</v>
      </c>
      <c r="J765" s="160"/>
    </row>
    <row r="766" spans="1:10">
      <c r="A766" s="13" t="s">
        <v>14</v>
      </c>
      <c r="B766" s="13" t="s">
        <v>73</v>
      </c>
      <c r="C766" s="13" t="str">
        <f>VLOOKUP([1]Competence!$B72,[1]Competence!$B$12:$B$100,1,FALSE)</f>
        <v>Network support</v>
      </c>
      <c r="D766" s="13" t="str" cm="1">
        <f t="array" ref="D766">_xlfn.XLOOKUP(B766,[1]Baseline!$D$3:$AZ$3,_xlfn.XLOOKUP(C766,[1]Baseline!$B$4:$B$91,[1]Baseline!$D$4:$AZ$91))</f>
        <v>Practitioner</v>
      </c>
      <c r="E766" s="13" t="s">
        <v>375</v>
      </c>
      <c r="F766" s="13">
        <v>0</v>
      </c>
      <c r="G766" s="153">
        <v>2</v>
      </c>
      <c r="H766" s="16">
        <f t="shared" si="11"/>
        <v>2</v>
      </c>
      <c r="I766" s="13">
        <v>2</v>
      </c>
      <c r="J766" s="160"/>
    </row>
    <row r="767" spans="1:10">
      <c r="A767" s="13" t="s">
        <v>14</v>
      </c>
      <c r="B767" s="13" t="s">
        <v>73</v>
      </c>
      <c r="C767" s="13" t="str">
        <f>VLOOKUP([1]Competence!$B73,[1]Competence!$B$12:$B$100,1,FALSE)</f>
        <v>Programming/software development</v>
      </c>
      <c r="D767" s="13" t="str" cm="1">
        <f t="array" ref="D767">_xlfn.XLOOKUP(B767,[1]Baseline!$D$3:$AZ$3,_xlfn.XLOOKUP(C767,[1]Baseline!$B$4:$B$91,[1]Baseline!$D$4:$AZ$91))</f>
        <v>No Knowledge</v>
      </c>
      <c r="E767" s="13" t="s">
        <v>375</v>
      </c>
      <c r="F767" s="13">
        <v>0</v>
      </c>
      <c r="G767" s="153">
        <v>1</v>
      </c>
      <c r="H767" s="16">
        <f t="shared" si="11"/>
        <v>1</v>
      </c>
      <c r="I767" s="13">
        <v>1</v>
      </c>
      <c r="J767" s="160"/>
    </row>
    <row r="768" spans="1:10">
      <c r="A768" s="13" t="s">
        <v>14</v>
      </c>
      <c r="B768" s="13" t="s">
        <v>73</v>
      </c>
      <c r="C768" s="13" t="str">
        <f>VLOOKUP([1]Competence!$B74,[1]Competence!$B$12:$B$100,1,FALSE)</f>
        <v>Real-time/embedded systems development</v>
      </c>
      <c r="D768" s="13" t="str" cm="1">
        <f t="array" ref="D768">_xlfn.XLOOKUP(B768,[1]Baseline!$D$3:$AZ$3,_xlfn.XLOOKUP(C768,[1]Baseline!$B$4:$B$91,[1]Baseline!$D$4:$AZ$91))</f>
        <v>No Knowledge</v>
      </c>
      <c r="E768" s="13" t="s">
        <v>375</v>
      </c>
      <c r="F768" s="13">
        <v>0</v>
      </c>
      <c r="G768" s="153">
        <v>0</v>
      </c>
      <c r="H768" s="16">
        <f t="shared" si="11"/>
        <v>0</v>
      </c>
      <c r="I768" s="13">
        <v>0</v>
      </c>
      <c r="J768" s="160"/>
    </row>
    <row r="769" spans="1:10">
      <c r="A769" s="13" t="s">
        <v>14</v>
      </c>
      <c r="B769" s="13" t="s">
        <v>73</v>
      </c>
      <c r="C769" s="13" t="str">
        <f>VLOOKUP([1]Competence!$B75,[1]Competence!$B$12:$B$100,1,FALSE)</f>
        <v>Requirements definition and management</v>
      </c>
      <c r="D769" s="13" t="str" cm="1">
        <f t="array" ref="D769">_xlfn.XLOOKUP(B769,[1]Baseline!$D$3:$AZ$3,_xlfn.XLOOKUP(C769,[1]Baseline!$B$4:$B$91,[1]Baseline!$D$4:$AZ$91))</f>
        <v>No Knowledge</v>
      </c>
      <c r="E769" s="13" t="s">
        <v>375</v>
      </c>
      <c r="F769" s="13">
        <v>0</v>
      </c>
      <c r="G769" s="153">
        <v>0</v>
      </c>
      <c r="H769" s="16">
        <f t="shared" si="11"/>
        <v>0</v>
      </c>
      <c r="I769" s="13">
        <v>0</v>
      </c>
      <c r="J769" s="160"/>
    </row>
    <row r="770" spans="1:10">
      <c r="A770" s="13" t="s">
        <v>14</v>
      </c>
      <c r="B770" s="13" t="s">
        <v>73</v>
      </c>
      <c r="C770" s="13" t="str">
        <f>VLOOKUP([1]Competence!$B76,[1]Competence!$B$12:$B$100,1,FALSE)</f>
        <v>Software configuration</v>
      </c>
      <c r="D770" s="13" t="str" cm="1">
        <f t="array" ref="D770">_xlfn.XLOOKUP(B770,[1]Baseline!$D$3:$AZ$3,_xlfn.XLOOKUP(C770,[1]Baseline!$B$4:$B$91,[1]Baseline!$D$4:$AZ$91))</f>
        <v>No Knowledge</v>
      </c>
      <c r="E770" s="13" t="s">
        <v>375</v>
      </c>
      <c r="F770" s="13">
        <v>2</v>
      </c>
      <c r="G770" s="153">
        <v>2</v>
      </c>
      <c r="H770" s="16">
        <f t="shared" ref="H770:H833" si="12">I770-F770</f>
        <v>0</v>
      </c>
      <c r="I770" s="13">
        <v>2</v>
      </c>
      <c r="J770" s="160"/>
    </row>
    <row r="771" spans="1:10">
      <c r="A771" s="13" t="s">
        <v>14</v>
      </c>
      <c r="B771" s="13" t="s">
        <v>73</v>
      </c>
      <c r="C771" s="13" t="str">
        <f>VLOOKUP([1]Competence!$B77,[1]Competence!$B$12:$B$100,1,FALSE)</f>
        <v>Software design</v>
      </c>
      <c r="D771" s="13" t="str" cm="1">
        <f t="array" ref="D771">_xlfn.XLOOKUP(B771,[1]Baseline!$D$3:$AZ$3,_xlfn.XLOOKUP(C771,[1]Baseline!$B$4:$B$91,[1]Baseline!$D$4:$AZ$91))</f>
        <v>No Knowledge</v>
      </c>
      <c r="E771" s="13" t="s">
        <v>375</v>
      </c>
      <c r="F771" s="13">
        <v>1</v>
      </c>
      <c r="G771" s="153">
        <v>0</v>
      </c>
      <c r="H771" s="16">
        <f t="shared" si="12"/>
        <v>-1</v>
      </c>
      <c r="I771" s="13">
        <v>0</v>
      </c>
      <c r="J771" s="160"/>
    </row>
    <row r="772" spans="1:10">
      <c r="A772" s="13" t="s">
        <v>14</v>
      </c>
      <c r="B772" s="13" t="s">
        <v>73</v>
      </c>
      <c r="C772" s="13" t="str">
        <f>VLOOKUP([1]Competence!$B78,[1]Competence!$B$12:$B$100,1,FALSE)</f>
        <v>Solution architecture</v>
      </c>
      <c r="D772" s="13" t="str" cm="1">
        <f t="array" ref="D772">_xlfn.XLOOKUP(B772,[1]Baseline!$D$3:$AZ$3,_xlfn.XLOOKUP(C772,[1]Baseline!$B$4:$B$91,[1]Baseline!$D$4:$AZ$91))</f>
        <v>Working</v>
      </c>
      <c r="E772" s="13" t="s">
        <v>375</v>
      </c>
      <c r="F772" s="13">
        <v>0</v>
      </c>
      <c r="G772" s="153">
        <v>0</v>
      </c>
      <c r="H772" s="16">
        <f t="shared" si="12"/>
        <v>0</v>
      </c>
      <c r="I772" s="13">
        <v>0</v>
      </c>
      <c r="J772" s="160"/>
    </row>
    <row r="773" spans="1:10">
      <c r="A773" s="13" t="s">
        <v>14</v>
      </c>
      <c r="B773" s="13" t="s">
        <v>73</v>
      </c>
      <c r="C773" s="13" t="str">
        <f>VLOOKUP([1]Competence!$B79,[1]Competence!$B$12:$B$100,1,FALSE)</f>
        <v>System software</v>
      </c>
      <c r="D773" s="13" t="str" cm="1">
        <f t="array" ref="D773">_xlfn.XLOOKUP(B773,[1]Baseline!$D$3:$AZ$3,_xlfn.XLOOKUP(C773,[1]Baseline!$B$4:$B$91,[1]Baseline!$D$4:$AZ$91))</f>
        <v>No Knowledge</v>
      </c>
      <c r="E773" s="13" t="s">
        <v>373</v>
      </c>
      <c r="F773" s="13">
        <v>0</v>
      </c>
      <c r="G773" s="153">
        <v>4</v>
      </c>
      <c r="H773" s="16">
        <f t="shared" si="12"/>
        <v>4</v>
      </c>
      <c r="I773" s="13">
        <v>4</v>
      </c>
      <c r="J773" s="160"/>
    </row>
    <row r="774" spans="1:10">
      <c r="A774" s="13" t="s">
        <v>14</v>
      </c>
      <c r="B774" s="13" t="s">
        <v>73</v>
      </c>
      <c r="C774" s="13" t="str">
        <f>VLOOKUP([1]Competence!$B80,[1]Competence!$B$12:$B$100,1,FALSE)</f>
        <v>Systems and software life cycle engineering</v>
      </c>
      <c r="D774" s="13" t="str" cm="1">
        <f t="array" ref="D774">_xlfn.XLOOKUP(B774,[1]Baseline!$D$3:$AZ$3,_xlfn.XLOOKUP(C774,[1]Baseline!$B$4:$B$91,[1]Baseline!$D$4:$AZ$91))</f>
        <v>No Knowledge</v>
      </c>
      <c r="E774" s="13" t="s">
        <v>373</v>
      </c>
      <c r="F774" s="13">
        <v>0</v>
      </c>
      <c r="G774" s="153">
        <v>3</v>
      </c>
      <c r="H774" s="16">
        <f t="shared" si="12"/>
        <v>3</v>
      </c>
      <c r="I774" s="13">
        <v>3</v>
      </c>
      <c r="J774" s="160"/>
    </row>
    <row r="775" spans="1:10">
      <c r="A775" s="13" t="s">
        <v>14</v>
      </c>
      <c r="B775" s="13" t="s">
        <v>73</v>
      </c>
      <c r="C775" s="13" t="str">
        <f>VLOOKUP([1]Competence!$B81,[1]Competence!$B$12:$B$100,1,FALSE)</f>
        <v>Systems design</v>
      </c>
      <c r="D775" s="13" t="str" cm="1">
        <f t="array" ref="D775">_xlfn.XLOOKUP(B775,[1]Baseline!$D$3:$AZ$3,_xlfn.XLOOKUP(C775,[1]Baseline!$B$4:$B$91,[1]Baseline!$D$4:$AZ$91))</f>
        <v>No Knowledge</v>
      </c>
      <c r="E775" s="13" t="s">
        <v>376</v>
      </c>
      <c r="F775" s="13">
        <v>2</v>
      </c>
      <c r="G775" s="153">
        <v>4</v>
      </c>
      <c r="H775" s="16">
        <f t="shared" si="12"/>
        <v>2</v>
      </c>
      <c r="I775" s="13">
        <v>4</v>
      </c>
      <c r="J775" s="160"/>
    </row>
    <row r="776" spans="1:10">
      <c r="A776" s="13" t="s">
        <v>14</v>
      </c>
      <c r="B776" s="13" t="s">
        <v>73</v>
      </c>
      <c r="C776" s="13" t="str">
        <f>VLOOKUP([1]Competence!$B82,[1]Competence!$B$12:$B$100,1,FALSE)</f>
        <v>Systems development management</v>
      </c>
      <c r="D776" s="13" t="str" cm="1">
        <f t="array" ref="D776">_xlfn.XLOOKUP(B776,[1]Baseline!$D$3:$AZ$3,_xlfn.XLOOKUP(C776,[1]Baseline!$B$4:$B$91,[1]Baseline!$D$4:$AZ$91))</f>
        <v>No Knowledge</v>
      </c>
      <c r="E776" s="13" t="s">
        <v>377</v>
      </c>
      <c r="F776" s="13">
        <v>0</v>
      </c>
      <c r="G776" s="153">
        <v>1</v>
      </c>
      <c r="H776" s="16">
        <f t="shared" si="12"/>
        <v>1</v>
      </c>
      <c r="I776" s="13">
        <v>1</v>
      </c>
      <c r="J776" s="160"/>
    </row>
    <row r="777" spans="1:10">
      <c r="A777" s="13" t="s">
        <v>14</v>
      </c>
      <c r="B777" s="13" t="s">
        <v>73</v>
      </c>
      <c r="C777" s="13" t="str">
        <f>VLOOKUP([1]Competence!$B83,[1]Competence!$B$12:$B$100,1,FALSE)</f>
        <v>Systems installation and removal</v>
      </c>
      <c r="D777" s="13" t="str" cm="1">
        <f t="array" ref="D777">_xlfn.XLOOKUP(B777,[1]Baseline!$D$3:$AZ$3,_xlfn.XLOOKUP(C777,[1]Baseline!$B$4:$B$91,[1]Baseline!$D$4:$AZ$91))</f>
        <v>Working</v>
      </c>
      <c r="E777" s="13" t="s">
        <v>377</v>
      </c>
      <c r="F777" s="13">
        <v>1</v>
      </c>
      <c r="G777" s="153">
        <v>4</v>
      </c>
      <c r="H777" s="16">
        <f t="shared" si="12"/>
        <v>3</v>
      </c>
      <c r="I777" s="13">
        <v>4</v>
      </c>
      <c r="J777" s="160"/>
    </row>
    <row r="778" spans="1:10">
      <c r="A778" s="13" t="s">
        <v>14</v>
      </c>
      <c r="B778" s="13" t="s">
        <v>73</v>
      </c>
      <c r="C778" s="13" t="str">
        <f>VLOOKUP([1]Competence!$B84,[1]Competence!$B$12:$B$100,1,FALSE)</f>
        <v>Testing</v>
      </c>
      <c r="D778" s="13" t="str" cm="1">
        <f t="array" ref="D778">_xlfn.XLOOKUP(B778,[1]Baseline!$D$3:$AZ$3,_xlfn.XLOOKUP(C778,[1]Baseline!$B$4:$B$91,[1]Baseline!$D$4:$AZ$91))</f>
        <v>Working</v>
      </c>
      <c r="E778" s="13" t="s">
        <v>378</v>
      </c>
      <c r="F778" s="13">
        <v>1</v>
      </c>
      <c r="G778" s="153">
        <v>3</v>
      </c>
      <c r="H778" s="16">
        <f t="shared" si="12"/>
        <v>2</v>
      </c>
      <c r="I778" s="13">
        <v>3</v>
      </c>
      <c r="J778" s="160"/>
    </row>
    <row r="779" spans="1:10">
      <c r="A779" s="13" t="s">
        <v>14</v>
      </c>
      <c r="B779" s="13" t="s">
        <v>73</v>
      </c>
      <c r="C779" s="13" t="str">
        <f>VLOOKUP([1]Competence!$B85,[1]Competence!$B$12:$B$100,1,FALSE)</f>
        <v>Innovation</v>
      </c>
      <c r="D779" s="13" t="str" cm="1">
        <f t="array" ref="D779">_xlfn.XLOOKUP(B779,[1]Baseline!$D$3:$AZ$3,_xlfn.XLOOKUP(C779,[1]Baseline!$B$4:$B$91,[1]Baseline!$D$4:$AZ$91))</f>
        <v>Practitioner</v>
      </c>
      <c r="E779" s="13" t="s">
        <v>378</v>
      </c>
      <c r="F779" s="13">
        <v>1</v>
      </c>
      <c r="G779" s="153">
        <v>3</v>
      </c>
      <c r="H779" s="16">
        <f t="shared" si="12"/>
        <v>2</v>
      </c>
      <c r="I779" s="13">
        <v>3</v>
      </c>
      <c r="J779" s="160"/>
    </row>
    <row r="780" spans="1:10">
      <c r="A780" s="13" t="s">
        <v>14</v>
      </c>
      <c r="B780" s="13" t="s">
        <v>73</v>
      </c>
      <c r="C780" s="13" t="str">
        <f>VLOOKUP([1]Competence!$B86,[1]Competence!$B$12:$B$100,1,FALSE)</f>
        <v>Specialist Advice</v>
      </c>
      <c r="D780" s="13" t="str" cm="1">
        <f t="array" ref="D780">_xlfn.XLOOKUP(B780,[1]Baseline!$D$3:$AZ$3,_xlfn.XLOOKUP(C780,[1]Baseline!$B$4:$B$91,[1]Baseline!$D$4:$AZ$91))</f>
        <v>Practitioner</v>
      </c>
      <c r="E780" s="13" t="s">
        <v>378</v>
      </c>
      <c r="F780" s="13">
        <v>0</v>
      </c>
      <c r="G780" s="153">
        <v>3</v>
      </c>
      <c r="H780" s="16">
        <f t="shared" si="12"/>
        <v>3</v>
      </c>
      <c r="I780" s="13">
        <v>3</v>
      </c>
      <c r="J780" s="160"/>
    </row>
    <row r="781" spans="1:10">
      <c r="A781" s="13" t="s">
        <v>14</v>
      </c>
      <c r="B781" s="13" t="s">
        <v>73</v>
      </c>
      <c r="C781" s="13" t="str">
        <f>VLOOKUP([1]Competence!$B87,[1]Competence!$B$12:$B$100,1,FALSE)</f>
        <v>Emerging technology monitoring</v>
      </c>
      <c r="D781" s="13" t="str" cm="1">
        <f t="array" ref="D781">_xlfn.XLOOKUP(B781,[1]Baseline!$D$3:$AZ$3,_xlfn.XLOOKUP(C781,[1]Baseline!$B$4:$B$91,[1]Baseline!$D$4:$AZ$91))</f>
        <v>Working</v>
      </c>
      <c r="E781" s="13" t="s">
        <v>378</v>
      </c>
      <c r="F781" s="13">
        <v>0</v>
      </c>
      <c r="G781" s="153">
        <v>3</v>
      </c>
      <c r="H781" s="16">
        <f t="shared" si="12"/>
        <v>3</v>
      </c>
      <c r="I781" s="13">
        <v>3</v>
      </c>
      <c r="J781" s="160"/>
    </row>
    <row r="782" spans="1:10">
      <c r="A782" s="13" t="s">
        <v>14</v>
      </c>
      <c r="B782" s="13" t="s">
        <v>73</v>
      </c>
      <c r="C782" s="13" t="str">
        <f>VLOOKUP([1]Competence!$B88,[1]Competence!$B$12:$B$100,1,FALSE)</f>
        <v>Systems integration and build</v>
      </c>
      <c r="D782" s="13" t="str" cm="1">
        <f t="array" ref="D782">_xlfn.XLOOKUP(B782,[1]Baseline!$D$3:$AZ$3,_xlfn.XLOOKUP(C782,[1]Baseline!$B$4:$B$91,[1]Baseline!$D$4:$AZ$91))</f>
        <v>Practitioner</v>
      </c>
      <c r="E782" s="13" t="s">
        <v>49</v>
      </c>
      <c r="F782" s="13">
        <v>1</v>
      </c>
      <c r="G782" s="153">
        <v>2</v>
      </c>
      <c r="H782" s="16">
        <f t="shared" si="12"/>
        <v>1</v>
      </c>
      <c r="I782" s="13">
        <v>2</v>
      </c>
      <c r="J782" s="160"/>
    </row>
    <row r="783" spans="1:10">
      <c r="A783" s="13" t="s">
        <v>14</v>
      </c>
      <c r="B783" s="13" t="s">
        <v>73</v>
      </c>
      <c r="C783" s="13" t="str">
        <f>VLOOKUP([1]Competence!$B89,[1]Competence!$B$12:$B$100,1,FALSE)</f>
        <v>Audio Visual</v>
      </c>
      <c r="D783" s="13" t="str" cm="1">
        <f t="array" ref="D783">_xlfn.XLOOKUP(B783,[1]Baseline!$D$3:$AZ$3,_xlfn.XLOOKUP(C783,[1]Baseline!$B$4:$B$91,[1]Baseline!$D$4:$AZ$91))</f>
        <v>Awareness</v>
      </c>
      <c r="E783" s="13" t="s">
        <v>375</v>
      </c>
      <c r="F783" s="13">
        <v>1</v>
      </c>
      <c r="G783" s="153">
        <v>2</v>
      </c>
      <c r="H783" s="16">
        <f t="shared" si="12"/>
        <v>1</v>
      </c>
      <c r="I783" s="13">
        <v>2</v>
      </c>
      <c r="J783" s="160"/>
    </row>
    <row r="784" spans="1:10">
      <c r="A784" s="13" t="s">
        <v>14</v>
      </c>
      <c r="B784" s="13" t="s">
        <v>73</v>
      </c>
      <c r="C784" s="13" t="str">
        <f>VLOOKUP([1]Competence!$B90,[1]Competence!$B$12:$B$100,1,FALSE)</f>
        <v>Augmented Reality</v>
      </c>
      <c r="D784" s="13" t="str" cm="1">
        <f t="array" ref="D784">_xlfn.XLOOKUP(B784,[1]Baseline!$D$3:$AZ$3,_xlfn.XLOOKUP(C784,[1]Baseline!$B$4:$B$91,[1]Baseline!$D$4:$AZ$91))</f>
        <v>No Knowledge</v>
      </c>
      <c r="E784" s="13" t="s">
        <v>375</v>
      </c>
      <c r="F784" s="13">
        <v>0</v>
      </c>
      <c r="G784" s="153">
        <v>1</v>
      </c>
      <c r="H784" s="16">
        <f t="shared" si="12"/>
        <v>1</v>
      </c>
      <c r="I784" s="13">
        <v>1</v>
      </c>
      <c r="J784" s="160"/>
    </row>
    <row r="785" spans="1:10">
      <c r="A785" s="13" t="s">
        <v>14</v>
      </c>
      <c r="B785" s="13" t="s">
        <v>73</v>
      </c>
      <c r="C785" s="13" t="str">
        <f>VLOOKUP([1]Competence!$B91,[1]Competence!$B$12:$B$100,1,FALSE)</f>
        <v>Benefits management</v>
      </c>
      <c r="D785" s="13" t="str" cm="1">
        <f t="array" ref="D785">_xlfn.XLOOKUP(B785,[1]Baseline!$D$3:$AZ$3,_xlfn.XLOOKUP(C785,[1]Baseline!$B$4:$B$91,[1]Baseline!$D$4:$AZ$91))</f>
        <v>Practitioner</v>
      </c>
      <c r="E785" s="13" t="s">
        <v>375</v>
      </c>
      <c r="F785" s="13">
        <v>2</v>
      </c>
      <c r="G785" s="153">
        <v>0</v>
      </c>
      <c r="H785" s="16">
        <f t="shared" si="12"/>
        <v>-2</v>
      </c>
      <c r="I785" s="13">
        <v>0</v>
      </c>
      <c r="J785" s="160"/>
    </row>
    <row r="786" spans="1:10">
      <c r="A786" s="13" t="s">
        <v>14</v>
      </c>
      <c r="B786" s="13" t="s">
        <v>73</v>
      </c>
      <c r="C786" s="13" t="str">
        <f>VLOOKUP([1]Competence!$B92,[1]Competence!$B$12:$B$100,1,FALSE)</f>
        <v>Business administration</v>
      </c>
      <c r="D786" s="13" t="str" cm="1">
        <f t="array" ref="D786">_xlfn.XLOOKUP(B786,[1]Baseline!$D$3:$AZ$3,_xlfn.XLOOKUP(C786,[1]Baseline!$B$4:$B$91,[1]Baseline!$D$4:$AZ$91))</f>
        <v>Practitioner</v>
      </c>
      <c r="E786" s="13" t="s">
        <v>378</v>
      </c>
      <c r="F786" s="13">
        <v>0</v>
      </c>
      <c r="G786" s="153">
        <v>1</v>
      </c>
      <c r="H786" s="16">
        <f t="shared" si="12"/>
        <v>1</v>
      </c>
      <c r="I786" s="13">
        <v>1</v>
      </c>
      <c r="J786" s="160"/>
    </row>
    <row r="787" spans="1:10">
      <c r="A787" s="13" t="s">
        <v>14</v>
      </c>
      <c r="B787" s="13" t="s">
        <v>73</v>
      </c>
      <c r="C787" s="13" t="str">
        <f>VLOOKUP([1]Competence!$B93,[1]Competence!$B$12:$B$100,1,FALSE)</f>
        <v>Business intelligence</v>
      </c>
      <c r="D787" s="13" t="str" cm="1">
        <f t="array" ref="D787">_xlfn.XLOOKUP(B787,[1]Baseline!$D$3:$AZ$3,_xlfn.XLOOKUP(C787,[1]Baseline!$B$4:$B$91,[1]Baseline!$D$4:$AZ$91))</f>
        <v>Practitioner</v>
      </c>
      <c r="E787" s="13" t="s">
        <v>378</v>
      </c>
      <c r="F787" s="13">
        <v>0</v>
      </c>
      <c r="G787" s="153">
        <v>2</v>
      </c>
      <c r="H787" s="16">
        <f t="shared" si="12"/>
        <v>2</v>
      </c>
      <c r="I787" s="13">
        <v>2</v>
      </c>
      <c r="J787" s="160"/>
    </row>
    <row r="788" spans="1:10">
      <c r="A788" s="13" t="s">
        <v>14</v>
      </c>
      <c r="B788" s="13" t="s">
        <v>73</v>
      </c>
      <c r="C788" s="13" t="str">
        <f>VLOOKUP([1]Competence!$B94,[1]Competence!$B$12:$B$100,1,FALSE)</f>
        <v>Business modelling</v>
      </c>
      <c r="D788" s="13" t="str" cm="1">
        <f t="array" ref="D788">_xlfn.XLOOKUP(B788,[1]Baseline!$D$3:$AZ$3,_xlfn.XLOOKUP(C788,[1]Baseline!$B$4:$B$91,[1]Baseline!$D$4:$AZ$91))</f>
        <v>Practitioner</v>
      </c>
      <c r="E788" s="13" t="s">
        <v>378</v>
      </c>
      <c r="F788" s="13">
        <v>0</v>
      </c>
      <c r="G788" s="153">
        <v>1</v>
      </c>
      <c r="H788" s="16">
        <f t="shared" si="12"/>
        <v>1</v>
      </c>
      <c r="I788" s="13">
        <v>1</v>
      </c>
      <c r="J788" s="160"/>
    </row>
    <row r="789" spans="1:10">
      <c r="A789" s="13" t="s">
        <v>14</v>
      </c>
      <c r="B789" s="13" t="s">
        <v>73</v>
      </c>
      <c r="C789" s="13" t="str">
        <f>VLOOKUP([1]Competence!$B95,[1]Competence!$B$12:$B$100,1,FALSE)</f>
        <v>Business process improvement</v>
      </c>
      <c r="D789" s="13" t="str" cm="1">
        <f t="array" ref="D789">_xlfn.XLOOKUP(B789,[1]Baseline!$D$3:$AZ$3,_xlfn.XLOOKUP(C789,[1]Baseline!$B$4:$B$91,[1]Baseline!$D$4:$AZ$91))</f>
        <v>Practitioner</v>
      </c>
      <c r="E789" s="13" t="s">
        <v>375</v>
      </c>
      <c r="F789" s="13">
        <v>0</v>
      </c>
      <c r="G789" s="153">
        <v>0</v>
      </c>
      <c r="H789" s="16">
        <f t="shared" si="12"/>
        <v>0</v>
      </c>
      <c r="I789" s="13">
        <v>0</v>
      </c>
      <c r="J789" s="160"/>
    </row>
    <row r="790" spans="1:10">
      <c r="A790" s="13" t="s">
        <v>14</v>
      </c>
      <c r="B790" s="13" t="s">
        <v>73</v>
      </c>
      <c r="C790" s="13" t="str">
        <f>VLOOKUP([1]Competence!$B96,[1]Competence!$B$12:$B$100,1,FALSE)</f>
        <v>Business situation analysis</v>
      </c>
      <c r="D790" s="13" t="str" cm="1">
        <f t="array" ref="D790">_xlfn.XLOOKUP(B790,[1]Baseline!$D$3:$AZ$3,_xlfn.XLOOKUP(C790,[1]Baseline!$B$4:$B$91,[1]Baseline!$D$4:$AZ$91))</f>
        <v>No Knowledge</v>
      </c>
      <c r="E790" s="13" t="s">
        <v>375</v>
      </c>
      <c r="F790" s="13">
        <v>0</v>
      </c>
      <c r="G790" s="153">
        <v>1</v>
      </c>
      <c r="H790" s="16">
        <f t="shared" si="12"/>
        <v>1</v>
      </c>
      <c r="I790" s="13">
        <v>1</v>
      </c>
      <c r="J790" s="160"/>
    </row>
    <row r="791" spans="1:10">
      <c r="A791" s="13" t="s">
        <v>14</v>
      </c>
      <c r="B791" s="13" t="s">
        <v>73</v>
      </c>
      <c r="C791" s="13" t="str">
        <f>VLOOKUP([1]Competence!$B97,[1]Competence!$B$12:$B$100,1,FALSE)</f>
        <v>Programme management</v>
      </c>
      <c r="D791" s="13" t="str" cm="1">
        <f t="array" ref="D791">_xlfn.XLOOKUP(B791,[1]Baseline!$D$3:$AZ$3,_xlfn.XLOOKUP(C791,[1]Baseline!$B$4:$B$91,[1]Baseline!$D$4:$AZ$91))</f>
        <v>Practitioner</v>
      </c>
      <c r="E791" s="13" t="s">
        <v>375</v>
      </c>
      <c r="F791" s="13">
        <v>0</v>
      </c>
      <c r="G791" s="153">
        <v>0</v>
      </c>
      <c r="H791" s="16">
        <f t="shared" si="12"/>
        <v>0</v>
      </c>
      <c r="I791" s="13">
        <v>0</v>
      </c>
      <c r="J791" s="160"/>
    </row>
    <row r="792" spans="1:10">
      <c r="A792" s="13" t="s">
        <v>14</v>
      </c>
      <c r="B792" s="13" t="s">
        <v>73</v>
      </c>
      <c r="C792" s="13" t="str">
        <f>VLOOKUP([1]Competence!$B98,[1]Competence!$B$12:$B$100,1,FALSE)</f>
        <v>Project management</v>
      </c>
      <c r="D792" s="13" t="str" cm="1">
        <f t="array" ref="D792">_xlfn.XLOOKUP(B792,[1]Baseline!$D$3:$AZ$3,_xlfn.XLOOKUP(C792,[1]Baseline!$B$4:$B$91,[1]Baseline!$D$4:$AZ$91))</f>
        <v>Practitioner</v>
      </c>
      <c r="E792" s="13" t="s">
        <v>375</v>
      </c>
      <c r="F792" s="13">
        <v>0</v>
      </c>
      <c r="G792" s="153">
        <v>3</v>
      </c>
      <c r="H792" s="16">
        <f t="shared" si="12"/>
        <v>3</v>
      </c>
      <c r="I792" s="13">
        <v>3</v>
      </c>
      <c r="J792" s="160"/>
    </row>
    <row r="793" spans="1:10">
      <c r="A793" s="13" t="s">
        <v>14</v>
      </c>
      <c r="B793" s="13" t="s">
        <v>73</v>
      </c>
      <c r="C793" s="13" t="str">
        <f>VLOOKUP([1]Competence!$B99,[1]Competence!$B$12:$B$100,1,FALSE)</f>
        <v>Quality assurance</v>
      </c>
      <c r="D793" s="13" t="str" cm="1">
        <f t="array" ref="D793">_xlfn.XLOOKUP(B793,[1]Baseline!$D$3:$AZ$3,_xlfn.XLOOKUP(C793,[1]Baseline!$B$4:$B$91,[1]Baseline!$D$4:$AZ$91))</f>
        <v>Practitioner</v>
      </c>
      <c r="E793" s="13" t="s">
        <v>375</v>
      </c>
      <c r="F793" s="13">
        <v>0</v>
      </c>
      <c r="G793" s="153">
        <v>2</v>
      </c>
      <c r="H793" s="16">
        <f t="shared" si="12"/>
        <v>2</v>
      </c>
      <c r="I793" s="13">
        <v>2</v>
      </c>
      <c r="J793" s="160"/>
    </row>
    <row r="794" spans="1:10">
      <c r="A794" s="13" t="s">
        <v>17</v>
      </c>
      <c r="B794" s="13" t="s">
        <v>66</v>
      </c>
      <c r="C794" s="13" t="str">
        <f>VLOOKUP([1]Competence!$B12,[1]Competence!$B$12:$B$100,1,FALSE)</f>
        <v>Asset Management</v>
      </c>
      <c r="D794" s="13" t="str" cm="1">
        <f t="array" ref="D794">_xlfn.XLOOKUP(B794,[1]Baseline!$D$3:$AZ$3,_xlfn.XLOOKUP(C794,[1]Baseline!$B$4:$B$91,[1]Baseline!$D$4:$AZ$91))</f>
        <v>Practitioner</v>
      </c>
      <c r="E794" s="13" t="s">
        <v>375</v>
      </c>
      <c r="F794" s="13">
        <v>2</v>
      </c>
      <c r="G794" s="153">
        <v>2</v>
      </c>
      <c r="H794" s="16">
        <f t="shared" si="12"/>
        <v>0</v>
      </c>
      <c r="I794" s="13">
        <v>2</v>
      </c>
      <c r="J794" s="160"/>
    </row>
    <row r="795" spans="1:10">
      <c r="A795" s="13" t="s">
        <v>17</v>
      </c>
      <c r="B795" s="13" t="s">
        <v>66</v>
      </c>
      <c r="C795" s="13" t="str">
        <f>VLOOKUP([1]Competence!$B13,[1]Competence!$B$12:$B$100,1,FALSE)</f>
        <v>Change Control</v>
      </c>
      <c r="D795" s="13" t="str" cm="1">
        <f t="array" ref="D795">_xlfn.XLOOKUP(B795,[1]Baseline!$D$3:$AZ$3,_xlfn.XLOOKUP(C795,[1]Baseline!$B$4:$B$91,[1]Baseline!$D$4:$AZ$91))</f>
        <v>Practitioner</v>
      </c>
      <c r="E795" s="13" t="s">
        <v>378</v>
      </c>
      <c r="F795" s="13">
        <v>1</v>
      </c>
      <c r="G795" s="153">
        <v>2</v>
      </c>
      <c r="H795" s="16">
        <f t="shared" si="12"/>
        <v>1</v>
      </c>
      <c r="I795" s="13">
        <v>2</v>
      </c>
      <c r="J795" s="160"/>
    </row>
    <row r="796" spans="1:10">
      <c r="A796" s="13" t="s">
        <v>17</v>
      </c>
      <c r="B796" s="13" t="s">
        <v>66</v>
      </c>
      <c r="C796" s="13" t="str">
        <f>VLOOKUP([1]Competence!$B14,[1]Competence!$B$12:$B$100,1,FALSE)</f>
        <v>Customer Service Support</v>
      </c>
      <c r="D796" s="13" t="str" cm="1">
        <f t="array" ref="D796">_xlfn.XLOOKUP(B796,[1]Baseline!$D$3:$AZ$3,_xlfn.XLOOKUP(C796,[1]Baseline!$B$4:$B$91,[1]Baseline!$D$4:$AZ$91))</f>
        <v>Practitioner</v>
      </c>
      <c r="E796" s="13" t="s">
        <v>49</v>
      </c>
      <c r="F796" s="13">
        <v>1</v>
      </c>
      <c r="G796" s="153">
        <v>3</v>
      </c>
      <c r="H796" s="16">
        <f t="shared" si="12"/>
        <v>2</v>
      </c>
      <c r="I796" s="13">
        <v>3</v>
      </c>
      <c r="J796" s="160"/>
    </row>
    <row r="797" spans="1:10">
      <c r="A797" s="13" t="s">
        <v>17</v>
      </c>
      <c r="B797" s="13" t="s">
        <v>66</v>
      </c>
      <c r="C797" s="13" t="str">
        <f>VLOOKUP([1]Competence!$B15,[1]Competence!$B$12:$B$100,1,FALSE)</f>
        <v>Incident management</v>
      </c>
      <c r="D797" s="13" t="str" cm="1">
        <f t="array" ref="D797">_xlfn.XLOOKUP(B797,[1]Baseline!$D$3:$AZ$3,_xlfn.XLOOKUP(C797,[1]Baseline!$B$4:$B$91,[1]Baseline!$D$4:$AZ$91))</f>
        <v>Practitioner</v>
      </c>
      <c r="E797" s="13" t="s">
        <v>375</v>
      </c>
      <c r="F797" s="13">
        <v>2</v>
      </c>
      <c r="G797" s="153">
        <v>3</v>
      </c>
      <c r="H797" s="16">
        <f t="shared" si="12"/>
        <v>1</v>
      </c>
      <c r="I797" s="13">
        <v>3</v>
      </c>
      <c r="J797" s="160"/>
    </row>
    <row r="798" spans="1:10">
      <c r="A798" s="13" t="s">
        <v>17</v>
      </c>
      <c r="B798" s="13" t="s">
        <v>66</v>
      </c>
      <c r="C798" s="13" t="str">
        <f>VLOOKUP([1]Competence!$B16,[1]Competence!$B$12:$B$100,1,FALSE)</f>
        <v>Information security</v>
      </c>
      <c r="D798" s="13" t="str" cm="1">
        <f t="array" ref="D798">_xlfn.XLOOKUP(B798,[1]Baseline!$D$3:$AZ$3,_xlfn.XLOOKUP(C798,[1]Baseline!$B$4:$B$91,[1]Baseline!$D$4:$AZ$91))</f>
        <v>Practitioner</v>
      </c>
      <c r="E798" s="13" t="s">
        <v>375</v>
      </c>
      <c r="F798" s="13">
        <v>1</v>
      </c>
      <c r="G798" s="153">
        <v>2</v>
      </c>
      <c r="H798" s="16">
        <f t="shared" si="12"/>
        <v>1</v>
      </c>
      <c r="I798" s="13">
        <v>2</v>
      </c>
      <c r="J798" s="160"/>
    </row>
    <row r="799" spans="1:10">
      <c r="A799" s="13" t="s">
        <v>17</v>
      </c>
      <c r="B799" s="13" t="s">
        <v>66</v>
      </c>
      <c r="C799" s="13" t="str">
        <f>VLOOKUP([1]Competence!$B17,[1]Competence!$B$12:$B$100,1,FALSE)</f>
        <v>Personal data protection</v>
      </c>
      <c r="D799" s="13" t="str" cm="1">
        <f t="array" ref="D799">_xlfn.XLOOKUP(B799,[1]Baseline!$D$3:$AZ$3,_xlfn.XLOOKUP(C799,[1]Baseline!$B$4:$B$91,[1]Baseline!$D$4:$AZ$91))</f>
        <v>Practitioner</v>
      </c>
      <c r="E799" s="13" t="s">
        <v>375</v>
      </c>
      <c r="F799" s="13">
        <v>2</v>
      </c>
      <c r="G799" s="153">
        <v>3</v>
      </c>
      <c r="H799" s="16">
        <f t="shared" si="12"/>
        <v>1</v>
      </c>
      <c r="I799" s="13">
        <v>3</v>
      </c>
      <c r="J799" s="160"/>
    </row>
    <row r="800" spans="1:10">
      <c r="A800" s="13" t="s">
        <v>17</v>
      </c>
      <c r="B800" s="13" t="s">
        <v>66</v>
      </c>
      <c r="C800" s="13" t="str">
        <f>VLOOKUP([1]Competence!$B18,[1]Competence!$B$12:$B$100,1,FALSE)</f>
        <v>Problem management</v>
      </c>
      <c r="D800" s="13" t="str" cm="1">
        <f t="array" ref="D800">_xlfn.XLOOKUP(B800,[1]Baseline!$D$3:$AZ$3,_xlfn.XLOOKUP(C800,[1]Baseline!$B$4:$B$91,[1]Baseline!$D$4:$AZ$91))</f>
        <v>Working</v>
      </c>
      <c r="E800" s="13" t="s">
        <v>375</v>
      </c>
      <c r="F800" s="13">
        <v>2</v>
      </c>
      <c r="G800" s="153">
        <v>2</v>
      </c>
      <c r="H800" s="16">
        <f t="shared" si="12"/>
        <v>0</v>
      </c>
      <c r="I800" s="13">
        <v>2</v>
      </c>
      <c r="J800" s="160"/>
    </row>
    <row r="801" spans="1:10">
      <c r="A801" s="13" t="s">
        <v>17</v>
      </c>
      <c r="B801" s="13" t="s">
        <v>66</v>
      </c>
      <c r="C801" s="13" t="str">
        <f>VLOOKUP([1]Competence!$B19,[1]Competence!$B$12:$B$100,1,FALSE)</f>
        <v>Service catalogue management</v>
      </c>
      <c r="D801" s="13" t="str" cm="1">
        <f t="array" ref="D801">_xlfn.XLOOKUP(B801,[1]Baseline!$D$3:$AZ$3,_xlfn.XLOOKUP(C801,[1]Baseline!$B$4:$B$91,[1]Baseline!$D$4:$AZ$91))</f>
        <v>Working</v>
      </c>
      <c r="E801" s="13" t="s">
        <v>376</v>
      </c>
      <c r="F801" s="13">
        <v>2</v>
      </c>
      <c r="G801" s="153">
        <v>2</v>
      </c>
      <c r="H801" s="16">
        <f t="shared" si="12"/>
        <v>0</v>
      </c>
      <c r="I801" s="13">
        <v>2</v>
      </c>
      <c r="J801" s="160"/>
    </row>
    <row r="802" spans="1:10">
      <c r="A802" s="13" t="s">
        <v>17</v>
      </c>
      <c r="B802" s="13" t="s">
        <v>66</v>
      </c>
      <c r="C802" s="13" t="str">
        <f>VLOOKUP([1]Competence!$B20,[1]Competence!$B$12:$B$100,1,FALSE)</f>
        <v>Service level management</v>
      </c>
      <c r="D802" s="13" t="str" cm="1">
        <f t="array" ref="D802">_xlfn.XLOOKUP(B802,[1]Baseline!$D$3:$AZ$3,_xlfn.XLOOKUP(C802,[1]Baseline!$B$4:$B$91,[1]Baseline!$D$4:$AZ$91))</f>
        <v>Practitioner</v>
      </c>
      <c r="E802" s="13" t="s">
        <v>376</v>
      </c>
      <c r="F802" s="13">
        <v>2</v>
      </c>
      <c r="G802" s="153">
        <v>2</v>
      </c>
      <c r="H802" s="16">
        <f t="shared" si="12"/>
        <v>0</v>
      </c>
      <c r="I802" s="13">
        <v>2</v>
      </c>
      <c r="J802" s="160"/>
    </row>
    <row r="803" spans="1:10">
      <c r="A803" s="13" t="s">
        <v>17</v>
      </c>
      <c r="B803" s="13" t="s">
        <v>66</v>
      </c>
      <c r="C803" s="13" t="str">
        <f>VLOOKUP([1]Competence!$B21,[1]Competence!$B$12:$B$100,1,FALSE)</f>
        <v>Availability Management</v>
      </c>
      <c r="D803" s="13" t="str" cm="1">
        <f t="array" ref="D803">_xlfn.XLOOKUP(B803,[1]Baseline!$D$3:$AZ$3,_xlfn.XLOOKUP(C803,[1]Baseline!$B$4:$B$91,[1]Baseline!$D$4:$AZ$91))</f>
        <v>Awareness</v>
      </c>
      <c r="E803" s="13" t="s">
        <v>376</v>
      </c>
      <c r="F803" s="13">
        <v>3</v>
      </c>
      <c r="G803" s="153">
        <v>2</v>
      </c>
      <c r="H803" s="16">
        <f t="shared" si="12"/>
        <v>-1</v>
      </c>
      <c r="I803" s="13">
        <v>2</v>
      </c>
      <c r="J803" s="160"/>
    </row>
    <row r="804" spans="1:10">
      <c r="A804" s="13" t="s">
        <v>17</v>
      </c>
      <c r="B804" s="13" t="s">
        <v>66</v>
      </c>
      <c r="C804" s="13" t="str">
        <f>VLOOKUP([1]Competence!$B22,[1]Competence!$B$12:$B$100,1,FALSE)</f>
        <v>Capacity management</v>
      </c>
      <c r="D804" s="13" t="str" cm="1">
        <f t="array" ref="D804">_xlfn.XLOOKUP(B804,[1]Baseline!$D$3:$AZ$3,_xlfn.XLOOKUP(C804,[1]Baseline!$B$4:$B$91,[1]Baseline!$D$4:$AZ$91))</f>
        <v>No Knowledge</v>
      </c>
      <c r="E804" s="13" t="s">
        <v>376</v>
      </c>
      <c r="F804" s="13">
        <v>2</v>
      </c>
      <c r="G804" s="153">
        <v>2</v>
      </c>
      <c r="H804" s="16">
        <f t="shared" si="12"/>
        <v>0</v>
      </c>
      <c r="I804" s="13">
        <v>2</v>
      </c>
      <c r="J804" s="160"/>
    </row>
    <row r="805" spans="1:10">
      <c r="A805" s="13" t="s">
        <v>17</v>
      </c>
      <c r="B805" s="13" t="s">
        <v>66</v>
      </c>
      <c r="C805" s="13" t="str">
        <f>VLOOKUP([1]Competence!$B23,[1]Competence!$B$12:$B$100,1,FALSE)</f>
        <v>Configuration Management</v>
      </c>
      <c r="D805" s="13" t="str" cm="1">
        <f t="array" ref="D805">_xlfn.XLOOKUP(B805,[1]Baseline!$D$3:$AZ$3,_xlfn.XLOOKUP(C805,[1]Baseline!$B$4:$B$91,[1]Baseline!$D$4:$AZ$91))</f>
        <v>Working</v>
      </c>
      <c r="E805" s="13" t="s">
        <v>376</v>
      </c>
      <c r="F805" s="13">
        <v>3</v>
      </c>
      <c r="G805" s="153">
        <v>2</v>
      </c>
      <c r="H805" s="16">
        <f t="shared" si="12"/>
        <v>-1</v>
      </c>
      <c r="I805" s="13">
        <v>2</v>
      </c>
      <c r="J805" s="160"/>
    </row>
    <row r="806" spans="1:10">
      <c r="A806" s="13" t="s">
        <v>17</v>
      </c>
      <c r="B806" s="13" t="s">
        <v>66</v>
      </c>
      <c r="C806" s="13" t="str">
        <f>VLOOKUP([1]Competence!$B24,[1]Competence!$B$12:$B$100,1,FALSE)</f>
        <v>Continuity Management</v>
      </c>
      <c r="D806" s="13" t="str" cm="1">
        <f t="array" ref="D806">_xlfn.XLOOKUP(B806,[1]Baseline!$D$3:$AZ$3,_xlfn.XLOOKUP(C806,[1]Baseline!$B$4:$B$91,[1]Baseline!$D$4:$AZ$91))</f>
        <v>Awareness</v>
      </c>
      <c r="E806" s="13" t="s">
        <v>376</v>
      </c>
      <c r="F806" s="13">
        <v>2</v>
      </c>
      <c r="G806" s="153">
        <v>2</v>
      </c>
      <c r="H806" s="16">
        <f t="shared" si="12"/>
        <v>0</v>
      </c>
      <c r="I806" s="13">
        <v>2</v>
      </c>
      <c r="J806" s="160"/>
    </row>
    <row r="807" spans="1:10">
      <c r="A807" s="13" t="s">
        <v>17</v>
      </c>
      <c r="B807" s="13" t="s">
        <v>66</v>
      </c>
      <c r="C807" s="13" t="str">
        <f>VLOOKUP([1]Competence!$B25,[1]Competence!$B$12:$B$100,1,FALSE)</f>
        <v>Demand Management</v>
      </c>
      <c r="D807" s="13" t="str" cm="1">
        <f t="array" ref="D807">_xlfn.XLOOKUP(B807,[1]Baseline!$D$3:$AZ$3,_xlfn.XLOOKUP(C807,[1]Baseline!$B$4:$B$91,[1]Baseline!$D$4:$AZ$91))</f>
        <v>Working</v>
      </c>
      <c r="E807" s="13" t="s">
        <v>376</v>
      </c>
      <c r="F807" s="13">
        <v>2</v>
      </c>
      <c r="G807" s="153">
        <v>1</v>
      </c>
      <c r="H807" s="16">
        <f t="shared" si="12"/>
        <v>-1</v>
      </c>
      <c r="I807" s="13">
        <v>1</v>
      </c>
      <c r="J807" s="160"/>
    </row>
    <row r="808" spans="1:10">
      <c r="A808" s="13" t="s">
        <v>17</v>
      </c>
      <c r="B808" s="13" t="s">
        <v>66</v>
      </c>
      <c r="C808" s="13" t="str">
        <f>VLOOKUP([1]Competence!$B26,[1]Competence!$B$12:$B$100,1,FALSE)</f>
        <v>Knowledge management</v>
      </c>
      <c r="D808" s="13" t="str" cm="1">
        <f t="array" ref="D808">_xlfn.XLOOKUP(B808,[1]Baseline!$D$3:$AZ$3,_xlfn.XLOOKUP(C808,[1]Baseline!$B$4:$B$91,[1]Baseline!$D$4:$AZ$91))</f>
        <v>Working</v>
      </c>
      <c r="E808" s="13" t="s">
        <v>376</v>
      </c>
      <c r="F808" s="13">
        <v>2</v>
      </c>
      <c r="G808" s="153">
        <v>2</v>
      </c>
      <c r="H808" s="16">
        <f t="shared" si="12"/>
        <v>0</v>
      </c>
      <c r="I808" s="13">
        <v>2</v>
      </c>
      <c r="J808" s="160"/>
    </row>
    <row r="809" spans="1:10">
      <c r="A809" s="13" t="s">
        <v>17</v>
      </c>
      <c r="B809" s="13" t="s">
        <v>66</v>
      </c>
      <c r="C809" s="13" t="str">
        <f>VLOOKUP([1]Competence!$B27,[1]Competence!$B$12:$B$100,1,FALSE)</f>
        <v>Methods and tools</v>
      </c>
      <c r="D809" s="13" t="str" cm="1">
        <f t="array" ref="D809">_xlfn.XLOOKUP(B809,[1]Baseline!$D$3:$AZ$3,_xlfn.XLOOKUP(C809,[1]Baseline!$B$4:$B$91,[1]Baseline!$D$4:$AZ$91))</f>
        <v>Working</v>
      </c>
      <c r="E809" s="13" t="s">
        <v>374</v>
      </c>
      <c r="F809" s="13">
        <v>1</v>
      </c>
      <c r="G809" s="153">
        <v>1</v>
      </c>
      <c r="H809" s="16">
        <f t="shared" si="12"/>
        <v>0</v>
      </c>
      <c r="I809" s="13">
        <v>1</v>
      </c>
      <c r="J809" s="160"/>
    </row>
    <row r="810" spans="1:10">
      <c r="A810" s="13" t="s">
        <v>17</v>
      </c>
      <c r="B810" s="13" t="s">
        <v>66</v>
      </c>
      <c r="C810" s="13" t="str">
        <f>VLOOKUP([1]Competence!$B28,[1]Competence!$B$12:$B$100,1,FALSE)</f>
        <v>Release and deployment</v>
      </c>
      <c r="D810" s="13" t="str" cm="1">
        <f t="array" ref="D810">_xlfn.XLOOKUP(B810,[1]Baseline!$D$3:$AZ$3,_xlfn.XLOOKUP(C810,[1]Baseline!$B$4:$B$91,[1]Baseline!$D$4:$AZ$91))</f>
        <v>No Knowledge</v>
      </c>
      <c r="E810" s="13" t="s">
        <v>374</v>
      </c>
      <c r="F810" s="13">
        <v>2</v>
      </c>
      <c r="G810" s="153">
        <v>1</v>
      </c>
      <c r="H810" s="16">
        <f t="shared" si="12"/>
        <v>-1</v>
      </c>
      <c r="I810" s="13">
        <v>1</v>
      </c>
      <c r="J810" s="160"/>
    </row>
    <row r="811" spans="1:10">
      <c r="A811" s="13" t="s">
        <v>17</v>
      </c>
      <c r="B811" s="13" t="s">
        <v>66</v>
      </c>
      <c r="C811" s="13" t="str">
        <f>VLOOKUP([1]Competence!$B29,[1]Competence!$B$12:$B$100,1,FALSE)</f>
        <v>Service acceptance</v>
      </c>
      <c r="D811" s="13" t="str" cm="1">
        <f t="array" ref="D811">_xlfn.XLOOKUP(B811,[1]Baseline!$D$3:$AZ$3,_xlfn.XLOOKUP(C811,[1]Baseline!$B$4:$B$91,[1]Baseline!$D$4:$AZ$91))</f>
        <v>No Knowledge</v>
      </c>
      <c r="E811" s="13" t="s">
        <v>374</v>
      </c>
      <c r="F811" s="13">
        <v>1</v>
      </c>
      <c r="G811" s="153">
        <v>1</v>
      </c>
      <c r="H811" s="16">
        <f t="shared" si="12"/>
        <v>0</v>
      </c>
      <c r="I811" s="13">
        <v>1</v>
      </c>
      <c r="J811" s="160"/>
    </row>
    <row r="812" spans="1:10">
      <c r="A812" s="13" t="s">
        <v>17</v>
      </c>
      <c r="B812" s="13" t="s">
        <v>66</v>
      </c>
      <c r="C812" s="13" t="str">
        <f>VLOOKUP([1]Competence!$B30,[1]Competence!$B$12:$B$100,1,FALSE)</f>
        <v>Stakeholder relationship management</v>
      </c>
      <c r="D812" s="13" t="str" cm="1">
        <f t="array" ref="D812">_xlfn.XLOOKUP(B812,[1]Baseline!$D$3:$AZ$3,_xlfn.XLOOKUP(C812,[1]Baseline!$B$4:$B$91,[1]Baseline!$D$4:$AZ$91))</f>
        <v>Practitioner</v>
      </c>
      <c r="E812" s="13" t="s">
        <v>374</v>
      </c>
      <c r="F812" s="13">
        <v>2</v>
      </c>
      <c r="G812" s="153">
        <v>2</v>
      </c>
      <c r="H812" s="16">
        <f t="shared" si="12"/>
        <v>0</v>
      </c>
      <c r="I812" s="13">
        <v>2</v>
      </c>
      <c r="J812" s="160"/>
    </row>
    <row r="813" spans="1:10">
      <c r="A813" s="13" t="s">
        <v>17</v>
      </c>
      <c r="B813" s="13" t="s">
        <v>66</v>
      </c>
      <c r="C813" s="13" t="str">
        <f>VLOOKUP([1]Competence!$B31,[1]Competence!$B$12:$B$100,1,FALSE)</f>
        <v>Storage management</v>
      </c>
      <c r="D813" s="13" t="str" cm="1">
        <f t="array" ref="D813">_xlfn.XLOOKUP(B813,[1]Baseline!$D$3:$AZ$3,_xlfn.XLOOKUP(C813,[1]Baseline!$B$4:$B$91,[1]Baseline!$D$4:$AZ$91))</f>
        <v>Working</v>
      </c>
      <c r="E813" s="13" t="s">
        <v>374</v>
      </c>
      <c r="F813" s="13">
        <v>2</v>
      </c>
      <c r="G813" s="153">
        <v>2</v>
      </c>
      <c r="H813" s="16">
        <f t="shared" si="12"/>
        <v>0</v>
      </c>
      <c r="I813" s="13">
        <v>2</v>
      </c>
      <c r="J813" s="160"/>
    </row>
    <row r="814" spans="1:10">
      <c r="A814" s="13" t="s">
        <v>17</v>
      </c>
      <c r="B814" s="13" t="s">
        <v>66</v>
      </c>
      <c r="C814" s="13" t="str">
        <f>VLOOKUP([1]Competence!$B32,[1]Competence!$B$12:$B$100,1,FALSE)</f>
        <v>Digital Forensics</v>
      </c>
      <c r="D814" s="13" t="str" cm="1">
        <f t="array" ref="D814">_xlfn.XLOOKUP(B814,[1]Baseline!$D$3:$AZ$3,_xlfn.XLOOKUP(C814,[1]Baseline!$B$4:$B$91,[1]Baseline!$D$4:$AZ$91))</f>
        <v>No Knowledge</v>
      </c>
      <c r="E814" s="13" t="s">
        <v>377</v>
      </c>
      <c r="F814" s="13">
        <v>2</v>
      </c>
      <c r="G814" s="153">
        <v>3</v>
      </c>
      <c r="H814" s="16">
        <f t="shared" si="12"/>
        <v>1</v>
      </c>
      <c r="I814" s="13">
        <v>3</v>
      </c>
      <c r="J814" s="160"/>
    </row>
    <row r="815" spans="1:10">
      <c r="A815" s="13" t="s">
        <v>17</v>
      </c>
      <c r="B815" s="13" t="s">
        <v>66</v>
      </c>
      <c r="C815" s="13" t="str">
        <f>VLOOKUP([1]Competence!$B33,[1]Competence!$B$12:$B$100,1,FALSE)</f>
        <v>Penetration testing</v>
      </c>
      <c r="D815" s="13" t="str" cm="1">
        <f t="array" ref="D815">_xlfn.XLOOKUP(B815,[1]Baseline!$D$3:$AZ$3,_xlfn.XLOOKUP(C815,[1]Baseline!$B$4:$B$91,[1]Baseline!$D$4:$AZ$91))</f>
        <v>No Knowledge</v>
      </c>
      <c r="E815" s="13" t="s">
        <v>377</v>
      </c>
      <c r="F815" s="13">
        <v>2</v>
      </c>
      <c r="G815" s="153">
        <v>2</v>
      </c>
      <c r="H815" s="16">
        <f t="shared" si="12"/>
        <v>0</v>
      </c>
      <c r="I815" s="13">
        <v>2</v>
      </c>
      <c r="J815" s="160"/>
    </row>
    <row r="816" spans="1:10">
      <c r="A816" s="13" t="s">
        <v>17</v>
      </c>
      <c r="B816" s="13" t="s">
        <v>66</v>
      </c>
      <c r="C816" s="13" t="str">
        <f>VLOOKUP([1]Competence!$B34,[1]Competence!$B$12:$B$100,1,FALSE)</f>
        <v>Security Operations</v>
      </c>
      <c r="D816" s="13" t="str" cm="1">
        <f t="array" ref="D816">_xlfn.XLOOKUP(B816,[1]Baseline!$D$3:$AZ$3,_xlfn.XLOOKUP(C816,[1]Baseline!$B$4:$B$91,[1]Baseline!$D$4:$AZ$91))</f>
        <v>Practitioner</v>
      </c>
      <c r="E816" s="13" t="s">
        <v>378</v>
      </c>
      <c r="F816" s="13">
        <v>1</v>
      </c>
      <c r="G816" s="153">
        <v>2</v>
      </c>
      <c r="H816" s="16">
        <f t="shared" si="12"/>
        <v>1</v>
      </c>
      <c r="I816" s="13">
        <v>2</v>
      </c>
      <c r="J816" s="160"/>
    </row>
    <row r="817" spans="1:10">
      <c r="A817" s="13" t="s">
        <v>17</v>
      </c>
      <c r="B817" s="13" t="s">
        <v>66</v>
      </c>
      <c r="C817" s="13" t="str">
        <f>VLOOKUP([1]Competence!$B35,[1]Competence!$B$12:$B$100,1,FALSE)</f>
        <v>Threat Intelligence</v>
      </c>
      <c r="D817" s="13" t="str" cm="1">
        <f t="array" ref="D817">_xlfn.XLOOKUP(B817,[1]Baseline!$D$3:$AZ$3,_xlfn.XLOOKUP(C817,[1]Baseline!$B$4:$B$91,[1]Baseline!$D$4:$AZ$91))</f>
        <v>No Knowledge</v>
      </c>
      <c r="E817" s="13" t="s">
        <v>378</v>
      </c>
      <c r="F817" s="13">
        <v>0</v>
      </c>
      <c r="G817" s="153">
        <v>2</v>
      </c>
      <c r="H817" s="16">
        <f t="shared" si="12"/>
        <v>2</v>
      </c>
      <c r="I817" s="13">
        <v>2</v>
      </c>
      <c r="J817" s="160"/>
    </row>
    <row r="818" spans="1:10">
      <c r="A818" s="13" t="s">
        <v>17</v>
      </c>
      <c r="B818" s="13" t="s">
        <v>66</v>
      </c>
      <c r="C818" s="13" t="str">
        <f>VLOOKUP([1]Competence!$B36,[1]Competence!$B$12:$B$100,1,FALSE)</f>
        <v>Vulnerability assessment</v>
      </c>
      <c r="D818" s="13" t="str" cm="1">
        <f t="array" ref="D818">_xlfn.XLOOKUP(B818,[1]Baseline!$D$3:$AZ$3,_xlfn.XLOOKUP(C818,[1]Baseline!$B$4:$B$91,[1]Baseline!$D$4:$AZ$91))</f>
        <v>Working</v>
      </c>
      <c r="E818" s="13" t="s">
        <v>378</v>
      </c>
      <c r="F818" s="13">
        <v>1</v>
      </c>
      <c r="G818" s="153">
        <v>2</v>
      </c>
      <c r="H818" s="16">
        <f t="shared" si="12"/>
        <v>1</v>
      </c>
      <c r="I818" s="13">
        <v>2</v>
      </c>
      <c r="J818" s="160"/>
    </row>
    <row r="819" spans="1:10">
      <c r="A819" s="13" t="s">
        <v>17</v>
      </c>
      <c r="B819" s="13" t="s">
        <v>66</v>
      </c>
      <c r="C819" s="13" t="str">
        <f>VLOOKUP([1]Competence!$B37,[1]Competence!$B$12:$B$100,1,FALSE)</f>
        <v>Vulnerability Research</v>
      </c>
      <c r="D819" s="13" t="str" cm="1">
        <f t="array" ref="D819">_xlfn.XLOOKUP(B819,[1]Baseline!$D$3:$AZ$3,_xlfn.XLOOKUP(C819,[1]Baseline!$B$4:$B$91,[1]Baseline!$D$4:$AZ$91))</f>
        <v>No Knowledge</v>
      </c>
      <c r="E819" s="13" t="s">
        <v>378</v>
      </c>
      <c r="F819" s="13">
        <v>0</v>
      </c>
      <c r="G819" s="153">
        <v>1</v>
      </c>
      <c r="H819" s="16">
        <f t="shared" si="12"/>
        <v>1</v>
      </c>
      <c r="I819" s="13">
        <v>1</v>
      </c>
      <c r="J819" s="160"/>
    </row>
    <row r="820" spans="1:10">
      <c r="A820" s="13" t="s">
        <v>17</v>
      </c>
      <c r="B820" s="13" t="s">
        <v>66</v>
      </c>
      <c r="C820" s="13" t="str">
        <f>VLOOKUP([1]Competence!$B38,[1]Competence!$B$12:$B$100,1,FALSE)</f>
        <v>Competency assessment</v>
      </c>
      <c r="D820" s="13" t="str" cm="1">
        <f t="array" ref="D820">_xlfn.XLOOKUP(B820,[1]Baseline!$D$3:$AZ$3,_xlfn.XLOOKUP(C820,[1]Baseline!$B$4:$B$91,[1]Baseline!$D$4:$AZ$91))</f>
        <v>Awareness</v>
      </c>
      <c r="E820" s="13" t="s">
        <v>378</v>
      </c>
      <c r="F820" s="13">
        <v>0</v>
      </c>
      <c r="G820" s="153">
        <v>1</v>
      </c>
      <c r="H820" s="16">
        <f t="shared" si="12"/>
        <v>1</v>
      </c>
      <c r="I820" s="13">
        <v>1</v>
      </c>
      <c r="J820" s="160"/>
    </row>
    <row r="821" spans="1:10">
      <c r="A821" s="13" t="s">
        <v>17</v>
      </c>
      <c r="B821" s="13" t="s">
        <v>66</v>
      </c>
      <c r="C821" s="13" t="str">
        <f>VLOOKUP([1]Competence!$B39,[1]Competence!$B$12:$B$100,1,FALSE)</f>
        <v>Financial management</v>
      </c>
      <c r="D821" s="13" t="str" cm="1">
        <f t="array" ref="D821">_xlfn.XLOOKUP(B821,[1]Baseline!$D$3:$AZ$3,_xlfn.XLOOKUP(C821,[1]Baseline!$B$4:$B$91,[1]Baseline!$D$4:$AZ$91))</f>
        <v>Working</v>
      </c>
      <c r="E821" s="13" t="s">
        <v>49</v>
      </c>
      <c r="F821" s="13">
        <v>1</v>
      </c>
      <c r="G821" s="153">
        <v>0</v>
      </c>
      <c r="H821" s="16">
        <f t="shared" si="12"/>
        <v>-1</v>
      </c>
      <c r="I821" s="13">
        <v>0</v>
      </c>
      <c r="J821" s="160"/>
    </row>
    <row r="822" spans="1:10">
      <c r="A822" s="13" t="s">
        <v>17</v>
      </c>
      <c r="B822" s="13" t="s">
        <v>66</v>
      </c>
      <c r="C822" s="13" t="str">
        <f>VLOOKUP([1]Competence!$B40,[1]Competence!$B$12:$B$100,1,FALSE)</f>
        <v>Organisation design and implementation</v>
      </c>
      <c r="D822" s="13" t="str" cm="1">
        <f t="array" ref="D822">_xlfn.XLOOKUP(B822,[1]Baseline!$D$3:$AZ$3,_xlfn.XLOOKUP(C822,[1]Baseline!$B$4:$B$91,[1]Baseline!$D$4:$AZ$91))</f>
        <v>No Knowledge</v>
      </c>
      <c r="E822" s="13" t="s">
        <v>49</v>
      </c>
      <c r="F822" s="13">
        <v>0</v>
      </c>
      <c r="G822" s="153">
        <v>0</v>
      </c>
      <c r="H822" s="16">
        <f t="shared" si="12"/>
        <v>0</v>
      </c>
      <c r="I822" s="13">
        <v>0</v>
      </c>
      <c r="J822" s="160"/>
    </row>
    <row r="823" spans="1:10">
      <c r="A823" s="13" t="s">
        <v>17</v>
      </c>
      <c r="B823" s="13" t="s">
        <v>66</v>
      </c>
      <c r="C823" s="13" t="str">
        <f>VLOOKUP([1]Competence!$B41,[1]Competence!$B$12:$B$100,1,FALSE)</f>
        <v>Organisational capability development</v>
      </c>
      <c r="D823" s="13" t="str" cm="1">
        <f t="array" ref="D823">_xlfn.XLOOKUP(B823,[1]Baseline!$D$3:$AZ$3,_xlfn.XLOOKUP(C823,[1]Baseline!$B$4:$B$91,[1]Baseline!$D$4:$AZ$91))</f>
        <v>No Knowledge</v>
      </c>
      <c r="E823" s="13" t="s">
        <v>49</v>
      </c>
      <c r="F823" s="13">
        <v>0</v>
      </c>
      <c r="G823" s="153">
        <v>1</v>
      </c>
      <c r="H823" s="16">
        <f t="shared" si="12"/>
        <v>1</v>
      </c>
      <c r="I823" s="13">
        <v>1</v>
      </c>
      <c r="J823" s="160"/>
    </row>
    <row r="824" spans="1:10">
      <c r="A824" s="13" t="s">
        <v>17</v>
      </c>
      <c r="B824" s="13" t="s">
        <v>66</v>
      </c>
      <c r="C824" s="13" t="str">
        <f>VLOOKUP([1]Competence!$B42,[1]Competence!$B$12:$B$100,1,FALSE)</f>
        <v>Organisational change management</v>
      </c>
      <c r="D824" s="13" t="str" cm="1">
        <f t="array" ref="D824">_xlfn.XLOOKUP(B824,[1]Baseline!$D$3:$AZ$3,_xlfn.XLOOKUP(C824,[1]Baseline!$B$4:$B$91,[1]Baseline!$D$4:$AZ$91))</f>
        <v>No Knowledge</v>
      </c>
      <c r="E824" s="13" t="s">
        <v>49</v>
      </c>
      <c r="F824" s="13">
        <v>0</v>
      </c>
      <c r="G824" s="153">
        <v>1</v>
      </c>
      <c r="H824" s="16">
        <f t="shared" si="12"/>
        <v>1</v>
      </c>
      <c r="I824" s="13">
        <v>1</v>
      </c>
      <c r="J824" s="160"/>
    </row>
    <row r="825" spans="1:10">
      <c r="A825" s="13" t="s">
        <v>17</v>
      </c>
      <c r="B825" s="13" t="s">
        <v>66</v>
      </c>
      <c r="C825" s="13" t="str">
        <f>VLOOKUP([1]Competence!$B43,[1]Competence!$B$12:$B$100,1,FALSE)</f>
        <v>Performance Management</v>
      </c>
      <c r="D825" s="13" t="str" cm="1">
        <f t="array" ref="D825">_xlfn.XLOOKUP(B825,[1]Baseline!$D$3:$AZ$3,_xlfn.XLOOKUP(C825,[1]Baseline!$B$4:$B$91,[1]Baseline!$D$4:$AZ$91))</f>
        <v>No Knowledge</v>
      </c>
      <c r="E825" s="13" t="s">
        <v>49</v>
      </c>
      <c r="F825" s="13">
        <v>1</v>
      </c>
      <c r="G825" s="153">
        <v>2</v>
      </c>
      <c r="H825" s="16">
        <f t="shared" si="12"/>
        <v>1</v>
      </c>
      <c r="I825" s="13">
        <v>2</v>
      </c>
      <c r="J825" s="160"/>
    </row>
    <row r="826" spans="1:10">
      <c r="A826" s="13" t="s">
        <v>17</v>
      </c>
      <c r="B826" s="13" t="s">
        <v>66</v>
      </c>
      <c r="C826" s="13" t="str">
        <f>VLOOKUP([1]Competence!$B44,[1]Competence!$B$12:$B$100,1,FALSE)</f>
        <v>Professional Development</v>
      </c>
      <c r="D826" s="13" t="str" cm="1">
        <f t="array" ref="D826">_xlfn.XLOOKUP(B826,[1]Baseline!$D$3:$AZ$3,_xlfn.XLOOKUP(C826,[1]Baseline!$B$4:$B$91,[1]Baseline!$D$4:$AZ$91))</f>
        <v>No Knowledge</v>
      </c>
      <c r="E826" s="13" t="s">
        <v>49</v>
      </c>
      <c r="F826" s="13">
        <v>1</v>
      </c>
      <c r="G826" s="153">
        <v>1</v>
      </c>
      <c r="H826" s="16">
        <f t="shared" si="12"/>
        <v>0</v>
      </c>
      <c r="I826" s="13">
        <v>1</v>
      </c>
      <c r="J826" s="160"/>
    </row>
    <row r="827" spans="1:10">
      <c r="A827" s="13" t="s">
        <v>17</v>
      </c>
      <c r="B827" s="13" t="s">
        <v>66</v>
      </c>
      <c r="C827" s="13" t="str">
        <f>VLOOKUP([1]Competence!$B45,[1]Competence!$B$12:$B$100,1,FALSE)</f>
        <v>Strategic Planning</v>
      </c>
      <c r="D827" s="13" t="str" cm="1">
        <f t="array" ref="D827">_xlfn.XLOOKUP(B827,[1]Baseline!$D$3:$AZ$3,_xlfn.XLOOKUP(C827,[1]Baseline!$B$4:$B$91,[1]Baseline!$D$4:$AZ$91))</f>
        <v>No Knowledge</v>
      </c>
      <c r="E827" s="13" t="s">
        <v>49</v>
      </c>
      <c r="F827" s="13">
        <v>1</v>
      </c>
      <c r="G827" s="153">
        <v>0</v>
      </c>
      <c r="H827" s="16">
        <f t="shared" si="12"/>
        <v>-1</v>
      </c>
      <c r="I827" s="13">
        <v>0</v>
      </c>
      <c r="J827" s="160"/>
    </row>
    <row r="828" spans="1:10">
      <c r="A828" s="13" t="s">
        <v>17</v>
      </c>
      <c r="B828" s="13" t="s">
        <v>66</v>
      </c>
      <c r="C828" s="13" t="str">
        <f>VLOOKUP([1]Competence!$B46,[1]Competence!$B$12:$B$100,1,FALSE)</f>
        <v>Workforce Planning</v>
      </c>
      <c r="D828" s="13" t="str" cm="1">
        <f t="array" ref="D828">_xlfn.XLOOKUP(B828,[1]Baseline!$D$3:$AZ$3,_xlfn.XLOOKUP(C828,[1]Baseline!$B$4:$B$91,[1]Baseline!$D$4:$AZ$91))</f>
        <v>No Knowledge</v>
      </c>
      <c r="E828" s="13" t="s">
        <v>375</v>
      </c>
      <c r="F828" s="13">
        <v>1</v>
      </c>
      <c r="G828" s="153">
        <v>0</v>
      </c>
      <c r="H828" s="16">
        <f t="shared" si="12"/>
        <v>-1</v>
      </c>
      <c r="I828" s="13">
        <v>0</v>
      </c>
      <c r="J828" s="160"/>
    </row>
    <row r="829" spans="1:10">
      <c r="A829" s="13" t="s">
        <v>17</v>
      </c>
      <c r="B829" s="13" t="s">
        <v>66</v>
      </c>
      <c r="C829" s="13" t="str">
        <f>VLOOKUP([1]Competence!$B47,[1]Competence!$B$12:$B$100,1,FALSE)</f>
        <v>Audit</v>
      </c>
      <c r="D829" s="13" t="str" cm="1">
        <f t="array" ref="D829">_xlfn.XLOOKUP(B829,[1]Baseline!$D$3:$AZ$3,_xlfn.XLOOKUP(C829,[1]Baseline!$B$4:$B$91,[1]Baseline!$D$4:$AZ$91))</f>
        <v>Working</v>
      </c>
      <c r="E829" s="13" t="s">
        <v>375</v>
      </c>
      <c r="F829" s="13">
        <v>0</v>
      </c>
      <c r="G829" s="153">
        <v>1</v>
      </c>
      <c r="H829" s="16">
        <f t="shared" si="12"/>
        <v>1</v>
      </c>
      <c r="I829" s="13">
        <v>1</v>
      </c>
      <c r="J829" s="160"/>
    </row>
    <row r="830" spans="1:10">
      <c r="A830" s="13" t="s">
        <v>17</v>
      </c>
      <c r="B830" s="13" t="s">
        <v>66</v>
      </c>
      <c r="C830" s="13" t="str">
        <f>VLOOKUP([1]Competence!$B48,[1]Competence!$B$12:$B$100,1,FALSE)</f>
        <v>Contract management</v>
      </c>
      <c r="D830" s="13" t="str" cm="1">
        <f t="array" ref="D830">_xlfn.XLOOKUP(B830,[1]Baseline!$D$3:$AZ$3,_xlfn.XLOOKUP(C830,[1]Baseline!$B$4:$B$91,[1]Baseline!$D$4:$AZ$91))</f>
        <v>Working</v>
      </c>
      <c r="E830" s="13" t="s">
        <v>375</v>
      </c>
      <c r="F830" s="13">
        <v>0</v>
      </c>
      <c r="G830" s="153">
        <v>0</v>
      </c>
      <c r="H830" s="16">
        <f t="shared" si="12"/>
        <v>0</v>
      </c>
      <c r="I830" s="13">
        <v>0</v>
      </c>
      <c r="J830" s="160"/>
    </row>
    <row r="831" spans="1:10">
      <c r="A831" s="13" t="s">
        <v>17</v>
      </c>
      <c r="B831" s="13" t="s">
        <v>66</v>
      </c>
      <c r="C831" s="13" t="str">
        <f>VLOOKUP([1]Competence!$B49,[1]Competence!$B$12:$B$100,1,FALSE)</f>
        <v>Feasibility assessment</v>
      </c>
      <c r="D831" s="13" t="str" cm="1">
        <f t="array" ref="D831">_xlfn.XLOOKUP(B831,[1]Baseline!$D$3:$AZ$3,_xlfn.XLOOKUP(C831,[1]Baseline!$B$4:$B$91,[1]Baseline!$D$4:$AZ$91))</f>
        <v>Working</v>
      </c>
      <c r="E831" s="13" t="s">
        <v>375</v>
      </c>
      <c r="F831" s="13">
        <v>0</v>
      </c>
      <c r="G831" s="153">
        <v>0</v>
      </c>
      <c r="H831" s="16">
        <f t="shared" si="12"/>
        <v>0</v>
      </c>
      <c r="I831" s="13">
        <v>0</v>
      </c>
      <c r="J831" s="160"/>
    </row>
    <row r="832" spans="1:10">
      <c r="A832" s="13" t="s">
        <v>17</v>
      </c>
      <c r="B832" s="13" t="s">
        <v>66</v>
      </c>
      <c r="C832" s="13" t="str">
        <f>VLOOKUP([1]Competence!$B50,[1]Competence!$B$12:$B$100,1,FALSE)</f>
        <v>Governance</v>
      </c>
      <c r="D832" s="13" t="str" cm="1">
        <f t="array" ref="D832">_xlfn.XLOOKUP(B832,[1]Baseline!$D$3:$AZ$3,_xlfn.XLOOKUP(C832,[1]Baseline!$B$4:$B$91,[1]Baseline!$D$4:$AZ$91))</f>
        <v>Working</v>
      </c>
      <c r="E832" s="13" t="s">
        <v>375</v>
      </c>
      <c r="F832" s="13">
        <v>0</v>
      </c>
      <c r="G832" s="153">
        <v>0</v>
      </c>
      <c r="H832" s="16">
        <f t="shared" si="12"/>
        <v>0</v>
      </c>
      <c r="I832" s="13">
        <v>0</v>
      </c>
      <c r="J832" s="160"/>
    </row>
    <row r="833" spans="1:10">
      <c r="A833" s="13" t="s">
        <v>17</v>
      </c>
      <c r="B833" s="13" t="s">
        <v>66</v>
      </c>
      <c r="C833" s="13" t="str">
        <f>VLOOKUP([1]Competence!$B51,[1]Competence!$B$12:$B$100,1,FALSE)</f>
        <v>Risk management</v>
      </c>
      <c r="D833" s="13" t="str" cm="1">
        <f t="array" ref="D833">_xlfn.XLOOKUP(B833,[1]Baseline!$D$3:$AZ$3,_xlfn.XLOOKUP(C833,[1]Baseline!$B$4:$B$91,[1]Baseline!$D$4:$AZ$91))</f>
        <v>No Knowledge</v>
      </c>
      <c r="E833" s="13" t="s">
        <v>375</v>
      </c>
      <c r="F833" s="13">
        <v>0</v>
      </c>
      <c r="G833" s="153">
        <v>0</v>
      </c>
      <c r="H833" s="16">
        <f t="shared" si="12"/>
        <v>0</v>
      </c>
      <c r="I833" s="13">
        <v>0</v>
      </c>
      <c r="J833" s="160"/>
    </row>
    <row r="834" spans="1:10">
      <c r="A834" s="13" t="s">
        <v>17</v>
      </c>
      <c r="B834" s="13" t="s">
        <v>66</v>
      </c>
      <c r="C834" s="13" t="str">
        <f>VLOOKUP([1]Competence!$B52,[1]Competence!$B$12:$B$100,1,FALSE)</f>
        <v>Sourcing</v>
      </c>
      <c r="D834" s="13" t="str" cm="1">
        <f t="array" ref="D834">_xlfn.XLOOKUP(B834,[1]Baseline!$D$3:$AZ$3,_xlfn.XLOOKUP(C834,[1]Baseline!$B$4:$B$91,[1]Baseline!$D$4:$AZ$91))</f>
        <v>Practitioner</v>
      </c>
      <c r="E834" s="13" t="s">
        <v>375</v>
      </c>
      <c r="F834" s="13">
        <v>0</v>
      </c>
      <c r="G834" s="153">
        <v>1</v>
      </c>
      <c r="H834" s="16">
        <f t="shared" ref="H834:H897" si="13">I834-F834</f>
        <v>1</v>
      </c>
      <c r="I834" s="13">
        <v>1</v>
      </c>
      <c r="J834" s="160"/>
    </row>
    <row r="835" spans="1:10">
      <c r="A835" s="13" t="s">
        <v>17</v>
      </c>
      <c r="B835" s="13" t="s">
        <v>66</v>
      </c>
      <c r="C835" s="13" t="str">
        <f>VLOOKUP([1]Competence!$B53,[1]Competence!$B$12:$B$100,1,FALSE)</f>
        <v>Supplier management</v>
      </c>
      <c r="D835" s="13" t="str" cm="1">
        <f t="array" ref="D835">_xlfn.XLOOKUP(B835,[1]Baseline!$D$3:$AZ$3,_xlfn.XLOOKUP(C835,[1]Baseline!$B$4:$B$91,[1]Baseline!$D$4:$AZ$91))</f>
        <v>Practitioner</v>
      </c>
      <c r="E835" s="13" t="s">
        <v>375</v>
      </c>
      <c r="F835" s="13">
        <v>0</v>
      </c>
      <c r="G835" s="153">
        <v>1</v>
      </c>
      <c r="H835" s="16">
        <f t="shared" si="13"/>
        <v>1</v>
      </c>
      <c r="I835" s="13">
        <v>1</v>
      </c>
      <c r="J835" s="160"/>
    </row>
    <row r="836" spans="1:10">
      <c r="A836" s="13" t="s">
        <v>17</v>
      </c>
      <c r="B836" s="13" t="s">
        <v>66</v>
      </c>
      <c r="C836" s="13" t="str">
        <f>VLOOKUP([1]Competence!$B54,[1]Competence!$B$12:$B$100,1,FALSE)</f>
        <v>Sustainability</v>
      </c>
      <c r="D836" s="13" t="str" cm="1">
        <f t="array" ref="D836">_xlfn.XLOOKUP(B836,[1]Baseline!$D$3:$AZ$3,_xlfn.XLOOKUP(C836,[1]Baseline!$B$4:$B$91,[1]Baseline!$D$4:$AZ$91))</f>
        <v>Awareness</v>
      </c>
      <c r="E836" s="13" t="s">
        <v>375</v>
      </c>
      <c r="F836" s="13">
        <v>1</v>
      </c>
      <c r="G836" s="153">
        <v>1</v>
      </c>
      <c r="H836" s="16">
        <f t="shared" si="13"/>
        <v>0</v>
      </c>
      <c r="I836" s="13">
        <v>1</v>
      </c>
      <c r="J836" s="160"/>
    </row>
    <row r="837" spans="1:10">
      <c r="A837" s="13" t="s">
        <v>17</v>
      </c>
      <c r="B837" s="13" t="s">
        <v>66</v>
      </c>
      <c r="C837" s="13" t="str">
        <f>VLOOKUP([1]Competence!$B55,[1]Competence!$B$12:$B$100,1,FALSE)</f>
        <v>Acceptance testing</v>
      </c>
      <c r="D837" s="13" t="str" cm="1">
        <f t="array" ref="D837">_xlfn.XLOOKUP(B837,[1]Baseline!$D$3:$AZ$3,_xlfn.XLOOKUP(C837,[1]Baseline!$B$4:$B$91,[1]Baseline!$D$4:$AZ$91))</f>
        <v>Working</v>
      </c>
      <c r="E837" s="13" t="s">
        <v>375</v>
      </c>
      <c r="F837" s="13">
        <v>2</v>
      </c>
      <c r="G837" s="153">
        <v>1</v>
      </c>
      <c r="H837" s="16">
        <f t="shared" si="13"/>
        <v>-1</v>
      </c>
      <c r="I837" s="13">
        <v>1</v>
      </c>
      <c r="J837" s="160"/>
    </row>
    <row r="838" spans="1:10">
      <c r="A838" s="13" t="s">
        <v>17</v>
      </c>
      <c r="B838" s="13" t="s">
        <v>66</v>
      </c>
      <c r="C838" s="13" t="str">
        <f>VLOOKUP([1]Competence!$B56,[1]Competence!$B$12:$B$100,1,FALSE)</f>
        <v>Application support</v>
      </c>
      <c r="D838" s="13" t="str" cm="1">
        <f t="array" ref="D838">_xlfn.XLOOKUP(B838,[1]Baseline!$D$3:$AZ$3,_xlfn.XLOOKUP(C838,[1]Baseline!$B$4:$B$91,[1]Baseline!$D$4:$AZ$91))</f>
        <v>Working</v>
      </c>
      <c r="E838" s="13" t="s">
        <v>375</v>
      </c>
      <c r="F838" s="13">
        <v>1</v>
      </c>
      <c r="G838" s="153">
        <v>1</v>
      </c>
      <c r="H838" s="16">
        <f t="shared" si="13"/>
        <v>0</v>
      </c>
      <c r="I838" s="13">
        <v>1</v>
      </c>
      <c r="J838" s="160"/>
    </row>
    <row r="839" spans="1:10">
      <c r="A839" s="13" t="s">
        <v>17</v>
      </c>
      <c r="B839" s="13" t="s">
        <v>66</v>
      </c>
      <c r="C839" s="13" t="str">
        <f>VLOOKUP([1]Competence!$B57,[1]Competence!$B$12:$B$100,1,FALSE)</f>
        <v>Data Engineering</v>
      </c>
      <c r="D839" s="13" t="str" cm="1">
        <f t="array" ref="D839">_xlfn.XLOOKUP(B839,[1]Baseline!$D$3:$AZ$3,_xlfn.XLOOKUP(C839,[1]Baseline!$B$4:$B$91,[1]Baseline!$D$4:$AZ$91))</f>
        <v>No Knowledge</v>
      </c>
      <c r="E839" s="13" t="s">
        <v>375</v>
      </c>
      <c r="F839" s="13">
        <v>2</v>
      </c>
      <c r="G839" s="153">
        <v>0</v>
      </c>
      <c r="H839" s="16">
        <f t="shared" si="13"/>
        <v>-2</v>
      </c>
      <c r="I839" s="13">
        <v>0</v>
      </c>
      <c r="J839" s="160"/>
    </row>
    <row r="840" spans="1:10">
      <c r="A840" s="13" t="s">
        <v>17</v>
      </c>
      <c r="B840" s="13" t="s">
        <v>66</v>
      </c>
      <c r="C840" s="13" t="str">
        <f>VLOOKUP([1]Competence!$B58,[1]Competence!$B$12:$B$100,1,FALSE)</f>
        <v>Data Management</v>
      </c>
      <c r="D840" s="13" t="str" cm="1">
        <f t="array" ref="D840">_xlfn.XLOOKUP(B840,[1]Baseline!$D$3:$AZ$3,_xlfn.XLOOKUP(C840,[1]Baseline!$B$4:$B$91,[1]Baseline!$D$4:$AZ$91))</f>
        <v>No Knowledge</v>
      </c>
      <c r="E840" s="13" t="s">
        <v>375</v>
      </c>
      <c r="F840" s="13">
        <v>0</v>
      </c>
      <c r="G840" s="153">
        <v>0</v>
      </c>
      <c r="H840" s="16">
        <f t="shared" si="13"/>
        <v>0</v>
      </c>
      <c r="I840" s="13">
        <v>0</v>
      </c>
      <c r="J840" s="160"/>
    </row>
    <row r="841" spans="1:10">
      <c r="A841" s="13" t="s">
        <v>17</v>
      </c>
      <c r="B841" s="13" t="s">
        <v>66</v>
      </c>
      <c r="C841" s="13" t="str">
        <f>VLOOKUP([1]Competence!$B59,[1]Competence!$B$12:$B$100,1,FALSE)</f>
        <v>Data Modelling and Design</v>
      </c>
      <c r="D841" s="13" t="str" cm="1">
        <f t="array" ref="D841">_xlfn.XLOOKUP(B841,[1]Baseline!$D$3:$AZ$3,_xlfn.XLOOKUP(C841,[1]Baseline!$B$4:$B$91,[1]Baseline!$D$4:$AZ$91))</f>
        <v>No Knowledge</v>
      </c>
      <c r="E841" s="13" t="s">
        <v>375</v>
      </c>
      <c r="F841" s="13">
        <v>0</v>
      </c>
      <c r="G841" s="153">
        <v>0</v>
      </c>
      <c r="H841" s="16">
        <f t="shared" si="13"/>
        <v>0</v>
      </c>
      <c r="I841" s="13">
        <v>0</v>
      </c>
      <c r="J841" s="160"/>
    </row>
    <row r="842" spans="1:10">
      <c r="A842" s="13" t="s">
        <v>17</v>
      </c>
      <c r="B842" s="13" t="s">
        <v>66</v>
      </c>
      <c r="C842" s="13" t="str">
        <f>VLOOKUP([1]Competence!$B60,[1]Competence!$B$12:$B$100,1,FALSE)</f>
        <v>Data science</v>
      </c>
      <c r="D842" s="13" t="str" cm="1">
        <f t="array" ref="D842">_xlfn.XLOOKUP(B842,[1]Baseline!$D$3:$AZ$3,_xlfn.XLOOKUP(C842,[1]Baseline!$B$4:$B$91,[1]Baseline!$D$4:$AZ$91))</f>
        <v>No Knowledge</v>
      </c>
      <c r="E842" s="13" t="s">
        <v>375</v>
      </c>
      <c r="F842" s="13">
        <v>0</v>
      </c>
      <c r="G842" s="153">
        <v>0</v>
      </c>
      <c r="H842" s="16">
        <f t="shared" si="13"/>
        <v>0</v>
      </c>
      <c r="I842" s="13">
        <v>0</v>
      </c>
      <c r="J842" s="160"/>
    </row>
    <row r="843" spans="1:10">
      <c r="A843" s="13" t="s">
        <v>17</v>
      </c>
      <c r="B843" s="13" t="s">
        <v>66</v>
      </c>
      <c r="C843" s="13" t="str">
        <f>VLOOKUP([1]Competence!$B61,[1]Competence!$B$12:$B$100,1,FALSE)</f>
        <v>Data visualisation</v>
      </c>
      <c r="D843" s="13" t="str" cm="1">
        <f t="array" ref="D843">_xlfn.XLOOKUP(B843,[1]Baseline!$D$3:$AZ$3,_xlfn.XLOOKUP(C843,[1]Baseline!$B$4:$B$91,[1]Baseline!$D$4:$AZ$91))</f>
        <v>No Knowledge</v>
      </c>
      <c r="E843" s="13" t="s">
        <v>375</v>
      </c>
      <c r="F843" s="13">
        <v>0</v>
      </c>
      <c r="G843" s="153">
        <v>0</v>
      </c>
      <c r="H843" s="16">
        <f t="shared" si="13"/>
        <v>0</v>
      </c>
      <c r="I843" s="13">
        <v>0</v>
      </c>
      <c r="J843" s="160"/>
    </row>
    <row r="844" spans="1:10">
      <c r="A844" s="13" t="s">
        <v>17</v>
      </c>
      <c r="B844" s="13" t="s">
        <v>66</v>
      </c>
      <c r="C844" s="13" t="str">
        <f>VLOOKUP([1]Competence!$B62,[1]Competence!$B$12:$B$100,1,FALSE)</f>
        <v>Database Administration</v>
      </c>
      <c r="D844" s="13" t="str" cm="1">
        <f t="array" ref="D844">_xlfn.XLOOKUP(B844,[1]Baseline!$D$3:$AZ$3,_xlfn.XLOOKUP(C844,[1]Baseline!$B$4:$B$91,[1]Baseline!$D$4:$AZ$91))</f>
        <v>No Knowledge</v>
      </c>
      <c r="E844" s="13" t="s">
        <v>375</v>
      </c>
      <c r="F844" s="13">
        <v>0</v>
      </c>
      <c r="G844" s="153">
        <v>0</v>
      </c>
      <c r="H844" s="16">
        <f t="shared" si="13"/>
        <v>0</v>
      </c>
      <c r="I844" s="13">
        <v>0</v>
      </c>
      <c r="J844" s="160"/>
    </row>
    <row r="845" spans="1:10">
      <c r="A845" s="13" t="s">
        <v>17</v>
      </c>
      <c r="B845" s="13" t="s">
        <v>66</v>
      </c>
      <c r="C845" s="13" t="str">
        <f>VLOOKUP([1]Competence!$B63,[1]Competence!$B$12:$B$100,1,FALSE)</f>
        <v>Database Design</v>
      </c>
      <c r="D845" s="13" t="str" cm="1">
        <f t="array" ref="D845">_xlfn.XLOOKUP(B845,[1]Baseline!$D$3:$AZ$3,_xlfn.XLOOKUP(C845,[1]Baseline!$B$4:$B$91,[1]Baseline!$D$4:$AZ$91))</f>
        <v>No Knowledge</v>
      </c>
      <c r="E845" s="13" t="s">
        <v>375</v>
      </c>
      <c r="F845" s="13">
        <v>0</v>
      </c>
      <c r="G845" s="153">
        <v>0</v>
      </c>
      <c r="H845" s="16">
        <f t="shared" si="13"/>
        <v>0</v>
      </c>
      <c r="I845" s="13">
        <v>0</v>
      </c>
      <c r="J845" s="160"/>
    </row>
    <row r="846" spans="1:10">
      <c r="A846" s="13" t="s">
        <v>17</v>
      </c>
      <c r="B846" s="13" t="s">
        <v>66</v>
      </c>
      <c r="C846" s="13" t="str">
        <f>VLOOKUP([1]Competence!$B64,[1]Competence!$B$12:$B$100,1,FALSE)</f>
        <v>Hardware design</v>
      </c>
      <c r="D846" s="13" t="str" cm="1">
        <f t="array" ref="D846">_xlfn.XLOOKUP(B846,[1]Baseline!$D$3:$AZ$3,_xlfn.XLOOKUP(C846,[1]Baseline!$B$4:$B$91,[1]Baseline!$D$4:$AZ$91))</f>
        <v>No Knowledge</v>
      </c>
      <c r="E846" s="13" t="s">
        <v>373</v>
      </c>
      <c r="F846" s="13">
        <v>0</v>
      </c>
      <c r="G846" s="153">
        <v>1</v>
      </c>
      <c r="H846" s="16">
        <f t="shared" si="13"/>
        <v>1</v>
      </c>
      <c r="I846" s="13">
        <v>1</v>
      </c>
      <c r="J846" s="160"/>
    </row>
    <row r="847" spans="1:10">
      <c r="A847" s="13" t="s">
        <v>17</v>
      </c>
      <c r="B847" s="13" t="s">
        <v>66</v>
      </c>
      <c r="C847" s="13" t="str">
        <f>VLOOKUP([1]Competence!$B65,[1]Competence!$B$12:$B$100,1,FALSE)</f>
        <v>High Performance Computing</v>
      </c>
      <c r="D847" s="13" t="str" cm="1">
        <f t="array" ref="D847">_xlfn.XLOOKUP(B847,[1]Baseline!$D$3:$AZ$3,_xlfn.XLOOKUP(C847,[1]Baseline!$B$4:$B$91,[1]Baseline!$D$4:$AZ$91))</f>
        <v>Awareness</v>
      </c>
      <c r="E847" s="13" t="s">
        <v>373</v>
      </c>
      <c r="F847" s="13">
        <v>0</v>
      </c>
      <c r="G847" s="153">
        <v>1</v>
      </c>
      <c r="H847" s="16">
        <f t="shared" si="13"/>
        <v>1</v>
      </c>
      <c r="I847" s="13">
        <v>1</v>
      </c>
      <c r="J847" s="160"/>
    </row>
    <row r="848" spans="1:10">
      <c r="A848" s="13" t="s">
        <v>17</v>
      </c>
      <c r="B848" s="13" t="s">
        <v>66</v>
      </c>
      <c r="C848" s="13" t="str">
        <f>VLOOKUP([1]Competence!$B66,[1]Competence!$B$12:$B$100,1,FALSE)</f>
        <v>Research Computing</v>
      </c>
      <c r="D848" s="13" t="str" cm="1">
        <f t="array" ref="D848">_xlfn.XLOOKUP(B848,[1]Baseline!$D$3:$AZ$3,_xlfn.XLOOKUP(C848,[1]Baseline!$B$4:$B$91,[1]Baseline!$D$4:$AZ$91))</f>
        <v>Awareness</v>
      </c>
      <c r="E848" s="13" t="s">
        <v>373</v>
      </c>
      <c r="F848" s="13">
        <v>0</v>
      </c>
      <c r="G848" s="153">
        <v>0</v>
      </c>
      <c r="H848" s="16">
        <f t="shared" si="13"/>
        <v>0</v>
      </c>
      <c r="I848" s="13">
        <v>0</v>
      </c>
      <c r="J848" s="160"/>
    </row>
    <row r="849" spans="1:10">
      <c r="A849" s="13" t="s">
        <v>17</v>
      </c>
      <c r="B849" s="13" t="s">
        <v>66</v>
      </c>
      <c r="C849" s="13" t="str">
        <f>VLOOKUP([1]Competence!$B67,[1]Competence!$B$12:$B$100,1,FALSE)</f>
        <v>Information assurance</v>
      </c>
      <c r="D849" s="13" t="str" cm="1">
        <f t="array" ref="D849">_xlfn.XLOOKUP(B849,[1]Baseline!$D$3:$AZ$3,_xlfn.XLOOKUP(C849,[1]Baseline!$B$4:$B$91,[1]Baseline!$D$4:$AZ$91))</f>
        <v>Working</v>
      </c>
      <c r="E849" s="13" t="s">
        <v>373</v>
      </c>
      <c r="F849" s="13">
        <v>0</v>
      </c>
      <c r="G849" s="153">
        <v>2</v>
      </c>
      <c r="H849" s="16">
        <f t="shared" si="13"/>
        <v>2</v>
      </c>
      <c r="I849" s="13">
        <v>2</v>
      </c>
      <c r="J849" s="160"/>
    </row>
    <row r="850" spans="1:10">
      <c r="A850" s="13" t="s">
        <v>17</v>
      </c>
      <c r="B850" s="13" t="s">
        <v>66</v>
      </c>
      <c r="C850" s="13" t="str">
        <f>VLOOKUP([1]Competence!$B68,[1]Competence!$B$12:$B$100,1,FALSE)</f>
        <v>Information management</v>
      </c>
      <c r="D850" s="13" t="str" cm="1">
        <f t="array" ref="D850">_xlfn.XLOOKUP(B850,[1]Baseline!$D$3:$AZ$3,_xlfn.XLOOKUP(C850,[1]Baseline!$B$4:$B$91,[1]Baseline!$D$4:$AZ$91))</f>
        <v>Awareness</v>
      </c>
      <c r="E850" s="13" t="s">
        <v>373</v>
      </c>
      <c r="F850" s="13">
        <v>0</v>
      </c>
      <c r="G850" s="153">
        <v>1</v>
      </c>
      <c r="H850" s="16">
        <f t="shared" si="13"/>
        <v>1</v>
      </c>
      <c r="I850" s="13">
        <v>1</v>
      </c>
      <c r="J850" s="160"/>
    </row>
    <row r="851" spans="1:10">
      <c r="A851" s="13" t="s">
        <v>17</v>
      </c>
      <c r="B851" s="13" t="s">
        <v>66</v>
      </c>
      <c r="C851" s="13" t="str">
        <f>VLOOKUP([1]Competence!$B69,[1]Competence!$B$12:$B$100,1,FALSE)</f>
        <v>Infrastructure</v>
      </c>
      <c r="D851" s="13" t="str" cm="1">
        <f t="array" ref="D851">_xlfn.XLOOKUP(B851,[1]Baseline!$D$3:$AZ$3,_xlfn.XLOOKUP(C851,[1]Baseline!$B$4:$B$91,[1]Baseline!$D$4:$AZ$91))</f>
        <v>Working</v>
      </c>
      <c r="E851" s="13" t="s">
        <v>373</v>
      </c>
      <c r="F851" s="13">
        <v>0</v>
      </c>
      <c r="G851" s="153">
        <v>2</v>
      </c>
      <c r="H851" s="16">
        <f t="shared" si="13"/>
        <v>2</v>
      </c>
      <c r="I851" s="13">
        <v>2</v>
      </c>
      <c r="J851" s="160"/>
    </row>
    <row r="852" spans="1:10">
      <c r="A852" s="13" t="s">
        <v>17</v>
      </c>
      <c r="B852" s="13" t="s">
        <v>66</v>
      </c>
      <c r="C852" s="13" t="str">
        <f>VLOOKUP([1]Competence!$B70,[1]Competence!$B$12:$B$100,1,FALSE)</f>
        <v>Network design</v>
      </c>
      <c r="D852" s="13" t="str" cm="1">
        <f t="array" ref="D852">_xlfn.XLOOKUP(B852,[1]Baseline!$D$3:$AZ$3,_xlfn.XLOOKUP(C852,[1]Baseline!$B$4:$B$91,[1]Baseline!$D$4:$AZ$91))</f>
        <v>No Knowledge</v>
      </c>
      <c r="E852" s="13" t="s">
        <v>373</v>
      </c>
      <c r="F852" s="13">
        <v>0</v>
      </c>
      <c r="G852" s="153">
        <v>2</v>
      </c>
      <c r="H852" s="16">
        <f t="shared" si="13"/>
        <v>2</v>
      </c>
      <c r="I852" s="13">
        <v>2</v>
      </c>
      <c r="J852" s="160"/>
    </row>
    <row r="853" spans="1:10">
      <c r="A853" s="13" t="s">
        <v>17</v>
      </c>
      <c r="B853" s="13" t="s">
        <v>66</v>
      </c>
      <c r="C853" s="13" t="str">
        <f>VLOOKUP([1]Competence!$B71,[1]Competence!$B$12:$B$100,1,FALSE)</f>
        <v>Network Analytics</v>
      </c>
      <c r="D853" s="13" t="str" cm="1">
        <f t="array" ref="D853">_xlfn.XLOOKUP(B853,[1]Baseline!$D$3:$AZ$3,_xlfn.XLOOKUP(C853,[1]Baseline!$B$4:$B$91,[1]Baseline!$D$4:$AZ$91))</f>
        <v>No Knowledge</v>
      </c>
      <c r="E853" s="13" t="s">
        <v>373</v>
      </c>
      <c r="F853" s="13">
        <v>0</v>
      </c>
      <c r="G853" s="153">
        <v>1</v>
      </c>
      <c r="H853" s="16">
        <f t="shared" si="13"/>
        <v>1</v>
      </c>
      <c r="I853" s="13">
        <v>1</v>
      </c>
      <c r="J853" s="160"/>
    </row>
    <row r="854" spans="1:10">
      <c r="A854" s="13" t="s">
        <v>17</v>
      </c>
      <c r="B854" s="13" t="s">
        <v>66</v>
      </c>
      <c r="C854" s="13" t="str">
        <f>VLOOKUP([1]Competence!$B72,[1]Competence!$B$12:$B$100,1,FALSE)</f>
        <v>Network support</v>
      </c>
      <c r="D854" s="13" t="str" cm="1">
        <f t="array" ref="D854">_xlfn.XLOOKUP(B854,[1]Baseline!$D$3:$AZ$3,_xlfn.XLOOKUP(C854,[1]Baseline!$B$4:$B$91,[1]Baseline!$D$4:$AZ$91))</f>
        <v>Working</v>
      </c>
      <c r="E854" s="13" t="s">
        <v>373</v>
      </c>
      <c r="F854" s="13">
        <v>1</v>
      </c>
      <c r="G854" s="153">
        <v>2</v>
      </c>
      <c r="H854" s="16">
        <f t="shared" si="13"/>
        <v>1</v>
      </c>
      <c r="I854" s="13">
        <v>2</v>
      </c>
      <c r="J854" s="160"/>
    </row>
    <row r="855" spans="1:10">
      <c r="A855" s="13" t="s">
        <v>17</v>
      </c>
      <c r="B855" s="13" t="s">
        <v>66</v>
      </c>
      <c r="C855" s="13" t="str">
        <f>VLOOKUP([1]Competence!$B73,[1]Competence!$B$12:$B$100,1,FALSE)</f>
        <v>Programming/software development</v>
      </c>
      <c r="D855" s="13" t="str" cm="1">
        <f t="array" ref="D855">_xlfn.XLOOKUP(B855,[1]Baseline!$D$3:$AZ$3,_xlfn.XLOOKUP(C855,[1]Baseline!$B$4:$B$91,[1]Baseline!$D$4:$AZ$91))</f>
        <v>No Knowledge</v>
      </c>
      <c r="E855" s="13" t="s">
        <v>376</v>
      </c>
      <c r="F855" s="13">
        <v>2</v>
      </c>
      <c r="G855" s="153">
        <v>2</v>
      </c>
      <c r="H855" s="16">
        <f t="shared" si="13"/>
        <v>0</v>
      </c>
      <c r="I855" s="13">
        <v>2</v>
      </c>
      <c r="J855" s="160"/>
    </row>
    <row r="856" spans="1:10">
      <c r="A856" s="13" t="s">
        <v>17</v>
      </c>
      <c r="B856" s="13" t="s">
        <v>66</v>
      </c>
      <c r="C856" s="13" t="str">
        <f>VLOOKUP([1]Competence!$B74,[1]Competence!$B$12:$B$100,1,FALSE)</f>
        <v>Real-time/embedded systems development</v>
      </c>
      <c r="D856" s="13" t="str" cm="1">
        <f t="array" ref="D856">_xlfn.XLOOKUP(B856,[1]Baseline!$D$3:$AZ$3,_xlfn.XLOOKUP(C856,[1]Baseline!$B$4:$B$91,[1]Baseline!$D$4:$AZ$91))</f>
        <v>No Knowledge</v>
      </c>
      <c r="E856" s="13" t="s">
        <v>374</v>
      </c>
      <c r="F856" s="13">
        <v>1</v>
      </c>
      <c r="G856" s="153">
        <v>1</v>
      </c>
      <c r="H856" s="16">
        <f t="shared" si="13"/>
        <v>0</v>
      </c>
      <c r="I856" s="13">
        <v>1</v>
      </c>
      <c r="J856" s="160"/>
    </row>
    <row r="857" spans="1:10">
      <c r="A857" s="13" t="s">
        <v>17</v>
      </c>
      <c r="B857" s="13" t="s">
        <v>66</v>
      </c>
      <c r="C857" s="13" t="str">
        <f>VLOOKUP([1]Competence!$B75,[1]Competence!$B$12:$B$100,1,FALSE)</f>
        <v>Requirements definition and management</v>
      </c>
      <c r="D857" s="13" t="str" cm="1">
        <f t="array" ref="D857">_xlfn.XLOOKUP(B857,[1]Baseline!$D$3:$AZ$3,_xlfn.XLOOKUP(C857,[1]Baseline!$B$4:$B$91,[1]Baseline!$D$4:$AZ$91))</f>
        <v>No Knowledge</v>
      </c>
      <c r="E857" s="13" t="s">
        <v>374</v>
      </c>
      <c r="F857" s="13">
        <v>1</v>
      </c>
      <c r="G857" s="153">
        <v>1</v>
      </c>
      <c r="H857" s="16">
        <f t="shared" si="13"/>
        <v>0</v>
      </c>
      <c r="I857" s="13">
        <v>1</v>
      </c>
      <c r="J857" s="160"/>
    </row>
    <row r="858" spans="1:10">
      <c r="A858" s="13" t="s">
        <v>17</v>
      </c>
      <c r="B858" s="13" t="s">
        <v>66</v>
      </c>
      <c r="C858" s="13" t="str">
        <f>VLOOKUP([1]Competence!$B76,[1]Competence!$B$12:$B$100,1,FALSE)</f>
        <v>Software configuration</v>
      </c>
      <c r="D858" s="13" t="str" cm="1">
        <f t="array" ref="D858">_xlfn.XLOOKUP(B858,[1]Baseline!$D$3:$AZ$3,_xlfn.XLOOKUP(C858,[1]Baseline!$B$4:$B$91,[1]Baseline!$D$4:$AZ$91))</f>
        <v>No Knowledge</v>
      </c>
      <c r="E858" s="13" t="s">
        <v>374</v>
      </c>
      <c r="F858" s="13">
        <v>1</v>
      </c>
      <c r="G858" s="153">
        <v>1</v>
      </c>
      <c r="H858" s="16">
        <f t="shared" si="13"/>
        <v>0</v>
      </c>
      <c r="I858" s="13">
        <v>1</v>
      </c>
      <c r="J858" s="160"/>
    </row>
    <row r="859" spans="1:10">
      <c r="A859" s="13" t="s">
        <v>17</v>
      </c>
      <c r="B859" s="13" t="s">
        <v>66</v>
      </c>
      <c r="C859" s="13" t="str">
        <f>VLOOKUP([1]Competence!$B77,[1]Competence!$B$12:$B$100,1,FALSE)</f>
        <v>Software design</v>
      </c>
      <c r="D859" s="13" t="str" cm="1">
        <f t="array" ref="D859">_xlfn.XLOOKUP(B859,[1]Baseline!$D$3:$AZ$3,_xlfn.XLOOKUP(C859,[1]Baseline!$B$4:$B$91,[1]Baseline!$D$4:$AZ$91))</f>
        <v>No Knowledge</v>
      </c>
      <c r="E859" s="13" t="s">
        <v>374</v>
      </c>
      <c r="F859" s="13">
        <v>0</v>
      </c>
      <c r="G859" s="153">
        <v>1</v>
      </c>
      <c r="H859" s="16">
        <f t="shared" si="13"/>
        <v>1</v>
      </c>
      <c r="I859" s="13">
        <v>1</v>
      </c>
      <c r="J859" s="160"/>
    </row>
    <row r="860" spans="1:10">
      <c r="A860" s="13" t="s">
        <v>17</v>
      </c>
      <c r="B860" s="13" t="s">
        <v>66</v>
      </c>
      <c r="C860" s="13" t="str">
        <f>VLOOKUP([1]Competence!$B78,[1]Competence!$B$12:$B$100,1,FALSE)</f>
        <v>Solution architecture</v>
      </c>
      <c r="D860" s="13" t="str" cm="1">
        <f t="array" ref="D860">_xlfn.XLOOKUP(B860,[1]Baseline!$D$3:$AZ$3,_xlfn.XLOOKUP(C860,[1]Baseline!$B$4:$B$91,[1]Baseline!$D$4:$AZ$91))</f>
        <v>No Knowledge</v>
      </c>
      <c r="E860" s="13" t="s">
        <v>374</v>
      </c>
      <c r="F860" s="13">
        <v>0</v>
      </c>
      <c r="G860" s="153">
        <v>0</v>
      </c>
      <c r="H860" s="16">
        <f t="shared" si="13"/>
        <v>0</v>
      </c>
      <c r="I860" s="13">
        <v>0</v>
      </c>
      <c r="J860" s="160"/>
    </row>
    <row r="861" spans="1:10">
      <c r="A861" s="13" t="s">
        <v>17</v>
      </c>
      <c r="B861" s="13" t="s">
        <v>66</v>
      </c>
      <c r="C861" s="13" t="str">
        <f>VLOOKUP([1]Competence!$B79,[1]Competence!$B$12:$B$100,1,FALSE)</f>
        <v>System software</v>
      </c>
      <c r="D861" s="13" t="str" cm="1">
        <f t="array" ref="D861">_xlfn.XLOOKUP(B861,[1]Baseline!$D$3:$AZ$3,_xlfn.XLOOKUP(C861,[1]Baseline!$B$4:$B$91,[1]Baseline!$D$4:$AZ$91))</f>
        <v>No Knowledge</v>
      </c>
      <c r="E861" s="13" t="s">
        <v>377</v>
      </c>
      <c r="F861" s="13">
        <v>0</v>
      </c>
      <c r="G861" s="153">
        <v>1</v>
      </c>
      <c r="H861" s="16">
        <f t="shared" si="13"/>
        <v>1</v>
      </c>
      <c r="I861" s="13">
        <v>1</v>
      </c>
      <c r="J861" s="160"/>
    </row>
    <row r="862" spans="1:10">
      <c r="A862" s="13" t="s">
        <v>17</v>
      </c>
      <c r="B862" s="13" t="s">
        <v>66</v>
      </c>
      <c r="C862" s="13" t="str">
        <f>VLOOKUP([1]Competence!$B80,[1]Competence!$B$12:$B$100,1,FALSE)</f>
        <v>Systems and software life cycle engineering</v>
      </c>
      <c r="D862" s="13" t="str" cm="1">
        <f t="array" ref="D862">_xlfn.XLOOKUP(B862,[1]Baseline!$D$3:$AZ$3,_xlfn.XLOOKUP(C862,[1]Baseline!$B$4:$B$91,[1]Baseline!$D$4:$AZ$91))</f>
        <v>No Knowledge</v>
      </c>
      <c r="E862" s="13" t="s">
        <v>378</v>
      </c>
      <c r="F862" s="13">
        <v>0</v>
      </c>
      <c r="G862" s="153">
        <v>0</v>
      </c>
      <c r="H862" s="16">
        <f t="shared" si="13"/>
        <v>0</v>
      </c>
      <c r="I862" s="13">
        <v>0</v>
      </c>
      <c r="J862" s="160"/>
    </row>
    <row r="863" spans="1:10">
      <c r="A863" s="13" t="s">
        <v>17</v>
      </c>
      <c r="B863" s="13" t="s">
        <v>66</v>
      </c>
      <c r="C863" s="13" t="str">
        <f>VLOOKUP([1]Competence!$B81,[1]Competence!$B$12:$B$100,1,FALSE)</f>
        <v>Systems design</v>
      </c>
      <c r="D863" s="13" t="str" cm="1">
        <f t="array" ref="D863">_xlfn.XLOOKUP(B863,[1]Baseline!$D$3:$AZ$3,_xlfn.XLOOKUP(C863,[1]Baseline!$B$4:$B$91,[1]Baseline!$D$4:$AZ$91))</f>
        <v>No Knowledge</v>
      </c>
      <c r="E863" s="13" t="s">
        <v>378</v>
      </c>
      <c r="F863" s="13">
        <v>0</v>
      </c>
      <c r="G863" s="153">
        <v>1</v>
      </c>
      <c r="H863" s="16">
        <f t="shared" si="13"/>
        <v>1</v>
      </c>
      <c r="I863" s="13">
        <v>1</v>
      </c>
      <c r="J863" s="160"/>
    </row>
    <row r="864" spans="1:10">
      <c r="A864" s="13" t="s">
        <v>17</v>
      </c>
      <c r="B864" s="13" t="s">
        <v>66</v>
      </c>
      <c r="C864" s="13" t="str">
        <f>VLOOKUP([1]Competence!$B82,[1]Competence!$B$12:$B$100,1,FALSE)</f>
        <v>Systems development management</v>
      </c>
      <c r="D864" s="13" t="str" cm="1">
        <f t="array" ref="D864">_xlfn.XLOOKUP(B864,[1]Baseline!$D$3:$AZ$3,_xlfn.XLOOKUP(C864,[1]Baseline!$B$4:$B$91,[1]Baseline!$D$4:$AZ$91))</f>
        <v>No Knowledge</v>
      </c>
      <c r="E864" s="13" t="s">
        <v>375</v>
      </c>
      <c r="F864" s="13">
        <v>0</v>
      </c>
      <c r="G864" s="153">
        <v>0</v>
      </c>
      <c r="H864" s="16">
        <f t="shared" si="13"/>
        <v>0</v>
      </c>
      <c r="I864" s="13">
        <v>0</v>
      </c>
      <c r="J864" s="160"/>
    </row>
    <row r="865" spans="1:10">
      <c r="A865" s="13" t="s">
        <v>17</v>
      </c>
      <c r="B865" s="13" t="s">
        <v>66</v>
      </c>
      <c r="C865" s="13" t="str">
        <f>VLOOKUP([1]Competence!$B83,[1]Competence!$B$12:$B$100,1,FALSE)</f>
        <v>Systems installation and removal</v>
      </c>
      <c r="D865" s="13" t="str" cm="1">
        <f t="array" ref="D865">_xlfn.XLOOKUP(B865,[1]Baseline!$D$3:$AZ$3,_xlfn.XLOOKUP(C865,[1]Baseline!$B$4:$B$91,[1]Baseline!$D$4:$AZ$91))</f>
        <v>Working</v>
      </c>
      <c r="E865" s="13" t="s">
        <v>375</v>
      </c>
      <c r="F865" s="13">
        <v>1</v>
      </c>
      <c r="G865" s="153">
        <v>1</v>
      </c>
      <c r="H865" s="16">
        <f t="shared" si="13"/>
        <v>0</v>
      </c>
      <c r="I865" s="13">
        <v>1</v>
      </c>
      <c r="J865" s="160"/>
    </row>
    <row r="866" spans="1:10">
      <c r="A866" s="13" t="s">
        <v>17</v>
      </c>
      <c r="B866" s="13" t="s">
        <v>66</v>
      </c>
      <c r="C866" s="13" t="str">
        <f>VLOOKUP([1]Competence!$B84,[1]Competence!$B$12:$B$100,1,FALSE)</f>
        <v>Testing</v>
      </c>
      <c r="D866" s="13" t="str" cm="1">
        <f t="array" ref="D866">_xlfn.XLOOKUP(B866,[1]Baseline!$D$3:$AZ$3,_xlfn.XLOOKUP(C866,[1]Baseline!$B$4:$B$91,[1]Baseline!$D$4:$AZ$91))</f>
        <v>Working</v>
      </c>
      <c r="E866" s="13" t="s">
        <v>375</v>
      </c>
      <c r="F866" s="13">
        <v>0</v>
      </c>
      <c r="G866" s="153">
        <v>1</v>
      </c>
      <c r="H866" s="16">
        <f t="shared" si="13"/>
        <v>1</v>
      </c>
      <c r="I866" s="13">
        <v>1</v>
      </c>
      <c r="J866" s="160"/>
    </row>
    <row r="867" spans="1:10">
      <c r="A867" s="13" t="s">
        <v>17</v>
      </c>
      <c r="B867" s="13" t="s">
        <v>66</v>
      </c>
      <c r="C867" s="13" t="str">
        <f>VLOOKUP([1]Competence!$B85,[1]Competence!$B$12:$B$100,1,FALSE)</f>
        <v>Innovation</v>
      </c>
      <c r="D867" s="13" t="str" cm="1">
        <f t="array" ref="D867">_xlfn.XLOOKUP(B867,[1]Baseline!$D$3:$AZ$3,_xlfn.XLOOKUP(C867,[1]Baseline!$B$4:$B$91,[1]Baseline!$D$4:$AZ$91))</f>
        <v>No Knowledge</v>
      </c>
      <c r="E867" s="13" t="s">
        <v>375</v>
      </c>
      <c r="F867" s="13">
        <v>0</v>
      </c>
      <c r="G867" s="153">
        <v>0</v>
      </c>
      <c r="H867" s="16">
        <f t="shared" si="13"/>
        <v>0</v>
      </c>
      <c r="I867" s="13">
        <v>0</v>
      </c>
      <c r="J867" s="160"/>
    </row>
    <row r="868" spans="1:10">
      <c r="A868" s="13" t="s">
        <v>17</v>
      </c>
      <c r="B868" s="13" t="s">
        <v>66</v>
      </c>
      <c r="C868" s="13" t="str">
        <f>VLOOKUP([1]Competence!$B86,[1]Competence!$B$12:$B$100,1,FALSE)</f>
        <v>Specialist Advice</v>
      </c>
      <c r="D868" s="13" t="str" cm="1">
        <f t="array" ref="D868">_xlfn.XLOOKUP(B868,[1]Baseline!$D$3:$AZ$3,_xlfn.XLOOKUP(C868,[1]Baseline!$B$4:$B$91,[1]Baseline!$D$4:$AZ$91))</f>
        <v>No Knowledge</v>
      </c>
      <c r="E868" s="13" t="s">
        <v>375</v>
      </c>
      <c r="F868" s="13">
        <v>0</v>
      </c>
      <c r="G868" s="153">
        <v>0</v>
      </c>
      <c r="H868" s="16">
        <f t="shared" si="13"/>
        <v>0</v>
      </c>
      <c r="I868" s="13">
        <v>0</v>
      </c>
      <c r="J868" s="160"/>
    </row>
    <row r="869" spans="1:10">
      <c r="A869" s="13" t="s">
        <v>17</v>
      </c>
      <c r="B869" s="13" t="s">
        <v>66</v>
      </c>
      <c r="C869" s="13" t="str">
        <f>VLOOKUP([1]Competence!$B87,[1]Competence!$B$12:$B$100,1,FALSE)</f>
        <v>Emerging technology monitoring</v>
      </c>
      <c r="D869" s="13" t="str" cm="1">
        <f t="array" ref="D869">_xlfn.XLOOKUP(B869,[1]Baseline!$D$3:$AZ$3,_xlfn.XLOOKUP(C869,[1]Baseline!$B$4:$B$91,[1]Baseline!$D$4:$AZ$91))</f>
        <v>No Knowledge</v>
      </c>
      <c r="E869" s="13" t="s">
        <v>375</v>
      </c>
      <c r="F869" s="13">
        <v>0</v>
      </c>
      <c r="G869" s="153">
        <v>1</v>
      </c>
      <c r="H869" s="16">
        <f t="shared" si="13"/>
        <v>1</v>
      </c>
      <c r="I869" s="13">
        <v>1</v>
      </c>
      <c r="J869" s="160"/>
    </row>
    <row r="870" spans="1:10">
      <c r="A870" s="13" t="s">
        <v>17</v>
      </c>
      <c r="B870" s="13" t="s">
        <v>66</v>
      </c>
      <c r="C870" s="13" t="str">
        <f>VLOOKUP([1]Competence!$B88,[1]Competence!$B$12:$B$100,1,FALSE)</f>
        <v>Systems integration and build</v>
      </c>
      <c r="D870" s="13" t="str" cm="1">
        <f t="array" ref="D870">_xlfn.XLOOKUP(B870,[1]Baseline!$D$3:$AZ$3,_xlfn.XLOOKUP(C870,[1]Baseline!$B$4:$B$91,[1]Baseline!$D$4:$AZ$91))</f>
        <v>Practitioner</v>
      </c>
      <c r="E870" s="13" t="s">
        <v>375</v>
      </c>
      <c r="F870" s="13">
        <v>0</v>
      </c>
      <c r="G870" s="153">
        <v>0</v>
      </c>
      <c r="H870" s="16">
        <f t="shared" si="13"/>
        <v>0</v>
      </c>
      <c r="I870" s="13">
        <v>0</v>
      </c>
      <c r="J870" s="160"/>
    </row>
    <row r="871" spans="1:10">
      <c r="A871" s="13" t="s">
        <v>17</v>
      </c>
      <c r="B871" s="13" t="s">
        <v>66</v>
      </c>
      <c r="C871" s="13" t="str">
        <f>VLOOKUP([1]Competence!$B89,[1]Competence!$B$12:$B$100,1,FALSE)</f>
        <v>Audio Visual</v>
      </c>
      <c r="D871" s="13" t="str" cm="1">
        <f t="array" ref="D871">_xlfn.XLOOKUP(B871,[1]Baseline!$D$3:$AZ$3,_xlfn.XLOOKUP(C871,[1]Baseline!$B$4:$B$91,[1]Baseline!$D$4:$AZ$91))</f>
        <v>Awareness</v>
      </c>
      <c r="E871" s="13" t="s">
        <v>375</v>
      </c>
      <c r="F871" s="13">
        <v>0</v>
      </c>
      <c r="G871" s="153">
        <v>2</v>
      </c>
      <c r="H871" s="16">
        <f t="shared" si="13"/>
        <v>2</v>
      </c>
      <c r="I871" s="13">
        <v>2</v>
      </c>
      <c r="J871" s="160"/>
    </row>
    <row r="872" spans="1:10">
      <c r="A872" s="13" t="s">
        <v>17</v>
      </c>
      <c r="B872" s="13" t="s">
        <v>66</v>
      </c>
      <c r="C872" s="13" t="str">
        <f>VLOOKUP([1]Competence!$B90,[1]Competence!$B$12:$B$100,1,FALSE)</f>
        <v>Augmented Reality</v>
      </c>
      <c r="D872" s="13" t="str" cm="1">
        <f t="array" ref="D872">_xlfn.XLOOKUP(B872,[1]Baseline!$D$3:$AZ$3,_xlfn.XLOOKUP(C872,[1]Baseline!$B$4:$B$91,[1]Baseline!$D$4:$AZ$91))</f>
        <v>Awareness</v>
      </c>
      <c r="E872" s="13" t="s">
        <v>375</v>
      </c>
      <c r="F872" s="13">
        <v>0</v>
      </c>
      <c r="G872" s="153">
        <v>0</v>
      </c>
      <c r="H872" s="16">
        <f t="shared" si="13"/>
        <v>0</v>
      </c>
      <c r="I872" s="13">
        <v>0</v>
      </c>
      <c r="J872" s="160"/>
    </row>
    <row r="873" spans="1:10">
      <c r="A873" s="13" t="s">
        <v>17</v>
      </c>
      <c r="B873" s="13" t="s">
        <v>66</v>
      </c>
      <c r="C873" s="13" t="str">
        <f>VLOOKUP([1]Competence!$B91,[1]Competence!$B$12:$B$100,1,FALSE)</f>
        <v>Benefits management</v>
      </c>
      <c r="D873" s="13" t="str" cm="1">
        <f t="array" ref="D873">_xlfn.XLOOKUP(B873,[1]Baseline!$D$3:$AZ$3,_xlfn.XLOOKUP(C873,[1]Baseline!$B$4:$B$91,[1]Baseline!$D$4:$AZ$91))</f>
        <v>No Knowledge</v>
      </c>
      <c r="E873" s="13" t="s">
        <v>375</v>
      </c>
      <c r="F873" s="13">
        <v>0</v>
      </c>
      <c r="G873" s="153">
        <v>0</v>
      </c>
      <c r="H873" s="16">
        <f t="shared" si="13"/>
        <v>0</v>
      </c>
      <c r="I873" s="13">
        <v>0</v>
      </c>
      <c r="J873" s="160"/>
    </row>
    <row r="874" spans="1:10">
      <c r="A874" s="13" t="s">
        <v>17</v>
      </c>
      <c r="B874" s="13" t="s">
        <v>66</v>
      </c>
      <c r="C874" s="13" t="str">
        <f>VLOOKUP([1]Competence!$B92,[1]Competence!$B$12:$B$100,1,FALSE)</f>
        <v>Business administration</v>
      </c>
      <c r="D874" s="13" t="str" cm="1">
        <f t="array" ref="D874">_xlfn.XLOOKUP(B874,[1]Baseline!$D$3:$AZ$3,_xlfn.XLOOKUP(C874,[1]Baseline!$B$4:$B$91,[1]Baseline!$D$4:$AZ$91))</f>
        <v>No Knowledge</v>
      </c>
      <c r="E874" s="13" t="s">
        <v>375</v>
      </c>
      <c r="F874" s="13">
        <v>1</v>
      </c>
      <c r="G874" s="153">
        <v>0</v>
      </c>
      <c r="H874" s="16">
        <f t="shared" si="13"/>
        <v>-1</v>
      </c>
      <c r="I874" s="13">
        <v>0</v>
      </c>
      <c r="J874" s="160"/>
    </row>
    <row r="875" spans="1:10">
      <c r="A875" s="13" t="s">
        <v>17</v>
      </c>
      <c r="B875" s="13" t="s">
        <v>66</v>
      </c>
      <c r="C875" s="13" t="str">
        <f>VLOOKUP([1]Competence!$B93,[1]Competence!$B$12:$B$100,1,FALSE)</f>
        <v>Business intelligence</v>
      </c>
      <c r="D875" s="13" t="str" cm="1">
        <f t="array" ref="D875">_xlfn.XLOOKUP(B875,[1]Baseline!$D$3:$AZ$3,_xlfn.XLOOKUP(C875,[1]Baseline!$B$4:$B$91,[1]Baseline!$D$4:$AZ$91))</f>
        <v>No Knowledge</v>
      </c>
      <c r="E875" s="13" t="s">
        <v>374</v>
      </c>
      <c r="F875" s="13">
        <v>0</v>
      </c>
      <c r="G875" s="153">
        <v>0</v>
      </c>
      <c r="H875" s="16">
        <f t="shared" si="13"/>
        <v>0</v>
      </c>
      <c r="I875" s="13">
        <v>0</v>
      </c>
      <c r="J875" s="160"/>
    </row>
    <row r="876" spans="1:10">
      <c r="A876" s="13" t="s">
        <v>17</v>
      </c>
      <c r="B876" s="13" t="s">
        <v>66</v>
      </c>
      <c r="C876" s="13" t="str">
        <f>VLOOKUP([1]Competence!$B94,[1]Competence!$B$12:$B$100,1,FALSE)</f>
        <v>Business modelling</v>
      </c>
      <c r="D876" s="13" t="str" cm="1">
        <f t="array" ref="D876">_xlfn.XLOOKUP(B876,[1]Baseline!$D$3:$AZ$3,_xlfn.XLOOKUP(C876,[1]Baseline!$B$4:$B$91,[1]Baseline!$D$4:$AZ$91))</f>
        <v>No Knowledge</v>
      </c>
      <c r="E876" s="13" t="s">
        <v>377</v>
      </c>
      <c r="F876" s="13">
        <v>0</v>
      </c>
      <c r="G876" s="153">
        <v>0</v>
      </c>
      <c r="H876" s="16">
        <f t="shared" si="13"/>
        <v>0</v>
      </c>
      <c r="I876" s="13">
        <v>0</v>
      </c>
      <c r="J876" s="160"/>
    </row>
    <row r="877" spans="1:10">
      <c r="A877" s="13" t="s">
        <v>17</v>
      </c>
      <c r="B877" s="13" t="s">
        <v>66</v>
      </c>
      <c r="C877" s="13" t="str">
        <f>VLOOKUP([1]Competence!$B95,[1]Competence!$B$12:$B$100,1,FALSE)</f>
        <v>Business process improvement</v>
      </c>
      <c r="D877" s="13" t="str" cm="1">
        <f t="array" ref="D877">_xlfn.XLOOKUP(B877,[1]Baseline!$D$3:$AZ$3,_xlfn.XLOOKUP(C877,[1]Baseline!$B$4:$B$91,[1]Baseline!$D$4:$AZ$91))</f>
        <v>No Knowledge</v>
      </c>
      <c r="E877" s="13" t="s">
        <v>377</v>
      </c>
      <c r="F877" s="13">
        <v>0</v>
      </c>
      <c r="G877" s="153">
        <v>0</v>
      </c>
      <c r="H877" s="16">
        <f t="shared" si="13"/>
        <v>0</v>
      </c>
      <c r="I877" s="13">
        <v>0</v>
      </c>
      <c r="J877" s="160"/>
    </row>
    <row r="878" spans="1:10">
      <c r="A878" s="13" t="s">
        <v>17</v>
      </c>
      <c r="B878" s="13" t="s">
        <v>66</v>
      </c>
      <c r="C878" s="13" t="str">
        <f>VLOOKUP([1]Competence!$B96,[1]Competence!$B$12:$B$100,1,FALSE)</f>
        <v>Business situation analysis</v>
      </c>
      <c r="D878" s="13" t="str" cm="1">
        <f t="array" ref="D878">_xlfn.XLOOKUP(B878,[1]Baseline!$D$3:$AZ$3,_xlfn.XLOOKUP(C878,[1]Baseline!$B$4:$B$91,[1]Baseline!$D$4:$AZ$91))</f>
        <v>No Knowledge</v>
      </c>
      <c r="E878" s="13" t="s">
        <v>378</v>
      </c>
      <c r="F878" s="13">
        <v>0</v>
      </c>
      <c r="G878" s="153">
        <v>0</v>
      </c>
      <c r="H878" s="16">
        <f t="shared" si="13"/>
        <v>0</v>
      </c>
      <c r="I878" s="13">
        <v>0</v>
      </c>
      <c r="J878" s="160"/>
    </row>
    <row r="879" spans="1:10">
      <c r="A879" s="13" t="s">
        <v>17</v>
      </c>
      <c r="B879" s="13" t="s">
        <v>66</v>
      </c>
      <c r="C879" s="13" t="str">
        <f>VLOOKUP([1]Competence!$B97,[1]Competence!$B$12:$B$100,1,FALSE)</f>
        <v>Programme management</v>
      </c>
      <c r="D879" s="13" t="str" cm="1">
        <f t="array" ref="D879">_xlfn.XLOOKUP(B879,[1]Baseline!$D$3:$AZ$3,_xlfn.XLOOKUP(C879,[1]Baseline!$B$4:$B$91,[1]Baseline!$D$4:$AZ$91))</f>
        <v>No Knowledge</v>
      </c>
      <c r="E879" s="13" t="s">
        <v>375</v>
      </c>
      <c r="F879" s="13">
        <v>0</v>
      </c>
      <c r="G879" s="153">
        <v>0</v>
      </c>
      <c r="H879" s="16">
        <f t="shared" si="13"/>
        <v>0</v>
      </c>
      <c r="I879" s="13">
        <v>0</v>
      </c>
      <c r="J879" s="160"/>
    </row>
    <row r="880" spans="1:10">
      <c r="A880" s="13" t="s">
        <v>17</v>
      </c>
      <c r="B880" s="13" t="s">
        <v>66</v>
      </c>
      <c r="C880" s="13" t="str">
        <f>VLOOKUP([1]Competence!$B98,[1]Competence!$B$12:$B$100,1,FALSE)</f>
        <v>Project management</v>
      </c>
      <c r="D880" s="13" t="str" cm="1">
        <f t="array" ref="D880">_xlfn.XLOOKUP(B880,[1]Baseline!$D$3:$AZ$3,_xlfn.XLOOKUP(C880,[1]Baseline!$B$4:$B$91,[1]Baseline!$D$4:$AZ$91))</f>
        <v>No Knowledge</v>
      </c>
      <c r="E880" s="13" t="s">
        <v>375</v>
      </c>
      <c r="F880" s="13">
        <v>0</v>
      </c>
      <c r="G880" s="153">
        <v>0</v>
      </c>
      <c r="H880" s="16">
        <f t="shared" si="13"/>
        <v>0</v>
      </c>
      <c r="I880" s="13">
        <v>0</v>
      </c>
      <c r="J880" s="160"/>
    </row>
    <row r="881" spans="1:10">
      <c r="A881" s="13" t="s">
        <v>17</v>
      </c>
      <c r="B881" s="13" t="s">
        <v>66</v>
      </c>
      <c r="C881" s="13" t="str">
        <f>VLOOKUP([1]Competence!$B99,[1]Competence!$B$12:$B$100,1,FALSE)</f>
        <v>Quality assurance</v>
      </c>
      <c r="D881" s="13" t="str" cm="1">
        <f t="array" ref="D881">_xlfn.XLOOKUP(B881,[1]Baseline!$D$3:$AZ$3,_xlfn.XLOOKUP(C881,[1]Baseline!$B$4:$B$91,[1]Baseline!$D$4:$AZ$91))</f>
        <v>Working</v>
      </c>
      <c r="E881" s="13" t="s">
        <v>377</v>
      </c>
      <c r="F881" s="13">
        <v>0</v>
      </c>
      <c r="G881" s="153">
        <v>1</v>
      </c>
      <c r="H881" s="16">
        <f t="shared" si="13"/>
        <v>1</v>
      </c>
      <c r="I881" s="13">
        <v>1</v>
      </c>
      <c r="J881" s="160"/>
    </row>
    <row r="882" spans="1:10">
      <c r="A882" s="13" t="s">
        <v>22</v>
      </c>
      <c r="B882" s="13" t="s">
        <v>81</v>
      </c>
      <c r="C882" s="13" t="str">
        <f>VLOOKUP([1]Competence!$B12,[1]Competence!$B$12:$B$100,1,FALSE)</f>
        <v>Asset Management</v>
      </c>
      <c r="D882" s="13" t="str" cm="1">
        <f t="array" ref="D882">_xlfn.XLOOKUP(B882,[1]Baseline!$D$3:$AZ$3,_xlfn.XLOOKUP(C882,[1]Baseline!$B$4:$B$91,[1]Baseline!$D$4:$AZ$91))</f>
        <v>Working</v>
      </c>
      <c r="E882" s="13" t="s">
        <v>376</v>
      </c>
      <c r="F882" s="13">
        <v>3</v>
      </c>
      <c r="G882" s="153">
        <v>0</v>
      </c>
      <c r="H882" s="16">
        <f t="shared" si="13"/>
        <v>-3</v>
      </c>
      <c r="I882" s="13">
        <v>0</v>
      </c>
      <c r="J882" s="160"/>
    </row>
    <row r="883" spans="1:10">
      <c r="A883" s="13" t="s">
        <v>22</v>
      </c>
      <c r="B883" s="13" t="s">
        <v>81</v>
      </c>
      <c r="C883" s="13" t="str">
        <f>VLOOKUP([1]Competence!$B13,[1]Competence!$B$12:$B$100,1,FALSE)</f>
        <v>Change Control</v>
      </c>
      <c r="D883" s="13" t="str" cm="1">
        <f t="array" ref="D883">_xlfn.XLOOKUP(B883,[1]Baseline!$D$3:$AZ$3,_xlfn.XLOOKUP(C883,[1]Baseline!$B$4:$B$91,[1]Baseline!$D$4:$AZ$91))</f>
        <v>Practitioner</v>
      </c>
      <c r="E883" s="13" t="s">
        <v>377</v>
      </c>
      <c r="F883" s="13">
        <v>3</v>
      </c>
      <c r="G883" s="153">
        <v>2</v>
      </c>
      <c r="H883" s="16">
        <f t="shared" si="13"/>
        <v>-1</v>
      </c>
      <c r="I883" s="13">
        <v>2</v>
      </c>
      <c r="J883" s="160"/>
    </row>
    <row r="884" spans="1:10">
      <c r="A884" s="13" t="s">
        <v>22</v>
      </c>
      <c r="B884" s="13" t="s">
        <v>81</v>
      </c>
      <c r="C884" s="13" t="str">
        <f>VLOOKUP([1]Competence!$B14,[1]Competence!$B$12:$B$100,1,FALSE)</f>
        <v>Customer Service Support</v>
      </c>
      <c r="D884" s="13" t="str" cm="1">
        <f t="array" ref="D884">_xlfn.XLOOKUP(B884,[1]Baseline!$D$3:$AZ$3,_xlfn.XLOOKUP(C884,[1]Baseline!$B$4:$B$91,[1]Baseline!$D$4:$AZ$91))</f>
        <v>Practitioner</v>
      </c>
      <c r="E884" s="13" t="s">
        <v>377</v>
      </c>
      <c r="F884" s="13">
        <v>3</v>
      </c>
      <c r="G884" s="153">
        <v>0</v>
      </c>
      <c r="H884" s="16">
        <f t="shared" si="13"/>
        <v>-3</v>
      </c>
      <c r="I884" s="13">
        <v>0</v>
      </c>
      <c r="J884" s="160"/>
    </row>
    <row r="885" spans="1:10">
      <c r="A885" s="13" t="s">
        <v>22</v>
      </c>
      <c r="B885" s="13" t="s">
        <v>81</v>
      </c>
      <c r="C885" s="13" t="str">
        <f>VLOOKUP([1]Competence!$B15,[1]Competence!$B$12:$B$100,1,FALSE)</f>
        <v>Incident management</v>
      </c>
      <c r="D885" s="13" t="str" cm="1">
        <f t="array" ref="D885">_xlfn.XLOOKUP(B885,[1]Baseline!$D$3:$AZ$3,_xlfn.XLOOKUP(C885,[1]Baseline!$B$4:$B$91,[1]Baseline!$D$4:$AZ$91))</f>
        <v>Working</v>
      </c>
      <c r="E885" s="13" t="s">
        <v>377</v>
      </c>
      <c r="F885" s="13">
        <v>3</v>
      </c>
      <c r="G885" s="153">
        <v>1</v>
      </c>
      <c r="H885" s="16">
        <f t="shared" si="13"/>
        <v>-2</v>
      </c>
      <c r="I885" s="13">
        <v>1</v>
      </c>
      <c r="J885" s="160"/>
    </row>
    <row r="886" spans="1:10">
      <c r="A886" s="13" t="s">
        <v>22</v>
      </c>
      <c r="B886" s="13" t="s">
        <v>81</v>
      </c>
      <c r="C886" s="13" t="str">
        <f>VLOOKUP([1]Competence!$B16,[1]Competence!$B$12:$B$100,1,FALSE)</f>
        <v>Information security</v>
      </c>
      <c r="D886" s="13" t="str" cm="1">
        <f t="array" ref="D886">_xlfn.XLOOKUP(B886,[1]Baseline!$D$3:$AZ$3,_xlfn.XLOOKUP(C886,[1]Baseline!$B$4:$B$91,[1]Baseline!$D$4:$AZ$91))</f>
        <v>Practitioner</v>
      </c>
      <c r="E886" s="13" t="s">
        <v>377</v>
      </c>
      <c r="F886" s="13">
        <v>3</v>
      </c>
      <c r="G886" s="153">
        <v>2</v>
      </c>
      <c r="H886" s="16">
        <f t="shared" si="13"/>
        <v>-1</v>
      </c>
      <c r="I886" s="13">
        <v>2</v>
      </c>
      <c r="J886" s="160"/>
    </row>
    <row r="887" spans="1:10">
      <c r="A887" s="13" t="s">
        <v>22</v>
      </c>
      <c r="B887" s="13" t="s">
        <v>81</v>
      </c>
      <c r="C887" s="13" t="str">
        <f>VLOOKUP([1]Competence!$B17,[1]Competence!$B$12:$B$100,1,FALSE)</f>
        <v>Personal data protection</v>
      </c>
      <c r="D887" s="13" t="str" cm="1">
        <f t="array" ref="D887">_xlfn.XLOOKUP(B887,[1]Baseline!$D$3:$AZ$3,_xlfn.XLOOKUP(C887,[1]Baseline!$B$4:$B$91,[1]Baseline!$D$4:$AZ$91))</f>
        <v>Practitioner</v>
      </c>
      <c r="E887" s="13" t="s">
        <v>376</v>
      </c>
      <c r="F887" s="13">
        <v>2</v>
      </c>
      <c r="G887" s="153">
        <v>2</v>
      </c>
      <c r="H887" s="16">
        <f t="shared" si="13"/>
        <v>0</v>
      </c>
      <c r="I887" s="13">
        <v>2</v>
      </c>
      <c r="J887" s="160"/>
    </row>
    <row r="888" spans="1:10">
      <c r="A888" s="13" t="s">
        <v>22</v>
      </c>
      <c r="B888" s="13" t="s">
        <v>81</v>
      </c>
      <c r="C888" s="13" t="str">
        <f>VLOOKUP([1]Competence!$B18,[1]Competence!$B$12:$B$100,1,FALSE)</f>
        <v>Problem management</v>
      </c>
      <c r="D888" s="13" t="str" cm="1">
        <f t="array" ref="D888">_xlfn.XLOOKUP(B888,[1]Baseline!$D$3:$AZ$3,_xlfn.XLOOKUP(C888,[1]Baseline!$B$4:$B$91,[1]Baseline!$D$4:$AZ$91))</f>
        <v>Working</v>
      </c>
      <c r="E888" s="13" t="s">
        <v>376</v>
      </c>
      <c r="F888" s="13">
        <v>2</v>
      </c>
      <c r="G888" s="153">
        <v>3</v>
      </c>
      <c r="H888" s="16">
        <f t="shared" si="13"/>
        <v>1</v>
      </c>
      <c r="I888" s="13">
        <v>3</v>
      </c>
      <c r="J888" s="160"/>
    </row>
    <row r="889" spans="1:10">
      <c r="A889" s="13" t="s">
        <v>22</v>
      </c>
      <c r="B889" s="13" t="s">
        <v>81</v>
      </c>
      <c r="C889" s="13" t="str">
        <f>VLOOKUP([1]Competence!$B19,[1]Competence!$B$12:$B$100,1,FALSE)</f>
        <v>Service catalogue management</v>
      </c>
      <c r="D889" s="13" t="str" cm="1">
        <f t="array" ref="D889">_xlfn.XLOOKUP(B889,[1]Baseline!$D$3:$AZ$3,_xlfn.XLOOKUP(C889,[1]Baseline!$B$4:$B$91,[1]Baseline!$D$4:$AZ$91))</f>
        <v>Working</v>
      </c>
      <c r="E889" s="13" t="s">
        <v>374</v>
      </c>
      <c r="F889" s="13">
        <v>2</v>
      </c>
      <c r="G889" s="153">
        <v>1</v>
      </c>
      <c r="H889" s="16">
        <f t="shared" si="13"/>
        <v>-1</v>
      </c>
      <c r="I889" s="13">
        <v>1</v>
      </c>
      <c r="J889" s="160"/>
    </row>
    <row r="890" spans="1:10">
      <c r="A890" s="13" t="s">
        <v>22</v>
      </c>
      <c r="B890" s="13" t="s">
        <v>81</v>
      </c>
      <c r="C890" s="13" t="str">
        <f>VLOOKUP([1]Competence!$B20,[1]Competence!$B$12:$B$100,1,FALSE)</f>
        <v>Service level management</v>
      </c>
      <c r="D890" s="13" t="str" cm="1">
        <f t="array" ref="D890">_xlfn.XLOOKUP(B890,[1]Baseline!$D$3:$AZ$3,_xlfn.XLOOKUP(C890,[1]Baseline!$B$4:$B$91,[1]Baseline!$D$4:$AZ$91))</f>
        <v>Working</v>
      </c>
      <c r="E890" s="13" t="s">
        <v>374</v>
      </c>
      <c r="F890" s="13">
        <v>2</v>
      </c>
      <c r="G890" s="153">
        <v>0</v>
      </c>
      <c r="H890" s="16">
        <f t="shared" si="13"/>
        <v>-2</v>
      </c>
      <c r="I890" s="13">
        <v>0</v>
      </c>
      <c r="J890" s="160"/>
    </row>
    <row r="891" spans="1:10">
      <c r="A891" s="13" t="s">
        <v>22</v>
      </c>
      <c r="B891" s="13" t="s">
        <v>81</v>
      </c>
      <c r="C891" s="13" t="str">
        <f>VLOOKUP([1]Competence!$B21,[1]Competence!$B$12:$B$100,1,FALSE)</f>
        <v>Availability Management</v>
      </c>
      <c r="D891" s="13" t="str" cm="1">
        <f t="array" ref="D891">_xlfn.XLOOKUP(B891,[1]Baseline!$D$3:$AZ$3,_xlfn.XLOOKUP(C891,[1]Baseline!$B$4:$B$91,[1]Baseline!$D$4:$AZ$91))</f>
        <v>Working</v>
      </c>
      <c r="E891" s="13" t="s">
        <v>377</v>
      </c>
      <c r="F891" s="13">
        <v>3</v>
      </c>
      <c r="G891" s="153">
        <v>2</v>
      </c>
      <c r="H891" s="16">
        <f t="shared" si="13"/>
        <v>-1</v>
      </c>
      <c r="I891" s="13">
        <v>2</v>
      </c>
      <c r="J891" s="160"/>
    </row>
    <row r="892" spans="1:10">
      <c r="A892" s="13" t="s">
        <v>22</v>
      </c>
      <c r="B892" s="13" t="s">
        <v>81</v>
      </c>
      <c r="C892" s="13" t="str">
        <f>VLOOKUP([1]Competence!$B22,[1]Competence!$B$12:$B$100,1,FALSE)</f>
        <v>Capacity management</v>
      </c>
      <c r="D892" s="13" t="str" cm="1">
        <f t="array" ref="D892">_xlfn.XLOOKUP(B892,[1]Baseline!$D$3:$AZ$3,_xlfn.XLOOKUP(C892,[1]Baseline!$B$4:$B$91,[1]Baseline!$D$4:$AZ$91))</f>
        <v>Working</v>
      </c>
      <c r="E892" s="13" t="s">
        <v>49</v>
      </c>
      <c r="F892" s="13">
        <v>2</v>
      </c>
      <c r="G892" s="153">
        <v>0</v>
      </c>
      <c r="H892" s="16">
        <f t="shared" si="13"/>
        <v>-2</v>
      </c>
      <c r="I892" s="13">
        <v>0</v>
      </c>
      <c r="J892" s="160"/>
    </row>
    <row r="893" spans="1:10">
      <c r="A893" s="13" t="s">
        <v>22</v>
      </c>
      <c r="B893" s="13" t="s">
        <v>81</v>
      </c>
      <c r="C893" s="13" t="str">
        <f>VLOOKUP([1]Competence!$B23,[1]Competence!$B$12:$B$100,1,FALSE)</f>
        <v>Configuration Management</v>
      </c>
      <c r="D893" s="13" t="str" cm="1">
        <f t="array" ref="D893">_xlfn.XLOOKUP(B893,[1]Baseline!$D$3:$AZ$3,_xlfn.XLOOKUP(C893,[1]Baseline!$B$4:$B$91,[1]Baseline!$D$4:$AZ$91))</f>
        <v>Working</v>
      </c>
      <c r="E893" s="13" t="s">
        <v>49</v>
      </c>
      <c r="F893" s="13">
        <v>2</v>
      </c>
      <c r="G893" s="153">
        <v>2</v>
      </c>
      <c r="H893" s="16">
        <f t="shared" si="13"/>
        <v>0</v>
      </c>
      <c r="I893" s="13">
        <v>2</v>
      </c>
      <c r="J893" s="160"/>
    </row>
    <row r="894" spans="1:10">
      <c r="A894" s="13" t="s">
        <v>22</v>
      </c>
      <c r="B894" s="13" t="s">
        <v>81</v>
      </c>
      <c r="C894" s="13" t="str">
        <f>VLOOKUP([1]Competence!$B24,[1]Competence!$B$12:$B$100,1,FALSE)</f>
        <v>Continuity Management</v>
      </c>
      <c r="D894" s="13" t="str" cm="1">
        <f t="array" ref="D894">_xlfn.XLOOKUP(B894,[1]Baseline!$D$3:$AZ$3,_xlfn.XLOOKUP(C894,[1]Baseline!$B$4:$B$91,[1]Baseline!$D$4:$AZ$91))</f>
        <v>Working</v>
      </c>
      <c r="E894" s="13" t="s">
        <v>49</v>
      </c>
      <c r="F894" s="13">
        <v>2</v>
      </c>
      <c r="G894" s="153">
        <v>0</v>
      </c>
      <c r="H894" s="16">
        <f t="shared" si="13"/>
        <v>-2</v>
      </c>
      <c r="I894" s="13">
        <v>0</v>
      </c>
      <c r="J894" s="160"/>
    </row>
    <row r="895" spans="1:10">
      <c r="A895" s="13" t="s">
        <v>22</v>
      </c>
      <c r="B895" s="13" t="s">
        <v>81</v>
      </c>
      <c r="C895" s="13" t="str">
        <f>VLOOKUP([1]Competence!$B25,[1]Competence!$B$12:$B$100,1,FALSE)</f>
        <v>Demand Management</v>
      </c>
      <c r="D895" s="13" t="str" cm="1">
        <f t="array" ref="D895">_xlfn.XLOOKUP(B895,[1]Baseline!$D$3:$AZ$3,_xlfn.XLOOKUP(C895,[1]Baseline!$B$4:$B$91,[1]Baseline!$D$4:$AZ$91))</f>
        <v>Working</v>
      </c>
      <c r="E895" s="13" t="s">
        <v>49</v>
      </c>
      <c r="F895" s="13">
        <v>2</v>
      </c>
      <c r="G895" s="153">
        <v>2</v>
      </c>
      <c r="H895" s="16">
        <f t="shared" si="13"/>
        <v>0</v>
      </c>
      <c r="I895" s="13">
        <v>2</v>
      </c>
      <c r="J895" s="160"/>
    </row>
    <row r="896" spans="1:10">
      <c r="A896" s="13" t="s">
        <v>22</v>
      </c>
      <c r="B896" s="13" t="s">
        <v>81</v>
      </c>
      <c r="C896" s="13" t="str">
        <f>VLOOKUP([1]Competence!$B26,[1]Competence!$B$12:$B$100,1,FALSE)</f>
        <v>Knowledge management</v>
      </c>
      <c r="D896" s="13" t="str" cm="1">
        <f t="array" ref="D896">_xlfn.XLOOKUP(B896,[1]Baseline!$D$3:$AZ$3,_xlfn.XLOOKUP(C896,[1]Baseline!$B$4:$B$91,[1]Baseline!$D$4:$AZ$91))</f>
        <v>Working</v>
      </c>
      <c r="E896" s="13" t="s">
        <v>375</v>
      </c>
      <c r="F896" s="13">
        <v>3</v>
      </c>
      <c r="G896" s="153">
        <v>2</v>
      </c>
      <c r="H896" s="16">
        <f t="shared" si="13"/>
        <v>-1</v>
      </c>
      <c r="I896" s="13">
        <v>2</v>
      </c>
      <c r="J896" s="160"/>
    </row>
    <row r="897" spans="1:10">
      <c r="A897" s="13" t="s">
        <v>22</v>
      </c>
      <c r="B897" s="13" t="s">
        <v>81</v>
      </c>
      <c r="C897" s="13" t="str">
        <f>VLOOKUP([1]Competence!$B27,[1]Competence!$B$12:$B$100,1,FALSE)</f>
        <v>Methods and tools</v>
      </c>
      <c r="D897" s="13" t="str" cm="1">
        <f t="array" ref="D897">_xlfn.XLOOKUP(B897,[1]Baseline!$D$3:$AZ$3,_xlfn.XLOOKUP(C897,[1]Baseline!$B$4:$B$91,[1]Baseline!$D$4:$AZ$91))</f>
        <v>Practitioner</v>
      </c>
      <c r="E897" s="13" t="s">
        <v>375</v>
      </c>
      <c r="F897" s="13">
        <v>2</v>
      </c>
      <c r="G897" s="153">
        <v>3</v>
      </c>
      <c r="H897" s="16">
        <f t="shared" si="13"/>
        <v>1</v>
      </c>
      <c r="I897" s="13">
        <v>3</v>
      </c>
      <c r="J897" s="160"/>
    </row>
    <row r="898" spans="1:10">
      <c r="A898" s="13" t="s">
        <v>22</v>
      </c>
      <c r="B898" s="13" t="s">
        <v>81</v>
      </c>
      <c r="C898" s="13" t="str">
        <f>VLOOKUP([1]Competence!$B28,[1]Competence!$B$12:$B$100,1,FALSE)</f>
        <v>Release and deployment</v>
      </c>
      <c r="D898" s="13" t="str" cm="1">
        <f t="array" ref="D898">_xlfn.XLOOKUP(B898,[1]Baseline!$D$3:$AZ$3,_xlfn.XLOOKUP(C898,[1]Baseline!$B$4:$B$91,[1]Baseline!$D$4:$AZ$91))</f>
        <v>Practitioner</v>
      </c>
      <c r="E898" s="13" t="s">
        <v>376</v>
      </c>
      <c r="F898" s="13">
        <v>2</v>
      </c>
      <c r="G898" s="153">
        <v>3</v>
      </c>
      <c r="H898" s="16">
        <f t="shared" ref="H898:H961" si="14">I898-F898</f>
        <v>1</v>
      </c>
      <c r="I898" s="13">
        <v>3</v>
      </c>
      <c r="J898" s="160"/>
    </row>
    <row r="899" spans="1:10">
      <c r="A899" s="13" t="s">
        <v>22</v>
      </c>
      <c r="B899" s="13" t="s">
        <v>81</v>
      </c>
      <c r="C899" s="13" t="str">
        <f>VLOOKUP([1]Competence!$B29,[1]Competence!$B$12:$B$100,1,FALSE)</f>
        <v>Service acceptance</v>
      </c>
      <c r="D899" s="13" t="str" cm="1">
        <f t="array" ref="D899">_xlfn.XLOOKUP(B899,[1]Baseline!$D$3:$AZ$3,_xlfn.XLOOKUP(C899,[1]Baseline!$B$4:$B$91,[1]Baseline!$D$4:$AZ$91))</f>
        <v>Practitioner</v>
      </c>
      <c r="E899" s="13" t="s">
        <v>376</v>
      </c>
      <c r="F899" s="13">
        <v>3</v>
      </c>
      <c r="G899" s="153">
        <v>2</v>
      </c>
      <c r="H899" s="16">
        <f t="shared" si="14"/>
        <v>-1</v>
      </c>
      <c r="I899" s="13">
        <v>2</v>
      </c>
      <c r="J899" s="160"/>
    </row>
    <row r="900" spans="1:10">
      <c r="A900" s="13" t="s">
        <v>22</v>
      </c>
      <c r="B900" s="13" t="s">
        <v>81</v>
      </c>
      <c r="C900" s="13" t="str">
        <f>VLOOKUP([1]Competence!$B30,[1]Competence!$B$12:$B$100,1,FALSE)</f>
        <v>Stakeholder relationship management</v>
      </c>
      <c r="D900" s="13" t="str" cm="1">
        <f t="array" ref="D900">_xlfn.XLOOKUP(B900,[1]Baseline!$D$3:$AZ$3,_xlfn.XLOOKUP(C900,[1]Baseline!$B$4:$B$91,[1]Baseline!$D$4:$AZ$91))</f>
        <v>Working</v>
      </c>
      <c r="E900" s="13" t="s">
        <v>376</v>
      </c>
      <c r="F900" s="13">
        <v>3</v>
      </c>
      <c r="G900" s="153">
        <v>0</v>
      </c>
      <c r="H900" s="16">
        <f t="shared" si="14"/>
        <v>-3</v>
      </c>
      <c r="I900" s="13">
        <v>0</v>
      </c>
      <c r="J900" s="160"/>
    </row>
    <row r="901" spans="1:10">
      <c r="A901" s="13" t="s">
        <v>22</v>
      </c>
      <c r="B901" s="13" t="s">
        <v>81</v>
      </c>
      <c r="C901" s="13" t="str">
        <f>VLOOKUP([1]Competence!$B31,[1]Competence!$B$12:$B$100,1,FALSE)</f>
        <v>Storage management</v>
      </c>
      <c r="D901" s="13" t="str" cm="1">
        <f t="array" ref="D901">_xlfn.XLOOKUP(B901,[1]Baseline!$D$3:$AZ$3,_xlfn.XLOOKUP(C901,[1]Baseline!$B$4:$B$91,[1]Baseline!$D$4:$AZ$91))</f>
        <v>Awareness</v>
      </c>
      <c r="E901" s="13" t="s">
        <v>376</v>
      </c>
      <c r="F901" s="13">
        <v>2</v>
      </c>
      <c r="G901" s="153">
        <v>1</v>
      </c>
      <c r="H901" s="16">
        <f t="shared" si="14"/>
        <v>-1</v>
      </c>
      <c r="I901" s="13">
        <v>1</v>
      </c>
      <c r="J901" s="160"/>
    </row>
    <row r="902" spans="1:10">
      <c r="A902" s="13" t="s">
        <v>22</v>
      </c>
      <c r="B902" s="13" t="s">
        <v>81</v>
      </c>
      <c r="C902" s="13" t="str">
        <f>VLOOKUP([1]Competence!$B32,[1]Competence!$B$12:$B$100,1,FALSE)</f>
        <v>Digital Forensics</v>
      </c>
      <c r="D902" s="13" t="str" cm="1">
        <f t="array" ref="D902">_xlfn.XLOOKUP(B902,[1]Baseline!$D$3:$AZ$3,_xlfn.XLOOKUP(C902,[1]Baseline!$B$4:$B$91,[1]Baseline!$D$4:$AZ$91))</f>
        <v>Practitioner</v>
      </c>
      <c r="E902" s="13" t="s">
        <v>374</v>
      </c>
      <c r="F902" s="13">
        <v>3</v>
      </c>
      <c r="G902" s="153">
        <v>0</v>
      </c>
      <c r="H902" s="16">
        <f t="shared" si="14"/>
        <v>-3</v>
      </c>
      <c r="I902" s="13">
        <v>0</v>
      </c>
      <c r="J902" s="160"/>
    </row>
    <row r="903" spans="1:10">
      <c r="A903" s="13" t="s">
        <v>22</v>
      </c>
      <c r="B903" s="13" t="s">
        <v>81</v>
      </c>
      <c r="C903" s="13" t="str">
        <f>VLOOKUP([1]Competence!$B33,[1]Competence!$B$12:$B$100,1,FALSE)</f>
        <v>Penetration testing</v>
      </c>
      <c r="D903" s="13" t="str" cm="1">
        <f t="array" ref="D903">_xlfn.XLOOKUP(B903,[1]Baseline!$D$3:$AZ$3,_xlfn.XLOOKUP(C903,[1]Baseline!$B$4:$B$91,[1]Baseline!$D$4:$AZ$91))</f>
        <v>Working</v>
      </c>
      <c r="E903" s="13" t="s">
        <v>374</v>
      </c>
      <c r="F903" s="13">
        <v>3</v>
      </c>
      <c r="G903" s="153">
        <v>1</v>
      </c>
      <c r="H903" s="16">
        <f t="shared" si="14"/>
        <v>-2</v>
      </c>
      <c r="I903" s="13">
        <v>1</v>
      </c>
      <c r="J903" s="160"/>
    </row>
    <row r="904" spans="1:10">
      <c r="A904" s="13" t="s">
        <v>22</v>
      </c>
      <c r="B904" s="13" t="s">
        <v>81</v>
      </c>
      <c r="C904" s="13" t="str">
        <f>VLOOKUP([1]Competence!$B34,[1]Competence!$B$12:$B$100,1,FALSE)</f>
        <v>Security Operations</v>
      </c>
      <c r="D904" s="13" t="str" cm="1">
        <f t="array" ref="D904">_xlfn.XLOOKUP(B904,[1]Baseline!$D$3:$AZ$3,_xlfn.XLOOKUP(C904,[1]Baseline!$B$4:$B$91,[1]Baseline!$D$4:$AZ$91))</f>
        <v>Practitioner</v>
      </c>
      <c r="E904" s="13" t="s">
        <v>378</v>
      </c>
      <c r="F904" s="13">
        <v>1</v>
      </c>
      <c r="G904" s="153">
        <v>0</v>
      </c>
      <c r="H904" s="16">
        <f t="shared" si="14"/>
        <v>-1</v>
      </c>
      <c r="I904" s="13">
        <v>0</v>
      </c>
      <c r="J904" s="160"/>
    </row>
    <row r="905" spans="1:10">
      <c r="A905" s="13" t="s">
        <v>22</v>
      </c>
      <c r="B905" s="13" t="s">
        <v>81</v>
      </c>
      <c r="C905" s="13" t="str">
        <f>VLOOKUP([1]Competence!$B35,[1]Competence!$B$12:$B$100,1,FALSE)</f>
        <v>Threat Intelligence</v>
      </c>
      <c r="D905" s="13" t="str" cm="1">
        <f t="array" ref="D905">_xlfn.XLOOKUP(B905,[1]Baseline!$D$3:$AZ$3,_xlfn.XLOOKUP(C905,[1]Baseline!$B$4:$B$91,[1]Baseline!$D$4:$AZ$91))</f>
        <v>Working</v>
      </c>
      <c r="E905" s="13" t="s">
        <v>49</v>
      </c>
      <c r="F905" s="13">
        <v>1</v>
      </c>
      <c r="G905" s="153">
        <v>0</v>
      </c>
      <c r="H905" s="16">
        <f t="shared" si="14"/>
        <v>-1</v>
      </c>
      <c r="I905" s="13">
        <v>0</v>
      </c>
      <c r="J905" s="160"/>
    </row>
    <row r="906" spans="1:10">
      <c r="A906" s="13" t="s">
        <v>22</v>
      </c>
      <c r="B906" s="13" t="s">
        <v>81</v>
      </c>
      <c r="C906" s="13" t="str">
        <f>VLOOKUP([1]Competence!$B36,[1]Competence!$B$12:$B$100,1,FALSE)</f>
        <v>Vulnerability assessment</v>
      </c>
      <c r="D906" s="13" t="str" cm="1">
        <f t="array" ref="D906">_xlfn.XLOOKUP(B906,[1]Baseline!$D$3:$AZ$3,_xlfn.XLOOKUP(C906,[1]Baseline!$B$4:$B$91,[1]Baseline!$D$4:$AZ$91))</f>
        <v>Working</v>
      </c>
      <c r="E906" s="13" t="s">
        <v>375</v>
      </c>
      <c r="F906" s="13">
        <v>2</v>
      </c>
      <c r="G906" s="153">
        <v>0</v>
      </c>
      <c r="H906" s="16">
        <f t="shared" si="14"/>
        <v>-2</v>
      </c>
      <c r="I906" s="13">
        <v>0</v>
      </c>
      <c r="J906" s="160"/>
    </row>
    <row r="907" spans="1:10">
      <c r="A907" s="13" t="s">
        <v>22</v>
      </c>
      <c r="B907" s="13" t="s">
        <v>81</v>
      </c>
      <c r="C907" s="13" t="str">
        <f>VLOOKUP([1]Competence!$B37,[1]Competence!$B$12:$B$100,1,FALSE)</f>
        <v>Vulnerability Research</v>
      </c>
      <c r="D907" s="13" t="str" cm="1">
        <f t="array" ref="D907">_xlfn.XLOOKUP(B907,[1]Baseline!$D$3:$AZ$3,_xlfn.XLOOKUP(C907,[1]Baseline!$B$4:$B$91,[1]Baseline!$D$4:$AZ$91))</f>
        <v>No Knowledge</v>
      </c>
      <c r="E907" s="13" t="s">
        <v>375</v>
      </c>
      <c r="F907" s="13">
        <v>1</v>
      </c>
      <c r="G907" s="153">
        <v>0</v>
      </c>
      <c r="H907" s="16">
        <f t="shared" si="14"/>
        <v>-1</v>
      </c>
      <c r="I907" s="13">
        <v>0</v>
      </c>
      <c r="J907" s="160"/>
    </row>
    <row r="908" spans="1:10">
      <c r="A908" s="13" t="s">
        <v>22</v>
      </c>
      <c r="B908" s="13" t="s">
        <v>81</v>
      </c>
      <c r="C908" s="13" t="str">
        <f>VLOOKUP([1]Competence!$B38,[1]Competence!$B$12:$B$100,1,FALSE)</f>
        <v>Competency assessment</v>
      </c>
      <c r="D908" s="13" t="str" cm="1">
        <f t="array" ref="D908">_xlfn.XLOOKUP(B908,[1]Baseline!$D$3:$AZ$3,_xlfn.XLOOKUP(C908,[1]Baseline!$B$4:$B$91,[1]Baseline!$D$4:$AZ$91))</f>
        <v>Awareness</v>
      </c>
      <c r="E908" s="13" t="s">
        <v>375</v>
      </c>
      <c r="F908" s="13">
        <v>2</v>
      </c>
      <c r="G908" s="153">
        <v>0</v>
      </c>
      <c r="H908" s="16">
        <f t="shared" si="14"/>
        <v>-2</v>
      </c>
      <c r="I908" s="13">
        <v>0</v>
      </c>
      <c r="J908" s="160"/>
    </row>
    <row r="909" spans="1:10">
      <c r="A909" s="13" t="s">
        <v>22</v>
      </c>
      <c r="B909" s="13" t="s">
        <v>81</v>
      </c>
      <c r="C909" s="13" t="str">
        <f>VLOOKUP([1]Competence!$B39,[1]Competence!$B$12:$B$100,1,FALSE)</f>
        <v>Financial management</v>
      </c>
      <c r="D909" s="13" t="str" cm="1">
        <f t="array" ref="D909">_xlfn.XLOOKUP(B909,[1]Baseline!$D$3:$AZ$3,_xlfn.XLOOKUP(C909,[1]Baseline!$B$4:$B$91,[1]Baseline!$D$4:$AZ$91))</f>
        <v>No Knowledge</v>
      </c>
      <c r="E909" s="13" t="s">
        <v>376</v>
      </c>
      <c r="F909" s="13">
        <v>2</v>
      </c>
      <c r="G909" s="153">
        <v>0</v>
      </c>
      <c r="H909" s="16">
        <f t="shared" si="14"/>
        <v>-2</v>
      </c>
      <c r="I909" s="13">
        <v>0</v>
      </c>
      <c r="J909" s="160"/>
    </row>
    <row r="910" spans="1:10">
      <c r="A910" s="13" t="s">
        <v>22</v>
      </c>
      <c r="B910" s="13" t="s">
        <v>81</v>
      </c>
      <c r="C910" s="13" t="str">
        <f>VLOOKUP([1]Competence!$B40,[1]Competence!$B$12:$B$100,1,FALSE)</f>
        <v>Organisation design and implementation</v>
      </c>
      <c r="D910" s="13" t="str" cm="1">
        <f t="array" ref="D910">_xlfn.XLOOKUP(B910,[1]Baseline!$D$3:$AZ$3,_xlfn.XLOOKUP(C910,[1]Baseline!$B$4:$B$91,[1]Baseline!$D$4:$AZ$91))</f>
        <v>No Knowledge</v>
      </c>
      <c r="E910" s="13" t="s">
        <v>374</v>
      </c>
      <c r="F910" s="13">
        <v>2</v>
      </c>
      <c r="G910" s="153">
        <v>0</v>
      </c>
      <c r="H910" s="16">
        <f t="shared" si="14"/>
        <v>-2</v>
      </c>
      <c r="I910" s="13">
        <v>0</v>
      </c>
      <c r="J910" s="160"/>
    </row>
    <row r="911" spans="1:10">
      <c r="A911" s="13" t="s">
        <v>22</v>
      </c>
      <c r="B911" s="13" t="s">
        <v>81</v>
      </c>
      <c r="C911" s="13" t="str">
        <f>VLOOKUP([1]Competence!$B41,[1]Competence!$B$12:$B$100,1,FALSE)</f>
        <v>Organisational capability development</v>
      </c>
      <c r="D911" s="13" t="str" cm="1">
        <f t="array" ref="D911">_xlfn.XLOOKUP(B911,[1]Baseline!$D$3:$AZ$3,_xlfn.XLOOKUP(C911,[1]Baseline!$B$4:$B$91,[1]Baseline!$D$4:$AZ$91))</f>
        <v>No Knowledge</v>
      </c>
      <c r="E911" s="13" t="s">
        <v>374</v>
      </c>
      <c r="F911" s="13">
        <v>0</v>
      </c>
      <c r="G911" s="153">
        <v>0</v>
      </c>
      <c r="H911" s="16">
        <f t="shared" si="14"/>
        <v>0</v>
      </c>
      <c r="I911" s="13">
        <v>0</v>
      </c>
      <c r="J911" s="160"/>
    </row>
    <row r="912" spans="1:10">
      <c r="A912" s="13" t="s">
        <v>22</v>
      </c>
      <c r="B912" s="13" t="s">
        <v>81</v>
      </c>
      <c r="C912" s="13" t="str">
        <f>VLOOKUP([1]Competence!$B42,[1]Competence!$B$12:$B$100,1,FALSE)</f>
        <v>Organisational change management</v>
      </c>
      <c r="D912" s="13" t="str" cm="1">
        <f t="array" ref="D912">_xlfn.XLOOKUP(B912,[1]Baseline!$D$3:$AZ$3,_xlfn.XLOOKUP(C912,[1]Baseline!$B$4:$B$91,[1]Baseline!$D$4:$AZ$91))</f>
        <v>No Knowledge</v>
      </c>
      <c r="E912" s="13" t="s">
        <v>374</v>
      </c>
      <c r="F912" s="13">
        <v>2</v>
      </c>
      <c r="G912" s="153">
        <v>0</v>
      </c>
      <c r="H912" s="16">
        <f t="shared" si="14"/>
        <v>-2</v>
      </c>
      <c r="I912" s="13">
        <v>0</v>
      </c>
      <c r="J912" s="160"/>
    </row>
    <row r="913" spans="1:10">
      <c r="A913" s="13" t="s">
        <v>22</v>
      </c>
      <c r="B913" s="13" t="s">
        <v>81</v>
      </c>
      <c r="C913" s="13" t="str">
        <f>VLOOKUP([1]Competence!$B43,[1]Competence!$B$12:$B$100,1,FALSE)</f>
        <v>Performance Management</v>
      </c>
      <c r="D913" s="13" t="str" cm="1">
        <f t="array" ref="D913">_xlfn.XLOOKUP(B913,[1]Baseline!$D$3:$AZ$3,_xlfn.XLOOKUP(C913,[1]Baseline!$B$4:$B$91,[1]Baseline!$D$4:$AZ$91))</f>
        <v>Awareness</v>
      </c>
      <c r="E913" s="13" t="s">
        <v>374</v>
      </c>
      <c r="F913" s="13">
        <v>2</v>
      </c>
      <c r="G913" s="153">
        <v>0</v>
      </c>
      <c r="H913" s="16">
        <f t="shared" si="14"/>
        <v>-2</v>
      </c>
      <c r="I913" s="13">
        <v>0</v>
      </c>
      <c r="J913" s="160"/>
    </row>
    <row r="914" spans="1:10">
      <c r="A914" s="13" t="s">
        <v>22</v>
      </c>
      <c r="B914" s="13" t="s">
        <v>81</v>
      </c>
      <c r="C914" s="13" t="str">
        <f>VLOOKUP([1]Competence!$B44,[1]Competence!$B$12:$B$100,1,FALSE)</f>
        <v>Professional Development</v>
      </c>
      <c r="D914" s="13" t="str" cm="1">
        <f t="array" ref="D914">_xlfn.XLOOKUP(B914,[1]Baseline!$D$3:$AZ$3,_xlfn.XLOOKUP(C914,[1]Baseline!$B$4:$B$91,[1]Baseline!$D$4:$AZ$91))</f>
        <v>Working</v>
      </c>
      <c r="E914" s="13" t="s">
        <v>374</v>
      </c>
      <c r="F914" s="13">
        <v>3</v>
      </c>
      <c r="G914" s="153">
        <v>3</v>
      </c>
      <c r="H914" s="16">
        <f t="shared" si="14"/>
        <v>0</v>
      </c>
      <c r="I914" s="13">
        <v>3</v>
      </c>
      <c r="J914" s="160"/>
    </row>
    <row r="915" spans="1:10">
      <c r="A915" s="13" t="s">
        <v>22</v>
      </c>
      <c r="B915" s="13" t="s">
        <v>81</v>
      </c>
      <c r="C915" s="13" t="str">
        <f>VLOOKUP([1]Competence!$B45,[1]Competence!$B$12:$B$100,1,FALSE)</f>
        <v>Strategic Planning</v>
      </c>
      <c r="D915" s="13" t="str" cm="1">
        <f t="array" ref="D915">_xlfn.XLOOKUP(B915,[1]Baseline!$D$3:$AZ$3,_xlfn.XLOOKUP(C915,[1]Baseline!$B$4:$B$91,[1]Baseline!$D$4:$AZ$91))</f>
        <v>No Knowledge</v>
      </c>
      <c r="E915" s="13" t="s">
        <v>374</v>
      </c>
      <c r="F915" s="13">
        <v>3</v>
      </c>
      <c r="G915" s="153">
        <v>0</v>
      </c>
      <c r="H915" s="16">
        <f t="shared" si="14"/>
        <v>-3</v>
      </c>
      <c r="I915" s="13">
        <v>0</v>
      </c>
      <c r="J915" s="160"/>
    </row>
    <row r="916" spans="1:10">
      <c r="A916" s="13" t="s">
        <v>22</v>
      </c>
      <c r="B916" s="13" t="s">
        <v>81</v>
      </c>
      <c r="C916" s="13" t="str">
        <f>VLOOKUP([1]Competence!$B46,[1]Competence!$B$12:$B$100,1,FALSE)</f>
        <v>Workforce Planning</v>
      </c>
      <c r="D916" s="13" t="str" cm="1">
        <f t="array" ref="D916">_xlfn.XLOOKUP(B916,[1]Baseline!$D$3:$AZ$3,_xlfn.XLOOKUP(C916,[1]Baseline!$B$4:$B$91,[1]Baseline!$D$4:$AZ$91))</f>
        <v>No Knowledge</v>
      </c>
      <c r="E916" s="13" t="s">
        <v>374</v>
      </c>
      <c r="F916" s="13">
        <v>1</v>
      </c>
      <c r="G916" s="153">
        <v>0</v>
      </c>
      <c r="H916" s="16">
        <f t="shared" si="14"/>
        <v>-1</v>
      </c>
      <c r="I916" s="13">
        <v>0</v>
      </c>
      <c r="J916" s="160"/>
    </row>
    <row r="917" spans="1:10">
      <c r="A917" s="13" t="s">
        <v>22</v>
      </c>
      <c r="B917" s="13" t="s">
        <v>81</v>
      </c>
      <c r="C917" s="13" t="str">
        <f>VLOOKUP([1]Competence!$B47,[1]Competence!$B$12:$B$100,1,FALSE)</f>
        <v>Audit</v>
      </c>
      <c r="D917" s="13" t="str" cm="1">
        <f t="array" ref="D917">_xlfn.XLOOKUP(B917,[1]Baseline!$D$3:$AZ$3,_xlfn.XLOOKUP(C917,[1]Baseline!$B$4:$B$91,[1]Baseline!$D$4:$AZ$91))</f>
        <v>Working</v>
      </c>
      <c r="E917" s="13" t="s">
        <v>377</v>
      </c>
      <c r="F917" s="13">
        <v>0</v>
      </c>
      <c r="G917" s="153">
        <v>0</v>
      </c>
      <c r="H917" s="16">
        <f t="shared" si="14"/>
        <v>0</v>
      </c>
      <c r="I917" s="13">
        <v>0</v>
      </c>
      <c r="J917" s="160"/>
    </row>
    <row r="918" spans="1:10">
      <c r="A918" s="13" t="s">
        <v>22</v>
      </c>
      <c r="B918" s="13" t="s">
        <v>81</v>
      </c>
      <c r="C918" s="13" t="str">
        <f>VLOOKUP([1]Competence!$B48,[1]Competence!$B$12:$B$100,1,FALSE)</f>
        <v>Contract management</v>
      </c>
      <c r="D918" s="13" t="str" cm="1">
        <f t="array" ref="D918">_xlfn.XLOOKUP(B918,[1]Baseline!$D$3:$AZ$3,_xlfn.XLOOKUP(C918,[1]Baseline!$B$4:$B$91,[1]Baseline!$D$4:$AZ$91))</f>
        <v>Awareness</v>
      </c>
      <c r="E918" s="13" t="s">
        <v>378</v>
      </c>
      <c r="F918" s="13">
        <v>0</v>
      </c>
      <c r="G918" s="153">
        <v>0</v>
      </c>
      <c r="H918" s="16">
        <f t="shared" si="14"/>
        <v>0</v>
      </c>
      <c r="I918" s="13">
        <v>0</v>
      </c>
      <c r="J918" s="160"/>
    </row>
    <row r="919" spans="1:10">
      <c r="A919" s="13" t="s">
        <v>22</v>
      </c>
      <c r="B919" s="13" t="s">
        <v>81</v>
      </c>
      <c r="C919" s="13" t="str">
        <f>VLOOKUP([1]Competence!$B49,[1]Competence!$B$12:$B$100,1,FALSE)</f>
        <v>Feasibility assessment</v>
      </c>
      <c r="D919" s="13" t="str" cm="1">
        <f t="array" ref="D919">_xlfn.XLOOKUP(B919,[1]Baseline!$D$3:$AZ$3,_xlfn.XLOOKUP(C919,[1]Baseline!$B$4:$B$91,[1]Baseline!$D$4:$AZ$91))</f>
        <v>Working</v>
      </c>
      <c r="E919" s="13" t="s">
        <v>378</v>
      </c>
      <c r="F919" s="13">
        <v>0</v>
      </c>
      <c r="G919" s="153">
        <v>1</v>
      </c>
      <c r="H919" s="16">
        <f t="shared" si="14"/>
        <v>1</v>
      </c>
      <c r="I919" s="13">
        <v>1</v>
      </c>
      <c r="J919" s="160"/>
    </row>
    <row r="920" spans="1:10">
      <c r="A920" s="13" t="s">
        <v>22</v>
      </c>
      <c r="B920" s="13" t="s">
        <v>81</v>
      </c>
      <c r="C920" s="13" t="str">
        <f>VLOOKUP([1]Competence!$B50,[1]Competence!$B$12:$B$100,1,FALSE)</f>
        <v>Governance</v>
      </c>
      <c r="D920" s="13" t="str" cm="1">
        <f t="array" ref="D920">_xlfn.XLOOKUP(B920,[1]Baseline!$D$3:$AZ$3,_xlfn.XLOOKUP(C920,[1]Baseline!$B$4:$B$91,[1]Baseline!$D$4:$AZ$91))</f>
        <v>Working</v>
      </c>
      <c r="E920" s="13" t="s">
        <v>378</v>
      </c>
      <c r="F920" s="13">
        <v>0</v>
      </c>
      <c r="G920" s="153">
        <v>0</v>
      </c>
      <c r="H920" s="16">
        <f t="shared" si="14"/>
        <v>0</v>
      </c>
      <c r="I920" s="13">
        <v>0</v>
      </c>
      <c r="J920" s="160"/>
    </row>
    <row r="921" spans="1:10">
      <c r="A921" s="13" t="s">
        <v>22</v>
      </c>
      <c r="B921" s="13" t="s">
        <v>81</v>
      </c>
      <c r="C921" s="13" t="str">
        <f>VLOOKUP([1]Competence!$B51,[1]Competence!$B$12:$B$100,1,FALSE)</f>
        <v>Risk management</v>
      </c>
      <c r="D921" s="13" t="str" cm="1">
        <f t="array" ref="D921">_xlfn.XLOOKUP(B921,[1]Baseline!$D$3:$AZ$3,_xlfn.XLOOKUP(C921,[1]Baseline!$B$4:$B$91,[1]Baseline!$D$4:$AZ$91))</f>
        <v>Working</v>
      </c>
      <c r="E921" s="13" t="s">
        <v>378</v>
      </c>
      <c r="F921" s="13">
        <v>0</v>
      </c>
      <c r="G921" s="153">
        <v>2</v>
      </c>
      <c r="H921" s="16">
        <f t="shared" si="14"/>
        <v>2</v>
      </c>
      <c r="I921" s="13">
        <v>2</v>
      </c>
      <c r="J921" s="160"/>
    </row>
    <row r="922" spans="1:10">
      <c r="A922" s="13" t="s">
        <v>22</v>
      </c>
      <c r="B922" s="13" t="s">
        <v>81</v>
      </c>
      <c r="C922" s="13" t="str">
        <f>VLOOKUP([1]Competence!$B52,[1]Competence!$B$12:$B$100,1,FALSE)</f>
        <v>Sourcing</v>
      </c>
      <c r="D922" s="13" t="str" cm="1">
        <f t="array" ref="D922">_xlfn.XLOOKUP(B922,[1]Baseline!$D$3:$AZ$3,_xlfn.XLOOKUP(C922,[1]Baseline!$B$4:$B$91,[1]Baseline!$D$4:$AZ$91))</f>
        <v>Working</v>
      </c>
      <c r="E922" s="13" t="s">
        <v>378</v>
      </c>
      <c r="F922" s="13">
        <v>0</v>
      </c>
      <c r="G922" s="153">
        <v>0</v>
      </c>
      <c r="H922" s="16">
        <f t="shared" si="14"/>
        <v>0</v>
      </c>
      <c r="I922" s="13">
        <v>0</v>
      </c>
      <c r="J922" s="160"/>
    </row>
    <row r="923" spans="1:10">
      <c r="A923" s="13" t="s">
        <v>22</v>
      </c>
      <c r="B923" s="13" t="s">
        <v>81</v>
      </c>
      <c r="C923" s="13" t="str">
        <f>VLOOKUP([1]Competence!$B53,[1]Competence!$B$12:$B$100,1,FALSE)</f>
        <v>Supplier management</v>
      </c>
      <c r="D923" s="13" t="str" cm="1">
        <f t="array" ref="D923">_xlfn.XLOOKUP(B923,[1]Baseline!$D$3:$AZ$3,_xlfn.XLOOKUP(C923,[1]Baseline!$B$4:$B$91,[1]Baseline!$D$4:$AZ$91))</f>
        <v>Working</v>
      </c>
      <c r="E923" s="13" t="s">
        <v>378</v>
      </c>
      <c r="F923" s="13">
        <v>0</v>
      </c>
      <c r="G923" s="153">
        <v>0</v>
      </c>
      <c r="H923" s="16">
        <f t="shared" si="14"/>
        <v>0</v>
      </c>
      <c r="I923" s="13">
        <v>0</v>
      </c>
      <c r="J923" s="160"/>
    </row>
    <row r="924" spans="1:10">
      <c r="A924" s="13" t="s">
        <v>22</v>
      </c>
      <c r="B924" s="13" t="s">
        <v>81</v>
      </c>
      <c r="C924" s="13" t="str">
        <f>VLOOKUP([1]Competence!$B54,[1]Competence!$B$12:$B$100,1,FALSE)</f>
        <v>Sustainability</v>
      </c>
      <c r="D924" s="13" t="str" cm="1">
        <f t="array" ref="D924">_xlfn.XLOOKUP(B924,[1]Baseline!$D$3:$AZ$3,_xlfn.XLOOKUP(C924,[1]Baseline!$B$4:$B$91,[1]Baseline!$D$4:$AZ$91))</f>
        <v>Awareness</v>
      </c>
      <c r="E924" s="13" t="s">
        <v>378</v>
      </c>
      <c r="F924" s="13">
        <v>0</v>
      </c>
      <c r="G924" s="153">
        <v>0</v>
      </c>
      <c r="H924" s="16">
        <f t="shared" si="14"/>
        <v>0</v>
      </c>
      <c r="I924" s="13">
        <v>0</v>
      </c>
      <c r="J924" s="160"/>
    </row>
    <row r="925" spans="1:10">
      <c r="A925" s="13" t="s">
        <v>22</v>
      </c>
      <c r="B925" s="13" t="s">
        <v>81</v>
      </c>
      <c r="C925" s="13" t="str">
        <f>VLOOKUP([1]Competence!$B55,[1]Competence!$B$12:$B$100,1,FALSE)</f>
        <v>Acceptance testing</v>
      </c>
      <c r="D925" s="13" t="str" cm="1">
        <f t="array" ref="D925">_xlfn.XLOOKUP(B925,[1]Baseline!$D$3:$AZ$3,_xlfn.XLOOKUP(C925,[1]Baseline!$B$4:$B$91,[1]Baseline!$D$4:$AZ$91))</f>
        <v>Working</v>
      </c>
      <c r="E925" s="13" t="s">
        <v>49</v>
      </c>
      <c r="F925" s="13">
        <v>0</v>
      </c>
      <c r="G925" s="153">
        <v>3</v>
      </c>
      <c r="H925" s="16">
        <f t="shared" si="14"/>
        <v>3</v>
      </c>
      <c r="I925" s="13">
        <v>3</v>
      </c>
      <c r="J925" s="160"/>
    </row>
    <row r="926" spans="1:10">
      <c r="A926" s="13" t="s">
        <v>22</v>
      </c>
      <c r="B926" s="13" t="s">
        <v>81</v>
      </c>
      <c r="C926" s="13" t="str">
        <f>VLOOKUP([1]Competence!$B56,[1]Competence!$B$12:$B$100,1,FALSE)</f>
        <v>Application support</v>
      </c>
      <c r="D926" s="13" t="str" cm="1">
        <f t="array" ref="D926">_xlfn.XLOOKUP(B926,[1]Baseline!$D$3:$AZ$3,_xlfn.XLOOKUP(C926,[1]Baseline!$B$4:$B$91,[1]Baseline!$D$4:$AZ$91))</f>
        <v>Practitioner</v>
      </c>
      <c r="E926" s="13" t="s">
        <v>49</v>
      </c>
      <c r="F926" s="13">
        <v>2</v>
      </c>
      <c r="G926" s="153">
        <v>3</v>
      </c>
      <c r="H926" s="16">
        <f t="shared" si="14"/>
        <v>1</v>
      </c>
      <c r="I926" s="13">
        <v>3</v>
      </c>
      <c r="J926" s="160"/>
    </row>
    <row r="927" spans="1:10">
      <c r="A927" s="13" t="s">
        <v>22</v>
      </c>
      <c r="B927" s="13" t="s">
        <v>81</v>
      </c>
      <c r="C927" s="13" t="str">
        <f>VLOOKUP([1]Competence!$B57,[1]Competence!$B$12:$B$100,1,FALSE)</f>
        <v>Data Engineering</v>
      </c>
      <c r="D927" s="13" t="str" cm="1">
        <f t="array" ref="D927">_xlfn.XLOOKUP(B927,[1]Baseline!$D$3:$AZ$3,_xlfn.XLOOKUP(C927,[1]Baseline!$B$4:$B$91,[1]Baseline!$D$4:$AZ$91))</f>
        <v>Awareness</v>
      </c>
      <c r="E927" s="13" t="s">
        <v>375</v>
      </c>
      <c r="F927" s="13">
        <v>3</v>
      </c>
      <c r="G927" s="153">
        <v>1</v>
      </c>
      <c r="H927" s="16">
        <f t="shared" si="14"/>
        <v>-2</v>
      </c>
      <c r="I927" s="13">
        <v>1</v>
      </c>
      <c r="J927" s="160"/>
    </row>
    <row r="928" spans="1:10">
      <c r="A928" s="13" t="s">
        <v>22</v>
      </c>
      <c r="B928" s="13" t="s">
        <v>81</v>
      </c>
      <c r="C928" s="13" t="str">
        <f>VLOOKUP([1]Competence!$B58,[1]Competence!$B$12:$B$100,1,FALSE)</f>
        <v>Data Management</v>
      </c>
      <c r="D928" s="13" t="str" cm="1">
        <f t="array" ref="D928">_xlfn.XLOOKUP(B928,[1]Baseline!$D$3:$AZ$3,_xlfn.XLOOKUP(C928,[1]Baseline!$B$4:$B$91,[1]Baseline!$D$4:$AZ$91))</f>
        <v>No Knowledge</v>
      </c>
      <c r="E928" s="13" t="s">
        <v>375</v>
      </c>
      <c r="F928" s="13">
        <v>2</v>
      </c>
      <c r="G928" s="153">
        <v>3</v>
      </c>
      <c r="H928" s="16">
        <f t="shared" si="14"/>
        <v>1</v>
      </c>
      <c r="I928" s="13">
        <v>3</v>
      </c>
      <c r="J928" s="160"/>
    </row>
    <row r="929" spans="1:10">
      <c r="A929" s="13" t="s">
        <v>22</v>
      </c>
      <c r="B929" s="13" t="s">
        <v>81</v>
      </c>
      <c r="C929" s="13" t="str">
        <f>VLOOKUP([1]Competence!$B59,[1]Competence!$B$12:$B$100,1,FALSE)</f>
        <v>Data Modelling and Design</v>
      </c>
      <c r="D929" s="13" t="str" cm="1">
        <f t="array" ref="D929">_xlfn.XLOOKUP(B929,[1]Baseline!$D$3:$AZ$3,_xlfn.XLOOKUP(C929,[1]Baseline!$B$4:$B$91,[1]Baseline!$D$4:$AZ$91))</f>
        <v>No Knowledge</v>
      </c>
      <c r="E929" s="13" t="s">
        <v>375</v>
      </c>
      <c r="F929" s="13">
        <v>0</v>
      </c>
      <c r="G929" s="153">
        <v>3</v>
      </c>
      <c r="H929" s="16">
        <f t="shared" si="14"/>
        <v>3</v>
      </c>
      <c r="I929" s="13">
        <v>3</v>
      </c>
      <c r="J929" s="160"/>
    </row>
    <row r="930" spans="1:10">
      <c r="A930" s="13" t="s">
        <v>22</v>
      </c>
      <c r="B930" s="13" t="s">
        <v>81</v>
      </c>
      <c r="C930" s="13" t="str">
        <f>VLOOKUP([1]Competence!$B60,[1]Competence!$B$12:$B$100,1,FALSE)</f>
        <v>Data science</v>
      </c>
      <c r="D930" s="13" t="str" cm="1">
        <f t="array" ref="D930">_xlfn.XLOOKUP(B930,[1]Baseline!$D$3:$AZ$3,_xlfn.XLOOKUP(C930,[1]Baseline!$B$4:$B$91,[1]Baseline!$D$4:$AZ$91))</f>
        <v>No Knowledge</v>
      </c>
      <c r="E930" s="13" t="s">
        <v>375</v>
      </c>
      <c r="F930" s="13">
        <v>0</v>
      </c>
      <c r="G930" s="153">
        <v>2</v>
      </c>
      <c r="H930" s="16">
        <f t="shared" si="14"/>
        <v>2</v>
      </c>
      <c r="I930" s="13">
        <v>2</v>
      </c>
      <c r="J930" s="160"/>
    </row>
    <row r="931" spans="1:10">
      <c r="A931" s="13" t="s">
        <v>22</v>
      </c>
      <c r="B931" s="13" t="s">
        <v>81</v>
      </c>
      <c r="C931" s="13" t="str">
        <f>VLOOKUP([1]Competence!$B61,[1]Competence!$B$12:$B$100,1,FALSE)</f>
        <v>Data visualisation</v>
      </c>
      <c r="D931" s="13" t="str" cm="1">
        <f t="array" ref="D931">_xlfn.XLOOKUP(B931,[1]Baseline!$D$3:$AZ$3,_xlfn.XLOOKUP(C931,[1]Baseline!$B$4:$B$91,[1]Baseline!$D$4:$AZ$91))</f>
        <v>No Knowledge</v>
      </c>
      <c r="E931" s="13" t="s">
        <v>375</v>
      </c>
      <c r="F931" s="13">
        <v>0</v>
      </c>
      <c r="G931" s="153">
        <v>2</v>
      </c>
      <c r="H931" s="16">
        <f t="shared" si="14"/>
        <v>2</v>
      </c>
      <c r="I931" s="13">
        <v>2</v>
      </c>
      <c r="J931" s="160"/>
    </row>
    <row r="932" spans="1:10">
      <c r="A932" s="13" t="s">
        <v>22</v>
      </c>
      <c r="B932" s="13" t="s">
        <v>81</v>
      </c>
      <c r="C932" s="13" t="str">
        <f>VLOOKUP([1]Competence!$B62,[1]Competence!$B$12:$B$100,1,FALSE)</f>
        <v>Database Administration</v>
      </c>
      <c r="D932" s="13" t="str" cm="1">
        <f t="array" ref="D932">_xlfn.XLOOKUP(B932,[1]Baseline!$D$3:$AZ$3,_xlfn.XLOOKUP(C932,[1]Baseline!$B$4:$B$91,[1]Baseline!$D$4:$AZ$91))</f>
        <v>Working</v>
      </c>
      <c r="E932" s="13" t="s">
        <v>375</v>
      </c>
      <c r="F932" s="13">
        <v>0</v>
      </c>
      <c r="G932" s="153">
        <v>2</v>
      </c>
      <c r="H932" s="16">
        <f t="shared" si="14"/>
        <v>2</v>
      </c>
      <c r="I932" s="13">
        <v>2</v>
      </c>
      <c r="J932" s="160"/>
    </row>
    <row r="933" spans="1:10">
      <c r="A933" s="13" t="s">
        <v>22</v>
      </c>
      <c r="B933" s="13" t="s">
        <v>81</v>
      </c>
      <c r="C933" s="13" t="str">
        <f>VLOOKUP([1]Competence!$B63,[1]Competence!$B$12:$B$100,1,FALSE)</f>
        <v>Database Design</v>
      </c>
      <c r="D933" s="13" t="str" cm="1">
        <f t="array" ref="D933">_xlfn.XLOOKUP(B933,[1]Baseline!$D$3:$AZ$3,_xlfn.XLOOKUP(C933,[1]Baseline!$B$4:$B$91,[1]Baseline!$D$4:$AZ$91))</f>
        <v>Working</v>
      </c>
      <c r="E933" s="13" t="s">
        <v>375</v>
      </c>
      <c r="F933" s="13">
        <v>0</v>
      </c>
      <c r="G933" s="153">
        <v>2</v>
      </c>
      <c r="H933" s="16">
        <f t="shared" si="14"/>
        <v>2</v>
      </c>
      <c r="I933" s="13">
        <v>2</v>
      </c>
      <c r="J933" s="160"/>
    </row>
    <row r="934" spans="1:10">
      <c r="A934" s="13" t="s">
        <v>22</v>
      </c>
      <c r="B934" s="13" t="s">
        <v>81</v>
      </c>
      <c r="C934" s="13" t="str">
        <f>VLOOKUP([1]Competence!$B64,[1]Competence!$B$12:$B$100,1,FALSE)</f>
        <v>Hardware design</v>
      </c>
      <c r="D934" s="13" t="str" cm="1">
        <f t="array" ref="D934">_xlfn.XLOOKUP(B934,[1]Baseline!$D$3:$AZ$3,_xlfn.XLOOKUP(C934,[1]Baseline!$B$4:$B$91,[1]Baseline!$D$4:$AZ$91))</f>
        <v>No Knowledge</v>
      </c>
      <c r="E934" s="13" t="s">
        <v>375</v>
      </c>
      <c r="F934" s="13">
        <v>1</v>
      </c>
      <c r="G934" s="153">
        <v>1</v>
      </c>
      <c r="H934" s="16">
        <f t="shared" si="14"/>
        <v>0</v>
      </c>
      <c r="I934" s="13">
        <v>1</v>
      </c>
      <c r="J934" s="160"/>
    </row>
    <row r="935" spans="1:10">
      <c r="A935" s="13" t="s">
        <v>22</v>
      </c>
      <c r="B935" s="13" t="s">
        <v>81</v>
      </c>
      <c r="C935" s="13" t="str">
        <f>VLOOKUP([1]Competence!$B65,[1]Competence!$B$12:$B$100,1,FALSE)</f>
        <v>High Performance Computing</v>
      </c>
      <c r="D935" s="13" t="str" cm="1">
        <f t="array" ref="D935">_xlfn.XLOOKUP(B935,[1]Baseline!$D$3:$AZ$3,_xlfn.XLOOKUP(C935,[1]Baseline!$B$4:$B$91,[1]Baseline!$D$4:$AZ$91))</f>
        <v>No Knowledge</v>
      </c>
      <c r="E935" s="13" t="s">
        <v>375</v>
      </c>
      <c r="F935" s="13">
        <v>0</v>
      </c>
      <c r="G935" s="153">
        <v>1</v>
      </c>
      <c r="H935" s="16">
        <f t="shared" si="14"/>
        <v>1</v>
      </c>
      <c r="I935" s="13">
        <v>1</v>
      </c>
      <c r="J935" s="160"/>
    </row>
    <row r="936" spans="1:10">
      <c r="A936" s="13" t="s">
        <v>22</v>
      </c>
      <c r="B936" s="13" t="s">
        <v>81</v>
      </c>
      <c r="C936" s="13" t="str">
        <f>VLOOKUP([1]Competence!$B66,[1]Competence!$B$12:$B$100,1,FALSE)</f>
        <v>Research Computing</v>
      </c>
      <c r="D936" s="13" t="str" cm="1">
        <f t="array" ref="D936">_xlfn.XLOOKUP(B936,[1]Baseline!$D$3:$AZ$3,_xlfn.XLOOKUP(C936,[1]Baseline!$B$4:$B$91,[1]Baseline!$D$4:$AZ$91))</f>
        <v>Awareness</v>
      </c>
      <c r="E936" s="13" t="s">
        <v>375</v>
      </c>
      <c r="F936" s="13">
        <v>0</v>
      </c>
      <c r="G936" s="153">
        <v>0</v>
      </c>
      <c r="H936" s="16">
        <f t="shared" si="14"/>
        <v>0</v>
      </c>
      <c r="I936" s="13">
        <v>0</v>
      </c>
      <c r="J936" s="160"/>
    </row>
    <row r="937" spans="1:10">
      <c r="A937" s="13" t="s">
        <v>22</v>
      </c>
      <c r="B937" s="13" t="s">
        <v>81</v>
      </c>
      <c r="C937" s="13" t="str">
        <f>VLOOKUP([1]Competence!$B67,[1]Competence!$B$12:$B$100,1,FALSE)</f>
        <v>Information assurance</v>
      </c>
      <c r="D937" s="13" t="str" cm="1">
        <f t="array" ref="D937">_xlfn.XLOOKUP(B937,[1]Baseline!$D$3:$AZ$3,_xlfn.XLOOKUP(C937,[1]Baseline!$B$4:$B$91,[1]Baseline!$D$4:$AZ$91))</f>
        <v>Practitioner</v>
      </c>
      <c r="E937" s="13" t="s">
        <v>373</v>
      </c>
      <c r="F937" s="13">
        <v>0</v>
      </c>
      <c r="G937" s="153">
        <v>2</v>
      </c>
      <c r="H937" s="16">
        <f t="shared" si="14"/>
        <v>2</v>
      </c>
      <c r="I937" s="13">
        <v>2</v>
      </c>
      <c r="J937" s="160"/>
    </row>
    <row r="938" spans="1:10">
      <c r="A938" s="13" t="s">
        <v>22</v>
      </c>
      <c r="B938" s="13" t="s">
        <v>81</v>
      </c>
      <c r="C938" s="13" t="str">
        <f>VLOOKUP([1]Competence!$B68,[1]Competence!$B$12:$B$100,1,FALSE)</f>
        <v>Information management</v>
      </c>
      <c r="D938" s="13" t="str" cm="1">
        <f t="array" ref="D938">_xlfn.XLOOKUP(B938,[1]Baseline!$D$3:$AZ$3,_xlfn.XLOOKUP(C938,[1]Baseline!$B$4:$B$91,[1]Baseline!$D$4:$AZ$91))</f>
        <v>Practitioner</v>
      </c>
      <c r="E938" s="13" t="s">
        <v>373</v>
      </c>
      <c r="F938" s="13">
        <v>0</v>
      </c>
      <c r="G938" s="153">
        <v>2</v>
      </c>
      <c r="H938" s="16">
        <f t="shared" si="14"/>
        <v>2</v>
      </c>
      <c r="I938" s="13">
        <v>2</v>
      </c>
      <c r="J938" s="160"/>
    </row>
    <row r="939" spans="1:10">
      <c r="A939" s="13" t="s">
        <v>22</v>
      </c>
      <c r="B939" s="13" t="s">
        <v>81</v>
      </c>
      <c r="C939" s="13" t="str">
        <f>VLOOKUP([1]Competence!$B69,[1]Competence!$B$12:$B$100,1,FALSE)</f>
        <v>Infrastructure</v>
      </c>
      <c r="D939" s="13" t="str" cm="1">
        <f t="array" ref="D939">_xlfn.XLOOKUP(B939,[1]Baseline!$D$3:$AZ$3,_xlfn.XLOOKUP(C939,[1]Baseline!$B$4:$B$91,[1]Baseline!$D$4:$AZ$91))</f>
        <v>Working</v>
      </c>
      <c r="E939" s="13" t="s">
        <v>373</v>
      </c>
      <c r="F939" s="13">
        <v>0</v>
      </c>
      <c r="G939" s="153">
        <v>1</v>
      </c>
      <c r="H939" s="16">
        <f t="shared" si="14"/>
        <v>1</v>
      </c>
      <c r="I939" s="13">
        <v>1</v>
      </c>
      <c r="J939" s="160"/>
    </row>
    <row r="940" spans="1:10">
      <c r="A940" s="13" t="s">
        <v>22</v>
      </c>
      <c r="B940" s="13" t="s">
        <v>81</v>
      </c>
      <c r="C940" s="13" t="str">
        <f>VLOOKUP([1]Competence!$B70,[1]Competence!$B$12:$B$100,1,FALSE)</f>
        <v>Network design</v>
      </c>
      <c r="D940" s="13" t="str" cm="1">
        <f t="array" ref="D940">_xlfn.XLOOKUP(B940,[1]Baseline!$D$3:$AZ$3,_xlfn.XLOOKUP(C940,[1]Baseline!$B$4:$B$91,[1]Baseline!$D$4:$AZ$91))</f>
        <v>Awareness</v>
      </c>
      <c r="E940" s="13" t="s">
        <v>373</v>
      </c>
      <c r="F940" s="13">
        <v>0</v>
      </c>
      <c r="G940" s="153">
        <v>0</v>
      </c>
      <c r="H940" s="16">
        <f t="shared" si="14"/>
        <v>0</v>
      </c>
      <c r="I940" s="13">
        <v>0</v>
      </c>
      <c r="J940" s="160"/>
    </row>
    <row r="941" spans="1:10">
      <c r="A941" s="13" t="s">
        <v>22</v>
      </c>
      <c r="B941" s="13" t="s">
        <v>81</v>
      </c>
      <c r="C941" s="13" t="str">
        <f>VLOOKUP([1]Competence!$B71,[1]Competence!$B$12:$B$100,1,FALSE)</f>
        <v>Network Analytics</v>
      </c>
      <c r="D941" s="13" t="str" cm="1">
        <f t="array" ref="D941">_xlfn.XLOOKUP(B941,[1]Baseline!$D$3:$AZ$3,_xlfn.XLOOKUP(C941,[1]Baseline!$B$4:$B$91,[1]Baseline!$D$4:$AZ$91))</f>
        <v>No Knowledge</v>
      </c>
      <c r="E941" s="13" t="s">
        <v>373</v>
      </c>
      <c r="F941" s="13">
        <v>0</v>
      </c>
      <c r="G941" s="153">
        <v>0</v>
      </c>
      <c r="H941" s="16">
        <f t="shared" si="14"/>
        <v>0</v>
      </c>
      <c r="I941" s="13">
        <v>0</v>
      </c>
      <c r="J941" s="160"/>
    </row>
    <row r="942" spans="1:10">
      <c r="A942" s="13" t="s">
        <v>22</v>
      </c>
      <c r="B942" s="13" t="s">
        <v>81</v>
      </c>
      <c r="C942" s="13" t="str">
        <f>VLOOKUP([1]Competence!$B72,[1]Competence!$B$12:$B$100,1,FALSE)</f>
        <v>Network support</v>
      </c>
      <c r="D942" s="13" t="str" cm="1">
        <f t="array" ref="D942">_xlfn.XLOOKUP(B942,[1]Baseline!$D$3:$AZ$3,_xlfn.XLOOKUP(C942,[1]Baseline!$B$4:$B$91,[1]Baseline!$D$4:$AZ$91))</f>
        <v>No Knowledge</v>
      </c>
      <c r="E942" s="13" t="s">
        <v>373</v>
      </c>
      <c r="F942" s="13">
        <v>0</v>
      </c>
      <c r="G942" s="153">
        <v>0</v>
      </c>
      <c r="H942" s="16">
        <f t="shared" si="14"/>
        <v>0</v>
      </c>
      <c r="I942" s="13">
        <v>0</v>
      </c>
      <c r="J942" s="160"/>
    </row>
    <row r="943" spans="1:10">
      <c r="A943" s="13" t="s">
        <v>22</v>
      </c>
      <c r="B943" s="13" t="s">
        <v>81</v>
      </c>
      <c r="C943" s="13" t="str">
        <f>VLOOKUP([1]Competence!$B73,[1]Competence!$B$12:$B$100,1,FALSE)</f>
        <v>Programming/software development</v>
      </c>
      <c r="D943" s="13" t="str" cm="1">
        <f t="array" ref="D943">_xlfn.XLOOKUP(B943,[1]Baseline!$D$3:$AZ$3,_xlfn.XLOOKUP(C943,[1]Baseline!$B$4:$B$91,[1]Baseline!$D$4:$AZ$91))</f>
        <v>Practitioner</v>
      </c>
      <c r="E943" s="13" t="s">
        <v>373</v>
      </c>
      <c r="F943" s="13">
        <v>0</v>
      </c>
      <c r="G943" s="153">
        <v>3</v>
      </c>
      <c r="H943" s="16">
        <f t="shared" si="14"/>
        <v>3</v>
      </c>
      <c r="I943" s="13">
        <v>3</v>
      </c>
      <c r="J943" s="160"/>
    </row>
    <row r="944" spans="1:10">
      <c r="A944" s="13" t="s">
        <v>22</v>
      </c>
      <c r="B944" s="13" t="s">
        <v>81</v>
      </c>
      <c r="C944" s="13" t="str">
        <f>VLOOKUP([1]Competence!$B74,[1]Competence!$B$12:$B$100,1,FALSE)</f>
        <v>Real-time/embedded systems development</v>
      </c>
      <c r="D944" s="13" t="str" cm="1">
        <f t="array" ref="D944">_xlfn.XLOOKUP(B944,[1]Baseline!$D$3:$AZ$3,_xlfn.XLOOKUP(C944,[1]Baseline!$B$4:$B$91,[1]Baseline!$D$4:$AZ$91))</f>
        <v>Awareness</v>
      </c>
      <c r="E944" s="13" t="s">
        <v>376</v>
      </c>
      <c r="F944" s="13">
        <v>2</v>
      </c>
      <c r="G944" s="153">
        <v>0</v>
      </c>
      <c r="H944" s="16">
        <f t="shared" si="14"/>
        <v>-2</v>
      </c>
      <c r="I944" s="13">
        <v>0</v>
      </c>
      <c r="J944" s="160"/>
    </row>
    <row r="945" spans="1:10">
      <c r="A945" s="13" t="s">
        <v>22</v>
      </c>
      <c r="B945" s="13" t="s">
        <v>81</v>
      </c>
      <c r="C945" s="13" t="str">
        <f>VLOOKUP([1]Competence!$B75,[1]Competence!$B$12:$B$100,1,FALSE)</f>
        <v>Requirements definition and management</v>
      </c>
      <c r="D945" s="13" t="str" cm="1">
        <f t="array" ref="D945">_xlfn.XLOOKUP(B945,[1]Baseline!$D$3:$AZ$3,_xlfn.XLOOKUP(C945,[1]Baseline!$B$4:$B$91,[1]Baseline!$D$4:$AZ$91))</f>
        <v>Practitioner</v>
      </c>
      <c r="E945" s="13" t="s">
        <v>49</v>
      </c>
      <c r="F945" s="13">
        <v>0</v>
      </c>
      <c r="G945" s="153">
        <v>3</v>
      </c>
      <c r="H945" s="16">
        <f t="shared" si="14"/>
        <v>3</v>
      </c>
      <c r="I945" s="13">
        <v>3</v>
      </c>
      <c r="J945" s="160"/>
    </row>
    <row r="946" spans="1:10">
      <c r="A946" s="13" t="s">
        <v>22</v>
      </c>
      <c r="B946" s="13" t="s">
        <v>81</v>
      </c>
      <c r="C946" s="13" t="str">
        <f>VLOOKUP([1]Competence!$B76,[1]Competence!$B$12:$B$100,1,FALSE)</f>
        <v>Software configuration</v>
      </c>
      <c r="D946" s="13" t="str" cm="1">
        <f t="array" ref="D946">_xlfn.XLOOKUP(B946,[1]Baseline!$D$3:$AZ$3,_xlfn.XLOOKUP(C946,[1]Baseline!$B$4:$B$91,[1]Baseline!$D$4:$AZ$91))</f>
        <v>Practitioner</v>
      </c>
      <c r="E946" s="13" t="s">
        <v>375</v>
      </c>
      <c r="F946" s="13">
        <v>2</v>
      </c>
      <c r="G946" s="153">
        <v>3</v>
      </c>
      <c r="H946" s="16">
        <f t="shared" si="14"/>
        <v>1</v>
      </c>
      <c r="I946" s="13">
        <v>3</v>
      </c>
      <c r="J946" s="160"/>
    </row>
    <row r="947" spans="1:10">
      <c r="A947" s="13" t="s">
        <v>22</v>
      </c>
      <c r="B947" s="13" t="s">
        <v>81</v>
      </c>
      <c r="C947" s="13" t="str">
        <f>VLOOKUP([1]Competence!$B77,[1]Competence!$B$12:$B$100,1,FALSE)</f>
        <v>Software design</v>
      </c>
      <c r="D947" s="13" t="str" cm="1">
        <f t="array" ref="D947">_xlfn.XLOOKUP(B947,[1]Baseline!$D$3:$AZ$3,_xlfn.XLOOKUP(C947,[1]Baseline!$B$4:$B$91,[1]Baseline!$D$4:$AZ$91))</f>
        <v>Practitioner</v>
      </c>
      <c r="E947" s="13" t="s">
        <v>375</v>
      </c>
      <c r="F947" s="13">
        <v>0</v>
      </c>
      <c r="G947" s="153">
        <v>3</v>
      </c>
      <c r="H947" s="16">
        <f t="shared" si="14"/>
        <v>3</v>
      </c>
      <c r="I947" s="13">
        <v>3</v>
      </c>
      <c r="J947" s="160"/>
    </row>
    <row r="948" spans="1:10">
      <c r="A948" s="13" t="s">
        <v>22</v>
      </c>
      <c r="B948" s="13" t="s">
        <v>81</v>
      </c>
      <c r="C948" s="13" t="str">
        <f>VLOOKUP([1]Competence!$B78,[1]Competence!$B$12:$B$100,1,FALSE)</f>
        <v>Solution architecture</v>
      </c>
      <c r="D948" s="13" t="str" cm="1">
        <f t="array" ref="D948">_xlfn.XLOOKUP(B948,[1]Baseline!$D$3:$AZ$3,_xlfn.XLOOKUP(C948,[1]Baseline!$B$4:$B$91,[1]Baseline!$D$4:$AZ$91))</f>
        <v>Awareness</v>
      </c>
      <c r="E948" s="13" t="s">
        <v>375</v>
      </c>
      <c r="F948" s="13">
        <v>0</v>
      </c>
      <c r="G948" s="153">
        <v>3</v>
      </c>
      <c r="H948" s="16">
        <f t="shared" si="14"/>
        <v>3</v>
      </c>
      <c r="I948" s="13">
        <v>3</v>
      </c>
      <c r="J948" s="160"/>
    </row>
    <row r="949" spans="1:10">
      <c r="A949" s="13" t="s">
        <v>22</v>
      </c>
      <c r="B949" s="13" t="s">
        <v>81</v>
      </c>
      <c r="C949" s="13" t="str">
        <f>VLOOKUP([1]Competence!$B79,[1]Competence!$B$12:$B$100,1,FALSE)</f>
        <v>System software</v>
      </c>
      <c r="D949" s="13" t="str" cm="1">
        <f t="array" ref="D949">_xlfn.XLOOKUP(B949,[1]Baseline!$D$3:$AZ$3,_xlfn.XLOOKUP(C949,[1]Baseline!$B$4:$B$91,[1]Baseline!$D$4:$AZ$91))</f>
        <v>Practitioner</v>
      </c>
      <c r="E949" s="13" t="s">
        <v>375</v>
      </c>
      <c r="F949" s="13">
        <v>2</v>
      </c>
      <c r="G949" s="153">
        <v>1</v>
      </c>
      <c r="H949" s="16">
        <f t="shared" si="14"/>
        <v>-1</v>
      </c>
      <c r="I949" s="13">
        <v>1</v>
      </c>
      <c r="J949" s="160"/>
    </row>
    <row r="950" spans="1:10">
      <c r="A950" s="13" t="s">
        <v>22</v>
      </c>
      <c r="B950" s="13" t="s">
        <v>81</v>
      </c>
      <c r="C950" s="13" t="str">
        <f>VLOOKUP([1]Competence!$B80,[1]Competence!$B$12:$B$100,1,FALSE)</f>
        <v>Systems and software life cycle engineering</v>
      </c>
      <c r="D950" s="13" t="str" cm="1">
        <f t="array" ref="D950">_xlfn.XLOOKUP(B950,[1]Baseline!$D$3:$AZ$3,_xlfn.XLOOKUP(C950,[1]Baseline!$B$4:$B$91,[1]Baseline!$D$4:$AZ$91))</f>
        <v>Practitioner</v>
      </c>
      <c r="E950" s="13" t="s">
        <v>375</v>
      </c>
      <c r="F950" s="13">
        <v>0</v>
      </c>
      <c r="G950" s="153">
        <v>3</v>
      </c>
      <c r="H950" s="16">
        <f t="shared" si="14"/>
        <v>3</v>
      </c>
      <c r="I950" s="13">
        <v>3</v>
      </c>
      <c r="J950" s="160"/>
    </row>
    <row r="951" spans="1:10">
      <c r="A951" s="13" t="s">
        <v>22</v>
      </c>
      <c r="B951" s="13" t="s">
        <v>81</v>
      </c>
      <c r="C951" s="13" t="str">
        <f>VLOOKUP([1]Competence!$B81,[1]Competence!$B$12:$B$100,1,FALSE)</f>
        <v>Systems design</v>
      </c>
      <c r="D951" s="13" t="str" cm="1">
        <f t="array" ref="D951">_xlfn.XLOOKUP(B951,[1]Baseline!$D$3:$AZ$3,_xlfn.XLOOKUP(C951,[1]Baseline!$B$4:$B$91,[1]Baseline!$D$4:$AZ$91))</f>
        <v>Awareness</v>
      </c>
      <c r="E951" s="13" t="s">
        <v>375</v>
      </c>
      <c r="F951" s="13">
        <v>1</v>
      </c>
      <c r="G951" s="153">
        <v>3</v>
      </c>
      <c r="H951" s="16">
        <f t="shared" si="14"/>
        <v>2</v>
      </c>
      <c r="I951" s="13">
        <v>3</v>
      </c>
      <c r="J951" s="160"/>
    </row>
    <row r="952" spans="1:10">
      <c r="A952" s="13" t="s">
        <v>22</v>
      </c>
      <c r="B952" s="13" t="s">
        <v>81</v>
      </c>
      <c r="C952" s="13" t="str">
        <f>VLOOKUP([1]Competence!$B82,[1]Competence!$B$12:$B$100,1,FALSE)</f>
        <v>Systems development management</v>
      </c>
      <c r="D952" s="13" t="str" cm="1">
        <f t="array" ref="D952">_xlfn.XLOOKUP(B952,[1]Baseline!$D$3:$AZ$3,_xlfn.XLOOKUP(C952,[1]Baseline!$B$4:$B$91,[1]Baseline!$D$4:$AZ$91))</f>
        <v>Awareness</v>
      </c>
      <c r="E952" s="13" t="s">
        <v>375</v>
      </c>
      <c r="F952" s="13">
        <v>2</v>
      </c>
      <c r="G952" s="153">
        <v>2</v>
      </c>
      <c r="H952" s="16">
        <f t="shared" si="14"/>
        <v>0</v>
      </c>
      <c r="I952" s="13">
        <v>2</v>
      </c>
      <c r="J952" s="160"/>
    </row>
    <row r="953" spans="1:10">
      <c r="A953" s="13" t="s">
        <v>22</v>
      </c>
      <c r="B953" s="13" t="s">
        <v>81</v>
      </c>
      <c r="C953" s="13" t="str">
        <f>VLOOKUP([1]Competence!$B83,[1]Competence!$B$12:$B$100,1,FALSE)</f>
        <v>Systems installation and removal</v>
      </c>
      <c r="D953" s="13" t="str" cm="1">
        <f t="array" ref="D953">_xlfn.XLOOKUP(B953,[1]Baseline!$D$3:$AZ$3,_xlfn.XLOOKUP(C953,[1]Baseline!$B$4:$B$91,[1]Baseline!$D$4:$AZ$91))</f>
        <v>Awareness</v>
      </c>
      <c r="E953" s="13" t="s">
        <v>378</v>
      </c>
      <c r="F953" s="13">
        <v>1</v>
      </c>
      <c r="G953" s="153">
        <v>0</v>
      </c>
      <c r="H953" s="16">
        <f t="shared" si="14"/>
        <v>-1</v>
      </c>
      <c r="I953" s="13">
        <v>0</v>
      </c>
      <c r="J953" s="160"/>
    </row>
    <row r="954" spans="1:10">
      <c r="A954" s="13" t="s">
        <v>22</v>
      </c>
      <c r="B954" s="13" t="s">
        <v>81</v>
      </c>
      <c r="C954" s="13" t="str">
        <f>VLOOKUP([1]Competence!$B84,[1]Competence!$B$12:$B$100,1,FALSE)</f>
        <v>Testing</v>
      </c>
      <c r="D954" s="13" t="str" cm="1">
        <f t="array" ref="D954">_xlfn.XLOOKUP(B954,[1]Baseline!$D$3:$AZ$3,_xlfn.XLOOKUP(C954,[1]Baseline!$B$4:$B$91,[1]Baseline!$D$4:$AZ$91))</f>
        <v>Practitioner</v>
      </c>
      <c r="E954" s="13" t="s">
        <v>375</v>
      </c>
      <c r="F954" s="13">
        <v>0</v>
      </c>
      <c r="G954" s="153">
        <v>3</v>
      </c>
      <c r="H954" s="16">
        <f t="shared" si="14"/>
        <v>3</v>
      </c>
      <c r="I954" s="13">
        <v>3</v>
      </c>
      <c r="J954" s="160"/>
    </row>
    <row r="955" spans="1:10">
      <c r="A955" s="13" t="s">
        <v>22</v>
      </c>
      <c r="B955" s="13" t="s">
        <v>81</v>
      </c>
      <c r="C955" s="13" t="str">
        <f>VLOOKUP([1]Competence!$B85,[1]Competence!$B$12:$B$100,1,FALSE)</f>
        <v>Innovation</v>
      </c>
      <c r="D955" s="13" t="str" cm="1">
        <f t="array" ref="D955">_xlfn.XLOOKUP(B955,[1]Baseline!$D$3:$AZ$3,_xlfn.XLOOKUP(C955,[1]Baseline!$B$4:$B$91,[1]Baseline!$D$4:$AZ$91))</f>
        <v>Working</v>
      </c>
      <c r="E955" s="13" t="s">
        <v>375</v>
      </c>
      <c r="F955" s="13">
        <v>0</v>
      </c>
      <c r="G955" s="153">
        <v>1</v>
      </c>
      <c r="H955" s="16">
        <f t="shared" si="14"/>
        <v>1</v>
      </c>
      <c r="I955" s="13">
        <v>1</v>
      </c>
      <c r="J955" s="160"/>
    </row>
    <row r="956" spans="1:10">
      <c r="A956" s="13" t="s">
        <v>22</v>
      </c>
      <c r="B956" s="13" t="s">
        <v>81</v>
      </c>
      <c r="C956" s="13" t="str">
        <f>VLOOKUP([1]Competence!$B86,[1]Competence!$B$12:$B$100,1,FALSE)</f>
        <v>Specialist Advice</v>
      </c>
      <c r="D956" s="13" t="str" cm="1">
        <f t="array" ref="D956">_xlfn.XLOOKUP(B956,[1]Baseline!$D$3:$AZ$3,_xlfn.XLOOKUP(C956,[1]Baseline!$B$4:$B$91,[1]Baseline!$D$4:$AZ$91))</f>
        <v>Working</v>
      </c>
      <c r="E956" s="13" t="s">
        <v>375</v>
      </c>
      <c r="F956" s="13">
        <v>0</v>
      </c>
      <c r="G956" s="153">
        <v>0</v>
      </c>
      <c r="H956" s="16">
        <f t="shared" si="14"/>
        <v>0</v>
      </c>
      <c r="I956" s="13">
        <v>0</v>
      </c>
      <c r="J956" s="160"/>
    </row>
    <row r="957" spans="1:10">
      <c r="A957" s="13" t="s">
        <v>22</v>
      </c>
      <c r="B957" s="13" t="s">
        <v>81</v>
      </c>
      <c r="C957" s="13" t="str">
        <f>VLOOKUP([1]Competence!$B87,[1]Competence!$B$12:$B$100,1,FALSE)</f>
        <v>Emerging technology monitoring</v>
      </c>
      <c r="D957" s="13" t="str" cm="1">
        <f t="array" ref="D957">_xlfn.XLOOKUP(B957,[1]Baseline!$D$3:$AZ$3,_xlfn.XLOOKUP(C957,[1]Baseline!$B$4:$B$91,[1]Baseline!$D$4:$AZ$91))</f>
        <v>Awareness</v>
      </c>
      <c r="E957" s="13" t="s">
        <v>375</v>
      </c>
      <c r="F957" s="13">
        <v>0</v>
      </c>
      <c r="G957" s="153">
        <v>1</v>
      </c>
      <c r="H957" s="16">
        <f t="shared" si="14"/>
        <v>1</v>
      </c>
      <c r="I957" s="13">
        <v>1</v>
      </c>
      <c r="J957" s="160"/>
    </row>
    <row r="958" spans="1:10">
      <c r="A958" s="13" t="s">
        <v>22</v>
      </c>
      <c r="B958" s="13" t="s">
        <v>81</v>
      </c>
      <c r="C958" s="13" t="str">
        <f>VLOOKUP([1]Competence!$B88,[1]Competence!$B$12:$B$100,1,FALSE)</f>
        <v>Systems integration and build</v>
      </c>
      <c r="D958" s="13" t="str" cm="1">
        <f t="array" ref="D958">_xlfn.XLOOKUP(B958,[1]Baseline!$D$3:$AZ$3,_xlfn.XLOOKUP(C958,[1]Baseline!$B$4:$B$91,[1]Baseline!$D$4:$AZ$91))</f>
        <v>No Knowledge</v>
      </c>
      <c r="E958" s="13" t="s">
        <v>375</v>
      </c>
      <c r="F958" s="13">
        <v>0</v>
      </c>
      <c r="G958" s="153">
        <v>2</v>
      </c>
      <c r="H958" s="16">
        <f t="shared" si="14"/>
        <v>2</v>
      </c>
      <c r="I958" s="13">
        <v>2</v>
      </c>
      <c r="J958" s="160"/>
    </row>
    <row r="959" spans="1:10">
      <c r="A959" s="13" t="s">
        <v>22</v>
      </c>
      <c r="B959" s="13" t="s">
        <v>81</v>
      </c>
      <c r="C959" s="13" t="str">
        <f>VLOOKUP([1]Competence!$B89,[1]Competence!$B$12:$B$100,1,FALSE)</f>
        <v>Audio Visual</v>
      </c>
      <c r="D959" s="13" t="str" cm="1">
        <f t="array" ref="D959">_xlfn.XLOOKUP(B959,[1]Baseline!$D$3:$AZ$3,_xlfn.XLOOKUP(C959,[1]Baseline!$B$4:$B$91,[1]Baseline!$D$4:$AZ$91))</f>
        <v>No Knowledge</v>
      </c>
      <c r="E959" s="13" t="s">
        <v>375</v>
      </c>
      <c r="F959" s="13">
        <v>1</v>
      </c>
      <c r="G959" s="153">
        <v>0</v>
      </c>
      <c r="H959" s="16">
        <f t="shared" si="14"/>
        <v>-1</v>
      </c>
      <c r="I959" s="13">
        <v>0</v>
      </c>
      <c r="J959" s="160"/>
    </row>
    <row r="960" spans="1:10">
      <c r="A960" s="13" t="s">
        <v>22</v>
      </c>
      <c r="B960" s="13" t="s">
        <v>81</v>
      </c>
      <c r="C960" s="13" t="str">
        <f>VLOOKUP([1]Competence!$B90,[1]Competence!$B$12:$B$100,1,FALSE)</f>
        <v>Augmented Reality</v>
      </c>
      <c r="D960" s="13" t="str" cm="1">
        <f t="array" ref="D960">_xlfn.XLOOKUP(B960,[1]Baseline!$D$3:$AZ$3,_xlfn.XLOOKUP(C960,[1]Baseline!$B$4:$B$91,[1]Baseline!$D$4:$AZ$91))</f>
        <v>No Knowledge</v>
      </c>
      <c r="E960" s="13" t="s">
        <v>375</v>
      </c>
      <c r="F960" s="13">
        <v>0</v>
      </c>
      <c r="G960" s="153">
        <v>0</v>
      </c>
      <c r="H960" s="16">
        <f t="shared" si="14"/>
        <v>0</v>
      </c>
      <c r="I960" s="13">
        <v>0</v>
      </c>
      <c r="J960" s="160"/>
    </row>
    <row r="961" spans="1:10">
      <c r="A961" s="13" t="s">
        <v>22</v>
      </c>
      <c r="B961" s="13" t="s">
        <v>81</v>
      </c>
      <c r="C961" s="13" t="str">
        <f>VLOOKUP([1]Competence!$B91,[1]Competence!$B$12:$B$100,1,FALSE)</f>
        <v>Benefits management</v>
      </c>
      <c r="D961" s="13" t="str" cm="1">
        <f t="array" ref="D961">_xlfn.XLOOKUP(B961,[1]Baseline!$D$3:$AZ$3,_xlfn.XLOOKUP(C961,[1]Baseline!$B$4:$B$91,[1]Baseline!$D$4:$AZ$91))</f>
        <v>No Knowledge</v>
      </c>
      <c r="E961" s="13" t="s">
        <v>373</v>
      </c>
      <c r="F961" s="13">
        <v>0</v>
      </c>
      <c r="G961" s="153">
        <v>0</v>
      </c>
      <c r="H961" s="16">
        <f t="shared" si="14"/>
        <v>0</v>
      </c>
      <c r="I961" s="13">
        <v>0</v>
      </c>
      <c r="J961" s="160"/>
    </row>
    <row r="962" spans="1:10">
      <c r="A962" s="13" t="s">
        <v>22</v>
      </c>
      <c r="B962" s="13" t="s">
        <v>81</v>
      </c>
      <c r="C962" s="13" t="str">
        <f>VLOOKUP([1]Competence!$B92,[1]Competence!$B$12:$B$100,1,FALSE)</f>
        <v>Business administration</v>
      </c>
      <c r="D962" s="13" t="str" cm="1">
        <f t="array" ref="D962">_xlfn.XLOOKUP(B962,[1]Baseline!$D$3:$AZ$3,_xlfn.XLOOKUP(C962,[1]Baseline!$B$4:$B$91,[1]Baseline!$D$4:$AZ$91))</f>
        <v>No Knowledge</v>
      </c>
      <c r="E962" s="13" t="s">
        <v>373</v>
      </c>
      <c r="F962" s="13">
        <v>0</v>
      </c>
      <c r="G962" s="153">
        <v>0</v>
      </c>
      <c r="H962" s="16">
        <f t="shared" ref="H962:H1025" si="15">I962-F962</f>
        <v>0</v>
      </c>
      <c r="I962" s="13">
        <v>0</v>
      </c>
      <c r="J962" s="160"/>
    </row>
    <row r="963" spans="1:10">
      <c r="A963" s="13" t="s">
        <v>22</v>
      </c>
      <c r="B963" s="13" t="s">
        <v>81</v>
      </c>
      <c r="C963" s="13" t="str">
        <f>VLOOKUP([1]Competence!$B93,[1]Competence!$B$12:$B$100,1,FALSE)</f>
        <v>Business intelligence</v>
      </c>
      <c r="D963" s="13" t="str" cm="1">
        <f t="array" ref="D963">_xlfn.XLOOKUP(B963,[1]Baseline!$D$3:$AZ$3,_xlfn.XLOOKUP(C963,[1]Baseline!$B$4:$B$91,[1]Baseline!$D$4:$AZ$91))</f>
        <v>No Knowledge</v>
      </c>
      <c r="E963" s="13" t="s">
        <v>375</v>
      </c>
      <c r="F963" s="13">
        <v>0</v>
      </c>
      <c r="G963" s="153">
        <v>0</v>
      </c>
      <c r="H963" s="16">
        <f t="shared" si="15"/>
        <v>0</v>
      </c>
      <c r="I963" s="13">
        <v>0</v>
      </c>
      <c r="J963" s="160"/>
    </row>
    <row r="964" spans="1:10">
      <c r="A964" s="13" t="s">
        <v>22</v>
      </c>
      <c r="B964" s="13" t="s">
        <v>81</v>
      </c>
      <c r="C964" s="13" t="str">
        <f>VLOOKUP([1]Competence!$B94,[1]Competence!$B$12:$B$100,1,FALSE)</f>
        <v>Business modelling</v>
      </c>
      <c r="D964" s="13" t="str" cm="1">
        <f t="array" ref="D964">_xlfn.XLOOKUP(B964,[1]Baseline!$D$3:$AZ$3,_xlfn.XLOOKUP(C964,[1]Baseline!$B$4:$B$91,[1]Baseline!$D$4:$AZ$91))</f>
        <v>No Knowledge</v>
      </c>
      <c r="E964" s="13" t="s">
        <v>375</v>
      </c>
      <c r="F964" s="13">
        <v>0</v>
      </c>
      <c r="G964" s="153">
        <v>0</v>
      </c>
      <c r="H964" s="16">
        <f t="shared" si="15"/>
        <v>0</v>
      </c>
      <c r="I964" s="13">
        <v>0</v>
      </c>
      <c r="J964" s="160"/>
    </row>
    <row r="965" spans="1:10">
      <c r="A965" s="13" t="s">
        <v>22</v>
      </c>
      <c r="B965" s="13" t="s">
        <v>81</v>
      </c>
      <c r="C965" s="13" t="str">
        <f>VLOOKUP([1]Competence!$B95,[1]Competence!$B$12:$B$100,1,FALSE)</f>
        <v>Business process improvement</v>
      </c>
      <c r="D965" s="13" t="str" cm="1">
        <f t="array" ref="D965">_xlfn.XLOOKUP(B965,[1]Baseline!$D$3:$AZ$3,_xlfn.XLOOKUP(C965,[1]Baseline!$B$4:$B$91,[1]Baseline!$D$4:$AZ$91))</f>
        <v>No Knowledge</v>
      </c>
      <c r="E965" s="13" t="s">
        <v>375</v>
      </c>
      <c r="F965" s="13">
        <v>0</v>
      </c>
      <c r="G965" s="153">
        <v>0</v>
      </c>
      <c r="H965" s="16">
        <f t="shared" si="15"/>
        <v>0</v>
      </c>
      <c r="I965" s="13">
        <v>0</v>
      </c>
      <c r="J965" s="160"/>
    </row>
    <row r="966" spans="1:10">
      <c r="A966" s="13" t="s">
        <v>22</v>
      </c>
      <c r="B966" s="13" t="s">
        <v>81</v>
      </c>
      <c r="C966" s="13" t="str">
        <f>VLOOKUP([1]Competence!$B96,[1]Competence!$B$12:$B$100,1,FALSE)</f>
        <v>Business situation analysis</v>
      </c>
      <c r="D966" s="13" t="str" cm="1">
        <f t="array" ref="D966">_xlfn.XLOOKUP(B966,[1]Baseline!$D$3:$AZ$3,_xlfn.XLOOKUP(C966,[1]Baseline!$B$4:$B$91,[1]Baseline!$D$4:$AZ$91))</f>
        <v>No Knowledge</v>
      </c>
      <c r="E966" s="13" t="s">
        <v>375</v>
      </c>
      <c r="F966" s="13">
        <v>0</v>
      </c>
      <c r="G966" s="153">
        <v>0</v>
      </c>
      <c r="H966" s="16">
        <f t="shared" si="15"/>
        <v>0</v>
      </c>
      <c r="I966" s="13">
        <v>0</v>
      </c>
      <c r="J966" s="160"/>
    </row>
    <row r="967" spans="1:10">
      <c r="A967" s="13" t="s">
        <v>22</v>
      </c>
      <c r="B967" s="13" t="s">
        <v>81</v>
      </c>
      <c r="C967" s="13" t="str">
        <f>VLOOKUP([1]Competence!$B97,[1]Competence!$B$12:$B$100,1,FALSE)</f>
        <v>Programme management</v>
      </c>
      <c r="D967" s="13" t="str" cm="1">
        <f t="array" ref="D967">_xlfn.XLOOKUP(B967,[1]Baseline!$D$3:$AZ$3,_xlfn.XLOOKUP(C967,[1]Baseline!$B$4:$B$91,[1]Baseline!$D$4:$AZ$91))</f>
        <v>No Knowledge</v>
      </c>
      <c r="E967" s="13" t="s">
        <v>375</v>
      </c>
      <c r="F967" s="13">
        <v>0</v>
      </c>
      <c r="G967" s="153">
        <v>0</v>
      </c>
      <c r="H967" s="16">
        <f t="shared" si="15"/>
        <v>0</v>
      </c>
      <c r="I967" s="13">
        <v>0</v>
      </c>
      <c r="J967" s="160"/>
    </row>
    <row r="968" spans="1:10">
      <c r="A968" s="13" t="s">
        <v>22</v>
      </c>
      <c r="B968" s="13" t="s">
        <v>81</v>
      </c>
      <c r="C968" s="13" t="str">
        <f>VLOOKUP([1]Competence!$B98,[1]Competence!$B$12:$B$100,1,FALSE)</f>
        <v>Project management</v>
      </c>
      <c r="D968" s="13" t="str" cm="1">
        <f t="array" ref="D968">_xlfn.XLOOKUP(B968,[1]Baseline!$D$3:$AZ$3,_xlfn.XLOOKUP(C968,[1]Baseline!$B$4:$B$91,[1]Baseline!$D$4:$AZ$91))</f>
        <v>No Knowledge</v>
      </c>
      <c r="E968" s="13" t="s">
        <v>375</v>
      </c>
      <c r="F968" s="13">
        <v>0</v>
      </c>
      <c r="G968" s="153">
        <v>2</v>
      </c>
      <c r="H968" s="16">
        <f t="shared" si="15"/>
        <v>2</v>
      </c>
      <c r="I968" s="13">
        <v>2</v>
      </c>
      <c r="J968" s="160"/>
    </row>
    <row r="969" spans="1:10">
      <c r="A969" s="13" t="s">
        <v>22</v>
      </c>
      <c r="B969" s="13" t="s">
        <v>81</v>
      </c>
      <c r="C969" s="13" t="str">
        <f>VLOOKUP([1]Competence!$B99,[1]Competence!$B$12:$B$100,1,FALSE)</f>
        <v>Quality assurance</v>
      </c>
      <c r="D969" s="13" t="str" cm="1">
        <f t="array" ref="D969">_xlfn.XLOOKUP(B969,[1]Baseline!$D$3:$AZ$3,_xlfn.XLOOKUP(C969,[1]Baseline!$B$4:$B$91,[1]Baseline!$D$4:$AZ$91))</f>
        <v>No Knowledge</v>
      </c>
      <c r="E969" s="13" t="s">
        <v>375</v>
      </c>
      <c r="F969" s="13">
        <v>0</v>
      </c>
      <c r="G969" s="153">
        <v>2</v>
      </c>
      <c r="H969" s="16">
        <f t="shared" si="15"/>
        <v>2</v>
      </c>
      <c r="I969" s="13">
        <v>2</v>
      </c>
      <c r="J969" s="160"/>
    </row>
    <row r="970" spans="1:10">
      <c r="A970" s="13" t="s">
        <v>8</v>
      </c>
      <c r="B970" s="13" t="s">
        <v>61</v>
      </c>
      <c r="C970" s="13" t="str">
        <f>VLOOKUP([1]Competence!$B12,[1]Competence!$B$12:$B$100,1,FALSE)</f>
        <v>Asset Management</v>
      </c>
      <c r="D970" s="13" t="str" cm="1">
        <f t="array" ref="D970">_xlfn.XLOOKUP(B970,[1]Baseline!$D$3:$AZ$3,_xlfn.XLOOKUP(C970,[1]Baseline!$B$4:$B$91,[1]Baseline!$D$4:$AZ$91))</f>
        <v>Practitioner</v>
      </c>
      <c r="E970" s="13" t="s">
        <v>376</v>
      </c>
      <c r="F970" s="13">
        <v>3</v>
      </c>
      <c r="G970" s="153">
        <v>3</v>
      </c>
      <c r="H970" s="16">
        <f t="shared" si="15"/>
        <v>0</v>
      </c>
      <c r="I970" s="13">
        <v>3</v>
      </c>
      <c r="J970" s="160"/>
    </row>
    <row r="971" spans="1:10">
      <c r="A971" s="13" t="s">
        <v>8</v>
      </c>
      <c r="B971" s="13" t="s">
        <v>61</v>
      </c>
      <c r="C971" s="13" t="str">
        <f>VLOOKUP([1]Competence!$B13,[1]Competence!$B$12:$B$100,1,FALSE)</f>
        <v>Change Control</v>
      </c>
      <c r="D971" s="13" t="str" cm="1">
        <f t="array" ref="D971">_xlfn.XLOOKUP(B971,[1]Baseline!$D$3:$AZ$3,_xlfn.XLOOKUP(C971,[1]Baseline!$B$4:$B$91,[1]Baseline!$D$4:$AZ$91))</f>
        <v>Practitioner</v>
      </c>
      <c r="E971" s="13" t="s">
        <v>376</v>
      </c>
      <c r="F971" s="13">
        <v>3</v>
      </c>
      <c r="G971" s="153">
        <v>3</v>
      </c>
      <c r="H971" s="16">
        <f t="shared" si="15"/>
        <v>0</v>
      </c>
      <c r="I971" s="13">
        <v>3</v>
      </c>
      <c r="J971" s="160"/>
    </row>
    <row r="972" spans="1:10">
      <c r="A972" s="13" t="s">
        <v>8</v>
      </c>
      <c r="B972" s="13" t="s">
        <v>61</v>
      </c>
      <c r="C972" s="13" t="str">
        <f>VLOOKUP([1]Competence!$B14,[1]Competence!$B$12:$B$100,1,FALSE)</f>
        <v>Customer Service Support</v>
      </c>
      <c r="D972" s="13" t="str" cm="1">
        <f t="array" ref="D972">_xlfn.XLOOKUP(B972,[1]Baseline!$D$3:$AZ$3,_xlfn.XLOOKUP(C972,[1]Baseline!$B$4:$B$91,[1]Baseline!$D$4:$AZ$91))</f>
        <v>Practitioner</v>
      </c>
      <c r="E972" s="13" t="s">
        <v>377</v>
      </c>
      <c r="F972" s="13">
        <v>3</v>
      </c>
      <c r="G972" s="153">
        <v>4</v>
      </c>
      <c r="H972" s="16">
        <f t="shared" si="15"/>
        <v>1</v>
      </c>
      <c r="I972" s="13">
        <v>4</v>
      </c>
      <c r="J972" s="160"/>
    </row>
    <row r="973" spans="1:10">
      <c r="A973" s="13" t="s">
        <v>8</v>
      </c>
      <c r="B973" s="13" t="s">
        <v>61</v>
      </c>
      <c r="C973" s="13" t="str">
        <f>VLOOKUP([1]Competence!$B15,[1]Competence!$B$12:$B$100,1,FALSE)</f>
        <v>Incident management</v>
      </c>
      <c r="D973" s="13" t="str" cm="1">
        <f t="array" ref="D973">_xlfn.XLOOKUP(B973,[1]Baseline!$D$3:$AZ$3,_xlfn.XLOOKUP(C973,[1]Baseline!$B$4:$B$91,[1]Baseline!$D$4:$AZ$91))</f>
        <v>Practitioner</v>
      </c>
      <c r="E973" s="13" t="s">
        <v>49</v>
      </c>
      <c r="F973" s="13">
        <v>2</v>
      </c>
      <c r="G973" s="153">
        <v>4</v>
      </c>
      <c r="H973" s="16">
        <f t="shared" si="15"/>
        <v>2</v>
      </c>
      <c r="I973" s="13">
        <v>4</v>
      </c>
      <c r="J973" s="160"/>
    </row>
    <row r="974" spans="1:10">
      <c r="A974" s="13" t="s">
        <v>8</v>
      </c>
      <c r="B974" s="13" t="s">
        <v>61</v>
      </c>
      <c r="C974" s="13" t="str">
        <f>VLOOKUP([1]Competence!$B16,[1]Competence!$B$12:$B$100,1,FALSE)</f>
        <v>Information security</v>
      </c>
      <c r="D974" s="13" t="str" cm="1">
        <f t="array" ref="D974">_xlfn.XLOOKUP(B974,[1]Baseline!$D$3:$AZ$3,_xlfn.XLOOKUP(C974,[1]Baseline!$B$4:$B$91,[1]Baseline!$D$4:$AZ$91))</f>
        <v>Practitioner</v>
      </c>
      <c r="E974" s="13" t="s">
        <v>375</v>
      </c>
      <c r="F974" s="13">
        <v>3</v>
      </c>
      <c r="G974" s="153">
        <v>2</v>
      </c>
      <c r="H974" s="16">
        <f t="shared" si="15"/>
        <v>-1</v>
      </c>
      <c r="I974" s="13">
        <v>2</v>
      </c>
      <c r="J974" s="160"/>
    </row>
    <row r="975" spans="1:10">
      <c r="A975" s="13" t="s">
        <v>8</v>
      </c>
      <c r="B975" s="13" t="s">
        <v>61</v>
      </c>
      <c r="C975" s="13" t="str">
        <f>VLOOKUP([1]Competence!$B17,[1]Competence!$B$12:$B$100,1,FALSE)</f>
        <v>Personal data protection</v>
      </c>
      <c r="D975" s="13" t="str" cm="1">
        <f t="array" ref="D975">_xlfn.XLOOKUP(B975,[1]Baseline!$D$3:$AZ$3,_xlfn.XLOOKUP(C975,[1]Baseline!$B$4:$B$91,[1]Baseline!$D$4:$AZ$91))</f>
        <v>Practitioner</v>
      </c>
      <c r="E975" s="13" t="s">
        <v>373</v>
      </c>
      <c r="F975" s="13">
        <v>2</v>
      </c>
      <c r="G975" s="153">
        <v>3</v>
      </c>
      <c r="H975" s="16">
        <f t="shared" si="15"/>
        <v>1</v>
      </c>
      <c r="I975" s="13">
        <v>3</v>
      </c>
      <c r="J975" s="160"/>
    </row>
    <row r="976" spans="1:10">
      <c r="A976" s="13" t="s">
        <v>8</v>
      </c>
      <c r="B976" s="13" t="s">
        <v>61</v>
      </c>
      <c r="C976" s="13" t="str">
        <f>VLOOKUP([1]Competence!$B18,[1]Competence!$B$12:$B$100,1,FALSE)</f>
        <v>Problem management</v>
      </c>
      <c r="D976" s="13" t="str" cm="1">
        <f t="array" ref="D976">_xlfn.XLOOKUP(B976,[1]Baseline!$D$3:$AZ$3,_xlfn.XLOOKUP(C976,[1]Baseline!$B$4:$B$91,[1]Baseline!$D$4:$AZ$91))</f>
        <v>Practitioner</v>
      </c>
      <c r="E976" s="13" t="s">
        <v>376</v>
      </c>
      <c r="F976" s="13">
        <v>3</v>
      </c>
      <c r="G976" s="153">
        <v>4</v>
      </c>
      <c r="H976" s="16">
        <f t="shared" si="15"/>
        <v>1</v>
      </c>
      <c r="I976" s="13">
        <v>4</v>
      </c>
      <c r="J976" s="160"/>
    </row>
    <row r="977" spans="1:10">
      <c r="A977" s="13" t="s">
        <v>8</v>
      </c>
      <c r="B977" s="13" t="s">
        <v>61</v>
      </c>
      <c r="C977" s="13" t="str">
        <f>VLOOKUP([1]Competence!$B19,[1]Competence!$B$12:$B$100,1,FALSE)</f>
        <v>Service catalogue management</v>
      </c>
      <c r="D977" s="13" t="str" cm="1">
        <f t="array" ref="D977">_xlfn.XLOOKUP(B977,[1]Baseline!$D$3:$AZ$3,_xlfn.XLOOKUP(C977,[1]Baseline!$B$4:$B$91,[1]Baseline!$D$4:$AZ$91))</f>
        <v>Practitioner</v>
      </c>
      <c r="E977" s="13" t="s">
        <v>376</v>
      </c>
      <c r="F977" s="13">
        <v>3</v>
      </c>
      <c r="G977" s="153">
        <v>4</v>
      </c>
      <c r="H977" s="16">
        <f t="shared" si="15"/>
        <v>1</v>
      </c>
      <c r="I977" s="13">
        <v>4</v>
      </c>
      <c r="J977" s="160"/>
    </row>
    <row r="978" spans="1:10">
      <c r="A978" s="13" t="s">
        <v>8</v>
      </c>
      <c r="B978" s="13" t="s">
        <v>61</v>
      </c>
      <c r="C978" s="13" t="str">
        <f>VLOOKUP([1]Competence!$B20,[1]Competence!$B$12:$B$100,1,FALSE)</f>
        <v>Service level management</v>
      </c>
      <c r="D978" s="13" t="str" cm="1">
        <f t="array" ref="D978">_xlfn.XLOOKUP(B978,[1]Baseline!$D$3:$AZ$3,_xlfn.XLOOKUP(C978,[1]Baseline!$B$4:$B$91,[1]Baseline!$D$4:$AZ$91))</f>
        <v>Working</v>
      </c>
      <c r="E978" s="13" t="s">
        <v>374</v>
      </c>
      <c r="F978" s="13">
        <v>1</v>
      </c>
      <c r="G978" s="153">
        <v>2</v>
      </c>
      <c r="H978" s="16">
        <f t="shared" si="15"/>
        <v>1</v>
      </c>
      <c r="I978" s="13">
        <v>2</v>
      </c>
      <c r="J978" s="160"/>
    </row>
    <row r="979" spans="1:10">
      <c r="A979" s="13" t="s">
        <v>8</v>
      </c>
      <c r="B979" s="13" t="s">
        <v>61</v>
      </c>
      <c r="C979" s="13" t="str">
        <f>VLOOKUP([1]Competence!$B21,[1]Competence!$B$12:$B$100,1,FALSE)</f>
        <v>Availability Management</v>
      </c>
      <c r="D979" s="13" t="str" cm="1">
        <f t="array" ref="D979">_xlfn.XLOOKUP(B979,[1]Baseline!$D$3:$AZ$3,_xlfn.XLOOKUP(C979,[1]Baseline!$B$4:$B$91,[1]Baseline!$D$4:$AZ$91))</f>
        <v>Working</v>
      </c>
      <c r="E979" s="13" t="s">
        <v>374</v>
      </c>
      <c r="F979" s="13">
        <v>1</v>
      </c>
      <c r="G979" s="153">
        <v>3</v>
      </c>
      <c r="H979" s="16">
        <f t="shared" si="15"/>
        <v>2</v>
      </c>
      <c r="I979" s="13">
        <v>3</v>
      </c>
      <c r="J979" s="160"/>
    </row>
    <row r="980" spans="1:10">
      <c r="A980" s="13" t="s">
        <v>8</v>
      </c>
      <c r="B980" s="13" t="s">
        <v>61</v>
      </c>
      <c r="C980" s="13" t="str">
        <f>VLOOKUP([1]Competence!$B22,[1]Competence!$B$12:$B$100,1,FALSE)</f>
        <v>Capacity management</v>
      </c>
      <c r="D980" s="13" t="str" cm="1">
        <f t="array" ref="D980">_xlfn.XLOOKUP(B980,[1]Baseline!$D$3:$AZ$3,_xlfn.XLOOKUP(C980,[1]Baseline!$B$4:$B$91,[1]Baseline!$D$4:$AZ$91))</f>
        <v>No Knowledge</v>
      </c>
      <c r="E980" s="13" t="s">
        <v>374</v>
      </c>
      <c r="F980" s="13">
        <v>2</v>
      </c>
      <c r="G980" s="153">
        <v>4</v>
      </c>
      <c r="H980" s="16">
        <f t="shared" si="15"/>
        <v>2</v>
      </c>
      <c r="I980" s="13">
        <v>4</v>
      </c>
      <c r="J980" s="160"/>
    </row>
    <row r="981" spans="1:10">
      <c r="A981" s="13" t="s">
        <v>8</v>
      </c>
      <c r="B981" s="13" t="s">
        <v>61</v>
      </c>
      <c r="C981" s="13" t="str">
        <f>VLOOKUP([1]Competence!$B23,[1]Competence!$B$12:$B$100,1,FALSE)</f>
        <v>Configuration Management</v>
      </c>
      <c r="D981" s="13" t="str" cm="1">
        <f t="array" ref="D981">_xlfn.XLOOKUP(B981,[1]Baseline!$D$3:$AZ$3,_xlfn.XLOOKUP(C981,[1]Baseline!$B$4:$B$91,[1]Baseline!$D$4:$AZ$91))</f>
        <v>Awareness</v>
      </c>
      <c r="E981" s="13" t="s">
        <v>374</v>
      </c>
      <c r="F981" s="13">
        <v>3</v>
      </c>
      <c r="G981" s="153">
        <v>1</v>
      </c>
      <c r="H981" s="16">
        <f t="shared" si="15"/>
        <v>-2</v>
      </c>
      <c r="I981" s="13">
        <v>1</v>
      </c>
      <c r="J981" s="160"/>
    </row>
    <row r="982" spans="1:10">
      <c r="A982" s="13" t="s">
        <v>8</v>
      </c>
      <c r="B982" s="13" t="s">
        <v>61</v>
      </c>
      <c r="C982" s="13" t="str">
        <f>VLOOKUP([1]Competence!$B24,[1]Competence!$B$12:$B$100,1,FALSE)</f>
        <v>Continuity Management</v>
      </c>
      <c r="D982" s="13" t="str" cm="1">
        <f t="array" ref="D982">_xlfn.XLOOKUP(B982,[1]Baseline!$D$3:$AZ$3,_xlfn.XLOOKUP(C982,[1]Baseline!$B$4:$B$91,[1]Baseline!$D$4:$AZ$91))</f>
        <v>Awareness</v>
      </c>
      <c r="E982" s="13" t="s">
        <v>377</v>
      </c>
      <c r="F982" s="13">
        <v>2</v>
      </c>
      <c r="G982" s="153">
        <v>1</v>
      </c>
      <c r="H982" s="16">
        <f t="shared" si="15"/>
        <v>-1</v>
      </c>
      <c r="I982" s="13">
        <v>1</v>
      </c>
      <c r="J982" s="160"/>
    </row>
    <row r="983" spans="1:10">
      <c r="A983" s="13" t="s">
        <v>8</v>
      </c>
      <c r="B983" s="13" t="s">
        <v>61</v>
      </c>
      <c r="C983" s="13" t="str">
        <f>VLOOKUP([1]Competence!$B25,[1]Competence!$B$12:$B$100,1,FALSE)</f>
        <v>Demand Management</v>
      </c>
      <c r="D983" s="13" t="str" cm="1">
        <f t="array" ref="D983">_xlfn.XLOOKUP(B983,[1]Baseline!$D$3:$AZ$3,_xlfn.XLOOKUP(C983,[1]Baseline!$B$4:$B$91,[1]Baseline!$D$4:$AZ$91))</f>
        <v>Awareness</v>
      </c>
      <c r="E983" s="13" t="s">
        <v>378</v>
      </c>
      <c r="F983" s="13">
        <v>1</v>
      </c>
      <c r="G983" s="153">
        <v>2</v>
      </c>
      <c r="H983" s="16">
        <f t="shared" si="15"/>
        <v>1</v>
      </c>
      <c r="I983" s="13">
        <v>2</v>
      </c>
      <c r="J983" s="160"/>
    </row>
    <row r="984" spans="1:10">
      <c r="A984" s="13" t="s">
        <v>8</v>
      </c>
      <c r="B984" s="13" t="s">
        <v>61</v>
      </c>
      <c r="C984" s="13" t="str">
        <f>VLOOKUP([1]Competence!$B26,[1]Competence!$B$12:$B$100,1,FALSE)</f>
        <v>Knowledge management</v>
      </c>
      <c r="D984" s="13" t="str" cm="1">
        <f t="array" ref="D984">_xlfn.XLOOKUP(B984,[1]Baseline!$D$3:$AZ$3,_xlfn.XLOOKUP(C984,[1]Baseline!$B$4:$B$91,[1]Baseline!$D$4:$AZ$91))</f>
        <v>Working</v>
      </c>
      <c r="E984" s="13" t="s">
        <v>378</v>
      </c>
      <c r="F984" s="13">
        <v>1</v>
      </c>
      <c r="G984" s="153">
        <v>2</v>
      </c>
      <c r="H984" s="16">
        <f t="shared" si="15"/>
        <v>1</v>
      </c>
      <c r="I984" s="13">
        <v>2</v>
      </c>
      <c r="J984" s="160"/>
    </row>
    <row r="985" spans="1:10">
      <c r="A985" s="13" t="s">
        <v>8</v>
      </c>
      <c r="B985" s="13" t="s">
        <v>61</v>
      </c>
      <c r="C985" s="13" t="str">
        <f>VLOOKUP([1]Competence!$B27,[1]Competence!$B$12:$B$100,1,FALSE)</f>
        <v>Methods and tools</v>
      </c>
      <c r="D985" s="13" t="str" cm="1">
        <f t="array" ref="D985">_xlfn.XLOOKUP(B985,[1]Baseline!$D$3:$AZ$3,_xlfn.XLOOKUP(C985,[1]Baseline!$B$4:$B$91,[1]Baseline!$D$4:$AZ$91))</f>
        <v>Awareness</v>
      </c>
      <c r="E985" s="13" t="s">
        <v>49</v>
      </c>
      <c r="F985" s="13">
        <v>1</v>
      </c>
      <c r="G985" s="153">
        <v>2</v>
      </c>
      <c r="H985" s="16">
        <f t="shared" si="15"/>
        <v>1</v>
      </c>
      <c r="I985" s="13">
        <v>2</v>
      </c>
      <c r="J985" s="160"/>
    </row>
    <row r="986" spans="1:10">
      <c r="A986" s="13" t="s">
        <v>8</v>
      </c>
      <c r="B986" s="13" t="s">
        <v>61</v>
      </c>
      <c r="C986" s="13" t="str">
        <f>VLOOKUP([1]Competence!$B28,[1]Competence!$B$12:$B$100,1,FALSE)</f>
        <v>Release and deployment</v>
      </c>
      <c r="D986" s="13" t="str" cm="1">
        <f t="array" ref="D986">_xlfn.XLOOKUP(B986,[1]Baseline!$D$3:$AZ$3,_xlfn.XLOOKUP(C986,[1]Baseline!$B$4:$B$91,[1]Baseline!$D$4:$AZ$91))</f>
        <v>Awareness</v>
      </c>
      <c r="E986" s="13" t="s">
        <v>49</v>
      </c>
      <c r="F986" s="13">
        <v>1</v>
      </c>
      <c r="G986" s="153">
        <v>1</v>
      </c>
      <c r="H986" s="16">
        <f t="shared" si="15"/>
        <v>0</v>
      </c>
      <c r="I986" s="13">
        <v>1</v>
      </c>
      <c r="J986" s="160"/>
    </row>
    <row r="987" spans="1:10">
      <c r="A987" s="13" t="s">
        <v>8</v>
      </c>
      <c r="B987" s="13" t="s">
        <v>61</v>
      </c>
      <c r="C987" s="13" t="str">
        <f>VLOOKUP([1]Competence!$B29,[1]Competence!$B$12:$B$100,1,FALSE)</f>
        <v>Service acceptance</v>
      </c>
      <c r="D987" s="13" t="str" cm="1">
        <f t="array" ref="D987">_xlfn.XLOOKUP(B987,[1]Baseline!$D$3:$AZ$3,_xlfn.XLOOKUP(C987,[1]Baseline!$B$4:$B$91,[1]Baseline!$D$4:$AZ$91))</f>
        <v>Working</v>
      </c>
      <c r="E987" s="13" t="s">
        <v>375</v>
      </c>
      <c r="F987" s="13">
        <v>1</v>
      </c>
      <c r="G987" s="153">
        <v>1</v>
      </c>
      <c r="H987" s="16">
        <f t="shared" si="15"/>
        <v>0</v>
      </c>
      <c r="I987" s="13">
        <v>1</v>
      </c>
      <c r="J987" s="160"/>
    </row>
    <row r="988" spans="1:10">
      <c r="A988" s="13" t="s">
        <v>8</v>
      </c>
      <c r="B988" s="13" t="s">
        <v>61</v>
      </c>
      <c r="C988" s="13" t="str">
        <f>VLOOKUP([1]Competence!$B30,[1]Competence!$B$12:$B$100,1,FALSE)</f>
        <v>Stakeholder relationship management</v>
      </c>
      <c r="D988" s="13" t="str" cm="1">
        <f t="array" ref="D988">_xlfn.XLOOKUP(B988,[1]Baseline!$D$3:$AZ$3,_xlfn.XLOOKUP(C988,[1]Baseline!$B$4:$B$91,[1]Baseline!$D$4:$AZ$91))</f>
        <v>Practitioner</v>
      </c>
      <c r="E988" s="13" t="s">
        <v>375</v>
      </c>
      <c r="F988" s="13">
        <v>2</v>
      </c>
      <c r="G988" s="153">
        <v>3</v>
      </c>
      <c r="H988" s="16">
        <f t="shared" si="15"/>
        <v>1</v>
      </c>
      <c r="I988" s="13">
        <v>3</v>
      </c>
      <c r="J988" s="160"/>
    </row>
    <row r="989" spans="1:10">
      <c r="A989" s="13" t="s">
        <v>8</v>
      </c>
      <c r="B989" s="13" t="s">
        <v>61</v>
      </c>
      <c r="C989" s="13" t="str">
        <f>VLOOKUP([1]Competence!$B31,[1]Competence!$B$12:$B$100,1,FALSE)</f>
        <v>Storage management</v>
      </c>
      <c r="D989" s="13" t="str" cm="1">
        <f t="array" ref="D989">_xlfn.XLOOKUP(B989,[1]Baseline!$D$3:$AZ$3,_xlfn.XLOOKUP(C989,[1]Baseline!$B$4:$B$91,[1]Baseline!$D$4:$AZ$91))</f>
        <v>Working</v>
      </c>
      <c r="E989" s="13" t="s">
        <v>375</v>
      </c>
      <c r="F989" s="13">
        <v>0</v>
      </c>
      <c r="G989" s="153">
        <v>3</v>
      </c>
      <c r="H989" s="16">
        <f t="shared" si="15"/>
        <v>3</v>
      </c>
      <c r="I989" s="13">
        <v>3</v>
      </c>
      <c r="J989" s="160"/>
    </row>
    <row r="990" spans="1:10">
      <c r="A990" s="13" t="s">
        <v>8</v>
      </c>
      <c r="B990" s="13" t="s">
        <v>61</v>
      </c>
      <c r="C990" s="13" t="str">
        <f>VLOOKUP([1]Competence!$B32,[1]Competence!$B$12:$B$100,1,FALSE)</f>
        <v>Digital Forensics</v>
      </c>
      <c r="D990" s="13" t="str" cm="1">
        <f t="array" ref="D990">_xlfn.XLOOKUP(B990,[1]Baseline!$D$3:$AZ$3,_xlfn.XLOOKUP(C990,[1]Baseline!$B$4:$B$91,[1]Baseline!$D$4:$AZ$91))</f>
        <v>No Knowledge</v>
      </c>
      <c r="E990" s="13" t="s">
        <v>375</v>
      </c>
      <c r="F990" s="13">
        <v>0</v>
      </c>
      <c r="G990" s="153">
        <v>1</v>
      </c>
      <c r="H990" s="16">
        <f t="shared" si="15"/>
        <v>1</v>
      </c>
      <c r="I990" s="13">
        <v>1</v>
      </c>
      <c r="J990" s="160"/>
    </row>
    <row r="991" spans="1:10">
      <c r="A991" s="13" t="s">
        <v>8</v>
      </c>
      <c r="B991" s="13" t="s">
        <v>61</v>
      </c>
      <c r="C991" s="13" t="str">
        <f>VLOOKUP([1]Competence!$B33,[1]Competence!$B$12:$B$100,1,FALSE)</f>
        <v>Penetration testing</v>
      </c>
      <c r="D991" s="13" t="str" cm="1">
        <f t="array" ref="D991">_xlfn.XLOOKUP(B991,[1]Baseline!$D$3:$AZ$3,_xlfn.XLOOKUP(C991,[1]Baseline!$B$4:$B$91,[1]Baseline!$D$4:$AZ$91))</f>
        <v>No Knowledge</v>
      </c>
      <c r="E991" s="13" t="s">
        <v>375</v>
      </c>
      <c r="F991" s="13">
        <v>0</v>
      </c>
      <c r="G991" s="153">
        <v>1</v>
      </c>
      <c r="H991" s="16">
        <f t="shared" si="15"/>
        <v>1</v>
      </c>
      <c r="I991" s="13">
        <v>1</v>
      </c>
      <c r="J991" s="160"/>
    </row>
    <row r="992" spans="1:10">
      <c r="A992" s="13" t="s">
        <v>8</v>
      </c>
      <c r="B992" s="13" t="s">
        <v>61</v>
      </c>
      <c r="C992" s="13" t="str">
        <f>VLOOKUP([1]Competence!$B34,[1]Competence!$B$12:$B$100,1,FALSE)</f>
        <v>Security Operations</v>
      </c>
      <c r="D992" s="13" t="str" cm="1">
        <f t="array" ref="D992">_xlfn.XLOOKUP(B992,[1]Baseline!$D$3:$AZ$3,_xlfn.XLOOKUP(C992,[1]Baseline!$B$4:$B$91,[1]Baseline!$D$4:$AZ$91))</f>
        <v>Practitioner</v>
      </c>
      <c r="E992" s="13" t="s">
        <v>375</v>
      </c>
      <c r="F992" s="13">
        <v>0</v>
      </c>
      <c r="G992" s="153">
        <v>2</v>
      </c>
      <c r="H992" s="16">
        <f t="shared" si="15"/>
        <v>2</v>
      </c>
      <c r="I992" s="13">
        <v>2</v>
      </c>
      <c r="J992" s="160"/>
    </row>
    <row r="993" spans="1:10">
      <c r="A993" s="13" t="s">
        <v>8</v>
      </c>
      <c r="B993" s="13" t="s">
        <v>61</v>
      </c>
      <c r="C993" s="13" t="str">
        <f>VLOOKUP([1]Competence!$B35,[1]Competence!$B$12:$B$100,1,FALSE)</f>
        <v>Threat Intelligence</v>
      </c>
      <c r="D993" s="13" t="str" cm="1">
        <f t="array" ref="D993">_xlfn.XLOOKUP(B993,[1]Baseline!$D$3:$AZ$3,_xlfn.XLOOKUP(C993,[1]Baseline!$B$4:$B$91,[1]Baseline!$D$4:$AZ$91))</f>
        <v>No Knowledge</v>
      </c>
      <c r="E993" s="13" t="s">
        <v>375</v>
      </c>
      <c r="F993" s="13">
        <v>1</v>
      </c>
      <c r="G993" s="153">
        <v>1</v>
      </c>
      <c r="H993" s="16">
        <f t="shared" si="15"/>
        <v>0</v>
      </c>
      <c r="I993" s="13">
        <v>1</v>
      </c>
      <c r="J993" s="160"/>
    </row>
    <row r="994" spans="1:10">
      <c r="A994" s="13" t="s">
        <v>8</v>
      </c>
      <c r="B994" s="13" t="s">
        <v>61</v>
      </c>
      <c r="C994" s="13" t="str">
        <f>VLOOKUP([1]Competence!$B36,[1]Competence!$B$12:$B$100,1,FALSE)</f>
        <v>Vulnerability assessment</v>
      </c>
      <c r="D994" s="13" t="str" cm="1">
        <f t="array" ref="D994">_xlfn.XLOOKUP(B994,[1]Baseline!$D$3:$AZ$3,_xlfn.XLOOKUP(C994,[1]Baseline!$B$4:$B$91,[1]Baseline!$D$4:$AZ$91))</f>
        <v>Working</v>
      </c>
      <c r="E994" s="13" t="s">
        <v>375</v>
      </c>
      <c r="F994" s="13">
        <v>1</v>
      </c>
      <c r="G994" s="153">
        <v>2</v>
      </c>
      <c r="H994" s="16">
        <f t="shared" si="15"/>
        <v>1</v>
      </c>
      <c r="I994" s="13">
        <v>2</v>
      </c>
      <c r="J994" s="160"/>
    </row>
    <row r="995" spans="1:10">
      <c r="A995" s="13" t="s">
        <v>8</v>
      </c>
      <c r="B995" s="13" t="s">
        <v>61</v>
      </c>
      <c r="C995" s="13" t="str">
        <f>VLOOKUP([1]Competence!$B37,[1]Competence!$B$12:$B$100,1,FALSE)</f>
        <v>Vulnerability Research</v>
      </c>
      <c r="D995" s="13" t="str" cm="1">
        <f t="array" ref="D995">_xlfn.XLOOKUP(B995,[1]Baseline!$D$3:$AZ$3,_xlfn.XLOOKUP(C995,[1]Baseline!$B$4:$B$91,[1]Baseline!$D$4:$AZ$91))</f>
        <v>No Knowledge</v>
      </c>
      <c r="E995" s="13" t="s">
        <v>375</v>
      </c>
      <c r="F995" s="13">
        <v>1</v>
      </c>
      <c r="G995" s="153">
        <v>1</v>
      </c>
      <c r="H995" s="16">
        <f t="shared" si="15"/>
        <v>0</v>
      </c>
      <c r="I995" s="13">
        <v>1</v>
      </c>
      <c r="J995" s="160"/>
    </row>
    <row r="996" spans="1:10">
      <c r="A996" s="13" t="s">
        <v>8</v>
      </c>
      <c r="B996" s="13" t="s">
        <v>61</v>
      </c>
      <c r="C996" s="13" t="str">
        <f>VLOOKUP([1]Competence!$B38,[1]Competence!$B$12:$B$100,1,FALSE)</f>
        <v>Competency assessment</v>
      </c>
      <c r="D996" s="13" t="str" cm="1">
        <f t="array" ref="D996">_xlfn.XLOOKUP(B996,[1]Baseline!$D$3:$AZ$3,_xlfn.XLOOKUP(C996,[1]Baseline!$B$4:$B$91,[1]Baseline!$D$4:$AZ$91))</f>
        <v>Awareness</v>
      </c>
      <c r="E996" s="13" t="s">
        <v>375</v>
      </c>
      <c r="F996" s="13">
        <v>0</v>
      </c>
      <c r="G996" s="153">
        <v>1</v>
      </c>
      <c r="H996" s="16">
        <f t="shared" si="15"/>
        <v>1</v>
      </c>
      <c r="I996" s="13">
        <v>1</v>
      </c>
      <c r="J996" s="160"/>
    </row>
    <row r="997" spans="1:10">
      <c r="A997" s="13" t="s">
        <v>8</v>
      </c>
      <c r="B997" s="13" t="s">
        <v>61</v>
      </c>
      <c r="C997" s="13" t="str">
        <f>VLOOKUP([1]Competence!$B39,[1]Competence!$B$12:$B$100,1,FALSE)</f>
        <v>Financial management</v>
      </c>
      <c r="D997" s="13" t="str" cm="1">
        <f t="array" ref="D997">_xlfn.XLOOKUP(B997,[1]Baseline!$D$3:$AZ$3,_xlfn.XLOOKUP(C997,[1]Baseline!$B$4:$B$91,[1]Baseline!$D$4:$AZ$91))</f>
        <v>Awareness</v>
      </c>
      <c r="E997" s="13" t="s">
        <v>375</v>
      </c>
      <c r="F997" s="13">
        <v>2</v>
      </c>
      <c r="G997" s="153">
        <v>2</v>
      </c>
      <c r="H997" s="16">
        <f t="shared" si="15"/>
        <v>0</v>
      </c>
      <c r="I997" s="13">
        <v>2</v>
      </c>
      <c r="J997" s="160"/>
    </row>
    <row r="998" spans="1:10">
      <c r="A998" s="13" t="s">
        <v>8</v>
      </c>
      <c r="B998" s="13" t="s">
        <v>61</v>
      </c>
      <c r="C998" s="13" t="str">
        <f>VLOOKUP([1]Competence!$B40,[1]Competence!$B$12:$B$100,1,FALSE)</f>
        <v>Organisation design and implementation</v>
      </c>
      <c r="D998" s="13" t="str" cm="1">
        <f t="array" ref="D998">_xlfn.XLOOKUP(B998,[1]Baseline!$D$3:$AZ$3,_xlfn.XLOOKUP(C998,[1]Baseline!$B$4:$B$91,[1]Baseline!$D$4:$AZ$91))</f>
        <v>No Knowledge</v>
      </c>
      <c r="E998" s="13" t="s">
        <v>375</v>
      </c>
      <c r="F998" s="13">
        <v>2</v>
      </c>
      <c r="G998" s="153">
        <v>1</v>
      </c>
      <c r="H998" s="16">
        <f t="shared" si="15"/>
        <v>-1</v>
      </c>
      <c r="I998" s="13">
        <v>1</v>
      </c>
      <c r="J998" s="160"/>
    </row>
    <row r="999" spans="1:10">
      <c r="A999" s="13" t="s">
        <v>8</v>
      </c>
      <c r="B999" s="13" t="s">
        <v>61</v>
      </c>
      <c r="C999" s="13" t="str">
        <f>VLOOKUP([1]Competence!$B41,[1]Competence!$B$12:$B$100,1,FALSE)</f>
        <v>Organisational capability development</v>
      </c>
      <c r="D999" s="13" t="str" cm="1">
        <f t="array" ref="D999">_xlfn.XLOOKUP(B999,[1]Baseline!$D$3:$AZ$3,_xlfn.XLOOKUP(C999,[1]Baseline!$B$4:$B$91,[1]Baseline!$D$4:$AZ$91))</f>
        <v>No Knowledge</v>
      </c>
      <c r="E999" s="13" t="s">
        <v>375</v>
      </c>
      <c r="F999" s="13">
        <v>3</v>
      </c>
      <c r="G999" s="153">
        <v>1</v>
      </c>
      <c r="H999" s="16">
        <f t="shared" si="15"/>
        <v>-2</v>
      </c>
      <c r="I999" s="13">
        <v>1</v>
      </c>
      <c r="J999" s="160"/>
    </row>
    <row r="1000" spans="1:10">
      <c r="A1000" s="13" t="s">
        <v>8</v>
      </c>
      <c r="B1000" s="13" t="s">
        <v>61</v>
      </c>
      <c r="C1000" s="13" t="str">
        <f>VLOOKUP([1]Competence!$B42,[1]Competence!$B$12:$B$100,1,FALSE)</f>
        <v>Organisational change management</v>
      </c>
      <c r="D1000" s="13" t="str" cm="1">
        <f t="array" ref="D1000">_xlfn.XLOOKUP(B1000,[1]Baseline!$D$3:$AZ$3,_xlfn.XLOOKUP(C1000,[1]Baseline!$B$4:$B$91,[1]Baseline!$D$4:$AZ$91))</f>
        <v>No Knowledge</v>
      </c>
      <c r="E1000" s="13" t="s">
        <v>373</v>
      </c>
      <c r="F1000" s="13">
        <v>0</v>
      </c>
      <c r="G1000" s="153">
        <v>1</v>
      </c>
      <c r="H1000" s="16">
        <f t="shared" si="15"/>
        <v>1</v>
      </c>
      <c r="I1000" s="13">
        <v>1</v>
      </c>
      <c r="J1000" s="160"/>
    </row>
    <row r="1001" spans="1:10">
      <c r="A1001" s="13" t="s">
        <v>8</v>
      </c>
      <c r="B1001" s="13" t="s">
        <v>61</v>
      </c>
      <c r="C1001" s="13" t="str">
        <f>VLOOKUP([1]Competence!$B43,[1]Competence!$B$12:$B$100,1,FALSE)</f>
        <v>Performance Management</v>
      </c>
      <c r="D1001" s="13" t="str" cm="1">
        <f t="array" ref="D1001">_xlfn.XLOOKUP(B1001,[1]Baseline!$D$3:$AZ$3,_xlfn.XLOOKUP(C1001,[1]Baseline!$B$4:$B$91,[1]Baseline!$D$4:$AZ$91))</f>
        <v>No Knowledge</v>
      </c>
      <c r="E1001" s="13" t="s">
        <v>373</v>
      </c>
      <c r="F1001" s="13">
        <v>0</v>
      </c>
      <c r="G1001" s="153">
        <v>1</v>
      </c>
      <c r="H1001" s="16">
        <f t="shared" si="15"/>
        <v>1</v>
      </c>
      <c r="I1001" s="13">
        <v>1</v>
      </c>
      <c r="J1001" s="160"/>
    </row>
    <row r="1002" spans="1:10">
      <c r="A1002" s="13" t="s">
        <v>8</v>
      </c>
      <c r="B1002" s="13" t="s">
        <v>61</v>
      </c>
      <c r="C1002" s="13" t="str">
        <f>VLOOKUP([1]Competence!$B44,[1]Competence!$B$12:$B$100,1,FALSE)</f>
        <v>Professional Development</v>
      </c>
      <c r="D1002" s="13" t="str" cm="1">
        <f t="array" ref="D1002">_xlfn.XLOOKUP(B1002,[1]Baseline!$D$3:$AZ$3,_xlfn.XLOOKUP(C1002,[1]Baseline!$B$4:$B$91,[1]Baseline!$D$4:$AZ$91))</f>
        <v>Awareness</v>
      </c>
      <c r="E1002" s="13" t="s">
        <v>376</v>
      </c>
      <c r="F1002" s="13">
        <v>2</v>
      </c>
      <c r="G1002" s="153">
        <v>1</v>
      </c>
      <c r="H1002" s="16">
        <f t="shared" si="15"/>
        <v>-1</v>
      </c>
      <c r="I1002" s="13">
        <v>1</v>
      </c>
      <c r="J1002" s="160"/>
    </row>
    <row r="1003" spans="1:10">
      <c r="A1003" s="13" t="s">
        <v>8</v>
      </c>
      <c r="B1003" s="13" t="s">
        <v>61</v>
      </c>
      <c r="C1003" s="13" t="str">
        <f>VLOOKUP([1]Competence!$B45,[1]Competence!$B$12:$B$100,1,FALSE)</f>
        <v>Strategic Planning</v>
      </c>
      <c r="D1003" s="13" t="str" cm="1">
        <f t="array" ref="D1003">_xlfn.XLOOKUP(B1003,[1]Baseline!$D$3:$AZ$3,_xlfn.XLOOKUP(C1003,[1]Baseline!$B$4:$B$91,[1]Baseline!$D$4:$AZ$91))</f>
        <v>No Knowledge</v>
      </c>
      <c r="E1003" s="13" t="s">
        <v>376</v>
      </c>
      <c r="F1003" s="13">
        <v>3</v>
      </c>
      <c r="G1003" s="153">
        <v>1</v>
      </c>
      <c r="H1003" s="16">
        <f t="shared" si="15"/>
        <v>-2</v>
      </c>
      <c r="I1003" s="13">
        <v>1</v>
      </c>
      <c r="J1003" s="160"/>
    </row>
    <row r="1004" spans="1:10">
      <c r="A1004" s="13" t="s">
        <v>8</v>
      </c>
      <c r="B1004" s="13" t="s">
        <v>61</v>
      </c>
      <c r="C1004" s="13" t="str">
        <f>VLOOKUP([1]Competence!$B46,[1]Competence!$B$12:$B$100,1,FALSE)</f>
        <v>Workforce Planning</v>
      </c>
      <c r="D1004" s="13" t="str" cm="1">
        <f t="array" ref="D1004">_xlfn.XLOOKUP(B1004,[1]Baseline!$D$3:$AZ$3,_xlfn.XLOOKUP(C1004,[1]Baseline!$B$4:$B$91,[1]Baseline!$D$4:$AZ$91))</f>
        <v>No Knowledge</v>
      </c>
      <c r="E1004" s="13" t="s">
        <v>376</v>
      </c>
      <c r="F1004" s="13">
        <v>3</v>
      </c>
      <c r="G1004" s="153">
        <v>1</v>
      </c>
      <c r="H1004" s="16">
        <f t="shared" si="15"/>
        <v>-2</v>
      </c>
      <c r="I1004" s="13">
        <v>1</v>
      </c>
      <c r="J1004" s="160"/>
    </row>
    <row r="1005" spans="1:10">
      <c r="A1005" s="13" t="s">
        <v>8</v>
      </c>
      <c r="B1005" s="13" t="s">
        <v>61</v>
      </c>
      <c r="C1005" s="13" t="str">
        <f>VLOOKUP([1]Competence!$B47,[1]Competence!$B$12:$B$100,1,FALSE)</f>
        <v>Audit</v>
      </c>
      <c r="D1005" s="13" t="str" cm="1">
        <f t="array" ref="D1005">_xlfn.XLOOKUP(B1005,[1]Baseline!$D$3:$AZ$3,_xlfn.XLOOKUP(C1005,[1]Baseline!$B$4:$B$91,[1]Baseline!$D$4:$AZ$91))</f>
        <v>Working</v>
      </c>
      <c r="E1005" s="13" t="s">
        <v>376</v>
      </c>
      <c r="F1005" s="13">
        <v>3</v>
      </c>
      <c r="G1005" s="153">
        <v>1</v>
      </c>
      <c r="H1005" s="16">
        <f t="shared" si="15"/>
        <v>-2</v>
      </c>
      <c r="I1005" s="13">
        <v>1</v>
      </c>
      <c r="J1005" s="160"/>
    </row>
    <row r="1006" spans="1:10">
      <c r="A1006" s="13" t="s">
        <v>8</v>
      </c>
      <c r="B1006" s="13" t="s">
        <v>61</v>
      </c>
      <c r="C1006" s="13" t="str">
        <f>VLOOKUP([1]Competence!$B48,[1]Competence!$B$12:$B$100,1,FALSE)</f>
        <v>Contract management</v>
      </c>
      <c r="D1006" s="13" t="str" cm="1">
        <f t="array" ref="D1006">_xlfn.XLOOKUP(B1006,[1]Baseline!$D$3:$AZ$3,_xlfn.XLOOKUP(C1006,[1]Baseline!$B$4:$B$91,[1]Baseline!$D$4:$AZ$91))</f>
        <v>No Knowledge</v>
      </c>
      <c r="E1006" s="13" t="s">
        <v>376</v>
      </c>
      <c r="F1006" s="13">
        <v>3</v>
      </c>
      <c r="G1006" s="153">
        <v>1</v>
      </c>
      <c r="H1006" s="16">
        <f t="shared" si="15"/>
        <v>-2</v>
      </c>
      <c r="I1006" s="13">
        <v>1</v>
      </c>
      <c r="J1006" s="160"/>
    </row>
    <row r="1007" spans="1:10">
      <c r="A1007" s="13" t="s">
        <v>8</v>
      </c>
      <c r="B1007" s="13" t="s">
        <v>61</v>
      </c>
      <c r="C1007" s="13" t="str">
        <f>VLOOKUP([1]Competence!$B49,[1]Competence!$B$12:$B$100,1,FALSE)</f>
        <v>Feasibility assessment</v>
      </c>
      <c r="D1007" s="13" t="str" cm="1">
        <f t="array" ref="D1007">_xlfn.XLOOKUP(B1007,[1]Baseline!$D$3:$AZ$3,_xlfn.XLOOKUP(C1007,[1]Baseline!$B$4:$B$91,[1]Baseline!$D$4:$AZ$91))</f>
        <v>No Knowledge</v>
      </c>
      <c r="E1007" s="13" t="s">
        <v>374</v>
      </c>
      <c r="F1007" s="13">
        <v>2</v>
      </c>
      <c r="G1007" s="153">
        <v>1</v>
      </c>
      <c r="H1007" s="16">
        <f t="shared" si="15"/>
        <v>-1</v>
      </c>
      <c r="I1007" s="13">
        <v>1</v>
      </c>
      <c r="J1007" s="160"/>
    </row>
    <row r="1008" spans="1:10">
      <c r="A1008" s="13" t="s">
        <v>8</v>
      </c>
      <c r="B1008" s="13" t="s">
        <v>61</v>
      </c>
      <c r="C1008" s="13" t="str">
        <f>VLOOKUP([1]Competence!$B50,[1]Competence!$B$12:$B$100,1,FALSE)</f>
        <v>Governance</v>
      </c>
      <c r="D1008" s="13" t="str" cm="1">
        <f t="array" ref="D1008">_xlfn.XLOOKUP(B1008,[1]Baseline!$D$3:$AZ$3,_xlfn.XLOOKUP(C1008,[1]Baseline!$B$4:$B$91,[1]Baseline!$D$4:$AZ$91))</f>
        <v>Awareness</v>
      </c>
      <c r="E1008" s="13" t="s">
        <v>374</v>
      </c>
      <c r="F1008" s="13">
        <v>1</v>
      </c>
      <c r="G1008" s="153">
        <v>1</v>
      </c>
      <c r="H1008" s="16">
        <f t="shared" si="15"/>
        <v>0</v>
      </c>
      <c r="I1008" s="13">
        <v>1</v>
      </c>
      <c r="J1008" s="160"/>
    </row>
    <row r="1009" spans="1:10">
      <c r="A1009" s="13" t="s">
        <v>8</v>
      </c>
      <c r="B1009" s="13" t="s">
        <v>61</v>
      </c>
      <c r="C1009" s="13" t="str">
        <f>VLOOKUP([1]Competence!$B51,[1]Competence!$B$12:$B$100,1,FALSE)</f>
        <v>Risk management</v>
      </c>
      <c r="D1009" s="13" t="str" cm="1">
        <f t="array" ref="D1009">_xlfn.XLOOKUP(B1009,[1]Baseline!$D$3:$AZ$3,_xlfn.XLOOKUP(C1009,[1]Baseline!$B$4:$B$91,[1]Baseline!$D$4:$AZ$91))</f>
        <v>No Knowledge</v>
      </c>
      <c r="E1009" s="13" t="s">
        <v>374</v>
      </c>
      <c r="F1009" s="13">
        <v>1</v>
      </c>
      <c r="G1009" s="153">
        <v>1</v>
      </c>
      <c r="H1009" s="16">
        <f t="shared" si="15"/>
        <v>0</v>
      </c>
      <c r="I1009" s="13">
        <v>1</v>
      </c>
      <c r="J1009" s="160"/>
    </row>
    <row r="1010" spans="1:10">
      <c r="A1010" s="13" t="s">
        <v>8</v>
      </c>
      <c r="B1010" s="13" t="s">
        <v>61</v>
      </c>
      <c r="C1010" s="13" t="str">
        <f>VLOOKUP([1]Competence!$B52,[1]Competence!$B$12:$B$100,1,FALSE)</f>
        <v>Sourcing</v>
      </c>
      <c r="D1010" s="13" t="str" cm="1">
        <f t="array" ref="D1010">_xlfn.XLOOKUP(B1010,[1]Baseline!$D$3:$AZ$3,_xlfn.XLOOKUP(C1010,[1]Baseline!$B$4:$B$91,[1]Baseline!$D$4:$AZ$91))</f>
        <v>Awareness</v>
      </c>
      <c r="E1010" s="13" t="s">
        <v>374</v>
      </c>
      <c r="F1010" s="13">
        <v>0</v>
      </c>
      <c r="G1010" s="153">
        <v>3</v>
      </c>
      <c r="H1010" s="16">
        <f t="shared" si="15"/>
        <v>3</v>
      </c>
      <c r="I1010" s="13">
        <v>3</v>
      </c>
      <c r="J1010" s="160"/>
    </row>
    <row r="1011" spans="1:10">
      <c r="A1011" s="13" t="s">
        <v>8</v>
      </c>
      <c r="B1011" s="13" t="s">
        <v>61</v>
      </c>
      <c r="C1011" s="13" t="str">
        <f>VLOOKUP([1]Competence!$B53,[1]Competence!$B$12:$B$100,1,FALSE)</f>
        <v>Supplier management</v>
      </c>
      <c r="D1011" s="13" t="str" cm="1">
        <f t="array" ref="D1011">_xlfn.XLOOKUP(B1011,[1]Baseline!$D$3:$AZ$3,_xlfn.XLOOKUP(C1011,[1]Baseline!$B$4:$B$91,[1]Baseline!$D$4:$AZ$91))</f>
        <v>Awareness</v>
      </c>
      <c r="E1011" s="13" t="s">
        <v>374</v>
      </c>
      <c r="F1011" s="13">
        <v>0</v>
      </c>
      <c r="G1011" s="153">
        <v>3</v>
      </c>
      <c r="H1011" s="16">
        <f t="shared" si="15"/>
        <v>3</v>
      </c>
      <c r="I1011" s="13">
        <v>3</v>
      </c>
      <c r="J1011" s="160"/>
    </row>
    <row r="1012" spans="1:10">
      <c r="A1012" s="13" t="s">
        <v>8</v>
      </c>
      <c r="B1012" s="13" t="s">
        <v>61</v>
      </c>
      <c r="C1012" s="13" t="str">
        <f>VLOOKUP([1]Competence!$B54,[1]Competence!$B$12:$B$100,1,FALSE)</f>
        <v>Sustainability</v>
      </c>
      <c r="D1012" s="13" t="str" cm="1">
        <f t="array" ref="D1012">_xlfn.XLOOKUP(B1012,[1]Baseline!$D$3:$AZ$3,_xlfn.XLOOKUP(C1012,[1]Baseline!$B$4:$B$91,[1]Baseline!$D$4:$AZ$91))</f>
        <v>Awareness</v>
      </c>
      <c r="E1012" s="13" t="s">
        <v>374</v>
      </c>
      <c r="F1012" s="13">
        <v>2</v>
      </c>
      <c r="G1012" s="153">
        <v>1</v>
      </c>
      <c r="H1012" s="16">
        <f t="shared" si="15"/>
        <v>-1</v>
      </c>
      <c r="I1012" s="13">
        <v>1</v>
      </c>
      <c r="J1012" s="160"/>
    </row>
    <row r="1013" spans="1:10">
      <c r="A1013" s="13" t="s">
        <v>8</v>
      </c>
      <c r="B1013" s="13" t="s">
        <v>61</v>
      </c>
      <c r="C1013" s="13" t="str">
        <f>VLOOKUP([1]Competence!$B55,[1]Competence!$B$12:$B$100,1,FALSE)</f>
        <v>Acceptance testing</v>
      </c>
      <c r="D1013" s="13" t="str" cm="1">
        <f t="array" ref="D1013">_xlfn.XLOOKUP(B1013,[1]Baseline!$D$3:$AZ$3,_xlfn.XLOOKUP(C1013,[1]Baseline!$B$4:$B$91,[1]Baseline!$D$4:$AZ$91))</f>
        <v>Awareness</v>
      </c>
      <c r="E1013" s="13" t="s">
        <v>377</v>
      </c>
      <c r="F1013" s="13">
        <v>0</v>
      </c>
      <c r="G1013" s="153">
        <v>1</v>
      </c>
      <c r="H1013" s="16">
        <f t="shared" si="15"/>
        <v>1</v>
      </c>
      <c r="I1013" s="13">
        <v>1</v>
      </c>
      <c r="J1013" s="160"/>
    </row>
    <row r="1014" spans="1:10">
      <c r="A1014" s="13" t="s">
        <v>8</v>
      </c>
      <c r="B1014" s="13" t="s">
        <v>61</v>
      </c>
      <c r="C1014" s="13" t="str">
        <f>VLOOKUP([1]Competence!$B56,[1]Competence!$B$12:$B$100,1,FALSE)</f>
        <v>Application support</v>
      </c>
      <c r="D1014" s="13" t="str" cm="1">
        <f t="array" ref="D1014">_xlfn.XLOOKUP(B1014,[1]Baseline!$D$3:$AZ$3,_xlfn.XLOOKUP(C1014,[1]Baseline!$B$4:$B$91,[1]Baseline!$D$4:$AZ$91))</f>
        <v>Working</v>
      </c>
      <c r="E1014" s="13" t="s">
        <v>377</v>
      </c>
      <c r="F1014" s="13">
        <v>0</v>
      </c>
      <c r="G1014" s="153">
        <v>2</v>
      </c>
      <c r="H1014" s="16">
        <f t="shared" si="15"/>
        <v>2</v>
      </c>
      <c r="I1014" s="13">
        <v>2</v>
      </c>
      <c r="J1014" s="160"/>
    </row>
    <row r="1015" spans="1:10">
      <c r="A1015" s="13" t="s">
        <v>8</v>
      </c>
      <c r="B1015" s="13" t="s">
        <v>61</v>
      </c>
      <c r="C1015" s="13" t="str">
        <f>VLOOKUP([1]Competence!$B57,[1]Competence!$B$12:$B$100,1,FALSE)</f>
        <v>Data Engineering</v>
      </c>
      <c r="D1015" s="13" t="str" cm="1">
        <f t="array" ref="D1015">_xlfn.XLOOKUP(B1015,[1]Baseline!$D$3:$AZ$3,_xlfn.XLOOKUP(C1015,[1]Baseline!$B$4:$B$91,[1]Baseline!$D$4:$AZ$91))</f>
        <v>No Knowledge</v>
      </c>
      <c r="E1015" s="13" t="s">
        <v>377</v>
      </c>
      <c r="F1015" s="13">
        <v>0</v>
      </c>
      <c r="G1015" s="153">
        <v>0</v>
      </c>
      <c r="H1015" s="16">
        <f t="shared" si="15"/>
        <v>0</v>
      </c>
      <c r="I1015" s="13">
        <v>0</v>
      </c>
      <c r="J1015" s="160"/>
    </row>
    <row r="1016" spans="1:10">
      <c r="A1016" s="13" t="s">
        <v>8</v>
      </c>
      <c r="B1016" s="13" t="s">
        <v>61</v>
      </c>
      <c r="C1016" s="13" t="str">
        <f>VLOOKUP([1]Competence!$B58,[1]Competence!$B$12:$B$100,1,FALSE)</f>
        <v>Data Management</v>
      </c>
      <c r="D1016" s="13" t="str" cm="1">
        <f t="array" ref="D1016">_xlfn.XLOOKUP(B1016,[1]Baseline!$D$3:$AZ$3,_xlfn.XLOOKUP(C1016,[1]Baseline!$B$4:$B$91,[1]Baseline!$D$4:$AZ$91))</f>
        <v>No Knowledge</v>
      </c>
      <c r="E1016" s="13" t="s">
        <v>377</v>
      </c>
      <c r="F1016" s="13">
        <v>0</v>
      </c>
      <c r="G1016" s="153">
        <v>0</v>
      </c>
      <c r="H1016" s="16">
        <f t="shared" si="15"/>
        <v>0</v>
      </c>
      <c r="I1016" s="13">
        <v>0</v>
      </c>
      <c r="J1016" s="160"/>
    </row>
    <row r="1017" spans="1:10">
      <c r="A1017" s="13" t="s">
        <v>8</v>
      </c>
      <c r="B1017" s="13" t="s">
        <v>61</v>
      </c>
      <c r="C1017" s="13" t="str">
        <f>VLOOKUP([1]Competence!$B59,[1]Competence!$B$12:$B$100,1,FALSE)</f>
        <v>Data Modelling and Design</v>
      </c>
      <c r="D1017" s="13" t="str" cm="1">
        <f t="array" ref="D1017">_xlfn.XLOOKUP(B1017,[1]Baseline!$D$3:$AZ$3,_xlfn.XLOOKUP(C1017,[1]Baseline!$B$4:$B$91,[1]Baseline!$D$4:$AZ$91))</f>
        <v>No Knowledge</v>
      </c>
      <c r="E1017" s="13" t="s">
        <v>378</v>
      </c>
      <c r="F1017" s="13">
        <v>1</v>
      </c>
      <c r="G1017" s="153">
        <v>0</v>
      </c>
      <c r="H1017" s="16">
        <f t="shared" si="15"/>
        <v>-1</v>
      </c>
      <c r="I1017" s="13">
        <v>0</v>
      </c>
      <c r="J1017" s="160"/>
    </row>
    <row r="1018" spans="1:10">
      <c r="A1018" s="13" t="s">
        <v>8</v>
      </c>
      <c r="B1018" s="13" t="s">
        <v>61</v>
      </c>
      <c r="C1018" s="13" t="str">
        <f>VLOOKUP([1]Competence!$B60,[1]Competence!$B$12:$B$100,1,FALSE)</f>
        <v>Data science</v>
      </c>
      <c r="D1018" s="13" t="str" cm="1">
        <f t="array" ref="D1018">_xlfn.XLOOKUP(B1018,[1]Baseline!$D$3:$AZ$3,_xlfn.XLOOKUP(C1018,[1]Baseline!$B$4:$B$91,[1]Baseline!$D$4:$AZ$91))</f>
        <v>No Knowledge</v>
      </c>
      <c r="E1018" s="13" t="s">
        <v>378</v>
      </c>
      <c r="F1018" s="13">
        <v>0</v>
      </c>
      <c r="G1018" s="153">
        <v>0</v>
      </c>
      <c r="H1018" s="16">
        <f t="shared" si="15"/>
        <v>0</v>
      </c>
      <c r="I1018" s="13">
        <v>0</v>
      </c>
      <c r="J1018" s="160"/>
    </row>
    <row r="1019" spans="1:10">
      <c r="A1019" s="13" t="s">
        <v>8</v>
      </c>
      <c r="B1019" s="13" t="s">
        <v>61</v>
      </c>
      <c r="C1019" s="13" t="str">
        <f>VLOOKUP([1]Competence!$B61,[1]Competence!$B$12:$B$100,1,FALSE)</f>
        <v>Data visualisation</v>
      </c>
      <c r="D1019" s="13" t="str" cm="1">
        <f t="array" ref="D1019">_xlfn.XLOOKUP(B1019,[1]Baseline!$D$3:$AZ$3,_xlfn.XLOOKUP(C1019,[1]Baseline!$B$4:$B$91,[1]Baseline!$D$4:$AZ$91))</f>
        <v>No Knowledge</v>
      </c>
      <c r="E1019" s="13" t="s">
        <v>378</v>
      </c>
      <c r="F1019" s="13">
        <v>0</v>
      </c>
      <c r="G1019" s="153">
        <v>1</v>
      </c>
      <c r="H1019" s="16">
        <f t="shared" si="15"/>
        <v>1</v>
      </c>
      <c r="I1019" s="13">
        <v>1</v>
      </c>
      <c r="J1019" s="160"/>
    </row>
    <row r="1020" spans="1:10">
      <c r="A1020" s="13" t="s">
        <v>8</v>
      </c>
      <c r="B1020" s="13" t="s">
        <v>61</v>
      </c>
      <c r="C1020" s="13" t="str">
        <f>VLOOKUP([1]Competence!$B62,[1]Competence!$B$12:$B$100,1,FALSE)</f>
        <v>Database Administration</v>
      </c>
      <c r="D1020" s="13" t="str" cm="1">
        <f t="array" ref="D1020">_xlfn.XLOOKUP(B1020,[1]Baseline!$D$3:$AZ$3,_xlfn.XLOOKUP(C1020,[1]Baseline!$B$4:$B$91,[1]Baseline!$D$4:$AZ$91))</f>
        <v>No Knowledge</v>
      </c>
      <c r="E1020" s="13" t="s">
        <v>378</v>
      </c>
      <c r="F1020" s="13">
        <v>0</v>
      </c>
      <c r="G1020" s="153">
        <v>1</v>
      </c>
      <c r="H1020" s="16">
        <f t="shared" si="15"/>
        <v>1</v>
      </c>
      <c r="I1020" s="13">
        <v>1</v>
      </c>
      <c r="J1020" s="160"/>
    </row>
    <row r="1021" spans="1:10">
      <c r="A1021" s="13" t="s">
        <v>8</v>
      </c>
      <c r="B1021" s="13" t="s">
        <v>61</v>
      </c>
      <c r="C1021" s="13" t="str">
        <f>VLOOKUP([1]Competence!$B63,[1]Competence!$B$12:$B$100,1,FALSE)</f>
        <v>Database Design</v>
      </c>
      <c r="D1021" s="13" t="str" cm="1">
        <f t="array" ref="D1021">_xlfn.XLOOKUP(B1021,[1]Baseline!$D$3:$AZ$3,_xlfn.XLOOKUP(C1021,[1]Baseline!$B$4:$B$91,[1]Baseline!$D$4:$AZ$91))</f>
        <v>No Knowledge</v>
      </c>
      <c r="E1021" s="13" t="s">
        <v>378</v>
      </c>
      <c r="F1021" s="13">
        <v>0</v>
      </c>
      <c r="G1021" s="153">
        <v>1</v>
      </c>
      <c r="H1021" s="16">
        <f t="shared" si="15"/>
        <v>1</v>
      </c>
      <c r="I1021" s="13">
        <v>1</v>
      </c>
      <c r="J1021" s="160"/>
    </row>
    <row r="1022" spans="1:10">
      <c r="A1022" s="13" t="s">
        <v>8</v>
      </c>
      <c r="B1022" s="13" t="s">
        <v>61</v>
      </c>
      <c r="C1022" s="13" t="str">
        <f>VLOOKUP([1]Competence!$B64,[1]Competence!$B$12:$B$100,1,FALSE)</f>
        <v>Hardware design</v>
      </c>
      <c r="D1022" s="13" t="str" cm="1">
        <f t="array" ref="D1022">_xlfn.XLOOKUP(B1022,[1]Baseline!$D$3:$AZ$3,_xlfn.XLOOKUP(C1022,[1]Baseline!$B$4:$B$91,[1]Baseline!$D$4:$AZ$91))</f>
        <v>No Knowledge</v>
      </c>
      <c r="E1022" s="13" t="s">
        <v>378</v>
      </c>
      <c r="F1022" s="13">
        <v>0</v>
      </c>
      <c r="G1022" s="153">
        <v>3</v>
      </c>
      <c r="H1022" s="16">
        <f t="shared" si="15"/>
        <v>3</v>
      </c>
      <c r="I1022" s="13">
        <v>3</v>
      </c>
      <c r="J1022" s="160"/>
    </row>
    <row r="1023" spans="1:10">
      <c r="A1023" s="13" t="s">
        <v>8</v>
      </c>
      <c r="B1023" s="13" t="s">
        <v>61</v>
      </c>
      <c r="C1023" s="13" t="str">
        <f>VLOOKUP([1]Competence!$B65,[1]Competence!$B$12:$B$100,1,FALSE)</f>
        <v>High Performance Computing</v>
      </c>
      <c r="D1023" s="13" t="str" cm="1">
        <f t="array" ref="D1023">_xlfn.XLOOKUP(B1023,[1]Baseline!$D$3:$AZ$3,_xlfn.XLOOKUP(C1023,[1]Baseline!$B$4:$B$91,[1]Baseline!$D$4:$AZ$91))</f>
        <v>Awareness</v>
      </c>
      <c r="E1023" s="13" t="s">
        <v>378</v>
      </c>
      <c r="F1023" s="13">
        <v>0</v>
      </c>
      <c r="G1023" s="153">
        <v>1</v>
      </c>
      <c r="H1023" s="16">
        <f t="shared" si="15"/>
        <v>1</v>
      </c>
      <c r="I1023" s="13">
        <v>1</v>
      </c>
      <c r="J1023" s="160"/>
    </row>
    <row r="1024" spans="1:10">
      <c r="A1024" s="13" t="s">
        <v>8</v>
      </c>
      <c r="B1024" s="13" t="s">
        <v>61</v>
      </c>
      <c r="C1024" s="13" t="str">
        <f>VLOOKUP([1]Competence!$B66,[1]Competence!$B$12:$B$100,1,FALSE)</f>
        <v>Research Computing</v>
      </c>
      <c r="D1024" s="13" t="str" cm="1">
        <f t="array" ref="D1024">_xlfn.XLOOKUP(B1024,[1]Baseline!$D$3:$AZ$3,_xlfn.XLOOKUP(C1024,[1]Baseline!$B$4:$B$91,[1]Baseline!$D$4:$AZ$91))</f>
        <v>Awareness</v>
      </c>
      <c r="E1024" s="13" t="s">
        <v>49</v>
      </c>
      <c r="F1024" s="13">
        <v>0</v>
      </c>
      <c r="G1024" s="153">
        <v>1</v>
      </c>
      <c r="H1024" s="16">
        <f t="shared" si="15"/>
        <v>1</v>
      </c>
      <c r="I1024" s="13">
        <v>1</v>
      </c>
      <c r="J1024" s="160"/>
    </row>
    <row r="1025" spans="1:10">
      <c r="A1025" s="13" t="s">
        <v>8</v>
      </c>
      <c r="B1025" s="13" t="s">
        <v>61</v>
      </c>
      <c r="C1025" s="13" t="str">
        <f>VLOOKUP([1]Competence!$B67,[1]Competence!$B$12:$B$100,1,FALSE)</f>
        <v>Information assurance</v>
      </c>
      <c r="D1025" s="13" t="str" cm="1">
        <f t="array" ref="D1025">_xlfn.XLOOKUP(B1025,[1]Baseline!$D$3:$AZ$3,_xlfn.XLOOKUP(C1025,[1]Baseline!$B$4:$B$91,[1]Baseline!$D$4:$AZ$91))</f>
        <v>Practitioner</v>
      </c>
      <c r="E1025" s="13" t="s">
        <v>49</v>
      </c>
      <c r="F1025" s="13">
        <v>0</v>
      </c>
      <c r="G1025" s="153">
        <v>2</v>
      </c>
      <c r="H1025" s="16">
        <f t="shared" si="15"/>
        <v>2</v>
      </c>
      <c r="I1025" s="13">
        <v>2</v>
      </c>
      <c r="J1025" s="160"/>
    </row>
    <row r="1026" spans="1:10">
      <c r="A1026" s="13" t="s">
        <v>8</v>
      </c>
      <c r="B1026" s="13" t="s">
        <v>61</v>
      </c>
      <c r="C1026" s="13" t="str">
        <f>VLOOKUP([1]Competence!$B68,[1]Competence!$B$12:$B$100,1,FALSE)</f>
        <v>Information management</v>
      </c>
      <c r="D1026" s="13" t="str" cm="1">
        <f t="array" ref="D1026">_xlfn.XLOOKUP(B1026,[1]Baseline!$D$3:$AZ$3,_xlfn.XLOOKUP(C1026,[1]Baseline!$B$4:$B$91,[1]Baseline!$D$4:$AZ$91))</f>
        <v>Awareness</v>
      </c>
      <c r="E1026" s="13" t="s">
        <v>49</v>
      </c>
      <c r="F1026" s="13">
        <v>0</v>
      </c>
      <c r="G1026" s="153">
        <v>1</v>
      </c>
      <c r="H1026" s="16">
        <f t="shared" ref="H1026:H1089" si="16">I1026-F1026</f>
        <v>1</v>
      </c>
      <c r="I1026" s="13">
        <v>1</v>
      </c>
      <c r="J1026" s="160"/>
    </row>
    <row r="1027" spans="1:10">
      <c r="A1027" s="13" t="s">
        <v>8</v>
      </c>
      <c r="B1027" s="13" t="s">
        <v>61</v>
      </c>
      <c r="C1027" s="13" t="str">
        <f>VLOOKUP([1]Competence!$B69,[1]Competence!$B$12:$B$100,1,FALSE)</f>
        <v>Infrastructure</v>
      </c>
      <c r="D1027" s="13" t="str" cm="1">
        <f t="array" ref="D1027">_xlfn.XLOOKUP(B1027,[1]Baseline!$D$3:$AZ$3,_xlfn.XLOOKUP(C1027,[1]Baseline!$B$4:$B$91,[1]Baseline!$D$4:$AZ$91))</f>
        <v>Working</v>
      </c>
      <c r="E1027" s="13" t="s">
        <v>375</v>
      </c>
      <c r="F1027" s="13">
        <v>0</v>
      </c>
      <c r="G1027" s="153">
        <v>4</v>
      </c>
      <c r="H1027" s="16">
        <f t="shared" si="16"/>
        <v>4</v>
      </c>
      <c r="I1027" s="13">
        <v>4</v>
      </c>
      <c r="J1027" s="160"/>
    </row>
    <row r="1028" spans="1:10">
      <c r="A1028" s="13" t="s">
        <v>8</v>
      </c>
      <c r="B1028" s="13" t="s">
        <v>61</v>
      </c>
      <c r="C1028" s="13" t="str">
        <f>VLOOKUP([1]Competence!$B70,[1]Competence!$B$12:$B$100,1,FALSE)</f>
        <v>Network design</v>
      </c>
      <c r="D1028" s="13" t="str" cm="1">
        <f t="array" ref="D1028">_xlfn.XLOOKUP(B1028,[1]Baseline!$D$3:$AZ$3,_xlfn.XLOOKUP(C1028,[1]Baseline!$B$4:$B$91,[1]Baseline!$D$4:$AZ$91))</f>
        <v>No Knowledge</v>
      </c>
      <c r="E1028" s="13" t="s">
        <v>375</v>
      </c>
      <c r="F1028" s="13">
        <v>0</v>
      </c>
      <c r="G1028" s="153">
        <v>1</v>
      </c>
      <c r="H1028" s="16">
        <f t="shared" si="16"/>
        <v>1</v>
      </c>
      <c r="I1028" s="13">
        <v>1</v>
      </c>
      <c r="J1028" s="160"/>
    </row>
    <row r="1029" spans="1:10">
      <c r="A1029" s="13" t="s">
        <v>8</v>
      </c>
      <c r="B1029" s="13" t="s">
        <v>61</v>
      </c>
      <c r="C1029" s="13" t="str">
        <f>VLOOKUP([1]Competence!$B71,[1]Competence!$B$12:$B$100,1,FALSE)</f>
        <v>Network Analytics</v>
      </c>
      <c r="D1029" s="13" t="str" cm="1">
        <f t="array" ref="D1029">_xlfn.XLOOKUP(B1029,[1]Baseline!$D$3:$AZ$3,_xlfn.XLOOKUP(C1029,[1]Baseline!$B$4:$B$91,[1]Baseline!$D$4:$AZ$91))</f>
        <v>No Knowledge</v>
      </c>
      <c r="E1029" s="13" t="s">
        <v>375</v>
      </c>
      <c r="F1029" s="13">
        <v>0</v>
      </c>
      <c r="G1029" s="153">
        <v>0</v>
      </c>
      <c r="H1029" s="16">
        <f t="shared" si="16"/>
        <v>0</v>
      </c>
      <c r="I1029" s="13">
        <v>0</v>
      </c>
      <c r="J1029" s="160"/>
    </row>
    <row r="1030" spans="1:10">
      <c r="A1030" s="13" t="s">
        <v>8</v>
      </c>
      <c r="B1030" s="13" t="s">
        <v>61</v>
      </c>
      <c r="C1030" s="13" t="str">
        <f>VLOOKUP([1]Competence!$B72,[1]Competence!$B$12:$B$100,1,FALSE)</f>
        <v>Network support</v>
      </c>
      <c r="D1030" s="13" t="str" cm="1">
        <f t="array" ref="D1030">_xlfn.XLOOKUP(B1030,[1]Baseline!$D$3:$AZ$3,_xlfn.XLOOKUP(C1030,[1]Baseline!$B$4:$B$91,[1]Baseline!$D$4:$AZ$91))</f>
        <v>Working</v>
      </c>
      <c r="E1030" s="13" t="s">
        <v>375</v>
      </c>
      <c r="F1030" s="13">
        <v>0</v>
      </c>
      <c r="G1030" s="153">
        <v>2</v>
      </c>
      <c r="H1030" s="16">
        <f t="shared" si="16"/>
        <v>2</v>
      </c>
      <c r="I1030" s="13">
        <v>2</v>
      </c>
      <c r="J1030" s="160"/>
    </row>
    <row r="1031" spans="1:10">
      <c r="A1031" s="13" t="s">
        <v>8</v>
      </c>
      <c r="B1031" s="13" t="s">
        <v>61</v>
      </c>
      <c r="C1031" s="13" t="str">
        <f>VLOOKUP([1]Competence!$B73,[1]Competence!$B$12:$B$100,1,FALSE)</f>
        <v>Programming/software development</v>
      </c>
      <c r="D1031" s="13" t="str" cm="1">
        <f t="array" ref="D1031">_xlfn.XLOOKUP(B1031,[1]Baseline!$D$3:$AZ$3,_xlfn.XLOOKUP(C1031,[1]Baseline!$B$4:$B$91,[1]Baseline!$D$4:$AZ$91))</f>
        <v>No Knowledge</v>
      </c>
      <c r="E1031" s="13" t="s">
        <v>375</v>
      </c>
      <c r="F1031" s="13">
        <v>0</v>
      </c>
      <c r="G1031" s="153">
        <v>1</v>
      </c>
      <c r="H1031" s="16">
        <f t="shared" si="16"/>
        <v>1</v>
      </c>
      <c r="I1031" s="13">
        <v>1</v>
      </c>
      <c r="J1031" s="160"/>
    </row>
    <row r="1032" spans="1:10">
      <c r="A1032" s="13" t="s">
        <v>8</v>
      </c>
      <c r="B1032" s="13" t="s">
        <v>61</v>
      </c>
      <c r="C1032" s="13" t="str">
        <f>VLOOKUP([1]Competence!$B74,[1]Competence!$B$12:$B$100,1,FALSE)</f>
        <v>Real-time/embedded systems development</v>
      </c>
      <c r="D1032" s="13" t="str" cm="1">
        <f t="array" ref="D1032">_xlfn.XLOOKUP(B1032,[1]Baseline!$D$3:$AZ$3,_xlfn.XLOOKUP(C1032,[1]Baseline!$B$4:$B$91,[1]Baseline!$D$4:$AZ$91))</f>
        <v>No Knowledge</v>
      </c>
      <c r="E1032" s="13" t="s">
        <v>375</v>
      </c>
      <c r="F1032" s="13">
        <v>0</v>
      </c>
      <c r="G1032" s="153">
        <v>1</v>
      </c>
      <c r="H1032" s="16">
        <f t="shared" si="16"/>
        <v>1</v>
      </c>
      <c r="I1032" s="13">
        <v>1</v>
      </c>
      <c r="J1032" s="160"/>
    </row>
    <row r="1033" spans="1:10">
      <c r="A1033" s="13" t="s">
        <v>8</v>
      </c>
      <c r="B1033" s="13" t="s">
        <v>61</v>
      </c>
      <c r="C1033" s="13" t="str">
        <f>VLOOKUP([1]Competence!$B75,[1]Competence!$B$12:$B$100,1,FALSE)</f>
        <v>Requirements definition and management</v>
      </c>
      <c r="D1033" s="13" t="str" cm="1">
        <f t="array" ref="D1033">_xlfn.XLOOKUP(B1033,[1]Baseline!$D$3:$AZ$3,_xlfn.XLOOKUP(C1033,[1]Baseline!$B$4:$B$91,[1]Baseline!$D$4:$AZ$91))</f>
        <v>No Knowledge</v>
      </c>
      <c r="E1033" s="13" t="s">
        <v>375</v>
      </c>
      <c r="F1033" s="13">
        <v>0</v>
      </c>
      <c r="G1033" s="153">
        <v>2</v>
      </c>
      <c r="H1033" s="16">
        <f t="shared" si="16"/>
        <v>2</v>
      </c>
      <c r="I1033" s="13">
        <v>2</v>
      </c>
      <c r="J1033" s="160"/>
    </row>
    <row r="1034" spans="1:10">
      <c r="A1034" s="13" t="s">
        <v>8</v>
      </c>
      <c r="B1034" s="13" t="s">
        <v>61</v>
      </c>
      <c r="C1034" s="13" t="str">
        <f>VLOOKUP([1]Competence!$B76,[1]Competence!$B$12:$B$100,1,FALSE)</f>
        <v>Software configuration</v>
      </c>
      <c r="D1034" s="13" t="str" cm="1">
        <f t="array" ref="D1034">_xlfn.XLOOKUP(B1034,[1]Baseline!$D$3:$AZ$3,_xlfn.XLOOKUP(C1034,[1]Baseline!$B$4:$B$91,[1]Baseline!$D$4:$AZ$91))</f>
        <v>No Knowledge</v>
      </c>
      <c r="E1034" s="13" t="s">
        <v>375</v>
      </c>
      <c r="F1034" s="13">
        <v>0</v>
      </c>
      <c r="G1034" s="153">
        <v>1</v>
      </c>
      <c r="H1034" s="16">
        <f t="shared" si="16"/>
        <v>1</v>
      </c>
      <c r="I1034" s="13">
        <v>1</v>
      </c>
      <c r="J1034" s="160"/>
    </row>
    <row r="1035" spans="1:10">
      <c r="A1035" s="13" t="s">
        <v>8</v>
      </c>
      <c r="B1035" s="13" t="s">
        <v>61</v>
      </c>
      <c r="C1035" s="13" t="str">
        <f>VLOOKUP([1]Competence!$B77,[1]Competence!$B$12:$B$100,1,FALSE)</f>
        <v>Software design</v>
      </c>
      <c r="D1035" s="13" t="str" cm="1">
        <f t="array" ref="D1035">_xlfn.XLOOKUP(B1035,[1]Baseline!$D$3:$AZ$3,_xlfn.XLOOKUP(C1035,[1]Baseline!$B$4:$B$91,[1]Baseline!$D$4:$AZ$91))</f>
        <v>No Knowledge</v>
      </c>
      <c r="E1035" s="13" t="s">
        <v>375</v>
      </c>
      <c r="F1035" s="13">
        <v>0</v>
      </c>
      <c r="G1035" s="153">
        <v>1</v>
      </c>
      <c r="H1035" s="16">
        <f t="shared" si="16"/>
        <v>1</v>
      </c>
      <c r="I1035" s="13">
        <v>1</v>
      </c>
      <c r="J1035" s="160"/>
    </row>
    <row r="1036" spans="1:10">
      <c r="A1036" s="13" t="s">
        <v>8</v>
      </c>
      <c r="B1036" s="13" t="s">
        <v>61</v>
      </c>
      <c r="C1036" s="13" t="str">
        <f>VLOOKUP([1]Competence!$B78,[1]Competence!$B$12:$B$100,1,FALSE)</f>
        <v>Solution architecture</v>
      </c>
      <c r="D1036" s="13" t="str" cm="1">
        <f t="array" ref="D1036">_xlfn.XLOOKUP(B1036,[1]Baseline!$D$3:$AZ$3,_xlfn.XLOOKUP(C1036,[1]Baseline!$B$4:$B$91,[1]Baseline!$D$4:$AZ$91))</f>
        <v>No Knowledge</v>
      </c>
      <c r="E1036" s="13" t="s">
        <v>375</v>
      </c>
      <c r="F1036" s="13">
        <v>0</v>
      </c>
      <c r="G1036" s="153">
        <v>1</v>
      </c>
      <c r="H1036" s="16">
        <f t="shared" si="16"/>
        <v>1</v>
      </c>
      <c r="I1036" s="13">
        <v>1</v>
      </c>
      <c r="J1036" s="160"/>
    </row>
    <row r="1037" spans="1:10">
      <c r="A1037" s="13" t="s">
        <v>8</v>
      </c>
      <c r="B1037" s="13" t="s">
        <v>61</v>
      </c>
      <c r="C1037" s="13" t="str">
        <f>VLOOKUP([1]Competence!$B79,[1]Competence!$B$12:$B$100,1,FALSE)</f>
        <v>System software</v>
      </c>
      <c r="D1037" s="13" t="str" cm="1">
        <f t="array" ref="D1037">_xlfn.XLOOKUP(B1037,[1]Baseline!$D$3:$AZ$3,_xlfn.XLOOKUP(C1037,[1]Baseline!$B$4:$B$91,[1]Baseline!$D$4:$AZ$91))</f>
        <v>No Knowledge</v>
      </c>
      <c r="E1037" s="13" t="s">
        <v>375</v>
      </c>
      <c r="F1037" s="13">
        <v>3</v>
      </c>
      <c r="G1037" s="153">
        <v>3</v>
      </c>
      <c r="H1037" s="16">
        <f t="shared" si="16"/>
        <v>0</v>
      </c>
      <c r="I1037" s="13">
        <v>3</v>
      </c>
      <c r="J1037" s="160"/>
    </row>
    <row r="1038" spans="1:10">
      <c r="A1038" s="13" t="s">
        <v>8</v>
      </c>
      <c r="B1038" s="13" t="s">
        <v>61</v>
      </c>
      <c r="C1038" s="13" t="str">
        <f>VLOOKUP([1]Competence!$B80,[1]Competence!$B$12:$B$100,1,FALSE)</f>
        <v>Systems and software life cycle engineering</v>
      </c>
      <c r="D1038" s="13" t="str" cm="1">
        <f t="array" ref="D1038">_xlfn.XLOOKUP(B1038,[1]Baseline!$D$3:$AZ$3,_xlfn.XLOOKUP(C1038,[1]Baseline!$B$4:$B$91,[1]Baseline!$D$4:$AZ$91))</f>
        <v>No Knowledge</v>
      </c>
      <c r="E1038" s="13" t="s">
        <v>375</v>
      </c>
      <c r="F1038" s="13">
        <v>0</v>
      </c>
      <c r="G1038" s="153">
        <v>1</v>
      </c>
      <c r="H1038" s="16">
        <f t="shared" si="16"/>
        <v>1</v>
      </c>
      <c r="I1038" s="13">
        <v>1</v>
      </c>
      <c r="J1038" s="160"/>
    </row>
    <row r="1039" spans="1:10">
      <c r="A1039" s="13" t="s">
        <v>8</v>
      </c>
      <c r="B1039" s="13" t="s">
        <v>61</v>
      </c>
      <c r="C1039" s="13" t="str">
        <f>VLOOKUP([1]Competence!$B81,[1]Competence!$B$12:$B$100,1,FALSE)</f>
        <v>Systems design</v>
      </c>
      <c r="D1039" s="13" t="str" cm="1">
        <f t="array" ref="D1039">_xlfn.XLOOKUP(B1039,[1]Baseline!$D$3:$AZ$3,_xlfn.XLOOKUP(C1039,[1]Baseline!$B$4:$B$91,[1]Baseline!$D$4:$AZ$91))</f>
        <v>No Knowledge</v>
      </c>
      <c r="E1039" s="13" t="s">
        <v>375</v>
      </c>
      <c r="F1039" s="13">
        <v>1</v>
      </c>
      <c r="G1039" s="153">
        <v>3</v>
      </c>
      <c r="H1039" s="16">
        <f t="shared" si="16"/>
        <v>2</v>
      </c>
      <c r="I1039" s="13">
        <v>3</v>
      </c>
      <c r="J1039" s="160"/>
    </row>
    <row r="1040" spans="1:10">
      <c r="A1040" s="13" t="s">
        <v>8</v>
      </c>
      <c r="B1040" s="13" t="s">
        <v>61</v>
      </c>
      <c r="C1040" s="13" t="str">
        <f>VLOOKUP([1]Competence!$B82,[1]Competence!$B$12:$B$100,1,FALSE)</f>
        <v>Systems development management</v>
      </c>
      <c r="D1040" s="13" t="str" cm="1">
        <f t="array" ref="D1040">_xlfn.XLOOKUP(B1040,[1]Baseline!$D$3:$AZ$3,_xlfn.XLOOKUP(C1040,[1]Baseline!$B$4:$B$91,[1]Baseline!$D$4:$AZ$91))</f>
        <v>No Knowledge</v>
      </c>
      <c r="E1040" s="13" t="s">
        <v>375</v>
      </c>
      <c r="F1040" s="13">
        <v>0</v>
      </c>
      <c r="G1040" s="153">
        <v>2</v>
      </c>
      <c r="H1040" s="16">
        <f t="shared" si="16"/>
        <v>2</v>
      </c>
      <c r="I1040" s="13">
        <v>2</v>
      </c>
      <c r="J1040" s="160"/>
    </row>
    <row r="1041" spans="1:10">
      <c r="A1041" s="13" t="s">
        <v>8</v>
      </c>
      <c r="B1041" s="13" t="s">
        <v>61</v>
      </c>
      <c r="C1041" s="13" t="str">
        <f>VLOOKUP([1]Competence!$B83,[1]Competence!$B$12:$B$100,1,FALSE)</f>
        <v>Systems installation and removal</v>
      </c>
      <c r="D1041" s="13" t="str" cm="1">
        <f t="array" ref="D1041">_xlfn.XLOOKUP(B1041,[1]Baseline!$D$3:$AZ$3,_xlfn.XLOOKUP(C1041,[1]Baseline!$B$4:$B$91,[1]Baseline!$D$4:$AZ$91))</f>
        <v>Practitioner</v>
      </c>
      <c r="E1041" s="13" t="s">
        <v>373</v>
      </c>
      <c r="F1041" s="13">
        <v>0</v>
      </c>
      <c r="G1041" s="153">
        <v>4</v>
      </c>
      <c r="H1041" s="16">
        <f t="shared" si="16"/>
        <v>4</v>
      </c>
      <c r="I1041" s="13">
        <v>4</v>
      </c>
      <c r="J1041" s="160"/>
    </row>
    <row r="1042" spans="1:10">
      <c r="A1042" s="13" t="s">
        <v>8</v>
      </c>
      <c r="B1042" s="13" t="s">
        <v>61</v>
      </c>
      <c r="C1042" s="13" t="str">
        <f>VLOOKUP([1]Competence!$B84,[1]Competence!$B$12:$B$100,1,FALSE)</f>
        <v>Testing</v>
      </c>
      <c r="D1042" s="13" t="str" cm="1">
        <f t="array" ref="D1042">_xlfn.XLOOKUP(B1042,[1]Baseline!$D$3:$AZ$3,_xlfn.XLOOKUP(C1042,[1]Baseline!$B$4:$B$91,[1]Baseline!$D$4:$AZ$91))</f>
        <v>Working</v>
      </c>
      <c r="E1042" s="13" t="s">
        <v>373</v>
      </c>
      <c r="F1042" s="13">
        <v>0</v>
      </c>
      <c r="G1042" s="153">
        <v>2</v>
      </c>
      <c r="H1042" s="16">
        <f t="shared" si="16"/>
        <v>2</v>
      </c>
      <c r="I1042" s="13">
        <v>2</v>
      </c>
      <c r="J1042" s="160"/>
    </row>
    <row r="1043" spans="1:10">
      <c r="A1043" s="13" t="s">
        <v>8</v>
      </c>
      <c r="B1043" s="13" t="s">
        <v>61</v>
      </c>
      <c r="C1043" s="13" t="str">
        <f>VLOOKUP([1]Competence!$B85,[1]Competence!$B$12:$B$100,1,FALSE)</f>
        <v>Innovation</v>
      </c>
      <c r="D1043" s="13" t="str" cm="1">
        <f t="array" ref="D1043">_xlfn.XLOOKUP(B1043,[1]Baseline!$D$3:$AZ$3,_xlfn.XLOOKUP(C1043,[1]Baseline!$B$4:$B$91,[1]Baseline!$D$4:$AZ$91))</f>
        <v>No Knowledge</v>
      </c>
      <c r="E1043" s="13" t="s">
        <v>373</v>
      </c>
      <c r="F1043" s="13">
        <v>0</v>
      </c>
      <c r="G1043" s="153">
        <v>1</v>
      </c>
      <c r="H1043" s="16">
        <f t="shared" si="16"/>
        <v>1</v>
      </c>
      <c r="I1043" s="13">
        <v>1</v>
      </c>
      <c r="J1043" s="160"/>
    </row>
    <row r="1044" spans="1:10">
      <c r="A1044" s="13" t="s">
        <v>8</v>
      </c>
      <c r="B1044" s="13" t="s">
        <v>61</v>
      </c>
      <c r="C1044" s="13" t="str">
        <f>VLOOKUP([1]Competence!$B86,[1]Competence!$B$12:$B$100,1,FALSE)</f>
        <v>Specialist Advice</v>
      </c>
      <c r="D1044" s="13" t="str" cm="1">
        <f t="array" ref="D1044">_xlfn.XLOOKUP(B1044,[1]Baseline!$D$3:$AZ$3,_xlfn.XLOOKUP(C1044,[1]Baseline!$B$4:$B$91,[1]Baseline!$D$4:$AZ$91))</f>
        <v>No Knowledge</v>
      </c>
      <c r="E1044" s="13" t="s">
        <v>373</v>
      </c>
      <c r="F1044" s="13">
        <v>0</v>
      </c>
      <c r="G1044" s="153">
        <v>4</v>
      </c>
      <c r="H1044" s="16">
        <f t="shared" si="16"/>
        <v>4</v>
      </c>
      <c r="I1044" s="13">
        <v>4</v>
      </c>
      <c r="J1044" s="160"/>
    </row>
    <row r="1045" spans="1:10">
      <c r="A1045" s="13" t="s">
        <v>8</v>
      </c>
      <c r="B1045" s="13" t="s">
        <v>61</v>
      </c>
      <c r="C1045" s="13" t="str">
        <f>VLOOKUP([1]Competence!$B87,[1]Competence!$B$12:$B$100,1,FALSE)</f>
        <v>Emerging technology monitoring</v>
      </c>
      <c r="D1045" s="13" t="str" cm="1">
        <f t="array" ref="D1045">_xlfn.XLOOKUP(B1045,[1]Baseline!$D$3:$AZ$3,_xlfn.XLOOKUP(C1045,[1]Baseline!$B$4:$B$91,[1]Baseline!$D$4:$AZ$91))</f>
        <v>No Knowledge</v>
      </c>
      <c r="E1045" s="13" t="s">
        <v>373</v>
      </c>
      <c r="F1045" s="13">
        <v>0</v>
      </c>
      <c r="G1045" s="153">
        <v>2</v>
      </c>
      <c r="H1045" s="16">
        <f t="shared" si="16"/>
        <v>2</v>
      </c>
      <c r="I1045" s="13">
        <v>2</v>
      </c>
      <c r="J1045" s="160"/>
    </row>
    <row r="1046" spans="1:10">
      <c r="A1046" s="13" t="s">
        <v>8</v>
      </c>
      <c r="B1046" s="13" t="s">
        <v>61</v>
      </c>
      <c r="C1046" s="13" t="str">
        <f>VLOOKUP([1]Competence!$B88,[1]Competence!$B$12:$B$100,1,FALSE)</f>
        <v>Systems integration and build</v>
      </c>
      <c r="D1046" s="13" t="str" cm="1">
        <f t="array" ref="D1046">_xlfn.XLOOKUP(B1046,[1]Baseline!$D$3:$AZ$3,_xlfn.XLOOKUP(C1046,[1]Baseline!$B$4:$B$91,[1]Baseline!$D$4:$AZ$91))</f>
        <v>Practitioner</v>
      </c>
      <c r="E1046" s="13" t="s">
        <v>373</v>
      </c>
      <c r="F1046" s="13">
        <v>0</v>
      </c>
      <c r="G1046" s="153">
        <v>3</v>
      </c>
      <c r="H1046" s="16">
        <f t="shared" si="16"/>
        <v>3</v>
      </c>
      <c r="I1046" s="13">
        <v>3</v>
      </c>
      <c r="J1046" s="160"/>
    </row>
    <row r="1047" spans="1:10">
      <c r="A1047" s="13" t="s">
        <v>8</v>
      </c>
      <c r="B1047" s="13" t="s">
        <v>61</v>
      </c>
      <c r="C1047" s="13" t="str">
        <f>VLOOKUP([1]Competence!$B89,[1]Competence!$B$12:$B$100,1,FALSE)</f>
        <v>Audio Visual</v>
      </c>
      <c r="D1047" s="13" t="str" cm="1">
        <f t="array" ref="D1047">_xlfn.XLOOKUP(B1047,[1]Baseline!$D$3:$AZ$3,_xlfn.XLOOKUP(C1047,[1]Baseline!$B$4:$B$91,[1]Baseline!$D$4:$AZ$91))</f>
        <v>Practitioner</v>
      </c>
      <c r="E1047" s="13" t="s">
        <v>49</v>
      </c>
      <c r="F1047" s="13">
        <v>1</v>
      </c>
      <c r="G1047" s="153">
        <v>2</v>
      </c>
      <c r="H1047" s="16">
        <f t="shared" si="16"/>
        <v>1</v>
      </c>
      <c r="I1047" s="13">
        <v>2</v>
      </c>
      <c r="J1047" s="160"/>
    </row>
    <row r="1048" spans="1:10">
      <c r="A1048" s="13" t="s">
        <v>8</v>
      </c>
      <c r="B1048" s="13" t="s">
        <v>61</v>
      </c>
      <c r="C1048" s="13" t="str">
        <f>VLOOKUP([1]Competence!$B90,[1]Competence!$B$12:$B$100,1,FALSE)</f>
        <v>Augmented Reality</v>
      </c>
      <c r="D1048" s="13" t="str" cm="1">
        <f t="array" ref="D1048">_xlfn.XLOOKUP(B1048,[1]Baseline!$D$3:$AZ$3,_xlfn.XLOOKUP(C1048,[1]Baseline!$B$4:$B$91,[1]Baseline!$D$4:$AZ$91))</f>
        <v>Awareness</v>
      </c>
      <c r="E1048" s="13" t="s">
        <v>49</v>
      </c>
      <c r="F1048" s="13">
        <v>1</v>
      </c>
      <c r="G1048" s="153">
        <v>1</v>
      </c>
      <c r="H1048" s="16">
        <f t="shared" si="16"/>
        <v>0</v>
      </c>
      <c r="I1048" s="13">
        <v>1</v>
      </c>
      <c r="J1048" s="160"/>
    </row>
    <row r="1049" spans="1:10">
      <c r="A1049" s="13" t="s">
        <v>8</v>
      </c>
      <c r="B1049" s="13" t="s">
        <v>61</v>
      </c>
      <c r="C1049" s="13" t="str">
        <f>VLOOKUP([1]Competence!$B91,[1]Competence!$B$12:$B$100,1,FALSE)</f>
        <v>Benefits management</v>
      </c>
      <c r="D1049" s="13" t="str" cm="1">
        <f t="array" ref="D1049">_xlfn.XLOOKUP(B1049,[1]Baseline!$D$3:$AZ$3,_xlfn.XLOOKUP(C1049,[1]Baseline!$B$4:$B$91,[1]Baseline!$D$4:$AZ$91))</f>
        <v>No Knowledge</v>
      </c>
      <c r="E1049" s="13" t="s">
        <v>375</v>
      </c>
      <c r="F1049" s="13">
        <v>2</v>
      </c>
      <c r="G1049" s="153">
        <v>1</v>
      </c>
      <c r="H1049" s="16">
        <f t="shared" si="16"/>
        <v>-1</v>
      </c>
      <c r="I1049" s="13">
        <v>1</v>
      </c>
      <c r="J1049" s="160"/>
    </row>
    <row r="1050" spans="1:10">
      <c r="A1050" s="13" t="s">
        <v>8</v>
      </c>
      <c r="B1050" s="13" t="s">
        <v>61</v>
      </c>
      <c r="C1050" s="13" t="str">
        <f>VLOOKUP([1]Competence!$B92,[1]Competence!$B$12:$B$100,1,FALSE)</f>
        <v>Business administration</v>
      </c>
      <c r="D1050" s="13" t="str" cm="1">
        <f t="array" ref="D1050">_xlfn.XLOOKUP(B1050,[1]Baseline!$D$3:$AZ$3,_xlfn.XLOOKUP(C1050,[1]Baseline!$B$4:$B$91,[1]Baseline!$D$4:$AZ$91))</f>
        <v>No Knowledge</v>
      </c>
      <c r="E1050" s="13" t="s">
        <v>375</v>
      </c>
      <c r="F1050" s="13">
        <v>0</v>
      </c>
      <c r="G1050" s="153">
        <v>1</v>
      </c>
      <c r="H1050" s="16">
        <f t="shared" si="16"/>
        <v>1</v>
      </c>
      <c r="I1050" s="13">
        <v>1</v>
      </c>
      <c r="J1050" s="160"/>
    </row>
    <row r="1051" spans="1:10">
      <c r="A1051" s="13" t="s">
        <v>8</v>
      </c>
      <c r="B1051" s="13" t="s">
        <v>61</v>
      </c>
      <c r="C1051" s="13" t="str">
        <f>VLOOKUP([1]Competence!$B93,[1]Competence!$B$12:$B$100,1,FALSE)</f>
        <v>Business intelligence</v>
      </c>
      <c r="D1051" s="13" t="str" cm="1">
        <f t="array" ref="D1051">_xlfn.XLOOKUP(B1051,[1]Baseline!$D$3:$AZ$3,_xlfn.XLOOKUP(C1051,[1]Baseline!$B$4:$B$91,[1]Baseline!$D$4:$AZ$91))</f>
        <v>No Knowledge</v>
      </c>
      <c r="E1051" s="13" t="s">
        <v>375</v>
      </c>
      <c r="F1051" s="13">
        <v>0</v>
      </c>
      <c r="G1051" s="153">
        <v>1</v>
      </c>
      <c r="H1051" s="16">
        <f t="shared" si="16"/>
        <v>1</v>
      </c>
      <c r="I1051" s="13">
        <v>1</v>
      </c>
      <c r="J1051" s="160"/>
    </row>
    <row r="1052" spans="1:10">
      <c r="A1052" s="13" t="s">
        <v>8</v>
      </c>
      <c r="B1052" s="13" t="s">
        <v>61</v>
      </c>
      <c r="C1052" s="13" t="str">
        <f>VLOOKUP([1]Competence!$B94,[1]Competence!$B$12:$B$100,1,FALSE)</f>
        <v>Business modelling</v>
      </c>
      <c r="D1052" s="13" t="str" cm="1">
        <f t="array" ref="D1052">_xlfn.XLOOKUP(B1052,[1]Baseline!$D$3:$AZ$3,_xlfn.XLOOKUP(C1052,[1]Baseline!$B$4:$B$91,[1]Baseline!$D$4:$AZ$91))</f>
        <v>No Knowledge</v>
      </c>
      <c r="E1052" s="13" t="s">
        <v>375</v>
      </c>
      <c r="F1052" s="13">
        <v>0</v>
      </c>
      <c r="G1052" s="153">
        <v>0</v>
      </c>
      <c r="H1052" s="16">
        <f t="shared" si="16"/>
        <v>0</v>
      </c>
      <c r="I1052" s="13">
        <v>0</v>
      </c>
      <c r="J1052" s="160"/>
    </row>
    <row r="1053" spans="1:10">
      <c r="A1053" s="13" t="s">
        <v>8</v>
      </c>
      <c r="B1053" s="13" t="s">
        <v>61</v>
      </c>
      <c r="C1053" s="13" t="str">
        <f>VLOOKUP([1]Competence!$B95,[1]Competence!$B$12:$B$100,1,FALSE)</f>
        <v>Business process improvement</v>
      </c>
      <c r="D1053" s="13" t="str" cm="1">
        <f t="array" ref="D1053">_xlfn.XLOOKUP(B1053,[1]Baseline!$D$3:$AZ$3,_xlfn.XLOOKUP(C1053,[1]Baseline!$B$4:$B$91,[1]Baseline!$D$4:$AZ$91))</f>
        <v>No Knowledge</v>
      </c>
      <c r="E1053" s="13" t="s">
        <v>375</v>
      </c>
      <c r="F1053" s="13">
        <v>0</v>
      </c>
      <c r="G1053" s="153">
        <v>0</v>
      </c>
      <c r="H1053" s="16">
        <f t="shared" si="16"/>
        <v>0</v>
      </c>
      <c r="I1053" s="13">
        <v>0</v>
      </c>
      <c r="J1053" s="160"/>
    </row>
    <row r="1054" spans="1:10">
      <c r="A1054" s="13" t="s">
        <v>8</v>
      </c>
      <c r="B1054" s="13" t="s">
        <v>61</v>
      </c>
      <c r="C1054" s="13" t="str">
        <f>VLOOKUP([1]Competence!$B96,[1]Competence!$B$12:$B$100,1,FALSE)</f>
        <v>Business situation analysis</v>
      </c>
      <c r="D1054" s="13" t="str" cm="1">
        <f t="array" ref="D1054">_xlfn.XLOOKUP(B1054,[1]Baseline!$D$3:$AZ$3,_xlfn.XLOOKUP(C1054,[1]Baseline!$B$4:$B$91,[1]Baseline!$D$4:$AZ$91))</f>
        <v>No Knowledge</v>
      </c>
      <c r="E1054" s="13" t="s">
        <v>375</v>
      </c>
      <c r="F1054" s="13">
        <v>0</v>
      </c>
      <c r="G1054" s="153">
        <v>1</v>
      </c>
      <c r="H1054" s="16">
        <f t="shared" si="16"/>
        <v>1</v>
      </c>
      <c r="I1054" s="13">
        <v>1</v>
      </c>
      <c r="J1054" s="160"/>
    </row>
    <row r="1055" spans="1:10">
      <c r="A1055" s="13" t="s">
        <v>8</v>
      </c>
      <c r="B1055" s="13" t="s">
        <v>61</v>
      </c>
      <c r="C1055" s="13" t="str">
        <f>VLOOKUP([1]Competence!$B97,[1]Competence!$B$12:$B$100,1,FALSE)</f>
        <v>Programme management</v>
      </c>
      <c r="D1055" s="13" t="str" cm="1">
        <f t="array" ref="D1055">_xlfn.XLOOKUP(B1055,[1]Baseline!$D$3:$AZ$3,_xlfn.XLOOKUP(C1055,[1]Baseline!$B$4:$B$91,[1]Baseline!$D$4:$AZ$91))</f>
        <v>No Knowledge</v>
      </c>
      <c r="E1055" s="13" t="s">
        <v>375</v>
      </c>
      <c r="F1055" s="13">
        <v>0</v>
      </c>
      <c r="G1055" s="153">
        <v>1</v>
      </c>
      <c r="H1055" s="16">
        <f t="shared" si="16"/>
        <v>1</v>
      </c>
      <c r="I1055" s="13">
        <v>1</v>
      </c>
      <c r="J1055" s="160"/>
    </row>
    <row r="1056" spans="1:10">
      <c r="A1056" s="13" t="s">
        <v>8</v>
      </c>
      <c r="B1056" s="13" t="s">
        <v>61</v>
      </c>
      <c r="C1056" s="13" t="str">
        <f>VLOOKUP([1]Competence!$B98,[1]Competence!$B$12:$B$100,1,FALSE)</f>
        <v>Project management</v>
      </c>
      <c r="D1056" s="13" t="str" cm="1">
        <f t="array" ref="D1056">_xlfn.XLOOKUP(B1056,[1]Baseline!$D$3:$AZ$3,_xlfn.XLOOKUP(C1056,[1]Baseline!$B$4:$B$91,[1]Baseline!$D$4:$AZ$91))</f>
        <v>No Knowledge</v>
      </c>
      <c r="E1056" s="13" t="s">
        <v>374</v>
      </c>
      <c r="F1056" s="13">
        <v>0</v>
      </c>
      <c r="G1056" s="153">
        <v>1</v>
      </c>
      <c r="H1056" s="16">
        <f t="shared" si="16"/>
        <v>1</v>
      </c>
      <c r="I1056" s="13">
        <v>1</v>
      </c>
      <c r="J1056" s="160"/>
    </row>
    <row r="1057" spans="1:10">
      <c r="A1057" s="13" t="s">
        <v>8</v>
      </c>
      <c r="B1057" s="13" t="s">
        <v>61</v>
      </c>
      <c r="C1057" s="13" t="str">
        <f>VLOOKUP([1]Competence!$B99,[1]Competence!$B$12:$B$100,1,FALSE)</f>
        <v>Quality assurance</v>
      </c>
      <c r="D1057" s="13" t="str" cm="1">
        <f t="array" ref="D1057">_xlfn.XLOOKUP(B1057,[1]Baseline!$D$3:$AZ$3,_xlfn.XLOOKUP(C1057,[1]Baseline!$B$4:$B$91,[1]Baseline!$D$4:$AZ$91))</f>
        <v>Working</v>
      </c>
      <c r="E1057" s="13" t="s">
        <v>375</v>
      </c>
      <c r="F1057" s="13">
        <v>0</v>
      </c>
      <c r="G1057" s="153">
        <v>1</v>
      </c>
      <c r="H1057" s="16">
        <f t="shared" si="16"/>
        <v>1</v>
      </c>
      <c r="I1057" s="13">
        <v>1</v>
      </c>
      <c r="J1057" s="160"/>
    </row>
    <row r="1058" spans="1:10">
      <c r="A1058" s="13" t="s">
        <v>0</v>
      </c>
      <c r="B1058" s="16" t="s">
        <v>69</v>
      </c>
      <c r="C1058" s="14" t="str">
        <f>VLOOKUP([1]Competence!$B12,[1]Competence!$B$12:$B$100,1,FALSE)</f>
        <v>Asset Management</v>
      </c>
      <c r="D1058" s="13" t="str" cm="1">
        <f t="array" ref="D1058">_xlfn.XLOOKUP(B1058,[1]Baseline!$D$3:$AZ$3,_xlfn.XLOOKUP(C1058,[1]Baseline!$B$4:$B$91,[1]Baseline!$D$4:$AZ$91))</f>
        <v>Practitioner</v>
      </c>
      <c r="E1058" s="16"/>
      <c r="F1058" s="14">
        <v>3</v>
      </c>
      <c r="G1058" s="16">
        <v>4</v>
      </c>
      <c r="H1058" s="16">
        <f t="shared" si="16"/>
        <v>1</v>
      </c>
      <c r="I1058" s="13">
        <v>4</v>
      </c>
    </row>
    <row r="1059" spans="1:10">
      <c r="A1059" s="13" t="s">
        <v>0</v>
      </c>
      <c r="B1059" s="16" t="s">
        <v>69</v>
      </c>
      <c r="C1059" s="14" t="str">
        <f>VLOOKUP([1]Competence!$B13,[1]Competence!$B$12:$B$100,1,FALSE)</f>
        <v>Change Control</v>
      </c>
      <c r="D1059" s="13" t="str" cm="1">
        <f t="array" ref="D1059">_xlfn.XLOOKUP(B1059,[1]Baseline!$D$3:$AZ$3,_xlfn.XLOOKUP(C1059,[1]Baseline!$B$4:$B$91,[1]Baseline!$D$4:$AZ$91))</f>
        <v>Expert</v>
      </c>
      <c r="E1059" s="16"/>
      <c r="F1059" s="14">
        <v>4</v>
      </c>
      <c r="G1059" s="16">
        <v>4</v>
      </c>
      <c r="H1059" s="16">
        <f t="shared" si="16"/>
        <v>0</v>
      </c>
      <c r="I1059" s="13">
        <v>4</v>
      </c>
    </row>
    <row r="1060" spans="1:10">
      <c r="A1060" s="13" t="s">
        <v>0</v>
      </c>
      <c r="B1060" s="16" t="s">
        <v>69</v>
      </c>
      <c r="C1060" s="14" t="str">
        <f>VLOOKUP([1]Competence!$B14,[1]Competence!$B$12:$B$100,1,FALSE)</f>
        <v>Customer Service Support</v>
      </c>
      <c r="D1060" s="13" t="str" cm="1">
        <f t="array" ref="D1060">_xlfn.XLOOKUP(B1060,[1]Baseline!$D$3:$AZ$3,_xlfn.XLOOKUP(C1060,[1]Baseline!$B$4:$B$91,[1]Baseline!$D$4:$AZ$91))</f>
        <v>Expert</v>
      </c>
      <c r="E1060" s="16"/>
      <c r="F1060" s="14">
        <v>4</v>
      </c>
      <c r="G1060" s="16">
        <v>4</v>
      </c>
      <c r="H1060" s="16">
        <f t="shared" si="16"/>
        <v>0</v>
      </c>
      <c r="I1060" s="13">
        <v>4</v>
      </c>
    </row>
    <row r="1061" spans="1:10">
      <c r="A1061" s="13" t="s">
        <v>0</v>
      </c>
      <c r="B1061" s="16" t="s">
        <v>69</v>
      </c>
      <c r="C1061" s="14" t="str">
        <f>VLOOKUP([1]Competence!$B15,[1]Competence!$B$12:$B$100,1,FALSE)</f>
        <v>Incident management</v>
      </c>
      <c r="D1061" s="13" t="str" cm="1">
        <f t="array" ref="D1061">_xlfn.XLOOKUP(B1061,[1]Baseline!$D$3:$AZ$3,_xlfn.XLOOKUP(C1061,[1]Baseline!$B$4:$B$91,[1]Baseline!$D$4:$AZ$91))</f>
        <v>Practitioner</v>
      </c>
      <c r="E1061" s="16"/>
      <c r="F1061" s="14">
        <v>3</v>
      </c>
      <c r="G1061" s="16">
        <v>4</v>
      </c>
      <c r="H1061" s="16">
        <f t="shared" si="16"/>
        <v>1</v>
      </c>
      <c r="I1061" s="13">
        <v>4</v>
      </c>
    </row>
    <row r="1062" spans="1:10">
      <c r="A1062" s="13" t="s">
        <v>0</v>
      </c>
      <c r="B1062" s="16" t="s">
        <v>69</v>
      </c>
      <c r="C1062" s="14" t="str">
        <f>VLOOKUP([1]Competence!$B16,[1]Competence!$B$12:$B$100,1,FALSE)</f>
        <v>Information security</v>
      </c>
      <c r="D1062" s="13" t="str" cm="1">
        <f t="array" ref="D1062">_xlfn.XLOOKUP(B1062,[1]Baseline!$D$3:$AZ$3,_xlfn.XLOOKUP(C1062,[1]Baseline!$B$4:$B$91,[1]Baseline!$D$4:$AZ$91))</f>
        <v>Practitioner</v>
      </c>
      <c r="E1062" s="16"/>
      <c r="F1062" s="14">
        <v>3</v>
      </c>
      <c r="G1062" s="16">
        <v>3</v>
      </c>
      <c r="H1062" s="16">
        <f t="shared" si="16"/>
        <v>0</v>
      </c>
      <c r="I1062" s="13">
        <v>3</v>
      </c>
    </row>
    <row r="1063" spans="1:10">
      <c r="A1063" s="13" t="s">
        <v>0</v>
      </c>
      <c r="B1063" s="16" t="s">
        <v>69</v>
      </c>
      <c r="C1063" s="14" t="str">
        <f>VLOOKUP([1]Competence!$B17,[1]Competence!$B$12:$B$100,1,FALSE)</f>
        <v>Personal data protection</v>
      </c>
      <c r="D1063" s="13" t="str" cm="1">
        <f t="array" ref="D1063">_xlfn.XLOOKUP(B1063,[1]Baseline!$D$3:$AZ$3,_xlfn.XLOOKUP(C1063,[1]Baseline!$B$4:$B$91,[1]Baseline!$D$4:$AZ$91))</f>
        <v>Practitioner</v>
      </c>
      <c r="E1063" s="16"/>
      <c r="F1063" s="14">
        <v>3</v>
      </c>
      <c r="G1063" s="16">
        <v>3</v>
      </c>
      <c r="H1063" s="16">
        <f t="shared" si="16"/>
        <v>0</v>
      </c>
      <c r="I1063" s="13">
        <v>3</v>
      </c>
    </row>
    <row r="1064" spans="1:10">
      <c r="A1064" s="13" t="s">
        <v>0</v>
      </c>
      <c r="B1064" s="16" t="s">
        <v>69</v>
      </c>
      <c r="C1064" s="14" t="str">
        <f>VLOOKUP([1]Competence!$B18,[1]Competence!$B$12:$B$100,1,FALSE)</f>
        <v>Problem management</v>
      </c>
      <c r="D1064" s="13" t="str" cm="1">
        <f t="array" ref="D1064">_xlfn.XLOOKUP(B1064,[1]Baseline!$D$3:$AZ$3,_xlfn.XLOOKUP(C1064,[1]Baseline!$B$4:$B$91,[1]Baseline!$D$4:$AZ$91))</f>
        <v>Expert</v>
      </c>
      <c r="E1064" s="16"/>
      <c r="F1064" s="14">
        <v>4</v>
      </c>
      <c r="G1064" s="16">
        <v>4</v>
      </c>
      <c r="H1064" s="16">
        <f t="shared" si="16"/>
        <v>0</v>
      </c>
      <c r="I1064" s="13">
        <v>4</v>
      </c>
    </row>
    <row r="1065" spans="1:10">
      <c r="A1065" s="13" t="s">
        <v>0</v>
      </c>
      <c r="B1065" s="16" t="s">
        <v>69</v>
      </c>
      <c r="C1065" s="14" t="str">
        <f>VLOOKUP([1]Competence!$B19,[1]Competence!$B$12:$B$100,1,FALSE)</f>
        <v>Service catalogue management</v>
      </c>
      <c r="D1065" s="13" t="str" cm="1">
        <f t="array" ref="D1065">_xlfn.XLOOKUP(B1065,[1]Baseline!$D$3:$AZ$3,_xlfn.XLOOKUP(C1065,[1]Baseline!$B$4:$B$91,[1]Baseline!$D$4:$AZ$91))</f>
        <v>Expert</v>
      </c>
      <c r="E1065" s="16"/>
      <c r="F1065" s="14">
        <v>4</v>
      </c>
      <c r="G1065" s="16">
        <v>4</v>
      </c>
      <c r="H1065" s="16">
        <f t="shared" si="16"/>
        <v>0</v>
      </c>
      <c r="I1065" s="13">
        <v>4</v>
      </c>
    </row>
    <row r="1066" spans="1:10">
      <c r="A1066" s="13" t="s">
        <v>0</v>
      </c>
      <c r="B1066" s="16" t="s">
        <v>69</v>
      </c>
      <c r="C1066" s="14" t="str">
        <f>VLOOKUP([1]Competence!$B20,[1]Competence!$B$12:$B$100,1,FALSE)</f>
        <v>Service level management</v>
      </c>
      <c r="D1066" s="13" t="str" cm="1">
        <f t="array" ref="D1066">_xlfn.XLOOKUP(B1066,[1]Baseline!$D$3:$AZ$3,_xlfn.XLOOKUP(C1066,[1]Baseline!$B$4:$B$91,[1]Baseline!$D$4:$AZ$91))</f>
        <v>Expert</v>
      </c>
      <c r="E1066" s="16"/>
      <c r="F1066" s="14">
        <v>4</v>
      </c>
      <c r="G1066" s="16">
        <v>3</v>
      </c>
      <c r="H1066" s="16">
        <f t="shared" si="16"/>
        <v>-1</v>
      </c>
      <c r="I1066" s="13">
        <v>3</v>
      </c>
    </row>
    <row r="1067" spans="1:10">
      <c r="A1067" s="13" t="s">
        <v>0</v>
      </c>
      <c r="B1067" s="16" t="s">
        <v>69</v>
      </c>
      <c r="C1067" s="14" t="str">
        <f>VLOOKUP([1]Competence!$B21,[1]Competence!$B$12:$B$100,1,FALSE)</f>
        <v>Availability Management</v>
      </c>
      <c r="D1067" s="13" t="str" cm="1">
        <f t="array" ref="D1067">_xlfn.XLOOKUP(B1067,[1]Baseline!$D$3:$AZ$3,_xlfn.XLOOKUP(C1067,[1]Baseline!$B$4:$B$91,[1]Baseline!$D$4:$AZ$91))</f>
        <v>Expert</v>
      </c>
      <c r="E1067" s="16"/>
      <c r="F1067" s="14">
        <v>4</v>
      </c>
      <c r="G1067" s="16">
        <v>4</v>
      </c>
      <c r="H1067" s="16">
        <f t="shared" si="16"/>
        <v>0</v>
      </c>
      <c r="I1067" s="13">
        <v>4</v>
      </c>
    </row>
    <row r="1068" spans="1:10">
      <c r="A1068" s="13" t="s">
        <v>0</v>
      </c>
      <c r="B1068" s="16" t="s">
        <v>69</v>
      </c>
      <c r="C1068" s="14" t="str">
        <f>VLOOKUP([1]Competence!$B22,[1]Competence!$B$12:$B$100,1,FALSE)</f>
        <v>Capacity management</v>
      </c>
      <c r="D1068" s="13" t="str" cm="1">
        <f t="array" ref="D1068">_xlfn.XLOOKUP(B1068,[1]Baseline!$D$3:$AZ$3,_xlfn.XLOOKUP(C1068,[1]Baseline!$B$4:$B$91,[1]Baseline!$D$4:$AZ$91))</f>
        <v>Working</v>
      </c>
      <c r="E1068" s="16"/>
      <c r="F1068" s="14">
        <v>2</v>
      </c>
      <c r="G1068" s="16">
        <v>4</v>
      </c>
      <c r="H1068" s="16">
        <f t="shared" si="16"/>
        <v>2</v>
      </c>
      <c r="I1068" s="13">
        <v>4</v>
      </c>
    </row>
    <row r="1069" spans="1:10">
      <c r="A1069" s="13" t="s">
        <v>0</v>
      </c>
      <c r="B1069" s="16" t="s">
        <v>69</v>
      </c>
      <c r="C1069" s="14" t="str">
        <f>VLOOKUP([1]Competence!$B23,[1]Competence!$B$12:$B$100,1,FALSE)</f>
        <v>Configuration Management</v>
      </c>
      <c r="D1069" s="13" t="str" cm="1">
        <f t="array" ref="D1069">_xlfn.XLOOKUP(B1069,[1]Baseline!$D$3:$AZ$3,_xlfn.XLOOKUP(C1069,[1]Baseline!$B$4:$B$91,[1]Baseline!$D$4:$AZ$91))</f>
        <v>Working</v>
      </c>
      <c r="E1069" s="16"/>
      <c r="F1069" s="14">
        <v>2</v>
      </c>
      <c r="G1069" s="16">
        <v>3</v>
      </c>
      <c r="H1069" s="16">
        <f t="shared" si="16"/>
        <v>1</v>
      </c>
      <c r="I1069" s="13">
        <v>3</v>
      </c>
    </row>
    <row r="1070" spans="1:10">
      <c r="A1070" s="13" t="s">
        <v>0</v>
      </c>
      <c r="B1070" s="16" t="s">
        <v>69</v>
      </c>
      <c r="C1070" s="14" t="str">
        <f>VLOOKUP([1]Competence!$B24,[1]Competence!$B$12:$B$100,1,FALSE)</f>
        <v>Continuity Management</v>
      </c>
      <c r="D1070" s="13" t="str" cm="1">
        <f t="array" ref="D1070">_xlfn.XLOOKUP(B1070,[1]Baseline!$D$3:$AZ$3,_xlfn.XLOOKUP(C1070,[1]Baseline!$B$4:$B$91,[1]Baseline!$D$4:$AZ$91))</f>
        <v>Practitioner</v>
      </c>
      <c r="E1070" s="16"/>
      <c r="F1070" s="14">
        <v>3</v>
      </c>
      <c r="G1070" s="16">
        <v>3</v>
      </c>
      <c r="H1070" s="16">
        <f t="shared" si="16"/>
        <v>0</v>
      </c>
      <c r="I1070" s="13">
        <v>3</v>
      </c>
    </row>
    <row r="1071" spans="1:10">
      <c r="A1071" s="13" t="s">
        <v>0</v>
      </c>
      <c r="B1071" s="16" t="s">
        <v>69</v>
      </c>
      <c r="C1071" s="14" t="str">
        <f>VLOOKUP([1]Competence!$B25,[1]Competence!$B$12:$B$100,1,FALSE)</f>
        <v>Demand Management</v>
      </c>
      <c r="D1071" s="13" t="str" cm="1">
        <f t="array" ref="D1071">_xlfn.XLOOKUP(B1071,[1]Baseline!$D$3:$AZ$3,_xlfn.XLOOKUP(C1071,[1]Baseline!$B$4:$B$91,[1]Baseline!$D$4:$AZ$91))</f>
        <v>Expert</v>
      </c>
      <c r="E1071" s="16"/>
      <c r="F1071" s="14">
        <v>4</v>
      </c>
      <c r="G1071" s="16">
        <v>4</v>
      </c>
      <c r="H1071" s="16">
        <f t="shared" si="16"/>
        <v>0</v>
      </c>
      <c r="I1071" s="13">
        <v>4</v>
      </c>
    </row>
    <row r="1072" spans="1:10">
      <c r="A1072" s="13" t="s">
        <v>0</v>
      </c>
      <c r="B1072" s="16" t="s">
        <v>69</v>
      </c>
      <c r="C1072" s="14" t="str">
        <f>VLOOKUP([1]Competence!$B26,[1]Competence!$B$12:$B$100,1,FALSE)</f>
        <v>Knowledge management</v>
      </c>
      <c r="D1072" s="13" t="str" cm="1">
        <f t="array" ref="D1072">_xlfn.XLOOKUP(B1072,[1]Baseline!$D$3:$AZ$3,_xlfn.XLOOKUP(C1072,[1]Baseline!$B$4:$B$91,[1]Baseline!$D$4:$AZ$91))</f>
        <v>Practitioner</v>
      </c>
      <c r="E1072" s="16"/>
      <c r="F1072" s="14">
        <v>3</v>
      </c>
      <c r="G1072" s="16">
        <v>3</v>
      </c>
      <c r="H1072" s="16">
        <f t="shared" si="16"/>
        <v>0</v>
      </c>
      <c r="I1072" s="13">
        <v>3</v>
      </c>
    </row>
    <row r="1073" spans="1:9">
      <c r="A1073" s="13" t="s">
        <v>0</v>
      </c>
      <c r="B1073" s="16" t="s">
        <v>69</v>
      </c>
      <c r="C1073" s="14" t="str">
        <f>VLOOKUP([1]Competence!$B27,[1]Competence!$B$12:$B$100,1,FALSE)</f>
        <v>Methods and tools</v>
      </c>
      <c r="D1073" s="13" t="str" cm="1">
        <f t="array" ref="D1073">_xlfn.XLOOKUP(B1073,[1]Baseline!$D$3:$AZ$3,_xlfn.XLOOKUP(C1073,[1]Baseline!$B$4:$B$91,[1]Baseline!$D$4:$AZ$91))</f>
        <v>Expert</v>
      </c>
      <c r="E1073" s="16"/>
      <c r="F1073" s="14">
        <v>4</v>
      </c>
      <c r="G1073" s="16">
        <v>3</v>
      </c>
      <c r="H1073" s="16">
        <f t="shared" si="16"/>
        <v>-1</v>
      </c>
      <c r="I1073" s="13">
        <v>3</v>
      </c>
    </row>
    <row r="1074" spans="1:9">
      <c r="A1074" s="13" t="s">
        <v>0</v>
      </c>
      <c r="B1074" s="16" t="s">
        <v>69</v>
      </c>
      <c r="C1074" s="14" t="str">
        <f>VLOOKUP([1]Competence!$B28,[1]Competence!$B$12:$B$100,1,FALSE)</f>
        <v>Release and deployment</v>
      </c>
      <c r="D1074" s="13" t="str" cm="1">
        <f t="array" ref="D1074">_xlfn.XLOOKUP(B1074,[1]Baseline!$D$3:$AZ$3,_xlfn.XLOOKUP(C1074,[1]Baseline!$B$4:$B$91,[1]Baseline!$D$4:$AZ$91))</f>
        <v>Working</v>
      </c>
      <c r="E1074" s="16"/>
      <c r="F1074" s="14">
        <v>2</v>
      </c>
      <c r="G1074" s="16">
        <v>2</v>
      </c>
      <c r="H1074" s="16">
        <f t="shared" si="16"/>
        <v>0</v>
      </c>
      <c r="I1074" s="13">
        <v>2</v>
      </c>
    </row>
    <row r="1075" spans="1:9">
      <c r="A1075" s="13" t="s">
        <v>0</v>
      </c>
      <c r="B1075" s="16" t="s">
        <v>69</v>
      </c>
      <c r="C1075" s="14" t="str">
        <f>VLOOKUP([1]Competence!$B29,[1]Competence!$B$12:$B$100,1,FALSE)</f>
        <v>Service acceptance</v>
      </c>
      <c r="D1075" s="13" t="str" cm="1">
        <f t="array" ref="D1075">_xlfn.XLOOKUP(B1075,[1]Baseline!$D$3:$AZ$3,_xlfn.XLOOKUP(C1075,[1]Baseline!$B$4:$B$91,[1]Baseline!$D$4:$AZ$91))</f>
        <v>Expert</v>
      </c>
      <c r="E1075" s="16"/>
      <c r="F1075" s="14">
        <v>4</v>
      </c>
      <c r="G1075" s="16">
        <v>3</v>
      </c>
      <c r="H1075" s="16">
        <f t="shared" si="16"/>
        <v>-1</v>
      </c>
      <c r="I1075" s="13">
        <v>3</v>
      </c>
    </row>
    <row r="1076" spans="1:9">
      <c r="A1076" s="13" t="s">
        <v>0</v>
      </c>
      <c r="B1076" s="16" t="s">
        <v>69</v>
      </c>
      <c r="C1076" s="14" t="str">
        <f>VLOOKUP([1]Competence!$B30,[1]Competence!$B$12:$B$100,1,FALSE)</f>
        <v>Stakeholder relationship management</v>
      </c>
      <c r="D1076" s="13" t="str" cm="1">
        <f t="array" ref="D1076">_xlfn.XLOOKUP(B1076,[1]Baseline!$D$3:$AZ$3,_xlfn.XLOOKUP(C1076,[1]Baseline!$B$4:$B$91,[1]Baseline!$D$4:$AZ$91))</f>
        <v>Expert</v>
      </c>
      <c r="E1076" s="16"/>
      <c r="F1076" s="14">
        <v>4</v>
      </c>
      <c r="G1076" s="16">
        <v>4</v>
      </c>
      <c r="H1076" s="16">
        <f t="shared" si="16"/>
        <v>0</v>
      </c>
      <c r="I1076" s="13">
        <v>4</v>
      </c>
    </row>
    <row r="1077" spans="1:9">
      <c r="A1077" s="13" t="s">
        <v>0</v>
      </c>
      <c r="B1077" s="16" t="s">
        <v>69</v>
      </c>
      <c r="C1077" s="14" t="str">
        <f>VLOOKUP([1]Competence!$B31,[1]Competence!$B$12:$B$100,1,FALSE)</f>
        <v>Storage management</v>
      </c>
      <c r="D1077" s="13" t="str" cm="1">
        <f t="array" ref="D1077">_xlfn.XLOOKUP(B1077,[1]Baseline!$D$3:$AZ$3,_xlfn.XLOOKUP(C1077,[1]Baseline!$B$4:$B$91,[1]Baseline!$D$4:$AZ$91))</f>
        <v>Working</v>
      </c>
      <c r="E1077" s="16"/>
      <c r="F1077" s="14">
        <v>2</v>
      </c>
      <c r="G1077" s="16">
        <v>3</v>
      </c>
      <c r="H1077" s="16">
        <f t="shared" si="16"/>
        <v>1</v>
      </c>
      <c r="I1077" s="13">
        <v>3</v>
      </c>
    </row>
    <row r="1078" spans="1:9">
      <c r="A1078" s="13" t="s">
        <v>0</v>
      </c>
      <c r="B1078" s="16" t="s">
        <v>69</v>
      </c>
      <c r="C1078" s="14" t="str">
        <f>VLOOKUP([1]Competence!$B32,[1]Competence!$B$12:$B$100,1,FALSE)</f>
        <v>Digital Forensics</v>
      </c>
      <c r="D1078" s="13" t="str" cm="1">
        <f t="array" ref="D1078">_xlfn.XLOOKUP(B1078,[1]Baseline!$D$3:$AZ$3,_xlfn.XLOOKUP(C1078,[1]Baseline!$B$4:$B$91,[1]Baseline!$D$4:$AZ$91))</f>
        <v>No Knowledge</v>
      </c>
      <c r="E1078" s="16"/>
      <c r="F1078" s="14">
        <v>0</v>
      </c>
      <c r="G1078" s="16">
        <v>1</v>
      </c>
      <c r="H1078" s="16">
        <f t="shared" si="16"/>
        <v>1</v>
      </c>
      <c r="I1078" s="13">
        <v>1</v>
      </c>
    </row>
    <row r="1079" spans="1:9">
      <c r="A1079" s="13" t="s">
        <v>0</v>
      </c>
      <c r="B1079" s="16" t="s">
        <v>69</v>
      </c>
      <c r="C1079" s="14" t="str">
        <f>VLOOKUP([1]Competence!$B33,[1]Competence!$B$12:$B$100,1,FALSE)</f>
        <v>Penetration testing</v>
      </c>
      <c r="D1079" s="13" t="str" cm="1">
        <f t="array" ref="D1079">_xlfn.XLOOKUP(B1079,[1]Baseline!$D$3:$AZ$3,_xlfn.XLOOKUP(C1079,[1]Baseline!$B$4:$B$91,[1]Baseline!$D$4:$AZ$91))</f>
        <v>Awareness</v>
      </c>
      <c r="E1079" s="16"/>
      <c r="F1079" s="14">
        <v>1</v>
      </c>
      <c r="G1079" s="16">
        <v>2</v>
      </c>
      <c r="H1079" s="16">
        <f t="shared" si="16"/>
        <v>1</v>
      </c>
      <c r="I1079" s="13">
        <v>2</v>
      </c>
    </row>
    <row r="1080" spans="1:9">
      <c r="A1080" s="13" t="s">
        <v>0</v>
      </c>
      <c r="B1080" s="16" t="s">
        <v>69</v>
      </c>
      <c r="C1080" s="14" t="str">
        <f>VLOOKUP([1]Competence!$B34,[1]Competence!$B$12:$B$100,1,FALSE)</f>
        <v>Security Operations</v>
      </c>
      <c r="D1080" s="13" t="str" cm="1">
        <f t="array" ref="D1080">_xlfn.XLOOKUP(B1080,[1]Baseline!$D$3:$AZ$3,_xlfn.XLOOKUP(C1080,[1]Baseline!$B$4:$B$91,[1]Baseline!$D$4:$AZ$91))</f>
        <v>Practitioner</v>
      </c>
      <c r="E1080" s="16"/>
      <c r="F1080" s="14">
        <v>3</v>
      </c>
      <c r="G1080" s="16">
        <v>3</v>
      </c>
      <c r="H1080" s="16">
        <f t="shared" si="16"/>
        <v>0</v>
      </c>
      <c r="I1080" s="13">
        <v>3</v>
      </c>
    </row>
    <row r="1081" spans="1:9">
      <c r="A1081" s="13" t="s">
        <v>0</v>
      </c>
      <c r="B1081" s="16" t="s">
        <v>69</v>
      </c>
      <c r="C1081" s="14" t="str">
        <f>VLOOKUP([1]Competence!$B35,[1]Competence!$B$12:$B$100,1,FALSE)</f>
        <v>Threat Intelligence</v>
      </c>
      <c r="D1081" s="13" t="str" cm="1">
        <f t="array" ref="D1081">_xlfn.XLOOKUP(B1081,[1]Baseline!$D$3:$AZ$3,_xlfn.XLOOKUP(C1081,[1]Baseline!$B$4:$B$91,[1]Baseline!$D$4:$AZ$91))</f>
        <v>No Knowledge</v>
      </c>
      <c r="E1081" s="16"/>
      <c r="F1081" s="14">
        <v>0</v>
      </c>
      <c r="G1081" s="16">
        <v>4</v>
      </c>
      <c r="H1081" s="16">
        <f t="shared" si="16"/>
        <v>4</v>
      </c>
      <c r="I1081" s="13">
        <v>4</v>
      </c>
    </row>
    <row r="1082" spans="1:9">
      <c r="A1082" s="13" t="s">
        <v>0</v>
      </c>
      <c r="B1082" s="16" t="s">
        <v>69</v>
      </c>
      <c r="C1082" s="14" t="str">
        <f>VLOOKUP([1]Competence!$B36,[1]Competence!$B$12:$B$100,1,FALSE)</f>
        <v>Vulnerability assessment</v>
      </c>
      <c r="D1082" s="13" t="str" cm="1">
        <f t="array" ref="D1082">_xlfn.XLOOKUP(B1082,[1]Baseline!$D$3:$AZ$3,_xlfn.XLOOKUP(C1082,[1]Baseline!$B$4:$B$91,[1]Baseline!$D$4:$AZ$91))</f>
        <v>Working</v>
      </c>
      <c r="E1082" s="16"/>
      <c r="F1082" s="14">
        <v>2</v>
      </c>
      <c r="G1082" s="16">
        <v>4</v>
      </c>
      <c r="H1082" s="16">
        <f t="shared" si="16"/>
        <v>2</v>
      </c>
      <c r="I1082" s="13">
        <v>4</v>
      </c>
    </row>
    <row r="1083" spans="1:9">
      <c r="A1083" s="13" t="s">
        <v>0</v>
      </c>
      <c r="B1083" s="16" t="s">
        <v>69</v>
      </c>
      <c r="C1083" s="14" t="str">
        <f>VLOOKUP([1]Competence!$B37,[1]Competence!$B$12:$B$100,1,FALSE)</f>
        <v>Vulnerability Research</v>
      </c>
      <c r="D1083" s="13" t="str" cm="1">
        <f t="array" ref="D1083">_xlfn.XLOOKUP(B1083,[1]Baseline!$D$3:$AZ$3,_xlfn.XLOOKUP(C1083,[1]Baseline!$B$4:$B$91,[1]Baseline!$D$4:$AZ$91))</f>
        <v>No Knowledge</v>
      </c>
      <c r="E1083" s="16"/>
      <c r="F1083" s="14">
        <v>0</v>
      </c>
      <c r="G1083" s="16">
        <v>2</v>
      </c>
      <c r="H1083" s="16">
        <f t="shared" si="16"/>
        <v>2</v>
      </c>
      <c r="I1083" s="13">
        <v>2</v>
      </c>
    </row>
    <row r="1084" spans="1:9">
      <c r="A1084" s="13" t="s">
        <v>0</v>
      </c>
      <c r="B1084" s="16" t="s">
        <v>69</v>
      </c>
      <c r="C1084" s="14" t="str">
        <f>VLOOKUP([1]Competence!$B38,[1]Competence!$B$12:$B$100,1,FALSE)</f>
        <v>Competency assessment</v>
      </c>
      <c r="D1084" s="13" t="str" cm="1">
        <f t="array" ref="D1084">_xlfn.XLOOKUP(B1084,[1]Baseline!$D$3:$AZ$3,_xlfn.XLOOKUP(C1084,[1]Baseline!$B$4:$B$91,[1]Baseline!$D$4:$AZ$91))</f>
        <v>Practitioner</v>
      </c>
      <c r="E1084" s="16"/>
      <c r="F1084" s="14">
        <v>3</v>
      </c>
      <c r="G1084" s="16">
        <v>4</v>
      </c>
      <c r="H1084" s="16">
        <f t="shared" si="16"/>
        <v>1</v>
      </c>
      <c r="I1084" s="13">
        <v>4</v>
      </c>
    </row>
    <row r="1085" spans="1:9">
      <c r="A1085" s="13" t="s">
        <v>0</v>
      </c>
      <c r="B1085" s="16" t="s">
        <v>69</v>
      </c>
      <c r="C1085" s="14" t="str">
        <f>VLOOKUP([1]Competence!$B39,[1]Competence!$B$12:$B$100,1,FALSE)</f>
        <v>Financial management</v>
      </c>
      <c r="D1085" s="13" t="str" cm="1">
        <f t="array" ref="D1085">_xlfn.XLOOKUP(B1085,[1]Baseline!$D$3:$AZ$3,_xlfn.XLOOKUP(C1085,[1]Baseline!$B$4:$B$91,[1]Baseline!$D$4:$AZ$91))</f>
        <v>Awareness</v>
      </c>
      <c r="E1085" s="16"/>
      <c r="F1085" s="14">
        <v>1</v>
      </c>
      <c r="G1085" s="16">
        <v>4</v>
      </c>
      <c r="H1085" s="16">
        <f t="shared" si="16"/>
        <v>3</v>
      </c>
      <c r="I1085" s="13">
        <v>4</v>
      </c>
    </row>
    <row r="1086" spans="1:9" ht="30">
      <c r="A1086" s="13" t="s">
        <v>0</v>
      </c>
      <c r="B1086" s="16" t="s">
        <v>69</v>
      </c>
      <c r="C1086" s="14" t="str">
        <f>VLOOKUP([1]Competence!$B40,[1]Competence!$B$12:$B$100,1,FALSE)</f>
        <v>Organisation design and implementation</v>
      </c>
      <c r="D1086" s="13" t="str" cm="1">
        <f t="array" ref="D1086">_xlfn.XLOOKUP(B1086,[1]Baseline!$D$3:$AZ$3,_xlfn.XLOOKUP(C1086,[1]Baseline!$B$4:$B$91,[1]Baseline!$D$4:$AZ$91))</f>
        <v>Awareness</v>
      </c>
      <c r="E1086" s="16"/>
      <c r="F1086" s="14">
        <v>1</v>
      </c>
      <c r="G1086" s="16">
        <v>3</v>
      </c>
      <c r="H1086" s="16">
        <f t="shared" si="16"/>
        <v>2</v>
      </c>
      <c r="I1086" s="13">
        <v>3</v>
      </c>
    </row>
    <row r="1087" spans="1:9">
      <c r="A1087" s="13" t="s">
        <v>0</v>
      </c>
      <c r="B1087" s="16" t="s">
        <v>69</v>
      </c>
      <c r="C1087" s="14" t="str">
        <f>VLOOKUP([1]Competence!$B41,[1]Competence!$B$12:$B$100,1,FALSE)</f>
        <v>Organisational capability development</v>
      </c>
      <c r="D1087" s="13" t="str" cm="1">
        <f t="array" ref="D1087">_xlfn.XLOOKUP(B1087,[1]Baseline!$D$3:$AZ$3,_xlfn.XLOOKUP(C1087,[1]Baseline!$B$4:$B$91,[1]Baseline!$D$4:$AZ$91))</f>
        <v>Awareness</v>
      </c>
      <c r="E1087" s="16"/>
      <c r="F1087" s="14">
        <v>1</v>
      </c>
      <c r="G1087" s="16">
        <v>4</v>
      </c>
      <c r="H1087" s="16">
        <f t="shared" si="16"/>
        <v>3</v>
      </c>
      <c r="I1087" s="13">
        <v>4</v>
      </c>
    </row>
    <row r="1088" spans="1:9">
      <c r="A1088" s="13" t="s">
        <v>0</v>
      </c>
      <c r="B1088" s="16" t="s">
        <v>69</v>
      </c>
      <c r="C1088" s="14" t="str">
        <f>VLOOKUP([1]Competence!$B42,[1]Competence!$B$12:$B$100,1,FALSE)</f>
        <v>Organisational change management</v>
      </c>
      <c r="D1088" s="13" t="str" cm="1">
        <f t="array" ref="D1088">_xlfn.XLOOKUP(B1088,[1]Baseline!$D$3:$AZ$3,_xlfn.XLOOKUP(C1088,[1]Baseline!$B$4:$B$91,[1]Baseline!$D$4:$AZ$91))</f>
        <v>Working</v>
      </c>
      <c r="E1088" s="16"/>
      <c r="F1088" s="14">
        <v>2</v>
      </c>
      <c r="G1088" s="16">
        <v>3</v>
      </c>
      <c r="H1088" s="16">
        <f t="shared" si="16"/>
        <v>1</v>
      </c>
      <c r="I1088" s="13">
        <v>3</v>
      </c>
    </row>
    <row r="1089" spans="1:9">
      <c r="A1089" s="13" t="s">
        <v>0</v>
      </c>
      <c r="B1089" s="16" t="s">
        <v>69</v>
      </c>
      <c r="C1089" s="14" t="str">
        <f>VLOOKUP([1]Competence!$B43,[1]Competence!$B$12:$B$100,1,FALSE)</f>
        <v>Performance Management</v>
      </c>
      <c r="D1089" s="13" t="str" cm="1">
        <f t="array" ref="D1089">_xlfn.XLOOKUP(B1089,[1]Baseline!$D$3:$AZ$3,_xlfn.XLOOKUP(C1089,[1]Baseline!$B$4:$B$91,[1]Baseline!$D$4:$AZ$91))</f>
        <v>Working</v>
      </c>
      <c r="E1089" s="16"/>
      <c r="F1089" s="14">
        <v>2</v>
      </c>
      <c r="G1089" s="16">
        <v>4</v>
      </c>
      <c r="H1089" s="16">
        <f t="shared" si="16"/>
        <v>2</v>
      </c>
      <c r="I1089" s="13">
        <v>4</v>
      </c>
    </row>
    <row r="1090" spans="1:9">
      <c r="A1090" s="13" t="s">
        <v>0</v>
      </c>
      <c r="B1090" s="16" t="s">
        <v>69</v>
      </c>
      <c r="C1090" s="14" t="str">
        <f>VLOOKUP([1]Competence!$B44,[1]Competence!$B$12:$B$100,1,FALSE)</f>
        <v>Professional Development</v>
      </c>
      <c r="D1090" s="13" t="str" cm="1">
        <f t="array" ref="D1090">_xlfn.XLOOKUP(B1090,[1]Baseline!$D$3:$AZ$3,_xlfn.XLOOKUP(C1090,[1]Baseline!$B$4:$B$91,[1]Baseline!$D$4:$AZ$91))</f>
        <v>Practitioner</v>
      </c>
      <c r="E1090" s="16"/>
      <c r="F1090" s="14">
        <v>3</v>
      </c>
      <c r="G1090" s="16">
        <v>3</v>
      </c>
      <c r="H1090" s="16">
        <f t="shared" ref="H1090:H1153" si="17">I1090-F1090</f>
        <v>0</v>
      </c>
      <c r="I1090" s="13">
        <v>3</v>
      </c>
    </row>
    <row r="1091" spans="1:9">
      <c r="A1091" s="13" t="s">
        <v>0</v>
      </c>
      <c r="B1091" s="16" t="s">
        <v>69</v>
      </c>
      <c r="C1091" s="14" t="str">
        <f>VLOOKUP([1]Competence!$B45,[1]Competence!$B$12:$B$100,1,FALSE)</f>
        <v>Strategic Planning</v>
      </c>
      <c r="D1091" s="13" t="str" cm="1">
        <f t="array" ref="D1091">_xlfn.XLOOKUP(B1091,[1]Baseline!$D$3:$AZ$3,_xlfn.XLOOKUP(C1091,[1]Baseline!$B$4:$B$91,[1]Baseline!$D$4:$AZ$91))</f>
        <v>Working</v>
      </c>
      <c r="E1091" s="16"/>
      <c r="F1091" s="14">
        <v>2</v>
      </c>
      <c r="G1091" s="16">
        <v>3</v>
      </c>
      <c r="H1091" s="16">
        <f t="shared" si="17"/>
        <v>1</v>
      </c>
      <c r="I1091" s="13">
        <v>3</v>
      </c>
    </row>
    <row r="1092" spans="1:9">
      <c r="A1092" s="13" t="s">
        <v>0</v>
      </c>
      <c r="B1092" s="16" t="s">
        <v>69</v>
      </c>
      <c r="C1092" s="14" t="str">
        <f>VLOOKUP([1]Competence!$B46,[1]Competence!$B$12:$B$100,1,FALSE)</f>
        <v>Workforce Planning</v>
      </c>
      <c r="D1092" s="13" t="str" cm="1">
        <f t="array" ref="D1092">_xlfn.XLOOKUP(B1092,[1]Baseline!$D$3:$AZ$3,_xlfn.XLOOKUP(C1092,[1]Baseline!$B$4:$B$91,[1]Baseline!$D$4:$AZ$91))</f>
        <v>Practitioner</v>
      </c>
      <c r="E1092" s="16"/>
      <c r="F1092" s="14">
        <v>3</v>
      </c>
      <c r="G1092" s="16">
        <v>3</v>
      </c>
      <c r="H1092" s="16">
        <f t="shared" si="17"/>
        <v>0</v>
      </c>
      <c r="I1092" s="13">
        <v>3</v>
      </c>
    </row>
    <row r="1093" spans="1:9">
      <c r="A1093" s="13" t="s">
        <v>0</v>
      </c>
      <c r="B1093" s="16" t="s">
        <v>69</v>
      </c>
      <c r="C1093" s="14" t="str">
        <f>VLOOKUP([1]Competence!$B47,[1]Competence!$B$12:$B$100,1,FALSE)</f>
        <v>Audit</v>
      </c>
      <c r="D1093" s="13" t="str" cm="1">
        <f t="array" ref="D1093">_xlfn.XLOOKUP(B1093,[1]Baseline!$D$3:$AZ$3,_xlfn.XLOOKUP(C1093,[1]Baseline!$B$4:$B$91,[1]Baseline!$D$4:$AZ$91))</f>
        <v>Working</v>
      </c>
      <c r="E1093" s="16"/>
      <c r="F1093" s="14">
        <v>2</v>
      </c>
      <c r="G1093" s="16">
        <v>2</v>
      </c>
      <c r="H1093" s="16">
        <f t="shared" si="17"/>
        <v>0</v>
      </c>
      <c r="I1093" s="13">
        <v>2</v>
      </c>
    </row>
    <row r="1094" spans="1:9">
      <c r="A1094" s="13" t="s">
        <v>0</v>
      </c>
      <c r="B1094" s="16" t="s">
        <v>69</v>
      </c>
      <c r="C1094" s="14" t="str">
        <f>VLOOKUP([1]Competence!$B48,[1]Competence!$B$12:$B$100,1,FALSE)</f>
        <v>Contract management</v>
      </c>
      <c r="D1094" s="13" t="str" cm="1">
        <f t="array" ref="D1094">_xlfn.XLOOKUP(B1094,[1]Baseline!$D$3:$AZ$3,_xlfn.XLOOKUP(C1094,[1]Baseline!$B$4:$B$91,[1]Baseline!$D$4:$AZ$91))</f>
        <v>Working</v>
      </c>
      <c r="E1094" s="16"/>
      <c r="F1094" s="14">
        <v>2</v>
      </c>
      <c r="G1094" s="16">
        <v>3</v>
      </c>
      <c r="H1094" s="16">
        <f t="shared" si="17"/>
        <v>1</v>
      </c>
      <c r="I1094" s="13">
        <v>3</v>
      </c>
    </row>
    <row r="1095" spans="1:9">
      <c r="A1095" s="13" t="s">
        <v>0</v>
      </c>
      <c r="B1095" s="16" t="s">
        <v>69</v>
      </c>
      <c r="C1095" s="14" t="str">
        <f>VLOOKUP([1]Competence!$B49,[1]Competence!$B$12:$B$100,1,FALSE)</f>
        <v>Feasibility assessment</v>
      </c>
      <c r="D1095" s="13" t="str" cm="1">
        <f t="array" ref="D1095">_xlfn.XLOOKUP(B1095,[1]Baseline!$D$3:$AZ$3,_xlfn.XLOOKUP(C1095,[1]Baseline!$B$4:$B$91,[1]Baseline!$D$4:$AZ$91))</f>
        <v>Working</v>
      </c>
      <c r="E1095" s="16"/>
      <c r="F1095" s="14">
        <v>2</v>
      </c>
      <c r="G1095" s="16">
        <v>3</v>
      </c>
      <c r="H1095" s="16">
        <f t="shared" si="17"/>
        <v>1</v>
      </c>
      <c r="I1095" s="13">
        <v>3</v>
      </c>
    </row>
    <row r="1096" spans="1:9">
      <c r="A1096" s="13" t="s">
        <v>0</v>
      </c>
      <c r="B1096" s="16" t="s">
        <v>69</v>
      </c>
      <c r="C1096" s="14" t="str">
        <f>VLOOKUP([1]Competence!$B50,[1]Competence!$B$12:$B$100,1,FALSE)</f>
        <v>Governance</v>
      </c>
      <c r="D1096" s="13" t="str" cm="1">
        <f t="array" ref="D1096">_xlfn.XLOOKUP(B1096,[1]Baseline!$D$3:$AZ$3,_xlfn.XLOOKUP(C1096,[1]Baseline!$B$4:$B$91,[1]Baseline!$D$4:$AZ$91))</f>
        <v>Working</v>
      </c>
      <c r="E1096" s="16"/>
      <c r="F1096" s="14">
        <v>2</v>
      </c>
      <c r="G1096" s="16">
        <v>3</v>
      </c>
      <c r="H1096" s="16">
        <f t="shared" si="17"/>
        <v>1</v>
      </c>
      <c r="I1096" s="13">
        <v>3</v>
      </c>
    </row>
    <row r="1097" spans="1:9">
      <c r="A1097" s="13" t="s">
        <v>0</v>
      </c>
      <c r="B1097" s="16" t="s">
        <v>69</v>
      </c>
      <c r="C1097" s="14" t="str">
        <f>VLOOKUP([1]Competence!$B51,[1]Competence!$B$12:$B$100,1,FALSE)</f>
        <v>Risk management</v>
      </c>
      <c r="D1097" s="13" t="str" cm="1">
        <f t="array" ref="D1097">_xlfn.XLOOKUP(B1097,[1]Baseline!$D$3:$AZ$3,_xlfn.XLOOKUP(C1097,[1]Baseline!$B$4:$B$91,[1]Baseline!$D$4:$AZ$91))</f>
        <v>Practitioner</v>
      </c>
      <c r="E1097" s="16"/>
      <c r="F1097" s="14">
        <v>3</v>
      </c>
      <c r="G1097" s="16">
        <v>3</v>
      </c>
      <c r="H1097" s="16">
        <f t="shared" si="17"/>
        <v>0</v>
      </c>
      <c r="I1097" s="13">
        <v>3</v>
      </c>
    </row>
    <row r="1098" spans="1:9">
      <c r="A1098" s="13" t="s">
        <v>0</v>
      </c>
      <c r="B1098" s="16" t="s">
        <v>69</v>
      </c>
      <c r="C1098" s="14" t="str">
        <f>VLOOKUP([1]Competence!$B52,[1]Competence!$B$12:$B$100,1,FALSE)</f>
        <v>Sourcing</v>
      </c>
      <c r="D1098" s="13" t="str" cm="1">
        <f t="array" ref="D1098">_xlfn.XLOOKUP(B1098,[1]Baseline!$D$3:$AZ$3,_xlfn.XLOOKUP(C1098,[1]Baseline!$B$4:$B$91,[1]Baseline!$D$4:$AZ$91))</f>
        <v>Practitioner</v>
      </c>
      <c r="E1098" s="16"/>
      <c r="F1098" s="14">
        <v>3</v>
      </c>
      <c r="G1098" s="16">
        <v>3</v>
      </c>
      <c r="H1098" s="16">
        <f t="shared" si="17"/>
        <v>0</v>
      </c>
      <c r="I1098" s="13">
        <v>3</v>
      </c>
    </row>
    <row r="1099" spans="1:9">
      <c r="A1099" s="13" t="s">
        <v>0</v>
      </c>
      <c r="B1099" s="16" t="s">
        <v>69</v>
      </c>
      <c r="C1099" s="14" t="str">
        <f>VLOOKUP([1]Competence!$B53,[1]Competence!$B$12:$B$100,1,FALSE)</f>
        <v>Supplier management</v>
      </c>
      <c r="D1099" s="13" t="str" cm="1">
        <f t="array" ref="D1099">_xlfn.XLOOKUP(B1099,[1]Baseline!$D$3:$AZ$3,_xlfn.XLOOKUP(C1099,[1]Baseline!$B$4:$B$91,[1]Baseline!$D$4:$AZ$91))</f>
        <v>Practitioner</v>
      </c>
      <c r="E1099" s="16"/>
      <c r="F1099" s="14">
        <v>3</v>
      </c>
      <c r="G1099" s="16">
        <v>3</v>
      </c>
      <c r="H1099" s="16">
        <f t="shared" si="17"/>
        <v>0</v>
      </c>
      <c r="I1099" s="13">
        <v>3</v>
      </c>
    </row>
    <row r="1100" spans="1:9">
      <c r="A1100" s="13" t="s">
        <v>0</v>
      </c>
      <c r="B1100" s="16" t="s">
        <v>69</v>
      </c>
      <c r="C1100" s="14" t="str">
        <f>VLOOKUP([1]Competence!$B54,[1]Competence!$B$12:$B$100,1,FALSE)</f>
        <v>Sustainability</v>
      </c>
      <c r="D1100" s="13" t="str" cm="1">
        <f t="array" ref="D1100">_xlfn.XLOOKUP(B1100,[1]Baseline!$D$3:$AZ$3,_xlfn.XLOOKUP(C1100,[1]Baseline!$B$4:$B$91,[1]Baseline!$D$4:$AZ$91))</f>
        <v>Awareness</v>
      </c>
      <c r="E1100" s="16"/>
      <c r="F1100" s="14">
        <v>1</v>
      </c>
      <c r="G1100" s="16">
        <v>3</v>
      </c>
      <c r="H1100" s="16">
        <f t="shared" si="17"/>
        <v>2</v>
      </c>
      <c r="I1100" s="13">
        <v>3</v>
      </c>
    </row>
    <row r="1101" spans="1:9">
      <c r="A1101" s="13" t="s">
        <v>0</v>
      </c>
      <c r="B1101" s="16" t="s">
        <v>69</v>
      </c>
      <c r="C1101" s="14" t="str">
        <f>VLOOKUP([1]Competence!$B55,[1]Competence!$B$12:$B$100,1,FALSE)</f>
        <v>Acceptance testing</v>
      </c>
      <c r="D1101" s="13" t="str" cm="1">
        <f t="array" ref="D1101">_xlfn.XLOOKUP(B1101,[1]Baseline!$D$3:$AZ$3,_xlfn.XLOOKUP(C1101,[1]Baseline!$B$4:$B$91,[1]Baseline!$D$4:$AZ$91))</f>
        <v>Practitioner</v>
      </c>
      <c r="E1101" s="16"/>
      <c r="F1101" s="14">
        <v>3</v>
      </c>
      <c r="G1101" s="16">
        <v>3</v>
      </c>
      <c r="H1101" s="16">
        <f t="shared" si="17"/>
        <v>0</v>
      </c>
      <c r="I1101" s="13">
        <v>3</v>
      </c>
    </row>
    <row r="1102" spans="1:9">
      <c r="A1102" s="13" t="s">
        <v>0</v>
      </c>
      <c r="B1102" s="16" t="s">
        <v>69</v>
      </c>
      <c r="C1102" s="14" t="str">
        <f>VLOOKUP([1]Competence!$B56,[1]Competence!$B$12:$B$100,1,FALSE)</f>
        <v>Application support</v>
      </c>
      <c r="D1102" s="13" t="str" cm="1">
        <f t="array" ref="D1102">_xlfn.XLOOKUP(B1102,[1]Baseline!$D$3:$AZ$3,_xlfn.XLOOKUP(C1102,[1]Baseline!$B$4:$B$91,[1]Baseline!$D$4:$AZ$91))</f>
        <v>Working</v>
      </c>
      <c r="E1102" s="16"/>
      <c r="F1102" s="14">
        <v>2</v>
      </c>
      <c r="G1102" s="16">
        <v>4</v>
      </c>
      <c r="H1102" s="16">
        <f t="shared" si="17"/>
        <v>2</v>
      </c>
      <c r="I1102" s="13">
        <v>4</v>
      </c>
    </row>
    <row r="1103" spans="1:9">
      <c r="A1103" s="13" t="s">
        <v>0</v>
      </c>
      <c r="B1103" s="16" t="s">
        <v>69</v>
      </c>
      <c r="C1103" s="14" t="str">
        <f>VLOOKUP([1]Competence!$B57,[1]Competence!$B$12:$B$100,1,FALSE)</f>
        <v>Data Engineering</v>
      </c>
      <c r="D1103" s="13" t="str" cm="1">
        <f t="array" ref="D1103">_xlfn.XLOOKUP(B1103,[1]Baseline!$D$3:$AZ$3,_xlfn.XLOOKUP(C1103,[1]Baseline!$B$4:$B$91,[1]Baseline!$D$4:$AZ$91))</f>
        <v>No Knowledge</v>
      </c>
      <c r="E1103" s="16"/>
      <c r="F1103" s="14">
        <v>0</v>
      </c>
      <c r="G1103" s="16">
        <v>1</v>
      </c>
      <c r="H1103" s="16">
        <f t="shared" si="17"/>
        <v>1</v>
      </c>
      <c r="I1103" s="13">
        <v>1</v>
      </c>
    </row>
    <row r="1104" spans="1:9">
      <c r="A1104" s="13" t="s">
        <v>0</v>
      </c>
      <c r="B1104" s="16" t="s">
        <v>69</v>
      </c>
      <c r="C1104" s="14" t="str">
        <f>VLOOKUP([1]Competence!$B58,[1]Competence!$B$12:$B$100,1,FALSE)</f>
        <v>Data Management</v>
      </c>
      <c r="D1104" s="13" t="str" cm="1">
        <f t="array" ref="D1104">_xlfn.XLOOKUP(B1104,[1]Baseline!$D$3:$AZ$3,_xlfn.XLOOKUP(C1104,[1]Baseline!$B$4:$B$91,[1]Baseline!$D$4:$AZ$91))</f>
        <v>No Knowledge</v>
      </c>
      <c r="E1104" s="16"/>
      <c r="F1104" s="14">
        <v>0</v>
      </c>
      <c r="G1104" s="16">
        <v>3</v>
      </c>
      <c r="H1104" s="16">
        <f t="shared" si="17"/>
        <v>3</v>
      </c>
      <c r="I1104" s="13">
        <v>3</v>
      </c>
    </row>
    <row r="1105" spans="1:9">
      <c r="A1105" s="13" t="s">
        <v>0</v>
      </c>
      <c r="B1105" s="16" t="s">
        <v>69</v>
      </c>
      <c r="C1105" s="14" t="str">
        <f>VLOOKUP([1]Competence!$B59,[1]Competence!$B$12:$B$100,1,FALSE)</f>
        <v>Data Modelling and Design</v>
      </c>
      <c r="D1105" s="13" t="str" cm="1">
        <f t="array" ref="D1105">_xlfn.XLOOKUP(B1105,[1]Baseline!$D$3:$AZ$3,_xlfn.XLOOKUP(C1105,[1]Baseline!$B$4:$B$91,[1]Baseline!$D$4:$AZ$91))</f>
        <v>No Knowledge</v>
      </c>
      <c r="E1105" s="16"/>
      <c r="F1105" s="14">
        <v>0</v>
      </c>
      <c r="G1105" s="16">
        <v>3</v>
      </c>
      <c r="H1105" s="16">
        <f t="shared" si="17"/>
        <v>3</v>
      </c>
      <c r="I1105" s="13">
        <v>3</v>
      </c>
    </row>
    <row r="1106" spans="1:9">
      <c r="A1106" s="13" t="s">
        <v>0</v>
      </c>
      <c r="B1106" s="16" t="s">
        <v>69</v>
      </c>
      <c r="C1106" s="14" t="str">
        <f>VLOOKUP([1]Competence!$B60,[1]Competence!$B$12:$B$100,1,FALSE)</f>
        <v>Data science</v>
      </c>
      <c r="D1106" s="13" t="str" cm="1">
        <f t="array" ref="D1106">_xlfn.XLOOKUP(B1106,[1]Baseline!$D$3:$AZ$3,_xlfn.XLOOKUP(C1106,[1]Baseline!$B$4:$B$91,[1]Baseline!$D$4:$AZ$91))</f>
        <v>No Knowledge</v>
      </c>
      <c r="E1106" s="16"/>
      <c r="F1106" s="14">
        <v>0</v>
      </c>
      <c r="G1106" s="16">
        <v>2</v>
      </c>
      <c r="H1106" s="16">
        <f t="shared" si="17"/>
        <v>2</v>
      </c>
      <c r="I1106" s="13">
        <v>2</v>
      </c>
    </row>
    <row r="1107" spans="1:9">
      <c r="A1107" s="13" t="s">
        <v>0</v>
      </c>
      <c r="B1107" s="16" t="s">
        <v>69</v>
      </c>
      <c r="C1107" s="14" t="str">
        <f>VLOOKUP([1]Competence!$B61,[1]Competence!$B$12:$B$100,1,FALSE)</f>
        <v>Data visualisation</v>
      </c>
      <c r="D1107" s="13" t="str" cm="1">
        <f t="array" ref="D1107">_xlfn.XLOOKUP(B1107,[1]Baseline!$D$3:$AZ$3,_xlfn.XLOOKUP(C1107,[1]Baseline!$B$4:$B$91,[1]Baseline!$D$4:$AZ$91))</f>
        <v>No Knowledge</v>
      </c>
      <c r="E1107" s="16"/>
      <c r="F1107" s="14">
        <v>0</v>
      </c>
      <c r="G1107" s="16">
        <v>3</v>
      </c>
      <c r="H1107" s="16">
        <f t="shared" si="17"/>
        <v>3</v>
      </c>
      <c r="I1107" s="13">
        <v>3</v>
      </c>
    </row>
    <row r="1108" spans="1:9">
      <c r="A1108" s="13" t="s">
        <v>0</v>
      </c>
      <c r="B1108" s="16" t="s">
        <v>69</v>
      </c>
      <c r="C1108" s="14" t="str">
        <f>VLOOKUP([1]Competence!$B62,[1]Competence!$B$12:$B$100,1,FALSE)</f>
        <v>Database Administration</v>
      </c>
      <c r="D1108" s="13" t="str" cm="1">
        <f t="array" ref="D1108">_xlfn.XLOOKUP(B1108,[1]Baseline!$D$3:$AZ$3,_xlfn.XLOOKUP(C1108,[1]Baseline!$B$4:$B$91,[1]Baseline!$D$4:$AZ$91))</f>
        <v>No Knowledge</v>
      </c>
      <c r="E1108" s="16"/>
      <c r="F1108" s="14">
        <v>0</v>
      </c>
      <c r="G1108" s="16">
        <v>3</v>
      </c>
      <c r="H1108" s="16">
        <f t="shared" si="17"/>
        <v>3</v>
      </c>
      <c r="I1108" s="13">
        <v>3</v>
      </c>
    </row>
    <row r="1109" spans="1:9">
      <c r="A1109" s="13" t="s">
        <v>0</v>
      </c>
      <c r="B1109" s="16" t="s">
        <v>69</v>
      </c>
      <c r="C1109" s="14" t="str">
        <f>VLOOKUP([1]Competence!$B63,[1]Competence!$B$12:$B$100,1,FALSE)</f>
        <v>Database Design</v>
      </c>
      <c r="D1109" s="13" t="str" cm="1">
        <f t="array" ref="D1109">_xlfn.XLOOKUP(B1109,[1]Baseline!$D$3:$AZ$3,_xlfn.XLOOKUP(C1109,[1]Baseline!$B$4:$B$91,[1]Baseline!$D$4:$AZ$91))</f>
        <v>No Knowledge</v>
      </c>
      <c r="E1109" s="16"/>
      <c r="F1109" s="14">
        <v>0</v>
      </c>
      <c r="G1109" s="16">
        <v>3</v>
      </c>
      <c r="H1109" s="16">
        <f t="shared" si="17"/>
        <v>3</v>
      </c>
      <c r="I1109" s="13">
        <v>3</v>
      </c>
    </row>
    <row r="1110" spans="1:9">
      <c r="A1110" s="13" t="s">
        <v>0</v>
      </c>
      <c r="B1110" s="16" t="s">
        <v>69</v>
      </c>
      <c r="C1110" s="14" t="str">
        <f>VLOOKUP([1]Competence!$B64,[1]Competence!$B$12:$B$100,1,FALSE)</f>
        <v>Hardware design</v>
      </c>
      <c r="D1110" s="13" t="str" cm="1">
        <f t="array" ref="D1110">_xlfn.XLOOKUP(B1110,[1]Baseline!$D$3:$AZ$3,_xlfn.XLOOKUP(C1110,[1]Baseline!$B$4:$B$91,[1]Baseline!$D$4:$AZ$91))</f>
        <v>No Knowledge</v>
      </c>
      <c r="E1110" s="16"/>
      <c r="F1110" s="14">
        <v>0</v>
      </c>
      <c r="G1110" s="16">
        <v>3</v>
      </c>
      <c r="H1110" s="16">
        <f t="shared" si="17"/>
        <v>3</v>
      </c>
      <c r="I1110" s="13">
        <v>3</v>
      </c>
    </row>
    <row r="1111" spans="1:9">
      <c r="A1111" s="13" t="s">
        <v>0</v>
      </c>
      <c r="B1111" s="16" t="s">
        <v>69</v>
      </c>
      <c r="C1111" s="14" t="str">
        <f>VLOOKUP([1]Competence!$B65,[1]Competence!$B$12:$B$100,1,FALSE)</f>
        <v>High Performance Computing</v>
      </c>
      <c r="D1111" s="13" t="str" cm="1">
        <f t="array" ref="D1111">_xlfn.XLOOKUP(B1111,[1]Baseline!$D$3:$AZ$3,_xlfn.XLOOKUP(C1111,[1]Baseline!$B$4:$B$91,[1]Baseline!$D$4:$AZ$91))</f>
        <v>Awareness</v>
      </c>
      <c r="E1111" s="16"/>
      <c r="F1111" s="14">
        <v>1</v>
      </c>
      <c r="G1111" s="16">
        <v>3</v>
      </c>
      <c r="H1111" s="16">
        <f t="shared" si="17"/>
        <v>2</v>
      </c>
      <c r="I1111" s="13">
        <v>3</v>
      </c>
    </row>
    <row r="1112" spans="1:9">
      <c r="A1112" s="13" t="s">
        <v>0</v>
      </c>
      <c r="B1112" s="16" t="s">
        <v>69</v>
      </c>
      <c r="C1112" s="14" t="str">
        <f>VLOOKUP([1]Competence!$B66,[1]Competence!$B$12:$B$100,1,FALSE)</f>
        <v>Research Computing</v>
      </c>
      <c r="D1112" s="13" t="str" cm="1">
        <f t="array" ref="D1112">_xlfn.XLOOKUP(B1112,[1]Baseline!$D$3:$AZ$3,_xlfn.XLOOKUP(C1112,[1]Baseline!$B$4:$B$91,[1]Baseline!$D$4:$AZ$91))</f>
        <v>Awareness</v>
      </c>
      <c r="E1112" s="16"/>
      <c r="F1112" s="14">
        <v>1</v>
      </c>
      <c r="G1112" s="16">
        <v>4</v>
      </c>
      <c r="H1112" s="16">
        <f t="shared" si="17"/>
        <v>3</v>
      </c>
      <c r="I1112" s="13">
        <v>4</v>
      </c>
    </row>
    <row r="1113" spans="1:9">
      <c r="A1113" s="13" t="s">
        <v>0</v>
      </c>
      <c r="B1113" s="16" t="s">
        <v>69</v>
      </c>
      <c r="C1113" s="14" t="str">
        <f>VLOOKUP([1]Competence!$B67,[1]Competence!$B$12:$B$100,1,FALSE)</f>
        <v>Information assurance</v>
      </c>
      <c r="D1113" s="13" t="str" cm="1">
        <f t="array" ref="D1113">_xlfn.XLOOKUP(B1113,[1]Baseline!$D$3:$AZ$3,_xlfn.XLOOKUP(C1113,[1]Baseline!$B$4:$B$91,[1]Baseline!$D$4:$AZ$91))</f>
        <v>Practitioner</v>
      </c>
      <c r="E1113" s="16"/>
      <c r="F1113" s="14">
        <v>3</v>
      </c>
      <c r="G1113" s="16">
        <v>4</v>
      </c>
      <c r="H1113" s="16">
        <f t="shared" si="17"/>
        <v>1</v>
      </c>
      <c r="I1113" s="13">
        <v>4</v>
      </c>
    </row>
    <row r="1114" spans="1:9">
      <c r="A1114" s="13" t="s">
        <v>0</v>
      </c>
      <c r="B1114" s="16" t="s">
        <v>69</v>
      </c>
      <c r="C1114" s="14" t="str">
        <f>VLOOKUP([1]Competence!$B68,[1]Competence!$B$12:$B$100,1,FALSE)</f>
        <v>Information management</v>
      </c>
      <c r="D1114" s="13" t="str" cm="1">
        <f t="array" ref="D1114">_xlfn.XLOOKUP(B1114,[1]Baseline!$D$3:$AZ$3,_xlfn.XLOOKUP(C1114,[1]Baseline!$B$4:$B$91,[1]Baseline!$D$4:$AZ$91))</f>
        <v>Awareness</v>
      </c>
      <c r="E1114" s="16"/>
      <c r="F1114" s="14">
        <v>1</v>
      </c>
      <c r="G1114" s="16">
        <v>4</v>
      </c>
      <c r="H1114" s="16">
        <f t="shared" si="17"/>
        <v>3</v>
      </c>
      <c r="I1114" s="13">
        <v>4</v>
      </c>
    </row>
    <row r="1115" spans="1:9">
      <c r="A1115" s="13" t="s">
        <v>0</v>
      </c>
      <c r="B1115" s="16" t="s">
        <v>69</v>
      </c>
      <c r="C1115" s="14" t="str">
        <f>VLOOKUP([1]Competence!$B69,[1]Competence!$B$12:$B$100,1,FALSE)</f>
        <v>Infrastructure</v>
      </c>
      <c r="D1115" s="13" t="str" cm="1">
        <f t="array" ref="D1115">_xlfn.XLOOKUP(B1115,[1]Baseline!$D$3:$AZ$3,_xlfn.XLOOKUP(C1115,[1]Baseline!$B$4:$B$91,[1]Baseline!$D$4:$AZ$91))</f>
        <v>Working</v>
      </c>
      <c r="E1115" s="16"/>
      <c r="F1115" s="14">
        <v>2</v>
      </c>
      <c r="G1115" s="16">
        <v>4</v>
      </c>
      <c r="H1115" s="16">
        <f t="shared" si="17"/>
        <v>2</v>
      </c>
      <c r="I1115" s="13">
        <v>4</v>
      </c>
    </row>
    <row r="1116" spans="1:9">
      <c r="A1116" s="13" t="s">
        <v>0</v>
      </c>
      <c r="B1116" s="16" t="s">
        <v>69</v>
      </c>
      <c r="C1116" s="14" t="str">
        <f>VLOOKUP([1]Competence!$B70,[1]Competence!$B$12:$B$100,1,FALSE)</f>
        <v>Network design</v>
      </c>
      <c r="D1116" s="13" t="str" cm="1">
        <f t="array" ref="D1116">_xlfn.XLOOKUP(B1116,[1]Baseline!$D$3:$AZ$3,_xlfn.XLOOKUP(C1116,[1]Baseline!$B$4:$B$91,[1]Baseline!$D$4:$AZ$91))</f>
        <v>No Knowledge</v>
      </c>
      <c r="E1116" s="16"/>
      <c r="F1116" s="14">
        <v>0</v>
      </c>
      <c r="G1116" s="16">
        <v>3</v>
      </c>
      <c r="H1116" s="16">
        <f t="shared" si="17"/>
        <v>3</v>
      </c>
      <c r="I1116" s="13">
        <v>3</v>
      </c>
    </row>
    <row r="1117" spans="1:9">
      <c r="A1117" s="13" t="s">
        <v>0</v>
      </c>
      <c r="B1117" s="16" t="s">
        <v>69</v>
      </c>
      <c r="C1117" s="14" t="str">
        <f>VLOOKUP([1]Competence!$B71,[1]Competence!$B$12:$B$100,1,FALSE)</f>
        <v>Network Analytics</v>
      </c>
      <c r="D1117" s="13" t="str" cm="1">
        <f t="array" ref="D1117">_xlfn.XLOOKUP(B1117,[1]Baseline!$D$3:$AZ$3,_xlfn.XLOOKUP(C1117,[1]Baseline!$B$4:$B$91,[1]Baseline!$D$4:$AZ$91))</f>
        <v>No Knowledge</v>
      </c>
      <c r="E1117" s="16"/>
      <c r="F1117" s="14">
        <v>0</v>
      </c>
      <c r="G1117" s="16">
        <v>2</v>
      </c>
      <c r="H1117" s="16">
        <f t="shared" si="17"/>
        <v>2</v>
      </c>
      <c r="I1117" s="13">
        <v>2</v>
      </c>
    </row>
    <row r="1118" spans="1:9">
      <c r="A1118" s="13" t="s">
        <v>0</v>
      </c>
      <c r="B1118" s="16" t="s">
        <v>69</v>
      </c>
      <c r="C1118" s="14" t="str">
        <f>VLOOKUP([1]Competence!$B72,[1]Competence!$B$12:$B$100,1,FALSE)</f>
        <v>Network support</v>
      </c>
      <c r="D1118" s="13" t="str" cm="1">
        <f t="array" ref="D1118">_xlfn.XLOOKUP(B1118,[1]Baseline!$D$3:$AZ$3,_xlfn.XLOOKUP(C1118,[1]Baseline!$B$4:$B$91,[1]Baseline!$D$4:$AZ$91))</f>
        <v>Working</v>
      </c>
      <c r="E1118" s="16"/>
      <c r="F1118" s="14">
        <v>2</v>
      </c>
      <c r="G1118" s="16">
        <v>2</v>
      </c>
      <c r="H1118" s="16">
        <f t="shared" si="17"/>
        <v>0</v>
      </c>
      <c r="I1118" s="13">
        <v>2</v>
      </c>
    </row>
    <row r="1119" spans="1:9">
      <c r="A1119" s="13" t="s">
        <v>0</v>
      </c>
      <c r="B1119" s="16" t="s">
        <v>69</v>
      </c>
      <c r="C1119" s="14" t="str">
        <f>VLOOKUP([1]Competence!$B73,[1]Competence!$B$12:$B$100,1,FALSE)</f>
        <v>Programming/software development</v>
      </c>
      <c r="D1119" s="13" t="str" cm="1">
        <f t="array" ref="D1119">_xlfn.XLOOKUP(B1119,[1]Baseline!$D$3:$AZ$3,_xlfn.XLOOKUP(C1119,[1]Baseline!$B$4:$B$91,[1]Baseline!$D$4:$AZ$91))</f>
        <v>No Knowledge</v>
      </c>
      <c r="E1119" s="16"/>
      <c r="F1119" s="14">
        <v>0</v>
      </c>
      <c r="G1119" s="16">
        <v>2</v>
      </c>
      <c r="H1119" s="16">
        <f t="shared" si="17"/>
        <v>2</v>
      </c>
      <c r="I1119" s="13">
        <v>2</v>
      </c>
    </row>
    <row r="1120" spans="1:9" ht="30">
      <c r="A1120" s="13" t="s">
        <v>0</v>
      </c>
      <c r="B1120" s="16" t="s">
        <v>69</v>
      </c>
      <c r="C1120" s="14" t="str">
        <f>VLOOKUP([1]Competence!$B74,[1]Competence!$B$12:$B$100,1,FALSE)</f>
        <v>Real-time/embedded systems development</v>
      </c>
      <c r="D1120" s="13" t="str" cm="1">
        <f t="array" ref="D1120">_xlfn.XLOOKUP(B1120,[1]Baseline!$D$3:$AZ$3,_xlfn.XLOOKUP(C1120,[1]Baseline!$B$4:$B$91,[1]Baseline!$D$4:$AZ$91))</f>
        <v>No Knowledge</v>
      </c>
      <c r="E1120" s="16"/>
      <c r="F1120" s="14">
        <v>0</v>
      </c>
      <c r="G1120" s="16">
        <v>2</v>
      </c>
      <c r="H1120" s="16">
        <f t="shared" si="17"/>
        <v>2</v>
      </c>
      <c r="I1120" s="13">
        <v>2</v>
      </c>
    </row>
    <row r="1121" spans="1:9" ht="30">
      <c r="A1121" s="13" t="s">
        <v>0</v>
      </c>
      <c r="B1121" s="16" t="s">
        <v>69</v>
      </c>
      <c r="C1121" s="14" t="str">
        <f>VLOOKUP([1]Competence!$B75,[1]Competence!$B$12:$B$100,1,FALSE)</f>
        <v>Requirements definition and management</v>
      </c>
      <c r="D1121" s="13" t="str" cm="1">
        <f t="array" ref="D1121">_xlfn.XLOOKUP(B1121,[1]Baseline!$D$3:$AZ$3,_xlfn.XLOOKUP(C1121,[1]Baseline!$B$4:$B$91,[1]Baseline!$D$4:$AZ$91))</f>
        <v>No Knowledge</v>
      </c>
      <c r="E1121" s="16"/>
      <c r="F1121" s="14">
        <v>0</v>
      </c>
      <c r="G1121" s="16">
        <v>3</v>
      </c>
      <c r="H1121" s="16">
        <f t="shared" si="17"/>
        <v>3</v>
      </c>
      <c r="I1121" s="13">
        <v>3</v>
      </c>
    </row>
    <row r="1122" spans="1:9">
      <c r="A1122" s="13" t="s">
        <v>0</v>
      </c>
      <c r="B1122" s="16" t="s">
        <v>69</v>
      </c>
      <c r="C1122" s="14" t="str">
        <f>VLOOKUP([1]Competence!$B76,[1]Competence!$B$12:$B$100,1,FALSE)</f>
        <v>Software configuration</v>
      </c>
      <c r="D1122" s="13" t="str" cm="1">
        <f t="array" ref="D1122">_xlfn.XLOOKUP(B1122,[1]Baseline!$D$3:$AZ$3,_xlfn.XLOOKUP(C1122,[1]Baseline!$B$4:$B$91,[1]Baseline!$D$4:$AZ$91))</f>
        <v>No Knowledge</v>
      </c>
      <c r="E1122" s="16"/>
      <c r="F1122" s="14">
        <v>0</v>
      </c>
      <c r="G1122" s="16">
        <v>3</v>
      </c>
      <c r="H1122" s="16">
        <f t="shared" si="17"/>
        <v>3</v>
      </c>
      <c r="I1122" s="13">
        <v>3</v>
      </c>
    </row>
    <row r="1123" spans="1:9">
      <c r="A1123" s="13" t="s">
        <v>0</v>
      </c>
      <c r="B1123" s="16" t="s">
        <v>69</v>
      </c>
      <c r="C1123" s="14" t="str">
        <f>VLOOKUP([1]Competence!$B77,[1]Competence!$B$12:$B$100,1,FALSE)</f>
        <v>Software design</v>
      </c>
      <c r="D1123" s="13" t="str" cm="1">
        <f t="array" ref="D1123">_xlfn.XLOOKUP(B1123,[1]Baseline!$D$3:$AZ$3,_xlfn.XLOOKUP(C1123,[1]Baseline!$B$4:$B$91,[1]Baseline!$D$4:$AZ$91))</f>
        <v>No Knowledge</v>
      </c>
      <c r="E1123" s="16"/>
      <c r="F1123" s="14">
        <v>0</v>
      </c>
      <c r="G1123" s="16">
        <v>4</v>
      </c>
      <c r="H1123" s="16">
        <f t="shared" si="17"/>
        <v>4</v>
      </c>
      <c r="I1123" s="13">
        <v>4</v>
      </c>
    </row>
    <row r="1124" spans="1:9">
      <c r="A1124" s="13" t="s">
        <v>0</v>
      </c>
      <c r="B1124" s="16" t="s">
        <v>69</v>
      </c>
      <c r="C1124" s="14" t="str">
        <f>VLOOKUP([1]Competence!$B78,[1]Competence!$B$12:$B$100,1,FALSE)</f>
        <v>Solution architecture</v>
      </c>
      <c r="D1124" s="13" t="str" cm="1">
        <f t="array" ref="D1124">_xlfn.XLOOKUP(B1124,[1]Baseline!$D$3:$AZ$3,_xlfn.XLOOKUP(C1124,[1]Baseline!$B$4:$B$91,[1]Baseline!$D$4:$AZ$91))</f>
        <v>No Knowledge</v>
      </c>
      <c r="E1124" s="16"/>
      <c r="F1124" s="14">
        <v>0</v>
      </c>
      <c r="G1124" s="16">
        <v>4</v>
      </c>
      <c r="H1124" s="16">
        <f t="shared" si="17"/>
        <v>4</v>
      </c>
      <c r="I1124" s="13">
        <v>4</v>
      </c>
    </row>
    <row r="1125" spans="1:9">
      <c r="A1125" s="13" t="s">
        <v>0</v>
      </c>
      <c r="B1125" s="16" t="s">
        <v>69</v>
      </c>
      <c r="C1125" s="14" t="str">
        <f>VLOOKUP([1]Competence!$B79,[1]Competence!$B$12:$B$100,1,FALSE)</f>
        <v>System software</v>
      </c>
      <c r="D1125" s="13" t="str" cm="1">
        <f t="array" ref="D1125">_xlfn.XLOOKUP(B1125,[1]Baseline!$D$3:$AZ$3,_xlfn.XLOOKUP(C1125,[1]Baseline!$B$4:$B$91,[1]Baseline!$D$4:$AZ$91))</f>
        <v>No Knowledge</v>
      </c>
      <c r="E1125" s="16"/>
      <c r="F1125" s="14">
        <v>0</v>
      </c>
      <c r="G1125" s="16">
        <v>4</v>
      </c>
      <c r="H1125" s="16">
        <f t="shared" si="17"/>
        <v>4</v>
      </c>
      <c r="I1125" s="13">
        <v>4</v>
      </c>
    </row>
    <row r="1126" spans="1:9" ht="30">
      <c r="A1126" s="13" t="s">
        <v>0</v>
      </c>
      <c r="B1126" s="16" t="s">
        <v>69</v>
      </c>
      <c r="C1126" s="14" t="str">
        <f>VLOOKUP([1]Competence!$B80,[1]Competence!$B$12:$B$100,1,FALSE)</f>
        <v>Systems and software life cycle engineering</v>
      </c>
      <c r="D1126" s="13" t="str" cm="1">
        <f t="array" ref="D1126">_xlfn.XLOOKUP(B1126,[1]Baseline!$D$3:$AZ$3,_xlfn.XLOOKUP(C1126,[1]Baseline!$B$4:$B$91,[1]Baseline!$D$4:$AZ$91))</f>
        <v>No Knowledge</v>
      </c>
      <c r="E1126" s="16"/>
      <c r="F1126" s="14">
        <v>0</v>
      </c>
      <c r="G1126" s="16">
        <v>2</v>
      </c>
      <c r="H1126" s="16">
        <f t="shared" si="17"/>
        <v>2</v>
      </c>
      <c r="I1126" s="13">
        <v>2</v>
      </c>
    </row>
    <row r="1127" spans="1:9">
      <c r="A1127" s="13" t="s">
        <v>0</v>
      </c>
      <c r="B1127" s="16" t="s">
        <v>69</v>
      </c>
      <c r="C1127" s="14" t="str">
        <f>VLOOKUP([1]Competence!$B81,[1]Competence!$B$12:$B$100,1,FALSE)</f>
        <v>Systems design</v>
      </c>
      <c r="D1127" s="13" t="str" cm="1">
        <f t="array" ref="D1127">_xlfn.XLOOKUP(B1127,[1]Baseline!$D$3:$AZ$3,_xlfn.XLOOKUP(C1127,[1]Baseline!$B$4:$B$91,[1]Baseline!$D$4:$AZ$91))</f>
        <v>No Knowledge</v>
      </c>
      <c r="E1127" s="16"/>
      <c r="F1127" s="14">
        <v>0</v>
      </c>
      <c r="G1127" s="16">
        <v>3</v>
      </c>
      <c r="H1127" s="16">
        <f t="shared" si="17"/>
        <v>3</v>
      </c>
      <c r="I1127" s="13">
        <v>3</v>
      </c>
    </row>
    <row r="1128" spans="1:9">
      <c r="A1128" s="13" t="s">
        <v>0</v>
      </c>
      <c r="B1128" s="16" t="s">
        <v>69</v>
      </c>
      <c r="C1128" s="14" t="str">
        <f>VLOOKUP([1]Competence!$B82,[1]Competence!$B$12:$B$100,1,FALSE)</f>
        <v>Systems development management</v>
      </c>
      <c r="D1128" s="13" t="str" cm="1">
        <f t="array" ref="D1128">_xlfn.XLOOKUP(B1128,[1]Baseline!$D$3:$AZ$3,_xlfn.XLOOKUP(C1128,[1]Baseline!$B$4:$B$91,[1]Baseline!$D$4:$AZ$91))</f>
        <v>No Knowledge</v>
      </c>
      <c r="E1128" s="16"/>
      <c r="F1128" s="14">
        <v>0</v>
      </c>
      <c r="G1128" s="16">
        <v>2</v>
      </c>
      <c r="H1128" s="16">
        <f t="shared" si="17"/>
        <v>2</v>
      </c>
      <c r="I1128" s="13">
        <v>2</v>
      </c>
    </row>
    <row r="1129" spans="1:9">
      <c r="A1129" s="13" t="s">
        <v>0</v>
      </c>
      <c r="B1129" s="16" t="s">
        <v>69</v>
      </c>
      <c r="C1129" s="14" t="str">
        <f>VLOOKUP([1]Competence!$B83,[1]Competence!$B$12:$B$100,1,FALSE)</f>
        <v>Systems installation and removal</v>
      </c>
      <c r="D1129" s="13" t="str" cm="1">
        <f t="array" ref="D1129">_xlfn.XLOOKUP(B1129,[1]Baseline!$D$3:$AZ$3,_xlfn.XLOOKUP(C1129,[1]Baseline!$B$4:$B$91,[1]Baseline!$D$4:$AZ$91))</f>
        <v>Working</v>
      </c>
      <c r="E1129" s="16"/>
      <c r="F1129" s="14">
        <v>2</v>
      </c>
      <c r="G1129" s="16">
        <v>3</v>
      </c>
      <c r="H1129" s="16">
        <f t="shared" si="17"/>
        <v>1</v>
      </c>
      <c r="I1129" s="13">
        <v>3</v>
      </c>
    </row>
    <row r="1130" spans="1:9">
      <c r="A1130" s="13" t="s">
        <v>0</v>
      </c>
      <c r="B1130" s="16" t="s">
        <v>69</v>
      </c>
      <c r="C1130" s="14" t="str">
        <f>VLOOKUP([1]Competence!$B84,[1]Competence!$B$12:$B$100,1,FALSE)</f>
        <v>Testing</v>
      </c>
      <c r="D1130" s="13" t="str" cm="1">
        <f t="array" ref="D1130">_xlfn.XLOOKUP(B1130,[1]Baseline!$D$3:$AZ$3,_xlfn.XLOOKUP(C1130,[1]Baseline!$B$4:$B$91,[1]Baseline!$D$4:$AZ$91))</f>
        <v>Working</v>
      </c>
      <c r="E1130" s="16"/>
      <c r="F1130" s="14">
        <v>2</v>
      </c>
      <c r="G1130" s="16">
        <v>3</v>
      </c>
      <c r="H1130" s="16">
        <f t="shared" si="17"/>
        <v>1</v>
      </c>
      <c r="I1130" s="13">
        <v>3</v>
      </c>
    </row>
    <row r="1131" spans="1:9">
      <c r="A1131" s="13" t="s">
        <v>0</v>
      </c>
      <c r="B1131" s="16" t="s">
        <v>69</v>
      </c>
      <c r="C1131" s="14" t="str">
        <f>VLOOKUP([1]Competence!$B85,[1]Competence!$B$12:$B$100,1,FALSE)</f>
        <v>Innovation</v>
      </c>
      <c r="D1131" s="13" t="str" cm="1">
        <f t="array" ref="D1131">_xlfn.XLOOKUP(B1131,[1]Baseline!$D$3:$AZ$3,_xlfn.XLOOKUP(C1131,[1]Baseline!$B$4:$B$91,[1]Baseline!$D$4:$AZ$91))</f>
        <v>No Knowledge</v>
      </c>
      <c r="E1131" s="16"/>
      <c r="F1131" s="14">
        <v>0</v>
      </c>
      <c r="G1131" s="16">
        <v>3</v>
      </c>
      <c r="H1131" s="16">
        <f t="shared" si="17"/>
        <v>3</v>
      </c>
      <c r="I1131" s="13">
        <v>3</v>
      </c>
    </row>
    <row r="1132" spans="1:9">
      <c r="A1132" s="13" t="s">
        <v>0</v>
      </c>
      <c r="B1132" s="16" t="s">
        <v>69</v>
      </c>
      <c r="C1132" s="14" t="str">
        <f>VLOOKUP([1]Competence!$B86,[1]Competence!$B$12:$B$100,1,FALSE)</f>
        <v>Specialist Advice</v>
      </c>
      <c r="D1132" s="13" t="str" cm="1">
        <f t="array" ref="D1132">_xlfn.XLOOKUP(B1132,[1]Baseline!$D$3:$AZ$3,_xlfn.XLOOKUP(C1132,[1]Baseline!$B$4:$B$91,[1]Baseline!$D$4:$AZ$91))</f>
        <v>Awareness</v>
      </c>
      <c r="E1132" s="16"/>
      <c r="F1132" s="14">
        <v>1</v>
      </c>
      <c r="G1132" s="16">
        <v>4</v>
      </c>
      <c r="H1132" s="16">
        <f t="shared" si="17"/>
        <v>3</v>
      </c>
      <c r="I1132" s="13">
        <v>4</v>
      </c>
    </row>
    <row r="1133" spans="1:9">
      <c r="A1133" s="13" t="s">
        <v>0</v>
      </c>
      <c r="B1133" s="16" t="s">
        <v>69</v>
      </c>
      <c r="C1133" s="14" t="str">
        <f>VLOOKUP([1]Competence!$B87,[1]Competence!$B$12:$B$100,1,FALSE)</f>
        <v>Emerging technology monitoring</v>
      </c>
      <c r="D1133" s="13" t="str" cm="1">
        <f t="array" ref="D1133">_xlfn.XLOOKUP(B1133,[1]Baseline!$D$3:$AZ$3,_xlfn.XLOOKUP(C1133,[1]Baseline!$B$4:$B$91,[1]Baseline!$D$4:$AZ$91))</f>
        <v>Practitioner</v>
      </c>
      <c r="E1133" s="16"/>
      <c r="F1133" s="14">
        <v>3</v>
      </c>
      <c r="G1133" s="16">
        <v>3</v>
      </c>
      <c r="H1133" s="16">
        <f t="shared" si="17"/>
        <v>0</v>
      </c>
      <c r="I1133" s="13">
        <v>3</v>
      </c>
    </row>
    <row r="1134" spans="1:9">
      <c r="A1134" s="13" t="s">
        <v>0</v>
      </c>
      <c r="B1134" s="16" t="s">
        <v>69</v>
      </c>
      <c r="C1134" s="14" t="str">
        <f>VLOOKUP([1]Competence!$B88,[1]Competence!$B$12:$B$100,1,FALSE)</f>
        <v>Systems integration and build</v>
      </c>
      <c r="D1134" s="13" t="str" cm="1">
        <f t="array" ref="D1134">_xlfn.XLOOKUP(B1134,[1]Baseline!$D$3:$AZ$3,_xlfn.XLOOKUP(C1134,[1]Baseline!$B$4:$B$91,[1]Baseline!$D$4:$AZ$91))</f>
        <v>Practitioner</v>
      </c>
      <c r="E1134" s="16"/>
      <c r="F1134" s="14">
        <v>3</v>
      </c>
      <c r="G1134" s="16">
        <v>3</v>
      </c>
      <c r="H1134" s="16">
        <f t="shared" si="17"/>
        <v>0</v>
      </c>
      <c r="I1134" s="13">
        <v>3</v>
      </c>
    </row>
    <row r="1135" spans="1:9">
      <c r="A1135" s="13" t="s">
        <v>0</v>
      </c>
      <c r="B1135" s="16" t="s">
        <v>69</v>
      </c>
      <c r="C1135" s="14" t="str">
        <f>VLOOKUP([1]Competence!$B89,[1]Competence!$B$12:$B$100,1,FALSE)</f>
        <v>Audio Visual</v>
      </c>
      <c r="D1135" s="13" t="str" cm="1">
        <f t="array" ref="D1135">_xlfn.XLOOKUP(B1135,[1]Baseline!$D$3:$AZ$3,_xlfn.XLOOKUP(C1135,[1]Baseline!$B$4:$B$91,[1]Baseline!$D$4:$AZ$91))</f>
        <v>Working</v>
      </c>
      <c r="E1135" s="16"/>
      <c r="F1135" s="14">
        <v>2</v>
      </c>
      <c r="G1135" s="16">
        <v>2</v>
      </c>
      <c r="H1135" s="16">
        <f t="shared" si="17"/>
        <v>0</v>
      </c>
      <c r="I1135" s="13">
        <v>2</v>
      </c>
    </row>
    <row r="1136" spans="1:9">
      <c r="A1136" s="13" t="s">
        <v>0</v>
      </c>
      <c r="B1136" s="16" t="s">
        <v>69</v>
      </c>
      <c r="C1136" s="14" t="str">
        <f>VLOOKUP([1]Competence!$B90,[1]Competence!$B$12:$B$100,1,FALSE)</f>
        <v>Augmented Reality</v>
      </c>
      <c r="D1136" s="13" t="str" cm="1">
        <f t="array" ref="D1136">_xlfn.XLOOKUP(B1136,[1]Baseline!$D$3:$AZ$3,_xlfn.XLOOKUP(C1136,[1]Baseline!$B$4:$B$91,[1]Baseline!$D$4:$AZ$91))</f>
        <v>Awareness</v>
      </c>
      <c r="E1136" s="16"/>
      <c r="F1136" s="14">
        <v>1</v>
      </c>
      <c r="G1136" s="16">
        <v>1</v>
      </c>
      <c r="H1136" s="16">
        <f t="shared" si="17"/>
        <v>0</v>
      </c>
      <c r="I1136" s="13">
        <v>1</v>
      </c>
    </row>
    <row r="1137" spans="1:10">
      <c r="A1137" s="13" t="s">
        <v>0</v>
      </c>
      <c r="B1137" s="16" t="s">
        <v>69</v>
      </c>
      <c r="C1137" s="14" t="str">
        <f>VLOOKUP([1]Competence!$B91,[1]Competence!$B$12:$B$100,1,FALSE)</f>
        <v>Benefits management</v>
      </c>
      <c r="D1137" s="13" t="str" cm="1">
        <f t="array" ref="D1137">_xlfn.XLOOKUP(B1137,[1]Baseline!$D$3:$AZ$3,_xlfn.XLOOKUP(C1137,[1]Baseline!$B$4:$B$91,[1]Baseline!$D$4:$AZ$91))</f>
        <v>No Knowledge</v>
      </c>
      <c r="E1137" s="16"/>
      <c r="F1137" s="14">
        <v>0</v>
      </c>
      <c r="G1137" s="16">
        <v>2</v>
      </c>
      <c r="H1137" s="16">
        <f t="shared" si="17"/>
        <v>2</v>
      </c>
      <c r="I1137" s="13">
        <v>2</v>
      </c>
    </row>
    <row r="1138" spans="1:10">
      <c r="A1138" s="13" t="s">
        <v>0</v>
      </c>
      <c r="B1138" s="16" t="s">
        <v>69</v>
      </c>
      <c r="C1138" s="14" t="str">
        <f>VLOOKUP([1]Competence!$B92,[1]Competence!$B$12:$B$100,1,FALSE)</f>
        <v>Business administration</v>
      </c>
      <c r="D1138" s="13" t="str" cm="1">
        <f t="array" ref="D1138">_xlfn.XLOOKUP(B1138,[1]Baseline!$D$3:$AZ$3,_xlfn.XLOOKUP(C1138,[1]Baseline!$B$4:$B$91,[1]Baseline!$D$4:$AZ$91))</f>
        <v>No Knowledge</v>
      </c>
      <c r="E1138" s="16"/>
      <c r="F1138" s="14">
        <v>0</v>
      </c>
      <c r="G1138" s="16">
        <v>3</v>
      </c>
      <c r="H1138" s="16">
        <f t="shared" si="17"/>
        <v>3</v>
      </c>
      <c r="I1138" s="13">
        <v>3</v>
      </c>
    </row>
    <row r="1139" spans="1:10">
      <c r="A1139" s="13" t="s">
        <v>0</v>
      </c>
      <c r="B1139" s="16" t="s">
        <v>69</v>
      </c>
      <c r="C1139" s="14" t="str">
        <f>VLOOKUP([1]Competence!$B93,[1]Competence!$B$12:$B$100,1,FALSE)</f>
        <v>Business intelligence</v>
      </c>
      <c r="D1139" s="13" t="str" cm="1">
        <f t="array" ref="D1139">_xlfn.XLOOKUP(B1139,[1]Baseline!$D$3:$AZ$3,_xlfn.XLOOKUP(C1139,[1]Baseline!$B$4:$B$91,[1]Baseline!$D$4:$AZ$91))</f>
        <v>No Knowledge</v>
      </c>
      <c r="E1139" s="16"/>
      <c r="F1139" s="14">
        <v>0</v>
      </c>
      <c r="G1139" s="16">
        <v>4</v>
      </c>
      <c r="H1139" s="16">
        <f t="shared" si="17"/>
        <v>4</v>
      </c>
      <c r="I1139" s="13">
        <v>4</v>
      </c>
    </row>
    <row r="1140" spans="1:10">
      <c r="A1140" s="13" t="s">
        <v>0</v>
      </c>
      <c r="B1140" s="16" t="s">
        <v>69</v>
      </c>
      <c r="C1140" s="14" t="str">
        <f>VLOOKUP([1]Competence!$B94,[1]Competence!$B$12:$B$100,1,FALSE)</f>
        <v>Business modelling</v>
      </c>
      <c r="D1140" s="13" t="str" cm="1">
        <f t="array" ref="D1140">_xlfn.XLOOKUP(B1140,[1]Baseline!$D$3:$AZ$3,_xlfn.XLOOKUP(C1140,[1]Baseline!$B$4:$B$91,[1]Baseline!$D$4:$AZ$91))</f>
        <v>No Knowledge</v>
      </c>
      <c r="E1140" s="16"/>
      <c r="F1140" s="14">
        <v>0</v>
      </c>
      <c r="G1140" s="16">
        <v>1</v>
      </c>
      <c r="H1140" s="16">
        <f t="shared" si="17"/>
        <v>1</v>
      </c>
      <c r="I1140" s="13">
        <v>1</v>
      </c>
    </row>
    <row r="1141" spans="1:10">
      <c r="A1141" s="13" t="s">
        <v>0</v>
      </c>
      <c r="B1141" s="16" t="s">
        <v>69</v>
      </c>
      <c r="C1141" s="14" t="str">
        <f>VLOOKUP([1]Competence!$B95,[1]Competence!$B$12:$B$100,1,FALSE)</f>
        <v>Business process improvement</v>
      </c>
      <c r="D1141" s="13" t="str" cm="1">
        <f t="array" ref="D1141">_xlfn.XLOOKUP(B1141,[1]Baseline!$D$3:$AZ$3,_xlfn.XLOOKUP(C1141,[1]Baseline!$B$4:$B$91,[1]Baseline!$D$4:$AZ$91))</f>
        <v>No Knowledge</v>
      </c>
      <c r="E1141" s="16"/>
      <c r="F1141" s="14">
        <v>0</v>
      </c>
      <c r="G1141" s="16">
        <v>3</v>
      </c>
      <c r="H1141" s="16">
        <f t="shared" si="17"/>
        <v>3</v>
      </c>
      <c r="I1141" s="13">
        <v>3</v>
      </c>
    </row>
    <row r="1142" spans="1:10">
      <c r="A1142" s="13" t="s">
        <v>0</v>
      </c>
      <c r="B1142" s="16" t="s">
        <v>69</v>
      </c>
      <c r="C1142" s="14" t="str">
        <f>VLOOKUP([1]Competence!$B96,[1]Competence!$B$12:$B$100,1,FALSE)</f>
        <v>Business situation analysis</v>
      </c>
      <c r="D1142" s="13" t="str" cm="1">
        <f t="array" ref="D1142">_xlfn.XLOOKUP(B1142,[1]Baseline!$D$3:$AZ$3,_xlfn.XLOOKUP(C1142,[1]Baseline!$B$4:$B$91,[1]Baseline!$D$4:$AZ$91))</f>
        <v>No Knowledge</v>
      </c>
      <c r="E1142" s="16"/>
      <c r="F1142" s="14">
        <v>0</v>
      </c>
      <c r="G1142" s="16">
        <v>2</v>
      </c>
      <c r="H1142" s="16">
        <f t="shared" si="17"/>
        <v>2</v>
      </c>
      <c r="I1142" s="13">
        <v>2</v>
      </c>
    </row>
    <row r="1143" spans="1:10">
      <c r="A1143" s="13" t="s">
        <v>0</v>
      </c>
      <c r="B1143" s="16" t="s">
        <v>69</v>
      </c>
      <c r="C1143" s="14" t="str">
        <f>VLOOKUP([1]Competence!$B97,[1]Competence!$B$12:$B$100,1,FALSE)</f>
        <v>Programme management</v>
      </c>
      <c r="D1143" s="13" t="str" cm="1">
        <f t="array" ref="D1143">_xlfn.XLOOKUP(B1143,[1]Baseline!$D$3:$AZ$3,_xlfn.XLOOKUP(C1143,[1]Baseline!$B$4:$B$91,[1]Baseline!$D$4:$AZ$91))</f>
        <v>No Knowledge</v>
      </c>
      <c r="E1143" s="16"/>
      <c r="F1143" s="14">
        <v>0</v>
      </c>
      <c r="G1143" s="16">
        <v>2</v>
      </c>
      <c r="H1143" s="16">
        <f t="shared" si="17"/>
        <v>2</v>
      </c>
      <c r="I1143" s="13">
        <v>2</v>
      </c>
    </row>
    <row r="1144" spans="1:10">
      <c r="A1144" s="13" t="s">
        <v>0</v>
      </c>
      <c r="B1144" s="16" t="s">
        <v>69</v>
      </c>
      <c r="C1144" s="14" t="str">
        <f>VLOOKUP([1]Competence!$B98,[1]Competence!$B$12:$B$100,1,FALSE)</f>
        <v>Project management</v>
      </c>
      <c r="D1144" s="13" t="str" cm="1">
        <f t="array" ref="D1144">_xlfn.XLOOKUP(B1144,[1]Baseline!$D$3:$AZ$3,_xlfn.XLOOKUP(C1144,[1]Baseline!$B$4:$B$91,[1]Baseline!$D$4:$AZ$91))</f>
        <v>Awareness</v>
      </c>
      <c r="E1144" s="16"/>
      <c r="F1144" s="14">
        <v>1</v>
      </c>
      <c r="G1144" s="16">
        <v>4</v>
      </c>
      <c r="H1144" s="16">
        <f t="shared" si="17"/>
        <v>3</v>
      </c>
      <c r="I1144" s="13">
        <v>4</v>
      </c>
    </row>
    <row r="1145" spans="1:10">
      <c r="A1145" s="13" t="s">
        <v>0</v>
      </c>
      <c r="B1145" s="16" t="s">
        <v>69</v>
      </c>
      <c r="C1145" s="14" t="str">
        <f>VLOOKUP([1]Competence!$B99,[1]Competence!$B$12:$B$100,1,FALSE)</f>
        <v>Quality assurance</v>
      </c>
      <c r="D1145" s="13" t="str" cm="1">
        <f t="array" ref="D1145">_xlfn.XLOOKUP(B1145,[1]Baseline!$D$3:$AZ$3,_xlfn.XLOOKUP(C1145,[1]Baseline!$B$4:$B$91,[1]Baseline!$D$4:$AZ$91))</f>
        <v>Working</v>
      </c>
      <c r="E1145" s="16"/>
      <c r="F1145" s="14">
        <v>2</v>
      </c>
      <c r="G1145" s="16">
        <v>3</v>
      </c>
      <c r="H1145" s="16">
        <f t="shared" si="17"/>
        <v>1</v>
      </c>
      <c r="I1145" s="13">
        <v>3</v>
      </c>
    </row>
    <row r="1146" spans="1:10">
      <c r="A1146" s="13" t="s">
        <v>7</v>
      </c>
      <c r="B1146" s="13" t="s">
        <v>61</v>
      </c>
      <c r="C1146" s="13" t="str">
        <f>VLOOKUP([1]Competence!$B12,[1]Competence!$B$12:$B$100,1,FALSE)</f>
        <v>Asset Management</v>
      </c>
      <c r="D1146" s="13" t="str" cm="1">
        <f t="array" ref="D1146">_xlfn.XLOOKUP(B1146,[1]Baseline!$D$3:$AZ$3,_xlfn.XLOOKUP(C1146,[1]Baseline!$B$4:$B$91,[1]Baseline!$D$4:$AZ$91))</f>
        <v>Practitioner</v>
      </c>
      <c r="E1146" s="13" t="s">
        <v>377</v>
      </c>
      <c r="F1146" s="13">
        <v>3</v>
      </c>
      <c r="G1146" s="153">
        <v>4</v>
      </c>
      <c r="H1146" s="16">
        <f t="shared" si="17"/>
        <v>1</v>
      </c>
      <c r="I1146" s="13">
        <v>4</v>
      </c>
      <c r="J1146" s="160"/>
    </row>
    <row r="1147" spans="1:10">
      <c r="A1147" s="13" t="s">
        <v>7</v>
      </c>
      <c r="B1147" s="13" t="s">
        <v>61</v>
      </c>
      <c r="C1147" s="13" t="str">
        <f>VLOOKUP([1]Competence!$B13,[1]Competence!$B$12:$B$100,1,FALSE)</f>
        <v>Change Control</v>
      </c>
      <c r="D1147" s="13" t="str" cm="1">
        <f t="array" ref="D1147">_xlfn.XLOOKUP(B1147,[1]Baseline!$D$3:$AZ$3,_xlfn.XLOOKUP(C1147,[1]Baseline!$B$4:$B$91,[1]Baseline!$D$4:$AZ$91))</f>
        <v>Practitioner</v>
      </c>
      <c r="E1147" s="13" t="s">
        <v>49</v>
      </c>
      <c r="F1147" s="13">
        <v>2</v>
      </c>
      <c r="G1147" s="153">
        <v>3</v>
      </c>
      <c r="H1147" s="16">
        <f t="shared" si="17"/>
        <v>1</v>
      </c>
      <c r="I1147" s="13">
        <v>3</v>
      </c>
      <c r="J1147" s="160"/>
    </row>
    <row r="1148" spans="1:10">
      <c r="A1148" s="13" t="s">
        <v>7</v>
      </c>
      <c r="B1148" s="13" t="s">
        <v>61</v>
      </c>
      <c r="C1148" s="13" t="str">
        <f>VLOOKUP([1]Competence!$B14,[1]Competence!$B$12:$B$100,1,FALSE)</f>
        <v>Customer Service Support</v>
      </c>
      <c r="D1148" s="13" t="str" cm="1">
        <f t="array" ref="D1148">_xlfn.XLOOKUP(B1148,[1]Baseline!$D$3:$AZ$3,_xlfn.XLOOKUP(C1148,[1]Baseline!$B$4:$B$91,[1]Baseline!$D$4:$AZ$91))</f>
        <v>Practitioner</v>
      </c>
      <c r="E1148" s="13" t="s">
        <v>375</v>
      </c>
      <c r="F1148" s="13">
        <v>3</v>
      </c>
      <c r="G1148" s="153">
        <v>4</v>
      </c>
      <c r="H1148" s="16">
        <f t="shared" si="17"/>
        <v>1</v>
      </c>
      <c r="I1148" s="13">
        <v>4</v>
      </c>
      <c r="J1148" s="160"/>
    </row>
    <row r="1149" spans="1:10">
      <c r="A1149" s="13" t="s">
        <v>7</v>
      </c>
      <c r="B1149" s="13" t="s">
        <v>61</v>
      </c>
      <c r="C1149" s="13" t="str">
        <f>VLOOKUP([1]Competence!$B15,[1]Competence!$B$12:$B$100,1,FALSE)</f>
        <v>Incident management</v>
      </c>
      <c r="D1149" s="13" t="str" cm="1">
        <f t="array" ref="D1149">_xlfn.XLOOKUP(B1149,[1]Baseline!$D$3:$AZ$3,_xlfn.XLOOKUP(C1149,[1]Baseline!$B$4:$B$91,[1]Baseline!$D$4:$AZ$91))</f>
        <v>Practitioner</v>
      </c>
      <c r="E1149" s="13" t="s">
        <v>375</v>
      </c>
      <c r="F1149" s="13">
        <v>3</v>
      </c>
      <c r="G1149" s="153">
        <v>4</v>
      </c>
      <c r="H1149" s="16">
        <f t="shared" si="17"/>
        <v>1</v>
      </c>
      <c r="I1149" s="13">
        <v>4</v>
      </c>
      <c r="J1149" s="160"/>
    </row>
    <row r="1150" spans="1:10">
      <c r="A1150" s="13" t="s">
        <v>7</v>
      </c>
      <c r="B1150" s="13" t="s">
        <v>61</v>
      </c>
      <c r="C1150" s="13" t="str">
        <f>VLOOKUP([1]Competence!$B16,[1]Competence!$B$12:$B$100,1,FALSE)</f>
        <v>Information security</v>
      </c>
      <c r="D1150" s="13" t="str" cm="1">
        <f t="array" ref="D1150">_xlfn.XLOOKUP(B1150,[1]Baseline!$D$3:$AZ$3,_xlfn.XLOOKUP(C1150,[1]Baseline!$B$4:$B$91,[1]Baseline!$D$4:$AZ$91))</f>
        <v>Practitioner</v>
      </c>
      <c r="E1150" s="13" t="s">
        <v>376</v>
      </c>
      <c r="F1150" s="13">
        <v>3</v>
      </c>
      <c r="G1150" s="153">
        <v>3</v>
      </c>
      <c r="H1150" s="16">
        <f t="shared" si="17"/>
        <v>0</v>
      </c>
      <c r="I1150" s="13">
        <v>3</v>
      </c>
      <c r="J1150" s="160"/>
    </row>
    <row r="1151" spans="1:10">
      <c r="A1151" s="13" t="s">
        <v>7</v>
      </c>
      <c r="B1151" s="13" t="s">
        <v>61</v>
      </c>
      <c r="C1151" s="13" t="str">
        <f>VLOOKUP([1]Competence!$B17,[1]Competence!$B$12:$B$100,1,FALSE)</f>
        <v>Personal data protection</v>
      </c>
      <c r="D1151" s="13" t="str" cm="1">
        <f t="array" ref="D1151">_xlfn.XLOOKUP(B1151,[1]Baseline!$D$3:$AZ$3,_xlfn.XLOOKUP(C1151,[1]Baseline!$B$4:$B$91,[1]Baseline!$D$4:$AZ$91))</f>
        <v>Practitioner</v>
      </c>
      <c r="E1151" s="13" t="s">
        <v>376</v>
      </c>
      <c r="F1151" s="13">
        <v>3</v>
      </c>
      <c r="G1151" s="153">
        <v>3</v>
      </c>
      <c r="H1151" s="16">
        <f t="shared" si="17"/>
        <v>0</v>
      </c>
      <c r="I1151" s="13">
        <v>3</v>
      </c>
      <c r="J1151" s="160"/>
    </row>
    <row r="1152" spans="1:10">
      <c r="A1152" s="13" t="s">
        <v>7</v>
      </c>
      <c r="B1152" s="13" t="s">
        <v>61</v>
      </c>
      <c r="C1152" s="13" t="str">
        <f>VLOOKUP([1]Competence!$B18,[1]Competence!$B$12:$B$100,1,FALSE)</f>
        <v>Problem management</v>
      </c>
      <c r="D1152" s="13" t="str" cm="1">
        <f t="array" ref="D1152">_xlfn.XLOOKUP(B1152,[1]Baseline!$D$3:$AZ$3,_xlfn.XLOOKUP(C1152,[1]Baseline!$B$4:$B$91,[1]Baseline!$D$4:$AZ$91))</f>
        <v>Practitioner</v>
      </c>
      <c r="E1152" s="13" t="s">
        <v>376</v>
      </c>
      <c r="F1152" s="13">
        <v>3</v>
      </c>
      <c r="G1152" s="153">
        <v>3</v>
      </c>
      <c r="H1152" s="16">
        <f t="shared" si="17"/>
        <v>0</v>
      </c>
      <c r="I1152" s="13">
        <v>3</v>
      </c>
      <c r="J1152" s="160"/>
    </row>
    <row r="1153" spans="1:10">
      <c r="A1153" s="13" t="s">
        <v>7</v>
      </c>
      <c r="B1153" s="13" t="s">
        <v>61</v>
      </c>
      <c r="C1153" s="13" t="str">
        <f>VLOOKUP([1]Competence!$B19,[1]Competence!$B$12:$B$100,1,FALSE)</f>
        <v>Service catalogue management</v>
      </c>
      <c r="D1153" s="13" t="str" cm="1">
        <f t="array" ref="D1153">_xlfn.XLOOKUP(B1153,[1]Baseline!$D$3:$AZ$3,_xlfn.XLOOKUP(C1153,[1]Baseline!$B$4:$B$91,[1]Baseline!$D$4:$AZ$91))</f>
        <v>Practitioner</v>
      </c>
      <c r="E1153" s="13" t="s">
        <v>376</v>
      </c>
      <c r="F1153" s="13">
        <v>3</v>
      </c>
      <c r="G1153" s="153">
        <v>3</v>
      </c>
      <c r="H1153" s="16">
        <f t="shared" si="17"/>
        <v>0</v>
      </c>
      <c r="I1153" s="13">
        <v>3</v>
      </c>
      <c r="J1153" s="160"/>
    </row>
    <row r="1154" spans="1:10">
      <c r="A1154" s="13" t="s">
        <v>7</v>
      </c>
      <c r="B1154" s="13" t="s">
        <v>61</v>
      </c>
      <c r="C1154" s="13" t="str">
        <f>VLOOKUP([1]Competence!$B20,[1]Competence!$B$12:$B$100,1,FALSE)</f>
        <v>Service level management</v>
      </c>
      <c r="D1154" s="13" t="str" cm="1">
        <f t="array" ref="D1154">_xlfn.XLOOKUP(B1154,[1]Baseline!$D$3:$AZ$3,_xlfn.XLOOKUP(C1154,[1]Baseline!$B$4:$B$91,[1]Baseline!$D$4:$AZ$91))</f>
        <v>Working</v>
      </c>
      <c r="E1154" s="13" t="s">
        <v>376</v>
      </c>
      <c r="F1154" s="13">
        <v>3</v>
      </c>
      <c r="G1154" s="153">
        <v>3</v>
      </c>
      <c r="H1154" s="16">
        <f t="shared" ref="H1154:H1217" si="18">I1154-F1154</f>
        <v>0</v>
      </c>
      <c r="I1154" s="13">
        <v>3</v>
      </c>
      <c r="J1154" s="160"/>
    </row>
    <row r="1155" spans="1:10">
      <c r="A1155" s="13" t="s">
        <v>7</v>
      </c>
      <c r="B1155" s="13" t="s">
        <v>61</v>
      </c>
      <c r="C1155" s="13" t="str">
        <f>VLOOKUP([1]Competence!$B21,[1]Competence!$B$12:$B$100,1,FALSE)</f>
        <v>Availability Management</v>
      </c>
      <c r="D1155" s="13" t="str" cm="1">
        <f t="array" ref="D1155">_xlfn.XLOOKUP(B1155,[1]Baseline!$D$3:$AZ$3,_xlfn.XLOOKUP(C1155,[1]Baseline!$B$4:$B$91,[1]Baseline!$D$4:$AZ$91))</f>
        <v>Working</v>
      </c>
      <c r="E1155" s="13" t="s">
        <v>376</v>
      </c>
      <c r="F1155" s="13">
        <v>3</v>
      </c>
      <c r="G1155" s="153">
        <v>2</v>
      </c>
      <c r="H1155" s="16">
        <f t="shared" si="18"/>
        <v>-1</v>
      </c>
      <c r="I1155" s="13">
        <v>2</v>
      </c>
      <c r="J1155" s="160"/>
    </row>
    <row r="1156" spans="1:10">
      <c r="A1156" s="13" t="s">
        <v>7</v>
      </c>
      <c r="B1156" s="13" t="s">
        <v>61</v>
      </c>
      <c r="C1156" s="13" t="str">
        <f>VLOOKUP([1]Competence!$B22,[1]Competence!$B$12:$B$100,1,FALSE)</f>
        <v>Capacity management</v>
      </c>
      <c r="D1156" s="13" t="str" cm="1">
        <f t="array" ref="D1156">_xlfn.XLOOKUP(B1156,[1]Baseline!$D$3:$AZ$3,_xlfn.XLOOKUP(C1156,[1]Baseline!$B$4:$B$91,[1]Baseline!$D$4:$AZ$91))</f>
        <v>No Knowledge</v>
      </c>
      <c r="E1156" s="13" t="s">
        <v>374</v>
      </c>
      <c r="F1156" s="13">
        <v>2</v>
      </c>
      <c r="G1156" s="153">
        <v>2</v>
      </c>
      <c r="H1156" s="16">
        <f t="shared" si="18"/>
        <v>0</v>
      </c>
      <c r="I1156" s="13">
        <v>2</v>
      </c>
      <c r="J1156" s="160"/>
    </row>
    <row r="1157" spans="1:10">
      <c r="A1157" s="13" t="s">
        <v>7</v>
      </c>
      <c r="B1157" s="13" t="s">
        <v>61</v>
      </c>
      <c r="C1157" s="13" t="str">
        <f>VLOOKUP([1]Competence!$B23,[1]Competence!$B$12:$B$100,1,FALSE)</f>
        <v>Configuration Management</v>
      </c>
      <c r="D1157" s="13" t="str" cm="1">
        <f t="array" ref="D1157">_xlfn.XLOOKUP(B1157,[1]Baseline!$D$3:$AZ$3,_xlfn.XLOOKUP(C1157,[1]Baseline!$B$4:$B$91,[1]Baseline!$D$4:$AZ$91))</f>
        <v>Awareness</v>
      </c>
      <c r="E1157" s="13" t="s">
        <v>374</v>
      </c>
      <c r="F1157" s="13">
        <v>3</v>
      </c>
      <c r="G1157" s="153">
        <v>2</v>
      </c>
      <c r="H1157" s="16">
        <f t="shared" si="18"/>
        <v>-1</v>
      </c>
      <c r="I1157" s="13">
        <v>2</v>
      </c>
      <c r="J1157" s="160"/>
    </row>
    <row r="1158" spans="1:10">
      <c r="A1158" s="13" t="s">
        <v>7</v>
      </c>
      <c r="B1158" s="13" t="s">
        <v>61</v>
      </c>
      <c r="C1158" s="13" t="str">
        <f>VLOOKUP([1]Competence!$B24,[1]Competence!$B$12:$B$100,1,FALSE)</f>
        <v>Continuity Management</v>
      </c>
      <c r="D1158" s="13" t="str" cm="1">
        <f t="array" ref="D1158">_xlfn.XLOOKUP(B1158,[1]Baseline!$D$3:$AZ$3,_xlfn.XLOOKUP(C1158,[1]Baseline!$B$4:$B$91,[1]Baseline!$D$4:$AZ$91))</f>
        <v>Awareness</v>
      </c>
      <c r="E1158" s="13" t="s">
        <v>374</v>
      </c>
      <c r="F1158" s="13">
        <v>2</v>
      </c>
      <c r="G1158" s="153">
        <v>2</v>
      </c>
      <c r="H1158" s="16">
        <f t="shared" si="18"/>
        <v>0</v>
      </c>
      <c r="I1158" s="13">
        <v>2</v>
      </c>
      <c r="J1158" s="160"/>
    </row>
    <row r="1159" spans="1:10">
      <c r="A1159" s="13" t="s">
        <v>7</v>
      </c>
      <c r="B1159" s="13" t="s">
        <v>61</v>
      </c>
      <c r="C1159" s="13" t="str">
        <f>VLOOKUP([1]Competence!$B25,[1]Competence!$B$12:$B$100,1,FALSE)</f>
        <v>Demand Management</v>
      </c>
      <c r="D1159" s="13" t="str" cm="1">
        <f t="array" ref="D1159">_xlfn.XLOOKUP(B1159,[1]Baseline!$D$3:$AZ$3,_xlfn.XLOOKUP(C1159,[1]Baseline!$B$4:$B$91,[1]Baseline!$D$4:$AZ$91))</f>
        <v>Awareness</v>
      </c>
      <c r="E1159" s="13" t="s">
        <v>377</v>
      </c>
      <c r="F1159" s="13">
        <v>2</v>
      </c>
      <c r="G1159" s="153">
        <v>3</v>
      </c>
      <c r="H1159" s="16">
        <f t="shared" si="18"/>
        <v>1</v>
      </c>
      <c r="I1159" s="13">
        <v>3</v>
      </c>
      <c r="J1159" s="160"/>
    </row>
    <row r="1160" spans="1:10">
      <c r="A1160" s="13" t="s">
        <v>7</v>
      </c>
      <c r="B1160" s="13" t="s">
        <v>61</v>
      </c>
      <c r="C1160" s="13" t="str">
        <f>VLOOKUP([1]Competence!$B26,[1]Competence!$B$12:$B$100,1,FALSE)</f>
        <v>Knowledge management</v>
      </c>
      <c r="D1160" s="13" t="str" cm="1">
        <f t="array" ref="D1160">_xlfn.XLOOKUP(B1160,[1]Baseline!$D$3:$AZ$3,_xlfn.XLOOKUP(C1160,[1]Baseline!$B$4:$B$91,[1]Baseline!$D$4:$AZ$91))</f>
        <v>Working</v>
      </c>
      <c r="E1160" s="13" t="s">
        <v>377</v>
      </c>
      <c r="F1160" s="13">
        <v>0</v>
      </c>
      <c r="G1160" s="153">
        <v>3</v>
      </c>
      <c r="H1160" s="16">
        <f t="shared" si="18"/>
        <v>3</v>
      </c>
      <c r="I1160" s="13">
        <v>3</v>
      </c>
      <c r="J1160" s="160"/>
    </row>
    <row r="1161" spans="1:10">
      <c r="A1161" s="13" t="s">
        <v>7</v>
      </c>
      <c r="B1161" s="13" t="s">
        <v>61</v>
      </c>
      <c r="C1161" s="13" t="str">
        <f>VLOOKUP([1]Competence!$B27,[1]Competence!$B$12:$B$100,1,FALSE)</f>
        <v>Methods and tools</v>
      </c>
      <c r="D1161" s="13" t="str" cm="1">
        <f t="array" ref="D1161">_xlfn.XLOOKUP(B1161,[1]Baseline!$D$3:$AZ$3,_xlfn.XLOOKUP(C1161,[1]Baseline!$B$4:$B$91,[1]Baseline!$D$4:$AZ$91))</f>
        <v>Awareness</v>
      </c>
      <c r="E1161" s="13" t="s">
        <v>49</v>
      </c>
      <c r="F1161" s="13">
        <v>1</v>
      </c>
      <c r="G1161" s="153">
        <v>3</v>
      </c>
      <c r="H1161" s="16">
        <f t="shared" si="18"/>
        <v>2</v>
      </c>
      <c r="I1161" s="13">
        <v>3</v>
      </c>
      <c r="J1161" s="160"/>
    </row>
    <row r="1162" spans="1:10">
      <c r="A1162" s="13" t="s">
        <v>7</v>
      </c>
      <c r="B1162" s="13" t="s">
        <v>61</v>
      </c>
      <c r="C1162" s="13" t="str">
        <f>VLOOKUP([1]Competence!$B28,[1]Competence!$B$12:$B$100,1,FALSE)</f>
        <v>Release and deployment</v>
      </c>
      <c r="D1162" s="13" t="str" cm="1">
        <f t="array" ref="D1162">_xlfn.XLOOKUP(B1162,[1]Baseline!$D$3:$AZ$3,_xlfn.XLOOKUP(C1162,[1]Baseline!$B$4:$B$91,[1]Baseline!$D$4:$AZ$91))</f>
        <v>Awareness</v>
      </c>
      <c r="E1162" s="13" t="s">
        <v>375</v>
      </c>
      <c r="F1162" s="13">
        <v>2</v>
      </c>
      <c r="G1162" s="153">
        <v>2</v>
      </c>
      <c r="H1162" s="16">
        <f t="shared" si="18"/>
        <v>0</v>
      </c>
      <c r="I1162" s="13">
        <v>2</v>
      </c>
      <c r="J1162" s="160"/>
    </row>
    <row r="1163" spans="1:10">
      <c r="A1163" s="13" t="s">
        <v>7</v>
      </c>
      <c r="B1163" s="13" t="s">
        <v>61</v>
      </c>
      <c r="C1163" s="13" t="str">
        <f>VLOOKUP([1]Competence!$B29,[1]Competence!$B$12:$B$100,1,FALSE)</f>
        <v>Service acceptance</v>
      </c>
      <c r="D1163" s="13" t="str" cm="1">
        <f t="array" ref="D1163">_xlfn.XLOOKUP(B1163,[1]Baseline!$D$3:$AZ$3,_xlfn.XLOOKUP(C1163,[1]Baseline!$B$4:$B$91,[1]Baseline!$D$4:$AZ$91))</f>
        <v>Working</v>
      </c>
      <c r="E1163" s="13" t="s">
        <v>375</v>
      </c>
      <c r="F1163" s="13">
        <v>0</v>
      </c>
      <c r="G1163" s="153">
        <v>2</v>
      </c>
      <c r="H1163" s="16">
        <f t="shared" si="18"/>
        <v>2</v>
      </c>
      <c r="I1163" s="13">
        <v>2</v>
      </c>
      <c r="J1163" s="160"/>
    </row>
    <row r="1164" spans="1:10">
      <c r="A1164" s="13" t="s">
        <v>7</v>
      </c>
      <c r="B1164" s="13" t="s">
        <v>61</v>
      </c>
      <c r="C1164" s="13" t="str">
        <f>VLOOKUP([1]Competence!$B30,[1]Competence!$B$12:$B$100,1,FALSE)</f>
        <v>Stakeholder relationship management</v>
      </c>
      <c r="D1164" s="13" t="str" cm="1">
        <f t="array" ref="D1164">_xlfn.XLOOKUP(B1164,[1]Baseline!$D$3:$AZ$3,_xlfn.XLOOKUP(C1164,[1]Baseline!$B$4:$B$91,[1]Baseline!$D$4:$AZ$91))</f>
        <v>Practitioner</v>
      </c>
      <c r="E1164" s="13" t="s">
        <v>375</v>
      </c>
      <c r="F1164" s="13">
        <v>0</v>
      </c>
      <c r="G1164" s="153">
        <v>3</v>
      </c>
      <c r="H1164" s="16">
        <f t="shared" si="18"/>
        <v>3</v>
      </c>
      <c r="I1164" s="13">
        <v>3</v>
      </c>
      <c r="J1164" s="160"/>
    </row>
    <row r="1165" spans="1:10">
      <c r="A1165" s="13" t="s">
        <v>7</v>
      </c>
      <c r="B1165" s="13" t="s">
        <v>61</v>
      </c>
      <c r="C1165" s="13" t="str">
        <f>VLOOKUP([1]Competence!$B31,[1]Competence!$B$12:$B$100,1,FALSE)</f>
        <v>Storage management</v>
      </c>
      <c r="D1165" s="13" t="str" cm="1">
        <f t="array" ref="D1165">_xlfn.XLOOKUP(B1165,[1]Baseline!$D$3:$AZ$3,_xlfn.XLOOKUP(C1165,[1]Baseline!$B$4:$B$91,[1]Baseline!$D$4:$AZ$91))</f>
        <v>Working</v>
      </c>
      <c r="E1165" s="13" t="s">
        <v>375</v>
      </c>
      <c r="F1165" s="13">
        <v>0</v>
      </c>
      <c r="G1165" s="153">
        <v>2</v>
      </c>
      <c r="H1165" s="16">
        <f t="shared" si="18"/>
        <v>2</v>
      </c>
      <c r="I1165" s="13">
        <v>2</v>
      </c>
      <c r="J1165" s="160"/>
    </row>
    <row r="1166" spans="1:10">
      <c r="A1166" s="13" t="s">
        <v>7</v>
      </c>
      <c r="B1166" s="13" t="s">
        <v>61</v>
      </c>
      <c r="C1166" s="13" t="str">
        <f>VLOOKUP([1]Competence!$B32,[1]Competence!$B$12:$B$100,1,FALSE)</f>
        <v>Digital Forensics</v>
      </c>
      <c r="D1166" s="13" t="str" cm="1">
        <f t="array" ref="D1166">_xlfn.XLOOKUP(B1166,[1]Baseline!$D$3:$AZ$3,_xlfn.XLOOKUP(C1166,[1]Baseline!$B$4:$B$91,[1]Baseline!$D$4:$AZ$91))</f>
        <v>No Knowledge</v>
      </c>
      <c r="E1166" s="13" t="s">
        <v>375</v>
      </c>
      <c r="F1166" s="13">
        <v>1</v>
      </c>
      <c r="G1166" s="153">
        <v>1</v>
      </c>
      <c r="H1166" s="16">
        <f t="shared" si="18"/>
        <v>0</v>
      </c>
      <c r="I1166" s="13">
        <v>1</v>
      </c>
      <c r="J1166" s="160"/>
    </row>
    <row r="1167" spans="1:10">
      <c r="A1167" s="13" t="s">
        <v>7</v>
      </c>
      <c r="B1167" s="13" t="s">
        <v>61</v>
      </c>
      <c r="C1167" s="13" t="str">
        <f>VLOOKUP([1]Competence!$B33,[1]Competence!$B$12:$B$100,1,FALSE)</f>
        <v>Penetration testing</v>
      </c>
      <c r="D1167" s="13" t="str" cm="1">
        <f t="array" ref="D1167">_xlfn.XLOOKUP(B1167,[1]Baseline!$D$3:$AZ$3,_xlfn.XLOOKUP(C1167,[1]Baseline!$B$4:$B$91,[1]Baseline!$D$4:$AZ$91))</f>
        <v>No Knowledge</v>
      </c>
      <c r="E1167" s="13" t="s">
        <v>375</v>
      </c>
      <c r="F1167" s="13">
        <v>1</v>
      </c>
      <c r="G1167" s="153">
        <v>1</v>
      </c>
      <c r="H1167" s="16">
        <f t="shared" si="18"/>
        <v>0</v>
      </c>
      <c r="I1167" s="13">
        <v>1</v>
      </c>
      <c r="J1167" s="160"/>
    </row>
    <row r="1168" spans="1:10">
      <c r="A1168" s="13" t="s">
        <v>7</v>
      </c>
      <c r="B1168" s="13" t="s">
        <v>61</v>
      </c>
      <c r="C1168" s="13" t="str">
        <f>VLOOKUP([1]Competence!$B34,[1]Competence!$B$12:$B$100,1,FALSE)</f>
        <v>Security Operations</v>
      </c>
      <c r="D1168" s="13" t="str" cm="1">
        <f t="array" ref="D1168">_xlfn.XLOOKUP(B1168,[1]Baseline!$D$3:$AZ$3,_xlfn.XLOOKUP(C1168,[1]Baseline!$B$4:$B$91,[1]Baseline!$D$4:$AZ$91))</f>
        <v>Practitioner</v>
      </c>
      <c r="E1168" s="13" t="s">
        <v>375</v>
      </c>
      <c r="F1168" s="13">
        <v>1</v>
      </c>
      <c r="G1168" s="153">
        <v>2</v>
      </c>
      <c r="H1168" s="16">
        <f t="shared" si="18"/>
        <v>1</v>
      </c>
      <c r="I1168" s="13">
        <v>2</v>
      </c>
      <c r="J1168" s="160"/>
    </row>
    <row r="1169" spans="1:10">
      <c r="A1169" s="13" t="s">
        <v>7</v>
      </c>
      <c r="B1169" s="13" t="s">
        <v>61</v>
      </c>
      <c r="C1169" s="13" t="str">
        <f>VLOOKUP([1]Competence!$B35,[1]Competence!$B$12:$B$100,1,FALSE)</f>
        <v>Threat Intelligence</v>
      </c>
      <c r="D1169" s="13" t="str" cm="1">
        <f t="array" ref="D1169">_xlfn.XLOOKUP(B1169,[1]Baseline!$D$3:$AZ$3,_xlfn.XLOOKUP(C1169,[1]Baseline!$B$4:$B$91,[1]Baseline!$D$4:$AZ$91))</f>
        <v>No Knowledge</v>
      </c>
      <c r="E1169" s="13" t="s">
        <v>375</v>
      </c>
      <c r="F1169" s="13">
        <v>2</v>
      </c>
      <c r="G1169" s="153">
        <v>1</v>
      </c>
      <c r="H1169" s="16">
        <f t="shared" si="18"/>
        <v>-1</v>
      </c>
      <c r="I1169" s="13">
        <v>1</v>
      </c>
      <c r="J1169" s="160"/>
    </row>
    <row r="1170" spans="1:10">
      <c r="A1170" s="13" t="s">
        <v>7</v>
      </c>
      <c r="B1170" s="13" t="s">
        <v>61</v>
      </c>
      <c r="C1170" s="13" t="str">
        <f>VLOOKUP([1]Competence!$B36,[1]Competence!$B$12:$B$100,1,FALSE)</f>
        <v>Vulnerability assessment</v>
      </c>
      <c r="D1170" s="13" t="str" cm="1">
        <f t="array" ref="D1170">_xlfn.XLOOKUP(B1170,[1]Baseline!$D$3:$AZ$3,_xlfn.XLOOKUP(C1170,[1]Baseline!$B$4:$B$91,[1]Baseline!$D$4:$AZ$91))</f>
        <v>Working</v>
      </c>
      <c r="E1170" s="13" t="s">
        <v>375</v>
      </c>
      <c r="F1170" s="13">
        <v>0</v>
      </c>
      <c r="G1170" s="153">
        <v>2</v>
      </c>
      <c r="H1170" s="16">
        <f t="shared" si="18"/>
        <v>2</v>
      </c>
      <c r="I1170" s="13">
        <v>2</v>
      </c>
      <c r="J1170" s="160"/>
    </row>
    <row r="1171" spans="1:10">
      <c r="A1171" s="13" t="s">
        <v>7</v>
      </c>
      <c r="B1171" s="13" t="s">
        <v>61</v>
      </c>
      <c r="C1171" s="13" t="str">
        <f>VLOOKUP([1]Competence!$B37,[1]Competence!$B$12:$B$100,1,FALSE)</f>
        <v>Vulnerability Research</v>
      </c>
      <c r="D1171" s="13" t="str" cm="1">
        <f t="array" ref="D1171">_xlfn.XLOOKUP(B1171,[1]Baseline!$D$3:$AZ$3,_xlfn.XLOOKUP(C1171,[1]Baseline!$B$4:$B$91,[1]Baseline!$D$4:$AZ$91))</f>
        <v>No Knowledge</v>
      </c>
      <c r="E1171" s="13" t="s">
        <v>375</v>
      </c>
      <c r="F1171" s="13">
        <v>0</v>
      </c>
      <c r="G1171" s="153">
        <v>0</v>
      </c>
      <c r="H1171" s="16">
        <f t="shared" si="18"/>
        <v>0</v>
      </c>
      <c r="I1171" s="13">
        <v>0</v>
      </c>
      <c r="J1171" s="160"/>
    </row>
    <row r="1172" spans="1:10">
      <c r="A1172" s="13" t="s">
        <v>7</v>
      </c>
      <c r="B1172" s="13" t="s">
        <v>61</v>
      </c>
      <c r="C1172" s="13" t="str">
        <f>VLOOKUP([1]Competence!$B38,[1]Competence!$B$12:$B$100,1,FALSE)</f>
        <v>Competency assessment</v>
      </c>
      <c r="D1172" s="13" t="str" cm="1">
        <f t="array" ref="D1172">_xlfn.XLOOKUP(B1172,[1]Baseline!$D$3:$AZ$3,_xlfn.XLOOKUP(C1172,[1]Baseline!$B$4:$B$91,[1]Baseline!$D$4:$AZ$91))</f>
        <v>Awareness</v>
      </c>
      <c r="E1172" s="13" t="s">
        <v>375</v>
      </c>
      <c r="F1172" s="13">
        <v>2</v>
      </c>
      <c r="G1172" s="153">
        <v>2</v>
      </c>
      <c r="H1172" s="16">
        <f t="shared" si="18"/>
        <v>0</v>
      </c>
      <c r="I1172" s="13">
        <v>2</v>
      </c>
      <c r="J1172" s="160"/>
    </row>
    <row r="1173" spans="1:10">
      <c r="A1173" s="13" t="s">
        <v>7</v>
      </c>
      <c r="B1173" s="13" t="s">
        <v>61</v>
      </c>
      <c r="C1173" s="13" t="str">
        <f>VLOOKUP([1]Competence!$B39,[1]Competence!$B$12:$B$100,1,FALSE)</f>
        <v>Financial management</v>
      </c>
      <c r="D1173" s="13" t="str" cm="1">
        <f t="array" ref="D1173">_xlfn.XLOOKUP(B1173,[1]Baseline!$D$3:$AZ$3,_xlfn.XLOOKUP(C1173,[1]Baseline!$B$4:$B$91,[1]Baseline!$D$4:$AZ$91))</f>
        <v>Awareness</v>
      </c>
      <c r="E1173" s="13" t="s">
        <v>375</v>
      </c>
      <c r="F1173" s="13">
        <v>0</v>
      </c>
      <c r="G1173" s="153">
        <v>2</v>
      </c>
      <c r="H1173" s="16">
        <f t="shared" si="18"/>
        <v>2</v>
      </c>
      <c r="I1173" s="13">
        <v>2</v>
      </c>
      <c r="J1173" s="160"/>
    </row>
    <row r="1174" spans="1:10">
      <c r="A1174" s="13" t="s">
        <v>7</v>
      </c>
      <c r="B1174" s="13" t="s">
        <v>61</v>
      </c>
      <c r="C1174" s="13" t="str">
        <f>VLOOKUP([1]Competence!$B40,[1]Competence!$B$12:$B$100,1,FALSE)</f>
        <v>Organisation design and implementation</v>
      </c>
      <c r="D1174" s="13" t="str" cm="1">
        <f t="array" ref="D1174">_xlfn.XLOOKUP(B1174,[1]Baseline!$D$3:$AZ$3,_xlfn.XLOOKUP(C1174,[1]Baseline!$B$4:$B$91,[1]Baseline!$D$4:$AZ$91))</f>
        <v>No Knowledge</v>
      </c>
      <c r="E1174" s="13" t="s">
        <v>375</v>
      </c>
      <c r="F1174" s="13">
        <v>0</v>
      </c>
      <c r="G1174" s="153">
        <v>2</v>
      </c>
      <c r="H1174" s="16">
        <f t="shared" si="18"/>
        <v>2</v>
      </c>
      <c r="I1174" s="13">
        <v>2</v>
      </c>
      <c r="J1174" s="160"/>
    </row>
    <row r="1175" spans="1:10">
      <c r="A1175" s="13" t="s">
        <v>7</v>
      </c>
      <c r="B1175" s="13" t="s">
        <v>61</v>
      </c>
      <c r="C1175" s="13" t="str">
        <f>VLOOKUP([1]Competence!$B41,[1]Competence!$B$12:$B$100,1,FALSE)</f>
        <v>Organisational capability development</v>
      </c>
      <c r="D1175" s="13" t="str" cm="1">
        <f t="array" ref="D1175">_xlfn.XLOOKUP(B1175,[1]Baseline!$D$3:$AZ$3,_xlfn.XLOOKUP(C1175,[1]Baseline!$B$4:$B$91,[1]Baseline!$D$4:$AZ$91))</f>
        <v>No Knowledge</v>
      </c>
      <c r="E1175" s="13" t="s">
        <v>375</v>
      </c>
      <c r="F1175" s="13">
        <v>0</v>
      </c>
      <c r="G1175" s="153">
        <v>2</v>
      </c>
      <c r="H1175" s="16">
        <f t="shared" si="18"/>
        <v>2</v>
      </c>
      <c r="I1175" s="13">
        <v>2</v>
      </c>
      <c r="J1175" s="160"/>
    </row>
    <row r="1176" spans="1:10">
      <c r="A1176" s="13" t="s">
        <v>7</v>
      </c>
      <c r="B1176" s="13" t="s">
        <v>61</v>
      </c>
      <c r="C1176" s="13" t="str">
        <f>VLOOKUP([1]Competence!$B42,[1]Competence!$B$12:$B$100,1,FALSE)</f>
        <v>Organisational change management</v>
      </c>
      <c r="D1176" s="13" t="str" cm="1">
        <f t="array" ref="D1176">_xlfn.XLOOKUP(B1176,[1]Baseline!$D$3:$AZ$3,_xlfn.XLOOKUP(C1176,[1]Baseline!$B$4:$B$91,[1]Baseline!$D$4:$AZ$91))</f>
        <v>No Knowledge</v>
      </c>
      <c r="E1176" s="13" t="s">
        <v>375</v>
      </c>
      <c r="F1176" s="13">
        <v>0</v>
      </c>
      <c r="G1176" s="153">
        <v>2</v>
      </c>
      <c r="H1176" s="16">
        <f t="shared" si="18"/>
        <v>2</v>
      </c>
      <c r="I1176" s="13">
        <v>2</v>
      </c>
      <c r="J1176" s="160"/>
    </row>
    <row r="1177" spans="1:10">
      <c r="A1177" s="13" t="s">
        <v>7</v>
      </c>
      <c r="B1177" s="13" t="s">
        <v>61</v>
      </c>
      <c r="C1177" s="13" t="str">
        <f>VLOOKUP([1]Competence!$B43,[1]Competence!$B$12:$B$100,1,FALSE)</f>
        <v>Performance Management</v>
      </c>
      <c r="D1177" s="13" t="str" cm="1">
        <f t="array" ref="D1177">_xlfn.XLOOKUP(B1177,[1]Baseline!$D$3:$AZ$3,_xlfn.XLOOKUP(C1177,[1]Baseline!$B$4:$B$91,[1]Baseline!$D$4:$AZ$91))</f>
        <v>No Knowledge</v>
      </c>
      <c r="E1177" s="13" t="s">
        <v>375</v>
      </c>
      <c r="F1177" s="13">
        <v>0</v>
      </c>
      <c r="G1177" s="153">
        <v>3</v>
      </c>
      <c r="H1177" s="16">
        <f t="shared" si="18"/>
        <v>3</v>
      </c>
      <c r="I1177" s="13">
        <v>3</v>
      </c>
      <c r="J1177" s="160"/>
    </row>
    <row r="1178" spans="1:10">
      <c r="A1178" s="13" t="s">
        <v>7</v>
      </c>
      <c r="B1178" s="13" t="s">
        <v>61</v>
      </c>
      <c r="C1178" s="13" t="str">
        <f>VLOOKUP([1]Competence!$B44,[1]Competence!$B$12:$B$100,1,FALSE)</f>
        <v>Professional Development</v>
      </c>
      <c r="D1178" s="13" t="str" cm="1">
        <f t="array" ref="D1178">_xlfn.XLOOKUP(B1178,[1]Baseline!$D$3:$AZ$3,_xlfn.XLOOKUP(C1178,[1]Baseline!$B$4:$B$91,[1]Baseline!$D$4:$AZ$91))</f>
        <v>Awareness</v>
      </c>
      <c r="E1178" s="13" t="s">
        <v>375</v>
      </c>
      <c r="F1178" s="13">
        <v>0</v>
      </c>
      <c r="G1178" s="153">
        <v>2</v>
      </c>
      <c r="H1178" s="16">
        <f t="shared" si="18"/>
        <v>2</v>
      </c>
      <c r="I1178" s="13">
        <v>2</v>
      </c>
      <c r="J1178" s="160"/>
    </row>
    <row r="1179" spans="1:10">
      <c r="A1179" s="13" t="s">
        <v>7</v>
      </c>
      <c r="B1179" s="13" t="s">
        <v>61</v>
      </c>
      <c r="C1179" s="13" t="str">
        <f>VLOOKUP([1]Competence!$B45,[1]Competence!$B$12:$B$100,1,FALSE)</f>
        <v>Strategic Planning</v>
      </c>
      <c r="D1179" s="13" t="str" cm="1">
        <f t="array" ref="D1179">_xlfn.XLOOKUP(B1179,[1]Baseline!$D$3:$AZ$3,_xlfn.XLOOKUP(C1179,[1]Baseline!$B$4:$B$91,[1]Baseline!$D$4:$AZ$91))</f>
        <v>No Knowledge</v>
      </c>
      <c r="E1179" s="13" t="s">
        <v>375</v>
      </c>
      <c r="F1179" s="13">
        <v>0</v>
      </c>
      <c r="G1179" s="153">
        <v>2</v>
      </c>
      <c r="H1179" s="16">
        <f t="shared" si="18"/>
        <v>2</v>
      </c>
      <c r="I1179" s="13">
        <v>2</v>
      </c>
      <c r="J1179" s="160"/>
    </row>
    <row r="1180" spans="1:10">
      <c r="A1180" s="13" t="s">
        <v>7</v>
      </c>
      <c r="B1180" s="13" t="s">
        <v>61</v>
      </c>
      <c r="C1180" s="13" t="str">
        <f>VLOOKUP([1]Competence!$B46,[1]Competence!$B$12:$B$100,1,FALSE)</f>
        <v>Workforce Planning</v>
      </c>
      <c r="D1180" s="13" t="str" cm="1">
        <f t="array" ref="D1180">_xlfn.XLOOKUP(B1180,[1]Baseline!$D$3:$AZ$3,_xlfn.XLOOKUP(C1180,[1]Baseline!$B$4:$B$91,[1]Baseline!$D$4:$AZ$91))</f>
        <v>No Knowledge</v>
      </c>
      <c r="E1180" s="13" t="s">
        <v>375</v>
      </c>
      <c r="F1180" s="13">
        <v>0</v>
      </c>
      <c r="G1180" s="153">
        <v>3</v>
      </c>
      <c r="H1180" s="16">
        <f t="shared" si="18"/>
        <v>3</v>
      </c>
      <c r="I1180" s="13">
        <v>3</v>
      </c>
      <c r="J1180" s="160"/>
    </row>
    <row r="1181" spans="1:10">
      <c r="A1181" s="13" t="s">
        <v>7</v>
      </c>
      <c r="B1181" s="13" t="s">
        <v>61</v>
      </c>
      <c r="C1181" s="13" t="str">
        <f>VLOOKUP([1]Competence!$B47,[1]Competence!$B$12:$B$100,1,FALSE)</f>
        <v>Audit</v>
      </c>
      <c r="D1181" s="13" t="str" cm="1">
        <f t="array" ref="D1181">_xlfn.XLOOKUP(B1181,[1]Baseline!$D$3:$AZ$3,_xlfn.XLOOKUP(C1181,[1]Baseline!$B$4:$B$91,[1]Baseline!$D$4:$AZ$91))</f>
        <v>Working</v>
      </c>
      <c r="E1181" s="13" t="s">
        <v>375</v>
      </c>
      <c r="F1181" s="13">
        <v>0</v>
      </c>
      <c r="G1181" s="153">
        <v>1</v>
      </c>
      <c r="H1181" s="16">
        <f t="shared" si="18"/>
        <v>1</v>
      </c>
      <c r="I1181" s="13">
        <v>1</v>
      </c>
      <c r="J1181" s="160"/>
    </row>
    <row r="1182" spans="1:10">
      <c r="A1182" s="13" t="s">
        <v>7</v>
      </c>
      <c r="B1182" s="13" t="s">
        <v>61</v>
      </c>
      <c r="C1182" s="13" t="str">
        <f>VLOOKUP([1]Competence!$B48,[1]Competence!$B$12:$B$100,1,FALSE)</f>
        <v>Contract management</v>
      </c>
      <c r="D1182" s="13" t="str" cm="1">
        <f t="array" ref="D1182">_xlfn.XLOOKUP(B1182,[1]Baseline!$D$3:$AZ$3,_xlfn.XLOOKUP(C1182,[1]Baseline!$B$4:$B$91,[1]Baseline!$D$4:$AZ$91))</f>
        <v>No Knowledge</v>
      </c>
      <c r="E1182" s="13" t="s">
        <v>375</v>
      </c>
      <c r="F1182" s="13">
        <v>3</v>
      </c>
      <c r="G1182" s="153">
        <v>2</v>
      </c>
      <c r="H1182" s="16">
        <f t="shared" si="18"/>
        <v>-1</v>
      </c>
      <c r="I1182" s="13">
        <v>2</v>
      </c>
      <c r="J1182" s="160"/>
    </row>
    <row r="1183" spans="1:10">
      <c r="A1183" s="13" t="s">
        <v>7</v>
      </c>
      <c r="B1183" s="13" t="s">
        <v>61</v>
      </c>
      <c r="C1183" s="13" t="str">
        <f>VLOOKUP([1]Competence!$B49,[1]Competence!$B$12:$B$100,1,FALSE)</f>
        <v>Feasibility assessment</v>
      </c>
      <c r="D1183" s="13" t="str" cm="1">
        <f t="array" ref="D1183">_xlfn.XLOOKUP(B1183,[1]Baseline!$D$3:$AZ$3,_xlfn.XLOOKUP(C1183,[1]Baseline!$B$4:$B$91,[1]Baseline!$D$4:$AZ$91))</f>
        <v>No Knowledge</v>
      </c>
      <c r="E1183" s="13" t="s">
        <v>375</v>
      </c>
      <c r="F1183" s="13">
        <v>2</v>
      </c>
      <c r="G1183" s="153">
        <v>1</v>
      </c>
      <c r="H1183" s="16">
        <f t="shared" si="18"/>
        <v>-1</v>
      </c>
      <c r="I1183" s="13">
        <v>1</v>
      </c>
      <c r="J1183" s="160"/>
    </row>
    <row r="1184" spans="1:10">
      <c r="A1184" s="13" t="s">
        <v>7</v>
      </c>
      <c r="B1184" s="13" t="s">
        <v>61</v>
      </c>
      <c r="C1184" s="13" t="str">
        <f>VLOOKUP([1]Competence!$B50,[1]Competence!$B$12:$B$100,1,FALSE)</f>
        <v>Governance</v>
      </c>
      <c r="D1184" s="13" t="str" cm="1">
        <f t="array" ref="D1184">_xlfn.XLOOKUP(B1184,[1]Baseline!$D$3:$AZ$3,_xlfn.XLOOKUP(C1184,[1]Baseline!$B$4:$B$91,[1]Baseline!$D$4:$AZ$91))</f>
        <v>Awareness</v>
      </c>
      <c r="E1184" s="13" t="s">
        <v>375</v>
      </c>
      <c r="F1184" s="13">
        <v>0</v>
      </c>
      <c r="G1184" s="153">
        <v>2</v>
      </c>
      <c r="H1184" s="16">
        <f t="shared" si="18"/>
        <v>2</v>
      </c>
      <c r="I1184" s="13">
        <v>2</v>
      </c>
      <c r="J1184" s="160"/>
    </row>
    <row r="1185" spans="1:10">
      <c r="A1185" s="13" t="s">
        <v>7</v>
      </c>
      <c r="B1185" s="13" t="s">
        <v>61</v>
      </c>
      <c r="C1185" s="13" t="str">
        <f>VLOOKUP([1]Competence!$B51,[1]Competence!$B$12:$B$100,1,FALSE)</f>
        <v>Risk management</v>
      </c>
      <c r="D1185" s="13" t="str" cm="1">
        <f t="array" ref="D1185">_xlfn.XLOOKUP(B1185,[1]Baseline!$D$3:$AZ$3,_xlfn.XLOOKUP(C1185,[1]Baseline!$B$4:$B$91,[1]Baseline!$D$4:$AZ$91))</f>
        <v>No Knowledge</v>
      </c>
      <c r="E1185" s="13" t="s">
        <v>373</v>
      </c>
      <c r="F1185" s="13">
        <v>0</v>
      </c>
      <c r="G1185" s="153">
        <v>2</v>
      </c>
      <c r="H1185" s="16">
        <f t="shared" si="18"/>
        <v>2</v>
      </c>
      <c r="I1185" s="13">
        <v>2</v>
      </c>
      <c r="J1185" s="160"/>
    </row>
    <row r="1186" spans="1:10">
      <c r="A1186" s="13" t="s">
        <v>7</v>
      </c>
      <c r="B1186" s="13" t="s">
        <v>61</v>
      </c>
      <c r="C1186" s="13" t="str">
        <f>VLOOKUP([1]Competence!$B52,[1]Competence!$B$12:$B$100,1,FALSE)</f>
        <v>Sourcing</v>
      </c>
      <c r="D1186" s="13" t="str" cm="1">
        <f t="array" ref="D1186">_xlfn.XLOOKUP(B1186,[1]Baseline!$D$3:$AZ$3,_xlfn.XLOOKUP(C1186,[1]Baseline!$B$4:$B$91,[1]Baseline!$D$4:$AZ$91))</f>
        <v>Awareness</v>
      </c>
      <c r="E1186" s="13" t="s">
        <v>373</v>
      </c>
      <c r="F1186" s="13">
        <v>0</v>
      </c>
      <c r="G1186" s="153">
        <v>3</v>
      </c>
      <c r="H1186" s="16">
        <f t="shared" si="18"/>
        <v>3</v>
      </c>
      <c r="I1186" s="13">
        <v>3</v>
      </c>
      <c r="J1186" s="160"/>
    </row>
    <row r="1187" spans="1:10">
      <c r="A1187" s="13" t="s">
        <v>7</v>
      </c>
      <c r="B1187" s="13" t="s">
        <v>61</v>
      </c>
      <c r="C1187" s="13" t="str">
        <f>VLOOKUP([1]Competence!$B53,[1]Competence!$B$12:$B$100,1,FALSE)</f>
        <v>Supplier management</v>
      </c>
      <c r="D1187" s="13" t="str" cm="1">
        <f t="array" ref="D1187">_xlfn.XLOOKUP(B1187,[1]Baseline!$D$3:$AZ$3,_xlfn.XLOOKUP(C1187,[1]Baseline!$B$4:$B$91,[1]Baseline!$D$4:$AZ$91))</f>
        <v>Awareness</v>
      </c>
      <c r="E1187" s="13" t="s">
        <v>373</v>
      </c>
      <c r="F1187" s="13">
        <v>0</v>
      </c>
      <c r="G1187" s="153">
        <v>2</v>
      </c>
      <c r="H1187" s="16">
        <f t="shared" si="18"/>
        <v>2</v>
      </c>
      <c r="I1187" s="13">
        <v>2</v>
      </c>
      <c r="J1187" s="160"/>
    </row>
    <row r="1188" spans="1:10">
      <c r="A1188" s="13" t="s">
        <v>7</v>
      </c>
      <c r="B1188" s="13" t="s">
        <v>61</v>
      </c>
      <c r="C1188" s="13" t="str">
        <f>VLOOKUP([1]Competence!$B54,[1]Competence!$B$12:$B$100,1,FALSE)</f>
        <v>Sustainability</v>
      </c>
      <c r="D1188" s="13" t="str" cm="1">
        <f t="array" ref="D1188">_xlfn.XLOOKUP(B1188,[1]Baseline!$D$3:$AZ$3,_xlfn.XLOOKUP(C1188,[1]Baseline!$B$4:$B$91,[1]Baseline!$D$4:$AZ$91))</f>
        <v>Awareness</v>
      </c>
      <c r="E1188" s="13" t="s">
        <v>373</v>
      </c>
      <c r="F1188" s="13">
        <v>0</v>
      </c>
      <c r="G1188" s="153">
        <v>1</v>
      </c>
      <c r="H1188" s="16">
        <f t="shared" si="18"/>
        <v>1</v>
      </c>
      <c r="I1188" s="13">
        <v>1</v>
      </c>
      <c r="J1188" s="160"/>
    </row>
    <row r="1189" spans="1:10">
      <c r="A1189" s="13" t="s">
        <v>7</v>
      </c>
      <c r="B1189" s="13" t="s">
        <v>61</v>
      </c>
      <c r="C1189" s="13" t="str">
        <f>VLOOKUP([1]Competence!$B55,[1]Competence!$B$12:$B$100,1,FALSE)</f>
        <v>Acceptance testing</v>
      </c>
      <c r="D1189" s="13" t="str" cm="1">
        <f t="array" ref="D1189">_xlfn.XLOOKUP(B1189,[1]Baseline!$D$3:$AZ$3,_xlfn.XLOOKUP(C1189,[1]Baseline!$B$4:$B$91,[1]Baseline!$D$4:$AZ$91))</f>
        <v>Awareness</v>
      </c>
      <c r="E1189" s="13" t="s">
        <v>373</v>
      </c>
      <c r="F1189" s="13">
        <v>2</v>
      </c>
      <c r="G1189" s="153">
        <v>2</v>
      </c>
      <c r="H1189" s="16">
        <f t="shared" si="18"/>
        <v>0</v>
      </c>
      <c r="I1189" s="13">
        <v>2</v>
      </c>
      <c r="J1189" s="160"/>
    </row>
    <row r="1190" spans="1:10">
      <c r="A1190" s="13" t="s">
        <v>7</v>
      </c>
      <c r="B1190" s="13" t="s">
        <v>61</v>
      </c>
      <c r="C1190" s="13" t="str">
        <f>VLOOKUP([1]Competence!$B56,[1]Competence!$B$12:$B$100,1,FALSE)</f>
        <v>Application support</v>
      </c>
      <c r="D1190" s="13" t="str" cm="1">
        <f t="array" ref="D1190">_xlfn.XLOOKUP(B1190,[1]Baseline!$D$3:$AZ$3,_xlfn.XLOOKUP(C1190,[1]Baseline!$B$4:$B$91,[1]Baseline!$D$4:$AZ$91))</f>
        <v>Working</v>
      </c>
      <c r="E1190" s="13" t="s">
        <v>376</v>
      </c>
      <c r="F1190" s="13">
        <v>3</v>
      </c>
      <c r="G1190" s="153">
        <v>2</v>
      </c>
      <c r="H1190" s="16">
        <f t="shared" si="18"/>
        <v>-1</v>
      </c>
      <c r="I1190" s="13">
        <v>2</v>
      </c>
      <c r="J1190" s="160"/>
    </row>
    <row r="1191" spans="1:10">
      <c r="A1191" s="13" t="s">
        <v>7</v>
      </c>
      <c r="B1191" s="13" t="s">
        <v>61</v>
      </c>
      <c r="C1191" s="13" t="str">
        <f>VLOOKUP([1]Competence!$B57,[1]Competence!$B$12:$B$100,1,FALSE)</f>
        <v>Data Engineering</v>
      </c>
      <c r="D1191" s="13" t="str" cm="1">
        <f t="array" ref="D1191">_xlfn.XLOOKUP(B1191,[1]Baseline!$D$3:$AZ$3,_xlfn.XLOOKUP(C1191,[1]Baseline!$B$4:$B$91,[1]Baseline!$D$4:$AZ$91))</f>
        <v>No Knowledge</v>
      </c>
      <c r="E1191" s="13" t="s">
        <v>376</v>
      </c>
      <c r="F1191" s="13">
        <v>3</v>
      </c>
      <c r="G1191" s="153">
        <v>1</v>
      </c>
      <c r="H1191" s="16">
        <f t="shared" si="18"/>
        <v>-2</v>
      </c>
      <c r="I1191" s="13">
        <v>1</v>
      </c>
      <c r="J1191" s="160"/>
    </row>
    <row r="1192" spans="1:10">
      <c r="A1192" s="13" t="s">
        <v>7</v>
      </c>
      <c r="B1192" s="13" t="s">
        <v>61</v>
      </c>
      <c r="C1192" s="13" t="str">
        <f>VLOOKUP([1]Competence!$B58,[1]Competence!$B$12:$B$100,1,FALSE)</f>
        <v>Data Management</v>
      </c>
      <c r="D1192" s="13" t="str" cm="1">
        <f t="array" ref="D1192">_xlfn.XLOOKUP(B1192,[1]Baseline!$D$3:$AZ$3,_xlfn.XLOOKUP(C1192,[1]Baseline!$B$4:$B$91,[1]Baseline!$D$4:$AZ$91))</f>
        <v>No Knowledge</v>
      </c>
      <c r="E1192" s="13" t="s">
        <v>374</v>
      </c>
      <c r="F1192" s="13">
        <v>1</v>
      </c>
      <c r="G1192" s="153">
        <v>1</v>
      </c>
      <c r="H1192" s="16">
        <f t="shared" si="18"/>
        <v>0</v>
      </c>
      <c r="I1192" s="13">
        <v>1</v>
      </c>
      <c r="J1192" s="160"/>
    </row>
    <row r="1193" spans="1:10">
      <c r="A1193" s="13" t="s">
        <v>7</v>
      </c>
      <c r="B1193" s="13" t="s">
        <v>61</v>
      </c>
      <c r="C1193" s="13" t="str">
        <f>VLOOKUP([1]Competence!$B59,[1]Competence!$B$12:$B$100,1,FALSE)</f>
        <v>Data Modelling and Design</v>
      </c>
      <c r="D1193" s="13" t="str" cm="1">
        <f t="array" ref="D1193">_xlfn.XLOOKUP(B1193,[1]Baseline!$D$3:$AZ$3,_xlfn.XLOOKUP(C1193,[1]Baseline!$B$4:$B$91,[1]Baseline!$D$4:$AZ$91))</f>
        <v>No Knowledge</v>
      </c>
      <c r="E1193" s="13" t="s">
        <v>374</v>
      </c>
      <c r="F1193" s="13">
        <v>1</v>
      </c>
      <c r="G1193" s="153">
        <v>1</v>
      </c>
      <c r="H1193" s="16">
        <f t="shared" si="18"/>
        <v>0</v>
      </c>
      <c r="I1193" s="13">
        <v>1</v>
      </c>
      <c r="J1193" s="160"/>
    </row>
    <row r="1194" spans="1:10">
      <c r="A1194" s="13" t="s">
        <v>7</v>
      </c>
      <c r="B1194" s="13" t="s">
        <v>61</v>
      </c>
      <c r="C1194" s="13" t="str">
        <f>VLOOKUP([1]Competence!$B60,[1]Competence!$B$12:$B$100,1,FALSE)</f>
        <v>Data science</v>
      </c>
      <c r="D1194" s="13" t="str" cm="1">
        <f t="array" ref="D1194">_xlfn.XLOOKUP(B1194,[1]Baseline!$D$3:$AZ$3,_xlfn.XLOOKUP(C1194,[1]Baseline!$B$4:$B$91,[1]Baseline!$D$4:$AZ$91))</f>
        <v>No Knowledge</v>
      </c>
      <c r="E1194" s="13" t="s">
        <v>374</v>
      </c>
      <c r="F1194" s="13">
        <v>2</v>
      </c>
      <c r="G1194" s="153">
        <v>0</v>
      </c>
      <c r="H1194" s="16">
        <f t="shared" si="18"/>
        <v>-2</v>
      </c>
      <c r="I1194" s="13">
        <v>0</v>
      </c>
      <c r="J1194" s="160"/>
    </row>
    <row r="1195" spans="1:10">
      <c r="A1195" s="13" t="s">
        <v>7</v>
      </c>
      <c r="B1195" s="13" t="s">
        <v>61</v>
      </c>
      <c r="C1195" s="13" t="str">
        <f>VLOOKUP([1]Competence!$B61,[1]Competence!$B$12:$B$100,1,FALSE)</f>
        <v>Data visualisation</v>
      </c>
      <c r="D1195" s="13" t="str" cm="1">
        <f t="array" ref="D1195">_xlfn.XLOOKUP(B1195,[1]Baseline!$D$3:$AZ$3,_xlfn.XLOOKUP(C1195,[1]Baseline!$B$4:$B$91,[1]Baseline!$D$4:$AZ$91))</f>
        <v>No Knowledge</v>
      </c>
      <c r="E1195" s="13" t="s">
        <v>377</v>
      </c>
      <c r="F1195" s="13">
        <v>0</v>
      </c>
      <c r="G1195" s="153">
        <v>1</v>
      </c>
      <c r="H1195" s="16">
        <f t="shared" si="18"/>
        <v>1</v>
      </c>
      <c r="I1195" s="13">
        <v>1</v>
      </c>
      <c r="J1195" s="160"/>
    </row>
    <row r="1196" spans="1:10">
      <c r="A1196" s="13" t="s">
        <v>7</v>
      </c>
      <c r="B1196" s="13" t="s">
        <v>61</v>
      </c>
      <c r="C1196" s="13" t="str">
        <f>VLOOKUP([1]Competence!$B62,[1]Competence!$B$12:$B$100,1,FALSE)</f>
        <v>Database Administration</v>
      </c>
      <c r="D1196" s="13" t="str" cm="1">
        <f t="array" ref="D1196">_xlfn.XLOOKUP(B1196,[1]Baseline!$D$3:$AZ$3,_xlfn.XLOOKUP(C1196,[1]Baseline!$B$4:$B$91,[1]Baseline!$D$4:$AZ$91))</f>
        <v>No Knowledge</v>
      </c>
      <c r="E1196" s="13" t="s">
        <v>377</v>
      </c>
      <c r="F1196" s="13">
        <v>0</v>
      </c>
      <c r="G1196" s="153">
        <v>1</v>
      </c>
      <c r="H1196" s="16">
        <f t="shared" si="18"/>
        <v>1</v>
      </c>
      <c r="I1196" s="13">
        <v>1</v>
      </c>
      <c r="J1196" s="160"/>
    </row>
    <row r="1197" spans="1:10">
      <c r="A1197" s="13" t="s">
        <v>7</v>
      </c>
      <c r="B1197" s="13" t="s">
        <v>61</v>
      </c>
      <c r="C1197" s="13" t="str">
        <f>VLOOKUP([1]Competence!$B63,[1]Competence!$B$12:$B$100,1,FALSE)</f>
        <v>Database Design</v>
      </c>
      <c r="D1197" s="13" t="str" cm="1">
        <f t="array" ref="D1197">_xlfn.XLOOKUP(B1197,[1]Baseline!$D$3:$AZ$3,_xlfn.XLOOKUP(C1197,[1]Baseline!$B$4:$B$91,[1]Baseline!$D$4:$AZ$91))</f>
        <v>No Knowledge</v>
      </c>
      <c r="E1197" s="13" t="s">
        <v>377</v>
      </c>
      <c r="F1197" s="13">
        <v>0</v>
      </c>
      <c r="G1197" s="153">
        <v>0</v>
      </c>
      <c r="H1197" s="16">
        <f t="shared" si="18"/>
        <v>0</v>
      </c>
      <c r="I1197" s="13">
        <v>0</v>
      </c>
      <c r="J1197" s="160"/>
    </row>
    <row r="1198" spans="1:10">
      <c r="A1198" s="13" t="s">
        <v>7</v>
      </c>
      <c r="B1198" s="13" t="s">
        <v>61</v>
      </c>
      <c r="C1198" s="13" t="str">
        <f>VLOOKUP([1]Competence!$B64,[1]Competence!$B$12:$B$100,1,FALSE)</f>
        <v>Hardware design</v>
      </c>
      <c r="D1198" s="13" t="str" cm="1">
        <f t="array" ref="D1198">_xlfn.XLOOKUP(B1198,[1]Baseline!$D$3:$AZ$3,_xlfn.XLOOKUP(C1198,[1]Baseline!$B$4:$B$91,[1]Baseline!$D$4:$AZ$91))</f>
        <v>No Knowledge</v>
      </c>
      <c r="E1198" s="13" t="s">
        <v>378</v>
      </c>
      <c r="F1198" s="13">
        <v>1</v>
      </c>
      <c r="G1198" s="153">
        <v>0</v>
      </c>
      <c r="H1198" s="16">
        <f t="shared" si="18"/>
        <v>-1</v>
      </c>
      <c r="I1198" s="13">
        <v>0</v>
      </c>
      <c r="J1198" s="160"/>
    </row>
    <row r="1199" spans="1:10">
      <c r="A1199" s="13" t="s">
        <v>7</v>
      </c>
      <c r="B1199" s="13" t="s">
        <v>61</v>
      </c>
      <c r="C1199" s="13" t="str">
        <f>VLOOKUP([1]Competence!$B65,[1]Competence!$B$12:$B$100,1,FALSE)</f>
        <v>High Performance Computing</v>
      </c>
      <c r="D1199" s="13" t="str" cm="1">
        <f t="array" ref="D1199">_xlfn.XLOOKUP(B1199,[1]Baseline!$D$3:$AZ$3,_xlfn.XLOOKUP(C1199,[1]Baseline!$B$4:$B$91,[1]Baseline!$D$4:$AZ$91))</f>
        <v>Awareness</v>
      </c>
      <c r="E1199" s="13" t="s">
        <v>378</v>
      </c>
      <c r="F1199" s="13">
        <v>1</v>
      </c>
      <c r="G1199" s="153">
        <v>1</v>
      </c>
      <c r="H1199" s="16">
        <f t="shared" si="18"/>
        <v>0</v>
      </c>
      <c r="I1199" s="13">
        <v>1</v>
      </c>
      <c r="J1199" s="160"/>
    </row>
    <row r="1200" spans="1:10">
      <c r="A1200" s="13" t="s">
        <v>7</v>
      </c>
      <c r="B1200" s="13" t="s">
        <v>61</v>
      </c>
      <c r="C1200" s="13" t="str">
        <f>VLOOKUP([1]Competence!$B66,[1]Competence!$B$12:$B$100,1,FALSE)</f>
        <v>Research Computing</v>
      </c>
      <c r="D1200" s="13" t="str" cm="1">
        <f t="array" ref="D1200">_xlfn.XLOOKUP(B1200,[1]Baseline!$D$3:$AZ$3,_xlfn.XLOOKUP(C1200,[1]Baseline!$B$4:$B$91,[1]Baseline!$D$4:$AZ$91))</f>
        <v>Awareness</v>
      </c>
      <c r="E1200" s="13" t="s">
        <v>378</v>
      </c>
      <c r="F1200" s="13">
        <v>1</v>
      </c>
      <c r="G1200" s="153">
        <v>1</v>
      </c>
      <c r="H1200" s="16">
        <f t="shared" si="18"/>
        <v>0</v>
      </c>
      <c r="I1200" s="13">
        <v>1</v>
      </c>
      <c r="J1200" s="160"/>
    </row>
    <row r="1201" spans="1:10">
      <c r="A1201" s="13" t="s">
        <v>7</v>
      </c>
      <c r="B1201" s="13" t="s">
        <v>61</v>
      </c>
      <c r="C1201" s="13" t="str">
        <f>VLOOKUP([1]Competence!$B67,[1]Competence!$B$12:$B$100,1,FALSE)</f>
        <v>Information assurance</v>
      </c>
      <c r="D1201" s="13" t="str" cm="1">
        <f t="array" ref="D1201">_xlfn.XLOOKUP(B1201,[1]Baseline!$D$3:$AZ$3,_xlfn.XLOOKUP(C1201,[1]Baseline!$B$4:$B$91,[1]Baseline!$D$4:$AZ$91))</f>
        <v>Practitioner</v>
      </c>
      <c r="E1201" s="13" t="s">
        <v>49</v>
      </c>
      <c r="F1201" s="13">
        <v>0</v>
      </c>
      <c r="G1201" s="153">
        <v>2</v>
      </c>
      <c r="H1201" s="16">
        <f t="shared" si="18"/>
        <v>2</v>
      </c>
      <c r="I1201" s="13">
        <v>2</v>
      </c>
      <c r="J1201" s="160"/>
    </row>
    <row r="1202" spans="1:10">
      <c r="A1202" s="13" t="s">
        <v>7</v>
      </c>
      <c r="B1202" s="13" t="s">
        <v>61</v>
      </c>
      <c r="C1202" s="13" t="str">
        <f>VLOOKUP([1]Competence!$B68,[1]Competence!$B$12:$B$100,1,FALSE)</f>
        <v>Information management</v>
      </c>
      <c r="D1202" s="13" t="str" cm="1">
        <f t="array" ref="D1202">_xlfn.XLOOKUP(B1202,[1]Baseline!$D$3:$AZ$3,_xlfn.XLOOKUP(C1202,[1]Baseline!$B$4:$B$91,[1]Baseline!$D$4:$AZ$91))</f>
        <v>Awareness</v>
      </c>
      <c r="E1202" s="13" t="s">
        <v>49</v>
      </c>
      <c r="F1202" s="13">
        <v>1</v>
      </c>
      <c r="G1202" s="153">
        <v>1</v>
      </c>
      <c r="H1202" s="16">
        <f t="shared" si="18"/>
        <v>0</v>
      </c>
      <c r="I1202" s="13">
        <v>1</v>
      </c>
      <c r="J1202" s="160"/>
    </row>
    <row r="1203" spans="1:10">
      <c r="A1203" s="13" t="s">
        <v>7</v>
      </c>
      <c r="B1203" s="13" t="s">
        <v>61</v>
      </c>
      <c r="C1203" s="13" t="str">
        <f>VLOOKUP([1]Competence!$B69,[1]Competence!$B$12:$B$100,1,FALSE)</f>
        <v>Infrastructure</v>
      </c>
      <c r="D1203" s="13" t="str" cm="1">
        <f t="array" ref="D1203">_xlfn.XLOOKUP(B1203,[1]Baseline!$D$3:$AZ$3,_xlfn.XLOOKUP(C1203,[1]Baseline!$B$4:$B$91,[1]Baseline!$D$4:$AZ$91))</f>
        <v>Working</v>
      </c>
      <c r="E1203" s="13" t="s">
        <v>49</v>
      </c>
      <c r="F1203" s="13">
        <v>1</v>
      </c>
      <c r="G1203" s="153">
        <v>2</v>
      </c>
      <c r="H1203" s="16">
        <f t="shared" si="18"/>
        <v>1</v>
      </c>
      <c r="I1203" s="13">
        <v>2</v>
      </c>
      <c r="J1203" s="160"/>
    </row>
    <row r="1204" spans="1:10">
      <c r="A1204" s="13" t="s">
        <v>7</v>
      </c>
      <c r="B1204" s="13" t="s">
        <v>61</v>
      </c>
      <c r="C1204" s="13" t="str">
        <f>VLOOKUP([1]Competence!$B70,[1]Competence!$B$12:$B$100,1,FALSE)</f>
        <v>Network design</v>
      </c>
      <c r="D1204" s="13" t="str" cm="1">
        <f t="array" ref="D1204">_xlfn.XLOOKUP(B1204,[1]Baseline!$D$3:$AZ$3,_xlfn.XLOOKUP(C1204,[1]Baseline!$B$4:$B$91,[1]Baseline!$D$4:$AZ$91))</f>
        <v>No Knowledge</v>
      </c>
      <c r="E1204" s="13" t="s">
        <v>375</v>
      </c>
      <c r="F1204" s="13">
        <v>1</v>
      </c>
      <c r="G1204" s="153">
        <v>0</v>
      </c>
      <c r="H1204" s="16">
        <f t="shared" si="18"/>
        <v>-1</v>
      </c>
      <c r="I1204" s="13">
        <v>0</v>
      </c>
      <c r="J1204" s="160"/>
    </row>
    <row r="1205" spans="1:10">
      <c r="A1205" s="13" t="s">
        <v>7</v>
      </c>
      <c r="B1205" s="13" t="s">
        <v>61</v>
      </c>
      <c r="C1205" s="13" t="str">
        <f>VLOOKUP([1]Competence!$B71,[1]Competence!$B$12:$B$100,1,FALSE)</f>
        <v>Network Analytics</v>
      </c>
      <c r="D1205" s="13" t="str" cm="1">
        <f t="array" ref="D1205">_xlfn.XLOOKUP(B1205,[1]Baseline!$D$3:$AZ$3,_xlfn.XLOOKUP(C1205,[1]Baseline!$B$4:$B$91,[1]Baseline!$D$4:$AZ$91))</f>
        <v>No Knowledge</v>
      </c>
      <c r="E1205" s="13" t="s">
        <v>375</v>
      </c>
      <c r="F1205" s="13">
        <v>0</v>
      </c>
      <c r="G1205" s="153">
        <v>0</v>
      </c>
      <c r="H1205" s="16">
        <f t="shared" si="18"/>
        <v>0</v>
      </c>
      <c r="I1205" s="13">
        <v>0</v>
      </c>
      <c r="J1205" s="160"/>
    </row>
    <row r="1206" spans="1:10">
      <c r="A1206" s="13" t="s">
        <v>7</v>
      </c>
      <c r="B1206" s="13" t="s">
        <v>61</v>
      </c>
      <c r="C1206" s="13" t="str">
        <f>VLOOKUP([1]Competence!$B72,[1]Competence!$B$12:$B$100,1,FALSE)</f>
        <v>Network support</v>
      </c>
      <c r="D1206" s="13" t="str" cm="1">
        <f t="array" ref="D1206">_xlfn.XLOOKUP(B1206,[1]Baseline!$D$3:$AZ$3,_xlfn.XLOOKUP(C1206,[1]Baseline!$B$4:$B$91,[1]Baseline!$D$4:$AZ$91))</f>
        <v>Working</v>
      </c>
      <c r="E1206" s="13" t="s">
        <v>375</v>
      </c>
      <c r="F1206" s="13">
        <v>0</v>
      </c>
      <c r="G1206" s="153">
        <v>2</v>
      </c>
      <c r="H1206" s="16">
        <f t="shared" si="18"/>
        <v>2</v>
      </c>
      <c r="I1206" s="13">
        <v>2</v>
      </c>
      <c r="J1206" s="160"/>
    </row>
    <row r="1207" spans="1:10">
      <c r="A1207" s="13" t="s">
        <v>7</v>
      </c>
      <c r="B1207" s="13" t="s">
        <v>61</v>
      </c>
      <c r="C1207" s="13" t="str">
        <f>VLOOKUP([1]Competence!$B73,[1]Competence!$B$12:$B$100,1,FALSE)</f>
        <v>Programming/software development</v>
      </c>
      <c r="D1207" s="13" t="str" cm="1">
        <f t="array" ref="D1207">_xlfn.XLOOKUP(B1207,[1]Baseline!$D$3:$AZ$3,_xlfn.XLOOKUP(C1207,[1]Baseline!$B$4:$B$91,[1]Baseline!$D$4:$AZ$91))</f>
        <v>No Knowledge</v>
      </c>
      <c r="E1207" s="13" t="s">
        <v>375</v>
      </c>
      <c r="F1207" s="13">
        <v>0</v>
      </c>
      <c r="G1207" s="153">
        <v>0</v>
      </c>
      <c r="H1207" s="16">
        <f t="shared" si="18"/>
        <v>0</v>
      </c>
      <c r="I1207" s="13">
        <v>0</v>
      </c>
      <c r="J1207" s="160"/>
    </row>
    <row r="1208" spans="1:10">
      <c r="A1208" s="13" t="s">
        <v>7</v>
      </c>
      <c r="B1208" s="13" t="s">
        <v>61</v>
      </c>
      <c r="C1208" s="13" t="str">
        <f>VLOOKUP([1]Competence!$B74,[1]Competence!$B$12:$B$100,1,FALSE)</f>
        <v>Real-time/embedded systems development</v>
      </c>
      <c r="D1208" s="13" t="str" cm="1">
        <f t="array" ref="D1208">_xlfn.XLOOKUP(B1208,[1]Baseline!$D$3:$AZ$3,_xlfn.XLOOKUP(C1208,[1]Baseline!$B$4:$B$91,[1]Baseline!$D$4:$AZ$91))</f>
        <v>No Knowledge</v>
      </c>
      <c r="E1208" s="13" t="s">
        <v>375</v>
      </c>
      <c r="F1208" s="13">
        <v>0</v>
      </c>
      <c r="G1208" s="153">
        <v>0</v>
      </c>
      <c r="H1208" s="16">
        <f t="shared" si="18"/>
        <v>0</v>
      </c>
      <c r="I1208" s="13">
        <v>0</v>
      </c>
      <c r="J1208" s="160"/>
    </row>
    <row r="1209" spans="1:10">
      <c r="A1209" s="13" t="s">
        <v>7</v>
      </c>
      <c r="B1209" s="13" t="s">
        <v>61</v>
      </c>
      <c r="C1209" s="13" t="str">
        <f>VLOOKUP([1]Competence!$B75,[1]Competence!$B$12:$B$100,1,FALSE)</f>
        <v>Requirements definition and management</v>
      </c>
      <c r="D1209" s="13" t="str" cm="1">
        <f t="array" ref="D1209">_xlfn.XLOOKUP(B1209,[1]Baseline!$D$3:$AZ$3,_xlfn.XLOOKUP(C1209,[1]Baseline!$B$4:$B$91,[1]Baseline!$D$4:$AZ$91))</f>
        <v>No Knowledge</v>
      </c>
      <c r="E1209" s="13" t="s">
        <v>375</v>
      </c>
      <c r="F1209" s="13">
        <v>0</v>
      </c>
      <c r="G1209" s="153">
        <v>1</v>
      </c>
      <c r="H1209" s="16">
        <f t="shared" si="18"/>
        <v>1</v>
      </c>
      <c r="I1209" s="13">
        <v>1</v>
      </c>
      <c r="J1209" s="160"/>
    </row>
    <row r="1210" spans="1:10">
      <c r="A1210" s="13" t="s">
        <v>7</v>
      </c>
      <c r="B1210" s="13" t="s">
        <v>61</v>
      </c>
      <c r="C1210" s="13" t="str">
        <f>VLOOKUP([1]Competence!$B76,[1]Competence!$B$12:$B$100,1,FALSE)</f>
        <v>Software configuration</v>
      </c>
      <c r="D1210" s="13" t="str" cm="1">
        <f t="array" ref="D1210">_xlfn.XLOOKUP(B1210,[1]Baseline!$D$3:$AZ$3,_xlfn.XLOOKUP(C1210,[1]Baseline!$B$4:$B$91,[1]Baseline!$D$4:$AZ$91))</f>
        <v>No Knowledge</v>
      </c>
      <c r="E1210" s="13" t="s">
        <v>375</v>
      </c>
      <c r="F1210" s="13">
        <v>0</v>
      </c>
      <c r="G1210" s="153">
        <v>0</v>
      </c>
      <c r="H1210" s="16">
        <f t="shared" si="18"/>
        <v>0</v>
      </c>
      <c r="I1210" s="13">
        <v>0</v>
      </c>
      <c r="J1210" s="160"/>
    </row>
    <row r="1211" spans="1:10">
      <c r="A1211" s="13" t="s">
        <v>7</v>
      </c>
      <c r="B1211" s="13" t="s">
        <v>61</v>
      </c>
      <c r="C1211" s="13" t="str">
        <f>VLOOKUP([1]Competence!$B77,[1]Competence!$B$12:$B$100,1,FALSE)</f>
        <v>Software design</v>
      </c>
      <c r="D1211" s="13" t="str" cm="1">
        <f t="array" ref="D1211">_xlfn.XLOOKUP(B1211,[1]Baseline!$D$3:$AZ$3,_xlfn.XLOOKUP(C1211,[1]Baseline!$B$4:$B$91,[1]Baseline!$D$4:$AZ$91))</f>
        <v>No Knowledge</v>
      </c>
      <c r="E1211" s="13" t="s">
        <v>375</v>
      </c>
      <c r="F1211" s="13">
        <v>0</v>
      </c>
      <c r="G1211" s="153">
        <v>0</v>
      </c>
      <c r="H1211" s="16">
        <f t="shared" si="18"/>
        <v>0</v>
      </c>
      <c r="I1211" s="13">
        <v>0</v>
      </c>
      <c r="J1211" s="160"/>
    </row>
    <row r="1212" spans="1:10">
      <c r="A1212" s="13" t="s">
        <v>7</v>
      </c>
      <c r="B1212" s="13" t="s">
        <v>61</v>
      </c>
      <c r="C1212" s="13" t="str">
        <f>VLOOKUP([1]Competence!$B78,[1]Competence!$B$12:$B$100,1,FALSE)</f>
        <v>Solution architecture</v>
      </c>
      <c r="D1212" s="13" t="str" cm="1">
        <f t="array" ref="D1212">_xlfn.XLOOKUP(B1212,[1]Baseline!$D$3:$AZ$3,_xlfn.XLOOKUP(C1212,[1]Baseline!$B$4:$B$91,[1]Baseline!$D$4:$AZ$91))</f>
        <v>No Knowledge</v>
      </c>
      <c r="E1212" s="13" t="s">
        <v>375</v>
      </c>
      <c r="F1212" s="13">
        <v>0</v>
      </c>
      <c r="G1212" s="153">
        <v>0</v>
      </c>
      <c r="H1212" s="16">
        <f t="shared" si="18"/>
        <v>0</v>
      </c>
      <c r="I1212" s="13">
        <v>0</v>
      </c>
      <c r="J1212" s="160"/>
    </row>
    <row r="1213" spans="1:10">
      <c r="A1213" s="13" t="s">
        <v>7</v>
      </c>
      <c r="B1213" s="13" t="s">
        <v>61</v>
      </c>
      <c r="C1213" s="13" t="str">
        <f>VLOOKUP([1]Competence!$B79,[1]Competence!$B$12:$B$100,1,FALSE)</f>
        <v>System software</v>
      </c>
      <c r="D1213" s="13" t="str" cm="1">
        <f t="array" ref="D1213">_xlfn.XLOOKUP(B1213,[1]Baseline!$D$3:$AZ$3,_xlfn.XLOOKUP(C1213,[1]Baseline!$B$4:$B$91,[1]Baseline!$D$4:$AZ$91))</f>
        <v>No Knowledge</v>
      </c>
      <c r="E1213" s="13" t="s">
        <v>375</v>
      </c>
      <c r="F1213" s="13">
        <v>0</v>
      </c>
      <c r="G1213" s="153">
        <v>0</v>
      </c>
      <c r="H1213" s="16">
        <f t="shared" si="18"/>
        <v>0</v>
      </c>
      <c r="I1213" s="13">
        <v>0</v>
      </c>
      <c r="J1213" s="160"/>
    </row>
    <row r="1214" spans="1:10">
      <c r="A1214" s="13" t="s">
        <v>7</v>
      </c>
      <c r="B1214" s="13" t="s">
        <v>61</v>
      </c>
      <c r="C1214" s="13" t="str">
        <f>VLOOKUP([1]Competence!$B80,[1]Competence!$B$12:$B$100,1,FALSE)</f>
        <v>Systems and software life cycle engineering</v>
      </c>
      <c r="D1214" s="13" t="str" cm="1">
        <f t="array" ref="D1214">_xlfn.XLOOKUP(B1214,[1]Baseline!$D$3:$AZ$3,_xlfn.XLOOKUP(C1214,[1]Baseline!$B$4:$B$91,[1]Baseline!$D$4:$AZ$91))</f>
        <v>No Knowledge</v>
      </c>
      <c r="E1214" s="13" t="s">
        <v>373</v>
      </c>
      <c r="F1214" s="13">
        <v>0</v>
      </c>
      <c r="G1214" s="153">
        <v>0</v>
      </c>
      <c r="H1214" s="16">
        <f t="shared" si="18"/>
        <v>0</v>
      </c>
      <c r="I1214" s="13">
        <v>0</v>
      </c>
      <c r="J1214" s="160"/>
    </row>
    <row r="1215" spans="1:10">
      <c r="A1215" s="13" t="s">
        <v>7</v>
      </c>
      <c r="B1215" s="13" t="s">
        <v>61</v>
      </c>
      <c r="C1215" s="13" t="str">
        <f>VLOOKUP([1]Competence!$B81,[1]Competence!$B$12:$B$100,1,FALSE)</f>
        <v>Systems design</v>
      </c>
      <c r="D1215" s="13" t="str" cm="1">
        <f t="array" ref="D1215">_xlfn.XLOOKUP(B1215,[1]Baseline!$D$3:$AZ$3,_xlfn.XLOOKUP(C1215,[1]Baseline!$B$4:$B$91,[1]Baseline!$D$4:$AZ$91))</f>
        <v>No Knowledge</v>
      </c>
      <c r="E1215" s="13" t="s">
        <v>373</v>
      </c>
      <c r="F1215" s="13">
        <v>0</v>
      </c>
      <c r="G1215" s="153">
        <v>0</v>
      </c>
      <c r="H1215" s="16">
        <f t="shared" si="18"/>
        <v>0</v>
      </c>
      <c r="I1215" s="13">
        <v>0</v>
      </c>
      <c r="J1215" s="160"/>
    </row>
    <row r="1216" spans="1:10">
      <c r="A1216" s="13" t="s">
        <v>7</v>
      </c>
      <c r="B1216" s="13" t="s">
        <v>61</v>
      </c>
      <c r="C1216" s="13" t="str">
        <f>VLOOKUP([1]Competence!$B82,[1]Competence!$B$12:$B$100,1,FALSE)</f>
        <v>Systems development management</v>
      </c>
      <c r="D1216" s="13" t="str" cm="1">
        <f t="array" ref="D1216">_xlfn.XLOOKUP(B1216,[1]Baseline!$D$3:$AZ$3,_xlfn.XLOOKUP(C1216,[1]Baseline!$B$4:$B$91,[1]Baseline!$D$4:$AZ$91))</f>
        <v>No Knowledge</v>
      </c>
      <c r="E1216" s="13" t="s">
        <v>373</v>
      </c>
      <c r="F1216" s="13">
        <v>0</v>
      </c>
      <c r="G1216" s="153">
        <v>0</v>
      </c>
      <c r="H1216" s="16">
        <f t="shared" si="18"/>
        <v>0</v>
      </c>
      <c r="I1216" s="13">
        <v>0</v>
      </c>
      <c r="J1216" s="160"/>
    </row>
    <row r="1217" spans="1:10">
      <c r="A1217" s="13" t="s">
        <v>7</v>
      </c>
      <c r="B1217" s="13" t="s">
        <v>61</v>
      </c>
      <c r="C1217" s="13" t="str">
        <f>VLOOKUP([1]Competence!$B83,[1]Competence!$B$12:$B$100,1,FALSE)</f>
        <v>Systems installation and removal</v>
      </c>
      <c r="D1217" s="13" t="str" cm="1">
        <f t="array" ref="D1217">_xlfn.XLOOKUP(B1217,[1]Baseline!$D$3:$AZ$3,_xlfn.XLOOKUP(C1217,[1]Baseline!$B$4:$B$91,[1]Baseline!$D$4:$AZ$91))</f>
        <v>Practitioner</v>
      </c>
      <c r="E1217" s="13" t="s">
        <v>373</v>
      </c>
      <c r="F1217" s="13">
        <v>0</v>
      </c>
      <c r="G1217" s="153">
        <v>3</v>
      </c>
      <c r="H1217" s="16">
        <f t="shared" si="18"/>
        <v>3</v>
      </c>
      <c r="I1217" s="13">
        <v>3</v>
      </c>
      <c r="J1217" s="160"/>
    </row>
    <row r="1218" spans="1:10">
      <c r="A1218" s="13" t="s">
        <v>7</v>
      </c>
      <c r="B1218" s="13" t="s">
        <v>61</v>
      </c>
      <c r="C1218" s="13" t="str">
        <f>VLOOKUP([1]Competence!$B84,[1]Competence!$B$12:$B$100,1,FALSE)</f>
        <v>Testing</v>
      </c>
      <c r="D1218" s="13" t="str" cm="1">
        <f t="array" ref="D1218">_xlfn.XLOOKUP(B1218,[1]Baseline!$D$3:$AZ$3,_xlfn.XLOOKUP(C1218,[1]Baseline!$B$4:$B$91,[1]Baseline!$D$4:$AZ$91))</f>
        <v>Working</v>
      </c>
      <c r="E1218" s="13" t="s">
        <v>376</v>
      </c>
      <c r="F1218" s="13">
        <v>2</v>
      </c>
      <c r="G1218" s="153">
        <v>2</v>
      </c>
      <c r="H1218" s="16">
        <f t="shared" ref="H1218:H1281" si="19">I1218-F1218</f>
        <v>0</v>
      </c>
      <c r="I1218" s="13">
        <v>2</v>
      </c>
      <c r="J1218" s="160"/>
    </row>
    <row r="1219" spans="1:10">
      <c r="A1219" s="13" t="s">
        <v>7</v>
      </c>
      <c r="B1219" s="13" t="s">
        <v>61</v>
      </c>
      <c r="C1219" s="13" t="str">
        <f>VLOOKUP([1]Competence!$B85,[1]Competence!$B$12:$B$100,1,FALSE)</f>
        <v>Innovation</v>
      </c>
      <c r="D1219" s="13" t="str" cm="1">
        <f t="array" ref="D1219">_xlfn.XLOOKUP(B1219,[1]Baseline!$D$3:$AZ$3,_xlfn.XLOOKUP(C1219,[1]Baseline!$B$4:$B$91,[1]Baseline!$D$4:$AZ$91))</f>
        <v>No Knowledge</v>
      </c>
      <c r="E1219" s="13" t="s">
        <v>374</v>
      </c>
      <c r="F1219" s="13">
        <v>0</v>
      </c>
      <c r="G1219" s="153">
        <v>0</v>
      </c>
      <c r="H1219" s="16">
        <f t="shared" si="19"/>
        <v>0</v>
      </c>
      <c r="I1219" s="13">
        <v>0</v>
      </c>
      <c r="J1219" s="160"/>
    </row>
    <row r="1220" spans="1:10">
      <c r="A1220" s="13" t="s">
        <v>7</v>
      </c>
      <c r="B1220" s="13" t="s">
        <v>61</v>
      </c>
      <c r="C1220" s="13" t="str">
        <f>VLOOKUP([1]Competence!$B86,[1]Competence!$B$12:$B$100,1,FALSE)</f>
        <v>Specialist Advice</v>
      </c>
      <c r="D1220" s="13" t="str" cm="1">
        <f t="array" ref="D1220">_xlfn.XLOOKUP(B1220,[1]Baseline!$D$3:$AZ$3,_xlfn.XLOOKUP(C1220,[1]Baseline!$B$4:$B$91,[1]Baseline!$D$4:$AZ$91))</f>
        <v>No Knowledge</v>
      </c>
      <c r="E1220" s="13" t="s">
        <v>374</v>
      </c>
      <c r="F1220" s="13">
        <v>1</v>
      </c>
      <c r="G1220" s="153">
        <v>1</v>
      </c>
      <c r="H1220" s="16">
        <f t="shared" si="19"/>
        <v>0</v>
      </c>
      <c r="I1220" s="13">
        <v>1</v>
      </c>
      <c r="J1220" s="160"/>
    </row>
    <row r="1221" spans="1:10">
      <c r="A1221" s="13" t="s">
        <v>7</v>
      </c>
      <c r="B1221" s="13" t="s">
        <v>61</v>
      </c>
      <c r="C1221" s="13" t="str">
        <f>VLOOKUP([1]Competence!$B87,[1]Competence!$B$12:$B$100,1,FALSE)</f>
        <v>Emerging technology monitoring</v>
      </c>
      <c r="D1221" s="13" t="str" cm="1">
        <f t="array" ref="D1221">_xlfn.XLOOKUP(B1221,[1]Baseline!$D$3:$AZ$3,_xlfn.XLOOKUP(C1221,[1]Baseline!$B$4:$B$91,[1]Baseline!$D$4:$AZ$91))</f>
        <v>No Knowledge</v>
      </c>
      <c r="E1221" s="13" t="s">
        <v>374</v>
      </c>
      <c r="F1221" s="13">
        <v>1</v>
      </c>
      <c r="G1221" s="153">
        <v>1</v>
      </c>
      <c r="H1221" s="16">
        <f t="shared" si="19"/>
        <v>0</v>
      </c>
      <c r="I1221" s="13">
        <v>1</v>
      </c>
      <c r="J1221" s="160"/>
    </row>
    <row r="1222" spans="1:10">
      <c r="A1222" s="13" t="s">
        <v>7</v>
      </c>
      <c r="B1222" s="13" t="s">
        <v>61</v>
      </c>
      <c r="C1222" s="13" t="str">
        <f>VLOOKUP([1]Competence!$B88,[1]Competence!$B$12:$B$100,1,FALSE)</f>
        <v>Systems integration and build</v>
      </c>
      <c r="D1222" s="13" t="str" cm="1">
        <f t="array" ref="D1222">_xlfn.XLOOKUP(B1222,[1]Baseline!$D$3:$AZ$3,_xlfn.XLOOKUP(C1222,[1]Baseline!$B$4:$B$91,[1]Baseline!$D$4:$AZ$91))</f>
        <v>Practitioner</v>
      </c>
      <c r="E1222" s="13" t="s">
        <v>374</v>
      </c>
      <c r="F1222" s="13">
        <v>0</v>
      </c>
      <c r="G1222" s="153">
        <v>2</v>
      </c>
      <c r="H1222" s="16">
        <f t="shared" si="19"/>
        <v>2</v>
      </c>
      <c r="I1222" s="13">
        <v>2</v>
      </c>
      <c r="J1222" s="160"/>
    </row>
    <row r="1223" spans="1:10">
      <c r="A1223" s="13" t="s">
        <v>7</v>
      </c>
      <c r="B1223" s="13" t="s">
        <v>61</v>
      </c>
      <c r="C1223" s="13" t="str">
        <f>VLOOKUP([1]Competence!$B89,[1]Competence!$B$12:$B$100,1,FALSE)</f>
        <v>Audio Visual</v>
      </c>
      <c r="D1223" s="13" t="str" cm="1">
        <f t="array" ref="D1223">_xlfn.XLOOKUP(B1223,[1]Baseline!$D$3:$AZ$3,_xlfn.XLOOKUP(C1223,[1]Baseline!$B$4:$B$91,[1]Baseline!$D$4:$AZ$91))</f>
        <v>Practitioner</v>
      </c>
      <c r="E1223" s="13" t="s">
        <v>374</v>
      </c>
      <c r="F1223" s="13">
        <v>0</v>
      </c>
      <c r="G1223" s="153">
        <v>3</v>
      </c>
      <c r="H1223" s="16">
        <f t="shared" si="19"/>
        <v>3</v>
      </c>
      <c r="I1223" s="13">
        <v>3</v>
      </c>
      <c r="J1223" s="160"/>
    </row>
    <row r="1224" spans="1:10">
      <c r="A1224" s="13" t="s">
        <v>7</v>
      </c>
      <c r="B1224" s="13" t="s">
        <v>61</v>
      </c>
      <c r="C1224" s="13" t="str">
        <f>VLOOKUP([1]Competence!$B90,[1]Competence!$B$12:$B$100,1,FALSE)</f>
        <v>Augmented Reality</v>
      </c>
      <c r="D1224" s="13" t="str" cm="1">
        <f t="array" ref="D1224">_xlfn.XLOOKUP(B1224,[1]Baseline!$D$3:$AZ$3,_xlfn.XLOOKUP(C1224,[1]Baseline!$B$4:$B$91,[1]Baseline!$D$4:$AZ$91))</f>
        <v>Awareness</v>
      </c>
      <c r="E1224" s="13" t="s">
        <v>378</v>
      </c>
      <c r="F1224" s="13">
        <v>0</v>
      </c>
      <c r="G1224" s="153">
        <v>1</v>
      </c>
      <c r="H1224" s="16">
        <f t="shared" si="19"/>
        <v>1</v>
      </c>
      <c r="I1224" s="13">
        <v>1</v>
      </c>
      <c r="J1224" s="160"/>
    </row>
    <row r="1225" spans="1:10">
      <c r="A1225" s="13" t="s">
        <v>7</v>
      </c>
      <c r="B1225" s="13" t="s">
        <v>61</v>
      </c>
      <c r="C1225" s="13" t="str">
        <f>VLOOKUP([1]Competence!$B91,[1]Competence!$B$12:$B$100,1,FALSE)</f>
        <v>Benefits management</v>
      </c>
      <c r="D1225" s="13" t="str" cm="1">
        <f t="array" ref="D1225">_xlfn.XLOOKUP(B1225,[1]Baseline!$D$3:$AZ$3,_xlfn.XLOOKUP(C1225,[1]Baseline!$B$4:$B$91,[1]Baseline!$D$4:$AZ$91))</f>
        <v>No Knowledge</v>
      </c>
      <c r="E1225" s="13" t="s">
        <v>378</v>
      </c>
      <c r="F1225" s="13">
        <v>0</v>
      </c>
      <c r="G1225" s="153">
        <v>0</v>
      </c>
      <c r="H1225" s="16">
        <f t="shared" si="19"/>
        <v>0</v>
      </c>
      <c r="I1225" s="13">
        <v>0</v>
      </c>
      <c r="J1225" s="160"/>
    </row>
    <row r="1226" spans="1:10">
      <c r="A1226" s="13" t="s">
        <v>7</v>
      </c>
      <c r="B1226" s="13" t="s">
        <v>61</v>
      </c>
      <c r="C1226" s="13" t="str">
        <f>VLOOKUP([1]Competence!$B92,[1]Competence!$B$12:$B$100,1,FALSE)</f>
        <v>Business administration</v>
      </c>
      <c r="D1226" s="13" t="str" cm="1">
        <f t="array" ref="D1226">_xlfn.XLOOKUP(B1226,[1]Baseline!$D$3:$AZ$3,_xlfn.XLOOKUP(C1226,[1]Baseline!$B$4:$B$91,[1]Baseline!$D$4:$AZ$91))</f>
        <v>No Knowledge</v>
      </c>
      <c r="E1226" s="13" t="s">
        <v>378</v>
      </c>
      <c r="F1226" s="13">
        <v>0</v>
      </c>
      <c r="G1226" s="153">
        <v>1</v>
      </c>
      <c r="H1226" s="16">
        <f t="shared" si="19"/>
        <v>1</v>
      </c>
      <c r="I1226" s="13">
        <v>1</v>
      </c>
      <c r="J1226" s="160"/>
    </row>
    <row r="1227" spans="1:10">
      <c r="A1227" s="13" t="s">
        <v>7</v>
      </c>
      <c r="B1227" s="13" t="s">
        <v>61</v>
      </c>
      <c r="C1227" s="13" t="str">
        <f>VLOOKUP([1]Competence!$B93,[1]Competence!$B$12:$B$100,1,FALSE)</f>
        <v>Business intelligence</v>
      </c>
      <c r="D1227" s="13" t="str" cm="1">
        <f t="array" ref="D1227">_xlfn.XLOOKUP(B1227,[1]Baseline!$D$3:$AZ$3,_xlfn.XLOOKUP(C1227,[1]Baseline!$B$4:$B$91,[1]Baseline!$D$4:$AZ$91))</f>
        <v>No Knowledge</v>
      </c>
      <c r="E1227" s="13" t="s">
        <v>378</v>
      </c>
      <c r="F1227" s="13">
        <v>0</v>
      </c>
      <c r="G1227" s="153">
        <v>1</v>
      </c>
      <c r="H1227" s="16">
        <f t="shared" si="19"/>
        <v>1</v>
      </c>
      <c r="I1227" s="13">
        <v>1</v>
      </c>
      <c r="J1227" s="160"/>
    </row>
    <row r="1228" spans="1:10">
      <c r="A1228" s="13" t="s">
        <v>7</v>
      </c>
      <c r="B1228" s="13" t="s">
        <v>61</v>
      </c>
      <c r="C1228" s="13" t="str">
        <f>VLOOKUP([1]Competence!$B94,[1]Competence!$B$12:$B$100,1,FALSE)</f>
        <v>Business modelling</v>
      </c>
      <c r="D1228" s="13" t="str" cm="1">
        <f t="array" ref="D1228">_xlfn.XLOOKUP(B1228,[1]Baseline!$D$3:$AZ$3,_xlfn.XLOOKUP(C1228,[1]Baseline!$B$4:$B$91,[1]Baseline!$D$4:$AZ$91))</f>
        <v>No Knowledge</v>
      </c>
      <c r="E1228" s="13" t="s">
        <v>49</v>
      </c>
      <c r="F1228" s="13">
        <v>0</v>
      </c>
      <c r="G1228" s="153">
        <v>0</v>
      </c>
      <c r="H1228" s="16">
        <f t="shared" si="19"/>
        <v>0</v>
      </c>
      <c r="I1228" s="13">
        <v>0</v>
      </c>
      <c r="J1228" s="160"/>
    </row>
    <row r="1229" spans="1:10">
      <c r="A1229" s="13" t="s">
        <v>7</v>
      </c>
      <c r="B1229" s="13" t="s">
        <v>61</v>
      </c>
      <c r="C1229" s="13" t="str">
        <f>VLOOKUP([1]Competence!$B95,[1]Competence!$B$12:$B$100,1,FALSE)</f>
        <v>Business process improvement</v>
      </c>
      <c r="D1229" s="13" t="str" cm="1">
        <f t="array" ref="D1229">_xlfn.XLOOKUP(B1229,[1]Baseline!$D$3:$AZ$3,_xlfn.XLOOKUP(C1229,[1]Baseline!$B$4:$B$91,[1]Baseline!$D$4:$AZ$91))</f>
        <v>No Knowledge</v>
      </c>
      <c r="E1229" s="13" t="s">
        <v>49</v>
      </c>
      <c r="F1229" s="13">
        <v>0</v>
      </c>
      <c r="G1229" s="153">
        <v>0</v>
      </c>
      <c r="H1229" s="16">
        <f t="shared" si="19"/>
        <v>0</v>
      </c>
      <c r="I1229" s="13">
        <v>0</v>
      </c>
      <c r="J1229" s="160"/>
    </row>
    <row r="1230" spans="1:10">
      <c r="A1230" s="13" t="s">
        <v>7</v>
      </c>
      <c r="B1230" s="13" t="s">
        <v>61</v>
      </c>
      <c r="C1230" s="13" t="str">
        <f>VLOOKUP([1]Competence!$B96,[1]Competence!$B$12:$B$100,1,FALSE)</f>
        <v>Business situation analysis</v>
      </c>
      <c r="D1230" s="13" t="str" cm="1">
        <f t="array" ref="D1230">_xlfn.XLOOKUP(B1230,[1]Baseline!$D$3:$AZ$3,_xlfn.XLOOKUP(C1230,[1]Baseline!$B$4:$B$91,[1]Baseline!$D$4:$AZ$91))</f>
        <v>No Knowledge</v>
      </c>
      <c r="E1230" s="13" t="s">
        <v>49</v>
      </c>
      <c r="F1230" s="13">
        <v>1</v>
      </c>
      <c r="G1230" s="153">
        <v>0</v>
      </c>
      <c r="H1230" s="16">
        <f t="shared" si="19"/>
        <v>-1</v>
      </c>
      <c r="I1230" s="13">
        <v>0</v>
      </c>
      <c r="J1230" s="160"/>
    </row>
    <row r="1231" spans="1:10">
      <c r="A1231" s="13" t="s">
        <v>7</v>
      </c>
      <c r="B1231" s="13" t="s">
        <v>61</v>
      </c>
      <c r="C1231" s="13" t="str">
        <f>VLOOKUP([1]Competence!$B97,[1]Competence!$B$12:$B$100,1,FALSE)</f>
        <v>Programme management</v>
      </c>
      <c r="D1231" s="13" t="str" cm="1">
        <f t="array" ref="D1231">_xlfn.XLOOKUP(B1231,[1]Baseline!$D$3:$AZ$3,_xlfn.XLOOKUP(C1231,[1]Baseline!$B$4:$B$91,[1]Baseline!$D$4:$AZ$91))</f>
        <v>No Knowledge</v>
      </c>
      <c r="E1231" s="13" t="s">
        <v>375</v>
      </c>
      <c r="F1231" s="13">
        <v>1</v>
      </c>
      <c r="G1231" s="153">
        <v>1</v>
      </c>
      <c r="H1231" s="16">
        <f t="shared" si="19"/>
        <v>0</v>
      </c>
      <c r="I1231" s="13">
        <v>1</v>
      </c>
      <c r="J1231" s="160"/>
    </row>
    <row r="1232" spans="1:10">
      <c r="A1232" s="13" t="s">
        <v>7</v>
      </c>
      <c r="B1232" s="13" t="s">
        <v>61</v>
      </c>
      <c r="C1232" s="13" t="str">
        <f>VLOOKUP([1]Competence!$B98,[1]Competence!$B$12:$B$100,1,FALSE)</f>
        <v>Project management</v>
      </c>
      <c r="D1232" s="13" t="str" cm="1">
        <f t="array" ref="D1232">_xlfn.XLOOKUP(B1232,[1]Baseline!$D$3:$AZ$3,_xlfn.XLOOKUP(C1232,[1]Baseline!$B$4:$B$91,[1]Baseline!$D$4:$AZ$91))</f>
        <v>No Knowledge</v>
      </c>
      <c r="E1232" s="13" t="s">
        <v>378</v>
      </c>
      <c r="F1232" s="13">
        <v>0</v>
      </c>
      <c r="G1232" s="153">
        <v>1</v>
      </c>
      <c r="H1232" s="16">
        <f t="shared" si="19"/>
        <v>1</v>
      </c>
      <c r="I1232" s="13">
        <v>1</v>
      </c>
      <c r="J1232" s="160"/>
    </row>
    <row r="1233" spans="1:10">
      <c r="A1233" s="13" t="s">
        <v>7</v>
      </c>
      <c r="B1233" s="13" t="s">
        <v>61</v>
      </c>
      <c r="C1233" s="13" t="str">
        <f>VLOOKUP([1]Competence!$B99,[1]Competence!$B$12:$B$100,1,FALSE)</f>
        <v>Quality assurance</v>
      </c>
      <c r="D1233" s="13" t="str" cm="1">
        <f t="array" ref="D1233">_xlfn.XLOOKUP(B1233,[1]Baseline!$D$3:$AZ$3,_xlfn.XLOOKUP(C1233,[1]Baseline!$B$4:$B$91,[1]Baseline!$D$4:$AZ$91))</f>
        <v>Working</v>
      </c>
      <c r="E1233" s="13" t="s">
        <v>378</v>
      </c>
      <c r="F1233" s="13">
        <v>0</v>
      </c>
      <c r="G1233" s="153">
        <v>2</v>
      </c>
      <c r="H1233" s="16">
        <f t="shared" si="19"/>
        <v>2</v>
      </c>
      <c r="I1233" s="13">
        <v>2</v>
      </c>
      <c r="J1233" s="160"/>
    </row>
    <row r="1234" spans="1:10">
      <c r="A1234" s="13" t="s">
        <v>2</v>
      </c>
      <c r="B1234" s="13" t="s">
        <v>59</v>
      </c>
      <c r="C1234" s="13" t="str">
        <f>VLOOKUP([1]Competence!$B12,[1]Competence!$B$12:$B$100,1,FALSE)</f>
        <v>Asset Management</v>
      </c>
      <c r="D1234" s="13" t="str" cm="1">
        <f t="array" ref="D1234">_xlfn.XLOOKUP(B1234,[1]Baseline!$D$3:$AZ$3,_xlfn.XLOOKUP(C1234,[1]Baseline!$B$4:$B$91,[1]Baseline!$D$4:$AZ$91))</f>
        <v>Working</v>
      </c>
      <c r="E1234" s="13" t="s">
        <v>374</v>
      </c>
      <c r="F1234" s="13">
        <v>2</v>
      </c>
      <c r="G1234" s="153">
        <v>2</v>
      </c>
      <c r="H1234" s="16">
        <f t="shared" si="19"/>
        <v>0</v>
      </c>
      <c r="I1234" s="13">
        <v>2</v>
      </c>
      <c r="J1234" s="160"/>
    </row>
    <row r="1235" spans="1:10">
      <c r="A1235" s="13" t="s">
        <v>2</v>
      </c>
      <c r="B1235" s="13" t="s">
        <v>59</v>
      </c>
      <c r="C1235" s="13" t="str">
        <f>VLOOKUP([1]Competence!$B13,[1]Competence!$B$12:$B$100,1,FALSE)</f>
        <v>Change Control</v>
      </c>
      <c r="D1235" s="13" t="str" cm="1">
        <f t="array" ref="D1235">_xlfn.XLOOKUP(B1235,[1]Baseline!$D$3:$AZ$3,_xlfn.XLOOKUP(C1235,[1]Baseline!$B$4:$B$91,[1]Baseline!$D$4:$AZ$91))</f>
        <v>Practitioner</v>
      </c>
      <c r="E1235" s="13" t="s">
        <v>378</v>
      </c>
      <c r="F1235" s="13">
        <v>1</v>
      </c>
      <c r="G1235" s="153">
        <v>2</v>
      </c>
      <c r="H1235" s="16">
        <f t="shared" si="19"/>
        <v>1</v>
      </c>
      <c r="I1235" s="13">
        <v>2</v>
      </c>
      <c r="J1235" s="160"/>
    </row>
    <row r="1236" spans="1:10">
      <c r="A1236" s="13" t="s">
        <v>2</v>
      </c>
      <c r="B1236" s="13" t="s">
        <v>59</v>
      </c>
      <c r="C1236" s="13" t="str">
        <f>VLOOKUP([1]Competence!$B14,[1]Competence!$B$12:$B$100,1,FALSE)</f>
        <v>Customer Service Support</v>
      </c>
      <c r="D1236" s="13" t="str" cm="1">
        <f t="array" ref="D1236">_xlfn.XLOOKUP(B1236,[1]Baseline!$D$3:$AZ$3,_xlfn.XLOOKUP(C1236,[1]Baseline!$B$4:$B$91,[1]Baseline!$D$4:$AZ$91))</f>
        <v>Practitioner</v>
      </c>
      <c r="E1236" s="13" t="s">
        <v>376</v>
      </c>
      <c r="F1236" s="13">
        <v>2</v>
      </c>
      <c r="G1236" s="153">
        <v>3</v>
      </c>
      <c r="H1236" s="16">
        <f t="shared" si="19"/>
        <v>1</v>
      </c>
      <c r="I1236" s="13">
        <v>3</v>
      </c>
      <c r="J1236" s="160"/>
    </row>
    <row r="1237" spans="1:10">
      <c r="A1237" s="13" t="s">
        <v>2</v>
      </c>
      <c r="B1237" s="13" t="s">
        <v>59</v>
      </c>
      <c r="C1237" s="13" t="str">
        <f>VLOOKUP([1]Competence!$B15,[1]Competence!$B$12:$B$100,1,FALSE)</f>
        <v>Incident management</v>
      </c>
      <c r="D1237" s="13" t="str" cm="1">
        <f t="array" ref="D1237">_xlfn.XLOOKUP(B1237,[1]Baseline!$D$3:$AZ$3,_xlfn.XLOOKUP(C1237,[1]Baseline!$B$4:$B$91,[1]Baseline!$D$4:$AZ$91))</f>
        <v>Practitioner</v>
      </c>
      <c r="E1237" s="13" t="s">
        <v>376</v>
      </c>
      <c r="F1237" s="13">
        <v>2</v>
      </c>
      <c r="G1237" s="153">
        <v>3</v>
      </c>
      <c r="H1237" s="16">
        <f t="shared" si="19"/>
        <v>1</v>
      </c>
      <c r="I1237" s="13">
        <v>3</v>
      </c>
      <c r="J1237" s="160"/>
    </row>
    <row r="1238" spans="1:10">
      <c r="A1238" s="13" t="s">
        <v>2</v>
      </c>
      <c r="B1238" s="13" t="s">
        <v>59</v>
      </c>
      <c r="C1238" s="13" t="str">
        <f>VLOOKUP([1]Competence!$B16,[1]Competence!$B$12:$B$100,1,FALSE)</f>
        <v>Information security</v>
      </c>
      <c r="D1238" s="13" t="str" cm="1">
        <f t="array" ref="D1238">_xlfn.XLOOKUP(B1238,[1]Baseline!$D$3:$AZ$3,_xlfn.XLOOKUP(C1238,[1]Baseline!$B$4:$B$91,[1]Baseline!$D$4:$AZ$91))</f>
        <v>Practitioner</v>
      </c>
      <c r="E1238" s="13" t="s">
        <v>376</v>
      </c>
      <c r="F1238" s="13">
        <v>3</v>
      </c>
      <c r="G1238" s="153">
        <v>2</v>
      </c>
      <c r="H1238" s="16">
        <f t="shared" si="19"/>
        <v>-1</v>
      </c>
      <c r="I1238" s="13">
        <v>2</v>
      </c>
      <c r="J1238" s="160"/>
    </row>
    <row r="1239" spans="1:10">
      <c r="A1239" s="13" t="s">
        <v>2</v>
      </c>
      <c r="B1239" s="13" t="s">
        <v>59</v>
      </c>
      <c r="C1239" s="13" t="str">
        <f>VLOOKUP([1]Competence!$B17,[1]Competence!$B$12:$B$100,1,FALSE)</f>
        <v>Personal data protection</v>
      </c>
      <c r="D1239" s="13" t="str" cm="1">
        <f t="array" ref="D1239">_xlfn.XLOOKUP(B1239,[1]Baseline!$D$3:$AZ$3,_xlfn.XLOOKUP(C1239,[1]Baseline!$B$4:$B$91,[1]Baseline!$D$4:$AZ$91))</f>
        <v>Practitioner</v>
      </c>
      <c r="E1239" s="13" t="s">
        <v>376</v>
      </c>
      <c r="F1239" s="13">
        <v>2</v>
      </c>
      <c r="G1239" s="153">
        <v>3</v>
      </c>
      <c r="H1239" s="16">
        <f t="shared" si="19"/>
        <v>1</v>
      </c>
      <c r="I1239" s="13">
        <v>3</v>
      </c>
      <c r="J1239" s="160"/>
    </row>
    <row r="1240" spans="1:10">
      <c r="A1240" s="13" t="s">
        <v>2</v>
      </c>
      <c r="B1240" s="13" t="s">
        <v>59</v>
      </c>
      <c r="C1240" s="13" t="str">
        <f>VLOOKUP([1]Competence!$B18,[1]Competence!$B$12:$B$100,1,FALSE)</f>
        <v>Problem management</v>
      </c>
      <c r="D1240" s="13" t="str" cm="1">
        <f t="array" ref="D1240">_xlfn.XLOOKUP(B1240,[1]Baseline!$D$3:$AZ$3,_xlfn.XLOOKUP(C1240,[1]Baseline!$B$4:$B$91,[1]Baseline!$D$4:$AZ$91))</f>
        <v>Practitioner</v>
      </c>
      <c r="E1240" s="13" t="s">
        <v>376</v>
      </c>
      <c r="F1240" s="13">
        <v>3</v>
      </c>
      <c r="G1240" s="153">
        <v>2</v>
      </c>
      <c r="H1240" s="16">
        <f t="shared" si="19"/>
        <v>-1</v>
      </c>
      <c r="I1240" s="13">
        <v>2</v>
      </c>
      <c r="J1240" s="160"/>
    </row>
    <row r="1241" spans="1:10">
      <c r="A1241" s="13" t="s">
        <v>2</v>
      </c>
      <c r="B1241" s="13" t="s">
        <v>59</v>
      </c>
      <c r="C1241" s="13" t="str">
        <f>VLOOKUP([1]Competence!$B19,[1]Competence!$B$12:$B$100,1,FALSE)</f>
        <v>Service catalogue management</v>
      </c>
      <c r="D1241" s="13" t="str" cm="1">
        <f t="array" ref="D1241">_xlfn.XLOOKUP(B1241,[1]Baseline!$D$3:$AZ$3,_xlfn.XLOOKUP(C1241,[1]Baseline!$B$4:$B$91,[1]Baseline!$D$4:$AZ$91))</f>
        <v>Practitioner</v>
      </c>
      <c r="E1241" s="13" t="s">
        <v>376</v>
      </c>
      <c r="F1241" s="13">
        <v>2</v>
      </c>
      <c r="G1241" s="153">
        <v>2</v>
      </c>
      <c r="H1241" s="16">
        <f t="shared" si="19"/>
        <v>0</v>
      </c>
      <c r="I1241" s="13">
        <v>2</v>
      </c>
      <c r="J1241" s="160"/>
    </row>
    <row r="1242" spans="1:10">
      <c r="A1242" s="13" t="s">
        <v>2</v>
      </c>
      <c r="B1242" s="13" t="s">
        <v>59</v>
      </c>
      <c r="C1242" s="13" t="str">
        <f>VLOOKUP([1]Competence!$B20,[1]Competence!$B$12:$B$100,1,FALSE)</f>
        <v>Service level management</v>
      </c>
      <c r="D1242" s="13" t="str" cm="1">
        <f t="array" ref="D1242">_xlfn.XLOOKUP(B1242,[1]Baseline!$D$3:$AZ$3,_xlfn.XLOOKUP(C1242,[1]Baseline!$B$4:$B$91,[1]Baseline!$D$4:$AZ$91))</f>
        <v>Practitioner</v>
      </c>
      <c r="E1242" s="13" t="s">
        <v>376</v>
      </c>
      <c r="F1242" s="13">
        <v>2</v>
      </c>
      <c r="G1242" s="153">
        <v>2</v>
      </c>
      <c r="H1242" s="16">
        <f t="shared" si="19"/>
        <v>0</v>
      </c>
      <c r="I1242" s="13">
        <v>2</v>
      </c>
      <c r="J1242" s="160"/>
    </row>
    <row r="1243" spans="1:10">
      <c r="A1243" s="13" t="s">
        <v>2</v>
      </c>
      <c r="B1243" s="13" t="s">
        <v>59</v>
      </c>
      <c r="C1243" s="13" t="str">
        <f>VLOOKUP([1]Competence!$B21,[1]Competence!$B$12:$B$100,1,FALSE)</f>
        <v>Availability Management</v>
      </c>
      <c r="D1243" s="13" t="str" cm="1">
        <f t="array" ref="D1243">_xlfn.XLOOKUP(B1243,[1]Baseline!$D$3:$AZ$3,_xlfn.XLOOKUP(C1243,[1]Baseline!$B$4:$B$91,[1]Baseline!$D$4:$AZ$91))</f>
        <v>Working</v>
      </c>
      <c r="E1243" s="13" t="s">
        <v>376</v>
      </c>
      <c r="F1243" s="13">
        <v>2</v>
      </c>
      <c r="G1243" s="153">
        <v>2</v>
      </c>
      <c r="H1243" s="16">
        <f t="shared" si="19"/>
        <v>0</v>
      </c>
      <c r="I1243" s="13">
        <v>2</v>
      </c>
      <c r="J1243" s="160"/>
    </row>
    <row r="1244" spans="1:10">
      <c r="A1244" s="13" t="s">
        <v>2</v>
      </c>
      <c r="B1244" s="13" t="s">
        <v>59</v>
      </c>
      <c r="C1244" s="13" t="str">
        <f>VLOOKUP([1]Competence!$B22,[1]Competence!$B$12:$B$100,1,FALSE)</f>
        <v>Capacity management</v>
      </c>
      <c r="D1244" s="13" t="str" cm="1">
        <f t="array" ref="D1244">_xlfn.XLOOKUP(B1244,[1]Baseline!$D$3:$AZ$3,_xlfn.XLOOKUP(C1244,[1]Baseline!$B$4:$B$91,[1]Baseline!$D$4:$AZ$91))</f>
        <v>No Knowledge</v>
      </c>
      <c r="E1244" s="13" t="s">
        <v>374</v>
      </c>
      <c r="F1244" s="13">
        <v>1</v>
      </c>
      <c r="G1244" s="153">
        <v>2</v>
      </c>
      <c r="H1244" s="16">
        <f t="shared" si="19"/>
        <v>1</v>
      </c>
      <c r="I1244" s="13">
        <v>2</v>
      </c>
      <c r="J1244" s="160"/>
    </row>
    <row r="1245" spans="1:10">
      <c r="A1245" s="13" t="s">
        <v>2</v>
      </c>
      <c r="B1245" s="13" t="s">
        <v>59</v>
      </c>
      <c r="C1245" s="13" t="str">
        <f>VLOOKUP([1]Competence!$B23,[1]Competence!$B$12:$B$100,1,FALSE)</f>
        <v>Configuration Management</v>
      </c>
      <c r="D1245" s="13" t="str" cm="1">
        <f t="array" ref="D1245">_xlfn.XLOOKUP(B1245,[1]Baseline!$D$3:$AZ$3,_xlfn.XLOOKUP(C1245,[1]Baseline!$B$4:$B$91,[1]Baseline!$D$4:$AZ$91))</f>
        <v>Awareness</v>
      </c>
      <c r="E1245" s="13" t="s">
        <v>374</v>
      </c>
      <c r="F1245" s="13">
        <v>1</v>
      </c>
      <c r="G1245" s="153">
        <v>1</v>
      </c>
      <c r="H1245" s="16">
        <f t="shared" si="19"/>
        <v>0</v>
      </c>
      <c r="I1245" s="13">
        <v>1</v>
      </c>
      <c r="J1245" s="160"/>
    </row>
    <row r="1246" spans="1:10">
      <c r="A1246" s="13" t="s">
        <v>2</v>
      </c>
      <c r="B1246" s="13" t="s">
        <v>59</v>
      </c>
      <c r="C1246" s="13" t="str">
        <f>VLOOKUP([1]Competence!$B24,[1]Competence!$B$12:$B$100,1,FALSE)</f>
        <v>Continuity Management</v>
      </c>
      <c r="D1246" s="13" t="str" cm="1">
        <f t="array" ref="D1246">_xlfn.XLOOKUP(B1246,[1]Baseline!$D$3:$AZ$3,_xlfn.XLOOKUP(C1246,[1]Baseline!$B$4:$B$91,[1]Baseline!$D$4:$AZ$91))</f>
        <v>Awareness</v>
      </c>
      <c r="E1246" s="13" t="s">
        <v>374</v>
      </c>
      <c r="F1246" s="13">
        <v>1</v>
      </c>
      <c r="G1246" s="153">
        <v>1</v>
      </c>
      <c r="H1246" s="16">
        <f t="shared" si="19"/>
        <v>0</v>
      </c>
      <c r="I1246" s="13">
        <v>1</v>
      </c>
      <c r="J1246" s="160"/>
    </row>
    <row r="1247" spans="1:10">
      <c r="A1247" s="13" t="s">
        <v>2</v>
      </c>
      <c r="B1247" s="13" t="s">
        <v>59</v>
      </c>
      <c r="C1247" s="13" t="str">
        <f>VLOOKUP([1]Competence!$B25,[1]Competence!$B$12:$B$100,1,FALSE)</f>
        <v>Demand Management</v>
      </c>
      <c r="D1247" s="13" t="str" cm="1">
        <f t="array" ref="D1247">_xlfn.XLOOKUP(B1247,[1]Baseline!$D$3:$AZ$3,_xlfn.XLOOKUP(C1247,[1]Baseline!$B$4:$B$91,[1]Baseline!$D$4:$AZ$91))</f>
        <v>Awareness</v>
      </c>
      <c r="E1247" s="13" t="s">
        <v>374</v>
      </c>
      <c r="F1247" s="13">
        <v>2</v>
      </c>
      <c r="G1247" s="153">
        <v>1</v>
      </c>
      <c r="H1247" s="16">
        <f t="shared" si="19"/>
        <v>-1</v>
      </c>
      <c r="I1247" s="13">
        <v>1</v>
      </c>
      <c r="J1247" s="160"/>
    </row>
    <row r="1248" spans="1:10">
      <c r="A1248" s="13" t="s">
        <v>2</v>
      </c>
      <c r="B1248" s="13" t="s">
        <v>59</v>
      </c>
      <c r="C1248" s="13" t="str">
        <f>VLOOKUP([1]Competence!$B26,[1]Competence!$B$12:$B$100,1,FALSE)</f>
        <v>Knowledge management</v>
      </c>
      <c r="D1248" s="13" t="str" cm="1">
        <f t="array" ref="D1248">_xlfn.XLOOKUP(B1248,[1]Baseline!$D$3:$AZ$3,_xlfn.XLOOKUP(C1248,[1]Baseline!$B$4:$B$91,[1]Baseline!$D$4:$AZ$91))</f>
        <v>Working</v>
      </c>
      <c r="E1248" s="13" t="s">
        <v>374</v>
      </c>
      <c r="F1248" s="13">
        <v>2</v>
      </c>
      <c r="G1248" s="153">
        <v>2</v>
      </c>
      <c r="H1248" s="16">
        <f t="shared" si="19"/>
        <v>0</v>
      </c>
      <c r="I1248" s="13">
        <v>2</v>
      </c>
      <c r="J1248" s="160"/>
    </row>
    <row r="1249" spans="1:10">
      <c r="A1249" s="13" t="s">
        <v>2</v>
      </c>
      <c r="B1249" s="13" t="s">
        <v>59</v>
      </c>
      <c r="C1249" s="13" t="str">
        <f>VLOOKUP([1]Competence!$B27,[1]Competence!$B$12:$B$100,1,FALSE)</f>
        <v>Methods and tools</v>
      </c>
      <c r="D1249" s="13" t="str" cm="1">
        <f t="array" ref="D1249">_xlfn.XLOOKUP(B1249,[1]Baseline!$D$3:$AZ$3,_xlfn.XLOOKUP(C1249,[1]Baseline!$B$4:$B$91,[1]Baseline!$D$4:$AZ$91))</f>
        <v>Awareness</v>
      </c>
      <c r="E1249" s="13" t="s">
        <v>377</v>
      </c>
      <c r="F1249" s="13">
        <v>2</v>
      </c>
      <c r="G1249" s="153">
        <v>2</v>
      </c>
      <c r="H1249" s="16">
        <f t="shared" si="19"/>
        <v>0</v>
      </c>
      <c r="I1249" s="13">
        <v>2</v>
      </c>
      <c r="J1249" s="160"/>
    </row>
    <row r="1250" spans="1:10">
      <c r="A1250" s="13" t="s">
        <v>2</v>
      </c>
      <c r="B1250" s="13" t="s">
        <v>59</v>
      </c>
      <c r="C1250" s="13" t="str">
        <f>VLOOKUP([1]Competence!$B28,[1]Competence!$B$12:$B$100,1,FALSE)</f>
        <v>Release and deployment</v>
      </c>
      <c r="D1250" s="13" t="str" cm="1">
        <f t="array" ref="D1250">_xlfn.XLOOKUP(B1250,[1]Baseline!$D$3:$AZ$3,_xlfn.XLOOKUP(C1250,[1]Baseline!$B$4:$B$91,[1]Baseline!$D$4:$AZ$91))</f>
        <v>No Knowledge</v>
      </c>
      <c r="E1250" s="13" t="s">
        <v>377</v>
      </c>
      <c r="F1250" s="13">
        <v>2</v>
      </c>
      <c r="G1250" s="153">
        <v>2</v>
      </c>
      <c r="H1250" s="16">
        <f t="shared" si="19"/>
        <v>0</v>
      </c>
      <c r="I1250" s="13">
        <v>2</v>
      </c>
      <c r="J1250" s="160"/>
    </row>
    <row r="1251" spans="1:10">
      <c r="A1251" s="13" t="s">
        <v>2</v>
      </c>
      <c r="B1251" s="13" t="s">
        <v>59</v>
      </c>
      <c r="C1251" s="13" t="str">
        <f>VLOOKUP([1]Competence!$B29,[1]Competence!$B$12:$B$100,1,FALSE)</f>
        <v>Service acceptance</v>
      </c>
      <c r="D1251" s="13" t="str" cm="1">
        <f t="array" ref="D1251">_xlfn.XLOOKUP(B1251,[1]Baseline!$D$3:$AZ$3,_xlfn.XLOOKUP(C1251,[1]Baseline!$B$4:$B$91,[1]Baseline!$D$4:$AZ$91))</f>
        <v>No Knowledge</v>
      </c>
      <c r="E1251" s="13" t="s">
        <v>378</v>
      </c>
      <c r="F1251" s="13">
        <v>1</v>
      </c>
      <c r="G1251" s="153">
        <v>2</v>
      </c>
      <c r="H1251" s="16">
        <f t="shared" si="19"/>
        <v>1</v>
      </c>
      <c r="I1251" s="13">
        <v>2</v>
      </c>
      <c r="J1251" s="160"/>
    </row>
    <row r="1252" spans="1:10">
      <c r="A1252" s="13" t="s">
        <v>2</v>
      </c>
      <c r="B1252" s="13" t="s">
        <v>59</v>
      </c>
      <c r="C1252" s="13" t="str">
        <f>VLOOKUP([1]Competence!$B30,[1]Competence!$B$12:$B$100,1,FALSE)</f>
        <v>Stakeholder relationship management</v>
      </c>
      <c r="D1252" s="13" t="str" cm="1">
        <f t="array" ref="D1252">_xlfn.XLOOKUP(B1252,[1]Baseline!$D$3:$AZ$3,_xlfn.XLOOKUP(C1252,[1]Baseline!$B$4:$B$91,[1]Baseline!$D$4:$AZ$91))</f>
        <v>Practitioner</v>
      </c>
      <c r="E1252" s="13" t="s">
        <v>378</v>
      </c>
      <c r="F1252" s="13">
        <v>0</v>
      </c>
      <c r="G1252" s="153">
        <v>0</v>
      </c>
      <c r="H1252" s="16">
        <f t="shared" si="19"/>
        <v>0</v>
      </c>
      <c r="I1252" s="13">
        <v>0</v>
      </c>
      <c r="J1252" s="160"/>
    </row>
    <row r="1253" spans="1:10">
      <c r="A1253" s="13" t="s">
        <v>2</v>
      </c>
      <c r="B1253" s="13" t="s">
        <v>59</v>
      </c>
      <c r="C1253" s="13" t="str">
        <f>VLOOKUP([1]Competence!$B31,[1]Competence!$B$12:$B$100,1,FALSE)</f>
        <v>Storage management</v>
      </c>
      <c r="D1253" s="13" t="str" cm="1">
        <f t="array" ref="D1253">_xlfn.XLOOKUP(B1253,[1]Baseline!$D$3:$AZ$3,_xlfn.XLOOKUP(C1253,[1]Baseline!$B$4:$B$91,[1]Baseline!$D$4:$AZ$91))</f>
        <v>Working</v>
      </c>
      <c r="E1253" s="13" t="s">
        <v>378</v>
      </c>
      <c r="F1253" s="13">
        <v>0</v>
      </c>
      <c r="G1253" s="153">
        <v>2</v>
      </c>
      <c r="H1253" s="16">
        <f t="shared" si="19"/>
        <v>2</v>
      </c>
      <c r="I1253" s="13">
        <v>2</v>
      </c>
      <c r="J1253" s="160"/>
    </row>
    <row r="1254" spans="1:10">
      <c r="A1254" s="13" t="s">
        <v>2</v>
      </c>
      <c r="B1254" s="13" t="s">
        <v>59</v>
      </c>
      <c r="C1254" s="13" t="str">
        <f>VLOOKUP([1]Competence!$B32,[1]Competence!$B$12:$B$100,1,FALSE)</f>
        <v>Digital Forensics</v>
      </c>
      <c r="D1254" s="13" t="str" cm="1">
        <f t="array" ref="D1254">_xlfn.XLOOKUP(B1254,[1]Baseline!$D$3:$AZ$3,_xlfn.XLOOKUP(C1254,[1]Baseline!$B$4:$B$91,[1]Baseline!$D$4:$AZ$91))</f>
        <v>No Knowledge</v>
      </c>
      <c r="E1254" s="13" t="s">
        <v>378</v>
      </c>
      <c r="F1254" s="13">
        <v>1</v>
      </c>
      <c r="G1254" s="153">
        <v>1</v>
      </c>
      <c r="H1254" s="16">
        <f t="shared" si="19"/>
        <v>0</v>
      </c>
      <c r="I1254" s="13">
        <v>1</v>
      </c>
      <c r="J1254" s="160"/>
    </row>
    <row r="1255" spans="1:10">
      <c r="A1255" s="13" t="s">
        <v>2</v>
      </c>
      <c r="B1255" s="13" t="s">
        <v>59</v>
      </c>
      <c r="C1255" s="13" t="str">
        <f>VLOOKUP([1]Competence!$B33,[1]Competence!$B$12:$B$100,1,FALSE)</f>
        <v>Penetration testing</v>
      </c>
      <c r="D1255" s="13" t="str" cm="1">
        <f t="array" ref="D1255">_xlfn.XLOOKUP(B1255,[1]Baseline!$D$3:$AZ$3,_xlfn.XLOOKUP(C1255,[1]Baseline!$B$4:$B$91,[1]Baseline!$D$4:$AZ$91))</f>
        <v>No Knowledge</v>
      </c>
      <c r="E1255" s="13" t="s">
        <v>378</v>
      </c>
      <c r="F1255" s="13">
        <v>0</v>
      </c>
      <c r="G1255" s="153">
        <v>1</v>
      </c>
      <c r="H1255" s="16">
        <f t="shared" si="19"/>
        <v>1</v>
      </c>
      <c r="I1255" s="13">
        <v>1</v>
      </c>
      <c r="J1255" s="160"/>
    </row>
    <row r="1256" spans="1:10">
      <c r="A1256" s="13" t="s">
        <v>2</v>
      </c>
      <c r="B1256" s="13" t="s">
        <v>59</v>
      </c>
      <c r="C1256" s="13" t="str">
        <f>VLOOKUP([1]Competence!$B34,[1]Competence!$B$12:$B$100,1,FALSE)</f>
        <v>Security Operations</v>
      </c>
      <c r="D1256" s="13" t="str" cm="1">
        <f t="array" ref="D1256">_xlfn.XLOOKUP(B1256,[1]Baseline!$D$3:$AZ$3,_xlfn.XLOOKUP(C1256,[1]Baseline!$B$4:$B$91,[1]Baseline!$D$4:$AZ$91))</f>
        <v>Practitioner</v>
      </c>
      <c r="E1256" s="13" t="s">
        <v>49</v>
      </c>
      <c r="F1256" s="13">
        <v>1</v>
      </c>
      <c r="G1256" s="153">
        <v>2</v>
      </c>
      <c r="H1256" s="16">
        <f t="shared" si="19"/>
        <v>1</v>
      </c>
      <c r="I1256" s="13">
        <v>2</v>
      </c>
      <c r="J1256" s="160"/>
    </row>
    <row r="1257" spans="1:10">
      <c r="A1257" s="13" t="s">
        <v>2</v>
      </c>
      <c r="B1257" s="13" t="s">
        <v>59</v>
      </c>
      <c r="C1257" s="13" t="str">
        <f>VLOOKUP([1]Competence!$B35,[1]Competence!$B$12:$B$100,1,FALSE)</f>
        <v>Threat Intelligence</v>
      </c>
      <c r="D1257" s="13" t="str" cm="1">
        <f t="array" ref="D1257">_xlfn.XLOOKUP(B1257,[1]Baseline!$D$3:$AZ$3,_xlfn.XLOOKUP(C1257,[1]Baseline!$B$4:$B$91,[1]Baseline!$D$4:$AZ$91))</f>
        <v>No Knowledge</v>
      </c>
      <c r="E1257" s="13" t="s">
        <v>49</v>
      </c>
      <c r="F1257" s="13">
        <v>0</v>
      </c>
      <c r="G1257" s="153">
        <v>1</v>
      </c>
      <c r="H1257" s="16">
        <f t="shared" si="19"/>
        <v>1</v>
      </c>
      <c r="I1257" s="13">
        <v>1</v>
      </c>
      <c r="J1257" s="160"/>
    </row>
    <row r="1258" spans="1:10">
      <c r="A1258" s="13" t="s">
        <v>2</v>
      </c>
      <c r="B1258" s="13" t="s">
        <v>59</v>
      </c>
      <c r="C1258" s="13" t="str">
        <f>VLOOKUP([1]Competence!$B36,[1]Competence!$B$12:$B$100,1,FALSE)</f>
        <v>Vulnerability assessment</v>
      </c>
      <c r="D1258" s="13" t="str" cm="1">
        <f t="array" ref="D1258">_xlfn.XLOOKUP(B1258,[1]Baseline!$D$3:$AZ$3,_xlfn.XLOOKUP(C1258,[1]Baseline!$B$4:$B$91,[1]Baseline!$D$4:$AZ$91))</f>
        <v>Working</v>
      </c>
      <c r="E1258" s="13" t="s">
        <v>49</v>
      </c>
      <c r="F1258" s="13">
        <v>1</v>
      </c>
      <c r="G1258" s="153">
        <v>2</v>
      </c>
      <c r="H1258" s="16">
        <f t="shared" si="19"/>
        <v>1</v>
      </c>
      <c r="I1258" s="13">
        <v>2</v>
      </c>
      <c r="J1258" s="160"/>
    </row>
    <row r="1259" spans="1:10">
      <c r="A1259" s="13" t="s">
        <v>2</v>
      </c>
      <c r="B1259" s="13" t="s">
        <v>59</v>
      </c>
      <c r="C1259" s="13" t="str">
        <f>VLOOKUP([1]Competence!$B37,[1]Competence!$B$12:$B$100,1,FALSE)</f>
        <v>Vulnerability Research</v>
      </c>
      <c r="D1259" s="13" t="str" cm="1">
        <f t="array" ref="D1259">_xlfn.XLOOKUP(B1259,[1]Baseline!$D$3:$AZ$3,_xlfn.XLOOKUP(C1259,[1]Baseline!$B$4:$B$91,[1]Baseline!$D$4:$AZ$91))</f>
        <v>No Knowledge</v>
      </c>
      <c r="E1259" s="13" t="s">
        <v>49</v>
      </c>
      <c r="F1259" s="13">
        <v>1</v>
      </c>
      <c r="G1259" s="153">
        <v>1</v>
      </c>
      <c r="H1259" s="16">
        <f t="shared" si="19"/>
        <v>0</v>
      </c>
      <c r="I1259" s="13">
        <v>1</v>
      </c>
      <c r="J1259" s="160"/>
    </row>
    <row r="1260" spans="1:10">
      <c r="A1260" s="13" t="s">
        <v>2</v>
      </c>
      <c r="B1260" s="13" t="s">
        <v>59</v>
      </c>
      <c r="C1260" s="13" t="str">
        <f>VLOOKUP([1]Competence!$B38,[1]Competence!$B$12:$B$100,1,FALSE)</f>
        <v>Competency assessment</v>
      </c>
      <c r="D1260" s="13" t="str" cm="1">
        <f t="array" ref="D1260">_xlfn.XLOOKUP(B1260,[1]Baseline!$D$3:$AZ$3,_xlfn.XLOOKUP(C1260,[1]Baseline!$B$4:$B$91,[1]Baseline!$D$4:$AZ$91))</f>
        <v>Awareness</v>
      </c>
      <c r="E1260" s="13" t="s">
        <v>49</v>
      </c>
      <c r="F1260" s="13">
        <v>1</v>
      </c>
      <c r="G1260" s="153">
        <v>0</v>
      </c>
      <c r="H1260" s="16">
        <f t="shared" si="19"/>
        <v>-1</v>
      </c>
      <c r="I1260" s="13">
        <v>0</v>
      </c>
      <c r="J1260" s="160"/>
    </row>
    <row r="1261" spans="1:10">
      <c r="A1261" s="13" t="s">
        <v>2</v>
      </c>
      <c r="B1261" s="13" t="s">
        <v>59</v>
      </c>
      <c r="C1261" s="13" t="str">
        <f>VLOOKUP([1]Competence!$B39,[1]Competence!$B$12:$B$100,1,FALSE)</f>
        <v>Financial management</v>
      </c>
      <c r="D1261" s="13" t="str" cm="1">
        <f t="array" ref="D1261">_xlfn.XLOOKUP(B1261,[1]Baseline!$D$3:$AZ$3,_xlfn.XLOOKUP(C1261,[1]Baseline!$B$4:$B$91,[1]Baseline!$D$4:$AZ$91))</f>
        <v>Awareness</v>
      </c>
      <c r="E1261" s="13" t="s">
        <v>49</v>
      </c>
      <c r="F1261" s="13">
        <v>1</v>
      </c>
      <c r="G1261" s="153">
        <v>1</v>
      </c>
      <c r="H1261" s="16">
        <f t="shared" si="19"/>
        <v>0</v>
      </c>
      <c r="I1261" s="13">
        <v>1</v>
      </c>
      <c r="J1261" s="160"/>
    </row>
    <row r="1262" spans="1:10">
      <c r="A1262" s="13" t="s">
        <v>2</v>
      </c>
      <c r="B1262" s="13" t="s">
        <v>59</v>
      </c>
      <c r="C1262" s="13" t="str">
        <f>VLOOKUP([1]Competence!$B40,[1]Competence!$B$12:$B$100,1,FALSE)</f>
        <v>Organisation design and implementation</v>
      </c>
      <c r="D1262" s="13" t="str" cm="1">
        <f t="array" ref="D1262">_xlfn.XLOOKUP(B1262,[1]Baseline!$D$3:$AZ$3,_xlfn.XLOOKUP(C1262,[1]Baseline!$B$4:$B$91,[1]Baseline!$D$4:$AZ$91))</f>
        <v>No Knowledge</v>
      </c>
      <c r="E1262" s="13" t="s">
        <v>375</v>
      </c>
      <c r="F1262" s="13">
        <v>1</v>
      </c>
      <c r="G1262" s="153">
        <v>0</v>
      </c>
      <c r="H1262" s="16">
        <f t="shared" si="19"/>
        <v>-1</v>
      </c>
      <c r="I1262" s="13">
        <v>0</v>
      </c>
      <c r="J1262" s="160"/>
    </row>
    <row r="1263" spans="1:10">
      <c r="A1263" s="13" t="s">
        <v>2</v>
      </c>
      <c r="B1263" s="13" t="s">
        <v>59</v>
      </c>
      <c r="C1263" s="13" t="str">
        <f>VLOOKUP([1]Competence!$B41,[1]Competence!$B$12:$B$100,1,FALSE)</f>
        <v>Organisational capability development</v>
      </c>
      <c r="D1263" s="13" t="str" cm="1">
        <f t="array" ref="D1263">_xlfn.XLOOKUP(B1263,[1]Baseline!$D$3:$AZ$3,_xlfn.XLOOKUP(C1263,[1]Baseline!$B$4:$B$91,[1]Baseline!$D$4:$AZ$91))</f>
        <v>No Knowledge</v>
      </c>
      <c r="E1263" s="13" t="s">
        <v>375</v>
      </c>
      <c r="F1263" s="13">
        <v>2</v>
      </c>
      <c r="G1263" s="153">
        <v>1</v>
      </c>
      <c r="H1263" s="16">
        <f t="shared" si="19"/>
        <v>-1</v>
      </c>
      <c r="I1263" s="13">
        <v>1</v>
      </c>
      <c r="J1263" s="160"/>
    </row>
    <row r="1264" spans="1:10">
      <c r="A1264" s="13" t="s">
        <v>2</v>
      </c>
      <c r="B1264" s="13" t="s">
        <v>59</v>
      </c>
      <c r="C1264" s="13" t="str">
        <f>VLOOKUP([1]Competence!$B42,[1]Competence!$B$12:$B$100,1,FALSE)</f>
        <v>Organisational change management</v>
      </c>
      <c r="D1264" s="13" t="str" cm="1">
        <f t="array" ref="D1264">_xlfn.XLOOKUP(B1264,[1]Baseline!$D$3:$AZ$3,_xlfn.XLOOKUP(C1264,[1]Baseline!$B$4:$B$91,[1]Baseline!$D$4:$AZ$91))</f>
        <v>No Knowledge</v>
      </c>
      <c r="E1264" s="13" t="s">
        <v>375</v>
      </c>
      <c r="F1264" s="13">
        <v>0</v>
      </c>
      <c r="G1264" s="153">
        <v>0</v>
      </c>
      <c r="H1264" s="16">
        <f t="shared" si="19"/>
        <v>0</v>
      </c>
      <c r="I1264" s="13">
        <v>0</v>
      </c>
      <c r="J1264" s="160"/>
    </row>
    <row r="1265" spans="1:10">
      <c r="A1265" s="13" t="s">
        <v>2</v>
      </c>
      <c r="B1265" s="13" t="s">
        <v>59</v>
      </c>
      <c r="C1265" s="13" t="str">
        <f>VLOOKUP([1]Competence!$B43,[1]Competence!$B$12:$B$100,1,FALSE)</f>
        <v>Performance Management</v>
      </c>
      <c r="D1265" s="13" t="str" cm="1">
        <f t="array" ref="D1265">_xlfn.XLOOKUP(B1265,[1]Baseline!$D$3:$AZ$3,_xlfn.XLOOKUP(C1265,[1]Baseline!$B$4:$B$91,[1]Baseline!$D$4:$AZ$91))</f>
        <v>No Knowledge</v>
      </c>
      <c r="E1265" s="13" t="s">
        <v>375</v>
      </c>
      <c r="F1265" s="13">
        <v>0</v>
      </c>
      <c r="G1265" s="153">
        <v>1</v>
      </c>
      <c r="H1265" s="16">
        <f t="shared" si="19"/>
        <v>1</v>
      </c>
      <c r="I1265" s="13">
        <v>1</v>
      </c>
      <c r="J1265" s="160"/>
    </row>
    <row r="1266" spans="1:10">
      <c r="A1266" s="13" t="s">
        <v>2</v>
      </c>
      <c r="B1266" s="13" t="s">
        <v>59</v>
      </c>
      <c r="C1266" s="13" t="str">
        <f>VLOOKUP([1]Competence!$B44,[1]Competence!$B$12:$B$100,1,FALSE)</f>
        <v>Professional Development</v>
      </c>
      <c r="D1266" s="13" t="str" cm="1">
        <f t="array" ref="D1266">_xlfn.XLOOKUP(B1266,[1]Baseline!$D$3:$AZ$3,_xlfn.XLOOKUP(C1266,[1]Baseline!$B$4:$B$91,[1]Baseline!$D$4:$AZ$91))</f>
        <v>Awareness</v>
      </c>
      <c r="E1266" s="13" t="s">
        <v>375</v>
      </c>
      <c r="F1266" s="13">
        <v>0</v>
      </c>
      <c r="G1266" s="153">
        <v>1</v>
      </c>
      <c r="H1266" s="16">
        <f t="shared" si="19"/>
        <v>1</v>
      </c>
      <c r="I1266" s="13">
        <v>1</v>
      </c>
      <c r="J1266" s="160"/>
    </row>
    <row r="1267" spans="1:10">
      <c r="A1267" s="13" t="s">
        <v>2</v>
      </c>
      <c r="B1267" s="13" t="s">
        <v>59</v>
      </c>
      <c r="C1267" s="13" t="str">
        <f>VLOOKUP([1]Competence!$B45,[1]Competence!$B$12:$B$100,1,FALSE)</f>
        <v>Strategic Planning</v>
      </c>
      <c r="D1267" s="13" t="str" cm="1">
        <f t="array" ref="D1267">_xlfn.XLOOKUP(B1267,[1]Baseline!$D$3:$AZ$3,_xlfn.XLOOKUP(C1267,[1]Baseline!$B$4:$B$91,[1]Baseline!$D$4:$AZ$91))</f>
        <v>No Knowledge</v>
      </c>
      <c r="E1267" s="13" t="s">
        <v>375</v>
      </c>
      <c r="F1267" s="13">
        <v>0</v>
      </c>
      <c r="G1267" s="153">
        <v>0</v>
      </c>
      <c r="H1267" s="16">
        <f t="shared" si="19"/>
        <v>0</v>
      </c>
      <c r="I1267" s="13">
        <v>0</v>
      </c>
      <c r="J1267" s="160"/>
    </row>
    <row r="1268" spans="1:10">
      <c r="A1268" s="13" t="s">
        <v>2</v>
      </c>
      <c r="B1268" s="13" t="s">
        <v>59</v>
      </c>
      <c r="C1268" s="13" t="str">
        <f>VLOOKUP([1]Competence!$B46,[1]Competence!$B$12:$B$100,1,FALSE)</f>
        <v>Workforce Planning</v>
      </c>
      <c r="D1268" s="13" t="str" cm="1">
        <f t="array" ref="D1268">_xlfn.XLOOKUP(B1268,[1]Baseline!$D$3:$AZ$3,_xlfn.XLOOKUP(C1268,[1]Baseline!$B$4:$B$91,[1]Baseline!$D$4:$AZ$91))</f>
        <v>No Knowledge</v>
      </c>
      <c r="E1268" s="13" t="s">
        <v>375</v>
      </c>
      <c r="F1268" s="13">
        <v>0</v>
      </c>
      <c r="G1268" s="153">
        <v>1</v>
      </c>
      <c r="H1268" s="16">
        <f t="shared" si="19"/>
        <v>1</v>
      </c>
      <c r="I1268" s="13">
        <v>1</v>
      </c>
      <c r="J1268" s="160"/>
    </row>
    <row r="1269" spans="1:10">
      <c r="A1269" s="13" t="s">
        <v>2</v>
      </c>
      <c r="B1269" s="13" t="s">
        <v>59</v>
      </c>
      <c r="C1269" s="13" t="str">
        <f>VLOOKUP([1]Competence!$B47,[1]Competence!$B$12:$B$100,1,FALSE)</f>
        <v>Audit</v>
      </c>
      <c r="D1269" s="13" t="str" cm="1">
        <f t="array" ref="D1269">_xlfn.XLOOKUP(B1269,[1]Baseline!$D$3:$AZ$3,_xlfn.XLOOKUP(C1269,[1]Baseline!$B$4:$B$91,[1]Baseline!$D$4:$AZ$91))</f>
        <v>Working</v>
      </c>
      <c r="E1269" s="13" t="s">
        <v>375</v>
      </c>
      <c r="F1269" s="13">
        <v>0</v>
      </c>
      <c r="G1269" s="153">
        <v>1</v>
      </c>
      <c r="H1269" s="16">
        <f t="shared" si="19"/>
        <v>1</v>
      </c>
      <c r="I1269" s="13">
        <v>1</v>
      </c>
      <c r="J1269" s="160"/>
    </row>
    <row r="1270" spans="1:10">
      <c r="A1270" s="13" t="s">
        <v>2</v>
      </c>
      <c r="B1270" s="13" t="s">
        <v>59</v>
      </c>
      <c r="C1270" s="13" t="str">
        <f>VLOOKUP([1]Competence!$B48,[1]Competence!$B$12:$B$100,1,FALSE)</f>
        <v>Contract management</v>
      </c>
      <c r="D1270" s="13" t="str" cm="1">
        <f t="array" ref="D1270">_xlfn.XLOOKUP(B1270,[1]Baseline!$D$3:$AZ$3,_xlfn.XLOOKUP(C1270,[1]Baseline!$B$4:$B$91,[1]Baseline!$D$4:$AZ$91))</f>
        <v>No Knowledge</v>
      </c>
      <c r="E1270" s="13" t="s">
        <v>375</v>
      </c>
      <c r="F1270" s="13">
        <v>0</v>
      </c>
      <c r="G1270" s="153">
        <v>1</v>
      </c>
      <c r="H1270" s="16">
        <f t="shared" si="19"/>
        <v>1</v>
      </c>
      <c r="I1270" s="13">
        <v>1</v>
      </c>
      <c r="J1270" s="160"/>
    </row>
    <row r="1271" spans="1:10">
      <c r="A1271" s="13" t="s">
        <v>2</v>
      </c>
      <c r="B1271" s="13" t="s">
        <v>59</v>
      </c>
      <c r="C1271" s="13" t="str">
        <f>VLOOKUP([1]Competence!$B49,[1]Competence!$B$12:$B$100,1,FALSE)</f>
        <v>Feasibility assessment</v>
      </c>
      <c r="D1271" s="13" t="str" cm="1">
        <f t="array" ref="D1271">_xlfn.XLOOKUP(B1271,[1]Baseline!$D$3:$AZ$3,_xlfn.XLOOKUP(C1271,[1]Baseline!$B$4:$B$91,[1]Baseline!$D$4:$AZ$91))</f>
        <v>No Knowledge</v>
      </c>
      <c r="E1271" s="13" t="s">
        <v>375</v>
      </c>
      <c r="F1271" s="13">
        <v>0</v>
      </c>
      <c r="G1271" s="153">
        <v>0</v>
      </c>
      <c r="H1271" s="16">
        <f t="shared" si="19"/>
        <v>0</v>
      </c>
      <c r="I1271" s="13">
        <v>0</v>
      </c>
      <c r="J1271" s="160"/>
    </row>
    <row r="1272" spans="1:10">
      <c r="A1272" s="13" t="s">
        <v>2</v>
      </c>
      <c r="B1272" s="13" t="s">
        <v>59</v>
      </c>
      <c r="C1272" s="13" t="str">
        <f>VLOOKUP([1]Competence!$B50,[1]Competence!$B$12:$B$100,1,FALSE)</f>
        <v>Governance</v>
      </c>
      <c r="D1272" s="13" t="str" cm="1">
        <f t="array" ref="D1272">_xlfn.XLOOKUP(B1272,[1]Baseline!$D$3:$AZ$3,_xlfn.XLOOKUP(C1272,[1]Baseline!$B$4:$B$91,[1]Baseline!$D$4:$AZ$91))</f>
        <v>Awareness</v>
      </c>
      <c r="E1272" s="13" t="s">
        <v>375</v>
      </c>
      <c r="F1272" s="13">
        <v>1</v>
      </c>
      <c r="G1272" s="153">
        <v>1</v>
      </c>
      <c r="H1272" s="16">
        <f t="shared" si="19"/>
        <v>0</v>
      </c>
      <c r="I1272" s="13">
        <v>1</v>
      </c>
      <c r="J1272" s="160"/>
    </row>
    <row r="1273" spans="1:10">
      <c r="A1273" s="13" t="s">
        <v>2</v>
      </c>
      <c r="B1273" s="13" t="s">
        <v>59</v>
      </c>
      <c r="C1273" s="13" t="str">
        <f>VLOOKUP([1]Competence!$B51,[1]Competence!$B$12:$B$100,1,FALSE)</f>
        <v>Risk management</v>
      </c>
      <c r="D1273" s="13" t="str" cm="1">
        <f t="array" ref="D1273">_xlfn.XLOOKUP(B1273,[1]Baseline!$D$3:$AZ$3,_xlfn.XLOOKUP(C1273,[1]Baseline!$B$4:$B$91,[1]Baseline!$D$4:$AZ$91))</f>
        <v>No Knowledge</v>
      </c>
      <c r="E1273" s="13" t="s">
        <v>375</v>
      </c>
      <c r="F1273" s="13">
        <v>1</v>
      </c>
      <c r="G1273" s="153">
        <v>1</v>
      </c>
      <c r="H1273" s="16">
        <f t="shared" si="19"/>
        <v>0</v>
      </c>
      <c r="I1273" s="13">
        <v>1</v>
      </c>
      <c r="J1273" s="160"/>
    </row>
    <row r="1274" spans="1:10">
      <c r="A1274" s="13" t="s">
        <v>2</v>
      </c>
      <c r="B1274" s="13" t="s">
        <v>59</v>
      </c>
      <c r="C1274" s="13" t="str">
        <f>VLOOKUP([1]Competence!$B52,[1]Competence!$B$12:$B$100,1,FALSE)</f>
        <v>Sourcing</v>
      </c>
      <c r="D1274" s="13" t="str" cm="1">
        <f t="array" ref="D1274">_xlfn.XLOOKUP(B1274,[1]Baseline!$D$3:$AZ$3,_xlfn.XLOOKUP(C1274,[1]Baseline!$B$4:$B$91,[1]Baseline!$D$4:$AZ$91))</f>
        <v>Awareness</v>
      </c>
      <c r="E1274" s="13" t="s">
        <v>375</v>
      </c>
      <c r="F1274" s="13">
        <v>2</v>
      </c>
      <c r="G1274" s="153">
        <v>1</v>
      </c>
      <c r="H1274" s="16">
        <f t="shared" si="19"/>
        <v>-1</v>
      </c>
      <c r="I1274" s="13">
        <v>1</v>
      </c>
      <c r="J1274" s="160"/>
    </row>
    <row r="1275" spans="1:10">
      <c r="A1275" s="13" t="s">
        <v>2</v>
      </c>
      <c r="B1275" s="13" t="s">
        <v>59</v>
      </c>
      <c r="C1275" s="13" t="str">
        <f>VLOOKUP([1]Competence!$B53,[1]Competence!$B$12:$B$100,1,FALSE)</f>
        <v>Supplier management</v>
      </c>
      <c r="D1275" s="13" t="str" cm="1">
        <f t="array" ref="D1275">_xlfn.XLOOKUP(B1275,[1]Baseline!$D$3:$AZ$3,_xlfn.XLOOKUP(C1275,[1]Baseline!$B$4:$B$91,[1]Baseline!$D$4:$AZ$91))</f>
        <v>Awareness</v>
      </c>
      <c r="E1275" s="13" t="s">
        <v>375</v>
      </c>
      <c r="F1275" s="13">
        <v>1</v>
      </c>
      <c r="G1275" s="153">
        <v>1</v>
      </c>
      <c r="H1275" s="16">
        <f t="shared" si="19"/>
        <v>0</v>
      </c>
      <c r="I1275" s="13">
        <v>1</v>
      </c>
      <c r="J1275" s="160"/>
    </row>
    <row r="1276" spans="1:10">
      <c r="A1276" s="13" t="s">
        <v>2</v>
      </c>
      <c r="B1276" s="13" t="s">
        <v>59</v>
      </c>
      <c r="C1276" s="13" t="str">
        <f>VLOOKUP([1]Competence!$B54,[1]Competence!$B$12:$B$100,1,FALSE)</f>
        <v>Sustainability</v>
      </c>
      <c r="D1276" s="13" t="str" cm="1">
        <f t="array" ref="D1276">_xlfn.XLOOKUP(B1276,[1]Baseline!$D$3:$AZ$3,_xlfn.XLOOKUP(C1276,[1]Baseline!$B$4:$B$91,[1]Baseline!$D$4:$AZ$91))</f>
        <v>Awareness</v>
      </c>
      <c r="E1276" s="13" t="s">
        <v>375</v>
      </c>
      <c r="F1276" s="13">
        <v>1</v>
      </c>
      <c r="G1276" s="153">
        <v>1</v>
      </c>
      <c r="H1276" s="16">
        <f t="shared" si="19"/>
        <v>0</v>
      </c>
      <c r="I1276" s="13">
        <v>1</v>
      </c>
      <c r="J1276" s="160"/>
    </row>
    <row r="1277" spans="1:10">
      <c r="A1277" s="13" t="s">
        <v>2</v>
      </c>
      <c r="B1277" s="13" t="s">
        <v>59</v>
      </c>
      <c r="C1277" s="13" t="str">
        <f>VLOOKUP([1]Competence!$B55,[1]Competence!$B$12:$B$100,1,FALSE)</f>
        <v>Acceptance testing</v>
      </c>
      <c r="D1277" s="13" t="str" cm="1">
        <f t="array" ref="D1277">_xlfn.XLOOKUP(B1277,[1]Baseline!$D$3:$AZ$3,_xlfn.XLOOKUP(C1277,[1]Baseline!$B$4:$B$91,[1]Baseline!$D$4:$AZ$91))</f>
        <v>Awareness</v>
      </c>
      <c r="E1277" s="13" t="s">
        <v>375</v>
      </c>
      <c r="F1277" s="13">
        <v>0</v>
      </c>
      <c r="G1277" s="153">
        <v>1</v>
      </c>
      <c r="H1277" s="16">
        <f t="shared" si="19"/>
        <v>1</v>
      </c>
      <c r="I1277" s="13">
        <v>1</v>
      </c>
      <c r="J1277" s="160"/>
    </row>
    <row r="1278" spans="1:10">
      <c r="A1278" s="13" t="s">
        <v>2</v>
      </c>
      <c r="B1278" s="13" t="s">
        <v>59</v>
      </c>
      <c r="C1278" s="13" t="str">
        <f>VLOOKUP([1]Competence!$B56,[1]Competence!$B$12:$B$100,1,FALSE)</f>
        <v>Application support</v>
      </c>
      <c r="D1278" s="13" t="str" cm="1">
        <f t="array" ref="D1278">_xlfn.XLOOKUP(B1278,[1]Baseline!$D$3:$AZ$3,_xlfn.XLOOKUP(C1278,[1]Baseline!$B$4:$B$91,[1]Baseline!$D$4:$AZ$91))</f>
        <v>Working</v>
      </c>
      <c r="E1278" s="13" t="s">
        <v>375</v>
      </c>
      <c r="F1278" s="13">
        <v>2</v>
      </c>
      <c r="G1278" s="153">
        <v>2</v>
      </c>
      <c r="H1278" s="16">
        <f t="shared" si="19"/>
        <v>0</v>
      </c>
      <c r="I1278" s="13">
        <v>2</v>
      </c>
      <c r="J1278" s="160"/>
    </row>
    <row r="1279" spans="1:10">
      <c r="A1279" s="13" t="s">
        <v>2</v>
      </c>
      <c r="B1279" s="13" t="s">
        <v>59</v>
      </c>
      <c r="C1279" s="13" t="str">
        <f>VLOOKUP([1]Competence!$B57,[1]Competence!$B$12:$B$100,1,FALSE)</f>
        <v>Data Engineering</v>
      </c>
      <c r="D1279" s="13" t="str" cm="1">
        <f t="array" ref="D1279">_xlfn.XLOOKUP(B1279,[1]Baseline!$D$3:$AZ$3,_xlfn.XLOOKUP(C1279,[1]Baseline!$B$4:$B$91,[1]Baseline!$D$4:$AZ$91))</f>
        <v>No Knowledge</v>
      </c>
      <c r="E1279" s="13" t="s">
        <v>375</v>
      </c>
      <c r="F1279" s="13">
        <v>0</v>
      </c>
      <c r="G1279" s="153">
        <v>0</v>
      </c>
      <c r="H1279" s="16">
        <f t="shared" si="19"/>
        <v>0</v>
      </c>
      <c r="I1279" s="13">
        <v>0</v>
      </c>
      <c r="J1279" s="160"/>
    </row>
    <row r="1280" spans="1:10">
      <c r="A1280" s="13" t="s">
        <v>2</v>
      </c>
      <c r="B1280" s="13" t="s">
        <v>59</v>
      </c>
      <c r="C1280" s="13" t="str">
        <f>VLOOKUP([1]Competence!$B58,[1]Competence!$B$12:$B$100,1,FALSE)</f>
        <v>Data Management</v>
      </c>
      <c r="D1280" s="13" t="str" cm="1">
        <f t="array" ref="D1280">_xlfn.XLOOKUP(B1280,[1]Baseline!$D$3:$AZ$3,_xlfn.XLOOKUP(C1280,[1]Baseline!$B$4:$B$91,[1]Baseline!$D$4:$AZ$91))</f>
        <v>No Knowledge</v>
      </c>
      <c r="E1280" s="13" t="s">
        <v>375</v>
      </c>
      <c r="F1280" s="13">
        <v>0</v>
      </c>
      <c r="G1280" s="153">
        <v>0</v>
      </c>
      <c r="H1280" s="16">
        <f t="shared" si="19"/>
        <v>0</v>
      </c>
      <c r="I1280" s="13">
        <v>0</v>
      </c>
      <c r="J1280" s="160"/>
    </row>
    <row r="1281" spans="1:10">
      <c r="A1281" s="13" t="s">
        <v>2</v>
      </c>
      <c r="B1281" s="13" t="s">
        <v>59</v>
      </c>
      <c r="C1281" s="13" t="str">
        <f>VLOOKUP([1]Competence!$B59,[1]Competence!$B$12:$B$100,1,FALSE)</f>
        <v>Data Modelling and Design</v>
      </c>
      <c r="D1281" s="13" t="str" cm="1">
        <f t="array" ref="D1281">_xlfn.XLOOKUP(B1281,[1]Baseline!$D$3:$AZ$3,_xlfn.XLOOKUP(C1281,[1]Baseline!$B$4:$B$91,[1]Baseline!$D$4:$AZ$91))</f>
        <v>No Knowledge</v>
      </c>
      <c r="E1281" s="13" t="s">
        <v>375</v>
      </c>
      <c r="F1281" s="13">
        <v>0</v>
      </c>
      <c r="G1281" s="153">
        <v>0</v>
      </c>
      <c r="H1281" s="16">
        <f t="shared" si="19"/>
        <v>0</v>
      </c>
      <c r="I1281" s="13">
        <v>0</v>
      </c>
      <c r="J1281" s="160"/>
    </row>
    <row r="1282" spans="1:10">
      <c r="A1282" s="13" t="s">
        <v>2</v>
      </c>
      <c r="B1282" s="13" t="s">
        <v>59</v>
      </c>
      <c r="C1282" s="13" t="str">
        <f>VLOOKUP([1]Competence!$B60,[1]Competence!$B$12:$B$100,1,FALSE)</f>
        <v>Data science</v>
      </c>
      <c r="D1282" s="13" t="str" cm="1">
        <f t="array" ref="D1282">_xlfn.XLOOKUP(B1282,[1]Baseline!$D$3:$AZ$3,_xlfn.XLOOKUP(C1282,[1]Baseline!$B$4:$B$91,[1]Baseline!$D$4:$AZ$91))</f>
        <v>No Knowledge</v>
      </c>
      <c r="E1282" s="13" t="s">
        <v>375</v>
      </c>
      <c r="F1282" s="13">
        <v>0</v>
      </c>
      <c r="G1282" s="153">
        <v>0</v>
      </c>
      <c r="H1282" s="16">
        <f t="shared" ref="H1282:H1345" si="20">I1282-F1282</f>
        <v>0</v>
      </c>
      <c r="I1282" s="13">
        <v>0</v>
      </c>
      <c r="J1282" s="160"/>
    </row>
    <row r="1283" spans="1:10">
      <c r="A1283" s="13" t="s">
        <v>2</v>
      </c>
      <c r="B1283" s="13" t="s">
        <v>59</v>
      </c>
      <c r="C1283" s="13" t="str">
        <f>VLOOKUP([1]Competence!$B61,[1]Competence!$B$12:$B$100,1,FALSE)</f>
        <v>Data visualisation</v>
      </c>
      <c r="D1283" s="13" t="str" cm="1">
        <f t="array" ref="D1283">_xlfn.XLOOKUP(B1283,[1]Baseline!$D$3:$AZ$3,_xlfn.XLOOKUP(C1283,[1]Baseline!$B$4:$B$91,[1]Baseline!$D$4:$AZ$91))</f>
        <v>No Knowledge</v>
      </c>
      <c r="E1283" s="13" t="s">
        <v>375</v>
      </c>
      <c r="F1283" s="13">
        <v>0</v>
      </c>
      <c r="G1283" s="153">
        <v>0</v>
      </c>
      <c r="H1283" s="16">
        <f t="shared" si="20"/>
        <v>0</v>
      </c>
      <c r="I1283" s="13">
        <v>0</v>
      </c>
      <c r="J1283" s="160"/>
    </row>
    <row r="1284" spans="1:10">
      <c r="A1284" s="13" t="s">
        <v>2</v>
      </c>
      <c r="B1284" s="13" t="s">
        <v>59</v>
      </c>
      <c r="C1284" s="13" t="str">
        <f>VLOOKUP([1]Competence!$B62,[1]Competence!$B$12:$B$100,1,FALSE)</f>
        <v>Database Administration</v>
      </c>
      <c r="D1284" s="13" t="str" cm="1">
        <f t="array" ref="D1284">_xlfn.XLOOKUP(B1284,[1]Baseline!$D$3:$AZ$3,_xlfn.XLOOKUP(C1284,[1]Baseline!$B$4:$B$91,[1]Baseline!$D$4:$AZ$91))</f>
        <v>No Knowledge</v>
      </c>
      <c r="E1284" s="13" t="s">
        <v>375</v>
      </c>
      <c r="F1284" s="13">
        <v>0</v>
      </c>
      <c r="G1284" s="153">
        <v>0</v>
      </c>
      <c r="H1284" s="16">
        <f t="shared" si="20"/>
        <v>0</v>
      </c>
      <c r="I1284" s="13">
        <v>0</v>
      </c>
      <c r="J1284" s="160"/>
    </row>
    <row r="1285" spans="1:10">
      <c r="A1285" s="13" t="s">
        <v>2</v>
      </c>
      <c r="B1285" s="13" t="s">
        <v>59</v>
      </c>
      <c r="C1285" s="13" t="str">
        <f>VLOOKUP([1]Competence!$B63,[1]Competence!$B$12:$B$100,1,FALSE)</f>
        <v>Database Design</v>
      </c>
      <c r="D1285" s="13" t="str" cm="1">
        <f t="array" ref="D1285">_xlfn.XLOOKUP(B1285,[1]Baseline!$D$3:$AZ$3,_xlfn.XLOOKUP(C1285,[1]Baseline!$B$4:$B$91,[1]Baseline!$D$4:$AZ$91))</f>
        <v>No Knowledge</v>
      </c>
      <c r="E1285" s="13" t="s">
        <v>375</v>
      </c>
      <c r="F1285" s="13">
        <v>0</v>
      </c>
      <c r="G1285" s="153">
        <v>0</v>
      </c>
      <c r="H1285" s="16">
        <f t="shared" si="20"/>
        <v>0</v>
      </c>
      <c r="I1285" s="13">
        <v>0</v>
      </c>
      <c r="J1285" s="160"/>
    </row>
    <row r="1286" spans="1:10">
      <c r="A1286" s="13" t="s">
        <v>2</v>
      </c>
      <c r="B1286" s="13" t="s">
        <v>59</v>
      </c>
      <c r="C1286" s="13" t="str">
        <f>VLOOKUP([1]Competence!$B64,[1]Competence!$B$12:$B$100,1,FALSE)</f>
        <v>Hardware design</v>
      </c>
      <c r="D1286" s="13" t="str" cm="1">
        <f t="array" ref="D1286">_xlfn.XLOOKUP(B1286,[1]Baseline!$D$3:$AZ$3,_xlfn.XLOOKUP(C1286,[1]Baseline!$B$4:$B$91,[1]Baseline!$D$4:$AZ$91))</f>
        <v>No Knowledge</v>
      </c>
      <c r="E1286" s="13" t="s">
        <v>375</v>
      </c>
      <c r="F1286" s="13">
        <v>0</v>
      </c>
      <c r="G1286" s="153">
        <v>0</v>
      </c>
      <c r="H1286" s="16">
        <f t="shared" si="20"/>
        <v>0</v>
      </c>
      <c r="I1286" s="13">
        <v>0</v>
      </c>
      <c r="J1286" s="160"/>
    </row>
    <row r="1287" spans="1:10">
      <c r="A1287" s="13" t="s">
        <v>2</v>
      </c>
      <c r="B1287" s="13" t="s">
        <v>59</v>
      </c>
      <c r="C1287" s="13" t="str">
        <f>VLOOKUP([1]Competence!$B65,[1]Competence!$B$12:$B$100,1,FALSE)</f>
        <v>High Performance Computing</v>
      </c>
      <c r="D1287" s="13" t="str" cm="1">
        <f t="array" ref="D1287">_xlfn.XLOOKUP(B1287,[1]Baseline!$D$3:$AZ$3,_xlfn.XLOOKUP(C1287,[1]Baseline!$B$4:$B$91,[1]Baseline!$D$4:$AZ$91))</f>
        <v>Awareness</v>
      </c>
      <c r="E1287" s="13" t="s">
        <v>375</v>
      </c>
      <c r="F1287" s="13">
        <v>0</v>
      </c>
      <c r="G1287" s="153">
        <v>1</v>
      </c>
      <c r="H1287" s="16">
        <f t="shared" si="20"/>
        <v>1</v>
      </c>
      <c r="I1287" s="13">
        <v>1</v>
      </c>
      <c r="J1287" s="160"/>
    </row>
    <row r="1288" spans="1:10">
      <c r="A1288" s="13" t="s">
        <v>2</v>
      </c>
      <c r="B1288" s="13" t="s">
        <v>59</v>
      </c>
      <c r="C1288" s="13" t="str">
        <f>VLOOKUP([1]Competence!$B66,[1]Competence!$B$12:$B$100,1,FALSE)</f>
        <v>Research Computing</v>
      </c>
      <c r="D1288" s="13" t="str" cm="1">
        <f t="array" ref="D1288">_xlfn.XLOOKUP(B1288,[1]Baseline!$D$3:$AZ$3,_xlfn.XLOOKUP(C1288,[1]Baseline!$B$4:$B$91,[1]Baseline!$D$4:$AZ$91))</f>
        <v>Awareness</v>
      </c>
      <c r="E1288" s="13" t="s">
        <v>375</v>
      </c>
      <c r="F1288" s="13">
        <v>0</v>
      </c>
      <c r="G1288" s="153">
        <v>1</v>
      </c>
      <c r="H1288" s="16">
        <f t="shared" si="20"/>
        <v>1</v>
      </c>
      <c r="I1288" s="13">
        <v>1</v>
      </c>
      <c r="J1288" s="160"/>
    </row>
    <row r="1289" spans="1:10">
      <c r="A1289" s="13" t="s">
        <v>2</v>
      </c>
      <c r="B1289" s="13" t="s">
        <v>59</v>
      </c>
      <c r="C1289" s="13" t="str">
        <f>VLOOKUP([1]Competence!$B67,[1]Competence!$B$12:$B$100,1,FALSE)</f>
        <v>Information assurance</v>
      </c>
      <c r="D1289" s="13" t="str" cm="1">
        <f t="array" ref="D1289">_xlfn.XLOOKUP(B1289,[1]Baseline!$D$3:$AZ$3,_xlfn.XLOOKUP(C1289,[1]Baseline!$B$4:$B$91,[1]Baseline!$D$4:$AZ$91))</f>
        <v>Practitioner</v>
      </c>
      <c r="E1289" s="13" t="s">
        <v>375</v>
      </c>
      <c r="F1289" s="13">
        <v>2</v>
      </c>
      <c r="G1289" s="153">
        <v>2</v>
      </c>
      <c r="H1289" s="16">
        <f t="shared" si="20"/>
        <v>0</v>
      </c>
      <c r="I1289" s="13">
        <v>2</v>
      </c>
      <c r="J1289" s="160"/>
    </row>
    <row r="1290" spans="1:10">
      <c r="A1290" s="13" t="s">
        <v>2</v>
      </c>
      <c r="B1290" s="13" t="s">
        <v>59</v>
      </c>
      <c r="C1290" s="13" t="str">
        <f>VLOOKUP([1]Competence!$B68,[1]Competence!$B$12:$B$100,1,FALSE)</f>
        <v>Information management</v>
      </c>
      <c r="D1290" s="13" t="str" cm="1">
        <f t="array" ref="D1290">_xlfn.XLOOKUP(B1290,[1]Baseline!$D$3:$AZ$3,_xlfn.XLOOKUP(C1290,[1]Baseline!$B$4:$B$91,[1]Baseline!$D$4:$AZ$91))</f>
        <v>Awareness</v>
      </c>
      <c r="E1290" s="13" t="s">
        <v>375</v>
      </c>
      <c r="F1290" s="13">
        <v>2</v>
      </c>
      <c r="G1290" s="153">
        <v>1</v>
      </c>
      <c r="H1290" s="16">
        <f t="shared" si="20"/>
        <v>-1</v>
      </c>
      <c r="I1290" s="13">
        <v>1</v>
      </c>
      <c r="J1290" s="160"/>
    </row>
    <row r="1291" spans="1:10">
      <c r="A1291" s="13" t="s">
        <v>2</v>
      </c>
      <c r="B1291" s="13" t="s">
        <v>59</v>
      </c>
      <c r="C1291" s="13" t="str">
        <f>VLOOKUP([1]Competence!$B69,[1]Competence!$B$12:$B$100,1,FALSE)</f>
        <v>Infrastructure</v>
      </c>
      <c r="D1291" s="13" t="str" cm="1">
        <f t="array" ref="D1291">_xlfn.XLOOKUP(B1291,[1]Baseline!$D$3:$AZ$3,_xlfn.XLOOKUP(C1291,[1]Baseline!$B$4:$B$91,[1]Baseline!$D$4:$AZ$91))</f>
        <v>Working</v>
      </c>
      <c r="E1291" s="13" t="s">
        <v>375</v>
      </c>
      <c r="F1291" s="13">
        <v>0</v>
      </c>
      <c r="G1291" s="153">
        <v>1</v>
      </c>
      <c r="H1291" s="16">
        <f t="shared" si="20"/>
        <v>1</v>
      </c>
      <c r="I1291" s="13">
        <v>1</v>
      </c>
      <c r="J1291" s="160"/>
    </row>
    <row r="1292" spans="1:10">
      <c r="A1292" s="13" t="s">
        <v>2</v>
      </c>
      <c r="B1292" s="13" t="s">
        <v>59</v>
      </c>
      <c r="C1292" s="13" t="str">
        <f>VLOOKUP([1]Competence!$B70,[1]Competence!$B$12:$B$100,1,FALSE)</f>
        <v>Network design</v>
      </c>
      <c r="D1292" s="13" t="str" cm="1">
        <f t="array" ref="D1292">_xlfn.XLOOKUP(B1292,[1]Baseline!$D$3:$AZ$3,_xlfn.XLOOKUP(C1292,[1]Baseline!$B$4:$B$91,[1]Baseline!$D$4:$AZ$91))</f>
        <v>No Knowledge</v>
      </c>
      <c r="E1292" s="13" t="s">
        <v>375</v>
      </c>
      <c r="F1292" s="13">
        <v>2</v>
      </c>
      <c r="G1292" s="153">
        <v>0</v>
      </c>
      <c r="H1292" s="16">
        <f t="shared" si="20"/>
        <v>-2</v>
      </c>
      <c r="I1292" s="13">
        <v>0</v>
      </c>
      <c r="J1292" s="160"/>
    </row>
    <row r="1293" spans="1:10">
      <c r="A1293" s="13" t="s">
        <v>2</v>
      </c>
      <c r="B1293" s="13" t="s">
        <v>59</v>
      </c>
      <c r="C1293" s="13" t="str">
        <f>VLOOKUP([1]Competence!$B71,[1]Competence!$B$12:$B$100,1,FALSE)</f>
        <v>Network Analytics</v>
      </c>
      <c r="D1293" s="13" t="str" cm="1">
        <f t="array" ref="D1293">_xlfn.XLOOKUP(B1293,[1]Baseline!$D$3:$AZ$3,_xlfn.XLOOKUP(C1293,[1]Baseline!$B$4:$B$91,[1]Baseline!$D$4:$AZ$91))</f>
        <v>No Knowledge</v>
      </c>
      <c r="E1293" s="13" t="s">
        <v>373</v>
      </c>
      <c r="F1293" s="13">
        <v>0</v>
      </c>
      <c r="G1293" s="153">
        <v>1</v>
      </c>
      <c r="H1293" s="16">
        <f t="shared" si="20"/>
        <v>1</v>
      </c>
      <c r="I1293" s="13">
        <v>1</v>
      </c>
      <c r="J1293" s="160"/>
    </row>
    <row r="1294" spans="1:10">
      <c r="A1294" s="13" t="s">
        <v>2</v>
      </c>
      <c r="B1294" s="13" t="s">
        <v>59</v>
      </c>
      <c r="C1294" s="13" t="str">
        <f>VLOOKUP([1]Competence!$B72,[1]Competence!$B$12:$B$100,1,FALSE)</f>
        <v>Network support</v>
      </c>
      <c r="D1294" s="13" t="str" cm="1">
        <f t="array" ref="D1294">_xlfn.XLOOKUP(B1294,[1]Baseline!$D$3:$AZ$3,_xlfn.XLOOKUP(C1294,[1]Baseline!$B$4:$B$91,[1]Baseline!$D$4:$AZ$91))</f>
        <v>Working</v>
      </c>
      <c r="E1294" s="13" t="s">
        <v>373</v>
      </c>
      <c r="F1294" s="13">
        <v>0</v>
      </c>
      <c r="G1294" s="153">
        <v>2</v>
      </c>
      <c r="H1294" s="16">
        <f t="shared" si="20"/>
        <v>2</v>
      </c>
      <c r="I1294" s="13">
        <v>2</v>
      </c>
      <c r="J1294" s="160"/>
    </row>
    <row r="1295" spans="1:10">
      <c r="A1295" s="13" t="s">
        <v>2</v>
      </c>
      <c r="B1295" s="13" t="s">
        <v>59</v>
      </c>
      <c r="C1295" s="13" t="str">
        <f>VLOOKUP([1]Competence!$B73,[1]Competence!$B$12:$B$100,1,FALSE)</f>
        <v>Programming/software development</v>
      </c>
      <c r="D1295" s="13" t="str" cm="1">
        <f t="array" ref="D1295">_xlfn.XLOOKUP(B1295,[1]Baseline!$D$3:$AZ$3,_xlfn.XLOOKUP(C1295,[1]Baseline!$B$4:$B$91,[1]Baseline!$D$4:$AZ$91))</f>
        <v>No Knowledge</v>
      </c>
      <c r="E1295" s="13" t="s">
        <v>373</v>
      </c>
      <c r="F1295" s="13">
        <v>0</v>
      </c>
      <c r="G1295" s="153">
        <v>0</v>
      </c>
      <c r="H1295" s="16">
        <f t="shared" si="20"/>
        <v>0</v>
      </c>
      <c r="I1295" s="13">
        <v>0</v>
      </c>
      <c r="J1295" s="160"/>
    </row>
    <row r="1296" spans="1:10">
      <c r="A1296" s="13" t="s">
        <v>2</v>
      </c>
      <c r="B1296" s="13" t="s">
        <v>59</v>
      </c>
      <c r="C1296" s="13" t="str">
        <f>VLOOKUP([1]Competence!$B74,[1]Competence!$B$12:$B$100,1,FALSE)</f>
        <v>Real-time/embedded systems development</v>
      </c>
      <c r="D1296" s="13" t="str" cm="1">
        <f t="array" ref="D1296">_xlfn.XLOOKUP(B1296,[1]Baseline!$D$3:$AZ$3,_xlfn.XLOOKUP(C1296,[1]Baseline!$B$4:$B$91,[1]Baseline!$D$4:$AZ$91))</f>
        <v>No Knowledge</v>
      </c>
      <c r="E1296" s="13" t="s">
        <v>373</v>
      </c>
      <c r="F1296" s="13">
        <v>0</v>
      </c>
      <c r="G1296" s="153">
        <v>0</v>
      </c>
      <c r="H1296" s="16">
        <f t="shared" si="20"/>
        <v>0</v>
      </c>
      <c r="I1296" s="13">
        <v>0</v>
      </c>
      <c r="J1296" s="160"/>
    </row>
    <row r="1297" spans="1:10">
      <c r="A1297" s="13" t="s">
        <v>2</v>
      </c>
      <c r="B1297" s="13" t="s">
        <v>59</v>
      </c>
      <c r="C1297" s="13" t="str">
        <f>VLOOKUP([1]Competence!$B75,[1]Competence!$B$12:$B$100,1,FALSE)</f>
        <v>Requirements definition and management</v>
      </c>
      <c r="D1297" s="13" t="str" cm="1">
        <f t="array" ref="D1297">_xlfn.XLOOKUP(B1297,[1]Baseline!$D$3:$AZ$3,_xlfn.XLOOKUP(C1297,[1]Baseline!$B$4:$B$91,[1]Baseline!$D$4:$AZ$91))</f>
        <v>No Knowledge</v>
      </c>
      <c r="E1297" s="13" t="s">
        <v>373</v>
      </c>
      <c r="F1297" s="13">
        <v>0</v>
      </c>
      <c r="G1297" s="153">
        <v>0</v>
      </c>
      <c r="H1297" s="16">
        <f t="shared" si="20"/>
        <v>0</v>
      </c>
      <c r="I1297" s="13">
        <v>0</v>
      </c>
      <c r="J1297" s="160"/>
    </row>
    <row r="1298" spans="1:10">
      <c r="A1298" s="13" t="s">
        <v>2</v>
      </c>
      <c r="B1298" s="13" t="s">
        <v>59</v>
      </c>
      <c r="C1298" s="13" t="str">
        <f>VLOOKUP([1]Competence!$B76,[1]Competence!$B$12:$B$100,1,FALSE)</f>
        <v>Software configuration</v>
      </c>
      <c r="D1298" s="13" t="str" cm="1">
        <f t="array" ref="D1298">_xlfn.XLOOKUP(B1298,[1]Baseline!$D$3:$AZ$3,_xlfn.XLOOKUP(C1298,[1]Baseline!$B$4:$B$91,[1]Baseline!$D$4:$AZ$91))</f>
        <v>No Knowledge</v>
      </c>
      <c r="E1298" s="13" t="s">
        <v>373</v>
      </c>
      <c r="F1298" s="13">
        <v>0</v>
      </c>
      <c r="G1298" s="153">
        <v>0</v>
      </c>
      <c r="H1298" s="16">
        <f t="shared" si="20"/>
        <v>0</v>
      </c>
      <c r="I1298" s="13">
        <v>0</v>
      </c>
      <c r="J1298" s="160"/>
    </row>
    <row r="1299" spans="1:10">
      <c r="A1299" s="13" t="s">
        <v>2</v>
      </c>
      <c r="B1299" s="13" t="s">
        <v>59</v>
      </c>
      <c r="C1299" s="13" t="str">
        <f>VLOOKUP([1]Competence!$B77,[1]Competence!$B$12:$B$100,1,FALSE)</f>
        <v>Software design</v>
      </c>
      <c r="D1299" s="13" t="str" cm="1">
        <f t="array" ref="D1299">_xlfn.XLOOKUP(B1299,[1]Baseline!$D$3:$AZ$3,_xlfn.XLOOKUP(C1299,[1]Baseline!$B$4:$B$91,[1]Baseline!$D$4:$AZ$91))</f>
        <v>No Knowledge</v>
      </c>
      <c r="E1299" s="13" t="s">
        <v>373</v>
      </c>
      <c r="F1299" s="13">
        <v>0</v>
      </c>
      <c r="G1299" s="153">
        <v>0</v>
      </c>
      <c r="H1299" s="16">
        <f t="shared" si="20"/>
        <v>0</v>
      </c>
      <c r="I1299" s="13">
        <v>0</v>
      </c>
      <c r="J1299" s="160"/>
    </row>
    <row r="1300" spans="1:10">
      <c r="A1300" s="13" t="s">
        <v>2</v>
      </c>
      <c r="B1300" s="13" t="s">
        <v>59</v>
      </c>
      <c r="C1300" s="13" t="str">
        <f>VLOOKUP([1]Competence!$B78,[1]Competence!$B$12:$B$100,1,FALSE)</f>
        <v>Solution architecture</v>
      </c>
      <c r="D1300" s="13" t="str" cm="1">
        <f t="array" ref="D1300">_xlfn.XLOOKUP(B1300,[1]Baseline!$D$3:$AZ$3,_xlfn.XLOOKUP(C1300,[1]Baseline!$B$4:$B$91,[1]Baseline!$D$4:$AZ$91))</f>
        <v>No Knowledge</v>
      </c>
      <c r="E1300" s="13" t="s">
        <v>373</v>
      </c>
      <c r="F1300" s="13">
        <v>0</v>
      </c>
      <c r="G1300" s="153">
        <v>0</v>
      </c>
      <c r="H1300" s="16">
        <f t="shared" si="20"/>
        <v>0</v>
      </c>
      <c r="I1300" s="13">
        <v>0</v>
      </c>
      <c r="J1300" s="160"/>
    </row>
    <row r="1301" spans="1:10">
      <c r="A1301" s="13" t="s">
        <v>2</v>
      </c>
      <c r="B1301" s="13" t="s">
        <v>59</v>
      </c>
      <c r="C1301" s="13" t="str">
        <f>VLOOKUP([1]Competence!$B79,[1]Competence!$B$12:$B$100,1,FALSE)</f>
        <v>System software</v>
      </c>
      <c r="D1301" s="13" t="str" cm="1">
        <f t="array" ref="D1301">_xlfn.XLOOKUP(B1301,[1]Baseline!$D$3:$AZ$3,_xlfn.XLOOKUP(C1301,[1]Baseline!$B$4:$B$91,[1]Baseline!$D$4:$AZ$91))</f>
        <v>No Knowledge</v>
      </c>
      <c r="E1301" s="13" t="s">
        <v>373</v>
      </c>
      <c r="F1301" s="13">
        <v>1</v>
      </c>
      <c r="G1301" s="153">
        <v>0</v>
      </c>
      <c r="H1301" s="16">
        <f t="shared" si="20"/>
        <v>-1</v>
      </c>
      <c r="I1301" s="13">
        <v>0</v>
      </c>
      <c r="J1301" s="160"/>
    </row>
    <row r="1302" spans="1:10">
      <c r="A1302" s="13" t="s">
        <v>2</v>
      </c>
      <c r="B1302" s="13" t="s">
        <v>59</v>
      </c>
      <c r="C1302" s="13" t="str">
        <f>VLOOKUP([1]Competence!$B80,[1]Competence!$B$12:$B$100,1,FALSE)</f>
        <v>Systems and software life cycle engineering</v>
      </c>
      <c r="D1302" s="13" t="str" cm="1">
        <f t="array" ref="D1302">_xlfn.XLOOKUP(B1302,[1]Baseline!$D$3:$AZ$3,_xlfn.XLOOKUP(C1302,[1]Baseline!$B$4:$B$91,[1]Baseline!$D$4:$AZ$91))</f>
        <v>No Knowledge</v>
      </c>
      <c r="E1302" s="13" t="s">
        <v>376</v>
      </c>
      <c r="F1302" s="13">
        <v>2</v>
      </c>
      <c r="G1302" s="153">
        <v>0</v>
      </c>
      <c r="H1302" s="16">
        <f t="shared" si="20"/>
        <v>-2</v>
      </c>
      <c r="I1302" s="13">
        <v>0</v>
      </c>
      <c r="J1302" s="160"/>
    </row>
    <row r="1303" spans="1:10">
      <c r="A1303" s="13" t="s">
        <v>2</v>
      </c>
      <c r="B1303" s="13" t="s">
        <v>59</v>
      </c>
      <c r="C1303" s="13" t="str">
        <f>VLOOKUP([1]Competence!$B81,[1]Competence!$B$12:$B$100,1,FALSE)</f>
        <v>Systems design</v>
      </c>
      <c r="D1303" s="13" t="str" cm="1">
        <f t="array" ref="D1303">_xlfn.XLOOKUP(B1303,[1]Baseline!$D$3:$AZ$3,_xlfn.XLOOKUP(C1303,[1]Baseline!$B$4:$B$91,[1]Baseline!$D$4:$AZ$91))</f>
        <v>No Knowledge</v>
      </c>
      <c r="E1303" s="13" t="s">
        <v>374</v>
      </c>
      <c r="F1303" s="13">
        <v>1</v>
      </c>
      <c r="G1303" s="153">
        <v>0</v>
      </c>
      <c r="H1303" s="16">
        <f t="shared" si="20"/>
        <v>-1</v>
      </c>
      <c r="I1303" s="13">
        <v>0</v>
      </c>
      <c r="J1303" s="160"/>
    </row>
    <row r="1304" spans="1:10">
      <c r="A1304" s="13" t="s">
        <v>2</v>
      </c>
      <c r="B1304" s="13" t="s">
        <v>59</v>
      </c>
      <c r="C1304" s="13" t="str">
        <f>VLOOKUP([1]Competence!$B82,[1]Competence!$B$12:$B$100,1,FALSE)</f>
        <v>Systems development management</v>
      </c>
      <c r="D1304" s="13" t="str" cm="1">
        <f t="array" ref="D1304">_xlfn.XLOOKUP(B1304,[1]Baseline!$D$3:$AZ$3,_xlfn.XLOOKUP(C1304,[1]Baseline!$B$4:$B$91,[1]Baseline!$D$4:$AZ$91))</f>
        <v>No Knowledge</v>
      </c>
      <c r="E1304" s="13" t="s">
        <v>374</v>
      </c>
      <c r="F1304" s="13">
        <v>1</v>
      </c>
      <c r="G1304" s="153">
        <v>0</v>
      </c>
      <c r="H1304" s="16">
        <f t="shared" si="20"/>
        <v>-1</v>
      </c>
      <c r="I1304" s="13">
        <v>0</v>
      </c>
      <c r="J1304" s="160"/>
    </row>
    <row r="1305" spans="1:10">
      <c r="A1305" s="13" t="s">
        <v>2</v>
      </c>
      <c r="B1305" s="13" t="s">
        <v>59</v>
      </c>
      <c r="C1305" s="13" t="str">
        <f>VLOOKUP([1]Competence!$B83,[1]Competence!$B$12:$B$100,1,FALSE)</f>
        <v>Systems installation and removal</v>
      </c>
      <c r="D1305" s="13" t="str" cm="1">
        <f t="array" ref="D1305">_xlfn.XLOOKUP(B1305,[1]Baseline!$D$3:$AZ$3,_xlfn.XLOOKUP(C1305,[1]Baseline!$B$4:$B$91,[1]Baseline!$D$4:$AZ$91))</f>
        <v>Practitioner</v>
      </c>
      <c r="E1305" s="13" t="s">
        <v>377</v>
      </c>
      <c r="F1305" s="13">
        <v>0</v>
      </c>
      <c r="G1305" s="153">
        <v>2</v>
      </c>
      <c r="H1305" s="16">
        <f t="shared" si="20"/>
        <v>2</v>
      </c>
      <c r="I1305" s="13">
        <v>2</v>
      </c>
      <c r="J1305" s="160"/>
    </row>
    <row r="1306" spans="1:10">
      <c r="A1306" s="13" t="s">
        <v>2</v>
      </c>
      <c r="B1306" s="13" t="s">
        <v>59</v>
      </c>
      <c r="C1306" s="13" t="str">
        <f>VLOOKUP([1]Competence!$B84,[1]Competence!$B$12:$B$100,1,FALSE)</f>
        <v>Testing</v>
      </c>
      <c r="D1306" s="13" t="str" cm="1">
        <f t="array" ref="D1306">_xlfn.XLOOKUP(B1306,[1]Baseline!$D$3:$AZ$3,_xlfn.XLOOKUP(C1306,[1]Baseline!$B$4:$B$91,[1]Baseline!$D$4:$AZ$91))</f>
        <v>Working</v>
      </c>
      <c r="E1306" s="13" t="s">
        <v>377</v>
      </c>
      <c r="F1306" s="13">
        <v>0</v>
      </c>
      <c r="G1306" s="153">
        <v>2</v>
      </c>
      <c r="H1306" s="16">
        <f t="shared" si="20"/>
        <v>2</v>
      </c>
      <c r="I1306" s="13">
        <v>2</v>
      </c>
      <c r="J1306" s="160"/>
    </row>
    <row r="1307" spans="1:10">
      <c r="A1307" s="13" t="s">
        <v>2</v>
      </c>
      <c r="B1307" s="13" t="s">
        <v>59</v>
      </c>
      <c r="C1307" s="13" t="str">
        <f>VLOOKUP([1]Competence!$B85,[1]Competence!$B$12:$B$100,1,FALSE)</f>
        <v>Innovation</v>
      </c>
      <c r="D1307" s="13" t="str" cm="1">
        <f t="array" ref="D1307">_xlfn.XLOOKUP(B1307,[1]Baseline!$D$3:$AZ$3,_xlfn.XLOOKUP(C1307,[1]Baseline!$B$4:$B$91,[1]Baseline!$D$4:$AZ$91))</f>
        <v>No Knowledge</v>
      </c>
      <c r="E1307" s="13" t="s">
        <v>377</v>
      </c>
      <c r="F1307" s="13">
        <v>0</v>
      </c>
      <c r="G1307" s="153">
        <v>0</v>
      </c>
      <c r="H1307" s="16">
        <f t="shared" si="20"/>
        <v>0</v>
      </c>
      <c r="I1307" s="13">
        <v>0</v>
      </c>
      <c r="J1307" s="160"/>
    </row>
    <row r="1308" spans="1:10">
      <c r="A1308" s="13" t="s">
        <v>2</v>
      </c>
      <c r="B1308" s="13" t="s">
        <v>59</v>
      </c>
      <c r="C1308" s="13" t="str">
        <f>VLOOKUP([1]Competence!$B86,[1]Competence!$B$12:$B$100,1,FALSE)</f>
        <v>Specialist Advice</v>
      </c>
      <c r="D1308" s="13" t="str" cm="1">
        <f t="array" ref="D1308">_xlfn.XLOOKUP(B1308,[1]Baseline!$D$3:$AZ$3,_xlfn.XLOOKUP(C1308,[1]Baseline!$B$4:$B$91,[1]Baseline!$D$4:$AZ$91))</f>
        <v>No Knowledge</v>
      </c>
      <c r="E1308" s="13" t="s">
        <v>377</v>
      </c>
      <c r="F1308" s="13">
        <v>0</v>
      </c>
      <c r="G1308" s="153">
        <v>1</v>
      </c>
      <c r="H1308" s="16">
        <f t="shared" si="20"/>
        <v>1</v>
      </c>
      <c r="I1308" s="13">
        <v>1</v>
      </c>
      <c r="J1308" s="160"/>
    </row>
    <row r="1309" spans="1:10">
      <c r="A1309" s="13" t="s">
        <v>2</v>
      </c>
      <c r="B1309" s="13" t="s">
        <v>59</v>
      </c>
      <c r="C1309" s="13" t="str">
        <f>VLOOKUP([1]Competence!$B87,[1]Competence!$B$12:$B$100,1,FALSE)</f>
        <v>Emerging technology monitoring</v>
      </c>
      <c r="D1309" s="13" t="str" cm="1">
        <f t="array" ref="D1309">_xlfn.XLOOKUP(B1309,[1]Baseline!$D$3:$AZ$3,_xlfn.XLOOKUP(C1309,[1]Baseline!$B$4:$B$91,[1]Baseline!$D$4:$AZ$91))</f>
        <v>No Knowledge</v>
      </c>
      <c r="E1309" s="13" t="s">
        <v>378</v>
      </c>
      <c r="F1309" s="13">
        <v>0</v>
      </c>
      <c r="G1309" s="153">
        <v>1</v>
      </c>
      <c r="H1309" s="16">
        <f t="shared" si="20"/>
        <v>1</v>
      </c>
      <c r="I1309" s="13">
        <v>1</v>
      </c>
      <c r="J1309" s="160"/>
    </row>
    <row r="1310" spans="1:10">
      <c r="A1310" s="13" t="s">
        <v>2</v>
      </c>
      <c r="B1310" s="13" t="s">
        <v>59</v>
      </c>
      <c r="C1310" s="13" t="str">
        <f>VLOOKUP([1]Competence!$B88,[1]Competence!$B$12:$B$100,1,FALSE)</f>
        <v>Systems integration and build</v>
      </c>
      <c r="D1310" s="13" t="str" cm="1">
        <f t="array" ref="D1310">_xlfn.XLOOKUP(B1310,[1]Baseline!$D$3:$AZ$3,_xlfn.XLOOKUP(C1310,[1]Baseline!$B$4:$B$91,[1]Baseline!$D$4:$AZ$91))</f>
        <v>Practitioner</v>
      </c>
      <c r="E1310" s="13" t="s">
        <v>378</v>
      </c>
      <c r="F1310" s="13">
        <v>0</v>
      </c>
      <c r="G1310" s="153">
        <v>2</v>
      </c>
      <c r="H1310" s="16">
        <f t="shared" si="20"/>
        <v>2</v>
      </c>
      <c r="I1310" s="13">
        <v>2</v>
      </c>
      <c r="J1310" s="160"/>
    </row>
    <row r="1311" spans="1:10">
      <c r="A1311" s="13" t="s">
        <v>2</v>
      </c>
      <c r="B1311" s="13" t="s">
        <v>59</v>
      </c>
      <c r="C1311" s="13" t="str">
        <f>VLOOKUP([1]Competence!$B89,[1]Competence!$B$12:$B$100,1,FALSE)</f>
        <v>Audio Visual</v>
      </c>
      <c r="D1311" s="13" t="str" cm="1">
        <f t="array" ref="D1311">_xlfn.XLOOKUP(B1311,[1]Baseline!$D$3:$AZ$3,_xlfn.XLOOKUP(C1311,[1]Baseline!$B$4:$B$91,[1]Baseline!$D$4:$AZ$91))</f>
        <v>Awareness</v>
      </c>
      <c r="E1311" s="13" t="s">
        <v>378</v>
      </c>
      <c r="F1311" s="13">
        <v>0</v>
      </c>
      <c r="G1311" s="153">
        <v>3</v>
      </c>
      <c r="H1311" s="16">
        <f t="shared" si="20"/>
        <v>3</v>
      </c>
      <c r="I1311" s="13">
        <v>3</v>
      </c>
      <c r="J1311" s="160"/>
    </row>
    <row r="1312" spans="1:10">
      <c r="A1312" s="13" t="s">
        <v>2</v>
      </c>
      <c r="B1312" s="13" t="s">
        <v>59</v>
      </c>
      <c r="C1312" s="13" t="str">
        <f>VLOOKUP([1]Competence!$B90,[1]Competence!$B$12:$B$100,1,FALSE)</f>
        <v>Augmented Reality</v>
      </c>
      <c r="D1312" s="13" t="str" cm="1">
        <f t="array" ref="D1312">_xlfn.XLOOKUP(B1312,[1]Baseline!$D$3:$AZ$3,_xlfn.XLOOKUP(C1312,[1]Baseline!$B$4:$B$91,[1]Baseline!$D$4:$AZ$91))</f>
        <v>No Knowledge</v>
      </c>
      <c r="E1312" s="13" t="s">
        <v>49</v>
      </c>
      <c r="F1312" s="13">
        <v>0</v>
      </c>
      <c r="G1312" s="153">
        <v>1</v>
      </c>
      <c r="H1312" s="16">
        <f t="shared" si="20"/>
        <v>1</v>
      </c>
      <c r="I1312" s="13">
        <v>1</v>
      </c>
      <c r="J1312" s="160"/>
    </row>
    <row r="1313" spans="1:10">
      <c r="A1313" s="13" t="s">
        <v>2</v>
      </c>
      <c r="B1313" s="13" t="s">
        <v>59</v>
      </c>
      <c r="C1313" s="13" t="str">
        <f>VLOOKUP([1]Competence!$B91,[1]Competence!$B$12:$B$100,1,FALSE)</f>
        <v>Benefits management</v>
      </c>
      <c r="D1313" s="13" t="str" cm="1">
        <f t="array" ref="D1313">_xlfn.XLOOKUP(B1313,[1]Baseline!$D$3:$AZ$3,_xlfn.XLOOKUP(C1313,[1]Baseline!$B$4:$B$91,[1]Baseline!$D$4:$AZ$91))</f>
        <v>No Knowledge</v>
      </c>
      <c r="E1313" s="13" t="s">
        <v>49</v>
      </c>
      <c r="F1313" s="13">
        <v>0</v>
      </c>
      <c r="G1313" s="153">
        <v>0</v>
      </c>
      <c r="H1313" s="16">
        <f t="shared" si="20"/>
        <v>0</v>
      </c>
      <c r="I1313" s="13">
        <v>0</v>
      </c>
      <c r="J1313" s="160"/>
    </row>
    <row r="1314" spans="1:10">
      <c r="A1314" s="13" t="s">
        <v>2</v>
      </c>
      <c r="B1314" s="13" t="s">
        <v>59</v>
      </c>
      <c r="C1314" s="13" t="str">
        <f>VLOOKUP([1]Competence!$B92,[1]Competence!$B$12:$B$100,1,FALSE)</f>
        <v>Business administration</v>
      </c>
      <c r="D1314" s="13" t="str" cm="1">
        <f t="array" ref="D1314">_xlfn.XLOOKUP(B1314,[1]Baseline!$D$3:$AZ$3,_xlfn.XLOOKUP(C1314,[1]Baseline!$B$4:$B$91,[1]Baseline!$D$4:$AZ$91))</f>
        <v>No Knowledge</v>
      </c>
      <c r="E1314" s="13" t="s">
        <v>375</v>
      </c>
      <c r="F1314" s="13">
        <v>0</v>
      </c>
      <c r="G1314" s="153">
        <v>0</v>
      </c>
      <c r="H1314" s="16">
        <f t="shared" si="20"/>
        <v>0</v>
      </c>
      <c r="I1314" s="13">
        <v>0</v>
      </c>
      <c r="J1314" s="160"/>
    </row>
    <row r="1315" spans="1:10">
      <c r="A1315" s="13" t="s">
        <v>2</v>
      </c>
      <c r="B1315" s="13" t="s">
        <v>59</v>
      </c>
      <c r="C1315" s="13" t="str">
        <f>VLOOKUP([1]Competence!$B93,[1]Competence!$B$12:$B$100,1,FALSE)</f>
        <v>Business intelligence</v>
      </c>
      <c r="D1315" s="13" t="str" cm="1">
        <f t="array" ref="D1315">_xlfn.XLOOKUP(B1315,[1]Baseline!$D$3:$AZ$3,_xlfn.XLOOKUP(C1315,[1]Baseline!$B$4:$B$91,[1]Baseline!$D$4:$AZ$91))</f>
        <v>No Knowledge</v>
      </c>
      <c r="E1315" s="13" t="s">
        <v>375</v>
      </c>
      <c r="F1315" s="13">
        <v>0</v>
      </c>
      <c r="G1315" s="153">
        <v>0</v>
      </c>
      <c r="H1315" s="16">
        <f t="shared" si="20"/>
        <v>0</v>
      </c>
      <c r="I1315" s="13">
        <v>0</v>
      </c>
      <c r="J1315" s="160"/>
    </row>
    <row r="1316" spans="1:10">
      <c r="A1316" s="13" t="s">
        <v>2</v>
      </c>
      <c r="B1316" s="13" t="s">
        <v>59</v>
      </c>
      <c r="C1316" s="13" t="str">
        <f>VLOOKUP([1]Competence!$B94,[1]Competence!$B$12:$B$100,1,FALSE)</f>
        <v>Business modelling</v>
      </c>
      <c r="D1316" s="13" t="str" cm="1">
        <f t="array" ref="D1316">_xlfn.XLOOKUP(B1316,[1]Baseline!$D$3:$AZ$3,_xlfn.XLOOKUP(C1316,[1]Baseline!$B$4:$B$91,[1]Baseline!$D$4:$AZ$91))</f>
        <v>No Knowledge</v>
      </c>
      <c r="E1316" s="13" t="s">
        <v>375</v>
      </c>
      <c r="F1316" s="13">
        <v>0</v>
      </c>
      <c r="G1316" s="153">
        <v>0</v>
      </c>
      <c r="H1316" s="16">
        <f t="shared" si="20"/>
        <v>0</v>
      </c>
      <c r="I1316" s="13">
        <v>0</v>
      </c>
      <c r="J1316" s="160"/>
    </row>
    <row r="1317" spans="1:10">
      <c r="A1317" s="13" t="s">
        <v>2</v>
      </c>
      <c r="B1317" s="13" t="s">
        <v>59</v>
      </c>
      <c r="C1317" s="13" t="str">
        <f>VLOOKUP([1]Competence!$B95,[1]Competence!$B$12:$B$100,1,FALSE)</f>
        <v>Business process improvement</v>
      </c>
      <c r="D1317" s="13" t="str" cm="1">
        <f t="array" ref="D1317">_xlfn.XLOOKUP(B1317,[1]Baseline!$D$3:$AZ$3,_xlfn.XLOOKUP(C1317,[1]Baseline!$B$4:$B$91,[1]Baseline!$D$4:$AZ$91))</f>
        <v>No Knowledge</v>
      </c>
      <c r="E1317" s="13" t="s">
        <v>375</v>
      </c>
      <c r="F1317" s="13">
        <v>0</v>
      </c>
      <c r="G1317" s="153">
        <v>0</v>
      </c>
      <c r="H1317" s="16">
        <f t="shared" si="20"/>
        <v>0</v>
      </c>
      <c r="I1317" s="13">
        <v>0</v>
      </c>
      <c r="J1317" s="160"/>
    </row>
    <row r="1318" spans="1:10">
      <c r="A1318" s="13" t="s">
        <v>2</v>
      </c>
      <c r="B1318" s="13" t="s">
        <v>59</v>
      </c>
      <c r="C1318" s="13" t="str">
        <f>VLOOKUP([1]Competence!$B96,[1]Competence!$B$12:$B$100,1,FALSE)</f>
        <v>Business situation analysis</v>
      </c>
      <c r="D1318" s="13" t="str" cm="1">
        <f t="array" ref="D1318">_xlfn.XLOOKUP(B1318,[1]Baseline!$D$3:$AZ$3,_xlfn.XLOOKUP(C1318,[1]Baseline!$B$4:$B$91,[1]Baseline!$D$4:$AZ$91))</f>
        <v>No Knowledge</v>
      </c>
      <c r="E1318" s="13" t="s">
        <v>374</v>
      </c>
      <c r="F1318" s="13">
        <v>0</v>
      </c>
      <c r="G1318" s="153">
        <v>0</v>
      </c>
      <c r="H1318" s="16">
        <f t="shared" si="20"/>
        <v>0</v>
      </c>
      <c r="I1318" s="13">
        <v>0</v>
      </c>
      <c r="J1318" s="160"/>
    </row>
    <row r="1319" spans="1:10">
      <c r="A1319" s="13" t="s">
        <v>2</v>
      </c>
      <c r="B1319" s="13" t="s">
        <v>59</v>
      </c>
      <c r="C1319" s="13" t="str">
        <f>VLOOKUP([1]Competence!$B97,[1]Competence!$B$12:$B$100,1,FALSE)</f>
        <v>Programme management</v>
      </c>
      <c r="D1319" s="13" t="str" cm="1">
        <f t="array" ref="D1319">_xlfn.XLOOKUP(B1319,[1]Baseline!$D$3:$AZ$3,_xlfn.XLOOKUP(C1319,[1]Baseline!$B$4:$B$91,[1]Baseline!$D$4:$AZ$91))</f>
        <v>No Knowledge</v>
      </c>
      <c r="E1319" s="13" t="s">
        <v>374</v>
      </c>
      <c r="F1319" s="13">
        <v>0</v>
      </c>
      <c r="G1319" s="153">
        <v>0</v>
      </c>
      <c r="H1319" s="16">
        <f t="shared" si="20"/>
        <v>0</v>
      </c>
      <c r="I1319" s="13">
        <v>0</v>
      </c>
      <c r="J1319" s="160"/>
    </row>
    <row r="1320" spans="1:10">
      <c r="A1320" s="13" t="s">
        <v>2</v>
      </c>
      <c r="B1320" s="13" t="s">
        <v>59</v>
      </c>
      <c r="C1320" s="13" t="str">
        <f>VLOOKUP([1]Competence!$B98,[1]Competence!$B$12:$B$100,1,FALSE)</f>
        <v>Project management</v>
      </c>
      <c r="D1320" s="13" t="str" cm="1">
        <f t="array" ref="D1320">_xlfn.XLOOKUP(B1320,[1]Baseline!$D$3:$AZ$3,_xlfn.XLOOKUP(C1320,[1]Baseline!$B$4:$B$91,[1]Baseline!$D$4:$AZ$91))</f>
        <v>No Knowledge</v>
      </c>
      <c r="E1320" s="13" t="s">
        <v>374</v>
      </c>
      <c r="F1320" s="13">
        <v>0</v>
      </c>
      <c r="G1320" s="153">
        <v>0</v>
      </c>
      <c r="H1320" s="16">
        <f t="shared" si="20"/>
        <v>0</v>
      </c>
      <c r="I1320" s="13">
        <v>0</v>
      </c>
      <c r="J1320" s="160"/>
    </row>
    <row r="1321" spans="1:10">
      <c r="A1321" s="13" t="s">
        <v>2</v>
      </c>
      <c r="B1321" s="13" t="s">
        <v>59</v>
      </c>
      <c r="C1321" s="13" t="str">
        <f>VLOOKUP([1]Competence!$B99,[1]Competence!$B$12:$B$100,1,FALSE)</f>
        <v>Quality assurance</v>
      </c>
      <c r="D1321" s="13" t="str" cm="1">
        <f t="array" ref="D1321">_xlfn.XLOOKUP(B1321,[1]Baseline!$D$3:$AZ$3,_xlfn.XLOOKUP(C1321,[1]Baseline!$B$4:$B$91,[1]Baseline!$D$4:$AZ$91))</f>
        <v>Working</v>
      </c>
      <c r="E1321" s="13" t="s">
        <v>375</v>
      </c>
      <c r="F1321" s="13">
        <v>1</v>
      </c>
      <c r="G1321" s="153">
        <v>1</v>
      </c>
      <c r="H1321" s="16">
        <f t="shared" si="20"/>
        <v>0</v>
      </c>
      <c r="I1321" s="13">
        <v>1</v>
      </c>
      <c r="J1321" s="160"/>
    </row>
    <row r="1322" spans="1:10">
      <c r="A1322" s="13" t="s">
        <v>1</v>
      </c>
      <c r="B1322" s="13" t="s">
        <v>60</v>
      </c>
      <c r="C1322" s="13" t="str">
        <f>VLOOKUP([1]Competence!$B12,[1]Competence!$B$12:$B$100,1,FALSE)</f>
        <v>Asset Management</v>
      </c>
      <c r="D1322" s="13" t="str" cm="1">
        <f t="array" ref="D1322">_xlfn.XLOOKUP(B1322,[1]Baseline!$D$3:$AZ$3,_xlfn.XLOOKUP(C1322,[1]Baseline!$B$4:$B$91,[1]Baseline!$D$4:$AZ$91))</f>
        <v>Practitioner</v>
      </c>
      <c r="E1322" s="13" t="s">
        <v>375</v>
      </c>
      <c r="F1322" s="13">
        <v>3</v>
      </c>
      <c r="G1322" s="153">
        <v>3</v>
      </c>
      <c r="H1322" s="16">
        <f t="shared" si="20"/>
        <v>0</v>
      </c>
      <c r="I1322" s="13">
        <v>3</v>
      </c>
      <c r="J1322" s="160"/>
    </row>
    <row r="1323" spans="1:10">
      <c r="A1323" s="13" t="s">
        <v>1</v>
      </c>
      <c r="B1323" s="13" t="s">
        <v>60</v>
      </c>
      <c r="C1323" s="13" t="str">
        <f>VLOOKUP([1]Competence!$B13,[1]Competence!$B$12:$B$100,1,FALSE)</f>
        <v>Change Control</v>
      </c>
      <c r="D1323" s="13" t="str" cm="1">
        <f t="array" ref="D1323">_xlfn.XLOOKUP(B1323,[1]Baseline!$D$3:$AZ$3,_xlfn.XLOOKUP(C1323,[1]Baseline!$B$4:$B$91,[1]Baseline!$D$4:$AZ$91))</f>
        <v>Expert</v>
      </c>
      <c r="E1323" s="13" t="s">
        <v>376</v>
      </c>
      <c r="F1323" s="13">
        <v>4</v>
      </c>
      <c r="G1323" s="153">
        <v>3</v>
      </c>
      <c r="H1323" s="16">
        <f t="shared" si="20"/>
        <v>-1</v>
      </c>
      <c r="I1323" s="13">
        <v>3</v>
      </c>
      <c r="J1323" s="160"/>
    </row>
    <row r="1324" spans="1:10">
      <c r="A1324" s="13" t="s">
        <v>1</v>
      </c>
      <c r="B1324" s="13" t="s">
        <v>60</v>
      </c>
      <c r="C1324" s="13" t="str">
        <f>VLOOKUP([1]Competence!$B14,[1]Competence!$B$12:$B$100,1,FALSE)</f>
        <v>Customer Service Support</v>
      </c>
      <c r="D1324" s="13" t="str" cm="1">
        <f t="array" ref="D1324">_xlfn.XLOOKUP(B1324,[1]Baseline!$D$3:$AZ$3,_xlfn.XLOOKUP(C1324,[1]Baseline!$B$4:$B$91,[1]Baseline!$D$4:$AZ$91))</f>
        <v>Expert</v>
      </c>
      <c r="E1324" s="13" t="s">
        <v>375</v>
      </c>
      <c r="F1324" s="13">
        <v>1</v>
      </c>
      <c r="G1324" s="153">
        <v>4</v>
      </c>
      <c r="H1324" s="16">
        <f t="shared" si="20"/>
        <v>3</v>
      </c>
      <c r="I1324" s="13">
        <v>4</v>
      </c>
      <c r="J1324" s="160"/>
    </row>
    <row r="1325" spans="1:10">
      <c r="A1325" s="13" t="s">
        <v>1</v>
      </c>
      <c r="B1325" s="13" t="s">
        <v>60</v>
      </c>
      <c r="C1325" s="13" t="str">
        <f>VLOOKUP([1]Competence!$B15,[1]Competence!$B$12:$B$100,1,FALSE)</f>
        <v>Incident management</v>
      </c>
      <c r="D1325" s="13" t="str" cm="1">
        <f t="array" ref="D1325">_xlfn.XLOOKUP(B1325,[1]Baseline!$D$3:$AZ$3,_xlfn.XLOOKUP(C1325,[1]Baseline!$B$4:$B$91,[1]Baseline!$D$4:$AZ$91))</f>
        <v>Expert</v>
      </c>
      <c r="E1325" s="13" t="s">
        <v>375</v>
      </c>
      <c r="F1325" s="13">
        <v>3</v>
      </c>
      <c r="G1325" s="153">
        <v>4</v>
      </c>
      <c r="H1325" s="16">
        <f t="shared" si="20"/>
        <v>1</v>
      </c>
      <c r="I1325" s="13">
        <v>4</v>
      </c>
      <c r="J1325" s="160"/>
    </row>
    <row r="1326" spans="1:10">
      <c r="A1326" s="13" t="s">
        <v>1</v>
      </c>
      <c r="B1326" s="13" t="s">
        <v>60</v>
      </c>
      <c r="C1326" s="13" t="str">
        <f>VLOOKUP([1]Competence!$B16,[1]Competence!$B$12:$B$100,1,FALSE)</f>
        <v>Information security</v>
      </c>
      <c r="D1326" s="13" t="str" cm="1">
        <f t="array" ref="D1326">_xlfn.XLOOKUP(B1326,[1]Baseline!$D$3:$AZ$3,_xlfn.XLOOKUP(C1326,[1]Baseline!$B$4:$B$91,[1]Baseline!$D$4:$AZ$91))</f>
        <v>Practitioner</v>
      </c>
      <c r="E1326" s="13" t="s">
        <v>376</v>
      </c>
      <c r="F1326" s="13">
        <v>3</v>
      </c>
      <c r="G1326" s="153">
        <v>3</v>
      </c>
      <c r="H1326" s="16">
        <f t="shared" si="20"/>
        <v>0</v>
      </c>
      <c r="I1326" s="13">
        <v>3</v>
      </c>
      <c r="J1326" s="160"/>
    </row>
    <row r="1327" spans="1:10">
      <c r="A1327" s="13" t="s">
        <v>1</v>
      </c>
      <c r="B1327" s="13" t="s">
        <v>60</v>
      </c>
      <c r="C1327" s="13" t="str">
        <f>VLOOKUP([1]Competence!$B17,[1]Competence!$B$12:$B$100,1,FALSE)</f>
        <v>Personal data protection</v>
      </c>
      <c r="D1327" s="13" t="str" cm="1">
        <f t="array" ref="D1327">_xlfn.XLOOKUP(B1327,[1]Baseline!$D$3:$AZ$3,_xlfn.XLOOKUP(C1327,[1]Baseline!$B$4:$B$91,[1]Baseline!$D$4:$AZ$91))</f>
        <v>Practitioner</v>
      </c>
      <c r="E1327" s="13" t="s">
        <v>376</v>
      </c>
      <c r="F1327" s="13">
        <v>4</v>
      </c>
      <c r="G1327" s="153">
        <v>4</v>
      </c>
      <c r="H1327" s="16">
        <f t="shared" si="20"/>
        <v>0</v>
      </c>
      <c r="I1327" s="13">
        <v>4</v>
      </c>
      <c r="J1327" s="160"/>
    </row>
    <row r="1328" spans="1:10">
      <c r="A1328" s="13" t="s">
        <v>1</v>
      </c>
      <c r="B1328" s="13" t="s">
        <v>60</v>
      </c>
      <c r="C1328" s="13" t="str">
        <f>VLOOKUP([1]Competence!$B18,[1]Competence!$B$12:$B$100,1,FALSE)</f>
        <v>Problem management</v>
      </c>
      <c r="D1328" s="13" t="str" cm="1">
        <f t="array" ref="D1328">_xlfn.XLOOKUP(B1328,[1]Baseline!$D$3:$AZ$3,_xlfn.XLOOKUP(C1328,[1]Baseline!$B$4:$B$91,[1]Baseline!$D$4:$AZ$91))</f>
        <v>Expert</v>
      </c>
      <c r="E1328" s="13" t="s">
        <v>376</v>
      </c>
      <c r="F1328" s="13">
        <v>4</v>
      </c>
      <c r="G1328" s="153">
        <v>4</v>
      </c>
      <c r="H1328" s="16">
        <f t="shared" si="20"/>
        <v>0</v>
      </c>
      <c r="I1328" s="13">
        <v>4</v>
      </c>
      <c r="J1328" s="160"/>
    </row>
    <row r="1329" spans="1:10">
      <c r="A1329" s="13" t="s">
        <v>1</v>
      </c>
      <c r="B1329" s="13" t="s">
        <v>60</v>
      </c>
      <c r="C1329" s="13" t="str">
        <f>VLOOKUP([1]Competence!$B19,[1]Competence!$B$12:$B$100,1,FALSE)</f>
        <v>Service catalogue management</v>
      </c>
      <c r="D1329" s="13" t="str" cm="1">
        <f t="array" ref="D1329">_xlfn.XLOOKUP(B1329,[1]Baseline!$D$3:$AZ$3,_xlfn.XLOOKUP(C1329,[1]Baseline!$B$4:$B$91,[1]Baseline!$D$4:$AZ$91))</f>
        <v>Expert</v>
      </c>
      <c r="E1329" s="13" t="s">
        <v>376</v>
      </c>
      <c r="F1329" s="13">
        <v>3</v>
      </c>
      <c r="G1329" s="153">
        <v>4</v>
      </c>
      <c r="H1329" s="16">
        <f t="shared" si="20"/>
        <v>1</v>
      </c>
      <c r="I1329" s="13">
        <v>4</v>
      </c>
      <c r="J1329" s="160"/>
    </row>
    <row r="1330" spans="1:10">
      <c r="A1330" s="13" t="s">
        <v>1</v>
      </c>
      <c r="B1330" s="13" t="s">
        <v>60</v>
      </c>
      <c r="C1330" s="13" t="str">
        <f>VLOOKUP([1]Competence!$B20,[1]Competence!$B$12:$B$100,1,FALSE)</f>
        <v>Service level management</v>
      </c>
      <c r="D1330" s="13" t="str" cm="1">
        <f t="array" ref="D1330">_xlfn.XLOOKUP(B1330,[1]Baseline!$D$3:$AZ$3,_xlfn.XLOOKUP(C1330,[1]Baseline!$B$4:$B$91,[1]Baseline!$D$4:$AZ$91))</f>
        <v>Expert</v>
      </c>
      <c r="E1330" s="13" t="s">
        <v>376</v>
      </c>
      <c r="F1330" s="13">
        <v>4</v>
      </c>
      <c r="G1330" s="153">
        <v>4</v>
      </c>
      <c r="H1330" s="16">
        <f t="shared" si="20"/>
        <v>0</v>
      </c>
      <c r="I1330" s="13">
        <v>4</v>
      </c>
      <c r="J1330" s="160"/>
    </row>
    <row r="1331" spans="1:10">
      <c r="A1331" s="13" t="s">
        <v>1</v>
      </c>
      <c r="B1331" s="13" t="s">
        <v>60</v>
      </c>
      <c r="C1331" s="13" t="str">
        <f>VLOOKUP([1]Competence!$B21,[1]Competence!$B$12:$B$100,1,FALSE)</f>
        <v>Availability Management</v>
      </c>
      <c r="D1331" s="13" t="str" cm="1">
        <f t="array" ref="D1331">_xlfn.XLOOKUP(B1331,[1]Baseline!$D$3:$AZ$3,_xlfn.XLOOKUP(C1331,[1]Baseline!$B$4:$B$91,[1]Baseline!$D$4:$AZ$91))</f>
        <v>Working</v>
      </c>
      <c r="E1331" s="13" t="s">
        <v>376</v>
      </c>
      <c r="F1331" s="13">
        <v>4</v>
      </c>
      <c r="G1331" s="153">
        <v>4</v>
      </c>
      <c r="H1331" s="16">
        <f t="shared" si="20"/>
        <v>0</v>
      </c>
      <c r="I1331" s="13">
        <v>4</v>
      </c>
      <c r="J1331" s="160"/>
    </row>
    <row r="1332" spans="1:10">
      <c r="A1332" s="13" t="s">
        <v>1</v>
      </c>
      <c r="B1332" s="13" t="s">
        <v>60</v>
      </c>
      <c r="C1332" s="13" t="str">
        <f>VLOOKUP([1]Competence!$B22,[1]Competence!$B$12:$B$100,1,FALSE)</f>
        <v>Capacity management</v>
      </c>
      <c r="D1332" s="13" t="str" cm="1">
        <f t="array" ref="D1332">_xlfn.XLOOKUP(B1332,[1]Baseline!$D$3:$AZ$3,_xlfn.XLOOKUP(C1332,[1]Baseline!$B$4:$B$91,[1]Baseline!$D$4:$AZ$91))</f>
        <v>No Knowledge</v>
      </c>
      <c r="E1332" s="13" t="s">
        <v>376</v>
      </c>
      <c r="F1332" s="13">
        <v>4</v>
      </c>
      <c r="G1332" s="153">
        <v>4</v>
      </c>
      <c r="H1332" s="16">
        <f t="shared" si="20"/>
        <v>0</v>
      </c>
      <c r="I1332" s="13">
        <v>4</v>
      </c>
      <c r="J1332" s="160"/>
    </row>
    <row r="1333" spans="1:10">
      <c r="A1333" s="13" t="s">
        <v>1</v>
      </c>
      <c r="B1333" s="13" t="s">
        <v>60</v>
      </c>
      <c r="C1333" s="13" t="str">
        <f>VLOOKUP([1]Competence!$B23,[1]Competence!$B$12:$B$100,1,FALSE)</f>
        <v>Configuration Management</v>
      </c>
      <c r="D1333" s="13" t="str" cm="1">
        <f t="array" ref="D1333">_xlfn.XLOOKUP(B1333,[1]Baseline!$D$3:$AZ$3,_xlfn.XLOOKUP(C1333,[1]Baseline!$B$4:$B$91,[1]Baseline!$D$4:$AZ$91))</f>
        <v>Awareness</v>
      </c>
      <c r="E1333" s="13" t="s">
        <v>377</v>
      </c>
      <c r="F1333" s="13">
        <v>3</v>
      </c>
      <c r="G1333" s="153">
        <v>4</v>
      </c>
      <c r="H1333" s="16">
        <f t="shared" si="20"/>
        <v>1</v>
      </c>
      <c r="I1333" s="13">
        <v>4</v>
      </c>
      <c r="J1333" s="160"/>
    </row>
    <row r="1334" spans="1:10">
      <c r="A1334" s="13" t="s">
        <v>1</v>
      </c>
      <c r="B1334" s="13" t="s">
        <v>60</v>
      </c>
      <c r="C1334" s="13" t="str">
        <f>VLOOKUP([1]Competence!$B24,[1]Competence!$B$12:$B$100,1,FALSE)</f>
        <v>Continuity Management</v>
      </c>
      <c r="D1334" s="13" t="str" cm="1">
        <f t="array" ref="D1334">_xlfn.XLOOKUP(B1334,[1]Baseline!$D$3:$AZ$3,_xlfn.XLOOKUP(C1334,[1]Baseline!$B$4:$B$91,[1]Baseline!$D$4:$AZ$91))</f>
        <v>Awareness</v>
      </c>
      <c r="E1334" s="13" t="s">
        <v>377</v>
      </c>
      <c r="F1334" s="13">
        <v>2</v>
      </c>
      <c r="G1334" s="153">
        <v>4</v>
      </c>
      <c r="H1334" s="16">
        <f t="shared" si="20"/>
        <v>2</v>
      </c>
      <c r="I1334" s="13">
        <v>4</v>
      </c>
      <c r="J1334" s="160"/>
    </row>
    <row r="1335" spans="1:10">
      <c r="A1335" s="13" t="s">
        <v>1</v>
      </c>
      <c r="B1335" s="13" t="s">
        <v>60</v>
      </c>
      <c r="C1335" s="13" t="str">
        <f>VLOOKUP([1]Competence!$B25,[1]Competence!$B$12:$B$100,1,FALSE)</f>
        <v>Demand Management</v>
      </c>
      <c r="D1335" s="13" t="str" cm="1">
        <f t="array" ref="D1335">_xlfn.XLOOKUP(B1335,[1]Baseline!$D$3:$AZ$3,_xlfn.XLOOKUP(C1335,[1]Baseline!$B$4:$B$91,[1]Baseline!$D$4:$AZ$91))</f>
        <v>Awareness</v>
      </c>
      <c r="E1335" s="13" t="s">
        <v>49</v>
      </c>
      <c r="F1335" s="13">
        <v>2</v>
      </c>
      <c r="G1335" s="153">
        <v>4</v>
      </c>
      <c r="H1335" s="16">
        <f t="shared" si="20"/>
        <v>2</v>
      </c>
      <c r="I1335" s="13">
        <v>4</v>
      </c>
      <c r="J1335" s="160"/>
    </row>
    <row r="1336" spans="1:10">
      <c r="A1336" s="13" t="s">
        <v>1</v>
      </c>
      <c r="B1336" s="13" t="s">
        <v>60</v>
      </c>
      <c r="C1336" s="13" t="str">
        <f>VLOOKUP([1]Competence!$B26,[1]Competence!$B$12:$B$100,1,FALSE)</f>
        <v>Knowledge management</v>
      </c>
      <c r="D1336" s="13" t="str" cm="1">
        <f t="array" ref="D1336">_xlfn.XLOOKUP(B1336,[1]Baseline!$D$3:$AZ$3,_xlfn.XLOOKUP(C1336,[1]Baseline!$B$4:$B$91,[1]Baseline!$D$4:$AZ$91))</f>
        <v>Working</v>
      </c>
      <c r="E1336" s="13" t="s">
        <v>375</v>
      </c>
      <c r="F1336" s="13">
        <v>1</v>
      </c>
      <c r="G1336" s="153">
        <v>4</v>
      </c>
      <c r="H1336" s="16">
        <f t="shared" si="20"/>
        <v>3</v>
      </c>
      <c r="I1336" s="13">
        <v>4</v>
      </c>
      <c r="J1336" s="160"/>
    </row>
    <row r="1337" spans="1:10">
      <c r="A1337" s="13" t="s">
        <v>1</v>
      </c>
      <c r="B1337" s="13" t="s">
        <v>60</v>
      </c>
      <c r="C1337" s="13" t="str">
        <f>VLOOKUP([1]Competence!$B27,[1]Competence!$B$12:$B$100,1,FALSE)</f>
        <v>Methods and tools</v>
      </c>
      <c r="D1337" s="13" t="str" cm="1">
        <f t="array" ref="D1337">_xlfn.XLOOKUP(B1337,[1]Baseline!$D$3:$AZ$3,_xlfn.XLOOKUP(C1337,[1]Baseline!$B$4:$B$91,[1]Baseline!$D$4:$AZ$91))</f>
        <v>Awareness</v>
      </c>
      <c r="E1337" s="13" t="s">
        <v>375</v>
      </c>
      <c r="F1337" s="13">
        <v>0</v>
      </c>
      <c r="G1337" s="153">
        <v>4</v>
      </c>
      <c r="H1337" s="16">
        <f t="shared" si="20"/>
        <v>4</v>
      </c>
      <c r="I1337" s="13">
        <v>4</v>
      </c>
      <c r="J1337" s="160"/>
    </row>
    <row r="1338" spans="1:10">
      <c r="A1338" s="13" t="s">
        <v>1</v>
      </c>
      <c r="B1338" s="13" t="s">
        <v>60</v>
      </c>
      <c r="C1338" s="13" t="str">
        <f>VLOOKUP([1]Competence!$B28,[1]Competence!$B$12:$B$100,1,FALSE)</f>
        <v>Release and deployment</v>
      </c>
      <c r="D1338" s="13" t="str" cm="1">
        <f t="array" ref="D1338">_xlfn.XLOOKUP(B1338,[1]Baseline!$D$3:$AZ$3,_xlfn.XLOOKUP(C1338,[1]Baseline!$B$4:$B$91,[1]Baseline!$D$4:$AZ$91))</f>
        <v>Awareness</v>
      </c>
      <c r="E1338" s="13" t="s">
        <v>375</v>
      </c>
      <c r="F1338" s="13">
        <v>0</v>
      </c>
      <c r="G1338" s="153">
        <v>4</v>
      </c>
      <c r="H1338" s="16">
        <f t="shared" si="20"/>
        <v>4</v>
      </c>
      <c r="I1338" s="13">
        <v>4</v>
      </c>
      <c r="J1338" s="160"/>
    </row>
    <row r="1339" spans="1:10">
      <c r="A1339" s="13" t="s">
        <v>1</v>
      </c>
      <c r="B1339" s="13" t="s">
        <v>60</v>
      </c>
      <c r="C1339" s="13" t="str">
        <f>VLOOKUP([1]Competence!$B29,[1]Competence!$B$12:$B$100,1,FALSE)</f>
        <v>Service acceptance</v>
      </c>
      <c r="D1339" s="13" t="str" cm="1">
        <f t="array" ref="D1339">_xlfn.XLOOKUP(B1339,[1]Baseline!$D$3:$AZ$3,_xlfn.XLOOKUP(C1339,[1]Baseline!$B$4:$B$91,[1]Baseline!$D$4:$AZ$91))</f>
        <v>Practitioner</v>
      </c>
      <c r="E1339" s="13" t="s">
        <v>375</v>
      </c>
      <c r="F1339" s="13">
        <v>0</v>
      </c>
      <c r="G1339" s="153">
        <v>4</v>
      </c>
      <c r="H1339" s="16">
        <f t="shared" si="20"/>
        <v>4</v>
      </c>
      <c r="I1339" s="13">
        <v>4</v>
      </c>
      <c r="J1339" s="160"/>
    </row>
    <row r="1340" spans="1:10">
      <c r="A1340" s="13" t="s">
        <v>1</v>
      </c>
      <c r="B1340" s="13" t="s">
        <v>60</v>
      </c>
      <c r="C1340" s="13" t="str">
        <f>VLOOKUP([1]Competence!$B30,[1]Competence!$B$12:$B$100,1,FALSE)</f>
        <v>Stakeholder relationship management</v>
      </c>
      <c r="D1340" s="13" t="str" cm="1">
        <f t="array" ref="D1340">_xlfn.XLOOKUP(B1340,[1]Baseline!$D$3:$AZ$3,_xlfn.XLOOKUP(C1340,[1]Baseline!$B$4:$B$91,[1]Baseline!$D$4:$AZ$91))</f>
        <v>Practitioner</v>
      </c>
      <c r="E1340" s="13" t="s">
        <v>375</v>
      </c>
      <c r="F1340" s="13">
        <v>0</v>
      </c>
      <c r="G1340" s="153">
        <v>4</v>
      </c>
      <c r="H1340" s="16">
        <f t="shared" si="20"/>
        <v>4</v>
      </c>
      <c r="I1340" s="13">
        <v>4</v>
      </c>
      <c r="J1340" s="160"/>
    </row>
    <row r="1341" spans="1:10">
      <c r="A1341" s="13" t="s">
        <v>1</v>
      </c>
      <c r="B1341" s="13" t="s">
        <v>60</v>
      </c>
      <c r="C1341" s="13" t="str">
        <f>VLOOKUP([1]Competence!$B31,[1]Competence!$B$12:$B$100,1,FALSE)</f>
        <v>Storage management</v>
      </c>
      <c r="D1341" s="13" t="str" cm="1">
        <f t="array" ref="D1341">_xlfn.XLOOKUP(B1341,[1]Baseline!$D$3:$AZ$3,_xlfn.XLOOKUP(C1341,[1]Baseline!$B$4:$B$91,[1]Baseline!$D$4:$AZ$91))</f>
        <v>Working</v>
      </c>
      <c r="E1341" s="13" t="s">
        <v>375</v>
      </c>
      <c r="F1341" s="13">
        <v>0</v>
      </c>
      <c r="G1341" s="153">
        <v>3</v>
      </c>
      <c r="H1341" s="16">
        <f t="shared" si="20"/>
        <v>3</v>
      </c>
      <c r="I1341" s="13">
        <v>3</v>
      </c>
      <c r="J1341" s="160"/>
    </row>
    <row r="1342" spans="1:10">
      <c r="A1342" s="13" t="s">
        <v>1</v>
      </c>
      <c r="B1342" s="13" t="s">
        <v>60</v>
      </c>
      <c r="C1342" s="13" t="str">
        <f>VLOOKUP([1]Competence!$B32,[1]Competence!$B$12:$B$100,1,FALSE)</f>
        <v>Digital Forensics</v>
      </c>
      <c r="D1342" s="13" t="str" cm="1">
        <f t="array" ref="D1342">_xlfn.XLOOKUP(B1342,[1]Baseline!$D$3:$AZ$3,_xlfn.XLOOKUP(C1342,[1]Baseline!$B$4:$B$91,[1]Baseline!$D$4:$AZ$91))</f>
        <v>No Knowledge</v>
      </c>
      <c r="E1342" s="13" t="s">
        <v>375</v>
      </c>
      <c r="F1342" s="13">
        <v>0</v>
      </c>
      <c r="G1342" s="153">
        <v>2</v>
      </c>
      <c r="H1342" s="16">
        <f t="shared" si="20"/>
        <v>2</v>
      </c>
      <c r="I1342" s="13">
        <v>2</v>
      </c>
      <c r="J1342" s="160"/>
    </row>
    <row r="1343" spans="1:10">
      <c r="A1343" s="13" t="s">
        <v>1</v>
      </c>
      <c r="B1343" s="13" t="s">
        <v>60</v>
      </c>
      <c r="C1343" s="13" t="str">
        <f>VLOOKUP([1]Competence!$B33,[1]Competence!$B$12:$B$100,1,FALSE)</f>
        <v>Penetration testing</v>
      </c>
      <c r="D1343" s="13" t="str" cm="1">
        <f t="array" ref="D1343">_xlfn.XLOOKUP(B1343,[1]Baseline!$D$3:$AZ$3,_xlfn.XLOOKUP(C1343,[1]Baseline!$B$4:$B$91,[1]Baseline!$D$4:$AZ$91))</f>
        <v>No Knowledge</v>
      </c>
      <c r="E1343" s="13" t="s">
        <v>373</v>
      </c>
      <c r="F1343" s="13">
        <v>2</v>
      </c>
      <c r="G1343" s="153">
        <v>2</v>
      </c>
      <c r="H1343" s="16">
        <f t="shared" si="20"/>
        <v>0</v>
      </c>
      <c r="I1343" s="13">
        <v>2</v>
      </c>
      <c r="J1343" s="160"/>
    </row>
    <row r="1344" spans="1:10">
      <c r="A1344" s="13" t="s">
        <v>1</v>
      </c>
      <c r="B1344" s="13" t="s">
        <v>60</v>
      </c>
      <c r="C1344" s="13" t="str">
        <f>VLOOKUP([1]Competence!$B34,[1]Competence!$B$12:$B$100,1,FALSE)</f>
        <v>Security Operations</v>
      </c>
      <c r="D1344" s="13" t="str" cm="1">
        <f t="array" ref="D1344">_xlfn.XLOOKUP(B1344,[1]Baseline!$D$3:$AZ$3,_xlfn.XLOOKUP(C1344,[1]Baseline!$B$4:$B$91,[1]Baseline!$D$4:$AZ$91))</f>
        <v>Practitioner</v>
      </c>
      <c r="E1344" s="13" t="s">
        <v>376</v>
      </c>
      <c r="F1344" s="13">
        <v>3</v>
      </c>
      <c r="G1344" s="153">
        <v>3</v>
      </c>
      <c r="H1344" s="16">
        <f t="shared" si="20"/>
        <v>0</v>
      </c>
      <c r="I1344" s="13">
        <v>3</v>
      </c>
      <c r="J1344" s="160"/>
    </row>
    <row r="1345" spans="1:10">
      <c r="A1345" s="13" t="s">
        <v>1</v>
      </c>
      <c r="B1345" s="13" t="s">
        <v>60</v>
      </c>
      <c r="C1345" s="13" t="str">
        <f>VLOOKUP([1]Competence!$B35,[1]Competence!$B$12:$B$100,1,FALSE)</f>
        <v>Threat Intelligence</v>
      </c>
      <c r="D1345" s="13" t="str" cm="1">
        <f t="array" ref="D1345">_xlfn.XLOOKUP(B1345,[1]Baseline!$D$3:$AZ$3,_xlfn.XLOOKUP(C1345,[1]Baseline!$B$4:$B$91,[1]Baseline!$D$4:$AZ$91))</f>
        <v>No Knowledge</v>
      </c>
      <c r="E1345" s="13" t="s">
        <v>374</v>
      </c>
      <c r="F1345" s="13">
        <v>3</v>
      </c>
      <c r="G1345" s="153">
        <v>2</v>
      </c>
      <c r="H1345" s="16">
        <f t="shared" si="20"/>
        <v>-1</v>
      </c>
      <c r="I1345" s="13">
        <v>2</v>
      </c>
      <c r="J1345" s="160"/>
    </row>
    <row r="1346" spans="1:10">
      <c r="A1346" s="13" t="s">
        <v>1</v>
      </c>
      <c r="B1346" s="13" t="s">
        <v>60</v>
      </c>
      <c r="C1346" s="13" t="str">
        <f>VLOOKUP([1]Competence!$B36,[1]Competence!$B$12:$B$100,1,FALSE)</f>
        <v>Vulnerability assessment</v>
      </c>
      <c r="D1346" s="13" t="str" cm="1">
        <f t="array" ref="D1346">_xlfn.XLOOKUP(B1346,[1]Baseline!$D$3:$AZ$3,_xlfn.XLOOKUP(C1346,[1]Baseline!$B$4:$B$91,[1]Baseline!$D$4:$AZ$91))</f>
        <v>Working</v>
      </c>
      <c r="E1346" s="13" t="s">
        <v>374</v>
      </c>
      <c r="F1346" s="13">
        <v>3</v>
      </c>
      <c r="G1346" s="153">
        <v>2</v>
      </c>
      <c r="H1346" s="16">
        <f t="shared" ref="H1346:H1409" si="21">I1346-F1346</f>
        <v>-1</v>
      </c>
      <c r="I1346" s="13">
        <v>2</v>
      </c>
      <c r="J1346" s="160"/>
    </row>
    <row r="1347" spans="1:10">
      <c r="A1347" s="13" t="s">
        <v>1</v>
      </c>
      <c r="B1347" s="13" t="s">
        <v>60</v>
      </c>
      <c r="C1347" s="13" t="str">
        <f>VLOOKUP([1]Competence!$B37,[1]Competence!$B$12:$B$100,1,FALSE)</f>
        <v>Vulnerability Research</v>
      </c>
      <c r="D1347" s="13" t="str" cm="1">
        <f t="array" ref="D1347">_xlfn.XLOOKUP(B1347,[1]Baseline!$D$3:$AZ$3,_xlfn.XLOOKUP(C1347,[1]Baseline!$B$4:$B$91,[1]Baseline!$D$4:$AZ$91))</f>
        <v>No Knowledge</v>
      </c>
      <c r="E1347" s="13" t="s">
        <v>374</v>
      </c>
      <c r="F1347" s="13">
        <v>2</v>
      </c>
      <c r="G1347" s="153">
        <v>1</v>
      </c>
      <c r="H1347" s="16">
        <f t="shared" si="21"/>
        <v>-1</v>
      </c>
      <c r="I1347" s="13">
        <v>1</v>
      </c>
      <c r="J1347" s="160"/>
    </row>
    <row r="1348" spans="1:10">
      <c r="A1348" s="13" t="s">
        <v>1</v>
      </c>
      <c r="B1348" s="13" t="s">
        <v>60</v>
      </c>
      <c r="C1348" s="13" t="str">
        <f>VLOOKUP([1]Competence!$B38,[1]Competence!$B$12:$B$100,1,FALSE)</f>
        <v>Competency assessment</v>
      </c>
      <c r="D1348" s="13" t="str" cm="1">
        <f t="array" ref="D1348">_xlfn.XLOOKUP(B1348,[1]Baseline!$D$3:$AZ$3,_xlfn.XLOOKUP(C1348,[1]Baseline!$B$4:$B$91,[1]Baseline!$D$4:$AZ$91))</f>
        <v>Working</v>
      </c>
      <c r="E1348" s="13" t="s">
        <v>377</v>
      </c>
      <c r="F1348" s="13">
        <v>0</v>
      </c>
      <c r="G1348" s="153">
        <v>4</v>
      </c>
      <c r="H1348" s="16">
        <f t="shared" si="21"/>
        <v>4</v>
      </c>
      <c r="I1348" s="13">
        <v>4</v>
      </c>
      <c r="J1348" s="160"/>
    </row>
    <row r="1349" spans="1:10">
      <c r="A1349" s="13" t="s">
        <v>1</v>
      </c>
      <c r="B1349" s="13" t="s">
        <v>60</v>
      </c>
      <c r="C1349" s="13" t="str">
        <f>VLOOKUP([1]Competence!$B39,[1]Competence!$B$12:$B$100,1,FALSE)</f>
        <v>Financial management</v>
      </c>
      <c r="D1349" s="13" t="str" cm="1">
        <f t="array" ref="D1349">_xlfn.XLOOKUP(B1349,[1]Baseline!$D$3:$AZ$3,_xlfn.XLOOKUP(C1349,[1]Baseline!$B$4:$B$91,[1]Baseline!$D$4:$AZ$91))</f>
        <v>Working</v>
      </c>
      <c r="E1349" s="13" t="s">
        <v>49</v>
      </c>
      <c r="F1349" s="13">
        <v>2</v>
      </c>
      <c r="G1349" s="153">
        <v>4</v>
      </c>
      <c r="H1349" s="16">
        <f t="shared" si="21"/>
        <v>2</v>
      </c>
      <c r="I1349" s="13">
        <v>4</v>
      </c>
      <c r="J1349" s="160"/>
    </row>
    <row r="1350" spans="1:10">
      <c r="A1350" s="13" t="s">
        <v>1</v>
      </c>
      <c r="B1350" s="13" t="s">
        <v>60</v>
      </c>
      <c r="C1350" s="13" t="str">
        <f>VLOOKUP([1]Competence!$B40,[1]Competence!$B$12:$B$100,1,FALSE)</f>
        <v>Organisation design and implementation</v>
      </c>
      <c r="D1350" s="13" t="str" cm="1">
        <f t="array" ref="D1350">_xlfn.XLOOKUP(B1350,[1]Baseline!$D$3:$AZ$3,_xlfn.XLOOKUP(C1350,[1]Baseline!$B$4:$B$91,[1]Baseline!$D$4:$AZ$91))</f>
        <v>No Knowledge</v>
      </c>
      <c r="E1350" s="13" t="s">
        <v>49</v>
      </c>
      <c r="F1350" s="13">
        <v>1</v>
      </c>
      <c r="G1350" s="153">
        <v>4</v>
      </c>
      <c r="H1350" s="16">
        <f t="shared" si="21"/>
        <v>3</v>
      </c>
      <c r="I1350" s="13">
        <v>4</v>
      </c>
      <c r="J1350" s="160"/>
    </row>
    <row r="1351" spans="1:10">
      <c r="A1351" s="13" t="s">
        <v>1</v>
      </c>
      <c r="B1351" s="13" t="s">
        <v>60</v>
      </c>
      <c r="C1351" s="13" t="str">
        <f>VLOOKUP([1]Competence!$B41,[1]Competence!$B$12:$B$100,1,FALSE)</f>
        <v>Organisational capability development</v>
      </c>
      <c r="D1351" s="13" t="str" cm="1">
        <f t="array" ref="D1351">_xlfn.XLOOKUP(B1351,[1]Baseline!$D$3:$AZ$3,_xlfn.XLOOKUP(C1351,[1]Baseline!$B$4:$B$91,[1]Baseline!$D$4:$AZ$91))</f>
        <v>No Knowledge</v>
      </c>
      <c r="E1351" s="13" t="s">
        <v>375</v>
      </c>
      <c r="F1351" s="13">
        <v>0</v>
      </c>
      <c r="G1351" s="153">
        <v>4</v>
      </c>
      <c r="H1351" s="16">
        <f t="shared" si="21"/>
        <v>4</v>
      </c>
      <c r="I1351" s="13">
        <v>4</v>
      </c>
      <c r="J1351" s="160"/>
    </row>
    <row r="1352" spans="1:10">
      <c r="A1352" s="13" t="s">
        <v>1</v>
      </c>
      <c r="B1352" s="13" t="s">
        <v>60</v>
      </c>
      <c r="C1352" s="13" t="str">
        <f>VLOOKUP([1]Competence!$B42,[1]Competence!$B$12:$B$100,1,FALSE)</f>
        <v>Organisational change management</v>
      </c>
      <c r="D1352" s="13" t="str" cm="1">
        <f t="array" ref="D1352">_xlfn.XLOOKUP(B1352,[1]Baseline!$D$3:$AZ$3,_xlfn.XLOOKUP(C1352,[1]Baseline!$B$4:$B$91,[1]Baseline!$D$4:$AZ$91))</f>
        <v>Awareness</v>
      </c>
      <c r="E1352" s="13" t="s">
        <v>375</v>
      </c>
      <c r="F1352" s="13">
        <v>0</v>
      </c>
      <c r="G1352" s="153">
        <v>4</v>
      </c>
      <c r="H1352" s="16">
        <f t="shared" si="21"/>
        <v>4</v>
      </c>
      <c r="I1352" s="13">
        <v>4</v>
      </c>
      <c r="J1352" s="160"/>
    </row>
    <row r="1353" spans="1:10">
      <c r="A1353" s="13" t="s">
        <v>1</v>
      </c>
      <c r="B1353" s="13" t="s">
        <v>60</v>
      </c>
      <c r="C1353" s="13" t="str">
        <f>VLOOKUP([1]Competence!$B43,[1]Competence!$B$12:$B$100,1,FALSE)</f>
        <v>Performance Management</v>
      </c>
      <c r="D1353" s="13" t="str" cm="1">
        <f t="array" ref="D1353">_xlfn.XLOOKUP(B1353,[1]Baseline!$D$3:$AZ$3,_xlfn.XLOOKUP(C1353,[1]Baseline!$B$4:$B$91,[1]Baseline!$D$4:$AZ$91))</f>
        <v>Working</v>
      </c>
      <c r="E1353" s="13" t="s">
        <v>375</v>
      </c>
      <c r="F1353" s="13">
        <v>1</v>
      </c>
      <c r="G1353" s="153">
        <v>4</v>
      </c>
      <c r="H1353" s="16">
        <f t="shared" si="21"/>
        <v>3</v>
      </c>
      <c r="I1353" s="13">
        <v>4</v>
      </c>
      <c r="J1353" s="160"/>
    </row>
    <row r="1354" spans="1:10">
      <c r="A1354" s="13" t="s">
        <v>1</v>
      </c>
      <c r="B1354" s="13" t="s">
        <v>60</v>
      </c>
      <c r="C1354" s="13" t="str">
        <f>VLOOKUP([1]Competence!$B44,[1]Competence!$B$12:$B$100,1,FALSE)</f>
        <v>Professional Development</v>
      </c>
      <c r="D1354" s="13" t="str" cm="1">
        <f t="array" ref="D1354">_xlfn.XLOOKUP(B1354,[1]Baseline!$D$3:$AZ$3,_xlfn.XLOOKUP(C1354,[1]Baseline!$B$4:$B$91,[1]Baseline!$D$4:$AZ$91))</f>
        <v>Working</v>
      </c>
      <c r="E1354" s="13" t="s">
        <v>375</v>
      </c>
      <c r="F1354" s="13">
        <v>2</v>
      </c>
      <c r="G1354" s="153">
        <v>4</v>
      </c>
      <c r="H1354" s="16">
        <f t="shared" si="21"/>
        <v>2</v>
      </c>
      <c r="I1354" s="13">
        <v>4</v>
      </c>
      <c r="J1354" s="160"/>
    </row>
    <row r="1355" spans="1:10">
      <c r="A1355" s="13" t="s">
        <v>1</v>
      </c>
      <c r="B1355" s="13" t="s">
        <v>60</v>
      </c>
      <c r="C1355" s="13" t="str">
        <f>VLOOKUP([1]Competence!$B45,[1]Competence!$B$12:$B$100,1,FALSE)</f>
        <v>Strategic Planning</v>
      </c>
      <c r="D1355" s="13" t="str" cm="1">
        <f t="array" ref="D1355">_xlfn.XLOOKUP(B1355,[1]Baseline!$D$3:$AZ$3,_xlfn.XLOOKUP(C1355,[1]Baseline!$B$4:$B$91,[1]Baseline!$D$4:$AZ$91))</f>
        <v>Awareness</v>
      </c>
      <c r="E1355" s="13" t="s">
        <v>375</v>
      </c>
      <c r="F1355" s="13">
        <v>0</v>
      </c>
      <c r="G1355" s="153">
        <v>4</v>
      </c>
      <c r="H1355" s="16">
        <f t="shared" si="21"/>
        <v>4</v>
      </c>
      <c r="I1355" s="13">
        <v>4</v>
      </c>
      <c r="J1355" s="160"/>
    </row>
    <row r="1356" spans="1:10">
      <c r="A1356" s="13" t="s">
        <v>1</v>
      </c>
      <c r="B1356" s="13" t="s">
        <v>60</v>
      </c>
      <c r="C1356" s="13" t="str">
        <f>VLOOKUP([1]Competence!$B46,[1]Competence!$B$12:$B$100,1,FALSE)</f>
        <v>Workforce Planning</v>
      </c>
      <c r="D1356" s="13" t="str" cm="1">
        <f t="array" ref="D1356">_xlfn.XLOOKUP(B1356,[1]Baseline!$D$3:$AZ$3,_xlfn.XLOOKUP(C1356,[1]Baseline!$B$4:$B$91,[1]Baseline!$D$4:$AZ$91))</f>
        <v>Working</v>
      </c>
      <c r="E1356" s="13" t="s">
        <v>375</v>
      </c>
      <c r="F1356" s="13">
        <v>0</v>
      </c>
      <c r="G1356" s="153">
        <v>4</v>
      </c>
      <c r="H1356" s="16">
        <f t="shared" si="21"/>
        <v>4</v>
      </c>
      <c r="I1356" s="13">
        <v>4</v>
      </c>
      <c r="J1356" s="160"/>
    </row>
    <row r="1357" spans="1:10">
      <c r="A1357" s="13" t="s">
        <v>1</v>
      </c>
      <c r="B1357" s="13" t="s">
        <v>60</v>
      </c>
      <c r="C1357" s="13" t="str">
        <f>VLOOKUP([1]Competence!$B47,[1]Competence!$B$12:$B$100,1,FALSE)</f>
        <v>Audit</v>
      </c>
      <c r="D1357" s="13" t="str" cm="1">
        <f t="array" ref="D1357">_xlfn.XLOOKUP(B1357,[1]Baseline!$D$3:$AZ$3,_xlfn.XLOOKUP(C1357,[1]Baseline!$B$4:$B$91,[1]Baseline!$D$4:$AZ$91))</f>
        <v>Working</v>
      </c>
      <c r="E1357" s="13" t="s">
        <v>375</v>
      </c>
      <c r="F1357" s="13">
        <v>3</v>
      </c>
      <c r="G1357" s="153">
        <v>4</v>
      </c>
      <c r="H1357" s="16">
        <f t="shared" si="21"/>
        <v>1</v>
      </c>
      <c r="I1357" s="13">
        <v>4</v>
      </c>
      <c r="J1357" s="160"/>
    </row>
    <row r="1358" spans="1:10">
      <c r="A1358" s="13" t="s">
        <v>1</v>
      </c>
      <c r="B1358" s="13" t="s">
        <v>60</v>
      </c>
      <c r="C1358" s="13" t="str">
        <f>VLOOKUP([1]Competence!$B48,[1]Competence!$B$12:$B$100,1,FALSE)</f>
        <v>Contract management</v>
      </c>
      <c r="D1358" s="13" t="str" cm="1">
        <f t="array" ref="D1358">_xlfn.XLOOKUP(B1358,[1]Baseline!$D$3:$AZ$3,_xlfn.XLOOKUP(C1358,[1]Baseline!$B$4:$B$91,[1]Baseline!$D$4:$AZ$91))</f>
        <v>No Knowledge</v>
      </c>
      <c r="E1358" s="13" t="s">
        <v>375</v>
      </c>
      <c r="F1358" s="13">
        <v>2</v>
      </c>
      <c r="G1358" s="153">
        <v>3</v>
      </c>
      <c r="H1358" s="16">
        <f t="shared" si="21"/>
        <v>1</v>
      </c>
      <c r="I1358" s="13">
        <v>3</v>
      </c>
      <c r="J1358" s="160"/>
    </row>
    <row r="1359" spans="1:10">
      <c r="A1359" s="13" t="s">
        <v>1</v>
      </c>
      <c r="B1359" s="13" t="s">
        <v>60</v>
      </c>
      <c r="C1359" s="13" t="str">
        <f>VLOOKUP([1]Competence!$B49,[1]Competence!$B$12:$B$100,1,FALSE)</f>
        <v>Feasibility assessment</v>
      </c>
      <c r="D1359" s="13" t="str" cm="1">
        <f t="array" ref="D1359">_xlfn.XLOOKUP(B1359,[1]Baseline!$D$3:$AZ$3,_xlfn.XLOOKUP(C1359,[1]Baseline!$B$4:$B$91,[1]Baseline!$D$4:$AZ$91))</f>
        <v>No Knowledge</v>
      </c>
      <c r="E1359" s="13" t="s">
        <v>375</v>
      </c>
      <c r="F1359" s="13">
        <v>2</v>
      </c>
      <c r="G1359" s="153">
        <v>4</v>
      </c>
      <c r="H1359" s="16">
        <f t="shared" si="21"/>
        <v>2</v>
      </c>
      <c r="I1359" s="13">
        <v>4</v>
      </c>
      <c r="J1359" s="160"/>
    </row>
    <row r="1360" spans="1:10">
      <c r="A1360" s="13" t="s">
        <v>1</v>
      </c>
      <c r="B1360" s="13" t="s">
        <v>60</v>
      </c>
      <c r="C1360" s="13" t="str">
        <f>VLOOKUP([1]Competence!$B50,[1]Competence!$B$12:$B$100,1,FALSE)</f>
        <v>Governance</v>
      </c>
      <c r="D1360" s="13" t="str" cm="1">
        <f t="array" ref="D1360">_xlfn.XLOOKUP(B1360,[1]Baseline!$D$3:$AZ$3,_xlfn.XLOOKUP(C1360,[1]Baseline!$B$4:$B$91,[1]Baseline!$D$4:$AZ$91))</f>
        <v>Working</v>
      </c>
      <c r="E1360" s="13" t="s">
        <v>375</v>
      </c>
      <c r="F1360" s="13">
        <v>3</v>
      </c>
      <c r="G1360" s="153">
        <v>3</v>
      </c>
      <c r="H1360" s="16">
        <f t="shared" si="21"/>
        <v>0</v>
      </c>
      <c r="I1360" s="13">
        <v>3</v>
      </c>
      <c r="J1360" s="160"/>
    </row>
    <row r="1361" spans="1:10">
      <c r="A1361" s="13" t="s">
        <v>1</v>
      </c>
      <c r="B1361" s="13" t="s">
        <v>60</v>
      </c>
      <c r="C1361" s="13" t="str">
        <f>VLOOKUP([1]Competence!$B51,[1]Competence!$B$12:$B$100,1,FALSE)</f>
        <v>Risk management</v>
      </c>
      <c r="D1361" s="13" t="str" cm="1">
        <f t="array" ref="D1361">_xlfn.XLOOKUP(B1361,[1]Baseline!$D$3:$AZ$3,_xlfn.XLOOKUP(C1361,[1]Baseline!$B$4:$B$91,[1]Baseline!$D$4:$AZ$91))</f>
        <v>No Knowledge</v>
      </c>
      <c r="E1361" s="13" t="s">
        <v>375</v>
      </c>
      <c r="F1361" s="13">
        <v>1</v>
      </c>
      <c r="G1361" s="153">
        <v>3</v>
      </c>
      <c r="H1361" s="16">
        <f t="shared" si="21"/>
        <v>2</v>
      </c>
      <c r="I1361" s="13">
        <v>3</v>
      </c>
      <c r="J1361" s="160"/>
    </row>
    <row r="1362" spans="1:10">
      <c r="A1362" s="13" t="s">
        <v>1</v>
      </c>
      <c r="B1362" s="13" t="s">
        <v>60</v>
      </c>
      <c r="C1362" s="13" t="str">
        <f>VLOOKUP([1]Competence!$B52,[1]Competence!$B$12:$B$100,1,FALSE)</f>
        <v>Sourcing</v>
      </c>
      <c r="D1362" s="13" t="str" cm="1">
        <f t="array" ref="D1362">_xlfn.XLOOKUP(B1362,[1]Baseline!$D$3:$AZ$3,_xlfn.XLOOKUP(C1362,[1]Baseline!$B$4:$B$91,[1]Baseline!$D$4:$AZ$91))</f>
        <v>Awareness</v>
      </c>
      <c r="E1362" s="13" t="s">
        <v>373</v>
      </c>
      <c r="F1362" s="13">
        <v>0</v>
      </c>
      <c r="G1362" s="153">
        <v>2</v>
      </c>
      <c r="H1362" s="16">
        <f t="shared" si="21"/>
        <v>2</v>
      </c>
      <c r="I1362" s="13">
        <v>2</v>
      </c>
      <c r="J1362" s="160"/>
    </row>
    <row r="1363" spans="1:10">
      <c r="A1363" s="13" t="s">
        <v>1</v>
      </c>
      <c r="B1363" s="13" t="s">
        <v>60</v>
      </c>
      <c r="C1363" s="13" t="str">
        <f>VLOOKUP([1]Competence!$B53,[1]Competence!$B$12:$B$100,1,FALSE)</f>
        <v>Supplier management</v>
      </c>
      <c r="D1363" s="13" t="str" cm="1">
        <f t="array" ref="D1363">_xlfn.XLOOKUP(B1363,[1]Baseline!$D$3:$AZ$3,_xlfn.XLOOKUP(C1363,[1]Baseline!$B$4:$B$91,[1]Baseline!$D$4:$AZ$91))</f>
        <v>Working</v>
      </c>
      <c r="E1363" s="13" t="s">
        <v>373</v>
      </c>
      <c r="F1363" s="13">
        <v>0</v>
      </c>
      <c r="G1363" s="153">
        <v>2</v>
      </c>
      <c r="H1363" s="16">
        <f t="shared" si="21"/>
        <v>2</v>
      </c>
      <c r="I1363" s="13">
        <v>2</v>
      </c>
      <c r="J1363" s="160"/>
    </row>
    <row r="1364" spans="1:10">
      <c r="A1364" s="13" t="s">
        <v>1</v>
      </c>
      <c r="B1364" s="13" t="s">
        <v>60</v>
      </c>
      <c r="C1364" s="13" t="str">
        <f>VLOOKUP([1]Competence!$B54,[1]Competence!$B$12:$B$100,1,FALSE)</f>
        <v>Sustainability</v>
      </c>
      <c r="D1364" s="13" t="str" cm="1">
        <f t="array" ref="D1364">_xlfn.XLOOKUP(B1364,[1]Baseline!$D$3:$AZ$3,_xlfn.XLOOKUP(C1364,[1]Baseline!$B$4:$B$91,[1]Baseline!$D$4:$AZ$91))</f>
        <v>Awareness</v>
      </c>
      <c r="E1364" s="13" t="s">
        <v>374</v>
      </c>
      <c r="F1364" s="13">
        <v>2</v>
      </c>
      <c r="G1364" s="153">
        <v>4</v>
      </c>
      <c r="H1364" s="16">
        <f t="shared" si="21"/>
        <v>2</v>
      </c>
      <c r="I1364" s="13">
        <v>4</v>
      </c>
      <c r="J1364" s="160"/>
    </row>
    <row r="1365" spans="1:10">
      <c r="A1365" s="13" t="s">
        <v>1</v>
      </c>
      <c r="B1365" s="13" t="s">
        <v>60</v>
      </c>
      <c r="C1365" s="13" t="str">
        <f>VLOOKUP([1]Competence!$B55,[1]Competence!$B$12:$B$100,1,FALSE)</f>
        <v>Acceptance testing</v>
      </c>
      <c r="D1365" s="13" t="str" cm="1">
        <f t="array" ref="D1365">_xlfn.XLOOKUP(B1365,[1]Baseline!$D$3:$AZ$3,_xlfn.XLOOKUP(C1365,[1]Baseline!$B$4:$B$91,[1]Baseline!$D$4:$AZ$91))</f>
        <v>Awareness</v>
      </c>
      <c r="E1365" s="13" t="s">
        <v>374</v>
      </c>
      <c r="F1365" s="13">
        <v>2</v>
      </c>
      <c r="G1365" s="153">
        <v>3</v>
      </c>
      <c r="H1365" s="16">
        <f t="shared" si="21"/>
        <v>1</v>
      </c>
      <c r="I1365" s="13">
        <v>3</v>
      </c>
      <c r="J1365" s="160"/>
    </row>
    <row r="1366" spans="1:10">
      <c r="A1366" s="13" t="s">
        <v>1</v>
      </c>
      <c r="B1366" s="13" t="s">
        <v>60</v>
      </c>
      <c r="C1366" s="13" t="str">
        <f>VLOOKUP([1]Competence!$B56,[1]Competence!$B$12:$B$100,1,FALSE)</f>
        <v>Application support</v>
      </c>
      <c r="D1366" s="13" t="str" cm="1">
        <f t="array" ref="D1366">_xlfn.XLOOKUP(B1366,[1]Baseline!$D$3:$AZ$3,_xlfn.XLOOKUP(C1366,[1]Baseline!$B$4:$B$91,[1]Baseline!$D$4:$AZ$91))</f>
        <v>Working</v>
      </c>
      <c r="E1366" s="13" t="s">
        <v>377</v>
      </c>
      <c r="F1366" s="13">
        <v>0</v>
      </c>
      <c r="G1366" s="153">
        <v>4</v>
      </c>
      <c r="H1366" s="16">
        <f t="shared" si="21"/>
        <v>4</v>
      </c>
      <c r="I1366" s="13">
        <v>4</v>
      </c>
      <c r="J1366" s="160"/>
    </row>
    <row r="1367" spans="1:10">
      <c r="A1367" s="13" t="s">
        <v>1</v>
      </c>
      <c r="B1367" s="13" t="s">
        <v>60</v>
      </c>
      <c r="C1367" s="13" t="str">
        <f>VLOOKUP([1]Competence!$B57,[1]Competence!$B$12:$B$100,1,FALSE)</f>
        <v>Data Engineering</v>
      </c>
      <c r="D1367" s="13" t="str" cm="1">
        <f t="array" ref="D1367">_xlfn.XLOOKUP(B1367,[1]Baseline!$D$3:$AZ$3,_xlfn.XLOOKUP(C1367,[1]Baseline!$B$4:$B$91,[1]Baseline!$D$4:$AZ$91))</f>
        <v>No Knowledge</v>
      </c>
      <c r="E1367" s="13" t="s">
        <v>377</v>
      </c>
      <c r="F1367" s="13">
        <v>0</v>
      </c>
      <c r="G1367" s="153">
        <v>3</v>
      </c>
      <c r="H1367" s="16">
        <f t="shared" si="21"/>
        <v>3</v>
      </c>
      <c r="I1367" s="13">
        <v>3</v>
      </c>
      <c r="J1367" s="160"/>
    </row>
    <row r="1368" spans="1:10">
      <c r="A1368" s="13" t="s">
        <v>1</v>
      </c>
      <c r="B1368" s="13" t="s">
        <v>60</v>
      </c>
      <c r="C1368" s="13" t="str">
        <f>VLOOKUP([1]Competence!$B58,[1]Competence!$B$12:$B$100,1,FALSE)</f>
        <v>Data Management</v>
      </c>
      <c r="D1368" s="13" t="str" cm="1">
        <f t="array" ref="D1368">_xlfn.XLOOKUP(B1368,[1]Baseline!$D$3:$AZ$3,_xlfn.XLOOKUP(C1368,[1]Baseline!$B$4:$B$91,[1]Baseline!$D$4:$AZ$91))</f>
        <v>No Knowledge</v>
      </c>
      <c r="E1368" s="13" t="s">
        <v>377</v>
      </c>
      <c r="F1368" s="13">
        <v>0</v>
      </c>
      <c r="G1368" s="153">
        <v>3</v>
      </c>
      <c r="H1368" s="16">
        <f t="shared" si="21"/>
        <v>3</v>
      </c>
      <c r="I1368" s="13">
        <v>3</v>
      </c>
      <c r="J1368" s="160"/>
    </row>
    <row r="1369" spans="1:10">
      <c r="A1369" s="13" t="s">
        <v>1</v>
      </c>
      <c r="B1369" s="13" t="s">
        <v>60</v>
      </c>
      <c r="C1369" s="13" t="str">
        <f>VLOOKUP([1]Competence!$B59,[1]Competence!$B$12:$B$100,1,FALSE)</f>
        <v>Data Modelling and Design</v>
      </c>
      <c r="D1369" s="13" t="str" cm="1">
        <f t="array" ref="D1369">_xlfn.XLOOKUP(B1369,[1]Baseline!$D$3:$AZ$3,_xlfn.XLOOKUP(C1369,[1]Baseline!$B$4:$B$91,[1]Baseline!$D$4:$AZ$91))</f>
        <v>No Knowledge</v>
      </c>
      <c r="E1369" s="13" t="s">
        <v>378</v>
      </c>
      <c r="F1369" s="13">
        <v>2</v>
      </c>
      <c r="G1369" s="153">
        <v>2</v>
      </c>
      <c r="H1369" s="16">
        <f t="shared" si="21"/>
        <v>0</v>
      </c>
      <c r="I1369" s="13">
        <v>2</v>
      </c>
      <c r="J1369" s="160"/>
    </row>
    <row r="1370" spans="1:10">
      <c r="A1370" s="13" t="s">
        <v>1</v>
      </c>
      <c r="B1370" s="13" t="s">
        <v>60</v>
      </c>
      <c r="C1370" s="13" t="str">
        <f>VLOOKUP([1]Competence!$B60,[1]Competence!$B$12:$B$100,1,FALSE)</f>
        <v>Data science</v>
      </c>
      <c r="D1370" s="13" t="str" cm="1">
        <f t="array" ref="D1370">_xlfn.XLOOKUP(B1370,[1]Baseline!$D$3:$AZ$3,_xlfn.XLOOKUP(C1370,[1]Baseline!$B$4:$B$91,[1]Baseline!$D$4:$AZ$91))</f>
        <v>No Knowledge</v>
      </c>
      <c r="E1370" s="13" t="s">
        <v>378</v>
      </c>
      <c r="F1370" s="13">
        <v>2</v>
      </c>
      <c r="G1370" s="153">
        <v>1</v>
      </c>
      <c r="H1370" s="16">
        <f t="shared" si="21"/>
        <v>-1</v>
      </c>
      <c r="I1370" s="13">
        <v>1</v>
      </c>
      <c r="J1370" s="160"/>
    </row>
    <row r="1371" spans="1:10">
      <c r="A1371" s="13" t="s">
        <v>1</v>
      </c>
      <c r="B1371" s="13" t="s">
        <v>60</v>
      </c>
      <c r="C1371" s="13" t="str">
        <f>VLOOKUP([1]Competence!$B61,[1]Competence!$B$12:$B$100,1,FALSE)</f>
        <v>Data visualisation</v>
      </c>
      <c r="D1371" s="13" t="str" cm="1">
        <f t="array" ref="D1371">_xlfn.XLOOKUP(B1371,[1]Baseline!$D$3:$AZ$3,_xlfn.XLOOKUP(C1371,[1]Baseline!$B$4:$B$91,[1]Baseline!$D$4:$AZ$91))</f>
        <v>No Knowledge</v>
      </c>
      <c r="E1371" s="13" t="s">
        <v>378</v>
      </c>
      <c r="F1371" s="13">
        <v>2</v>
      </c>
      <c r="G1371" s="153">
        <v>2</v>
      </c>
      <c r="H1371" s="16">
        <f t="shared" si="21"/>
        <v>0</v>
      </c>
      <c r="I1371" s="13">
        <v>2</v>
      </c>
      <c r="J1371" s="160"/>
    </row>
    <row r="1372" spans="1:10">
      <c r="A1372" s="13" t="s">
        <v>1</v>
      </c>
      <c r="B1372" s="13" t="s">
        <v>60</v>
      </c>
      <c r="C1372" s="13" t="str">
        <f>VLOOKUP([1]Competence!$B62,[1]Competence!$B$12:$B$100,1,FALSE)</f>
        <v>Database Administration</v>
      </c>
      <c r="D1372" s="13" t="str" cm="1">
        <f t="array" ref="D1372">_xlfn.XLOOKUP(B1372,[1]Baseline!$D$3:$AZ$3,_xlfn.XLOOKUP(C1372,[1]Baseline!$B$4:$B$91,[1]Baseline!$D$4:$AZ$91))</f>
        <v>No Knowledge</v>
      </c>
      <c r="E1372" s="13" t="s">
        <v>378</v>
      </c>
      <c r="F1372" s="13">
        <v>2</v>
      </c>
      <c r="G1372" s="153">
        <v>2</v>
      </c>
      <c r="H1372" s="16">
        <f t="shared" si="21"/>
        <v>0</v>
      </c>
      <c r="I1372" s="13">
        <v>2</v>
      </c>
      <c r="J1372" s="160"/>
    </row>
    <row r="1373" spans="1:10">
      <c r="A1373" s="13" t="s">
        <v>1</v>
      </c>
      <c r="B1373" s="13" t="s">
        <v>60</v>
      </c>
      <c r="C1373" s="13" t="str">
        <f>VLOOKUP([1]Competence!$B63,[1]Competence!$B$12:$B$100,1,FALSE)</f>
        <v>Database Design</v>
      </c>
      <c r="D1373" s="13" t="str" cm="1">
        <f t="array" ref="D1373">_xlfn.XLOOKUP(B1373,[1]Baseline!$D$3:$AZ$3,_xlfn.XLOOKUP(C1373,[1]Baseline!$B$4:$B$91,[1]Baseline!$D$4:$AZ$91))</f>
        <v>No Knowledge</v>
      </c>
      <c r="E1373" s="13" t="s">
        <v>378</v>
      </c>
      <c r="F1373" s="13">
        <v>2</v>
      </c>
      <c r="G1373" s="153">
        <v>1</v>
      </c>
      <c r="H1373" s="16">
        <f t="shared" si="21"/>
        <v>-1</v>
      </c>
      <c r="I1373" s="13">
        <v>1</v>
      </c>
      <c r="J1373" s="160"/>
    </row>
    <row r="1374" spans="1:10">
      <c r="A1374" s="13" t="s">
        <v>1</v>
      </c>
      <c r="B1374" s="13" t="s">
        <v>60</v>
      </c>
      <c r="C1374" s="13" t="str">
        <f>VLOOKUP([1]Competence!$B64,[1]Competence!$B$12:$B$100,1,FALSE)</f>
        <v>Hardware design</v>
      </c>
      <c r="D1374" s="13" t="str" cm="1">
        <f t="array" ref="D1374">_xlfn.XLOOKUP(B1374,[1]Baseline!$D$3:$AZ$3,_xlfn.XLOOKUP(C1374,[1]Baseline!$B$4:$B$91,[1]Baseline!$D$4:$AZ$91))</f>
        <v>No Knowledge</v>
      </c>
      <c r="E1374" s="13" t="s">
        <v>49</v>
      </c>
      <c r="F1374" s="13">
        <v>2</v>
      </c>
      <c r="G1374" s="153">
        <v>3</v>
      </c>
      <c r="H1374" s="16">
        <f t="shared" si="21"/>
        <v>1</v>
      </c>
      <c r="I1374" s="13">
        <v>3</v>
      </c>
      <c r="J1374" s="160"/>
    </row>
    <row r="1375" spans="1:10">
      <c r="A1375" s="13" t="s">
        <v>1</v>
      </c>
      <c r="B1375" s="13" t="s">
        <v>60</v>
      </c>
      <c r="C1375" s="13" t="str">
        <f>VLOOKUP([1]Competence!$B65,[1]Competence!$B$12:$B$100,1,FALSE)</f>
        <v>High Performance Computing</v>
      </c>
      <c r="D1375" s="13" t="str" cm="1">
        <f t="array" ref="D1375">_xlfn.XLOOKUP(B1375,[1]Baseline!$D$3:$AZ$3,_xlfn.XLOOKUP(C1375,[1]Baseline!$B$4:$B$91,[1]Baseline!$D$4:$AZ$91))</f>
        <v>Awareness</v>
      </c>
      <c r="E1375" s="13" t="s">
        <v>375</v>
      </c>
      <c r="F1375" s="13">
        <v>1</v>
      </c>
      <c r="G1375" s="153">
        <v>1</v>
      </c>
      <c r="H1375" s="16">
        <f t="shared" si="21"/>
        <v>0</v>
      </c>
      <c r="I1375" s="13">
        <v>1</v>
      </c>
      <c r="J1375" s="160"/>
    </row>
    <row r="1376" spans="1:10">
      <c r="A1376" s="13" t="s">
        <v>1</v>
      </c>
      <c r="B1376" s="13" t="s">
        <v>60</v>
      </c>
      <c r="C1376" s="13" t="str">
        <f>VLOOKUP([1]Competence!$B66,[1]Competence!$B$12:$B$100,1,FALSE)</f>
        <v>Research Computing</v>
      </c>
      <c r="D1376" s="13" t="str" cm="1">
        <f t="array" ref="D1376">_xlfn.XLOOKUP(B1376,[1]Baseline!$D$3:$AZ$3,_xlfn.XLOOKUP(C1376,[1]Baseline!$B$4:$B$91,[1]Baseline!$D$4:$AZ$91))</f>
        <v>Awareness</v>
      </c>
      <c r="E1376" s="13" t="s">
        <v>375</v>
      </c>
      <c r="F1376" s="13">
        <v>2</v>
      </c>
      <c r="G1376" s="153">
        <v>0</v>
      </c>
      <c r="H1376" s="16">
        <f t="shared" si="21"/>
        <v>-2</v>
      </c>
      <c r="I1376" s="13">
        <v>0</v>
      </c>
      <c r="J1376" s="160"/>
    </row>
    <row r="1377" spans="1:10">
      <c r="A1377" s="13" t="s">
        <v>1</v>
      </c>
      <c r="B1377" s="13" t="s">
        <v>60</v>
      </c>
      <c r="C1377" s="13" t="str">
        <f>VLOOKUP([1]Competence!$B67,[1]Competence!$B$12:$B$100,1,FALSE)</f>
        <v>Information assurance</v>
      </c>
      <c r="D1377" s="13" t="str" cm="1">
        <f t="array" ref="D1377">_xlfn.XLOOKUP(B1377,[1]Baseline!$D$3:$AZ$3,_xlfn.XLOOKUP(C1377,[1]Baseline!$B$4:$B$91,[1]Baseline!$D$4:$AZ$91))</f>
        <v>Practitioner</v>
      </c>
      <c r="E1377" s="13" t="s">
        <v>375</v>
      </c>
      <c r="F1377" s="13">
        <v>0</v>
      </c>
      <c r="G1377" s="153">
        <v>1</v>
      </c>
      <c r="H1377" s="16">
        <f t="shared" si="21"/>
        <v>1</v>
      </c>
      <c r="I1377" s="13">
        <v>1</v>
      </c>
      <c r="J1377" s="160"/>
    </row>
    <row r="1378" spans="1:10">
      <c r="A1378" s="13" t="s">
        <v>1</v>
      </c>
      <c r="B1378" s="13" t="s">
        <v>60</v>
      </c>
      <c r="C1378" s="13" t="str">
        <f>VLOOKUP([1]Competence!$B68,[1]Competence!$B$12:$B$100,1,FALSE)</f>
        <v>Information management</v>
      </c>
      <c r="D1378" s="13" t="str" cm="1">
        <f t="array" ref="D1378">_xlfn.XLOOKUP(B1378,[1]Baseline!$D$3:$AZ$3,_xlfn.XLOOKUP(C1378,[1]Baseline!$B$4:$B$91,[1]Baseline!$D$4:$AZ$91))</f>
        <v>Awareness</v>
      </c>
      <c r="E1378" s="13" t="s">
        <v>375</v>
      </c>
      <c r="F1378" s="13">
        <v>0</v>
      </c>
      <c r="G1378" s="153">
        <v>2</v>
      </c>
      <c r="H1378" s="16">
        <f t="shared" si="21"/>
        <v>2</v>
      </c>
      <c r="I1378" s="13">
        <v>2</v>
      </c>
      <c r="J1378" s="160"/>
    </row>
    <row r="1379" spans="1:10">
      <c r="A1379" s="13" t="s">
        <v>1</v>
      </c>
      <c r="B1379" s="13" t="s">
        <v>60</v>
      </c>
      <c r="C1379" s="13" t="str">
        <f>VLOOKUP([1]Competence!$B69,[1]Competence!$B$12:$B$100,1,FALSE)</f>
        <v>Infrastructure</v>
      </c>
      <c r="D1379" s="13" t="str" cm="1">
        <f t="array" ref="D1379">_xlfn.XLOOKUP(B1379,[1]Baseline!$D$3:$AZ$3,_xlfn.XLOOKUP(C1379,[1]Baseline!$B$4:$B$91,[1]Baseline!$D$4:$AZ$91))</f>
        <v>Working</v>
      </c>
      <c r="E1379" s="13" t="s">
        <v>375</v>
      </c>
      <c r="F1379" s="13">
        <v>0</v>
      </c>
      <c r="G1379" s="153">
        <v>4</v>
      </c>
      <c r="H1379" s="16">
        <f t="shared" si="21"/>
        <v>4</v>
      </c>
      <c r="I1379" s="13">
        <v>4</v>
      </c>
      <c r="J1379" s="160"/>
    </row>
    <row r="1380" spans="1:10">
      <c r="A1380" s="13" t="s">
        <v>1</v>
      </c>
      <c r="B1380" s="13" t="s">
        <v>60</v>
      </c>
      <c r="C1380" s="13" t="str">
        <f>VLOOKUP([1]Competence!$B70,[1]Competence!$B$12:$B$100,1,FALSE)</f>
        <v>Network design</v>
      </c>
      <c r="D1380" s="13" t="str" cm="1">
        <f t="array" ref="D1380">_xlfn.XLOOKUP(B1380,[1]Baseline!$D$3:$AZ$3,_xlfn.XLOOKUP(C1380,[1]Baseline!$B$4:$B$91,[1]Baseline!$D$4:$AZ$91))</f>
        <v>No Knowledge</v>
      </c>
      <c r="E1380" s="13" t="s">
        <v>375</v>
      </c>
      <c r="F1380" s="13">
        <v>2</v>
      </c>
      <c r="G1380" s="153">
        <v>2</v>
      </c>
      <c r="H1380" s="16">
        <f t="shared" si="21"/>
        <v>0</v>
      </c>
      <c r="I1380" s="13">
        <v>2</v>
      </c>
      <c r="J1380" s="160"/>
    </row>
    <row r="1381" spans="1:10">
      <c r="A1381" s="13" t="s">
        <v>1</v>
      </c>
      <c r="B1381" s="13" t="s">
        <v>60</v>
      </c>
      <c r="C1381" s="13" t="str">
        <f>VLOOKUP([1]Competence!$B71,[1]Competence!$B$12:$B$100,1,FALSE)</f>
        <v>Network Analytics</v>
      </c>
      <c r="D1381" s="13" t="str" cm="1">
        <f t="array" ref="D1381">_xlfn.XLOOKUP(B1381,[1]Baseline!$D$3:$AZ$3,_xlfn.XLOOKUP(C1381,[1]Baseline!$B$4:$B$91,[1]Baseline!$D$4:$AZ$91))</f>
        <v>No Knowledge</v>
      </c>
      <c r="E1381" s="13" t="s">
        <v>375</v>
      </c>
      <c r="F1381" s="13">
        <v>0</v>
      </c>
      <c r="G1381" s="153">
        <v>3</v>
      </c>
      <c r="H1381" s="16">
        <f t="shared" si="21"/>
        <v>3</v>
      </c>
      <c r="I1381" s="13">
        <v>3</v>
      </c>
      <c r="J1381" s="160"/>
    </row>
    <row r="1382" spans="1:10">
      <c r="A1382" s="13" t="s">
        <v>1</v>
      </c>
      <c r="B1382" s="13" t="s">
        <v>60</v>
      </c>
      <c r="C1382" s="13" t="str">
        <f>VLOOKUP([1]Competence!$B72,[1]Competence!$B$12:$B$100,1,FALSE)</f>
        <v>Network support</v>
      </c>
      <c r="D1382" s="13" t="str" cm="1">
        <f t="array" ref="D1382">_xlfn.XLOOKUP(B1382,[1]Baseline!$D$3:$AZ$3,_xlfn.XLOOKUP(C1382,[1]Baseline!$B$4:$B$91,[1]Baseline!$D$4:$AZ$91))</f>
        <v>Working</v>
      </c>
      <c r="E1382" s="13" t="s">
        <v>375</v>
      </c>
      <c r="F1382" s="13">
        <v>0</v>
      </c>
      <c r="G1382" s="153">
        <v>3</v>
      </c>
      <c r="H1382" s="16">
        <f t="shared" si="21"/>
        <v>3</v>
      </c>
      <c r="I1382" s="13">
        <v>3</v>
      </c>
      <c r="J1382" s="160"/>
    </row>
    <row r="1383" spans="1:10">
      <c r="A1383" s="13" t="s">
        <v>1</v>
      </c>
      <c r="B1383" s="13" t="s">
        <v>60</v>
      </c>
      <c r="C1383" s="13" t="str">
        <f>VLOOKUP([1]Competence!$B73,[1]Competence!$B$12:$B$100,1,FALSE)</f>
        <v>Programming/software development</v>
      </c>
      <c r="D1383" s="13" t="str" cm="1">
        <f t="array" ref="D1383">_xlfn.XLOOKUP(B1383,[1]Baseline!$D$3:$AZ$3,_xlfn.XLOOKUP(C1383,[1]Baseline!$B$4:$B$91,[1]Baseline!$D$4:$AZ$91))</f>
        <v>No Knowledge</v>
      </c>
      <c r="E1383" s="13" t="s">
        <v>375</v>
      </c>
      <c r="F1383" s="13">
        <v>0</v>
      </c>
      <c r="G1383" s="153">
        <v>0</v>
      </c>
      <c r="H1383" s="16">
        <f t="shared" si="21"/>
        <v>0</v>
      </c>
      <c r="I1383" s="13">
        <v>0</v>
      </c>
      <c r="J1383" s="160"/>
    </row>
    <row r="1384" spans="1:10">
      <c r="A1384" s="13" t="s">
        <v>1</v>
      </c>
      <c r="B1384" s="13" t="s">
        <v>60</v>
      </c>
      <c r="C1384" s="13" t="str">
        <f>VLOOKUP([1]Competence!$B74,[1]Competence!$B$12:$B$100,1,FALSE)</f>
        <v>Real-time/embedded systems development</v>
      </c>
      <c r="D1384" s="13" t="str" cm="1">
        <f t="array" ref="D1384">_xlfn.XLOOKUP(B1384,[1]Baseline!$D$3:$AZ$3,_xlfn.XLOOKUP(C1384,[1]Baseline!$B$4:$B$91,[1]Baseline!$D$4:$AZ$91))</f>
        <v>No Knowledge</v>
      </c>
      <c r="E1384" s="13" t="s">
        <v>375</v>
      </c>
      <c r="F1384" s="13">
        <v>0</v>
      </c>
      <c r="G1384" s="153">
        <v>0</v>
      </c>
      <c r="H1384" s="16">
        <f t="shared" si="21"/>
        <v>0</v>
      </c>
      <c r="I1384" s="13">
        <v>0</v>
      </c>
      <c r="J1384" s="160"/>
    </row>
    <row r="1385" spans="1:10">
      <c r="A1385" s="13" t="s">
        <v>1</v>
      </c>
      <c r="B1385" s="13" t="s">
        <v>60</v>
      </c>
      <c r="C1385" s="13" t="str">
        <f>VLOOKUP([1]Competence!$B75,[1]Competence!$B$12:$B$100,1,FALSE)</f>
        <v>Requirements definition and management</v>
      </c>
      <c r="D1385" s="13" t="str" cm="1">
        <f t="array" ref="D1385">_xlfn.XLOOKUP(B1385,[1]Baseline!$D$3:$AZ$3,_xlfn.XLOOKUP(C1385,[1]Baseline!$B$4:$B$91,[1]Baseline!$D$4:$AZ$91))</f>
        <v>No Knowledge</v>
      </c>
      <c r="E1385" s="13" t="s">
        <v>373</v>
      </c>
      <c r="F1385" s="13">
        <v>0</v>
      </c>
      <c r="G1385" s="153">
        <v>0</v>
      </c>
      <c r="H1385" s="16">
        <f t="shared" si="21"/>
        <v>0</v>
      </c>
      <c r="I1385" s="13">
        <v>0</v>
      </c>
      <c r="J1385" s="160"/>
    </row>
    <row r="1386" spans="1:10">
      <c r="A1386" s="13" t="s">
        <v>1</v>
      </c>
      <c r="B1386" s="13" t="s">
        <v>60</v>
      </c>
      <c r="C1386" s="13" t="str">
        <f>VLOOKUP([1]Competence!$B76,[1]Competence!$B$12:$B$100,1,FALSE)</f>
        <v>Software configuration</v>
      </c>
      <c r="D1386" s="13" t="str" cm="1">
        <f t="array" ref="D1386">_xlfn.XLOOKUP(B1386,[1]Baseline!$D$3:$AZ$3,_xlfn.XLOOKUP(C1386,[1]Baseline!$B$4:$B$91,[1]Baseline!$D$4:$AZ$91))</f>
        <v>No Knowledge</v>
      </c>
      <c r="E1386" s="13" t="s">
        <v>373</v>
      </c>
      <c r="F1386" s="13">
        <v>0</v>
      </c>
      <c r="G1386" s="153">
        <v>0</v>
      </c>
      <c r="H1386" s="16">
        <f t="shared" si="21"/>
        <v>0</v>
      </c>
      <c r="I1386" s="13">
        <v>0</v>
      </c>
      <c r="J1386" s="160"/>
    </row>
    <row r="1387" spans="1:10">
      <c r="A1387" s="13" t="s">
        <v>1</v>
      </c>
      <c r="B1387" s="13" t="s">
        <v>60</v>
      </c>
      <c r="C1387" s="13" t="str">
        <f>VLOOKUP([1]Competence!$B77,[1]Competence!$B$12:$B$100,1,FALSE)</f>
        <v>Software design</v>
      </c>
      <c r="D1387" s="13" t="str" cm="1">
        <f t="array" ref="D1387">_xlfn.XLOOKUP(B1387,[1]Baseline!$D$3:$AZ$3,_xlfn.XLOOKUP(C1387,[1]Baseline!$B$4:$B$91,[1]Baseline!$D$4:$AZ$91))</f>
        <v>No Knowledge</v>
      </c>
      <c r="E1387" s="13" t="s">
        <v>373</v>
      </c>
      <c r="F1387" s="13">
        <v>0</v>
      </c>
      <c r="G1387" s="153">
        <v>0</v>
      </c>
      <c r="H1387" s="16">
        <f t="shared" si="21"/>
        <v>0</v>
      </c>
      <c r="I1387" s="13">
        <v>0</v>
      </c>
      <c r="J1387" s="160"/>
    </row>
    <row r="1388" spans="1:10">
      <c r="A1388" s="13" t="s">
        <v>1</v>
      </c>
      <c r="B1388" s="13" t="s">
        <v>60</v>
      </c>
      <c r="C1388" s="13" t="str">
        <f>VLOOKUP([1]Competence!$B78,[1]Competence!$B$12:$B$100,1,FALSE)</f>
        <v>Solution architecture</v>
      </c>
      <c r="D1388" s="13" t="str" cm="1">
        <f t="array" ref="D1388">_xlfn.XLOOKUP(B1388,[1]Baseline!$D$3:$AZ$3,_xlfn.XLOOKUP(C1388,[1]Baseline!$B$4:$B$91,[1]Baseline!$D$4:$AZ$91))</f>
        <v>No Knowledge</v>
      </c>
      <c r="E1388" s="13" t="s">
        <v>373</v>
      </c>
      <c r="F1388" s="13">
        <v>0</v>
      </c>
      <c r="G1388" s="153">
        <v>0</v>
      </c>
      <c r="H1388" s="16">
        <f t="shared" si="21"/>
        <v>0</v>
      </c>
      <c r="I1388" s="13">
        <v>0</v>
      </c>
      <c r="J1388" s="160"/>
    </row>
    <row r="1389" spans="1:10">
      <c r="A1389" s="13" t="s">
        <v>1</v>
      </c>
      <c r="B1389" s="13" t="s">
        <v>60</v>
      </c>
      <c r="C1389" s="13" t="str">
        <f>VLOOKUP([1]Competence!$B79,[1]Competence!$B$12:$B$100,1,FALSE)</f>
        <v>System software</v>
      </c>
      <c r="D1389" s="13" t="str" cm="1">
        <f t="array" ref="D1389">_xlfn.XLOOKUP(B1389,[1]Baseline!$D$3:$AZ$3,_xlfn.XLOOKUP(C1389,[1]Baseline!$B$4:$B$91,[1]Baseline!$D$4:$AZ$91))</f>
        <v>No Knowledge</v>
      </c>
      <c r="E1389" s="13" t="s">
        <v>374</v>
      </c>
      <c r="F1389" s="13">
        <v>1</v>
      </c>
      <c r="G1389" s="153">
        <v>2</v>
      </c>
      <c r="H1389" s="16">
        <f t="shared" si="21"/>
        <v>1</v>
      </c>
      <c r="I1389" s="13">
        <v>2</v>
      </c>
      <c r="J1389" s="160"/>
    </row>
    <row r="1390" spans="1:10">
      <c r="A1390" s="13" t="s">
        <v>1</v>
      </c>
      <c r="B1390" s="13" t="s">
        <v>60</v>
      </c>
      <c r="C1390" s="13" t="str">
        <f>VLOOKUP([1]Competence!$B80,[1]Competence!$B$12:$B$100,1,FALSE)</f>
        <v>Systems and software life cycle engineering</v>
      </c>
      <c r="D1390" s="13" t="str" cm="1">
        <f t="array" ref="D1390">_xlfn.XLOOKUP(B1390,[1]Baseline!$D$3:$AZ$3,_xlfn.XLOOKUP(C1390,[1]Baseline!$B$4:$B$91,[1]Baseline!$D$4:$AZ$91))</f>
        <v>No Knowledge</v>
      </c>
      <c r="E1390" s="13" t="s">
        <v>374</v>
      </c>
      <c r="F1390" s="13">
        <v>1</v>
      </c>
      <c r="G1390" s="153">
        <v>1</v>
      </c>
      <c r="H1390" s="16">
        <f t="shared" si="21"/>
        <v>0</v>
      </c>
      <c r="I1390" s="13">
        <v>1</v>
      </c>
      <c r="J1390" s="160"/>
    </row>
    <row r="1391" spans="1:10">
      <c r="A1391" s="13" t="s">
        <v>1</v>
      </c>
      <c r="B1391" s="13" t="s">
        <v>60</v>
      </c>
      <c r="C1391" s="13" t="str">
        <f>VLOOKUP([1]Competence!$B81,[1]Competence!$B$12:$B$100,1,FALSE)</f>
        <v>Systems design</v>
      </c>
      <c r="D1391" s="13" t="str" cm="1">
        <f t="array" ref="D1391">_xlfn.XLOOKUP(B1391,[1]Baseline!$D$3:$AZ$3,_xlfn.XLOOKUP(C1391,[1]Baseline!$B$4:$B$91,[1]Baseline!$D$4:$AZ$91))</f>
        <v>No Knowledge</v>
      </c>
      <c r="E1391" s="13" t="s">
        <v>374</v>
      </c>
      <c r="F1391" s="13">
        <v>1</v>
      </c>
      <c r="G1391" s="153">
        <v>2</v>
      </c>
      <c r="H1391" s="16">
        <f t="shared" si="21"/>
        <v>1</v>
      </c>
      <c r="I1391" s="13">
        <v>2</v>
      </c>
      <c r="J1391" s="160"/>
    </row>
    <row r="1392" spans="1:10">
      <c r="A1392" s="13" t="s">
        <v>1</v>
      </c>
      <c r="B1392" s="13" t="s">
        <v>60</v>
      </c>
      <c r="C1392" s="13" t="str">
        <f>VLOOKUP([1]Competence!$B82,[1]Competence!$B$12:$B$100,1,FALSE)</f>
        <v>Systems development management</v>
      </c>
      <c r="D1392" s="13" t="str" cm="1">
        <f t="array" ref="D1392">_xlfn.XLOOKUP(B1392,[1]Baseline!$D$3:$AZ$3,_xlfn.XLOOKUP(C1392,[1]Baseline!$B$4:$B$91,[1]Baseline!$D$4:$AZ$91))</f>
        <v>No Knowledge</v>
      </c>
      <c r="E1392" s="13" t="s">
        <v>374</v>
      </c>
      <c r="F1392" s="13">
        <v>1</v>
      </c>
      <c r="G1392" s="153">
        <v>1</v>
      </c>
      <c r="H1392" s="16">
        <f t="shared" si="21"/>
        <v>0</v>
      </c>
      <c r="I1392" s="13">
        <v>1</v>
      </c>
      <c r="J1392" s="160"/>
    </row>
    <row r="1393" spans="1:10">
      <c r="A1393" s="13" t="s">
        <v>1</v>
      </c>
      <c r="B1393" s="13" t="s">
        <v>60</v>
      </c>
      <c r="C1393" s="13" t="str">
        <f>VLOOKUP([1]Competence!$B83,[1]Competence!$B$12:$B$100,1,FALSE)</f>
        <v>Systems installation and removal</v>
      </c>
      <c r="D1393" s="13" t="str" cm="1">
        <f t="array" ref="D1393">_xlfn.XLOOKUP(B1393,[1]Baseline!$D$3:$AZ$3,_xlfn.XLOOKUP(C1393,[1]Baseline!$B$4:$B$91,[1]Baseline!$D$4:$AZ$91))</f>
        <v>Practitioner</v>
      </c>
      <c r="E1393" s="13" t="s">
        <v>374</v>
      </c>
      <c r="F1393" s="13">
        <v>1</v>
      </c>
      <c r="G1393" s="153">
        <v>4</v>
      </c>
      <c r="H1393" s="16">
        <f t="shared" si="21"/>
        <v>3</v>
      </c>
      <c r="I1393" s="13">
        <v>4</v>
      </c>
      <c r="J1393" s="160"/>
    </row>
    <row r="1394" spans="1:10">
      <c r="A1394" s="13" t="s">
        <v>1</v>
      </c>
      <c r="B1394" s="13" t="s">
        <v>60</v>
      </c>
      <c r="C1394" s="13" t="str">
        <f>VLOOKUP([1]Competence!$B84,[1]Competence!$B$12:$B$100,1,FALSE)</f>
        <v>Testing</v>
      </c>
      <c r="D1394" s="13" t="str" cm="1">
        <f t="array" ref="D1394">_xlfn.XLOOKUP(B1394,[1]Baseline!$D$3:$AZ$3,_xlfn.XLOOKUP(C1394,[1]Baseline!$B$4:$B$91,[1]Baseline!$D$4:$AZ$91))</f>
        <v>Working</v>
      </c>
      <c r="E1394" s="13" t="s">
        <v>378</v>
      </c>
      <c r="F1394" s="13">
        <v>1</v>
      </c>
      <c r="G1394" s="153">
        <v>3</v>
      </c>
      <c r="H1394" s="16">
        <f t="shared" si="21"/>
        <v>2</v>
      </c>
      <c r="I1394" s="13">
        <v>3</v>
      </c>
      <c r="J1394" s="160"/>
    </row>
    <row r="1395" spans="1:10">
      <c r="A1395" s="13" t="s">
        <v>1</v>
      </c>
      <c r="B1395" s="13" t="s">
        <v>60</v>
      </c>
      <c r="C1395" s="13" t="str">
        <f>VLOOKUP([1]Competence!$B85,[1]Competence!$B$12:$B$100,1,FALSE)</f>
        <v>Innovation</v>
      </c>
      <c r="D1395" s="13" t="str" cm="1">
        <f t="array" ref="D1395">_xlfn.XLOOKUP(B1395,[1]Baseline!$D$3:$AZ$3,_xlfn.XLOOKUP(C1395,[1]Baseline!$B$4:$B$91,[1]Baseline!$D$4:$AZ$91))</f>
        <v>No Knowledge</v>
      </c>
      <c r="E1395" s="13" t="s">
        <v>378</v>
      </c>
      <c r="F1395" s="13">
        <v>1</v>
      </c>
      <c r="G1395" s="153">
        <v>3</v>
      </c>
      <c r="H1395" s="16">
        <f t="shared" si="21"/>
        <v>2</v>
      </c>
      <c r="I1395" s="13">
        <v>3</v>
      </c>
      <c r="J1395" s="160"/>
    </row>
    <row r="1396" spans="1:10">
      <c r="A1396" s="13" t="s">
        <v>1</v>
      </c>
      <c r="B1396" s="13" t="s">
        <v>60</v>
      </c>
      <c r="C1396" s="13" t="str">
        <f>VLOOKUP([1]Competence!$B86,[1]Competence!$B$12:$B$100,1,FALSE)</f>
        <v>Specialist Advice</v>
      </c>
      <c r="D1396" s="13" t="str" cm="1">
        <f t="array" ref="D1396">_xlfn.XLOOKUP(B1396,[1]Baseline!$D$3:$AZ$3,_xlfn.XLOOKUP(C1396,[1]Baseline!$B$4:$B$91,[1]Baseline!$D$4:$AZ$91))</f>
        <v>No Knowledge</v>
      </c>
      <c r="E1396" s="13" t="s">
        <v>49</v>
      </c>
      <c r="F1396" s="13">
        <v>0</v>
      </c>
      <c r="G1396" s="153">
        <v>2</v>
      </c>
      <c r="H1396" s="16">
        <f t="shared" si="21"/>
        <v>2</v>
      </c>
      <c r="I1396" s="13">
        <v>2</v>
      </c>
      <c r="J1396" s="160"/>
    </row>
    <row r="1397" spans="1:10">
      <c r="A1397" s="13" t="s">
        <v>1</v>
      </c>
      <c r="B1397" s="13" t="s">
        <v>60</v>
      </c>
      <c r="C1397" s="13" t="str">
        <f>VLOOKUP([1]Competence!$B87,[1]Competence!$B$12:$B$100,1,FALSE)</f>
        <v>Emerging technology monitoring</v>
      </c>
      <c r="D1397" s="13" t="str" cm="1">
        <f t="array" ref="D1397">_xlfn.XLOOKUP(B1397,[1]Baseline!$D$3:$AZ$3,_xlfn.XLOOKUP(C1397,[1]Baseline!$B$4:$B$91,[1]Baseline!$D$4:$AZ$91))</f>
        <v>Working</v>
      </c>
      <c r="E1397" s="13" t="s">
        <v>49</v>
      </c>
      <c r="F1397" s="13">
        <v>0</v>
      </c>
      <c r="G1397" s="153">
        <v>3</v>
      </c>
      <c r="H1397" s="16">
        <f t="shared" si="21"/>
        <v>3</v>
      </c>
      <c r="I1397" s="13">
        <v>3</v>
      </c>
      <c r="J1397" s="160"/>
    </row>
    <row r="1398" spans="1:10">
      <c r="A1398" s="13" t="s">
        <v>1</v>
      </c>
      <c r="B1398" s="13" t="s">
        <v>60</v>
      </c>
      <c r="C1398" s="13" t="str">
        <f>VLOOKUP([1]Competence!$B88,[1]Competence!$B$12:$B$100,1,FALSE)</f>
        <v>Systems integration and build</v>
      </c>
      <c r="D1398" s="13" t="str" cm="1">
        <f t="array" ref="D1398">_xlfn.XLOOKUP(B1398,[1]Baseline!$D$3:$AZ$3,_xlfn.XLOOKUP(C1398,[1]Baseline!$B$4:$B$91,[1]Baseline!$D$4:$AZ$91))</f>
        <v>Practitioner</v>
      </c>
      <c r="E1398" s="13" t="s">
        <v>49</v>
      </c>
      <c r="F1398" s="13">
        <v>1</v>
      </c>
      <c r="G1398" s="153">
        <v>2</v>
      </c>
      <c r="H1398" s="16">
        <f t="shared" si="21"/>
        <v>1</v>
      </c>
      <c r="I1398" s="13">
        <v>2</v>
      </c>
      <c r="J1398" s="160"/>
    </row>
    <row r="1399" spans="1:10">
      <c r="A1399" s="13" t="s">
        <v>1</v>
      </c>
      <c r="B1399" s="13" t="s">
        <v>60</v>
      </c>
      <c r="C1399" s="13" t="str">
        <f>VLOOKUP([1]Competence!$B89,[1]Competence!$B$12:$B$100,1,FALSE)</f>
        <v>Audio Visual</v>
      </c>
      <c r="D1399" s="13" t="str" cm="1">
        <f t="array" ref="D1399">_xlfn.XLOOKUP(B1399,[1]Baseline!$D$3:$AZ$3,_xlfn.XLOOKUP(C1399,[1]Baseline!$B$4:$B$91,[1]Baseline!$D$4:$AZ$91))</f>
        <v>Practitioner</v>
      </c>
      <c r="E1399" s="13" t="s">
        <v>375</v>
      </c>
      <c r="F1399" s="13">
        <v>0</v>
      </c>
      <c r="G1399" s="153">
        <v>4</v>
      </c>
      <c r="H1399" s="16">
        <f t="shared" si="21"/>
        <v>4</v>
      </c>
      <c r="I1399" s="13">
        <v>4</v>
      </c>
      <c r="J1399" s="160"/>
    </row>
    <row r="1400" spans="1:10">
      <c r="A1400" s="13" t="s">
        <v>1</v>
      </c>
      <c r="B1400" s="13" t="s">
        <v>60</v>
      </c>
      <c r="C1400" s="13" t="str">
        <f>VLOOKUP([1]Competence!$B90,[1]Competence!$B$12:$B$100,1,FALSE)</f>
        <v>Augmented Reality</v>
      </c>
      <c r="D1400" s="13" t="str" cm="1">
        <f t="array" ref="D1400">_xlfn.XLOOKUP(B1400,[1]Baseline!$D$3:$AZ$3,_xlfn.XLOOKUP(C1400,[1]Baseline!$B$4:$B$91,[1]Baseline!$D$4:$AZ$91))</f>
        <v>Awareness</v>
      </c>
      <c r="E1400" s="13" t="s">
        <v>375</v>
      </c>
      <c r="F1400" s="13">
        <v>0</v>
      </c>
      <c r="G1400" s="153">
        <v>2</v>
      </c>
      <c r="H1400" s="16">
        <f t="shared" si="21"/>
        <v>2</v>
      </c>
      <c r="I1400" s="13">
        <v>2</v>
      </c>
      <c r="J1400" s="160"/>
    </row>
    <row r="1401" spans="1:10">
      <c r="A1401" s="13" t="s">
        <v>1</v>
      </c>
      <c r="B1401" s="13" t="s">
        <v>60</v>
      </c>
      <c r="C1401" s="13" t="str">
        <f>VLOOKUP([1]Competence!$B91,[1]Competence!$B$12:$B$100,1,FALSE)</f>
        <v>Benefits management</v>
      </c>
      <c r="D1401" s="13" t="str" cm="1">
        <f t="array" ref="D1401">_xlfn.XLOOKUP(B1401,[1]Baseline!$D$3:$AZ$3,_xlfn.XLOOKUP(C1401,[1]Baseline!$B$4:$B$91,[1]Baseline!$D$4:$AZ$91))</f>
        <v>No Knowledge</v>
      </c>
      <c r="E1401" s="13" t="s">
        <v>375</v>
      </c>
      <c r="F1401" s="13">
        <v>0</v>
      </c>
      <c r="G1401" s="153">
        <v>2</v>
      </c>
      <c r="H1401" s="16">
        <f t="shared" si="21"/>
        <v>2</v>
      </c>
      <c r="I1401" s="13">
        <v>2</v>
      </c>
      <c r="J1401" s="160"/>
    </row>
    <row r="1402" spans="1:10">
      <c r="A1402" s="13" t="s">
        <v>1</v>
      </c>
      <c r="B1402" s="13" t="s">
        <v>60</v>
      </c>
      <c r="C1402" s="13" t="str">
        <f>VLOOKUP([1]Competence!$B92,[1]Competence!$B$12:$B$100,1,FALSE)</f>
        <v>Business administration</v>
      </c>
      <c r="D1402" s="13" t="str" cm="1">
        <f t="array" ref="D1402">_xlfn.XLOOKUP(B1402,[1]Baseline!$D$3:$AZ$3,_xlfn.XLOOKUP(C1402,[1]Baseline!$B$4:$B$91,[1]Baseline!$D$4:$AZ$91))</f>
        <v>No Knowledge</v>
      </c>
      <c r="E1402" s="13" t="s">
        <v>375</v>
      </c>
      <c r="F1402" s="13">
        <v>0</v>
      </c>
      <c r="G1402" s="153">
        <v>4</v>
      </c>
      <c r="H1402" s="16">
        <f t="shared" si="21"/>
        <v>4</v>
      </c>
      <c r="I1402" s="13">
        <v>4</v>
      </c>
      <c r="J1402" s="160"/>
    </row>
    <row r="1403" spans="1:10">
      <c r="A1403" s="13" t="s">
        <v>1</v>
      </c>
      <c r="B1403" s="13" t="s">
        <v>60</v>
      </c>
      <c r="C1403" s="13" t="str">
        <f>VLOOKUP([1]Competence!$B93,[1]Competence!$B$12:$B$100,1,FALSE)</f>
        <v>Business intelligence</v>
      </c>
      <c r="D1403" s="13" t="str" cm="1">
        <f t="array" ref="D1403">_xlfn.XLOOKUP(B1403,[1]Baseline!$D$3:$AZ$3,_xlfn.XLOOKUP(C1403,[1]Baseline!$B$4:$B$91,[1]Baseline!$D$4:$AZ$91))</f>
        <v>No Knowledge</v>
      </c>
      <c r="E1403" s="13" t="s">
        <v>375</v>
      </c>
      <c r="F1403" s="13">
        <v>0</v>
      </c>
      <c r="G1403" s="153">
        <v>3</v>
      </c>
      <c r="H1403" s="16">
        <f t="shared" si="21"/>
        <v>3</v>
      </c>
      <c r="I1403" s="13">
        <v>3</v>
      </c>
      <c r="J1403" s="160"/>
    </row>
    <row r="1404" spans="1:10">
      <c r="A1404" s="13" t="s">
        <v>1</v>
      </c>
      <c r="B1404" s="13" t="s">
        <v>60</v>
      </c>
      <c r="C1404" s="13" t="str">
        <f>VLOOKUP([1]Competence!$B94,[1]Competence!$B$12:$B$100,1,FALSE)</f>
        <v>Business modelling</v>
      </c>
      <c r="D1404" s="13" t="str" cm="1">
        <f t="array" ref="D1404">_xlfn.XLOOKUP(B1404,[1]Baseline!$D$3:$AZ$3,_xlfn.XLOOKUP(C1404,[1]Baseline!$B$4:$B$91,[1]Baseline!$D$4:$AZ$91))</f>
        <v>No Knowledge</v>
      </c>
      <c r="E1404" s="13" t="s">
        <v>373</v>
      </c>
      <c r="F1404" s="13">
        <v>0</v>
      </c>
      <c r="G1404" s="153">
        <v>1</v>
      </c>
      <c r="H1404" s="16">
        <f t="shared" si="21"/>
        <v>1</v>
      </c>
      <c r="I1404" s="13">
        <v>1</v>
      </c>
      <c r="J1404" s="160"/>
    </row>
    <row r="1405" spans="1:10">
      <c r="A1405" s="13" t="s">
        <v>1</v>
      </c>
      <c r="B1405" s="13" t="s">
        <v>60</v>
      </c>
      <c r="C1405" s="13" t="str">
        <f>VLOOKUP([1]Competence!$B95,[1]Competence!$B$12:$B$100,1,FALSE)</f>
        <v>Business process improvement</v>
      </c>
      <c r="D1405" s="13" t="str" cm="1">
        <f t="array" ref="D1405">_xlfn.XLOOKUP(B1405,[1]Baseline!$D$3:$AZ$3,_xlfn.XLOOKUP(C1405,[1]Baseline!$B$4:$B$91,[1]Baseline!$D$4:$AZ$91))</f>
        <v>No Knowledge</v>
      </c>
      <c r="E1405" s="13" t="s">
        <v>374</v>
      </c>
      <c r="F1405" s="13">
        <v>0</v>
      </c>
      <c r="G1405" s="153">
        <v>1</v>
      </c>
      <c r="H1405" s="16">
        <f t="shared" si="21"/>
        <v>1</v>
      </c>
      <c r="I1405" s="13">
        <v>1</v>
      </c>
      <c r="J1405" s="160"/>
    </row>
    <row r="1406" spans="1:10">
      <c r="A1406" s="13" t="s">
        <v>1</v>
      </c>
      <c r="B1406" s="13" t="s">
        <v>60</v>
      </c>
      <c r="C1406" s="13" t="str">
        <f>VLOOKUP([1]Competence!$B96,[1]Competence!$B$12:$B$100,1,FALSE)</f>
        <v>Business situation analysis</v>
      </c>
      <c r="D1406" s="13" t="str" cm="1">
        <f t="array" ref="D1406">_xlfn.XLOOKUP(B1406,[1]Baseline!$D$3:$AZ$3,_xlfn.XLOOKUP(C1406,[1]Baseline!$B$4:$B$91,[1]Baseline!$D$4:$AZ$91))</f>
        <v>No Knowledge</v>
      </c>
      <c r="E1406" s="13" t="s">
        <v>378</v>
      </c>
      <c r="F1406" s="13">
        <v>0</v>
      </c>
      <c r="G1406" s="153">
        <v>2</v>
      </c>
      <c r="H1406" s="16">
        <f t="shared" si="21"/>
        <v>2</v>
      </c>
      <c r="I1406" s="13">
        <v>2</v>
      </c>
      <c r="J1406" s="160"/>
    </row>
    <row r="1407" spans="1:10">
      <c r="A1407" s="13" t="s">
        <v>1</v>
      </c>
      <c r="B1407" s="13" t="s">
        <v>60</v>
      </c>
      <c r="C1407" s="13" t="str">
        <f>VLOOKUP([1]Competence!$B97,[1]Competence!$B$12:$B$100,1,FALSE)</f>
        <v>Programme management</v>
      </c>
      <c r="D1407" s="13" t="str" cm="1">
        <f t="array" ref="D1407">_xlfn.XLOOKUP(B1407,[1]Baseline!$D$3:$AZ$3,_xlfn.XLOOKUP(C1407,[1]Baseline!$B$4:$B$91,[1]Baseline!$D$4:$AZ$91))</f>
        <v>No Knowledge</v>
      </c>
      <c r="E1407" s="13" t="s">
        <v>378</v>
      </c>
      <c r="F1407" s="13">
        <v>0</v>
      </c>
      <c r="G1407" s="153">
        <v>2</v>
      </c>
      <c r="H1407" s="16">
        <f t="shared" si="21"/>
        <v>2</v>
      </c>
      <c r="I1407" s="13">
        <v>2</v>
      </c>
      <c r="J1407" s="160"/>
    </row>
    <row r="1408" spans="1:10">
      <c r="A1408" s="13" t="s">
        <v>1</v>
      </c>
      <c r="B1408" s="13" t="s">
        <v>60</v>
      </c>
      <c r="C1408" s="13" t="str">
        <f>VLOOKUP([1]Competence!$B98,[1]Competence!$B$12:$B$100,1,FALSE)</f>
        <v>Project management</v>
      </c>
      <c r="D1408" s="13" t="str" cm="1">
        <f t="array" ref="D1408">_xlfn.XLOOKUP(B1408,[1]Baseline!$D$3:$AZ$3,_xlfn.XLOOKUP(C1408,[1]Baseline!$B$4:$B$91,[1]Baseline!$D$4:$AZ$91))</f>
        <v>No Knowledge</v>
      </c>
      <c r="E1408" s="13" t="s">
        <v>49</v>
      </c>
      <c r="F1408" s="13">
        <v>0</v>
      </c>
      <c r="G1408" s="153">
        <v>2</v>
      </c>
      <c r="H1408" s="16">
        <f t="shared" si="21"/>
        <v>2</v>
      </c>
      <c r="I1408" s="13">
        <v>2</v>
      </c>
      <c r="J1408" s="160"/>
    </row>
    <row r="1409" spans="1:10">
      <c r="A1409" s="13" t="s">
        <v>1</v>
      </c>
      <c r="B1409" s="13" t="s">
        <v>60</v>
      </c>
      <c r="C1409" s="13" t="str">
        <f>VLOOKUP([1]Competence!$B99,[1]Competence!$B$12:$B$100,1,FALSE)</f>
        <v>Quality assurance</v>
      </c>
      <c r="D1409" s="13" t="str" cm="1">
        <f t="array" ref="D1409">_xlfn.XLOOKUP(B1409,[1]Baseline!$D$3:$AZ$3,_xlfn.XLOOKUP(C1409,[1]Baseline!$B$4:$B$91,[1]Baseline!$D$4:$AZ$91))</f>
        <v>Working</v>
      </c>
      <c r="E1409" s="13" t="s">
        <v>373</v>
      </c>
      <c r="F1409" s="13">
        <v>0</v>
      </c>
      <c r="G1409" s="153">
        <v>2</v>
      </c>
      <c r="H1409" s="16">
        <f t="shared" si="21"/>
        <v>2</v>
      </c>
      <c r="I1409" s="13">
        <v>2</v>
      </c>
      <c r="J1409" s="160"/>
    </row>
    <row r="1410" spans="1:10">
      <c r="A1410" s="13" t="s">
        <v>26</v>
      </c>
      <c r="B1410" s="16" t="s">
        <v>93</v>
      </c>
      <c r="C1410" s="14" t="str">
        <f>VLOOKUP([1]Competence!$B12,[1]Competence!$B$12:$B$100,1,FALSE)</f>
        <v>Asset Management</v>
      </c>
      <c r="D1410" s="13" t="str" cm="1">
        <f t="array" ref="D1410">_xlfn.XLOOKUP(B1410,[1]Baseline!$D$3:$AZ$3,_xlfn.XLOOKUP(C1410,[1]Baseline!$B$4:$B$91,[1]Baseline!$D$4:$AZ$91))</f>
        <v>Working</v>
      </c>
      <c r="E1410" s="16"/>
      <c r="F1410" s="14">
        <v>2</v>
      </c>
      <c r="G1410" s="16">
        <v>3</v>
      </c>
      <c r="H1410" s="16">
        <f t="shared" ref="H1410:H1473" si="22">I1410-F1410</f>
        <v>1</v>
      </c>
      <c r="I1410" s="13">
        <v>3</v>
      </c>
    </row>
    <row r="1411" spans="1:10">
      <c r="A1411" s="13" t="s">
        <v>26</v>
      </c>
      <c r="B1411" s="16" t="s">
        <v>93</v>
      </c>
      <c r="C1411" s="14" t="str">
        <f>VLOOKUP([1]Competence!$B13,[1]Competence!$B$12:$B$100,1,FALSE)</f>
        <v>Change Control</v>
      </c>
      <c r="D1411" s="13" t="str" cm="1">
        <f t="array" ref="D1411">_xlfn.XLOOKUP(B1411,[1]Baseline!$D$3:$AZ$3,_xlfn.XLOOKUP(C1411,[1]Baseline!$B$4:$B$91,[1]Baseline!$D$4:$AZ$91))</f>
        <v>Practitioner</v>
      </c>
      <c r="E1411" s="16"/>
      <c r="F1411" s="14">
        <v>3</v>
      </c>
      <c r="G1411" s="16">
        <v>3</v>
      </c>
      <c r="H1411" s="16">
        <f t="shared" si="22"/>
        <v>0</v>
      </c>
      <c r="I1411" s="13">
        <v>3</v>
      </c>
    </row>
    <row r="1412" spans="1:10">
      <c r="A1412" s="13" t="s">
        <v>26</v>
      </c>
      <c r="B1412" s="16" t="s">
        <v>93</v>
      </c>
      <c r="C1412" s="14" t="str">
        <f>VLOOKUP([1]Competence!$B14,[1]Competence!$B$12:$B$100,1,FALSE)</f>
        <v>Customer Service Support</v>
      </c>
      <c r="D1412" s="13" t="str" cm="1">
        <f t="array" ref="D1412">_xlfn.XLOOKUP(B1412,[1]Baseline!$D$3:$AZ$3,_xlfn.XLOOKUP(C1412,[1]Baseline!$B$4:$B$91,[1]Baseline!$D$4:$AZ$91))</f>
        <v>Practitioner</v>
      </c>
      <c r="E1412" s="16"/>
      <c r="F1412" s="14">
        <v>3</v>
      </c>
      <c r="G1412" s="16">
        <v>3</v>
      </c>
      <c r="H1412" s="16">
        <f t="shared" si="22"/>
        <v>0</v>
      </c>
      <c r="I1412" s="13">
        <v>3</v>
      </c>
    </row>
    <row r="1413" spans="1:10">
      <c r="A1413" s="13" t="s">
        <v>26</v>
      </c>
      <c r="B1413" s="16" t="s">
        <v>93</v>
      </c>
      <c r="C1413" s="14" t="str">
        <f>VLOOKUP([1]Competence!$B15,[1]Competence!$B$12:$B$100,1,FALSE)</f>
        <v>Incident management</v>
      </c>
      <c r="D1413" s="13" t="str" cm="1">
        <f t="array" ref="D1413">_xlfn.XLOOKUP(B1413,[1]Baseline!$D$3:$AZ$3,_xlfn.XLOOKUP(C1413,[1]Baseline!$B$4:$B$91,[1]Baseline!$D$4:$AZ$91))</f>
        <v>Practitioner</v>
      </c>
      <c r="E1413" s="16"/>
      <c r="F1413" s="14">
        <v>3</v>
      </c>
      <c r="G1413" s="16">
        <v>3</v>
      </c>
      <c r="H1413" s="16">
        <f t="shared" si="22"/>
        <v>0</v>
      </c>
      <c r="I1413" s="13">
        <v>3</v>
      </c>
    </row>
    <row r="1414" spans="1:10">
      <c r="A1414" s="13" t="s">
        <v>26</v>
      </c>
      <c r="B1414" s="16" t="s">
        <v>93</v>
      </c>
      <c r="C1414" s="14" t="str">
        <f>VLOOKUP([1]Competence!$B16,[1]Competence!$B$12:$B$100,1,FALSE)</f>
        <v>Information security</v>
      </c>
      <c r="D1414" s="13" t="str" cm="1">
        <f t="array" ref="D1414">_xlfn.XLOOKUP(B1414,[1]Baseline!$D$3:$AZ$3,_xlfn.XLOOKUP(C1414,[1]Baseline!$B$4:$B$91,[1]Baseline!$D$4:$AZ$91))</f>
        <v>Expert</v>
      </c>
      <c r="E1414" s="16"/>
      <c r="F1414" s="14">
        <v>4</v>
      </c>
      <c r="G1414" s="16">
        <v>3</v>
      </c>
      <c r="H1414" s="16">
        <f t="shared" si="22"/>
        <v>-1</v>
      </c>
      <c r="I1414" s="13">
        <v>3</v>
      </c>
    </row>
    <row r="1415" spans="1:10">
      <c r="A1415" s="13" t="s">
        <v>26</v>
      </c>
      <c r="B1415" s="16" t="s">
        <v>93</v>
      </c>
      <c r="C1415" s="14" t="str">
        <f>VLOOKUP([1]Competence!$B17,[1]Competence!$B$12:$B$100,1,FALSE)</f>
        <v>Personal data protection</v>
      </c>
      <c r="D1415" s="13" t="str" cm="1">
        <f t="array" ref="D1415">_xlfn.XLOOKUP(B1415,[1]Baseline!$D$3:$AZ$3,_xlfn.XLOOKUP(C1415,[1]Baseline!$B$4:$B$91,[1]Baseline!$D$4:$AZ$91))</f>
        <v>Expert</v>
      </c>
      <c r="E1415" s="16"/>
      <c r="F1415" s="14">
        <v>4</v>
      </c>
      <c r="G1415" s="16">
        <v>3</v>
      </c>
      <c r="H1415" s="16">
        <f t="shared" si="22"/>
        <v>-1</v>
      </c>
      <c r="I1415" s="13">
        <v>3</v>
      </c>
    </row>
    <row r="1416" spans="1:10">
      <c r="A1416" s="13" t="s">
        <v>26</v>
      </c>
      <c r="B1416" s="16" t="s">
        <v>93</v>
      </c>
      <c r="C1416" s="14" t="str">
        <f>VLOOKUP([1]Competence!$B18,[1]Competence!$B$12:$B$100,1,FALSE)</f>
        <v>Problem management</v>
      </c>
      <c r="D1416" s="13" t="str" cm="1">
        <f t="array" ref="D1416">_xlfn.XLOOKUP(B1416,[1]Baseline!$D$3:$AZ$3,_xlfn.XLOOKUP(C1416,[1]Baseline!$B$4:$B$91,[1]Baseline!$D$4:$AZ$91))</f>
        <v>Working</v>
      </c>
      <c r="E1416" s="16"/>
      <c r="F1416" s="14">
        <v>2</v>
      </c>
      <c r="G1416" s="16">
        <v>3</v>
      </c>
      <c r="H1416" s="16">
        <f t="shared" si="22"/>
        <v>1</v>
      </c>
      <c r="I1416" s="13">
        <v>3</v>
      </c>
    </row>
    <row r="1417" spans="1:10">
      <c r="A1417" s="13" t="s">
        <v>26</v>
      </c>
      <c r="B1417" s="16" t="s">
        <v>93</v>
      </c>
      <c r="C1417" s="14" t="str">
        <f>VLOOKUP([1]Competence!$B19,[1]Competence!$B$12:$B$100,1,FALSE)</f>
        <v>Service catalogue management</v>
      </c>
      <c r="D1417" s="13" t="str" cm="1">
        <f t="array" ref="D1417">_xlfn.XLOOKUP(B1417,[1]Baseline!$D$3:$AZ$3,_xlfn.XLOOKUP(C1417,[1]Baseline!$B$4:$B$91,[1]Baseline!$D$4:$AZ$91))</f>
        <v>Working</v>
      </c>
      <c r="E1417" s="16"/>
      <c r="F1417" s="14">
        <v>2</v>
      </c>
      <c r="G1417" s="16">
        <v>3</v>
      </c>
      <c r="H1417" s="16">
        <f t="shared" si="22"/>
        <v>1</v>
      </c>
      <c r="I1417" s="13">
        <v>3</v>
      </c>
    </row>
    <row r="1418" spans="1:10">
      <c r="A1418" s="13" t="s">
        <v>26</v>
      </c>
      <c r="B1418" s="16" t="s">
        <v>93</v>
      </c>
      <c r="C1418" s="14" t="str">
        <f>VLOOKUP([1]Competence!$B20,[1]Competence!$B$12:$B$100,1,FALSE)</f>
        <v>Service level management</v>
      </c>
      <c r="D1418" s="13" t="str" cm="1">
        <f t="array" ref="D1418">_xlfn.XLOOKUP(B1418,[1]Baseline!$D$3:$AZ$3,_xlfn.XLOOKUP(C1418,[1]Baseline!$B$4:$B$91,[1]Baseline!$D$4:$AZ$91))</f>
        <v>Working</v>
      </c>
      <c r="E1418" s="16"/>
      <c r="F1418" s="14">
        <v>2</v>
      </c>
      <c r="G1418" s="16">
        <v>2</v>
      </c>
      <c r="H1418" s="16">
        <f t="shared" si="22"/>
        <v>0</v>
      </c>
      <c r="I1418" s="13">
        <v>2</v>
      </c>
    </row>
    <row r="1419" spans="1:10">
      <c r="A1419" s="13" t="s">
        <v>26</v>
      </c>
      <c r="B1419" s="16" t="s">
        <v>93</v>
      </c>
      <c r="C1419" s="14" t="str">
        <f>VLOOKUP([1]Competence!$B21,[1]Competence!$B$12:$B$100,1,FALSE)</f>
        <v>Availability Management</v>
      </c>
      <c r="D1419" s="13" t="str" cm="1">
        <f t="array" ref="D1419">_xlfn.XLOOKUP(B1419,[1]Baseline!$D$3:$AZ$3,_xlfn.XLOOKUP(C1419,[1]Baseline!$B$4:$B$91,[1]Baseline!$D$4:$AZ$91))</f>
        <v>Expert</v>
      </c>
      <c r="E1419" s="16"/>
      <c r="F1419" s="14">
        <v>4</v>
      </c>
      <c r="G1419" s="16">
        <v>3</v>
      </c>
      <c r="H1419" s="16">
        <f t="shared" si="22"/>
        <v>-1</v>
      </c>
      <c r="I1419" s="13">
        <v>3</v>
      </c>
    </row>
    <row r="1420" spans="1:10">
      <c r="A1420" s="13" t="s">
        <v>26</v>
      </c>
      <c r="B1420" s="16" t="s">
        <v>93</v>
      </c>
      <c r="C1420" s="14" t="str">
        <f>VLOOKUP([1]Competence!$B22,[1]Competence!$B$12:$B$100,1,FALSE)</f>
        <v>Capacity management</v>
      </c>
      <c r="D1420" s="13" t="str" cm="1">
        <f t="array" ref="D1420">_xlfn.XLOOKUP(B1420,[1]Baseline!$D$3:$AZ$3,_xlfn.XLOOKUP(C1420,[1]Baseline!$B$4:$B$91,[1]Baseline!$D$4:$AZ$91))</f>
        <v>No Knowledge</v>
      </c>
      <c r="E1420" s="16"/>
      <c r="F1420" s="14">
        <v>0</v>
      </c>
      <c r="G1420" s="16">
        <v>3</v>
      </c>
      <c r="H1420" s="16">
        <f t="shared" si="22"/>
        <v>3</v>
      </c>
      <c r="I1420" s="13">
        <v>3</v>
      </c>
    </row>
    <row r="1421" spans="1:10">
      <c r="A1421" s="13" t="s">
        <v>26</v>
      </c>
      <c r="B1421" s="16" t="s">
        <v>93</v>
      </c>
      <c r="C1421" s="14" t="str">
        <f>VLOOKUP([1]Competence!$B23,[1]Competence!$B$12:$B$100,1,FALSE)</f>
        <v>Configuration Management</v>
      </c>
      <c r="D1421" s="13" t="str" cm="1">
        <f t="array" ref="D1421">_xlfn.XLOOKUP(B1421,[1]Baseline!$D$3:$AZ$3,_xlfn.XLOOKUP(C1421,[1]Baseline!$B$4:$B$91,[1]Baseline!$D$4:$AZ$91))</f>
        <v>No Knowledge</v>
      </c>
      <c r="E1421" s="16"/>
      <c r="F1421" s="14">
        <v>0</v>
      </c>
      <c r="G1421" s="16">
        <v>2</v>
      </c>
      <c r="H1421" s="16">
        <f t="shared" si="22"/>
        <v>2</v>
      </c>
      <c r="I1421" s="13">
        <v>2</v>
      </c>
    </row>
    <row r="1422" spans="1:10">
      <c r="A1422" s="13" t="s">
        <v>26</v>
      </c>
      <c r="B1422" s="16" t="s">
        <v>93</v>
      </c>
      <c r="C1422" s="14" t="str">
        <f>VLOOKUP([1]Competence!$B24,[1]Competence!$B$12:$B$100,1,FALSE)</f>
        <v>Continuity Management</v>
      </c>
      <c r="D1422" s="13" t="str" cm="1">
        <f t="array" ref="D1422">_xlfn.XLOOKUP(B1422,[1]Baseline!$D$3:$AZ$3,_xlfn.XLOOKUP(C1422,[1]Baseline!$B$4:$B$91,[1]Baseline!$D$4:$AZ$91))</f>
        <v>Practitioner</v>
      </c>
      <c r="E1422" s="16"/>
      <c r="F1422" s="14">
        <v>3</v>
      </c>
      <c r="G1422" s="16">
        <v>2</v>
      </c>
      <c r="H1422" s="16">
        <f t="shared" si="22"/>
        <v>-1</v>
      </c>
      <c r="I1422" s="13">
        <v>2</v>
      </c>
    </row>
    <row r="1423" spans="1:10">
      <c r="A1423" s="13" t="s">
        <v>26</v>
      </c>
      <c r="B1423" s="16" t="s">
        <v>93</v>
      </c>
      <c r="C1423" s="14" t="str">
        <f>VLOOKUP([1]Competence!$B25,[1]Competence!$B$12:$B$100,1,FALSE)</f>
        <v>Demand Management</v>
      </c>
      <c r="D1423" s="13" t="str" cm="1">
        <f t="array" ref="D1423">_xlfn.XLOOKUP(B1423,[1]Baseline!$D$3:$AZ$3,_xlfn.XLOOKUP(C1423,[1]Baseline!$B$4:$B$91,[1]Baseline!$D$4:$AZ$91))</f>
        <v>Practitioner</v>
      </c>
      <c r="E1423" s="16"/>
      <c r="F1423" s="14">
        <v>3</v>
      </c>
      <c r="G1423" s="16">
        <v>2</v>
      </c>
      <c r="H1423" s="16">
        <f t="shared" si="22"/>
        <v>-1</v>
      </c>
      <c r="I1423" s="13">
        <v>2</v>
      </c>
    </row>
    <row r="1424" spans="1:10">
      <c r="A1424" s="13" t="s">
        <v>26</v>
      </c>
      <c r="B1424" s="16" t="s">
        <v>93</v>
      </c>
      <c r="C1424" s="14" t="str">
        <f>VLOOKUP([1]Competence!$B26,[1]Competence!$B$12:$B$100,1,FALSE)</f>
        <v>Knowledge management</v>
      </c>
      <c r="D1424" s="13" t="str" cm="1">
        <f t="array" ref="D1424">_xlfn.XLOOKUP(B1424,[1]Baseline!$D$3:$AZ$3,_xlfn.XLOOKUP(C1424,[1]Baseline!$B$4:$B$91,[1]Baseline!$D$4:$AZ$91))</f>
        <v>Practitioner</v>
      </c>
      <c r="E1424" s="16"/>
      <c r="F1424" s="14">
        <v>3</v>
      </c>
      <c r="G1424" s="16">
        <v>3</v>
      </c>
      <c r="H1424" s="16">
        <f t="shared" si="22"/>
        <v>0</v>
      </c>
      <c r="I1424" s="13">
        <v>3</v>
      </c>
    </row>
    <row r="1425" spans="1:9">
      <c r="A1425" s="13" t="s">
        <v>26</v>
      </c>
      <c r="B1425" s="16" t="s">
        <v>93</v>
      </c>
      <c r="C1425" s="14" t="str">
        <f>VLOOKUP([1]Competence!$B27,[1]Competence!$B$12:$B$100,1,FALSE)</f>
        <v>Methods and tools</v>
      </c>
      <c r="D1425" s="13" t="str" cm="1">
        <f t="array" ref="D1425">_xlfn.XLOOKUP(B1425,[1]Baseline!$D$3:$AZ$3,_xlfn.XLOOKUP(C1425,[1]Baseline!$B$4:$B$91,[1]Baseline!$D$4:$AZ$91))</f>
        <v>Practitioner</v>
      </c>
      <c r="E1425" s="16"/>
      <c r="F1425" s="14">
        <v>3</v>
      </c>
      <c r="G1425" s="16">
        <v>3</v>
      </c>
      <c r="H1425" s="16">
        <f t="shared" si="22"/>
        <v>0</v>
      </c>
      <c r="I1425" s="13">
        <v>3</v>
      </c>
    </row>
    <row r="1426" spans="1:9">
      <c r="A1426" s="13" t="s">
        <v>26</v>
      </c>
      <c r="B1426" s="16" t="s">
        <v>93</v>
      </c>
      <c r="C1426" s="14" t="str">
        <f>VLOOKUP([1]Competence!$B28,[1]Competence!$B$12:$B$100,1,FALSE)</f>
        <v>Release and deployment</v>
      </c>
      <c r="D1426" s="13" t="str" cm="1">
        <f t="array" ref="D1426">_xlfn.XLOOKUP(B1426,[1]Baseline!$D$3:$AZ$3,_xlfn.XLOOKUP(C1426,[1]Baseline!$B$4:$B$91,[1]Baseline!$D$4:$AZ$91))</f>
        <v>Expert</v>
      </c>
      <c r="E1426" s="16"/>
      <c r="F1426" s="14">
        <v>4</v>
      </c>
      <c r="G1426" s="16">
        <v>3</v>
      </c>
      <c r="H1426" s="16">
        <f t="shared" si="22"/>
        <v>-1</v>
      </c>
      <c r="I1426" s="13">
        <v>3</v>
      </c>
    </row>
    <row r="1427" spans="1:9">
      <c r="A1427" s="13" t="s">
        <v>26</v>
      </c>
      <c r="B1427" s="16" t="s">
        <v>93</v>
      </c>
      <c r="C1427" s="14" t="str">
        <f>VLOOKUP([1]Competence!$B29,[1]Competence!$B$12:$B$100,1,FALSE)</f>
        <v>Service acceptance</v>
      </c>
      <c r="D1427" s="13" t="str" cm="1">
        <f t="array" ref="D1427">_xlfn.XLOOKUP(B1427,[1]Baseline!$D$3:$AZ$3,_xlfn.XLOOKUP(C1427,[1]Baseline!$B$4:$B$91,[1]Baseline!$D$4:$AZ$91))</f>
        <v>Practitioner</v>
      </c>
      <c r="E1427" s="16"/>
      <c r="F1427" s="14">
        <v>3</v>
      </c>
      <c r="G1427" s="16">
        <v>3</v>
      </c>
      <c r="H1427" s="16">
        <f t="shared" si="22"/>
        <v>0</v>
      </c>
      <c r="I1427" s="13">
        <v>3</v>
      </c>
    </row>
    <row r="1428" spans="1:9">
      <c r="A1428" s="13" t="s">
        <v>26</v>
      </c>
      <c r="B1428" s="16" t="s">
        <v>93</v>
      </c>
      <c r="C1428" s="14" t="str">
        <f>VLOOKUP([1]Competence!$B30,[1]Competence!$B$12:$B$100,1,FALSE)</f>
        <v>Stakeholder relationship management</v>
      </c>
      <c r="D1428" s="13" t="str" cm="1">
        <f t="array" ref="D1428">_xlfn.XLOOKUP(B1428,[1]Baseline!$D$3:$AZ$3,_xlfn.XLOOKUP(C1428,[1]Baseline!$B$4:$B$91,[1]Baseline!$D$4:$AZ$91))</f>
        <v>Practitioner</v>
      </c>
      <c r="E1428" s="16"/>
      <c r="F1428" s="14">
        <v>3</v>
      </c>
      <c r="G1428" s="16">
        <v>3</v>
      </c>
      <c r="H1428" s="16">
        <f t="shared" si="22"/>
        <v>0</v>
      </c>
      <c r="I1428" s="13">
        <v>3</v>
      </c>
    </row>
    <row r="1429" spans="1:9">
      <c r="A1429" s="13" t="s">
        <v>26</v>
      </c>
      <c r="B1429" s="16" t="s">
        <v>93</v>
      </c>
      <c r="C1429" s="14" t="str">
        <f>VLOOKUP([1]Competence!$B31,[1]Competence!$B$12:$B$100,1,FALSE)</f>
        <v>Storage management</v>
      </c>
      <c r="D1429" s="13" t="str" cm="1">
        <f t="array" ref="D1429">_xlfn.XLOOKUP(B1429,[1]Baseline!$D$3:$AZ$3,_xlfn.XLOOKUP(C1429,[1]Baseline!$B$4:$B$91,[1]Baseline!$D$4:$AZ$91))</f>
        <v>Awareness</v>
      </c>
      <c r="E1429" s="16"/>
      <c r="F1429" s="14">
        <v>1</v>
      </c>
      <c r="G1429" s="16">
        <v>3</v>
      </c>
      <c r="H1429" s="16">
        <f t="shared" si="22"/>
        <v>2</v>
      </c>
      <c r="I1429" s="13">
        <v>3</v>
      </c>
    </row>
    <row r="1430" spans="1:9">
      <c r="A1430" s="13" t="s">
        <v>26</v>
      </c>
      <c r="B1430" s="16" t="s">
        <v>93</v>
      </c>
      <c r="C1430" s="14" t="str">
        <f>VLOOKUP([1]Competence!$B32,[1]Competence!$B$12:$B$100,1,FALSE)</f>
        <v>Digital Forensics</v>
      </c>
      <c r="D1430" s="13" t="str" cm="1">
        <f t="array" ref="D1430">_xlfn.XLOOKUP(B1430,[1]Baseline!$D$3:$AZ$3,_xlfn.XLOOKUP(C1430,[1]Baseline!$B$4:$B$91,[1]Baseline!$D$4:$AZ$91))</f>
        <v>Expert</v>
      </c>
      <c r="E1430" s="16"/>
      <c r="F1430" s="14">
        <v>4</v>
      </c>
      <c r="G1430" s="16">
        <v>3</v>
      </c>
      <c r="H1430" s="16">
        <f t="shared" si="22"/>
        <v>-1</v>
      </c>
      <c r="I1430" s="13">
        <v>3</v>
      </c>
    </row>
    <row r="1431" spans="1:9">
      <c r="A1431" s="13" t="s">
        <v>26</v>
      </c>
      <c r="B1431" s="16" t="s">
        <v>93</v>
      </c>
      <c r="C1431" s="14" t="str">
        <f>VLOOKUP([1]Competence!$B33,[1]Competence!$B$12:$B$100,1,FALSE)</f>
        <v>Penetration testing</v>
      </c>
      <c r="D1431" s="13" t="str" cm="1">
        <f t="array" ref="D1431">_xlfn.XLOOKUP(B1431,[1]Baseline!$D$3:$AZ$3,_xlfn.XLOOKUP(C1431,[1]Baseline!$B$4:$B$91,[1]Baseline!$D$4:$AZ$91))</f>
        <v>Expert</v>
      </c>
      <c r="E1431" s="16"/>
      <c r="F1431" s="14">
        <v>4</v>
      </c>
      <c r="G1431" s="16">
        <v>1</v>
      </c>
      <c r="H1431" s="16">
        <f t="shared" si="22"/>
        <v>-3</v>
      </c>
      <c r="I1431" s="13">
        <v>1</v>
      </c>
    </row>
    <row r="1432" spans="1:9">
      <c r="A1432" s="13" t="s">
        <v>26</v>
      </c>
      <c r="B1432" s="16" t="s">
        <v>93</v>
      </c>
      <c r="C1432" s="14" t="str">
        <f>VLOOKUP([1]Competence!$B34,[1]Competence!$B$12:$B$100,1,FALSE)</f>
        <v>Security Operations</v>
      </c>
      <c r="D1432" s="13" t="str" cm="1">
        <f t="array" ref="D1432">_xlfn.XLOOKUP(B1432,[1]Baseline!$D$3:$AZ$3,_xlfn.XLOOKUP(C1432,[1]Baseline!$B$4:$B$91,[1]Baseline!$D$4:$AZ$91))</f>
        <v>Expert</v>
      </c>
      <c r="E1432" s="16"/>
      <c r="F1432" s="14">
        <v>4</v>
      </c>
      <c r="G1432" s="16">
        <v>3</v>
      </c>
      <c r="H1432" s="16">
        <f t="shared" si="22"/>
        <v>-1</v>
      </c>
      <c r="I1432" s="13">
        <v>3</v>
      </c>
    </row>
    <row r="1433" spans="1:9">
      <c r="A1433" s="13" t="s">
        <v>26</v>
      </c>
      <c r="B1433" s="16" t="s">
        <v>93</v>
      </c>
      <c r="C1433" s="14" t="str">
        <f>VLOOKUP([1]Competence!$B35,[1]Competence!$B$12:$B$100,1,FALSE)</f>
        <v>Threat Intelligence</v>
      </c>
      <c r="D1433" s="13" t="str" cm="1">
        <f t="array" ref="D1433">_xlfn.XLOOKUP(B1433,[1]Baseline!$D$3:$AZ$3,_xlfn.XLOOKUP(C1433,[1]Baseline!$B$4:$B$91,[1]Baseline!$D$4:$AZ$91))</f>
        <v>Expert</v>
      </c>
      <c r="E1433" s="16"/>
      <c r="F1433" s="14">
        <v>4</v>
      </c>
      <c r="G1433" s="16">
        <v>3</v>
      </c>
      <c r="H1433" s="16">
        <f t="shared" si="22"/>
        <v>-1</v>
      </c>
      <c r="I1433" s="13">
        <v>3</v>
      </c>
    </row>
    <row r="1434" spans="1:9">
      <c r="A1434" s="13" t="s">
        <v>26</v>
      </c>
      <c r="B1434" s="16" t="s">
        <v>93</v>
      </c>
      <c r="C1434" s="14" t="str">
        <f>VLOOKUP([1]Competence!$B36,[1]Competence!$B$12:$B$100,1,FALSE)</f>
        <v>Vulnerability assessment</v>
      </c>
      <c r="D1434" s="13" t="str" cm="1">
        <f t="array" ref="D1434">_xlfn.XLOOKUP(B1434,[1]Baseline!$D$3:$AZ$3,_xlfn.XLOOKUP(C1434,[1]Baseline!$B$4:$B$91,[1]Baseline!$D$4:$AZ$91))</f>
        <v>Expert</v>
      </c>
      <c r="E1434" s="16"/>
      <c r="F1434" s="14">
        <v>4</v>
      </c>
      <c r="G1434" s="16">
        <v>3</v>
      </c>
      <c r="H1434" s="16">
        <f t="shared" si="22"/>
        <v>-1</v>
      </c>
      <c r="I1434" s="13">
        <v>3</v>
      </c>
    </row>
    <row r="1435" spans="1:9">
      <c r="A1435" s="13" t="s">
        <v>26</v>
      </c>
      <c r="B1435" s="16" t="s">
        <v>93</v>
      </c>
      <c r="C1435" s="14" t="str">
        <f>VLOOKUP([1]Competence!$B37,[1]Competence!$B$12:$B$100,1,FALSE)</f>
        <v>Vulnerability Research</v>
      </c>
      <c r="D1435" s="13" t="str" cm="1">
        <f t="array" ref="D1435">_xlfn.XLOOKUP(B1435,[1]Baseline!$D$3:$AZ$3,_xlfn.XLOOKUP(C1435,[1]Baseline!$B$4:$B$91,[1]Baseline!$D$4:$AZ$91))</f>
        <v>Expert</v>
      </c>
      <c r="E1435" s="16"/>
      <c r="F1435" s="14">
        <v>4</v>
      </c>
      <c r="G1435" s="16">
        <v>1</v>
      </c>
      <c r="H1435" s="16">
        <f t="shared" si="22"/>
        <v>-3</v>
      </c>
      <c r="I1435" s="13">
        <v>1</v>
      </c>
    </row>
    <row r="1436" spans="1:9">
      <c r="A1436" s="13" t="s">
        <v>26</v>
      </c>
      <c r="B1436" s="16" t="s">
        <v>93</v>
      </c>
      <c r="C1436" s="14" t="str">
        <f>VLOOKUP([1]Competence!$B38,[1]Competence!$B$12:$B$100,1,FALSE)</f>
        <v>Competency assessment</v>
      </c>
      <c r="D1436" s="13" t="str" cm="1">
        <f t="array" ref="D1436">_xlfn.XLOOKUP(B1436,[1]Baseline!$D$3:$AZ$3,_xlfn.XLOOKUP(C1436,[1]Baseline!$B$4:$B$91,[1]Baseline!$D$4:$AZ$91))</f>
        <v>Practitioner</v>
      </c>
      <c r="E1436" s="16"/>
      <c r="F1436" s="14">
        <v>3</v>
      </c>
      <c r="G1436" s="16">
        <v>3</v>
      </c>
      <c r="H1436" s="16">
        <f t="shared" si="22"/>
        <v>0</v>
      </c>
      <c r="I1436" s="13">
        <v>3</v>
      </c>
    </row>
    <row r="1437" spans="1:9">
      <c r="A1437" s="13" t="s">
        <v>26</v>
      </c>
      <c r="B1437" s="16" t="s">
        <v>93</v>
      </c>
      <c r="C1437" s="14" t="str">
        <f>VLOOKUP([1]Competence!$B39,[1]Competence!$B$12:$B$100,1,FALSE)</f>
        <v>Financial management</v>
      </c>
      <c r="D1437" s="13" t="str" cm="1">
        <f t="array" ref="D1437">_xlfn.XLOOKUP(B1437,[1]Baseline!$D$3:$AZ$3,_xlfn.XLOOKUP(C1437,[1]Baseline!$B$4:$B$91,[1]Baseline!$D$4:$AZ$91))</f>
        <v>Awareness</v>
      </c>
      <c r="E1437" s="16"/>
      <c r="F1437" s="14">
        <v>1</v>
      </c>
      <c r="G1437" s="16">
        <v>2</v>
      </c>
      <c r="H1437" s="16">
        <f t="shared" si="22"/>
        <v>1</v>
      </c>
      <c r="I1437" s="13">
        <v>2</v>
      </c>
    </row>
    <row r="1438" spans="1:9" ht="30">
      <c r="A1438" s="13" t="s">
        <v>26</v>
      </c>
      <c r="B1438" s="16" t="s">
        <v>93</v>
      </c>
      <c r="C1438" s="14" t="str">
        <f>VLOOKUP([1]Competence!$B40,[1]Competence!$B$12:$B$100,1,FALSE)</f>
        <v>Organisation design and implementation</v>
      </c>
      <c r="D1438" s="13" t="str" cm="1">
        <f t="array" ref="D1438">_xlfn.XLOOKUP(B1438,[1]Baseline!$D$3:$AZ$3,_xlfn.XLOOKUP(C1438,[1]Baseline!$B$4:$B$91,[1]Baseline!$D$4:$AZ$91))</f>
        <v>Awareness</v>
      </c>
      <c r="E1438" s="16"/>
      <c r="F1438" s="14">
        <v>1</v>
      </c>
      <c r="G1438" s="16">
        <v>2</v>
      </c>
      <c r="H1438" s="16">
        <f t="shared" si="22"/>
        <v>1</v>
      </c>
      <c r="I1438" s="13">
        <v>2</v>
      </c>
    </row>
    <row r="1439" spans="1:9">
      <c r="A1439" s="13" t="s">
        <v>26</v>
      </c>
      <c r="B1439" s="16" t="s">
        <v>93</v>
      </c>
      <c r="C1439" s="14" t="str">
        <f>VLOOKUP([1]Competence!$B41,[1]Competence!$B$12:$B$100,1,FALSE)</f>
        <v>Organisational capability development</v>
      </c>
      <c r="D1439" s="13" t="str" cm="1">
        <f t="array" ref="D1439">_xlfn.XLOOKUP(B1439,[1]Baseline!$D$3:$AZ$3,_xlfn.XLOOKUP(C1439,[1]Baseline!$B$4:$B$91,[1]Baseline!$D$4:$AZ$91))</f>
        <v>Awareness</v>
      </c>
      <c r="E1439" s="16"/>
      <c r="F1439" s="14">
        <v>1</v>
      </c>
      <c r="G1439" s="16">
        <v>1</v>
      </c>
      <c r="H1439" s="16">
        <f t="shared" si="22"/>
        <v>0</v>
      </c>
      <c r="I1439" s="13">
        <v>1</v>
      </c>
    </row>
    <row r="1440" spans="1:9">
      <c r="A1440" s="13" t="s">
        <v>26</v>
      </c>
      <c r="B1440" s="16" t="s">
        <v>93</v>
      </c>
      <c r="C1440" s="14" t="str">
        <f>VLOOKUP([1]Competence!$B42,[1]Competence!$B$12:$B$100,1,FALSE)</f>
        <v>Organisational change management</v>
      </c>
      <c r="D1440" s="13" t="str" cm="1">
        <f t="array" ref="D1440">_xlfn.XLOOKUP(B1440,[1]Baseline!$D$3:$AZ$3,_xlfn.XLOOKUP(C1440,[1]Baseline!$B$4:$B$91,[1]Baseline!$D$4:$AZ$91))</f>
        <v>No Knowledge</v>
      </c>
      <c r="E1440" s="16"/>
      <c r="F1440" s="14">
        <v>0</v>
      </c>
      <c r="G1440" s="16">
        <v>2</v>
      </c>
      <c r="H1440" s="16">
        <f t="shared" si="22"/>
        <v>2</v>
      </c>
      <c r="I1440" s="13">
        <v>2</v>
      </c>
    </row>
    <row r="1441" spans="1:9">
      <c r="A1441" s="13" t="s">
        <v>26</v>
      </c>
      <c r="B1441" s="16" t="s">
        <v>93</v>
      </c>
      <c r="C1441" s="14" t="str">
        <f>VLOOKUP([1]Competence!$B43,[1]Competence!$B$12:$B$100,1,FALSE)</f>
        <v>Performance Management</v>
      </c>
      <c r="D1441" s="13" t="str" cm="1">
        <f t="array" ref="D1441">_xlfn.XLOOKUP(B1441,[1]Baseline!$D$3:$AZ$3,_xlfn.XLOOKUP(C1441,[1]Baseline!$B$4:$B$91,[1]Baseline!$D$4:$AZ$91))</f>
        <v>Working</v>
      </c>
      <c r="E1441" s="16"/>
      <c r="F1441" s="14">
        <v>2</v>
      </c>
      <c r="G1441" s="16">
        <v>2</v>
      </c>
      <c r="H1441" s="16">
        <f t="shared" si="22"/>
        <v>0</v>
      </c>
      <c r="I1441" s="13">
        <v>2</v>
      </c>
    </row>
    <row r="1442" spans="1:9">
      <c r="A1442" s="13" t="s">
        <v>26</v>
      </c>
      <c r="B1442" s="16" t="s">
        <v>93</v>
      </c>
      <c r="C1442" s="14" t="str">
        <f>VLOOKUP([1]Competence!$B44,[1]Competence!$B$12:$B$100,1,FALSE)</f>
        <v>Professional Development</v>
      </c>
      <c r="D1442" s="13" t="str" cm="1">
        <f t="array" ref="D1442">_xlfn.XLOOKUP(B1442,[1]Baseline!$D$3:$AZ$3,_xlfn.XLOOKUP(C1442,[1]Baseline!$B$4:$B$91,[1]Baseline!$D$4:$AZ$91))</f>
        <v>Practitioner</v>
      </c>
      <c r="E1442" s="16"/>
      <c r="F1442" s="14">
        <v>3</v>
      </c>
      <c r="G1442" s="16">
        <v>3</v>
      </c>
      <c r="H1442" s="16">
        <f t="shared" si="22"/>
        <v>0</v>
      </c>
      <c r="I1442" s="13">
        <v>3</v>
      </c>
    </row>
    <row r="1443" spans="1:9">
      <c r="A1443" s="13" t="s">
        <v>26</v>
      </c>
      <c r="B1443" s="16" t="s">
        <v>93</v>
      </c>
      <c r="C1443" s="14" t="str">
        <f>VLOOKUP([1]Competence!$B45,[1]Competence!$B$12:$B$100,1,FALSE)</f>
        <v>Strategic Planning</v>
      </c>
      <c r="D1443" s="13" t="str" cm="1">
        <f t="array" ref="D1443">_xlfn.XLOOKUP(B1443,[1]Baseline!$D$3:$AZ$3,_xlfn.XLOOKUP(C1443,[1]Baseline!$B$4:$B$91,[1]Baseline!$D$4:$AZ$91))</f>
        <v>Working</v>
      </c>
      <c r="E1443" s="16"/>
      <c r="F1443" s="14">
        <v>2</v>
      </c>
      <c r="G1443" s="16">
        <v>2</v>
      </c>
      <c r="H1443" s="16">
        <f t="shared" si="22"/>
        <v>0</v>
      </c>
      <c r="I1443" s="13">
        <v>2</v>
      </c>
    </row>
    <row r="1444" spans="1:9">
      <c r="A1444" s="13" t="s">
        <v>26</v>
      </c>
      <c r="B1444" s="16" t="s">
        <v>93</v>
      </c>
      <c r="C1444" s="14" t="str">
        <f>VLOOKUP([1]Competence!$B46,[1]Competence!$B$12:$B$100,1,FALSE)</f>
        <v>Workforce Planning</v>
      </c>
      <c r="D1444" s="13" t="str" cm="1">
        <f t="array" ref="D1444">_xlfn.XLOOKUP(B1444,[1]Baseline!$D$3:$AZ$3,_xlfn.XLOOKUP(C1444,[1]Baseline!$B$4:$B$91,[1]Baseline!$D$4:$AZ$91))</f>
        <v>Practitioner</v>
      </c>
      <c r="E1444" s="16"/>
      <c r="F1444" s="14">
        <v>3</v>
      </c>
      <c r="G1444" s="16">
        <v>2</v>
      </c>
      <c r="H1444" s="16">
        <f t="shared" si="22"/>
        <v>-1</v>
      </c>
      <c r="I1444" s="13">
        <v>2</v>
      </c>
    </row>
    <row r="1445" spans="1:9">
      <c r="A1445" s="13" t="s">
        <v>26</v>
      </c>
      <c r="B1445" s="16" t="s">
        <v>93</v>
      </c>
      <c r="C1445" s="14" t="str">
        <f>VLOOKUP([1]Competence!$B47,[1]Competence!$B$12:$B$100,1,FALSE)</f>
        <v>Audit</v>
      </c>
      <c r="D1445" s="13" t="str" cm="1">
        <f t="array" ref="D1445">_xlfn.XLOOKUP(B1445,[1]Baseline!$D$3:$AZ$3,_xlfn.XLOOKUP(C1445,[1]Baseline!$B$4:$B$91,[1]Baseline!$D$4:$AZ$91))</f>
        <v>Expert</v>
      </c>
      <c r="E1445" s="16"/>
      <c r="F1445" s="14">
        <v>4</v>
      </c>
      <c r="G1445" s="16">
        <v>2</v>
      </c>
      <c r="H1445" s="16">
        <f t="shared" si="22"/>
        <v>-2</v>
      </c>
      <c r="I1445" s="13">
        <v>2</v>
      </c>
    </row>
    <row r="1446" spans="1:9">
      <c r="A1446" s="13" t="s">
        <v>26</v>
      </c>
      <c r="B1446" s="16" t="s">
        <v>93</v>
      </c>
      <c r="C1446" s="14" t="str">
        <f>VLOOKUP([1]Competence!$B48,[1]Competence!$B$12:$B$100,1,FALSE)</f>
        <v>Contract management</v>
      </c>
      <c r="D1446" s="13" t="str" cm="1">
        <f t="array" ref="D1446">_xlfn.XLOOKUP(B1446,[1]Baseline!$D$3:$AZ$3,_xlfn.XLOOKUP(C1446,[1]Baseline!$B$4:$B$91,[1]Baseline!$D$4:$AZ$91))</f>
        <v>Practitioner</v>
      </c>
      <c r="E1446" s="16"/>
      <c r="F1446" s="14">
        <v>3</v>
      </c>
      <c r="G1446" s="16">
        <v>3</v>
      </c>
      <c r="H1446" s="16">
        <f t="shared" si="22"/>
        <v>0</v>
      </c>
      <c r="I1446" s="13">
        <v>3</v>
      </c>
    </row>
    <row r="1447" spans="1:9">
      <c r="A1447" s="13" t="s">
        <v>26</v>
      </c>
      <c r="B1447" s="16" t="s">
        <v>93</v>
      </c>
      <c r="C1447" s="14" t="str">
        <f>VLOOKUP([1]Competence!$B49,[1]Competence!$B$12:$B$100,1,FALSE)</f>
        <v>Feasibility assessment</v>
      </c>
      <c r="D1447" s="13" t="str" cm="1">
        <f t="array" ref="D1447">_xlfn.XLOOKUP(B1447,[1]Baseline!$D$3:$AZ$3,_xlfn.XLOOKUP(C1447,[1]Baseline!$B$4:$B$91,[1]Baseline!$D$4:$AZ$91))</f>
        <v>Working</v>
      </c>
      <c r="E1447" s="16"/>
      <c r="F1447" s="14">
        <v>2</v>
      </c>
      <c r="G1447" s="16">
        <v>3</v>
      </c>
      <c r="H1447" s="16">
        <f t="shared" si="22"/>
        <v>1</v>
      </c>
      <c r="I1447" s="13">
        <v>3</v>
      </c>
    </row>
    <row r="1448" spans="1:9">
      <c r="A1448" s="13" t="s">
        <v>26</v>
      </c>
      <c r="B1448" s="16" t="s">
        <v>93</v>
      </c>
      <c r="C1448" s="14" t="str">
        <f>VLOOKUP([1]Competence!$B50,[1]Competence!$B$12:$B$100,1,FALSE)</f>
        <v>Governance</v>
      </c>
      <c r="D1448" s="13" t="str" cm="1">
        <f t="array" ref="D1448">_xlfn.XLOOKUP(B1448,[1]Baseline!$D$3:$AZ$3,_xlfn.XLOOKUP(C1448,[1]Baseline!$B$4:$B$91,[1]Baseline!$D$4:$AZ$91))</f>
        <v>Practitioner</v>
      </c>
      <c r="E1448" s="16"/>
      <c r="F1448" s="14">
        <v>3</v>
      </c>
      <c r="G1448" s="16">
        <v>2</v>
      </c>
      <c r="H1448" s="16">
        <f t="shared" si="22"/>
        <v>-1</v>
      </c>
      <c r="I1448" s="13">
        <v>2</v>
      </c>
    </row>
    <row r="1449" spans="1:9">
      <c r="A1449" s="13" t="s">
        <v>26</v>
      </c>
      <c r="B1449" s="16" t="s">
        <v>93</v>
      </c>
      <c r="C1449" s="14" t="str">
        <f>VLOOKUP([1]Competence!$B51,[1]Competence!$B$12:$B$100,1,FALSE)</f>
        <v>Risk management</v>
      </c>
      <c r="D1449" s="13" t="str" cm="1">
        <f t="array" ref="D1449">_xlfn.XLOOKUP(B1449,[1]Baseline!$D$3:$AZ$3,_xlfn.XLOOKUP(C1449,[1]Baseline!$B$4:$B$91,[1]Baseline!$D$4:$AZ$91))</f>
        <v>Practitioner</v>
      </c>
      <c r="E1449" s="16"/>
      <c r="F1449" s="14">
        <v>3</v>
      </c>
      <c r="G1449" s="16">
        <v>2</v>
      </c>
      <c r="H1449" s="16">
        <f t="shared" si="22"/>
        <v>-1</v>
      </c>
      <c r="I1449" s="13">
        <v>2</v>
      </c>
    </row>
    <row r="1450" spans="1:9">
      <c r="A1450" s="13" t="s">
        <v>26</v>
      </c>
      <c r="B1450" s="16" t="s">
        <v>93</v>
      </c>
      <c r="C1450" s="14" t="str">
        <f>VLOOKUP([1]Competence!$B52,[1]Competence!$B$12:$B$100,1,FALSE)</f>
        <v>Sourcing</v>
      </c>
      <c r="D1450" s="13" t="str" cm="1">
        <f t="array" ref="D1450">_xlfn.XLOOKUP(B1450,[1]Baseline!$D$3:$AZ$3,_xlfn.XLOOKUP(C1450,[1]Baseline!$B$4:$B$91,[1]Baseline!$D$4:$AZ$91))</f>
        <v>Practitioner</v>
      </c>
      <c r="E1450" s="16"/>
      <c r="F1450" s="14">
        <v>3</v>
      </c>
      <c r="G1450" s="16">
        <v>3</v>
      </c>
      <c r="H1450" s="16">
        <f t="shared" si="22"/>
        <v>0</v>
      </c>
      <c r="I1450" s="13">
        <v>3</v>
      </c>
    </row>
    <row r="1451" spans="1:9">
      <c r="A1451" s="13" t="s">
        <v>26</v>
      </c>
      <c r="B1451" s="16" t="s">
        <v>93</v>
      </c>
      <c r="C1451" s="14" t="str">
        <f>VLOOKUP([1]Competence!$B53,[1]Competence!$B$12:$B$100,1,FALSE)</f>
        <v>Supplier management</v>
      </c>
      <c r="D1451" s="13" t="str" cm="1">
        <f t="array" ref="D1451">_xlfn.XLOOKUP(B1451,[1]Baseline!$D$3:$AZ$3,_xlfn.XLOOKUP(C1451,[1]Baseline!$B$4:$B$91,[1]Baseline!$D$4:$AZ$91))</f>
        <v>Practitioner</v>
      </c>
      <c r="E1451" s="16"/>
      <c r="F1451" s="14">
        <v>3</v>
      </c>
      <c r="G1451" s="16">
        <v>3</v>
      </c>
      <c r="H1451" s="16">
        <f t="shared" si="22"/>
        <v>0</v>
      </c>
      <c r="I1451" s="13">
        <v>3</v>
      </c>
    </row>
    <row r="1452" spans="1:9">
      <c r="A1452" s="13" t="s">
        <v>26</v>
      </c>
      <c r="B1452" s="16" t="s">
        <v>93</v>
      </c>
      <c r="C1452" s="14" t="str">
        <f>VLOOKUP([1]Competence!$B54,[1]Competence!$B$12:$B$100,1,FALSE)</f>
        <v>Sustainability</v>
      </c>
      <c r="D1452" s="13" t="str" cm="1">
        <f t="array" ref="D1452">_xlfn.XLOOKUP(B1452,[1]Baseline!$D$3:$AZ$3,_xlfn.XLOOKUP(C1452,[1]Baseline!$B$4:$B$91,[1]Baseline!$D$4:$AZ$91))</f>
        <v>Awareness</v>
      </c>
      <c r="E1452" s="16"/>
      <c r="F1452" s="14">
        <v>1</v>
      </c>
      <c r="G1452" s="16">
        <v>2</v>
      </c>
      <c r="H1452" s="16">
        <f t="shared" si="22"/>
        <v>1</v>
      </c>
      <c r="I1452" s="13">
        <v>2</v>
      </c>
    </row>
    <row r="1453" spans="1:9">
      <c r="A1453" s="13" t="s">
        <v>26</v>
      </c>
      <c r="B1453" s="16" t="s">
        <v>93</v>
      </c>
      <c r="C1453" s="14" t="str">
        <f>VLOOKUP([1]Competence!$B55,[1]Competence!$B$12:$B$100,1,FALSE)</f>
        <v>Acceptance testing</v>
      </c>
      <c r="D1453" s="13" t="str" cm="1">
        <f t="array" ref="D1453">_xlfn.XLOOKUP(B1453,[1]Baseline!$D$3:$AZ$3,_xlfn.XLOOKUP(C1453,[1]Baseline!$B$4:$B$91,[1]Baseline!$D$4:$AZ$91))</f>
        <v>Practitioner</v>
      </c>
      <c r="E1453" s="16"/>
      <c r="F1453" s="14">
        <v>3</v>
      </c>
      <c r="G1453" s="16">
        <v>3</v>
      </c>
      <c r="H1453" s="16">
        <f t="shared" si="22"/>
        <v>0</v>
      </c>
      <c r="I1453" s="13">
        <v>3</v>
      </c>
    </row>
    <row r="1454" spans="1:9">
      <c r="A1454" s="13" t="s">
        <v>26</v>
      </c>
      <c r="B1454" s="16" t="s">
        <v>93</v>
      </c>
      <c r="C1454" s="14" t="str">
        <f>VLOOKUP([1]Competence!$B56,[1]Competence!$B$12:$B$100,1,FALSE)</f>
        <v>Application support</v>
      </c>
      <c r="D1454" s="13" t="str" cm="1">
        <f t="array" ref="D1454">_xlfn.XLOOKUP(B1454,[1]Baseline!$D$3:$AZ$3,_xlfn.XLOOKUP(C1454,[1]Baseline!$B$4:$B$91,[1]Baseline!$D$4:$AZ$91))</f>
        <v>Awareness</v>
      </c>
      <c r="E1454" s="16"/>
      <c r="F1454" s="14">
        <v>1</v>
      </c>
      <c r="G1454" s="16">
        <v>3</v>
      </c>
      <c r="H1454" s="16">
        <f t="shared" si="22"/>
        <v>2</v>
      </c>
      <c r="I1454" s="13">
        <v>3</v>
      </c>
    </row>
    <row r="1455" spans="1:9">
      <c r="A1455" s="13" t="s">
        <v>26</v>
      </c>
      <c r="B1455" s="16" t="s">
        <v>93</v>
      </c>
      <c r="C1455" s="14" t="str">
        <f>VLOOKUP([1]Competence!$B57,[1]Competence!$B$12:$B$100,1,FALSE)</f>
        <v>Data Engineering</v>
      </c>
      <c r="D1455" s="13" t="str" cm="1">
        <f t="array" ref="D1455">_xlfn.XLOOKUP(B1455,[1]Baseline!$D$3:$AZ$3,_xlfn.XLOOKUP(C1455,[1]Baseline!$B$4:$B$91,[1]Baseline!$D$4:$AZ$91))</f>
        <v>No Knowledge</v>
      </c>
      <c r="E1455" s="16"/>
      <c r="F1455" s="14">
        <v>0</v>
      </c>
      <c r="G1455" s="16">
        <v>2</v>
      </c>
      <c r="H1455" s="16">
        <f t="shared" si="22"/>
        <v>2</v>
      </c>
      <c r="I1455" s="13">
        <v>2</v>
      </c>
    </row>
    <row r="1456" spans="1:9">
      <c r="A1456" s="13" t="s">
        <v>26</v>
      </c>
      <c r="B1456" s="16" t="s">
        <v>93</v>
      </c>
      <c r="C1456" s="14" t="str">
        <f>VLOOKUP([1]Competence!$B58,[1]Competence!$B$12:$B$100,1,FALSE)</f>
        <v>Data Management</v>
      </c>
      <c r="D1456" s="13" t="str" cm="1">
        <f t="array" ref="D1456">_xlfn.XLOOKUP(B1456,[1]Baseline!$D$3:$AZ$3,_xlfn.XLOOKUP(C1456,[1]Baseline!$B$4:$B$91,[1]Baseline!$D$4:$AZ$91))</f>
        <v>No Knowledge</v>
      </c>
      <c r="E1456" s="16"/>
      <c r="F1456" s="14">
        <v>0</v>
      </c>
      <c r="G1456" s="16">
        <v>2</v>
      </c>
      <c r="H1456" s="16">
        <f t="shared" si="22"/>
        <v>2</v>
      </c>
      <c r="I1456" s="13">
        <v>2</v>
      </c>
    </row>
    <row r="1457" spans="1:9">
      <c r="A1457" s="13" t="s">
        <v>26</v>
      </c>
      <c r="B1457" s="16" t="s">
        <v>93</v>
      </c>
      <c r="C1457" s="14" t="str">
        <f>VLOOKUP([1]Competence!$B59,[1]Competence!$B$12:$B$100,1,FALSE)</f>
        <v>Data Modelling and Design</v>
      </c>
      <c r="D1457" s="13" t="str" cm="1">
        <f t="array" ref="D1457">_xlfn.XLOOKUP(B1457,[1]Baseline!$D$3:$AZ$3,_xlfn.XLOOKUP(C1457,[1]Baseline!$B$4:$B$91,[1]Baseline!$D$4:$AZ$91))</f>
        <v>No Knowledge</v>
      </c>
      <c r="E1457" s="16"/>
      <c r="F1457" s="14">
        <v>0</v>
      </c>
      <c r="G1457" s="16">
        <v>2</v>
      </c>
      <c r="H1457" s="16">
        <f t="shared" si="22"/>
        <v>2</v>
      </c>
      <c r="I1457" s="13">
        <v>2</v>
      </c>
    </row>
    <row r="1458" spans="1:9">
      <c r="A1458" s="13" t="s">
        <v>26</v>
      </c>
      <c r="B1458" s="16" t="s">
        <v>93</v>
      </c>
      <c r="C1458" s="14" t="str">
        <f>VLOOKUP([1]Competence!$B60,[1]Competence!$B$12:$B$100,1,FALSE)</f>
        <v>Data science</v>
      </c>
      <c r="D1458" s="13" t="str" cm="1">
        <f t="array" ref="D1458">_xlfn.XLOOKUP(B1458,[1]Baseline!$D$3:$AZ$3,_xlfn.XLOOKUP(C1458,[1]Baseline!$B$4:$B$91,[1]Baseline!$D$4:$AZ$91))</f>
        <v>No Knowledge</v>
      </c>
      <c r="E1458" s="16"/>
      <c r="F1458" s="14">
        <v>0</v>
      </c>
      <c r="G1458" s="16">
        <v>2</v>
      </c>
      <c r="H1458" s="16">
        <f t="shared" si="22"/>
        <v>2</v>
      </c>
      <c r="I1458" s="13">
        <v>2</v>
      </c>
    </row>
    <row r="1459" spans="1:9">
      <c r="A1459" s="13" t="s">
        <v>26</v>
      </c>
      <c r="B1459" s="16" t="s">
        <v>93</v>
      </c>
      <c r="C1459" s="14" t="str">
        <f>VLOOKUP([1]Competence!$B61,[1]Competence!$B$12:$B$100,1,FALSE)</f>
        <v>Data visualisation</v>
      </c>
      <c r="D1459" s="13" t="str" cm="1">
        <f t="array" ref="D1459">_xlfn.XLOOKUP(B1459,[1]Baseline!$D$3:$AZ$3,_xlfn.XLOOKUP(C1459,[1]Baseline!$B$4:$B$91,[1]Baseline!$D$4:$AZ$91))</f>
        <v>No Knowledge</v>
      </c>
      <c r="E1459" s="16"/>
      <c r="F1459" s="14">
        <v>0</v>
      </c>
      <c r="G1459" s="16">
        <v>2</v>
      </c>
      <c r="H1459" s="16">
        <f t="shared" si="22"/>
        <v>2</v>
      </c>
      <c r="I1459" s="13">
        <v>2</v>
      </c>
    </row>
    <row r="1460" spans="1:9">
      <c r="A1460" s="13" t="s">
        <v>26</v>
      </c>
      <c r="B1460" s="16" t="s">
        <v>93</v>
      </c>
      <c r="C1460" s="14" t="str">
        <f>VLOOKUP([1]Competence!$B62,[1]Competence!$B$12:$B$100,1,FALSE)</f>
        <v>Database Administration</v>
      </c>
      <c r="D1460" s="13" t="str" cm="1">
        <f t="array" ref="D1460">_xlfn.XLOOKUP(B1460,[1]Baseline!$D$3:$AZ$3,_xlfn.XLOOKUP(C1460,[1]Baseline!$B$4:$B$91,[1]Baseline!$D$4:$AZ$91))</f>
        <v>Awareness</v>
      </c>
      <c r="E1460" s="16"/>
      <c r="F1460" s="14">
        <v>1</v>
      </c>
      <c r="G1460" s="16">
        <v>1</v>
      </c>
      <c r="H1460" s="16">
        <f t="shared" si="22"/>
        <v>0</v>
      </c>
      <c r="I1460" s="13">
        <v>1</v>
      </c>
    </row>
    <row r="1461" spans="1:9">
      <c r="A1461" s="13" t="s">
        <v>26</v>
      </c>
      <c r="B1461" s="16" t="s">
        <v>93</v>
      </c>
      <c r="C1461" s="14" t="str">
        <f>VLOOKUP([1]Competence!$B63,[1]Competence!$B$12:$B$100,1,FALSE)</f>
        <v>Database Design</v>
      </c>
      <c r="D1461" s="13" t="str" cm="1">
        <f t="array" ref="D1461">_xlfn.XLOOKUP(B1461,[1]Baseline!$D$3:$AZ$3,_xlfn.XLOOKUP(C1461,[1]Baseline!$B$4:$B$91,[1]Baseline!$D$4:$AZ$91))</f>
        <v>Practitioner</v>
      </c>
      <c r="E1461" s="16"/>
      <c r="F1461" s="14">
        <v>3</v>
      </c>
      <c r="G1461" s="16">
        <v>1</v>
      </c>
      <c r="H1461" s="16">
        <f t="shared" si="22"/>
        <v>-2</v>
      </c>
      <c r="I1461" s="13">
        <v>1</v>
      </c>
    </row>
    <row r="1462" spans="1:9">
      <c r="A1462" s="13" t="s">
        <v>26</v>
      </c>
      <c r="B1462" s="16" t="s">
        <v>93</v>
      </c>
      <c r="C1462" s="14" t="str">
        <f>VLOOKUP([1]Competence!$B64,[1]Competence!$B$12:$B$100,1,FALSE)</f>
        <v>Hardware design</v>
      </c>
      <c r="D1462" s="13" t="str" cm="1">
        <f t="array" ref="D1462">_xlfn.XLOOKUP(B1462,[1]Baseline!$D$3:$AZ$3,_xlfn.XLOOKUP(C1462,[1]Baseline!$B$4:$B$91,[1]Baseline!$D$4:$AZ$91))</f>
        <v>Working</v>
      </c>
      <c r="E1462" s="16"/>
      <c r="F1462" s="14">
        <v>2</v>
      </c>
      <c r="G1462" s="16">
        <v>3</v>
      </c>
      <c r="H1462" s="16">
        <f t="shared" si="22"/>
        <v>1</v>
      </c>
      <c r="I1462" s="13">
        <v>3</v>
      </c>
    </row>
    <row r="1463" spans="1:9">
      <c r="A1463" s="13" t="s">
        <v>26</v>
      </c>
      <c r="B1463" s="16" t="s">
        <v>93</v>
      </c>
      <c r="C1463" s="14" t="str">
        <f>VLOOKUP([1]Competence!$B65,[1]Competence!$B$12:$B$100,1,FALSE)</f>
        <v>High Performance Computing</v>
      </c>
      <c r="D1463" s="13" t="str" cm="1">
        <f t="array" ref="D1463">_xlfn.XLOOKUP(B1463,[1]Baseline!$D$3:$AZ$3,_xlfn.XLOOKUP(C1463,[1]Baseline!$B$4:$B$91,[1]Baseline!$D$4:$AZ$91))</f>
        <v>Awareness</v>
      </c>
      <c r="E1463" s="16"/>
      <c r="F1463" s="14">
        <v>1</v>
      </c>
      <c r="G1463" s="16">
        <v>1</v>
      </c>
      <c r="H1463" s="16">
        <f t="shared" si="22"/>
        <v>0</v>
      </c>
      <c r="I1463" s="13">
        <v>1</v>
      </c>
    </row>
    <row r="1464" spans="1:9">
      <c r="A1464" s="13" t="s">
        <v>26</v>
      </c>
      <c r="B1464" s="16" t="s">
        <v>93</v>
      </c>
      <c r="C1464" s="14" t="str">
        <f>VLOOKUP([1]Competence!$B66,[1]Competence!$B$12:$B$100,1,FALSE)</f>
        <v>Research Computing</v>
      </c>
      <c r="D1464" s="13" t="str" cm="1">
        <f t="array" ref="D1464">_xlfn.XLOOKUP(B1464,[1]Baseline!$D$3:$AZ$3,_xlfn.XLOOKUP(C1464,[1]Baseline!$B$4:$B$91,[1]Baseline!$D$4:$AZ$91))</f>
        <v>Awareness</v>
      </c>
      <c r="E1464" s="16"/>
      <c r="F1464" s="14">
        <v>1</v>
      </c>
      <c r="G1464" s="16">
        <v>1</v>
      </c>
      <c r="H1464" s="16">
        <f t="shared" si="22"/>
        <v>0</v>
      </c>
      <c r="I1464" s="13">
        <v>1</v>
      </c>
    </row>
    <row r="1465" spans="1:9">
      <c r="A1465" s="13" t="s">
        <v>26</v>
      </c>
      <c r="B1465" s="16" t="s">
        <v>93</v>
      </c>
      <c r="C1465" s="14" t="str">
        <f>VLOOKUP([1]Competence!$B67,[1]Competence!$B$12:$B$100,1,FALSE)</f>
        <v>Information assurance</v>
      </c>
      <c r="D1465" s="13" t="str" cm="1">
        <f t="array" ref="D1465">_xlfn.XLOOKUP(B1465,[1]Baseline!$D$3:$AZ$3,_xlfn.XLOOKUP(C1465,[1]Baseline!$B$4:$B$91,[1]Baseline!$D$4:$AZ$91))</f>
        <v>Expert</v>
      </c>
      <c r="E1465" s="16"/>
      <c r="F1465" s="14">
        <v>4</v>
      </c>
      <c r="G1465" s="16">
        <v>3</v>
      </c>
      <c r="H1465" s="16">
        <f t="shared" si="22"/>
        <v>-1</v>
      </c>
      <c r="I1465" s="13">
        <v>3</v>
      </c>
    </row>
    <row r="1466" spans="1:9">
      <c r="A1466" s="13" t="s">
        <v>26</v>
      </c>
      <c r="B1466" s="16" t="s">
        <v>93</v>
      </c>
      <c r="C1466" s="14" t="str">
        <f>VLOOKUP([1]Competence!$B68,[1]Competence!$B$12:$B$100,1,FALSE)</f>
        <v>Information management</v>
      </c>
      <c r="D1466" s="13" t="str" cm="1">
        <f t="array" ref="D1466">_xlfn.XLOOKUP(B1466,[1]Baseline!$D$3:$AZ$3,_xlfn.XLOOKUP(C1466,[1]Baseline!$B$4:$B$91,[1]Baseline!$D$4:$AZ$91))</f>
        <v>Practitioner</v>
      </c>
      <c r="E1466" s="16"/>
      <c r="F1466" s="14">
        <v>3</v>
      </c>
      <c r="G1466" s="16">
        <v>3</v>
      </c>
      <c r="H1466" s="16">
        <f t="shared" si="22"/>
        <v>0</v>
      </c>
      <c r="I1466" s="13">
        <v>3</v>
      </c>
    </row>
    <row r="1467" spans="1:9">
      <c r="A1467" s="13" t="s">
        <v>26</v>
      </c>
      <c r="B1467" s="16" t="s">
        <v>93</v>
      </c>
      <c r="C1467" s="14" t="str">
        <f>VLOOKUP([1]Competence!$B69,[1]Competence!$B$12:$B$100,1,FALSE)</f>
        <v>Infrastructure</v>
      </c>
      <c r="D1467" s="13" t="str" cm="1">
        <f t="array" ref="D1467">_xlfn.XLOOKUP(B1467,[1]Baseline!$D$3:$AZ$3,_xlfn.XLOOKUP(C1467,[1]Baseline!$B$4:$B$91,[1]Baseline!$D$4:$AZ$91))</f>
        <v>Working</v>
      </c>
      <c r="E1467" s="16"/>
      <c r="F1467" s="14">
        <v>2</v>
      </c>
      <c r="G1467" s="16">
        <v>3</v>
      </c>
      <c r="H1467" s="16">
        <f t="shared" si="22"/>
        <v>1</v>
      </c>
      <c r="I1467" s="13">
        <v>3</v>
      </c>
    </row>
    <row r="1468" spans="1:9">
      <c r="A1468" s="13" t="s">
        <v>26</v>
      </c>
      <c r="B1468" s="16" t="s">
        <v>93</v>
      </c>
      <c r="C1468" s="14" t="str">
        <f>VLOOKUP([1]Competence!$B70,[1]Competence!$B$12:$B$100,1,FALSE)</f>
        <v>Network design</v>
      </c>
      <c r="D1468" s="13" t="str" cm="1">
        <f t="array" ref="D1468">_xlfn.XLOOKUP(B1468,[1]Baseline!$D$3:$AZ$3,_xlfn.XLOOKUP(C1468,[1]Baseline!$B$4:$B$91,[1]Baseline!$D$4:$AZ$91))</f>
        <v>Working</v>
      </c>
      <c r="E1468" s="16"/>
      <c r="F1468" s="14">
        <v>2</v>
      </c>
      <c r="G1468" s="16">
        <v>1</v>
      </c>
      <c r="H1468" s="16">
        <f t="shared" si="22"/>
        <v>-1</v>
      </c>
      <c r="I1468" s="13">
        <v>1</v>
      </c>
    </row>
    <row r="1469" spans="1:9">
      <c r="A1469" s="13" t="s">
        <v>26</v>
      </c>
      <c r="B1469" s="16" t="s">
        <v>93</v>
      </c>
      <c r="C1469" s="14" t="str">
        <f>VLOOKUP([1]Competence!$B71,[1]Competence!$B$12:$B$100,1,FALSE)</f>
        <v>Network Analytics</v>
      </c>
      <c r="D1469" s="13" t="str" cm="1">
        <f t="array" ref="D1469">_xlfn.XLOOKUP(B1469,[1]Baseline!$D$3:$AZ$3,_xlfn.XLOOKUP(C1469,[1]Baseline!$B$4:$B$91,[1]Baseline!$D$4:$AZ$91))</f>
        <v>Working</v>
      </c>
      <c r="E1469" s="16"/>
      <c r="F1469" s="14">
        <v>2</v>
      </c>
      <c r="G1469" s="16">
        <v>2</v>
      </c>
      <c r="H1469" s="16">
        <f t="shared" si="22"/>
        <v>0</v>
      </c>
      <c r="I1469" s="13">
        <v>2</v>
      </c>
    </row>
    <row r="1470" spans="1:9">
      <c r="A1470" s="13" t="s">
        <v>26</v>
      </c>
      <c r="B1470" s="16" t="s">
        <v>93</v>
      </c>
      <c r="C1470" s="14" t="str">
        <f>VLOOKUP([1]Competence!$B72,[1]Competence!$B$12:$B$100,1,FALSE)</f>
        <v>Network support</v>
      </c>
      <c r="D1470" s="13" t="str" cm="1">
        <f t="array" ref="D1470">_xlfn.XLOOKUP(B1470,[1]Baseline!$D$3:$AZ$3,_xlfn.XLOOKUP(C1470,[1]Baseline!$B$4:$B$91,[1]Baseline!$D$4:$AZ$91))</f>
        <v>Working</v>
      </c>
      <c r="E1470" s="16"/>
      <c r="F1470" s="14">
        <v>2</v>
      </c>
      <c r="G1470" s="16">
        <v>2</v>
      </c>
      <c r="H1470" s="16">
        <f t="shared" si="22"/>
        <v>0</v>
      </c>
      <c r="I1470" s="13">
        <v>2</v>
      </c>
    </row>
    <row r="1471" spans="1:9">
      <c r="A1471" s="13" t="s">
        <v>26</v>
      </c>
      <c r="B1471" s="16" t="s">
        <v>93</v>
      </c>
      <c r="C1471" s="14" t="str">
        <f>VLOOKUP([1]Competence!$B73,[1]Competence!$B$12:$B$100,1,FALSE)</f>
        <v>Programming/software development</v>
      </c>
      <c r="D1471" s="13" t="str" cm="1">
        <f t="array" ref="D1471">_xlfn.XLOOKUP(B1471,[1]Baseline!$D$3:$AZ$3,_xlfn.XLOOKUP(C1471,[1]Baseline!$B$4:$B$91,[1]Baseline!$D$4:$AZ$91))</f>
        <v>No Knowledge</v>
      </c>
      <c r="E1471" s="16"/>
      <c r="F1471" s="14">
        <v>0</v>
      </c>
      <c r="G1471" s="16">
        <v>3</v>
      </c>
      <c r="H1471" s="16">
        <f t="shared" si="22"/>
        <v>3</v>
      </c>
      <c r="I1471" s="13">
        <v>3</v>
      </c>
    </row>
    <row r="1472" spans="1:9" ht="30">
      <c r="A1472" s="13" t="s">
        <v>26</v>
      </c>
      <c r="B1472" s="16" t="s">
        <v>93</v>
      </c>
      <c r="C1472" s="14" t="str">
        <f>VLOOKUP([1]Competence!$B74,[1]Competence!$B$12:$B$100,1,FALSE)</f>
        <v>Real-time/embedded systems development</v>
      </c>
      <c r="D1472" s="13" t="str" cm="1">
        <f t="array" ref="D1472">_xlfn.XLOOKUP(B1472,[1]Baseline!$D$3:$AZ$3,_xlfn.XLOOKUP(C1472,[1]Baseline!$B$4:$B$91,[1]Baseline!$D$4:$AZ$91))</f>
        <v>No Knowledge</v>
      </c>
      <c r="E1472" s="16"/>
      <c r="F1472" s="14">
        <v>0</v>
      </c>
      <c r="G1472" s="16">
        <v>1</v>
      </c>
      <c r="H1472" s="16">
        <f t="shared" si="22"/>
        <v>1</v>
      </c>
      <c r="I1472" s="13">
        <v>1</v>
      </c>
    </row>
    <row r="1473" spans="1:9" ht="30">
      <c r="A1473" s="13" t="s">
        <v>26</v>
      </c>
      <c r="B1473" s="16" t="s">
        <v>93</v>
      </c>
      <c r="C1473" s="14" t="str">
        <f>VLOOKUP([1]Competence!$B75,[1]Competence!$B$12:$B$100,1,FALSE)</f>
        <v>Requirements definition and management</v>
      </c>
      <c r="D1473" s="13" t="str" cm="1">
        <f t="array" ref="D1473">_xlfn.XLOOKUP(B1473,[1]Baseline!$D$3:$AZ$3,_xlfn.XLOOKUP(C1473,[1]Baseline!$B$4:$B$91,[1]Baseline!$D$4:$AZ$91))</f>
        <v>Practitioner</v>
      </c>
      <c r="E1473" s="16"/>
      <c r="F1473" s="14">
        <v>3</v>
      </c>
      <c r="G1473" s="16">
        <v>3</v>
      </c>
      <c r="H1473" s="16">
        <f t="shared" si="22"/>
        <v>0</v>
      </c>
      <c r="I1473" s="13">
        <v>3</v>
      </c>
    </row>
    <row r="1474" spans="1:9">
      <c r="A1474" s="13" t="s">
        <v>26</v>
      </c>
      <c r="B1474" s="16" t="s">
        <v>93</v>
      </c>
      <c r="C1474" s="14" t="str">
        <f>VLOOKUP([1]Competence!$B76,[1]Competence!$B$12:$B$100,1,FALSE)</f>
        <v>Software configuration</v>
      </c>
      <c r="D1474" s="13" t="str" cm="1">
        <f t="array" ref="D1474">_xlfn.XLOOKUP(B1474,[1]Baseline!$D$3:$AZ$3,_xlfn.XLOOKUP(C1474,[1]Baseline!$B$4:$B$91,[1]Baseline!$D$4:$AZ$91))</f>
        <v>Awareness</v>
      </c>
      <c r="E1474" s="16"/>
      <c r="F1474" s="14">
        <v>1</v>
      </c>
      <c r="G1474" s="16">
        <v>3</v>
      </c>
      <c r="H1474" s="16">
        <f t="shared" ref="H1474:H1537" si="23">I1474-F1474</f>
        <v>2</v>
      </c>
      <c r="I1474" s="13">
        <v>3</v>
      </c>
    </row>
    <row r="1475" spans="1:9">
      <c r="A1475" s="13" t="s">
        <v>26</v>
      </c>
      <c r="B1475" s="16" t="s">
        <v>93</v>
      </c>
      <c r="C1475" s="14" t="str">
        <f>VLOOKUP([1]Competence!$B77,[1]Competence!$B$12:$B$100,1,FALSE)</f>
        <v>Software design</v>
      </c>
      <c r="D1475" s="13" t="str" cm="1">
        <f t="array" ref="D1475">_xlfn.XLOOKUP(B1475,[1]Baseline!$D$3:$AZ$3,_xlfn.XLOOKUP(C1475,[1]Baseline!$B$4:$B$91,[1]Baseline!$D$4:$AZ$91))</f>
        <v>Awareness</v>
      </c>
      <c r="E1475" s="16"/>
      <c r="F1475" s="14">
        <v>1</v>
      </c>
      <c r="G1475" s="16">
        <v>2</v>
      </c>
      <c r="H1475" s="16">
        <f t="shared" si="23"/>
        <v>1</v>
      </c>
      <c r="I1475" s="13">
        <v>2</v>
      </c>
    </row>
    <row r="1476" spans="1:9">
      <c r="A1476" s="13" t="s">
        <v>26</v>
      </c>
      <c r="B1476" s="16" t="s">
        <v>93</v>
      </c>
      <c r="C1476" s="14" t="str">
        <f>VLOOKUP([1]Competence!$B78,[1]Competence!$B$12:$B$100,1,FALSE)</f>
        <v>Solution architecture</v>
      </c>
      <c r="D1476" s="13" t="str" cm="1">
        <f t="array" ref="D1476">_xlfn.XLOOKUP(B1476,[1]Baseline!$D$3:$AZ$3,_xlfn.XLOOKUP(C1476,[1]Baseline!$B$4:$B$91,[1]Baseline!$D$4:$AZ$91))</f>
        <v>Working</v>
      </c>
      <c r="E1476" s="16"/>
      <c r="F1476" s="14">
        <v>2</v>
      </c>
      <c r="G1476" s="16">
        <v>3</v>
      </c>
      <c r="H1476" s="16">
        <f t="shared" si="23"/>
        <v>1</v>
      </c>
      <c r="I1476" s="13">
        <v>3</v>
      </c>
    </row>
    <row r="1477" spans="1:9">
      <c r="A1477" s="13" t="s">
        <v>26</v>
      </c>
      <c r="B1477" s="16" t="s">
        <v>93</v>
      </c>
      <c r="C1477" s="14" t="str">
        <f>VLOOKUP([1]Competence!$B79,[1]Competence!$B$12:$B$100,1,FALSE)</f>
        <v>System software</v>
      </c>
      <c r="D1477" s="13" t="str" cm="1">
        <f t="array" ref="D1477">_xlfn.XLOOKUP(B1477,[1]Baseline!$D$3:$AZ$3,_xlfn.XLOOKUP(C1477,[1]Baseline!$B$4:$B$91,[1]Baseline!$D$4:$AZ$91))</f>
        <v>Working</v>
      </c>
      <c r="E1477" s="16"/>
      <c r="F1477" s="14">
        <v>2</v>
      </c>
      <c r="G1477" s="16">
        <v>3</v>
      </c>
      <c r="H1477" s="16">
        <f t="shared" si="23"/>
        <v>1</v>
      </c>
      <c r="I1477" s="13">
        <v>3</v>
      </c>
    </row>
    <row r="1478" spans="1:9" ht="30">
      <c r="A1478" s="13" t="s">
        <v>26</v>
      </c>
      <c r="B1478" s="16" t="s">
        <v>93</v>
      </c>
      <c r="C1478" s="14" t="str">
        <f>VLOOKUP([1]Competence!$B80,[1]Competence!$B$12:$B$100,1,FALSE)</f>
        <v>Systems and software life cycle engineering</v>
      </c>
      <c r="D1478" s="13" t="str" cm="1">
        <f t="array" ref="D1478">_xlfn.XLOOKUP(B1478,[1]Baseline!$D$3:$AZ$3,_xlfn.XLOOKUP(C1478,[1]Baseline!$B$4:$B$91,[1]Baseline!$D$4:$AZ$91))</f>
        <v>Working</v>
      </c>
      <c r="E1478" s="16"/>
      <c r="F1478" s="14">
        <v>2</v>
      </c>
      <c r="G1478" s="16">
        <v>3</v>
      </c>
      <c r="H1478" s="16">
        <f t="shared" si="23"/>
        <v>1</v>
      </c>
      <c r="I1478" s="13">
        <v>3</v>
      </c>
    </row>
    <row r="1479" spans="1:9">
      <c r="A1479" s="13" t="s">
        <v>26</v>
      </c>
      <c r="B1479" s="16" t="s">
        <v>93</v>
      </c>
      <c r="C1479" s="14" t="str">
        <f>VLOOKUP([1]Competence!$B81,[1]Competence!$B$12:$B$100,1,FALSE)</f>
        <v>Systems design</v>
      </c>
      <c r="D1479" s="13" t="str" cm="1">
        <f t="array" ref="D1479">_xlfn.XLOOKUP(B1479,[1]Baseline!$D$3:$AZ$3,_xlfn.XLOOKUP(C1479,[1]Baseline!$B$4:$B$91,[1]Baseline!$D$4:$AZ$91))</f>
        <v>Working</v>
      </c>
      <c r="E1479" s="16"/>
      <c r="F1479" s="14">
        <v>2</v>
      </c>
      <c r="G1479" s="16">
        <v>3</v>
      </c>
      <c r="H1479" s="16">
        <f t="shared" si="23"/>
        <v>1</v>
      </c>
      <c r="I1479" s="13">
        <v>3</v>
      </c>
    </row>
    <row r="1480" spans="1:9">
      <c r="A1480" s="13" t="s">
        <v>26</v>
      </c>
      <c r="B1480" s="16" t="s">
        <v>93</v>
      </c>
      <c r="C1480" s="14" t="str">
        <f>VLOOKUP([1]Competence!$B82,[1]Competence!$B$12:$B$100,1,FALSE)</f>
        <v>Systems development management</v>
      </c>
      <c r="D1480" s="13" t="str" cm="1">
        <f t="array" ref="D1480">_xlfn.XLOOKUP(B1480,[1]Baseline!$D$3:$AZ$3,_xlfn.XLOOKUP(C1480,[1]Baseline!$B$4:$B$91,[1]Baseline!$D$4:$AZ$91))</f>
        <v>Working</v>
      </c>
      <c r="E1480" s="16"/>
      <c r="F1480" s="14">
        <v>2</v>
      </c>
      <c r="G1480" s="16">
        <v>3</v>
      </c>
      <c r="H1480" s="16">
        <f t="shared" si="23"/>
        <v>1</v>
      </c>
      <c r="I1480" s="13">
        <v>3</v>
      </c>
    </row>
    <row r="1481" spans="1:9">
      <c r="A1481" s="13" t="s">
        <v>26</v>
      </c>
      <c r="B1481" s="16" t="s">
        <v>93</v>
      </c>
      <c r="C1481" s="14" t="str">
        <f>VLOOKUP([1]Competence!$B83,[1]Competence!$B$12:$B$100,1,FALSE)</f>
        <v>Systems installation and removal</v>
      </c>
      <c r="D1481" s="13" t="str" cm="1">
        <f t="array" ref="D1481">_xlfn.XLOOKUP(B1481,[1]Baseline!$D$3:$AZ$3,_xlfn.XLOOKUP(C1481,[1]Baseline!$B$4:$B$91,[1]Baseline!$D$4:$AZ$91))</f>
        <v>Working</v>
      </c>
      <c r="E1481" s="16"/>
      <c r="F1481" s="14">
        <v>2</v>
      </c>
      <c r="G1481" s="16">
        <v>3</v>
      </c>
      <c r="H1481" s="16">
        <f t="shared" si="23"/>
        <v>1</v>
      </c>
      <c r="I1481" s="13">
        <v>3</v>
      </c>
    </row>
    <row r="1482" spans="1:9">
      <c r="A1482" s="13" t="s">
        <v>26</v>
      </c>
      <c r="B1482" s="16" t="s">
        <v>93</v>
      </c>
      <c r="C1482" s="14" t="str">
        <f>VLOOKUP([1]Competence!$B84,[1]Competence!$B$12:$B$100,1,FALSE)</f>
        <v>Testing</v>
      </c>
      <c r="D1482" s="13" t="str" cm="1">
        <f t="array" ref="D1482">_xlfn.XLOOKUP(B1482,[1]Baseline!$D$3:$AZ$3,_xlfn.XLOOKUP(C1482,[1]Baseline!$B$4:$B$91,[1]Baseline!$D$4:$AZ$91))</f>
        <v>Practitioner</v>
      </c>
      <c r="E1482" s="16"/>
      <c r="F1482" s="14">
        <v>3</v>
      </c>
      <c r="G1482" s="16">
        <v>3</v>
      </c>
      <c r="H1482" s="16">
        <f t="shared" si="23"/>
        <v>0</v>
      </c>
      <c r="I1482" s="13">
        <v>3</v>
      </c>
    </row>
    <row r="1483" spans="1:9">
      <c r="A1483" s="13" t="s">
        <v>26</v>
      </c>
      <c r="B1483" s="16" t="s">
        <v>93</v>
      </c>
      <c r="C1483" s="14" t="str">
        <f>VLOOKUP([1]Competence!$B85,[1]Competence!$B$12:$B$100,1,FALSE)</f>
        <v>Innovation</v>
      </c>
      <c r="D1483" s="13" t="str" cm="1">
        <f t="array" ref="D1483">_xlfn.XLOOKUP(B1483,[1]Baseline!$D$3:$AZ$3,_xlfn.XLOOKUP(C1483,[1]Baseline!$B$4:$B$91,[1]Baseline!$D$4:$AZ$91))</f>
        <v>Practitioner</v>
      </c>
      <c r="E1483" s="16"/>
      <c r="F1483" s="14">
        <v>3</v>
      </c>
      <c r="G1483" s="16">
        <v>3</v>
      </c>
      <c r="H1483" s="16">
        <f t="shared" si="23"/>
        <v>0</v>
      </c>
      <c r="I1483" s="13">
        <v>3</v>
      </c>
    </row>
    <row r="1484" spans="1:9">
      <c r="A1484" s="13" t="s">
        <v>26</v>
      </c>
      <c r="B1484" s="16" t="s">
        <v>93</v>
      </c>
      <c r="C1484" s="14" t="str">
        <f>VLOOKUP([1]Competence!$B86,[1]Competence!$B$12:$B$100,1,FALSE)</f>
        <v>Specialist Advice</v>
      </c>
      <c r="D1484" s="13" t="str" cm="1">
        <f t="array" ref="D1484">_xlfn.XLOOKUP(B1484,[1]Baseline!$D$3:$AZ$3,_xlfn.XLOOKUP(C1484,[1]Baseline!$B$4:$B$91,[1]Baseline!$D$4:$AZ$91))</f>
        <v>Expert</v>
      </c>
      <c r="E1484" s="16"/>
      <c r="F1484" s="14">
        <v>4</v>
      </c>
      <c r="G1484" s="16">
        <v>3</v>
      </c>
      <c r="H1484" s="16">
        <f t="shared" si="23"/>
        <v>-1</v>
      </c>
      <c r="I1484" s="13">
        <v>3</v>
      </c>
    </row>
    <row r="1485" spans="1:9">
      <c r="A1485" s="13" t="s">
        <v>26</v>
      </c>
      <c r="B1485" s="16" t="s">
        <v>93</v>
      </c>
      <c r="C1485" s="14" t="str">
        <f>VLOOKUP([1]Competence!$B87,[1]Competence!$B$12:$B$100,1,FALSE)</f>
        <v>Emerging technology monitoring</v>
      </c>
      <c r="D1485" s="13" t="str" cm="1">
        <f t="array" ref="D1485">_xlfn.XLOOKUP(B1485,[1]Baseline!$D$3:$AZ$3,_xlfn.XLOOKUP(C1485,[1]Baseline!$B$4:$B$91,[1]Baseline!$D$4:$AZ$91))</f>
        <v>Practitioner</v>
      </c>
      <c r="E1485" s="16"/>
      <c r="F1485" s="14">
        <v>3</v>
      </c>
      <c r="G1485" s="16">
        <v>3</v>
      </c>
      <c r="H1485" s="16">
        <f t="shared" si="23"/>
        <v>0</v>
      </c>
      <c r="I1485" s="13">
        <v>3</v>
      </c>
    </row>
    <row r="1486" spans="1:9">
      <c r="A1486" s="13" t="s">
        <v>26</v>
      </c>
      <c r="B1486" s="16" t="s">
        <v>93</v>
      </c>
      <c r="C1486" s="14" t="str">
        <f>VLOOKUP([1]Competence!$B88,[1]Competence!$B$12:$B$100,1,FALSE)</f>
        <v>Systems integration and build</v>
      </c>
      <c r="D1486" s="13" t="str" cm="1">
        <f t="array" ref="D1486">_xlfn.XLOOKUP(B1486,[1]Baseline!$D$3:$AZ$3,_xlfn.XLOOKUP(C1486,[1]Baseline!$B$4:$B$91,[1]Baseline!$D$4:$AZ$91))</f>
        <v>Practitioner</v>
      </c>
      <c r="E1486" s="16"/>
      <c r="F1486" s="14">
        <v>3</v>
      </c>
      <c r="G1486" s="16">
        <v>3</v>
      </c>
      <c r="H1486" s="16">
        <f t="shared" si="23"/>
        <v>0</v>
      </c>
      <c r="I1486" s="13">
        <v>3</v>
      </c>
    </row>
    <row r="1487" spans="1:9">
      <c r="A1487" s="13" t="s">
        <v>26</v>
      </c>
      <c r="B1487" s="16" t="s">
        <v>93</v>
      </c>
      <c r="C1487" s="14" t="str">
        <f>VLOOKUP([1]Competence!$B89,[1]Competence!$B$12:$B$100,1,FALSE)</f>
        <v>Audio Visual</v>
      </c>
      <c r="D1487" s="13" t="str" cm="1">
        <f t="array" ref="D1487">_xlfn.XLOOKUP(B1487,[1]Baseline!$D$3:$AZ$3,_xlfn.XLOOKUP(C1487,[1]Baseline!$B$4:$B$91,[1]Baseline!$D$4:$AZ$91))</f>
        <v>Working</v>
      </c>
      <c r="E1487" s="16"/>
      <c r="F1487" s="14">
        <v>2</v>
      </c>
      <c r="G1487" s="16">
        <v>2</v>
      </c>
      <c r="H1487" s="16">
        <f t="shared" si="23"/>
        <v>0</v>
      </c>
      <c r="I1487" s="13">
        <v>2</v>
      </c>
    </row>
    <row r="1488" spans="1:9">
      <c r="A1488" s="13" t="s">
        <v>26</v>
      </c>
      <c r="B1488" s="16" t="s">
        <v>93</v>
      </c>
      <c r="C1488" s="14" t="str">
        <f>VLOOKUP([1]Competence!$B90,[1]Competence!$B$12:$B$100,1,FALSE)</f>
        <v>Augmented Reality</v>
      </c>
      <c r="D1488" s="13" t="str" cm="1">
        <f t="array" ref="D1488">_xlfn.XLOOKUP(B1488,[1]Baseline!$D$3:$AZ$3,_xlfn.XLOOKUP(C1488,[1]Baseline!$B$4:$B$91,[1]Baseline!$D$4:$AZ$91))</f>
        <v>Working</v>
      </c>
      <c r="E1488" s="16"/>
      <c r="F1488" s="14">
        <v>1</v>
      </c>
      <c r="G1488" s="16">
        <v>1</v>
      </c>
      <c r="H1488" s="16">
        <f t="shared" si="23"/>
        <v>0</v>
      </c>
      <c r="I1488" s="13">
        <v>1</v>
      </c>
    </row>
    <row r="1489" spans="1:9">
      <c r="A1489" s="13" t="s">
        <v>26</v>
      </c>
      <c r="B1489" s="16" t="s">
        <v>93</v>
      </c>
      <c r="C1489" s="14" t="str">
        <f>VLOOKUP([1]Competence!$B91,[1]Competence!$B$12:$B$100,1,FALSE)</f>
        <v>Benefits management</v>
      </c>
      <c r="D1489" s="13" t="str" cm="1">
        <f t="array" ref="D1489">_xlfn.XLOOKUP(B1489,[1]Baseline!$D$3:$AZ$3,_xlfn.XLOOKUP(C1489,[1]Baseline!$B$4:$B$91,[1]Baseline!$D$4:$AZ$91))</f>
        <v>Working</v>
      </c>
      <c r="E1489" s="16"/>
      <c r="F1489" s="14">
        <v>2</v>
      </c>
      <c r="G1489" s="16">
        <v>2</v>
      </c>
      <c r="H1489" s="16">
        <f t="shared" si="23"/>
        <v>0</v>
      </c>
      <c r="I1489" s="13">
        <v>2</v>
      </c>
    </row>
    <row r="1490" spans="1:9">
      <c r="A1490" s="13" t="s">
        <v>26</v>
      </c>
      <c r="B1490" s="16" t="s">
        <v>93</v>
      </c>
      <c r="C1490" s="14" t="str">
        <f>VLOOKUP([1]Competence!$B92,[1]Competence!$B$12:$B$100,1,FALSE)</f>
        <v>Business administration</v>
      </c>
      <c r="D1490" s="13" t="str" cm="1">
        <f t="array" ref="D1490">_xlfn.XLOOKUP(B1490,[1]Baseline!$D$3:$AZ$3,_xlfn.XLOOKUP(C1490,[1]Baseline!$B$4:$B$91,[1]Baseline!$D$4:$AZ$91))</f>
        <v>No Knowledge</v>
      </c>
      <c r="E1490" s="16"/>
      <c r="F1490" s="14">
        <v>0</v>
      </c>
      <c r="G1490" s="16">
        <v>3</v>
      </c>
      <c r="H1490" s="16">
        <f t="shared" si="23"/>
        <v>3</v>
      </c>
      <c r="I1490" s="13">
        <v>3</v>
      </c>
    </row>
    <row r="1491" spans="1:9">
      <c r="A1491" s="13" t="s">
        <v>26</v>
      </c>
      <c r="B1491" s="16" t="s">
        <v>93</v>
      </c>
      <c r="C1491" s="14" t="str">
        <f>VLOOKUP([1]Competence!$B93,[1]Competence!$B$12:$B$100,1,FALSE)</f>
        <v>Business intelligence</v>
      </c>
      <c r="D1491" s="13" t="str" cm="1">
        <f t="array" ref="D1491">_xlfn.XLOOKUP(B1491,[1]Baseline!$D$3:$AZ$3,_xlfn.XLOOKUP(C1491,[1]Baseline!$B$4:$B$91,[1]Baseline!$D$4:$AZ$91))</f>
        <v>No Knowledge</v>
      </c>
      <c r="E1491" s="16"/>
      <c r="F1491" s="14">
        <v>0</v>
      </c>
      <c r="G1491" s="16">
        <v>1</v>
      </c>
      <c r="H1491" s="16">
        <f t="shared" si="23"/>
        <v>1</v>
      </c>
      <c r="I1491" s="13">
        <v>1</v>
      </c>
    </row>
    <row r="1492" spans="1:9">
      <c r="A1492" s="13" t="s">
        <v>26</v>
      </c>
      <c r="B1492" s="16" t="s">
        <v>93</v>
      </c>
      <c r="C1492" s="14" t="str">
        <f>VLOOKUP([1]Competence!$B94,[1]Competence!$B$12:$B$100,1,FALSE)</f>
        <v>Business modelling</v>
      </c>
      <c r="D1492" s="13" t="str" cm="1">
        <f t="array" ref="D1492">_xlfn.XLOOKUP(B1492,[1]Baseline!$D$3:$AZ$3,_xlfn.XLOOKUP(C1492,[1]Baseline!$B$4:$B$91,[1]Baseline!$D$4:$AZ$91))</f>
        <v>No Knowledge</v>
      </c>
      <c r="E1492" s="16"/>
      <c r="F1492" s="14">
        <v>0</v>
      </c>
      <c r="G1492" s="16">
        <v>0</v>
      </c>
      <c r="H1492" s="16">
        <f t="shared" si="23"/>
        <v>0</v>
      </c>
      <c r="I1492" s="13">
        <v>0</v>
      </c>
    </row>
    <row r="1493" spans="1:9">
      <c r="A1493" s="13" t="s">
        <v>26</v>
      </c>
      <c r="B1493" s="16" t="s">
        <v>93</v>
      </c>
      <c r="C1493" s="14" t="str">
        <f>VLOOKUP([1]Competence!$B95,[1]Competence!$B$12:$B$100,1,FALSE)</f>
        <v>Business process improvement</v>
      </c>
      <c r="D1493" s="13" t="str" cm="1">
        <f t="array" ref="D1493">_xlfn.XLOOKUP(B1493,[1]Baseline!$D$3:$AZ$3,_xlfn.XLOOKUP(C1493,[1]Baseline!$B$4:$B$91,[1]Baseline!$D$4:$AZ$91))</f>
        <v>No Knowledge</v>
      </c>
      <c r="E1493" s="16"/>
      <c r="F1493" s="14">
        <v>0</v>
      </c>
      <c r="G1493" s="16">
        <v>2</v>
      </c>
      <c r="H1493" s="16">
        <f t="shared" si="23"/>
        <v>2</v>
      </c>
      <c r="I1493" s="13">
        <v>2</v>
      </c>
    </row>
    <row r="1494" spans="1:9">
      <c r="A1494" s="13" t="s">
        <v>26</v>
      </c>
      <c r="B1494" s="16" t="s">
        <v>93</v>
      </c>
      <c r="C1494" s="14" t="str">
        <f>VLOOKUP([1]Competence!$B96,[1]Competence!$B$12:$B$100,1,FALSE)</f>
        <v>Business situation analysis</v>
      </c>
      <c r="D1494" s="13" t="str" cm="1">
        <f t="array" ref="D1494">_xlfn.XLOOKUP(B1494,[1]Baseline!$D$3:$AZ$3,_xlfn.XLOOKUP(C1494,[1]Baseline!$B$4:$B$91,[1]Baseline!$D$4:$AZ$91))</f>
        <v>No Knowledge</v>
      </c>
      <c r="E1494" s="16"/>
      <c r="F1494" s="14">
        <v>0</v>
      </c>
      <c r="G1494" s="16">
        <v>2</v>
      </c>
      <c r="H1494" s="16">
        <f t="shared" si="23"/>
        <v>2</v>
      </c>
      <c r="I1494" s="13">
        <v>2</v>
      </c>
    </row>
    <row r="1495" spans="1:9">
      <c r="A1495" s="13" t="s">
        <v>26</v>
      </c>
      <c r="B1495" s="16" t="s">
        <v>93</v>
      </c>
      <c r="C1495" s="14" t="str">
        <f>VLOOKUP([1]Competence!$B97,[1]Competence!$B$12:$B$100,1,FALSE)</f>
        <v>Programme management</v>
      </c>
      <c r="D1495" s="13" t="str" cm="1">
        <f t="array" ref="D1495">_xlfn.XLOOKUP(B1495,[1]Baseline!$D$3:$AZ$3,_xlfn.XLOOKUP(C1495,[1]Baseline!$B$4:$B$91,[1]Baseline!$D$4:$AZ$91))</f>
        <v>No Knowledge</v>
      </c>
      <c r="E1495" s="16"/>
      <c r="F1495" s="14">
        <v>0</v>
      </c>
      <c r="G1495" s="16">
        <v>2</v>
      </c>
      <c r="H1495" s="16">
        <f t="shared" si="23"/>
        <v>2</v>
      </c>
      <c r="I1495" s="13">
        <v>2</v>
      </c>
    </row>
    <row r="1496" spans="1:9">
      <c r="A1496" s="13" t="s">
        <v>26</v>
      </c>
      <c r="B1496" s="16" t="s">
        <v>93</v>
      </c>
      <c r="C1496" s="14" t="str">
        <f>VLOOKUP([1]Competence!$B98,[1]Competence!$B$12:$B$100,1,FALSE)</f>
        <v>Project management</v>
      </c>
      <c r="D1496" s="13" t="str" cm="1">
        <f t="array" ref="D1496">_xlfn.XLOOKUP(B1496,[1]Baseline!$D$3:$AZ$3,_xlfn.XLOOKUP(C1496,[1]Baseline!$B$4:$B$91,[1]Baseline!$D$4:$AZ$91))</f>
        <v>Working</v>
      </c>
      <c r="E1496" s="16"/>
      <c r="F1496" s="14">
        <v>2</v>
      </c>
      <c r="G1496" s="16">
        <v>2</v>
      </c>
      <c r="H1496" s="16">
        <f t="shared" si="23"/>
        <v>0</v>
      </c>
      <c r="I1496" s="13">
        <v>2</v>
      </c>
    </row>
    <row r="1497" spans="1:9">
      <c r="A1497" s="13" t="s">
        <v>26</v>
      </c>
      <c r="B1497" s="16" t="s">
        <v>93</v>
      </c>
      <c r="C1497" s="14" t="str">
        <f>VLOOKUP([1]Competence!$B99,[1]Competence!$B$12:$B$100,1,FALSE)</f>
        <v>Quality assurance</v>
      </c>
      <c r="D1497" s="13" t="str" cm="1">
        <f t="array" ref="D1497">_xlfn.XLOOKUP(B1497,[1]Baseline!$D$3:$AZ$3,_xlfn.XLOOKUP(C1497,[1]Baseline!$B$4:$B$91,[1]Baseline!$D$4:$AZ$91))</f>
        <v>Practitioner</v>
      </c>
      <c r="E1497" s="16"/>
      <c r="F1497" s="14">
        <v>3</v>
      </c>
      <c r="G1497" s="16">
        <v>3</v>
      </c>
      <c r="H1497" s="16">
        <f t="shared" si="23"/>
        <v>0</v>
      </c>
      <c r="I1497" s="13">
        <v>3</v>
      </c>
    </row>
    <row r="1498" spans="1:9">
      <c r="A1498" s="16" t="s">
        <v>33</v>
      </c>
      <c r="B1498" s="16" t="s">
        <v>98</v>
      </c>
      <c r="C1498" s="14" t="str">
        <f>VLOOKUP([1]Competence!$B12,[1]Competence!$B$12:$B$100,1,FALSE)</f>
        <v>Asset Management</v>
      </c>
      <c r="D1498" s="13" t="str" cm="1">
        <f t="array" ref="D1498">_xlfn.XLOOKUP(B1498,[1]Baseline!$D$3:$AZ$3,_xlfn.XLOOKUP(C1498,[1]Baseline!$B$4:$B$91,[1]Baseline!$D$4:$AZ$91))</f>
        <v>Practitioner</v>
      </c>
      <c r="E1498" s="16"/>
      <c r="F1498" s="14">
        <v>3</v>
      </c>
      <c r="G1498" s="16">
        <v>1</v>
      </c>
      <c r="H1498" s="16">
        <f t="shared" si="23"/>
        <v>-2</v>
      </c>
      <c r="I1498" s="13">
        <v>1</v>
      </c>
    </row>
    <row r="1499" spans="1:9">
      <c r="A1499" s="16" t="s">
        <v>33</v>
      </c>
      <c r="B1499" s="16" t="s">
        <v>98</v>
      </c>
      <c r="C1499" s="14" t="str">
        <f>VLOOKUP([1]Competence!$B13,[1]Competence!$B$12:$B$100,1,FALSE)</f>
        <v>Change Control</v>
      </c>
      <c r="D1499" s="13" t="str" cm="1">
        <f t="array" ref="D1499">_xlfn.XLOOKUP(B1499,[1]Baseline!$D$3:$AZ$3,_xlfn.XLOOKUP(C1499,[1]Baseline!$B$4:$B$91,[1]Baseline!$D$4:$AZ$91))</f>
        <v>Practitioner</v>
      </c>
      <c r="E1499" s="16"/>
      <c r="F1499" s="14">
        <v>3</v>
      </c>
      <c r="G1499" s="16">
        <v>4</v>
      </c>
      <c r="H1499" s="16">
        <f t="shared" si="23"/>
        <v>1</v>
      </c>
      <c r="I1499" s="13">
        <v>4</v>
      </c>
    </row>
    <row r="1500" spans="1:9">
      <c r="A1500" s="16" t="s">
        <v>33</v>
      </c>
      <c r="B1500" s="16" t="s">
        <v>98</v>
      </c>
      <c r="C1500" s="14" t="str">
        <f>VLOOKUP([1]Competence!$B14,[1]Competence!$B$12:$B$100,1,FALSE)</f>
        <v>Customer Service Support</v>
      </c>
      <c r="D1500" s="13" t="str" cm="1">
        <f t="array" ref="D1500">_xlfn.XLOOKUP(B1500,[1]Baseline!$D$3:$AZ$3,_xlfn.XLOOKUP(C1500,[1]Baseline!$B$4:$B$91,[1]Baseline!$D$4:$AZ$91))</f>
        <v>Practitioner</v>
      </c>
      <c r="E1500" s="16"/>
      <c r="F1500" s="14">
        <v>3</v>
      </c>
      <c r="G1500" s="16">
        <v>1</v>
      </c>
      <c r="H1500" s="16">
        <f t="shared" si="23"/>
        <v>-2</v>
      </c>
      <c r="I1500" s="13">
        <v>1</v>
      </c>
    </row>
    <row r="1501" spans="1:9">
      <c r="A1501" s="16" t="s">
        <v>33</v>
      </c>
      <c r="B1501" s="16" t="s">
        <v>98</v>
      </c>
      <c r="C1501" s="14" t="str">
        <f>VLOOKUP([1]Competence!$B15,[1]Competence!$B$12:$B$100,1,FALSE)</f>
        <v>Incident management</v>
      </c>
      <c r="D1501" s="13" t="str" cm="1">
        <f t="array" ref="D1501">_xlfn.XLOOKUP(B1501,[1]Baseline!$D$3:$AZ$3,_xlfn.XLOOKUP(C1501,[1]Baseline!$B$4:$B$91,[1]Baseline!$D$4:$AZ$91))</f>
        <v>Practitioner</v>
      </c>
      <c r="E1501" s="16"/>
      <c r="F1501" s="14">
        <v>3</v>
      </c>
      <c r="G1501" s="16">
        <v>2</v>
      </c>
      <c r="H1501" s="16">
        <f t="shared" si="23"/>
        <v>-1</v>
      </c>
      <c r="I1501" s="13">
        <v>2</v>
      </c>
    </row>
    <row r="1502" spans="1:9">
      <c r="A1502" s="16" t="s">
        <v>33</v>
      </c>
      <c r="B1502" s="16" t="s">
        <v>98</v>
      </c>
      <c r="C1502" s="14" t="str">
        <f>VLOOKUP([1]Competence!$B16,[1]Competence!$B$12:$B$100,1,FALSE)</f>
        <v>Information security</v>
      </c>
      <c r="D1502" s="13" t="str" cm="1">
        <f t="array" ref="D1502">_xlfn.XLOOKUP(B1502,[1]Baseline!$D$3:$AZ$3,_xlfn.XLOOKUP(C1502,[1]Baseline!$B$4:$B$91,[1]Baseline!$D$4:$AZ$91))</f>
        <v>Practitioner</v>
      </c>
      <c r="E1502" s="16"/>
      <c r="F1502" s="14">
        <v>3</v>
      </c>
      <c r="G1502" s="16">
        <v>3</v>
      </c>
      <c r="H1502" s="16">
        <f t="shared" si="23"/>
        <v>0</v>
      </c>
      <c r="I1502" s="13">
        <v>3</v>
      </c>
    </row>
    <row r="1503" spans="1:9">
      <c r="A1503" s="16" t="s">
        <v>33</v>
      </c>
      <c r="B1503" s="16" t="s">
        <v>98</v>
      </c>
      <c r="C1503" s="14" t="str">
        <f>VLOOKUP([1]Competence!$B17,[1]Competence!$B$12:$B$100,1,FALSE)</f>
        <v>Personal data protection</v>
      </c>
      <c r="D1503" s="13" t="str" cm="1">
        <f t="array" ref="D1503">_xlfn.XLOOKUP(B1503,[1]Baseline!$D$3:$AZ$3,_xlfn.XLOOKUP(C1503,[1]Baseline!$B$4:$B$91,[1]Baseline!$D$4:$AZ$91))</f>
        <v>Practitioner</v>
      </c>
      <c r="E1503" s="16"/>
      <c r="F1503" s="14">
        <v>3</v>
      </c>
      <c r="G1503" s="16">
        <v>4</v>
      </c>
      <c r="H1503" s="16">
        <f t="shared" si="23"/>
        <v>1</v>
      </c>
      <c r="I1503" s="13">
        <v>4</v>
      </c>
    </row>
    <row r="1504" spans="1:9">
      <c r="A1504" s="16" t="s">
        <v>33</v>
      </c>
      <c r="B1504" s="16" t="s">
        <v>98</v>
      </c>
      <c r="C1504" s="14" t="str">
        <f>VLOOKUP([1]Competence!$B18,[1]Competence!$B$12:$B$100,1,FALSE)</f>
        <v>Problem management</v>
      </c>
      <c r="D1504" s="13" t="str" cm="1">
        <f t="array" ref="D1504">_xlfn.XLOOKUP(B1504,[1]Baseline!$D$3:$AZ$3,_xlfn.XLOOKUP(C1504,[1]Baseline!$B$4:$B$91,[1]Baseline!$D$4:$AZ$91))</f>
        <v>Working</v>
      </c>
      <c r="E1504" s="16"/>
      <c r="F1504" s="14">
        <v>2</v>
      </c>
      <c r="G1504" s="16">
        <v>2</v>
      </c>
      <c r="H1504" s="16">
        <f t="shared" si="23"/>
        <v>0</v>
      </c>
      <c r="I1504" s="13">
        <v>2</v>
      </c>
    </row>
    <row r="1505" spans="1:9">
      <c r="A1505" s="16" t="s">
        <v>33</v>
      </c>
      <c r="B1505" s="16" t="s">
        <v>98</v>
      </c>
      <c r="C1505" s="14" t="str">
        <f>VLOOKUP([1]Competence!$B19,[1]Competence!$B$12:$B$100,1,FALSE)</f>
        <v>Service catalogue management</v>
      </c>
      <c r="D1505" s="13" t="str" cm="1">
        <f t="array" ref="D1505">_xlfn.XLOOKUP(B1505,[1]Baseline!$D$3:$AZ$3,_xlfn.XLOOKUP(C1505,[1]Baseline!$B$4:$B$91,[1]Baseline!$D$4:$AZ$91))</f>
        <v>Working</v>
      </c>
      <c r="E1505" s="16"/>
      <c r="F1505" s="14">
        <v>2</v>
      </c>
      <c r="G1505" s="16">
        <v>1</v>
      </c>
      <c r="H1505" s="16">
        <f t="shared" si="23"/>
        <v>-1</v>
      </c>
      <c r="I1505" s="13">
        <v>1</v>
      </c>
    </row>
    <row r="1506" spans="1:9">
      <c r="A1506" s="16" t="s">
        <v>33</v>
      </c>
      <c r="B1506" s="16" t="s">
        <v>98</v>
      </c>
      <c r="C1506" s="14" t="str">
        <f>VLOOKUP([1]Competence!$B20,[1]Competence!$B$12:$B$100,1,FALSE)</f>
        <v>Service level management</v>
      </c>
      <c r="D1506" s="13" t="str" cm="1">
        <f t="array" ref="D1506">_xlfn.XLOOKUP(B1506,[1]Baseline!$D$3:$AZ$3,_xlfn.XLOOKUP(C1506,[1]Baseline!$B$4:$B$91,[1]Baseline!$D$4:$AZ$91))</f>
        <v>Working</v>
      </c>
      <c r="E1506" s="16"/>
      <c r="F1506" s="14">
        <v>2</v>
      </c>
      <c r="G1506" s="16">
        <v>2</v>
      </c>
      <c r="H1506" s="16">
        <f t="shared" si="23"/>
        <v>0</v>
      </c>
      <c r="I1506" s="13">
        <v>2</v>
      </c>
    </row>
    <row r="1507" spans="1:9">
      <c r="A1507" s="16" t="s">
        <v>33</v>
      </c>
      <c r="B1507" s="16" t="s">
        <v>98</v>
      </c>
      <c r="C1507" s="14" t="str">
        <f>VLOOKUP([1]Competence!$B21,[1]Competence!$B$12:$B$100,1,FALSE)</f>
        <v>Availability Management</v>
      </c>
      <c r="D1507" s="13" t="str" cm="1">
        <f t="array" ref="D1507">_xlfn.XLOOKUP(B1507,[1]Baseline!$D$3:$AZ$3,_xlfn.XLOOKUP(C1507,[1]Baseline!$B$4:$B$91,[1]Baseline!$D$4:$AZ$91))</f>
        <v>Practitioner</v>
      </c>
      <c r="E1507" s="16"/>
      <c r="F1507" s="14">
        <v>3</v>
      </c>
      <c r="G1507" s="16">
        <v>3</v>
      </c>
      <c r="H1507" s="16">
        <f t="shared" si="23"/>
        <v>0</v>
      </c>
      <c r="I1507" s="13">
        <v>3</v>
      </c>
    </row>
    <row r="1508" spans="1:9">
      <c r="A1508" s="16" t="s">
        <v>33</v>
      </c>
      <c r="B1508" s="16" t="s">
        <v>98</v>
      </c>
      <c r="C1508" s="14" t="str">
        <f>VLOOKUP([1]Competence!$B22,[1]Competence!$B$12:$B$100,1,FALSE)</f>
        <v>Capacity management</v>
      </c>
      <c r="D1508" s="13" t="str" cm="1">
        <f t="array" ref="D1508">_xlfn.XLOOKUP(B1508,[1]Baseline!$D$3:$AZ$3,_xlfn.XLOOKUP(C1508,[1]Baseline!$B$4:$B$91,[1]Baseline!$D$4:$AZ$91))</f>
        <v>Practitioner</v>
      </c>
      <c r="E1508" s="16"/>
      <c r="F1508" s="14">
        <v>3</v>
      </c>
      <c r="G1508" s="16">
        <v>3</v>
      </c>
      <c r="H1508" s="16">
        <f t="shared" si="23"/>
        <v>0</v>
      </c>
      <c r="I1508" s="13">
        <v>3</v>
      </c>
    </row>
    <row r="1509" spans="1:9">
      <c r="A1509" s="16" t="s">
        <v>33</v>
      </c>
      <c r="B1509" s="16" t="s">
        <v>98</v>
      </c>
      <c r="C1509" s="14" t="str">
        <f>VLOOKUP([1]Competence!$B23,[1]Competence!$B$12:$B$100,1,FALSE)</f>
        <v>Configuration Management</v>
      </c>
      <c r="D1509" s="13" t="str" cm="1">
        <f t="array" ref="D1509">_xlfn.XLOOKUP(B1509,[1]Baseline!$D$3:$AZ$3,_xlfn.XLOOKUP(C1509,[1]Baseline!$B$4:$B$91,[1]Baseline!$D$4:$AZ$91))</f>
        <v>Practitioner</v>
      </c>
      <c r="E1509" s="16"/>
      <c r="F1509" s="14">
        <v>3</v>
      </c>
      <c r="G1509" s="16">
        <v>4</v>
      </c>
      <c r="H1509" s="16">
        <f t="shared" si="23"/>
        <v>1</v>
      </c>
      <c r="I1509" s="13">
        <v>4</v>
      </c>
    </row>
    <row r="1510" spans="1:9">
      <c r="A1510" s="16" t="s">
        <v>33</v>
      </c>
      <c r="B1510" s="16" t="s">
        <v>98</v>
      </c>
      <c r="C1510" s="14" t="str">
        <f>VLOOKUP([1]Competence!$B24,[1]Competence!$B$12:$B$100,1,FALSE)</f>
        <v>Continuity Management</v>
      </c>
      <c r="D1510" s="13" t="str" cm="1">
        <f t="array" ref="D1510">_xlfn.XLOOKUP(B1510,[1]Baseline!$D$3:$AZ$3,_xlfn.XLOOKUP(C1510,[1]Baseline!$B$4:$B$91,[1]Baseline!$D$4:$AZ$91))</f>
        <v>Practitioner</v>
      </c>
      <c r="E1510" s="16"/>
      <c r="F1510" s="14">
        <v>3</v>
      </c>
      <c r="G1510" s="16">
        <v>3</v>
      </c>
      <c r="H1510" s="16">
        <f t="shared" si="23"/>
        <v>0</v>
      </c>
      <c r="I1510" s="13">
        <v>3</v>
      </c>
    </row>
    <row r="1511" spans="1:9">
      <c r="A1511" s="16" t="s">
        <v>33</v>
      </c>
      <c r="B1511" s="16" t="s">
        <v>98</v>
      </c>
      <c r="C1511" s="14" t="str">
        <f>VLOOKUP([1]Competence!$B25,[1]Competence!$B$12:$B$100,1,FALSE)</f>
        <v>Demand Management</v>
      </c>
      <c r="D1511" s="13" t="str" cm="1">
        <f t="array" ref="D1511">_xlfn.XLOOKUP(B1511,[1]Baseline!$D$3:$AZ$3,_xlfn.XLOOKUP(C1511,[1]Baseline!$B$4:$B$91,[1]Baseline!$D$4:$AZ$91))</f>
        <v>Practitioner</v>
      </c>
      <c r="E1511" s="16"/>
      <c r="F1511" s="14">
        <v>3</v>
      </c>
      <c r="G1511" s="16">
        <v>2</v>
      </c>
      <c r="H1511" s="16">
        <f t="shared" si="23"/>
        <v>-1</v>
      </c>
      <c r="I1511" s="13">
        <v>2</v>
      </c>
    </row>
    <row r="1512" spans="1:9">
      <c r="A1512" s="16" t="s">
        <v>33</v>
      </c>
      <c r="B1512" s="16" t="s">
        <v>98</v>
      </c>
      <c r="C1512" s="14" t="str">
        <f>VLOOKUP([1]Competence!$B26,[1]Competence!$B$12:$B$100,1,FALSE)</f>
        <v>Knowledge management</v>
      </c>
      <c r="D1512" s="13" t="str" cm="1">
        <f t="array" ref="D1512">_xlfn.XLOOKUP(B1512,[1]Baseline!$D$3:$AZ$3,_xlfn.XLOOKUP(C1512,[1]Baseline!$B$4:$B$91,[1]Baseline!$D$4:$AZ$91))</f>
        <v>Practitioner</v>
      </c>
      <c r="E1512" s="16"/>
      <c r="F1512" s="14">
        <v>3</v>
      </c>
      <c r="G1512" s="16">
        <v>3</v>
      </c>
      <c r="H1512" s="16">
        <f t="shared" si="23"/>
        <v>0</v>
      </c>
      <c r="I1512" s="13">
        <v>3</v>
      </c>
    </row>
    <row r="1513" spans="1:9">
      <c r="A1513" s="16" t="s">
        <v>33</v>
      </c>
      <c r="B1513" s="16" t="s">
        <v>98</v>
      </c>
      <c r="C1513" s="14" t="str">
        <f>VLOOKUP([1]Competence!$B27,[1]Competence!$B$12:$B$100,1,FALSE)</f>
        <v>Methods and tools</v>
      </c>
      <c r="D1513" s="13" t="str" cm="1">
        <f t="array" ref="D1513">_xlfn.XLOOKUP(B1513,[1]Baseline!$D$3:$AZ$3,_xlfn.XLOOKUP(C1513,[1]Baseline!$B$4:$B$91,[1]Baseline!$D$4:$AZ$91))</f>
        <v>Practitioner</v>
      </c>
      <c r="E1513" s="16"/>
      <c r="F1513" s="14">
        <v>3</v>
      </c>
      <c r="G1513" s="16">
        <v>3</v>
      </c>
      <c r="H1513" s="16">
        <f t="shared" si="23"/>
        <v>0</v>
      </c>
      <c r="I1513" s="13">
        <v>3</v>
      </c>
    </row>
    <row r="1514" spans="1:9">
      <c r="A1514" s="16" t="s">
        <v>33</v>
      </c>
      <c r="B1514" s="16" t="s">
        <v>98</v>
      </c>
      <c r="C1514" s="14" t="str">
        <f>VLOOKUP([1]Competence!$B28,[1]Competence!$B$12:$B$100,1,FALSE)</f>
        <v>Release and deployment</v>
      </c>
      <c r="D1514" s="13" t="str" cm="1">
        <f t="array" ref="D1514">_xlfn.XLOOKUP(B1514,[1]Baseline!$D$3:$AZ$3,_xlfn.XLOOKUP(C1514,[1]Baseline!$B$4:$B$91,[1]Baseline!$D$4:$AZ$91))</f>
        <v>Practitioner</v>
      </c>
      <c r="E1514" s="16"/>
      <c r="F1514" s="14">
        <v>3</v>
      </c>
      <c r="G1514" s="16">
        <v>4</v>
      </c>
      <c r="H1514" s="16">
        <f t="shared" si="23"/>
        <v>1</v>
      </c>
      <c r="I1514" s="13">
        <v>4</v>
      </c>
    </row>
    <row r="1515" spans="1:9">
      <c r="A1515" s="16" t="s">
        <v>33</v>
      </c>
      <c r="B1515" s="16" t="s">
        <v>98</v>
      </c>
      <c r="C1515" s="14" t="str">
        <f>VLOOKUP([1]Competence!$B29,[1]Competence!$B$12:$B$100,1,FALSE)</f>
        <v>Service acceptance</v>
      </c>
      <c r="D1515" s="13" t="str" cm="1">
        <f t="array" ref="D1515">_xlfn.XLOOKUP(B1515,[1]Baseline!$D$3:$AZ$3,_xlfn.XLOOKUP(C1515,[1]Baseline!$B$4:$B$91,[1]Baseline!$D$4:$AZ$91))</f>
        <v>Practitioner</v>
      </c>
      <c r="E1515" s="16"/>
      <c r="F1515" s="14">
        <v>3</v>
      </c>
      <c r="G1515" s="16">
        <v>2</v>
      </c>
      <c r="H1515" s="16">
        <f t="shared" si="23"/>
        <v>-1</v>
      </c>
      <c r="I1515" s="13">
        <v>2</v>
      </c>
    </row>
    <row r="1516" spans="1:9">
      <c r="A1516" s="16" t="s">
        <v>33</v>
      </c>
      <c r="B1516" s="16" t="s">
        <v>98</v>
      </c>
      <c r="C1516" s="14" t="str">
        <f>VLOOKUP([1]Competence!$B30,[1]Competence!$B$12:$B$100,1,FALSE)</f>
        <v>Stakeholder relationship management</v>
      </c>
      <c r="D1516" s="13" t="str" cm="1">
        <f t="array" ref="D1516">_xlfn.XLOOKUP(B1516,[1]Baseline!$D$3:$AZ$3,_xlfn.XLOOKUP(C1516,[1]Baseline!$B$4:$B$91,[1]Baseline!$D$4:$AZ$91))</f>
        <v>Practitioner</v>
      </c>
      <c r="E1516" s="16"/>
      <c r="F1516" s="14">
        <v>3</v>
      </c>
      <c r="G1516" s="16">
        <v>3</v>
      </c>
      <c r="H1516" s="16">
        <f t="shared" si="23"/>
        <v>0</v>
      </c>
      <c r="I1516" s="13">
        <v>3</v>
      </c>
    </row>
    <row r="1517" spans="1:9">
      <c r="A1517" s="16" t="s">
        <v>33</v>
      </c>
      <c r="B1517" s="16" t="s">
        <v>98</v>
      </c>
      <c r="C1517" s="14" t="str">
        <f>VLOOKUP([1]Competence!$B31,[1]Competence!$B$12:$B$100,1,FALSE)</f>
        <v>Storage management</v>
      </c>
      <c r="D1517" s="13" t="str" cm="1">
        <f t="array" ref="D1517">_xlfn.XLOOKUP(B1517,[1]Baseline!$D$3:$AZ$3,_xlfn.XLOOKUP(C1517,[1]Baseline!$B$4:$B$91,[1]Baseline!$D$4:$AZ$91))</f>
        <v>Practitioner</v>
      </c>
      <c r="E1517" s="16"/>
      <c r="F1517" s="14">
        <v>3</v>
      </c>
      <c r="G1517" s="16">
        <v>4</v>
      </c>
      <c r="H1517" s="16">
        <f t="shared" si="23"/>
        <v>1</v>
      </c>
      <c r="I1517" s="13">
        <v>4</v>
      </c>
    </row>
    <row r="1518" spans="1:9">
      <c r="A1518" s="16" t="s">
        <v>33</v>
      </c>
      <c r="B1518" s="16" t="s">
        <v>98</v>
      </c>
      <c r="C1518" s="14" t="str">
        <f>VLOOKUP([1]Competence!$B32,[1]Competence!$B$12:$B$100,1,FALSE)</f>
        <v>Digital Forensics</v>
      </c>
      <c r="D1518" s="13" t="str" cm="1">
        <f t="array" ref="D1518">_xlfn.XLOOKUP(B1518,[1]Baseline!$D$3:$AZ$3,_xlfn.XLOOKUP(C1518,[1]Baseline!$B$4:$B$91,[1]Baseline!$D$4:$AZ$91))</f>
        <v>Practitioner</v>
      </c>
      <c r="E1518" s="16"/>
      <c r="F1518" s="14">
        <v>3</v>
      </c>
      <c r="G1518" s="16">
        <v>1</v>
      </c>
      <c r="H1518" s="16">
        <f t="shared" si="23"/>
        <v>-2</v>
      </c>
      <c r="I1518" s="13">
        <v>1</v>
      </c>
    </row>
    <row r="1519" spans="1:9">
      <c r="A1519" s="16" t="s">
        <v>33</v>
      </c>
      <c r="B1519" s="16" t="s">
        <v>98</v>
      </c>
      <c r="C1519" s="14" t="str">
        <f>VLOOKUP([1]Competence!$B33,[1]Competence!$B$12:$B$100,1,FALSE)</f>
        <v>Penetration testing</v>
      </c>
      <c r="D1519" s="13" t="str" cm="1">
        <f t="array" ref="D1519">_xlfn.XLOOKUP(B1519,[1]Baseline!$D$3:$AZ$3,_xlfn.XLOOKUP(C1519,[1]Baseline!$B$4:$B$91,[1]Baseline!$D$4:$AZ$91))</f>
        <v>Practitioner</v>
      </c>
      <c r="E1519" s="16"/>
      <c r="F1519" s="14">
        <v>3</v>
      </c>
      <c r="G1519" s="16">
        <v>1</v>
      </c>
      <c r="H1519" s="16">
        <f t="shared" si="23"/>
        <v>-2</v>
      </c>
      <c r="I1519" s="13">
        <v>1</v>
      </c>
    </row>
    <row r="1520" spans="1:9">
      <c r="A1520" s="16" t="s">
        <v>33</v>
      </c>
      <c r="B1520" s="16" t="s">
        <v>98</v>
      </c>
      <c r="C1520" s="14" t="str">
        <f>VLOOKUP([1]Competence!$B34,[1]Competence!$B$12:$B$100,1,FALSE)</f>
        <v>Security Operations</v>
      </c>
      <c r="D1520" s="13" t="str" cm="1">
        <f t="array" ref="D1520">_xlfn.XLOOKUP(B1520,[1]Baseline!$D$3:$AZ$3,_xlfn.XLOOKUP(C1520,[1]Baseline!$B$4:$B$91,[1]Baseline!$D$4:$AZ$91))</f>
        <v>Expert</v>
      </c>
      <c r="E1520" s="16"/>
      <c r="F1520" s="14">
        <v>4</v>
      </c>
      <c r="G1520" s="16">
        <v>1</v>
      </c>
      <c r="H1520" s="16">
        <f t="shared" si="23"/>
        <v>-3</v>
      </c>
      <c r="I1520" s="13">
        <v>1</v>
      </c>
    </row>
    <row r="1521" spans="1:9">
      <c r="A1521" s="16" t="s">
        <v>33</v>
      </c>
      <c r="B1521" s="16" t="s">
        <v>98</v>
      </c>
      <c r="C1521" s="14" t="str">
        <f>VLOOKUP([1]Competence!$B35,[1]Competence!$B$12:$B$100,1,FALSE)</f>
        <v>Threat Intelligence</v>
      </c>
      <c r="D1521" s="13" t="str" cm="1">
        <f t="array" ref="D1521">_xlfn.XLOOKUP(B1521,[1]Baseline!$D$3:$AZ$3,_xlfn.XLOOKUP(C1521,[1]Baseline!$B$4:$B$91,[1]Baseline!$D$4:$AZ$91))</f>
        <v>Expert</v>
      </c>
      <c r="E1521" s="16"/>
      <c r="F1521" s="14">
        <v>4</v>
      </c>
      <c r="G1521" s="16">
        <v>1</v>
      </c>
      <c r="H1521" s="16">
        <f t="shared" si="23"/>
        <v>-3</v>
      </c>
      <c r="I1521" s="13">
        <v>1</v>
      </c>
    </row>
    <row r="1522" spans="1:9">
      <c r="A1522" s="16" t="s">
        <v>33</v>
      </c>
      <c r="B1522" s="16" t="s">
        <v>98</v>
      </c>
      <c r="C1522" s="14" t="str">
        <f>VLOOKUP([1]Competence!$B36,[1]Competence!$B$12:$B$100,1,FALSE)</f>
        <v>Vulnerability assessment</v>
      </c>
      <c r="D1522" s="13" t="str" cm="1">
        <f t="array" ref="D1522">_xlfn.XLOOKUP(B1522,[1]Baseline!$D$3:$AZ$3,_xlfn.XLOOKUP(C1522,[1]Baseline!$B$4:$B$91,[1]Baseline!$D$4:$AZ$91))</f>
        <v>Expert</v>
      </c>
      <c r="E1522" s="16"/>
      <c r="F1522" s="14">
        <v>4</v>
      </c>
      <c r="G1522" s="16">
        <v>2</v>
      </c>
      <c r="H1522" s="16">
        <f t="shared" si="23"/>
        <v>-2</v>
      </c>
      <c r="I1522" s="13">
        <v>2</v>
      </c>
    </row>
    <row r="1523" spans="1:9">
      <c r="A1523" s="16" t="s">
        <v>33</v>
      </c>
      <c r="B1523" s="16" t="s">
        <v>98</v>
      </c>
      <c r="C1523" s="14" t="str">
        <f>VLOOKUP([1]Competence!$B37,[1]Competence!$B$12:$B$100,1,FALSE)</f>
        <v>Vulnerability Research</v>
      </c>
      <c r="D1523" s="13" t="str" cm="1">
        <f t="array" ref="D1523">_xlfn.XLOOKUP(B1523,[1]Baseline!$D$3:$AZ$3,_xlfn.XLOOKUP(C1523,[1]Baseline!$B$4:$B$91,[1]Baseline!$D$4:$AZ$91))</f>
        <v>No Knowledge</v>
      </c>
      <c r="E1523" s="16"/>
      <c r="F1523" s="14">
        <v>0</v>
      </c>
      <c r="G1523" s="16">
        <v>1</v>
      </c>
      <c r="H1523" s="16">
        <f t="shared" si="23"/>
        <v>1</v>
      </c>
      <c r="I1523" s="13">
        <v>1</v>
      </c>
    </row>
    <row r="1524" spans="1:9">
      <c r="A1524" s="16" t="s">
        <v>33</v>
      </c>
      <c r="B1524" s="16" t="s">
        <v>98</v>
      </c>
      <c r="C1524" s="14" t="str">
        <f>VLOOKUP([1]Competence!$B38,[1]Competence!$B$12:$B$100,1,FALSE)</f>
        <v>Competency assessment</v>
      </c>
      <c r="D1524" s="13" t="str" cm="1">
        <f t="array" ref="D1524">_xlfn.XLOOKUP(B1524,[1]Baseline!$D$3:$AZ$3,_xlfn.XLOOKUP(C1524,[1]Baseline!$B$4:$B$91,[1]Baseline!$D$4:$AZ$91))</f>
        <v>Working</v>
      </c>
      <c r="E1524" s="16"/>
      <c r="F1524" s="14">
        <v>2</v>
      </c>
      <c r="G1524" s="16">
        <v>2</v>
      </c>
      <c r="H1524" s="16">
        <f t="shared" si="23"/>
        <v>0</v>
      </c>
      <c r="I1524" s="13">
        <v>2</v>
      </c>
    </row>
    <row r="1525" spans="1:9">
      <c r="A1525" s="16" t="s">
        <v>33</v>
      </c>
      <c r="B1525" s="16" t="s">
        <v>98</v>
      </c>
      <c r="C1525" s="14" t="str">
        <f>VLOOKUP([1]Competence!$B39,[1]Competence!$B$12:$B$100,1,FALSE)</f>
        <v>Financial management</v>
      </c>
      <c r="D1525" s="13" t="str" cm="1">
        <f t="array" ref="D1525">_xlfn.XLOOKUP(B1525,[1]Baseline!$D$3:$AZ$3,_xlfn.XLOOKUP(C1525,[1]Baseline!$B$4:$B$91,[1]Baseline!$D$4:$AZ$91))</f>
        <v>Practitioner</v>
      </c>
      <c r="E1525" s="16"/>
      <c r="F1525" s="14">
        <v>3</v>
      </c>
      <c r="G1525" s="16">
        <v>2</v>
      </c>
      <c r="H1525" s="16">
        <f t="shared" si="23"/>
        <v>-1</v>
      </c>
      <c r="I1525" s="13">
        <v>2</v>
      </c>
    </row>
    <row r="1526" spans="1:9" ht="30">
      <c r="A1526" s="16" t="s">
        <v>33</v>
      </c>
      <c r="B1526" s="16" t="s">
        <v>98</v>
      </c>
      <c r="C1526" s="14" t="str">
        <f>VLOOKUP([1]Competence!$B40,[1]Competence!$B$12:$B$100,1,FALSE)</f>
        <v>Organisation design and implementation</v>
      </c>
      <c r="D1526" s="13" t="str" cm="1">
        <f t="array" ref="D1526">_xlfn.XLOOKUP(B1526,[1]Baseline!$D$3:$AZ$3,_xlfn.XLOOKUP(C1526,[1]Baseline!$B$4:$B$91,[1]Baseline!$D$4:$AZ$91))</f>
        <v>No Knowledge</v>
      </c>
      <c r="E1526" s="16"/>
      <c r="F1526" s="14">
        <v>0</v>
      </c>
      <c r="G1526" s="16">
        <v>0</v>
      </c>
      <c r="H1526" s="16">
        <f t="shared" si="23"/>
        <v>0</v>
      </c>
      <c r="I1526" s="13">
        <v>0</v>
      </c>
    </row>
    <row r="1527" spans="1:9">
      <c r="A1527" s="16" t="s">
        <v>33</v>
      </c>
      <c r="B1527" s="16" t="s">
        <v>98</v>
      </c>
      <c r="C1527" s="14" t="str">
        <f>VLOOKUP([1]Competence!$B41,[1]Competence!$B$12:$B$100,1,FALSE)</f>
        <v>Organisational capability development</v>
      </c>
      <c r="D1527" s="13" t="str" cm="1">
        <f t="array" ref="D1527">_xlfn.XLOOKUP(B1527,[1]Baseline!$D$3:$AZ$3,_xlfn.XLOOKUP(C1527,[1]Baseline!$B$4:$B$91,[1]Baseline!$D$4:$AZ$91))</f>
        <v>No Knowledge</v>
      </c>
      <c r="E1527" s="16"/>
      <c r="F1527" s="14">
        <v>0</v>
      </c>
      <c r="G1527" s="16">
        <v>0</v>
      </c>
      <c r="H1527" s="16">
        <f t="shared" si="23"/>
        <v>0</v>
      </c>
      <c r="I1527" s="13">
        <v>0</v>
      </c>
    </row>
    <row r="1528" spans="1:9">
      <c r="A1528" s="16" t="s">
        <v>33</v>
      </c>
      <c r="B1528" s="16" t="s">
        <v>98</v>
      </c>
      <c r="C1528" s="14" t="str">
        <f>VLOOKUP([1]Competence!$B42,[1]Competence!$B$12:$B$100,1,FALSE)</f>
        <v>Organisational change management</v>
      </c>
      <c r="D1528" s="13" t="str" cm="1">
        <f t="array" ref="D1528">_xlfn.XLOOKUP(B1528,[1]Baseline!$D$3:$AZ$3,_xlfn.XLOOKUP(C1528,[1]Baseline!$B$4:$B$91,[1]Baseline!$D$4:$AZ$91))</f>
        <v>No Knowledge</v>
      </c>
      <c r="E1528" s="16"/>
      <c r="F1528" s="14">
        <v>0</v>
      </c>
      <c r="G1528" s="16">
        <v>0</v>
      </c>
      <c r="H1528" s="16">
        <f t="shared" si="23"/>
        <v>0</v>
      </c>
      <c r="I1528" s="13">
        <v>0</v>
      </c>
    </row>
    <row r="1529" spans="1:9">
      <c r="A1529" s="16" t="s">
        <v>33</v>
      </c>
      <c r="B1529" s="16" t="s">
        <v>98</v>
      </c>
      <c r="C1529" s="14" t="str">
        <f>VLOOKUP([1]Competence!$B43,[1]Competence!$B$12:$B$100,1,FALSE)</f>
        <v>Performance Management</v>
      </c>
      <c r="D1529" s="13" t="str" cm="1">
        <f t="array" ref="D1529">_xlfn.XLOOKUP(B1529,[1]Baseline!$D$3:$AZ$3,_xlfn.XLOOKUP(C1529,[1]Baseline!$B$4:$B$91,[1]Baseline!$D$4:$AZ$91))</f>
        <v>No Knowledge</v>
      </c>
      <c r="E1529" s="16"/>
      <c r="F1529" s="14">
        <v>0</v>
      </c>
      <c r="G1529" s="16">
        <v>2</v>
      </c>
      <c r="H1529" s="16">
        <f t="shared" si="23"/>
        <v>2</v>
      </c>
      <c r="I1529" s="13">
        <v>2</v>
      </c>
    </row>
    <row r="1530" spans="1:9">
      <c r="A1530" s="16" t="s">
        <v>33</v>
      </c>
      <c r="B1530" s="16" t="s">
        <v>98</v>
      </c>
      <c r="C1530" s="14" t="str">
        <f>VLOOKUP([1]Competence!$B44,[1]Competence!$B$12:$B$100,1,FALSE)</f>
        <v>Professional Development</v>
      </c>
      <c r="D1530" s="13" t="str" cm="1">
        <f t="array" ref="D1530">_xlfn.XLOOKUP(B1530,[1]Baseline!$D$3:$AZ$3,_xlfn.XLOOKUP(C1530,[1]Baseline!$B$4:$B$91,[1]Baseline!$D$4:$AZ$91))</f>
        <v>Awareness</v>
      </c>
      <c r="E1530" s="16"/>
      <c r="F1530" s="14">
        <v>1</v>
      </c>
      <c r="G1530" s="16">
        <v>1</v>
      </c>
      <c r="H1530" s="16">
        <f t="shared" si="23"/>
        <v>0</v>
      </c>
      <c r="I1530" s="13">
        <v>1</v>
      </c>
    </row>
    <row r="1531" spans="1:9">
      <c r="A1531" s="16" t="s">
        <v>33</v>
      </c>
      <c r="B1531" s="16" t="s">
        <v>98</v>
      </c>
      <c r="C1531" s="14" t="str">
        <f>VLOOKUP([1]Competence!$B45,[1]Competence!$B$12:$B$100,1,FALSE)</f>
        <v>Strategic Planning</v>
      </c>
      <c r="D1531" s="13" t="str" cm="1">
        <f t="array" ref="D1531">_xlfn.XLOOKUP(B1531,[1]Baseline!$D$3:$AZ$3,_xlfn.XLOOKUP(C1531,[1]Baseline!$B$4:$B$91,[1]Baseline!$D$4:$AZ$91))</f>
        <v>Working</v>
      </c>
      <c r="E1531" s="16"/>
      <c r="F1531" s="14">
        <v>2</v>
      </c>
      <c r="G1531" s="16">
        <v>3</v>
      </c>
      <c r="H1531" s="16">
        <f t="shared" si="23"/>
        <v>1</v>
      </c>
      <c r="I1531" s="13">
        <v>3</v>
      </c>
    </row>
    <row r="1532" spans="1:9">
      <c r="A1532" s="16" t="s">
        <v>33</v>
      </c>
      <c r="B1532" s="16" t="s">
        <v>98</v>
      </c>
      <c r="C1532" s="14" t="str">
        <f>VLOOKUP([1]Competence!$B46,[1]Competence!$B$12:$B$100,1,FALSE)</f>
        <v>Workforce Planning</v>
      </c>
      <c r="D1532" s="13" t="str" cm="1">
        <f t="array" ref="D1532">_xlfn.XLOOKUP(B1532,[1]Baseline!$D$3:$AZ$3,_xlfn.XLOOKUP(C1532,[1]Baseline!$B$4:$B$91,[1]Baseline!$D$4:$AZ$91))</f>
        <v>Working</v>
      </c>
      <c r="E1532" s="16"/>
      <c r="F1532" s="14">
        <v>2</v>
      </c>
      <c r="G1532" s="16">
        <v>1</v>
      </c>
      <c r="H1532" s="16">
        <f t="shared" si="23"/>
        <v>-1</v>
      </c>
      <c r="I1532" s="13">
        <v>1</v>
      </c>
    </row>
    <row r="1533" spans="1:9">
      <c r="A1533" s="16" t="s">
        <v>33</v>
      </c>
      <c r="B1533" s="16" t="s">
        <v>98</v>
      </c>
      <c r="C1533" s="14" t="str">
        <f>VLOOKUP([1]Competence!$B47,[1]Competence!$B$12:$B$100,1,FALSE)</f>
        <v>Audit</v>
      </c>
      <c r="D1533" s="13" t="str" cm="1">
        <f t="array" ref="D1533">_xlfn.XLOOKUP(B1533,[1]Baseline!$D$3:$AZ$3,_xlfn.XLOOKUP(C1533,[1]Baseline!$B$4:$B$91,[1]Baseline!$D$4:$AZ$91))</f>
        <v>Practitioner</v>
      </c>
      <c r="E1533" s="16"/>
      <c r="F1533" s="14">
        <v>3</v>
      </c>
      <c r="G1533" s="16">
        <v>1</v>
      </c>
      <c r="H1533" s="16">
        <f t="shared" si="23"/>
        <v>-2</v>
      </c>
      <c r="I1533" s="13">
        <v>1</v>
      </c>
    </row>
    <row r="1534" spans="1:9">
      <c r="A1534" s="16" t="s">
        <v>33</v>
      </c>
      <c r="B1534" s="16" t="s">
        <v>98</v>
      </c>
      <c r="C1534" s="14" t="str">
        <f>VLOOKUP([1]Competence!$B48,[1]Competence!$B$12:$B$100,1,FALSE)</f>
        <v>Contract management</v>
      </c>
      <c r="D1534" s="13" t="str" cm="1">
        <f t="array" ref="D1534">_xlfn.XLOOKUP(B1534,[1]Baseline!$D$3:$AZ$3,_xlfn.XLOOKUP(C1534,[1]Baseline!$B$4:$B$91,[1]Baseline!$D$4:$AZ$91))</f>
        <v>Practitioner</v>
      </c>
      <c r="E1534" s="16"/>
      <c r="F1534" s="14">
        <v>3</v>
      </c>
      <c r="G1534" s="16">
        <v>1</v>
      </c>
      <c r="H1534" s="16">
        <f t="shared" si="23"/>
        <v>-2</v>
      </c>
      <c r="I1534" s="13">
        <v>1</v>
      </c>
    </row>
    <row r="1535" spans="1:9">
      <c r="A1535" s="16" t="s">
        <v>33</v>
      </c>
      <c r="B1535" s="16" t="s">
        <v>98</v>
      </c>
      <c r="C1535" s="14" t="str">
        <f>VLOOKUP([1]Competence!$B49,[1]Competence!$B$12:$B$100,1,FALSE)</f>
        <v>Feasibility assessment</v>
      </c>
      <c r="D1535" s="13" t="str" cm="1">
        <f t="array" ref="D1535">_xlfn.XLOOKUP(B1535,[1]Baseline!$D$3:$AZ$3,_xlfn.XLOOKUP(C1535,[1]Baseline!$B$4:$B$91,[1]Baseline!$D$4:$AZ$91))</f>
        <v>Practitioner</v>
      </c>
      <c r="E1535" s="16"/>
      <c r="F1535" s="14">
        <v>3</v>
      </c>
      <c r="G1535" s="16">
        <v>1</v>
      </c>
      <c r="H1535" s="16">
        <f t="shared" si="23"/>
        <v>-2</v>
      </c>
      <c r="I1535" s="13">
        <v>1</v>
      </c>
    </row>
    <row r="1536" spans="1:9">
      <c r="A1536" s="16" t="s">
        <v>33</v>
      </c>
      <c r="B1536" s="16" t="s">
        <v>98</v>
      </c>
      <c r="C1536" s="14" t="str">
        <f>VLOOKUP([1]Competence!$B50,[1]Competence!$B$12:$B$100,1,FALSE)</f>
        <v>Governance</v>
      </c>
      <c r="D1536" s="13" t="str" cm="1">
        <f t="array" ref="D1536">_xlfn.XLOOKUP(B1536,[1]Baseline!$D$3:$AZ$3,_xlfn.XLOOKUP(C1536,[1]Baseline!$B$4:$B$91,[1]Baseline!$D$4:$AZ$91))</f>
        <v>Practitioner</v>
      </c>
      <c r="E1536" s="16"/>
      <c r="F1536" s="14">
        <v>3</v>
      </c>
      <c r="G1536" s="16">
        <v>1</v>
      </c>
      <c r="H1536" s="16">
        <f t="shared" si="23"/>
        <v>-2</v>
      </c>
      <c r="I1536" s="13">
        <v>1</v>
      </c>
    </row>
    <row r="1537" spans="1:9">
      <c r="A1537" s="16" t="s">
        <v>33</v>
      </c>
      <c r="B1537" s="16" t="s">
        <v>98</v>
      </c>
      <c r="C1537" s="14" t="str">
        <f>VLOOKUP([1]Competence!$B51,[1]Competence!$B$12:$B$100,1,FALSE)</f>
        <v>Risk management</v>
      </c>
      <c r="D1537" s="13" t="str" cm="1">
        <f t="array" ref="D1537">_xlfn.XLOOKUP(B1537,[1]Baseline!$D$3:$AZ$3,_xlfn.XLOOKUP(C1537,[1]Baseline!$B$4:$B$91,[1]Baseline!$D$4:$AZ$91))</f>
        <v>Practitioner</v>
      </c>
      <c r="E1537" s="16"/>
      <c r="F1537" s="14">
        <v>3</v>
      </c>
      <c r="G1537" s="16">
        <v>1</v>
      </c>
      <c r="H1537" s="16">
        <f t="shared" si="23"/>
        <v>-2</v>
      </c>
      <c r="I1537" s="13">
        <v>1</v>
      </c>
    </row>
    <row r="1538" spans="1:9">
      <c r="A1538" s="16" t="s">
        <v>33</v>
      </c>
      <c r="B1538" s="16" t="s">
        <v>98</v>
      </c>
      <c r="C1538" s="14" t="str">
        <f>VLOOKUP([1]Competence!$B52,[1]Competence!$B$12:$B$100,1,FALSE)</f>
        <v>Sourcing</v>
      </c>
      <c r="D1538" s="13" t="str" cm="1">
        <f t="array" ref="D1538">_xlfn.XLOOKUP(B1538,[1]Baseline!$D$3:$AZ$3,_xlfn.XLOOKUP(C1538,[1]Baseline!$B$4:$B$91,[1]Baseline!$D$4:$AZ$91))</f>
        <v>Practitioner</v>
      </c>
      <c r="E1538" s="16"/>
      <c r="F1538" s="14">
        <v>3</v>
      </c>
      <c r="G1538" s="16">
        <v>1</v>
      </c>
      <c r="H1538" s="16">
        <f t="shared" ref="H1538:H1601" si="24">I1538-F1538</f>
        <v>-2</v>
      </c>
      <c r="I1538" s="13">
        <v>1</v>
      </c>
    </row>
    <row r="1539" spans="1:9">
      <c r="A1539" s="16" t="s">
        <v>33</v>
      </c>
      <c r="B1539" s="16" t="s">
        <v>98</v>
      </c>
      <c r="C1539" s="14" t="str">
        <f>VLOOKUP([1]Competence!$B53,[1]Competence!$B$12:$B$100,1,FALSE)</f>
        <v>Supplier management</v>
      </c>
      <c r="D1539" s="13" t="str" cm="1">
        <f t="array" ref="D1539">_xlfn.XLOOKUP(B1539,[1]Baseline!$D$3:$AZ$3,_xlfn.XLOOKUP(C1539,[1]Baseline!$B$4:$B$91,[1]Baseline!$D$4:$AZ$91))</f>
        <v>Practitioner</v>
      </c>
      <c r="E1539" s="16"/>
      <c r="F1539" s="14">
        <v>3</v>
      </c>
      <c r="G1539" s="16">
        <v>1</v>
      </c>
      <c r="H1539" s="16">
        <f t="shared" si="24"/>
        <v>-2</v>
      </c>
      <c r="I1539" s="13">
        <v>1</v>
      </c>
    </row>
    <row r="1540" spans="1:9">
      <c r="A1540" s="16" t="s">
        <v>33</v>
      </c>
      <c r="B1540" s="16" t="s">
        <v>98</v>
      </c>
      <c r="C1540" s="14" t="str">
        <f>VLOOKUP([1]Competence!$B54,[1]Competence!$B$12:$B$100,1,FALSE)</f>
        <v>Sustainability</v>
      </c>
      <c r="D1540" s="13" t="str" cm="1">
        <f t="array" ref="D1540">_xlfn.XLOOKUP(B1540,[1]Baseline!$D$3:$AZ$3,_xlfn.XLOOKUP(C1540,[1]Baseline!$B$4:$B$91,[1]Baseline!$D$4:$AZ$91))</f>
        <v>Awareness</v>
      </c>
      <c r="E1540" s="16"/>
      <c r="F1540" s="14">
        <v>1</v>
      </c>
      <c r="G1540" s="16">
        <v>1</v>
      </c>
      <c r="H1540" s="16">
        <f t="shared" si="24"/>
        <v>0</v>
      </c>
      <c r="I1540" s="13">
        <v>1</v>
      </c>
    </row>
    <row r="1541" spans="1:9">
      <c r="A1541" s="16" t="s">
        <v>33</v>
      </c>
      <c r="B1541" s="16" t="s">
        <v>98</v>
      </c>
      <c r="C1541" s="14" t="str">
        <f>VLOOKUP([1]Competence!$B55,[1]Competence!$B$12:$B$100,1,FALSE)</f>
        <v>Acceptance testing</v>
      </c>
      <c r="D1541" s="13" t="str" cm="1">
        <f t="array" ref="D1541">_xlfn.XLOOKUP(B1541,[1]Baseline!$D$3:$AZ$3,_xlfn.XLOOKUP(C1541,[1]Baseline!$B$4:$B$91,[1]Baseline!$D$4:$AZ$91))</f>
        <v>Practitioner</v>
      </c>
      <c r="E1541" s="16"/>
      <c r="F1541" s="14">
        <v>3</v>
      </c>
      <c r="G1541" s="16">
        <v>2</v>
      </c>
      <c r="H1541" s="16">
        <f t="shared" si="24"/>
        <v>-1</v>
      </c>
      <c r="I1541" s="13">
        <v>2</v>
      </c>
    </row>
    <row r="1542" spans="1:9">
      <c r="A1542" s="16" t="s">
        <v>33</v>
      </c>
      <c r="B1542" s="16" t="s">
        <v>98</v>
      </c>
      <c r="C1542" s="14" t="str">
        <f>VLOOKUP([1]Competence!$B56,[1]Competence!$B$12:$B$100,1,FALSE)</f>
        <v>Application support</v>
      </c>
      <c r="D1542" s="13" t="str" cm="1">
        <f t="array" ref="D1542">_xlfn.XLOOKUP(B1542,[1]Baseline!$D$3:$AZ$3,_xlfn.XLOOKUP(C1542,[1]Baseline!$B$4:$B$91,[1]Baseline!$D$4:$AZ$91))</f>
        <v>Working</v>
      </c>
      <c r="E1542" s="16"/>
      <c r="F1542" s="14">
        <v>2</v>
      </c>
      <c r="G1542" s="16">
        <v>4</v>
      </c>
      <c r="H1542" s="16">
        <f t="shared" si="24"/>
        <v>2</v>
      </c>
      <c r="I1542" s="13">
        <v>4</v>
      </c>
    </row>
    <row r="1543" spans="1:9">
      <c r="A1543" s="16" t="s">
        <v>33</v>
      </c>
      <c r="B1543" s="16" t="s">
        <v>98</v>
      </c>
      <c r="C1543" s="14" t="str">
        <f>VLOOKUP([1]Competence!$B57,[1]Competence!$B$12:$B$100,1,FALSE)</f>
        <v>Data Engineering</v>
      </c>
      <c r="D1543" s="13" t="str" cm="1">
        <f t="array" ref="D1543">_xlfn.XLOOKUP(B1543,[1]Baseline!$D$3:$AZ$3,_xlfn.XLOOKUP(C1543,[1]Baseline!$B$4:$B$91,[1]Baseline!$D$4:$AZ$91))</f>
        <v>No Knowledge</v>
      </c>
      <c r="E1543" s="16"/>
      <c r="F1543" s="14">
        <v>0</v>
      </c>
      <c r="G1543" s="16">
        <v>4</v>
      </c>
      <c r="H1543" s="16">
        <f t="shared" si="24"/>
        <v>4</v>
      </c>
      <c r="I1543" s="13">
        <v>4</v>
      </c>
    </row>
    <row r="1544" spans="1:9">
      <c r="A1544" s="16" t="s">
        <v>33</v>
      </c>
      <c r="B1544" s="16" t="s">
        <v>98</v>
      </c>
      <c r="C1544" s="14" t="str">
        <f>VLOOKUP([1]Competence!$B58,[1]Competence!$B$12:$B$100,1,FALSE)</f>
        <v>Data Management</v>
      </c>
      <c r="D1544" s="13" t="str" cm="1">
        <f t="array" ref="D1544">_xlfn.XLOOKUP(B1544,[1]Baseline!$D$3:$AZ$3,_xlfn.XLOOKUP(C1544,[1]Baseline!$B$4:$B$91,[1]Baseline!$D$4:$AZ$91))</f>
        <v>No Knowledge</v>
      </c>
      <c r="E1544" s="16"/>
      <c r="F1544" s="14">
        <v>0</v>
      </c>
      <c r="G1544" s="16">
        <v>4</v>
      </c>
      <c r="H1544" s="16">
        <f t="shared" si="24"/>
        <v>4</v>
      </c>
      <c r="I1544" s="13">
        <v>4</v>
      </c>
    </row>
    <row r="1545" spans="1:9">
      <c r="A1545" s="16" t="s">
        <v>33</v>
      </c>
      <c r="B1545" s="16" t="s">
        <v>98</v>
      </c>
      <c r="C1545" s="14" t="str">
        <f>VLOOKUP([1]Competence!$B59,[1]Competence!$B$12:$B$100,1,FALSE)</f>
        <v>Data Modelling and Design</v>
      </c>
      <c r="D1545" s="13" t="str" cm="1">
        <f t="array" ref="D1545">_xlfn.XLOOKUP(B1545,[1]Baseline!$D$3:$AZ$3,_xlfn.XLOOKUP(C1545,[1]Baseline!$B$4:$B$91,[1]Baseline!$D$4:$AZ$91))</f>
        <v>No Knowledge</v>
      </c>
      <c r="E1545" s="16"/>
      <c r="F1545" s="14">
        <v>0</v>
      </c>
      <c r="G1545" s="16">
        <v>4</v>
      </c>
      <c r="H1545" s="16">
        <f t="shared" si="24"/>
        <v>4</v>
      </c>
      <c r="I1545" s="13">
        <v>4</v>
      </c>
    </row>
    <row r="1546" spans="1:9">
      <c r="A1546" s="16" t="s">
        <v>33</v>
      </c>
      <c r="B1546" s="16" t="s">
        <v>98</v>
      </c>
      <c r="C1546" s="14" t="str">
        <f>VLOOKUP([1]Competence!$B60,[1]Competence!$B$12:$B$100,1,FALSE)</f>
        <v>Data science</v>
      </c>
      <c r="D1546" s="13" t="str" cm="1">
        <f t="array" ref="D1546">_xlfn.XLOOKUP(B1546,[1]Baseline!$D$3:$AZ$3,_xlfn.XLOOKUP(C1546,[1]Baseline!$B$4:$B$91,[1]Baseline!$D$4:$AZ$91))</f>
        <v>No Knowledge</v>
      </c>
      <c r="E1546" s="16"/>
      <c r="F1546" s="14">
        <v>0</v>
      </c>
      <c r="G1546" s="16">
        <v>4</v>
      </c>
      <c r="H1546" s="16">
        <f t="shared" si="24"/>
        <v>4</v>
      </c>
      <c r="I1546" s="13">
        <v>4</v>
      </c>
    </row>
    <row r="1547" spans="1:9">
      <c r="A1547" s="16" t="s">
        <v>33</v>
      </c>
      <c r="B1547" s="16" t="s">
        <v>98</v>
      </c>
      <c r="C1547" s="14" t="str">
        <f>VLOOKUP([1]Competence!$B61,[1]Competence!$B$12:$B$100,1,FALSE)</f>
        <v>Data visualisation</v>
      </c>
      <c r="D1547" s="13" t="str" cm="1">
        <f t="array" ref="D1547">_xlfn.XLOOKUP(B1547,[1]Baseline!$D$3:$AZ$3,_xlfn.XLOOKUP(C1547,[1]Baseline!$B$4:$B$91,[1]Baseline!$D$4:$AZ$91))</f>
        <v>No Knowledge</v>
      </c>
      <c r="E1547" s="16"/>
      <c r="F1547" s="14">
        <v>0</v>
      </c>
      <c r="G1547" s="16">
        <v>4</v>
      </c>
      <c r="H1547" s="16">
        <f t="shared" si="24"/>
        <v>4</v>
      </c>
      <c r="I1547" s="13">
        <v>4</v>
      </c>
    </row>
    <row r="1548" spans="1:9">
      <c r="A1548" s="16" t="s">
        <v>33</v>
      </c>
      <c r="B1548" s="16" t="s">
        <v>98</v>
      </c>
      <c r="C1548" s="14" t="str">
        <f>VLOOKUP([1]Competence!$B62,[1]Competence!$B$12:$B$100,1,FALSE)</f>
        <v>Database Administration</v>
      </c>
      <c r="D1548" s="13" t="str" cm="1">
        <f t="array" ref="D1548">_xlfn.XLOOKUP(B1548,[1]Baseline!$D$3:$AZ$3,_xlfn.XLOOKUP(C1548,[1]Baseline!$B$4:$B$91,[1]Baseline!$D$4:$AZ$91))</f>
        <v>Practitioner</v>
      </c>
      <c r="E1548" s="16"/>
      <c r="F1548" s="14">
        <v>3</v>
      </c>
      <c r="G1548" s="16">
        <v>2</v>
      </c>
      <c r="H1548" s="16">
        <f t="shared" si="24"/>
        <v>-1</v>
      </c>
      <c r="I1548" s="13">
        <v>2</v>
      </c>
    </row>
    <row r="1549" spans="1:9">
      <c r="A1549" s="16" t="s">
        <v>33</v>
      </c>
      <c r="B1549" s="16" t="s">
        <v>98</v>
      </c>
      <c r="C1549" s="14" t="str">
        <f>VLOOKUP([1]Competence!$B63,[1]Competence!$B$12:$B$100,1,FALSE)</f>
        <v>Database Design</v>
      </c>
      <c r="D1549" s="13" t="str" cm="1">
        <f t="array" ref="D1549">_xlfn.XLOOKUP(B1549,[1]Baseline!$D$3:$AZ$3,_xlfn.XLOOKUP(C1549,[1]Baseline!$B$4:$B$91,[1]Baseline!$D$4:$AZ$91))</f>
        <v>No Knowledge</v>
      </c>
      <c r="E1549" s="16"/>
      <c r="F1549" s="14">
        <v>0</v>
      </c>
      <c r="G1549" s="16">
        <v>2</v>
      </c>
      <c r="H1549" s="16">
        <f t="shared" si="24"/>
        <v>2</v>
      </c>
      <c r="I1549" s="13">
        <v>2</v>
      </c>
    </row>
    <row r="1550" spans="1:9">
      <c r="A1550" s="16" t="s">
        <v>33</v>
      </c>
      <c r="B1550" s="16" t="s">
        <v>98</v>
      </c>
      <c r="C1550" s="14" t="str">
        <f>VLOOKUP([1]Competence!$B64,[1]Competence!$B$12:$B$100,1,FALSE)</f>
        <v>Hardware design</v>
      </c>
      <c r="D1550" s="13" t="str" cm="1">
        <f t="array" ref="D1550">_xlfn.XLOOKUP(B1550,[1]Baseline!$D$3:$AZ$3,_xlfn.XLOOKUP(C1550,[1]Baseline!$B$4:$B$91,[1]Baseline!$D$4:$AZ$91))</f>
        <v>Practitioner</v>
      </c>
      <c r="E1550" s="16"/>
      <c r="F1550" s="14">
        <v>3</v>
      </c>
      <c r="G1550" s="16">
        <v>1</v>
      </c>
      <c r="H1550" s="16">
        <f t="shared" si="24"/>
        <v>-2</v>
      </c>
      <c r="I1550" s="13">
        <v>1</v>
      </c>
    </row>
    <row r="1551" spans="1:9">
      <c r="A1551" s="16" t="s">
        <v>33</v>
      </c>
      <c r="B1551" s="16" t="s">
        <v>98</v>
      </c>
      <c r="C1551" s="14" t="str">
        <f>VLOOKUP([1]Competence!$B65,[1]Competence!$B$12:$B$100,1,FALSE)</f>
        <v>High Performance Computing</v>
      </c>
      <c r="D1551" s="13" t="str" cm="1">
        <f t="array" ref="D1551">_xlfn.XLOOKUP(B1551,[1]Baseline!$D$3:$AZ$3,_xlfn.XLOOKUP(C1551,[1]Baseline!$B$4:$B$91,[1]Baseline!$D$4:$AZ$91))</f>
        <v>Practitioner</v>
      </c>
      <c r="E1551" s="16"/>
      <c r="F1551" s="14">
        <v>3</v>
      </c>
      <c r="G1551" s="16">
        <v>2</v>
      </c>
      <c r="H1551" s="16">
        <f t="shared" si="24"/>
        <v>-1</v>
      </c>
      <c r="I1551" s="13">
        <v>2</v>
      </c>
    </row>
    <row r="1552" spans="1:9">
      <c r="A1552" s="16" t="s">
        <v>33</v>
      </c>
      <c r="B1552" s="16" t="s">
        <v>98</v>
      </c>
      <c r="C1552" s="14" t="str">
        <f>VLOOKUP([1]Competence!$B66,[1]Competence!$B$12:$B$100,1,FALSE)</f>
        <v>Research Computing</v>
      </c>
      <c r="D1552" s="13" t="str" cm="1">
        <f t="array" ref="D1552">_xlfn.XLOOKUP(B1552,[1]Baseline!$D$3:$AZ$3,_xlfn.XLOOKUP(C1552,[1]Baseline!$B$4:$B$91,[1]Baseline!$D$4:$AZ$91))</f>
        <v>Practitioner</v>
      </c>
      <c r="E1552" s="16"/>
      <c r="F1552" s="14">
        <v>3</v>
      </c>
      <c r="G1552" s="16">
        <v>4</v>
      </c>
      <c r="H1552" s="16">
        <f t="shared" si="24"/>
        <v>1</v>
      </c>
      <c r="I1552" s="13">
        <v>4</v>
      </c>
    </row>
    <row r="1553" spans="1:9">
      <c r="A1553" s="16" t="s">
        <v>33</v>
      </c>
      <c r="B1553" s="16" t="s">
        <v>98</v>
      </c>
      <c r="C1553" s="14" t="str">
        <f>VLOOKUP([1]Competence!$B67,[1]Competence!$B$12:$B$100,1,FALSE)</f>
        <v>Information assurance</v>
      </c>
      <c r="D1553" s="13" t="str" cm="1">
        <f t="array" ref="D1553">_xlfn.XLOOKUP(B1553,[1]Baseline!$D$3:$AZ$3,_xlfn.XLOOKUP(C1553,[1]Baseline!$B$4:$B$91,[1]Baseline!$D$4:$AZ$91))</f>
        <v>Expert</v>
      </c>
      <c r="E1553" s="16"/>
      <c r="F1553" s="14">
        <v>4</v>
      </c>
      <c r="G1553" s="16">
        <v>2</v>
      </c>
      <c r="H1553" s="16">
        <f t="shared" si="24"/>
        <v>-2</v>
      </c>
      <c r="I1553" s="13">
        <v>2</v>
      </c>
    </row>
    <row r="1554" spans="1:9">
      <c r="A1554" s="16" t="s">
        <v>33</v>
      </c>
      <c r="B1554" s="16" t="s">
        <v>98</v>
      </c>
      <c r="C1554" s="14" t="str">
        <f>VLOOKUP([1]Competence!$B68,[1]Competence!$B$12:$B$100,1,FALSE)</f>
        <v>Information management</v>
      </c>
      <c r="D1554" s="13" t="str" cm="1">
        <f t="array" ref="D1554">_xlfn.XLOOKUP(B1554,[1]Baseline!$D$3:$AZ$3,_xlfn.XLOOKUP(C1554,[1]Baseline!$B$4:$B$91,[1]Baseline!$D$4:$AZ$91))</f>
        <v>Practitioner</v>
      </c>
      <c r="E1554" s="16"/>
      <c r="F1554" s="14">
        <v>3</v>
      </c>
      <c r="G1554" s="16">
        <v>3</v>
      </c>
      <c r="H1554" s="16">
        <f t="shared" si="24"/>
        <v>0</v>
      </c>
      <c r="I1554" s="13">
        <v>3</v>
      </c>
    </row>
    <row r="1555" spans="1:9">
      <c r="A1555" s="16" t="s">
        <v>33</v>
      </c>
      <c r="B1555" s="16" t="s">
        <v>98</v>
      </c>
      <c r="C1555" s="14" t="str">
        <f>VLOOKUP([1]Competence!$B69,[1]Competence!$B$12:$B$100,1,FALSE)</f>
        <v>Infrastructure</v>
      </c>
      <c r="D1555" s="13" t="str" cm="1">
        <f t="array" ref="D1555">_xlfn.XLOOKUP(B1555,[1]Baseline!$D$3:$AZ$3,_xlfn.XLOOKUP(C1555,[1]Baseline!$B$4:$B$91,[1]Baseline!$D$4:$AZ$91))</f>
        <v>Practitioner</v>
      </c>
      <c r="E1555" s="16"/>
      <c r="F1555" s="14">
        <v>3</v>
      </c>
      <c r="G1555" s="16">
        <v>3</v>
      </c>
      <c r="H1555" s="16">
        <f t="shared" si="24"/>
        <v>0</v>
      </c>
      <c r="I1555" s="13">
        <v>3</v>
      </c>
    </row>
    <row r="1556" spans="1:9">
      <c r="A1556" s="16" t="s">
        <v>33</v>
      </c>
      <c r="B1556" s="16" t="s">
        <v>98</v>
      </c>
      <c r="C1556" s="14" t="str">
        <f>VLOOKUP([1]Competence!$B70,[1]Competence!$B$12:$B$100,1,FALSE)</f>
        <v>Network design</v>
      </c>
      <c r="D1556" s="13" t="str" cm="1">
        <f t="array" ref="D1556">_xlfn.XLOOKUP(B1556,[1]Baseline!$D$3:$AZ$3,_xlfn.XLOOKUP(C1556,[1]Baseline!$B$4:$B$91,[1]Baseline!$D$4:$AZ$91))</f>
        <v>Working</v>
      </c>
      <c r="E1556" s="16"/>
      <c r="F1556" s="14">
        <v>2</v>
      </c>
      <c r="G1556" s="16">
        <v>3</v>
      </c>
      <c r="H1556" s="16">
        <f t="shared" si="24"/>
        <v>1</v>
      </c>
      <c r="I1556" s="13">
        <v>3</v>
      </c>
    </row>
    <row r="1557" spans="1:9">
      <c r="A1557" s="16" t="s">
        <v>33</v>
      </c>
      <c r="B1557" s="16" t="s">
        <v>98</v>
      </c>
      <c r="C1557" s="14" t="str">
        <f>VLOOKUP([1]Competence!$B71,[1]Competence!$B$12:$B$100,1,FALSE)</f>
        <v>Network Analytics</v>
      </c>
      <c r="D1557" s="13" t="str" cm="1">
        <f t="array" ref="D1557">_xlfn.XLOOKUP(B1557,[1]Baseline!$D$3:$AZ$3,_xlfn.XLOOKUP(C1557,[1]Baseline!$B$4:$B$91,[1]Baseline!$D$4:$AZ$91))</f>
        <v>Working</v>
      </c>
      <c r="E1557" s="16"/>
      <c r="F1557" s="14">
        <v>2</v>
      </c>
      <c r="G1557" s="16">
        <v>3</v>
      </c>
      <c r="H1557" s="16">
        <f t="shared" si="24"/>
        <v>1</v>
      </c>
      <c r="I1557" s="13">
        <v>3</v>
      </c>
    </row>
    <row r="1558" spans="1:9">
      <c r="A1558" s="16" t="s">
        <v>33</v>
      </c>
      <c r="B1558" s="16" t="s">
        <v>98</v>
      </c>
      <c r="C1558" s="14" t="str">
        <f>VLOOKUP([1]Competence!$B72,[1]Competence!$B$12:$B$100,1,FALSE)</f>
        <v>Network support</v>
      </c>
      <c r="D1558" s="13" t="str" cm="1">
        <f t="array" ref="D1558">_xlfn.XLOOKUP(B1558,[1]Baseline!$D$3:$AZ$3,_xlfn.XLOOKUP(C1558,[1]Baseline!$B$4:$B$91,[1]Baseline!$D$4:$AZ$91))</f>
        <v>Working</v>
      </c>
      <c r="E1558" s="16"/>
      <c r="F1558" s="14">
        <v>2</v>
      </c>
      <c r="G1558" s="16">
        <v>3</v>
      </c>
      <c r="H1558" s="16">
        <f t="shared" si="24"/>
        <v>1</v>
      </c>
      <c r="I1558" s="13">
        <v>3</v>
      </c>
    </row>
    <row r="1559" spans="1:9">
      <c r="A1559" s="16" t="s">
        <v>33</v>
      </c>
      <c r="B1559" s="16" t="s">
        <v>98</v>
      </c>
      <c r="C1559" s="14" t="str">
        <f>VLOOKUP([1]Competence!$B73,[1]Competence!$B$12:$B$100,1,FALSE)</f>
        <v>Programming/software development</v>
      </c>
      <c r="D1559" s="13" t="str" cm="1">
        <f t="array" ref="D1559">_xlfn.XLOOKUP(B1559,[1]Baseline!$D$3:$AZ$3,_xlfn.XLOOKUP(C1559,[1]Baseline!$B$4:$B$91,[1]Baseline!$D$4:$AZ$91))</f>
        <v>Practitioner</v>
      </c>
      <c r="E1559" s="16"/>
      <c r="F1559" s="14">
        <v>3</v>
      </c>
      <c r="G1559" s="16">
        <v>4</v>
      </c>
      <c r="H1559" s="16">
        <f t="shared" si="24"/>
        <v>1</v>
      </c>
      <c r="I1559" s="13">
        <v>4</v>
      </c>
    </row>
    <row r="1560" spans="1:9" ht="30">
      <c r="A1560" s="16" t="s">
        <v>33</v>
      </c>
      <c r="B1560" s="16" t="s">
        <v>98</v>
      </c>
      <c r="C1560" s="14" t="str">
        <f>VLOOKUP([1]Competence!$B74,[1]Competence!$B$12:$B$100,1,FALSE)</f>
        <v>Real-time/embedded systems development</v>
      </c>
      <c r="D1560" s="13" t="str" cm="1">
        <f t="array" ref="D1560">_xlfn.XLOOKUP(B1560,[1]Baseline!$D$3:$AZ$3,_xlfn.XLOOKUP(C1560,[1]Baseline!$B$4:$B$91,[1]Baseline!$D$4:$AZ$91))</f>
        <v>Awareness</v>
      </c>
      <c r="E1560" s="16"/>
      <c r="F1560" s="14">
        <v>1</v>
      </c>
      <c r="G1560" s="16">
        <v>1</v>
      </c>
      <c r="H1560" s="16">
        <f t="shared" si="24"/>
        <v>0</v>
      </c>
      <c r="I1560" s="13">
        <v>1</v>
      </c>
    </row>
    <row r="1561" spans="1:9" ht="30">
      <c r="A1561" s="16" t="s">
        <v>33</v>
      </c>
      <c r="B1561" s="16" t="s">
        <v>98</v>
      </c>
      <c r="C1561" s="14" t="str">
        <f>VLOOKUP([1]Competence!$B75,[1]Competence!$B$12:$B$100,1,FALSE)</f>
        <v>Requirements definition and management</v>
      </c>
      <c r="D1561" s="13" t="str" cm="1">
        <f t="array" ref="D1561">_xlfn.XLOOKUP(B1561,[1]Baseline!$D$3:$AZ$3,_xlfn.XLOOKUP(C1561,[1]Baseline!$B$4:$B$91,[1]Baseline!$D$4:$AZ$91))</f>
        <v>Practitioner</v>
      </c>
      <c r="E1561" s="16"/>
      <c r="F1561" s="14">
        <v>3</v>
      </c>
      <c r="G1561" s="16">
        <v>1</v>
      </c>
      <c r="H1561" s="16">
        <f t="shared" si="24"/>
        <v>-2</v>
      </c>
      <c r="I1561" s="13">
        <v>1</v>
      </c>
    </row>
    <row r="1562" spans="1:9">
      <c r="A1562" s="16" t="s">
        <v>33</v>
      </c>
      <c r="B1562" s="16" t="s">
        <v>98</v>
      </c>
      <c r="C1562" s="14" t="str">
        <f>VLOOKUP([1]Competence!$B76,[1]Competence!$B$12:$B$100,1,FALSE)</f>
        <v>Software configuration</v>
      </c>
      <c r="D1562" s="13" t="str" cm="1">
        <f t="array" ref="D1562">_xlfn.XLOOKUP(B1562,[1]Baseline!$D$3:$AZ$3,_xlfn.XLOOKUP(C1562,[1]Baseline!$B$4:$B$91,[1]Baseline!$D$4:$AZ$91))</f>
        <v>Awareness</v>
      </c>
      <c r="E1562" s="16"/>
      <c r="F1562" s="14">
        <v>1</v>
      </c>
      <c r="G1562" s="16">
        <v>4</v>
      </c>
      <c r="H1562" s="16">
        <f t="shared" si="24"/>
        <v>3</v>
      </c>
      <c r="I1562" s="13">
        <v>4</v>
      </c>
    </row>
    <row r="1563" spans="1:9">
      <c r="A1563" s="16" t="s">
        <v>33</v>
      </c>
      <c r="B1563" s="16" t="s">
        <v>98</v>
      </c>
      <c r="C1563" s="14" t="str">
        <f>VLOOKUP([1]Competence!$B77,[1]Competence!$B$12:$B$100,1,FALSE)</f>
        <v>Software design</v>
      </c>
      <c r="D1563" s="13" t="str" cm="1">
        <f t="array" ref="D1563">_xlfn.XLOOKUP(B1563,[1]Baseline!$D$3:$AZ$3,_xlfn.XLOOKUP(C1563,[1]Baseline!$B$4:$B$91,[1]Baseline!$D$4:$AZ$91))</f>
        <v>Awareness</v>
      </c>
      <c r="E1563" s="16"/>
      <c r="F1563" s="14">
        <v>1</v>
      </c>
      <c r="G1563" s="16">
        <v>3</v>
      </c>
      <c r="H1563" s="16">
        <f t="shared" si="24"/>
        <v>2</v>
      </c>
      <c r="I1563" s="13">
        <v>3</v>
      </c>
    </row>
    <row r="1564" spans="1:9">
      <c r="A1564" s="16" t="s">
        <v>33</v>
      </c>
      <c r="B1564" s="16" t="s">
        <v>98</v>
      </c>
      <c r="C1564" s="14" t="str">
        <f>VLOOKUP([1]Competence!$B78,[1]Competence!$B$12:$B$100,1,FALSE)</f>
        <v>Solution architecture</v>
      </c>
      <c r="D1564" s="13" t="str" cm="1">
        <f t="array" ref="D1564">_xlfn.XLOOKUP(B1564,[1]Baseline!$D$3:$AZ$3,_xlfn.XLOOKUP(C1564,[1]Baseline!$B$4:$B$91,[1]Baseline!$D$4:$AZ$91))</f>
        <v>Practitioner</v>
      </c>
      <c r="E1564" s="16"/>
      <c r="F1564" s="14">
        <v>3</v>
      </c>
      <c r="G1564" s="16">
        <v>3</v>
      </c>
      <c r="H1564" s="16">
        <f t="shared" si="24"/>
        <v>0</v>
      </c>
      <c r="I1564" s="13">
        <v>3</v>
      </c>
    </row>
    <row r="1565" spans="1:9">
      <c r="A1565" s="16" t="s">
        <v>33</v>
      </c>
      <c r="B1565" s="16" t="s">
        <v>98</v>
      </c>
      <c r="C1565" s="14" t="str">
        <f>VLOOKUP([1]Competence!$B79,[1]Competence!$B$12:$B$100,1,FALSE)</f>
        <v>System software</v>
      </c>
      <c r="D1565" s="13" t="str" cm="1">
        <f t="array" ref="D1565">_xlfn.XLOOKUP(B1565,[1]Baseline!$D$3:$AZ$3,_xlfn.XLOOKUP(C1565,[1]Baseline!$B$4:$B$91,[1]Baseline!$D$4:$AZ$91))</f>
        <v>Expert</v>
      </c>
      <c r="E1565" s="16"/>
      <c r="F1565" s="14">
        <v>4</v>
      </c>
      <c r="G1565" s="16">
        <v>3</v>
      </c>
      <c r="H1565" s="16">
        <f t="shared" si="24"/>
        <v>-1</v>
      </c>
      <c r="I1565" s="13">
        <v>3</v>
      </c>
    </row>
    <row r="1566" spans="1:9" ht="30">
      <c r="A1566" s="16" t="s">
        <v>33</v>
      </c>
      <c r="B1566" s="16" t="s">
        <v>98</v>
      </c>
      <c r="C1566" s="14" t="str">
        <f>VLOOKUP([1]Competence!$B80,[1]Competence!$B$12:$B$100,1,FALSE)</f>
        <v>Systems and software life cycle engineering</v>
      </c>
      <c r="D1566" s="13" t="str" cm="1">
        <f t="array" ref="D1566">_xlfn.XLOOKUP(B1566,[1]Baseline!$D$3:$AZ$3,_xlfn.XLOOKUP(C1566,[1]Baseline!$B$4:$B$91,[1]Baseline!$D$4:$AZ$91))</f>
        <v>Expert</v>
      </c>
      <c r="E1566" s="16"/>
      <c r="F1566" s="14">
        <v>4</v>
      </c>
      <c r="G1566" s="16">
        <v>2</v>
      </c>
      <c r="H1566" s="16">
        <f t="shared" si="24"/>
        <v>-2</v>
      </c>
      <c r="I1566" s="13">
        <v>2</v>
      </c>
    </row>
    <row r="1567" spans="1:9">
      <c r="A1567" s="16" t="s">
        <v>33</v>
      </c>
      <c r="B1567" s="16" t="s">
        <v>98</v>
      </c>
      <c r="C1567" s="14" t="str">
        <f>VLOOKUP([1]Competence!$B81,[1]Competence!$B$12:$B$100,1,FALSE)</f>
        <v>Systems design</v>
      </c>
      <c r="D1567" s="13" t="str" cm="1">
        <f t="array" ref="D1567">_xlfn.XLOOKUP(B1567,[1]Baseline!$D$3:$AZ$3,_xlfn.XLOOKUP(C1567,[1]Baseline!$B$4:$B$91,[1]Baseline!$D$4:$AZ$91))</f>
        <v>Expert</v>
      </c>
      <c r="E1567" s="16"/>
      <c r="F1567" s="14">
        <v>4</v>
      </c>
      <c r="G1567" s="16">
        <v>3</v>
      </c>
      <c r="H1567" s="16">
        <f t="shared" si="24"/>
        <v>-1</v>
      </c>
      <c r="I1567" s="13">
        <v>3</v>
      </c>
    </row>
    <row r="1568" spans="1:9">
      <c r="A1568" s="16" t="s">
        <v>33</v>
      </c>
      <c r="B1568" s="16" t="s">
        <v>98</v>
      </c>
      <c r="C1568" s="14" t="str">
        <f>VLOOKUP([1]Competence!$B82,[1]Competence!$B$12:$B$100,1,FALSE)</f>
        <v>Systems development management</v>
      </c>
      <c r="D1568" s="13" t="str" cm="1">
        <f t="array" ref="D1568">_xlfn.XLOOKUP(B1568,[1]Baseline!$D$3:$AZ$3,_xlfn.XLOOKUP(C1568,[1]Baseline!$B$4:$B$91,[1]Baseline!$D$4:$AZ$91))</f>
        <v>Practitioner</v>
      </c>
      <c r="E1568" s="16"/>
      <c r="F1568" s="14">
        <v>3</v>
      </c>
      <c r="G1568" s="16">
        <v>2</v>
      </c>
      <c r="H1568" s="16">
        <f t="shared" si="24"/>
        <v>-1</v>
      </c>
      <c r="I1568" s="13">
        <v>2</v>
      </c>
    </row>
    <row r="1569" spans="1:9">
      <c r="A1569" s="16" t="s">
        <v>33</v>
      </c>
      <c r="B1569" s="16" t="s">
        <v>98</v>
      </c>
      <c r="C1569" s="14" t="str">
        <f>VLOOKUP([1]Competence!$B83,[1]Competence!$B$12:$B$100,1,FALSE)</f>
        <v>Systems installation and removal</v>
      </c>
      <c r="D1569" s="13" t="str" cm="1">
        <f t="array" ref="D1569">_xlfn.XLOOKUP(B1569,[1]Baseline!$D$3:$AZ$3,_xlfn.XLOOKUP(C1569,[1]Baseline!$B$4:$B$91,[1]Baseline!$D$4:$AZ$91))</f>
        <v>Expert</v>
      </c>
      <c r="E1569" s="16"/>
      <c r="F1569" s="14">
        <v>4</v>
      </c>
      <c r="G1569" s="16">
        <v>3</v>
      </c>
      <c r="H1569" s="16">
        <f t="shared" si="24"/>
        <v>-1</v>
      </c>
      <c r="I1569" s="13">
        <v>3</v>
      </c>
    </row>
    <row r="1570" spans="1:9">
      <c r="A1570" s="16" t="s">
        <v>33</v>
      </c>
      <c r="B1570" s="16" t="s">
        <v>98</v>
      </c>
      <c r="C1570" s="14" t="str">
        <f>VLOOKUP([1]Competence!$B84,[1]Competence!$B$12:$B$100,1,FALSE)</f>
        <v>Testing</v>
      </c>
      <c r="D1570" s="13" t="str" cm="1">
        <f t="array" ref="D1570">_xlfn.XLOOKUP(B1570,[1]Baseline!$D$3:$AZ$3,_xlfn.XLOOKUP(C1570,[1]Baseline!$B$4:$B$91,[1]Baseline!$D$4:$AZ$91))</f>
        <v>Practitioner</v>
      </c>
      <c r="E1570" s="16"/>
      <c r="F1570" s="14">
        <v>3</v>
      </c>
      <c r="G1570" s="16">
        <v>3</v>
      </c>
      <c r="H1570" s="16">
        <f t="shared" si="24"/>
        <v>0</v>
      </c>
      <c r="I1570" s="13">
        <v>3</v>
      </c>
    </row>
    <row r="1571" spans="1:9">
      <c r="A1571" s="16" t="s">
        <v>33</v>
      </c>
      <c r="B1571" s="16" t="s">
        <v>98</v>
      </c>
      <c r="C1571" s="14" t="str">
        <f>VLOOKUP([1]Competence!$B85,[1]Competence!$B$12:$B$100,1,FALSE)</f>
        <v>Innovation</v>
      </c>
      <c r="D1571" s="13" t="str" cm="1">
        <f t="array" ref="D1571">_xlfn.XLOOKUP(B1571,[1]Baseline!$D$3:$AZ$3,_xlfn.XLOOKUP(C1571,[1]Baseline!$B$4:$B$91,[1]Baseline!$D$4:$AZ$91))</f>
        <v>Expert</v>
      </c>
      <c r="E1571" s="16"/>
      <c r="F1571" s="14">
        <v>4</v>
      </c>
      <c r="G1571" s="16">
        <v>4</v>
      </c>
      <c r="H1571" s="16">
        <f t="shared" si="24"/>
        <v>0</v>
      </c>
      <c r="I1571" s="13">
        <v>4</v>
      </c>
    </row>
    <row r="1572" spans="1:9">
      <c r="A1572" s="16" t="s">
        <v>33</v>
      </c>
      <c r="B1572" s="16" t="s">
        <v>98</v>
      </c>
      <c r="C1572" s="14" t="str">
        <f>VLOOKUP([1]Competence!$B86,[1]Competence!$B$12:$B$100,1,FALSE)</f>
        <v>Specialist Advice</v>
      </c>
      <c r="D1572" s="13" t="str" cm="1">
        <f t="array" ref="D1572">_xlfn.XLOOKUP(B1572,[1]Baseline!$D$3:$AZ$3,_xlfn.XLOOKUP(C1572,[1]Baseline!$B$4:$B$91,[1]Baseline!$D$4:$AZ$91))</f>
        <v>Expert</v>
      </c>
      <c r="E1572" s="16"/>
      <c r="F1572" s="14">
        <v>4</v>
      </c>
      <c r="G1572" s="16">
        <v>4</v>
      </c>
      <c r="H1572" s="16">
        <f t="shared" si="24"/>
        <v>0</v>
      </c>
      <c r="I1572" s="13">
        <v>4</v>
      </c>
    </row>
    <row r="1573" spans="1:9">
      <c r="A1573" s="16" t="s">
        <v>33</v>
      </c>
      <c r="B1573" s="16" t="s">
        <v>98</v>
      </c>
      <c r="C1573" s="14" t="str">
        <f>VLOOKUP([1]Competence!$B87,[1]Competence!$B$12:$B$100,1,FALSE)</f>
        <v>Emerging technology monitoring</v>
      </c>
      <c r="D1573" s="13" t="str" cm="1">
        <f t="array" ref="D1573">_xlfn.XLOOKUP(B1573,[1]Baseline!$D$3:$AZ$3,_xlfn.XLOOKUP(C1573,[1]Baseline!$B$4:$B$91,[1]Baseline!$D$4:$AZ$91))</f>
        <v>Practitioner</v>
      </c>
      <c r="E1573" s="16"/>
      <c r="F1573" s="14">
        <v>3</v>
      </c>
      <c r="G1573" s="16">
        <v>3</v>
      </c>
      <c r="H1573" s="16">
        <f t="shared" si="24"/>
        <v>0</v>
      </c>
      <c r="I1573" s="13">
        <v>3</v>
      </c>
    </row>
    <row r="1574" spans="1:9">
      <c r="A1574" s="16" t="s">
        <v>33</v>
      </c>
      <c r="B1574" s="16" t="s">
        <v>98</v>
      </c>
      <c r="C1574" s="14" t="str">
        <f>VLOOKUP([1]Competence!$B88,[1]Competence!$B$12:$B$100,1,FALSE)</f>
        <v>Systems integration and build</v>
      </c>
      <c r="D1574" s="13" t="str" cm="1">
        <f t="array" ref="D1574">_xlfn.XLOOKUP(B1574,[1]Baseline!$D$3:$AZ$3,_xlfn.XLOOKUP(C1574,[1]Baseline!$B$4:$B$91,[1]Baseline!$D$4:$AZ$91))</f>
        <v>Working</v>
      </c>
      <c r="E1574" s="16"/>
      <c r="F1574" s="14">
        <v>2</v>
      </c>
      <c r="G1574" s="16">
        <v>2</v>
      </c>
      <c r="H1574" s="16">
        <f t="shared" si="24"/>
        <v>0</v>
      </c>
      <c r="I1574" s="13">
        <v>2</v>
      </c>
    </row>
    <row r="1575" spans="1:9">
      <c r="A1575" s="16" t="s">
        <v>33</v>
      </c>
      <c r="B1575" s="16" t="s">
        <v>98</v>
      </c>
      <c r="C1575" s="14" t="str">
        <f>VLOOKUP([1]Competence!$B89,[1]Competence!$B$12:$B$100,1,FALSE)</f>
        <v>Audio Visual</v>
      </c>
      <c r="D1575" s="13" t="str" cm="1">
        <f t="array" ref="D1575">_xlfn.XLOOKUP(B1575,[1]Baseline!$D$3:$AZ$3,_xlfn.XLOOKUP(C1575,[1]Baseline!$B$4:$B$91,[1]Baseline!$D$4:$AZ$91))</f>
        <v>No Knowledge</v>
      </c>
      <c r="E1575" s="16"/>
      <c r="F1575" s="14">
        <v>0</v>
      </c>
      <c r="G1575" s="16">
        <v>1</v>
      </c>
      <c r="H1575" s="16">
        <f t="shared" si="24"/>
        <v>1</v>
      </c>
      <c r="I1575" s="13">
        <v>1</v>
      </c>
    </row>
    <row r="1576" spans="1:9">
      <c r="A1576" s="16" t="s">
        <v>33</v>
      </c>
      <c r="B1576" s="16" t="s">
        <v>98</v>
      </c>
      <c r="C1576" s="14" t="str">
        <f>VLOOKUP([1]Competence!$B90,[1]Competence!$B$12:$B$100,1,FALSE)</f>
        <v>Augmented Reality</v>
      </c>
      <c r="D1576" s="13" t="str" cm="1">
        <f t="array" ref="D1576">_xlfn.XLOOKUP(B1576,[1]Baseline!$D$3:$AZ$3,_xlfn.XLOOKUP(C1576,[1]Baseline!$B$4:$B$91,[1]Baseline!$D$4:$AZ$91))</f>
        <v>No Knowledge</v>
      </c>
      <c r="E1576" s="16"/>
      <c r="F1576" s="14">
        <v>0</v>
      </c>
      <c r="G1576" s="16">
        <v>0</v>
      </c>
      <c r="H1576" s="16">
        <f t="shared" si="24"/>
        <v>0</v>
      </c>
      <c r="I1576" s="13">
        <v>0</v>
      </c>
    </row>
    <row r="1577" spans="1:9">
      <c r="A1577" s="16" t="s">
        <v>33</v>
      </c>
      <c r="B1577" s="16" t="s">
        <v>98</v>
      </c>
      <c r="C1577" s="14" t="str">
        <f>VLOOKUP([1]Competence!$B91,[1]Competence!$B$12:$B$100,1,FALSE)</f>
        <v>Benefits management</v>
      </c>
      <c r="D1577" s="13" t="str" cm="1">
        <f t="array" ref="D1577">_xlfn.XLOOKUP(B1577,[1]Baseline!$D$3:$AZ$3,_xlfn.XLOOKUP(C1577,[1]Baseline!$B$4:$B$91,[1]Baseline!$D$4:$AZ$91))</f>
        <v>Working</v>
      </c>
      <c r="E1577" s="16"/>
      <c r="F1577" s="14">
        <v>2</v>
      </c>
      <c r="G1577" s="16">
        <v>0</v>
      </c>
      <c r="H1577" s="16">
        <f t="shared" si="24"/>
        <v>-2</v>
      </c>
      <c r="I1577" s="13">
        <v>0</v>
      </c>
    </row>
    <row r="1578" spans="1:9">
      <c r="A1578" s="16" t="s">
        <v>33</v>
      </c>
      <c r="B1578" s="16" t="s">
        <v>98</v>
      </c>
      <c r="C1578" s="14" t="str">
        <f>VLOOKUP([1]Competence!$B92,[1]Competence!$B$12:$B$100,1,FALSE)</f>
        <v>Business administration</v>
      </c>
      <c r="D1578" s="13" t="str" cm="1">
        <f t="array" ref="D1578">_xlfn.XLOOKUP(B1578,[1]Baseline!$D$3:$AZ$3,_xlfn.XLOOKUP(C1578,[1]Baseline!$B$4:$B$91,[1]Baseline!$D$4:$AZ$91))</f>
        <v>Working</v>
      </c>
      <c r="E1578" s="16"/>
      <c r="F1578" s="14">
        <v>2</v>
      </c>
      <c r="G1578" s="16">
        <v>0</v>
      </c>
      <c r="H1578" s="16">
        <f t="shared" si="24"/>
        <v>-2</v>
      </c>
      <c r="I1578" s="13">
        <v>0</v>
      </c>
    </row>
    <row r="1579" spans="1:9">
      <c r="A1579" s="16" t="s">
        <v>33</v>
      </c>
      <c r="B1579" s="16" t="s">
        <v>98</v>
      </c>
      <c r="C1579" s="14" t="str">
        <f>VLOOKUP([1]Competence!$B93,[1]Competence!$B$12:$B$100,1,FALSE)</f>
        <v>Business intelligence</v>
      </c>
      <c r="D1579" s="13" t="str" cm="1">
        <f t="array" ref="D1579">_xlfn.XLOOKUP(B1579,[1]Baseline!$D$3:$AZ$3,_xlfn.XLOOKUP(C1579,[1]Baseline!$B$4:$B$91,[1]Baseline!$D$4:$AZ$91))</f>
        <v>Working</v>
      </c>
      <c r="E1579" s="16"/>
      <c r="F1579" s="14">
        <v>2</v>
      </c>
      <c r="G1579" s="16">
        <v>0</v>
      </c>
      <c r="H1579" s="16">
        <f t="shared" si="24"/>
        <v>-2</v>
      </c>
      <c r="I1579" s="13">
        <v>0</v>
      </c>
    </row>
    <row r="1580" spans="1:9">
      <c r="A1580" s="16" t="s">
        <v>33</v>
      </c>
      <c r="B1580" s="16" t="s">
        <v>98</v>
      </c>
      <c r="C1580" s="14" t="str">
        <f>VLOOKUP([1]Competence!$B94,[1]Competence!$B$12:$B$100,1,FALSE)</f>
        <v>Business modelling</v>
      </c>
      <c r="D1580" s="13" t="str" cm="1">
        <f t="array" ref="D1580">_xlfn.XLOOKUP(B1580,[1]Baseline!$D$3:$AZ$3,_xlfn.XLOOKUP(C1580,[1]Baseline!$B$4:$B$91,[1]Baseline!$D$4:$AZ$91))</f>
        <v>No Knowledge</v>
      </c>
      <c r="E1580" s="16"/>
      <c r="F1580" s="14">
        <v>0</v>
      </c>
      <c r="G1580" s="16">
        <v>0</v>
      </c>
      <c r="H1580" s="16">
        <f t="shared" si="24"/>
        <v>0</v>
      </c>
      <c r="I1580" s="13">
        <v>0</v>
      </c>
    </row>
    <row r="1581" spans="1:9">
      <c r="A1581" s="16" t="s">
        <v>33</v>
      </c>
      <c r="B1581" s="16" t="s">
        <v>98</v>
      </c>
      <c r="C1581" s="14" t="str">
        <f>VLOOKUP([1]Competence!$B95,[1]Competence!$B$12:$B$100,1,FALSE)</f>
        <v>Business process improvement</v>
      </c>
      <c r="D1581" s="13" t="str" cm="1">
        <f t="array" ref="D1581">_xlfn.XLOOKUP(B1581,[1]Baseline!$D$3:$AZ$3,_xlfn.XLOOKUP(C1581,[1]Baseline!$B$4:$B$91,[1]Baseline!$D$4:$AZ$91))</f>
        <v>Working</v>
      </c>
      <c r="E1581" s="16"/>
      <c r="F1581" s="14">
        <v>2</v>
      </c>
      <c r="G1581" s="16">
        <v>0</v>
      </c>
      <c r="H1581" s="16">
        <f t="shared" si="24"/>
        <v>-2</v>
      </c>
      <c r="I1581" s="13">
        <v>0</v>
      </c>
    </row>
    <row r="1582" spans="1:9">
      <c r="A1582" s="16" t="s">
        <v>33</v>
      </c>
      <c r="B1582" s="16" t="s">
        <v>98</v>
      </c>
      <c r="C1582" s="14" t="str">
        <f>VLOOKUP([1]Competence!$B96,[1]Competence!$B$12:$B$100,1,FALSE)</f>
        <v>Business situation analysis</v>
      </c>
      <c r="D1582" s="13" t="str" cm="1">
        <f t="array" ref="D1582">_xlfn.XLOOKUP(B1582,[1]Baseline!$D$3:$AZ$3,_xlfn.XLOOKUP(C1582,[1]Baseline!$B$4:$B$91,[1]Baseline!$D$4:$AZ$91))</f>
        <v>Working</v>
      </c>
      <c r="E1582" s="16"/>
      <c r="F1582" s="14">
        <v>2</v>
      </c>
      <c r="G1582" s="16">
        <v>0</v>
      </c>
      <c r="H1582" s="16">
        <f t="shared" si="24"/>
        <v>-2</v>
      </c>
      <c r="I1582" s="13">
        <v>0</v>
      </c>
    </row>
    <row r="1583" spans="1:9">
      <c r="A1583" s="16" t="s">
        <v>33</v>
      </c>
      <c r="B1583" s="16" t="s">
        <v>98</v>
      </c>
      <c r="C1583" s="14" t="str">
        <f>VLOOKUP([1]Competence!$B97,[1]Competence!$B$12:$B$100,1,FALSE)</f>
        <v>Programme management</v>
      </c>
      <c r="D1583" s="13" t="str" cm="1">
        <f t="array" ref="D1583">_xlfn.XLOOKUP(B1583,[1]Baseline!$D$3:$AZ$3,_xlfn.XLOOKUP(C1583,[1]Baseline!$B$4:$B$91,[1]Baseline!$D$4:$AZ$91))</f>
        <v>Working</v>
      </c>
      <c r="E1583" s="16"/>
      <c r="F1583" s="14">
        <v>2</v>
      </c>
      <c r="G1583" s="16">
        <v>0</v>
      </c>
      <c r="H1583" s="16">
        <f t="shared" si="24"/>
        <v>-2</v>
      </c>
      <c r="I1583" s="13">
        <v>0</v>
      </c>
    </row>
    <row r="1584" spans="1:9">
      <c r="A1584" s="16" t="s">
        <v>33</v>
      </c>
      <c r="B1584" s="16" t="s">
        <v>98</v>
      </c>
      <c r="C1584" s="14" t="str">
        <f>VLOOKUP([1]Competence!$B98,[1]Competence!$B$12:$B$100,1,FALSE)</f>
        <v>Project management</v>
      </c>
      <c r="D1584" s="13" t="str" cm="1">
        <f t="array" ref="D1584">_xlfn.XLOOKUP(B1584,[1]Baseline!$D$3:$AZ$3,_xlfn.XLOOKUP(C1584,[1]Baseline!$B$4:$B$91,[1]Baseline!$D$4:$AZ$91))</f>
        <v>Working</v>
      </c>
      <c r="E1584" s="16"/>
      <c r="F1584" s="14">
        <v>2</v>
      </c>
      <c r="G1584" s="16">
        <v>1</v>
      </c>
      <c r="H1584" s="16">
        <f t="shared" si="24"/>
        <v>-1</v>
      </c>
      <c r="I1584" s="13">
        <v>1</v>
      </c>
    </row>
    <row r="1585" spans="1:10">
      <c r="A1585" s="16" t="s">
        <v>33</v>
      </c>
      <c r="B1585" s="16" t="s">
        <v>98</v>
      </c>
      <c r="C1585" s="14" t="str">
        <f>VLOOKUP([1]Competence!$B99,[1]Competence!$B$12:$B$100,1,FALSE)</f>
        <v>Quality assurance</v>
      </c>
      <c r="D1585" s="13" t="str" cm="1">
        <f t="array" ref="D1585">_xlfn.XLOOKUP(B1585,[1]Baseline!$D$3:$AZ$3,_xlfn.XLOOKUP(C1585,[1]Baseline!$B$4:$B$91,[1]Baseline!$D$4:$AZ$91))</f>
        <v>Practitioner</v>
      </c>
      <c r="E1585" s="16"/>
      <c r="F1585" s="14">
        <v>3</v>
      </c>
      <c r="G1585" s="16">
        <v>0</v>
      </c>
      <c r="H1585" s="16">
        <f t="shared" si="24"/>
        <v>-3</v>
      </c>
      <c r="I1585" s="13">
        <v>0</v>
      </c>
    </row>
    <row r="1586" spans="1:10">
      <c r="A1586" s="13" t="s">
        <v>9</v>
      </c>
      <c r="B1586" s="13" t="s">
        <v>379</v>
      </c>
      <c r="C1586" s="13" t="str">
        <f>VLOOKUP([1]Competence!$B12,[1]Competence!$B$12:$B$100,1,FALSE)</f>
        <v>Asset Management</v>
      </c>
      <c r="D1586" s="13" t="e" cm="1">
        <f t="array" ref="D1586">_xlfn.XLOOKUP(B1586,[1]Baseline!$D$3:$AZ$3,_xlfn.XLOOKUP(C1586,[1]Baseline!$B$4:$B$91,[1]Baseline!$D$4:$AZ$91))</f>
        <v>#N/A</v>
      </c>
      <c r="E1586" s="13" t="s">
        <v>376</v>
      </c>
      <c r="F1586" s="13">
        <v>3</v>
      </c>
      <c r="G1586" s="153">
        <v>3</v>
      </c>
      <c r="H1586" s="16">
        <f t="shared" si="24"/>
        <v>0</v>
      </c>
      <c r="I1586" s="13">
        <v>3</v>
      </c>
      <c r="J1586" s="160"/>
    </row>
    <row r="1587" spans="1:10">
      <c r="A1587" s="13" t="s">
        <v>9</v>
      </c>
      <c r="B1587" s="13" t="s">
        <v>379</v>
      </c>
      <c r="C1587" s="13" t="str">
        <f>VLOOKUP([1]Competence!$B13,[1]Competence!$B$12:$B$100,1,FALSE)</f>
        <v>Change Control</v>
      </c>
      <c r="D1587" s="13" t="e" cm="1">
        <f t="array" ref="D1587">_xlfn.XLOOKUP(B1587,[1]Baseline!$D$3:$AZ$3,_xlfn.XLOOKUP(C1587,[1]Baseline!$B$4:$B$91,[1]Baseline!$D$4:$AZ$91))</f>
        <v>#N/A</v>
      </c>
      <c r="E1587" s="13" t="s">
        <v>376</v>
      </c>
      <c r="F1587" s="13">
        <v>3</v>
      </c>
      <c r="G1587" s="153">
        <v>2</v>
      </c>
      <c r="H1587" s="16">
        <f t="shared" si="24"/>
        <v>-1</v>
      </c>
      <c r="I1587" s="13">
        <v>2</v>
      </c>
      <c r="J1587" s="160"/>
    </row>
    <row r="1588" spans="1:10">
      <c r="A1588" s="13" t="s">
        <v>9</v>
      </c>
      <c r="B1588" s="13" t="s">
        <v>379</v>
      </c>
      <c r="C1588" s="13" t="str">
        <f>VLOOKUP([1]Competence!$B14,[1]Competence!$B$12:$B$100,1,FALSE)</f>
        <v>Customer Service Support</v>
      </c>
      <c r="D1588" s="13" t="e" cm="1">
        <f t="array" ref="D1588">_xlfn.XLOOKUP(B1588,[1]Baseline!$D$3:$AZ$3,_xlfn.XLOOKUP(C1588,[1]Baseline!$B$4:$B$91,[1]Baseline!$D$4:$AZ$91))</f>
        <v>#N/A</v>
      </c>
      <c r="E1588" s="13" t="s">
        <v>376</v>
      </c>
      <c r="F1588" s="13">
        <v>3</v>
      </c>
      <c r="G1588" s="153">
        <v>3</v>
      </c>
      <c r="H1588" s="16">
        <f t="shared" si="24"/>
        <v>0</v>
      </c>
      <c r="I1588" s="13">
        <v>3</v>
      </c>
      <c r="J1588" s="160"/>
    </row>
    <row r="1589" spans="1:10">
      <c r="A1589" s="13" t="s">
        <v>9</v>
      </c>
      <c r="B1589" s="13" t="s">
        <v>379</v>
      </c>
      <c r="C1589" s="13" t="str">
        <f>VLOOKUP([1]Competence!$B15,[1]Competence!$B$12:$B$100,1,FALSE)</f>
        <v>Incident management</v>
      </c>
      <c r="D1589" s="13" t="e" cm="1">
        <f t="array" ref="D1589">_xlfn.XLOOKUP(B1589,[1]Baseline!$D$3:$AZ$3,_xlfn.XLOOKUP(C1589,[1]Baseline!$B$4:$B$91,[1]Baseline!$D$4:$AZ$91))</f>
        <v>#N/A</v>
      </c>
      <c r="E1589" s="13" t="s">
        <v>377</v>
      </c>
      <c r="F1589" s="13">
        <v>3</v>
      </c>
      <c r="G1589" s="153">
        <v>3</v>
      </c>
      <c r="H1589" s="16">
        <f t="shared" si="24"/>
        <v>0</v>
      </c>
      <c r="I1589" s="13">
        <v>3</v>
      </c>
      <c r="J1589" s="160"/>
    </row>
    <row r="1590" spans="1:10">
      <c r="A1590" s="13" t="s">
        <v>9</v>
      </c>
      <c r="B1590" s="13" t="s">
        <v>379</v>
      </c>
      <c r="C1590" s="13" t="str">
        <f>VLOOKUP([1]Competence!$B16,[1]Competence!$B$12:$B$100,1,FALSE)</f>
        <v>Information security</v>
      </c>
      <c r="D1590" s="13" t="e" cm="1">
        <f t="array" ref="D1590">_xlfn.XLOOKUP(B1590,[1]Baseline!$D$3:$AZ$3,_xlfn.XLOOKUP(C1590,[1]Baseline!$B$4:$B$91,[1]Baseline!$D$4:$AZ$91))</f>
        <v>#N/A</v>
      </c>
      <c r="E1590" s="13" t="s">
        <v>377</v>
      </c>
      <c r="F1590" s="13">
        <v>2</v>
      </c>
      <c r="G1590" s="153">
        <v>2</v>
      </c>
      <c r="H1590" s="16">
        <f t="shared" si="24"/>
        <v>0</v>
      </c>
      <c r="I1590" s="13">
        <v>2</v>
      </c>
      <c r="J1590" s="160"/>
    </row>
    <row r="1591" spans="1:10">
      <c r="A1591" s="13" t="s">
        <v>9</v>
      </c>
      <c r="B1591" s="13" t="s">
        <v>379</v>
      </c>
      <c r="C1591" s="13" t="str">
        <f>VLOOKUP([1]Competence!$B17,[1]Competence!$B$12:$B$100,1,FALSE)</f>
        <v>Personal data protection</v>
      </c>
      <c r="D1591" s="13" t="e" cm="1">
        <f t="array" ref="D1591">_xlfn.XLOOKUP(B1591,[1]Baseline!$D$3:$AZ$3,_xlfn.XLOOKUP(C1591,[1]Baseline!$B$4:$B$91,[1]Baseline!$D$4:$AZ$91))</f>
        <v>#N/A</v>
      </c>
      <c r="E1591" s="13" t="s">
        <v>375</v>
      </c>
      <c r="F1591" s="13">
        <v>3</v>
      </c>
      <c r="G1591" s="153">
        <v>3</v>
      </c>
      <c r="H1591" s="16">
        <f t="shared" si="24"/>
        <v>0</v>
      </c>
      <c r="I1591" s="13">
        <v>3</v>
      </c>
      <c r="J1591" s="160"/>
    </row>
    <row r="1592" spans="1:10">
      <c r="A1592" s="13" t="s">
        <v>9</v>
      </c>
      <c r="B1592" s="13" t="s">
        <v>379</v>
      </c>
      <c r="C1592" s="13" t="str">
        <f>VLOOKUP([1]Competence!$B18,[1]Competence!$B$12:$B$100,1,FALSE)</f>
        <v>Problem management</v>
      </c>
      <c r="D1592" s="13" t="e" cm="1">
        <f t="array" ref="D1592">_xlfn.XLOOKUP(B1592,[1]Baseline!$D$3:$AZ$3,_xlfn.XLOOKUP(C1592,[1]Baseline!$B$4:$B$91,[1]Baseline!$D$4:$AZ$91))</f>
        <v>#N/A</v>
      </c>
      <c r="E1592" s="13" t="s">
        <v>375</v>
      </c>
      <c r="F1592" s="13">
        <v>3</v>
      </c>
      <c r="G1592" s="153">
        <v>3</v>
      </c>
      <c r="H1592" s="16">
        <f t="shared" si="24"/>
        <v>0</v>
      </c>
      <c r="I1592" s="13">
        <v>3</v>
      </c>
      <c r="J1592" s="160"/>
    </row>
    <row r="1593" spans="1:10">
      <c r="A1593" s="13" t="s">
        <v>9</v>
      </c>
      <c r="B1593" s="13" t="s">
        <v>379</v>
      </c>
      <c r="C1593" s="13" t="str">
        <f>VLOOKUP([1]Competence!$B19,[1]Competence!$B$12:$B$100,1,FALSE)</f>
        <v>Service catalogue management</v>
      </c>
      <c r="D1593" s="13" t="e" cm="1">
        <f t="array" ref="D1593">_xlfn.XLOOKUP(B1593,[1]Baseline!$D$3:$AZ$3,_xlfn.XLOOKUP(C1593,[1]Baseline!$B$4:$B$91,[1]Baseline!$D$4:$AZ$91))</f>
        <v>#N/A</v>
      </c>
      <c r="E1593" s="13" t="s">
        <v>375</v>
      </c>
      <c r="F1593" s="13">
        <v>2</v>
      </c>
      <c r="G1593" s="153">
        <v>3</v>
      </c>
      <c r="H1593" s="16">
        <f t="shared" si="24"/>
        <v>1</v>
      </c>
      <c r="I1593" s="13">
        <v>3</v>
      </c>
      <c r="J1593" s="160"/>
    </row>
    <row r="1594" spans="1:10">
      <c r="A1594" s="13" t="s">
        <v>9</v>
      </c>
      <c r="B1594" s="13" t="s">
        <v>379</v>
      </c>
      <c r="C1594" s="13" t="str">
        <f>VLOOKUP([1]Competence!$B20,[1]Competence!$B$12:$B$100,1,FALSE)</f>
        <v>Service level management</v>
      </c>
      <c r="D1594" s="13" t="e" cm="1">
        <f t="array" ref="D1594">_xlfn.XLOOKUP(B1594,[1]Baseline!$D$3:$AZ$3,_xlfn.XLOOKUP(C1594,[1]Baseline!$B$4:$B$91,[1]Baseline!$D$4:$AZ$91))</f>
        <v>#N/A</v>
      </c>
      <c r="E1594" s="13" t="s">
        <v>375</v>
      </c>
      <c r="F1594" s="13">
        <v>3</v>
      </c>
      <c r="G1594" s="153">
        <v>2</v>
      </c>
      <c r="H1594" s="16">
        <f t="shared" si="24"/>
        <v>-1</v>
      </c>
      <c r="I1594" s="13">
        <v>2</v>
      </c>
      <c r="J1594" s="160"/>
    </row>
    <row r="1595" spans="1:10">
      <c r="A1595" s="13" t="s">
        <v>9</v>
      </c>
      <c r="B1595" s="13" t="s">
        <v>379</v>
      </c>
      <c r="C1595" s="13" t="str">
        <f>VLOOKUP([1]Competence!$B21,[1]Competence!$B$12:$B$100,1,FALSE)</f>
        <v>Availability Management</v>
      </c>
      <c r="D1595" s="13" t="e" cm="1">
        <f t="array" ref="D1595">_xlfn.XLOOKUP(B1595,[1]Baseline!$D$3:$AZ$3,_xlfn.XLOOKUP(C1595,[1]Baseline!$B$4:$B$91,[1]Baseline!$D$4:$AZ$91))</f>
        <v>#N/A</v>
      </c>
      <c r="E1595" s="13" t="s">
        <v>373</v>
      </c>
      <c r="F1595" s="13">
        <v>2</v>
      </c>
      <c r="G1595" s="153">
        <v>2</v>
      </c>
      <c r="H1595" s="16">
        <f t="shared" si="24"/>
        <v>0</v>
      </c>
      <c r="I1595" s="13">
        <v>2</v>
      </c>
      <c r="J1595" s="160"/>
    </row>
    <row r="1596" spans="1:10">
      <c r="A1596" s="13" t="s">
        <v>9</v>
      </c>
      <c r="B1596" s="13" t="s">
        <v>379</v>
      </c>
      <c r="C1596" s="13" t="str">
        <f>VLOOKUP([1]Competence!$B22,[1]Competence!$B$12:$B$100,1,FALSE)</f>
        <v>Capacity management</v>
      </c>
      <c r="D1596" s="13" t="e" cm="1">
        <f t="array" ref="D1596">_xlfn.XLOOKUP(B1596,[1]Baseline!$D$3:$AZ$3,_xlfn.XLOOKUP(C1596,[1]Baseline!$B$4:$B$91,[1]Baseline!$D$4:$AZ$91))</f>
        <v>#N/A</v>
      </c>
      <c r="E1596" s="13" t="s">
        <v>376</v>
      </c>
      <c r="F1596" s="13">
        <v>3</v>
      </c>
      <c r="G1596" s="153">
        <v>1</v>
      </c>
      <c r="H1596" s="16">
        <f t="shared" si="24"/>
        <v>-2</v>
      </c>
      <c r="I1596" s="13">
        <v>1</v>
      </c>
      <c r="J1596" s="160"/>
    </row>
    <row r="1597" spans="1:10">
      <c r="A1597" s="13" t="s">
        <v>9</v>
      </c>
      <c r="B1597" s="13" t="s">
        <v>379</v>
      </c>
      <c r="C1597" s="13" t="str">
        <f>VLOOKUP([1]Competence!$B23,[1]Competence!$B$12:$B$100,1,FALSE)</f>
        <v>Configuration Management</v>
      </c>
      <c r="D1597" s="13" t="e" cm="1">
        <f t="array" ref="D1597">_xlfn.XLOOKUP(B1597,[1]Baseline!$D$3:$AZ$3,_xlfn.XLOOKUP(C1597,[1]Baseline!$B$4:$B$91,[1]Baseline!$D$4:$AZ$91))</f>
        <v>#N/A</v>
      </c>
      <c r="E1597" s="13" t="s">
        <v>376</v>
      </c>
      <c r="F1597" s="13">
        <v>3</v>
      </c>
      <c r="G1597" s="153">
        <v>1</v>
      </c>
      <c r="H1597" s="16">
        <f t="shared" si="24"/>
        <v>-2</v>
      </c>
      <c r="I1597" s="13">
        <v>1</v>
      </c>
      <c r="J1597" s="160"/>
    </row>
    <row r="1598" spans="1:10">
      <c r="A1598" s="13" t="s">
        <v>9</v>
      </c>
      <c r="B1598" s="13" t="s">
        <v>379</v>
      </c>
      <c r="C1598" s="13" t="str">
        <f>VLOOKUP([1]Competence!$B24,[1]Competence!$B$12:$B$100,1,FALSE)</f>
        <v>Continuity Management</v>
      </c>
      <c r="D1598" s="13" t="e" cm="1">
        <f t="array" ref="D1598">_xlfn.XLOOKUP(B1598,[1]Baseline!$D$3:$AZ$3,_xlfn.XLOOKUP(C1598,[1]Baseline!$B$4:$B$91,[1]Baseline!$D$4:$AZ$91))</f>
        <v>#N/A</v>
      </c>
      <c r="E1598" s="13" t="s">
        <v>376</v>
      </c>
      <c r="F1598" s="13">
        <v>3</v>
      </c>
      <c r="G1598" s="153">
        <v>1</v>
      </c>
      <c r="H1598" s="16">
        <f t="shared" si="24"/>
        <v>-2</v>
      </c>
      <c r="I1598" s="13">
        <v>1</v>
      </c>
      <c r="J1598" s="160"/>
    </row>
    <row r="1599" spans="1:10">
      <c r="A1599" s="13" t="s">
        <v>9</v>
      </c>
      <c r="B1599" s="13" t="s">
        <v>379</v>
      </c>
      <c r="C1599" s="13" t="str">
        <f>VLOOKUP([1]Competence!$B25,[1]Competence!$B$12:$B$100,1,FALSE)</f>
        <v>Demand Management</v>
      </c>
      <c r="D1599" s="13" t="e" cm="1">
        <f t="array" ref="D1599">_xlfn.XLOOKUP(B1599,[1]Baseline!$D$3:$AZ$3,_xlfn.XLOOKUP(C1599,[1]Baseline!$B$4:$B$91,[1]Baseline!$D$4:$AZ$91))</f>
        <v>#N/A</v>
      </c>
      <c r="E1599" s="13" t="s">
        <v>376</v>
      </c>
      <c r="F1599" s="13">
        <v>3</v>
      </c>
      <c r="G1599" s="153">
        <v>2</v>
      </c>
      <c r="H1599" s="16">
        <f t="shared" si="24"/>
        <v>-1</v>
      </c>
      <c r="I1599" s="13">
        <v>2</v>
      </c>
      <c r="J1599" s="160"/>
    </row>
    <row r="1600" spans="1:10">
      <c r="A1600" s="13" t="s">
        <v>9</v>
      </c>
      <c r="B1600" s="13" t="s">
        <v>379</v>
      </c>
      <c r="C1600" s="13" t="str">
        <f>VLOOKUP([1]Competence!$B26,[1]Competence!$B$12:$B$100,1,FALSE)</f>
        <v>Knowledge management</v>
      </c>
      <c r="D1600" s="13" t="e" cm="1">
        <f t="array" ref="D1600">_xlfn.XLOOKUP(B1600,[1]Baseline!$D$3:$AZ$3,_xlfn.XLOOKUP(C1600,[1]Baseline!$B$4:$B$91,[1]Baseline!$D$4:$AZ$91))</f>
        <v>#N/A</v>
      </c>
      <c r="E1600" s="13" t="s">
        <v>376</v>
      </c>
      <c r="F1600" s="13">
        <v>3</v>
      </c>
      <c r="G1600" s="153">
        <v>2</v>
      </c>
      <c r="H1600" s="16">
        <f t="shared" si="24"/>
        <v>-1</v>
      </c>
      <c r="I1600" s="13">
        <v>2</v>
      </c>
      <c r="J1600" s="160"/>
    </row>
    <row r="1601" spans="1:10">
      <c r="A1601" s="13" t="s">
        <v>9</v>
      </c>
      <c r="B1601" s="13" t="s">
        <v>379</v>
      </c>
      <c r="C1601" s="13" t="str">
        <f>VLOOKUP([1]Competence!$B27,[1]Competence!$B$12:$B$100,1,FALSE)</f>
        <v>Methods and tools</v>
      </c>
      <c r="D1601" s="13" t="e" cm="1">
        <f t="array" ref="D1601">_xlfn.XLOOKUP(B1601,[1]Baseline!$D$3:$AZ$3,_xlfn.XLOOKUP(C1601,[1]Baseline!$B$4:$B$91,[1]Baseline!$D$4:$AZ$91))</f>
        <v>#N/A</v>
      </c>
      <c r="E1601" s="13" t="s">
        <v>374</v>
      </c>
      <c r="F1601" s="13">
        <v>2</v>
      </c>
      <c r="G1601" s="153">
        <v>2</v>
      </c>
      <c r="H1601" s="16">
        <f t="shared" si="24"/>
        <v>0</v>
      </c>
      <c r="I1601" s="13">
        <v>2</v>
      </c>
      <c r="J1601" s="160"/>
    </row>
    <row r="1602" spans="1:10">
      <c r="A1602" s="13" t="s">
        <v>9</v>
      </c>
      <c r="B1602" s="13" t="s">
        <v>379</v>
      </c>
      <c r="C1602" s="13" t="str">
        <f>VLOOKUP([1]Competence!$B28,[1]Competence!$B$12:$B$100,1,FALSE)</f>
        <v>Release and deployment</v>
      </c>
      <c r="D1602" s="13" t="e" cm="1">
        <f t="array" ref="D1602">_xlfn.XLOOKUP(B1602,[1]Baseline!$D$3:$AZ$3,_xlfn.XLOOKUP(C1602,[1]Baseline!$B$4:$B$91,[1]Baseline!$D$4:$AZ$91))</f>
        <v>#N/A</v>
      </c>
      <c r="E1602" s="13" t="s">
        <v>374</v>
      </c>
      <c r="F1602" s="13">
        <v>1</v>
      </c>
      <c r="G1602" s="153">
        <v>2</v>
      </c>
      <c r="H1602" s="16">
        <f t="shared" ref="H1602:H1665" si="25">I1602-F1602</f>
        <v>1</v>
      </c>
      <c r="I1602" s="13">
        <v>2</v>
      </c>
      <c r="J1602" s="160"/>
    </row>
    <row r="1603" spans="1:10">
      <c r="A1603" s="13" t="s">
        <v>9</v>
      </c>
      <c r="B1603" s="13" t="s">
        <v>379</v>
      </c>
      <c r="C1603" s="13" t="str">
        <f>VLOOKUP([1]Competence!$B29,[1]Competence!$B$12:$B$100,1,FALSE)</f>
        <v>Service acceptance</v>
      </c>
      <c r="D1603" s="13" t="e" cm="1">
        <f t="array" ref="D1603">_xlfn.XLOOKUP(B1603,[1]Baseline!$D$3:$AZ$3,_xlfn.XLOOKUP(C1603,[1]Baseline!$B$4:$B$91,[1]Baseline!$D$4:$AZ$91))</f>
        <v>#N/A</v>
      </c>
      <c r="E1603" s="13" t="s">
        <v>374</v>
      </c>
      <c r="F1603" s="13">
        <v>1</v>
      </c>
      <c r="G1603" s="153">
        <v>1</v>
      </c>
      <c r="H1603" s="16">
        <f t="shared" si="25"/>
        <v>0</v>
      </c>
      <c r="I1603" s="13">
        <v>1</v>
      </c>
      <c r="J1603" s="160"/>
    </row>
    <row r="1604" spans="1:10">
      <c r="A1604" s="13" t="s">
        <v>9</v>
      </c>
      <c r="B1604" s="13" t="s">
        <v>379</v>
      </c>
      <c r="C1604" s="13" t="str">
        <f>VLOOKUP([1]Competence!$B30,[1]Competence!$B$12:$B$100,1,FALSE)</f>
        <v>Stakeholder relationship management</v>
      </c>
      <c r="D1604" s="13" t="e" cm="1">
        <f t="array" ref="D1604">_xlfn.XLOOKUP(B1604,[1]Baseline!$D$3:$AZ$3,_xlfn.XLOOKUP(C1604,[1]Baseline!$B$4:$B$91,[1]Baseline!$D$4:$AZ$91))</f>
        <v>#N/A</v>
      </c>
      <c r="E1604" s="13" t="s">
        <v>374</v>
      </c>
      <c r="F1604" s="13">
        <v>2</v>
      </c>
      <c r="G1604" s="153">
        <v>3</v>
      </c>
      <c r="H1604" s="16">
        <f t="shared" si="25"/>
        <v>1</v>
      </c>
      <c r="I1604" s="13">
        <v>3</v>
      </c>
      <c r="J1604" s="160"/>
    </row>
    <row r="1605" spans="1:10">
      <c r="A1605" s="13" t="s">
        <v>9</v>
      </c>
      <c r="B1605" s="13" t="s">
        <v>379</v>
      </c>
      <c r="C1605" s="13" t="str">
        <f>VLOOKUP([1]Competence!$B31,[1]Competence!$B$12:$B$100,1,FALSE)</f>
        <v>Storage management</v>
      </c>
      <c r="D1605" s="13" t="e" cm="1">
        <f t="array" ref="D1605">_xlfn.XLOOKUP(B1605,[1]Baseline!$D$3:$AZ$3,_xlfn.XLOOKUP(C1605,[1]Baseline!$B$4:$B$91,[1]Baseline!$D$4:$AZ$91))</f>
        <v>#N/A</v>
      </c>
      <c r="E1605" s="13" t="s">
        <v>374</v>
      </c>
      <c r="F1605" s="13">
        <v>3</v>
      </c>
      <c r="G1605" s="153">
        <v>2</v>
      </c>
      <c r="H1605" s="16">
        <f t="shared" si="25"/>
        <v>-1</v>
      </c>
      <c r="I1605" s="13">
        <v>2</v>
      </c>
      <c r="J1605" s="160"/>
    </row>
    <row r="1606" spans="1:10">
      <c r="A1606" s="13" t="s">
        <v>9</v>
      </c>
      <c r="B1606" s="13" t="s">
        <v>379</v>
      </c>
      <c r="C1606" s="13" t="str">
        <f>VLOOKUP([1]Competence!$B32,[1]Competence!$B$12:$B$100,1,FALSE)</f>
        <v>Digital Forensics</v>
      </c>
      <c r="D1606" s="13" t="e" cm="1">
        <f t="array" ref="D1606">_xlfn.XLOOKUP(B1606,[1]Baseline!$D$3:$AZ$3,_xlfn.XLOOKUP(C1606,[1]Baseline!$B$4:$B$91,[1]Baseline!$D$4:$AZ$91))</f>
        <v>#N/A</v>
      </c>
      <c r="E1606" s="13" t="s">
        <v>374</v>
      </c>
      <c r="F1606" s="13">
        <v>2</v>
      </c>
      <c r="G1606" s="153">
        <v>1</v>
      </c>
      <c r="H1606" s="16">
        <f t="shared" si="25"/>
        <v>-1</v>
      </c>
      <c r="I1606" s="13">
        <v>1</v>
      </c>
      <c r="J1606" s="160"/>
    </row>
    <row r="1607" spans="1:10">
      <c r="A1607" s="13" t="s">
        <v>9</v>
      </c>
      <c r="B1607" s="13" t="s">
        <v>379</v>
      </c>
      <c r="C1607" s="13" t="str">
        <f>VLOOKUP([1]Competence!$B33,[1]Competence!$B$12:$B$100,1,FALSE)</f>
        <v>Penetration testing</v>
      </c>
      <c r="D1607" s="13" t="e" cm="1">
        <f t="array" ref="D1607">_xlfn.XLOOKUP(B1607,[1]Baseline!$D$3:$AZ$3,_xlfn.XLOOKUP(C1607,[1]Baseline!$B$4:$B$91,[1]Baseline!$D$4:$AZ$91))</f>
        <v>#N/A</v>
      </c>
      <c r="E1607" s="13" t="s">
        <v>378</v>
      </c>
      <c r="F1607" s="13">
        <v>1</v>
      </c>
      <c r="G1607" s="153">
        <v>1</v>
      </c>
      <c r="H1607" s="16">
        <f t="shared" si="25"/>
        <v>0</v>
      </c>
      <c r="I1607" s="13">
        <v>1</v>
      </c>
      <c r="J1607" s="160"/>
    </row>
    <row r="1608" spans="1:10">
      <c r="A1608" s="13" t="s">
        <v>9</v>
      </c>
      <c r="B1608" s="13" t="s">
        <v>379</v>
      </c>
      <c r="C1608" s="13" t="str">
        <f>VLOOKUP([1]Competence!$B34,[1]Competence!$B$12:$B$100,1,FALSE)</f>
        <v>Security Operations</v>
      </c>
      <c r="D1608" s="13" t="e" cm="1">
        <f t="array" ref="D1608">_xlfn.XLOOKUP(B1608,[1]Baseline!$D$3:$AZ$3,_xlfn.XLOOKUP(C1608,[1]Baseline!$B$4:$B$91,[1]Baseline!$D$4:$AZ$91))</f>
        <v>#N/A</v>
      </c>
      <c r="E1608" s="13" t="s">
        <v>378</v>
      </c>
      <c r="F1608" s="13">
        <v>1</v>
      </c>
      <c r="G1608" s="153">
        <v>2</v>
      </c>
      <c r="H1608" s="16">
        <f t="shared" si="25"/>
        <v>1</v>
      </c>
      <c r="I1608" s="13">
        <v>2</v>
      </c>
      <c r="J1608" s="160"/>
    </row>
    <row r="1609" spans="1:10">
      <c r="A1609" s="13" t="s">
        <v>9</v>
      </c>
      <c r="B1609" s="13" t="s">
        <v>379</v>
      </c>
      <c r="C1609" s="13" t="str">
        <f>VLOOKUP([1]Competence!$B35,[1]Competence!$B$12:$B$100,1,FALSE)</f>
        <v>Threat Intelligence</v>
      </c>
      <c r="D1609" s="13" t="e" cm="1">
        <f t="array" ref="D1609">_xlfn.XLOOKUP(B1609,[1]Baseline!$D$3:$AZ$3,_xlfn.XLOOKUP(C1609,[1]Baseline!$B$4:$B$91,[1]Baseline!$D$4:$AZ$91))</f>
        <v>#N/A</v>
      </c>
      <c r="E1609" s="13" t="s">
        <v>49</v>
      </c>
      <c r="F1609" s="13">
        <v>2</v>
      </c>
      <c r="G1609" s="153">
        <v>2</v>
      </c>
      <c r="H1609" s="16">
        <f t="shared" si="25"/>
        <v>0</v>
      </c>
      <c r="I1609" s="13">
        <v>2</v>
      </c>
      <c r="J1609" s="160"/>
    </row>
    <row r="1610" spans="1:10">
      <c r="A1610" s="13" t="s">
        <v>9</v>
      </c>
      <c r="B1610" s="13" t="s">
        <v>379</v>
      </c>
      <c r="C1610" s="13" t="str">
        <f>VLOOKUP([1]Competence!$B36,[1]Competence!$B$12:$B$100,1,FALSE)</f>
        <v>Vulnerability assessment</v>
      </c>
      <c r="D1610" s="13" t="e" cm="1">
        <f t="array" ref="D1610">_xlfn.XLOOKUP(B1610,[1]Baseline!$D$3:$AZ$3,_xlfn.XLOOKUP(C1610,[1]Baseline!$B$4:$B$91,[1]Baseline!$D$4:$AZ$91))</f>
        <v>#N/A</v>
      </c>
      <c r="E1610" s="13" t="s">
        <v>49</v>
      </c>
      <c r="F1610" s="13">
        <v>0</v>
      </c>
      <c r="G1610" s="153">
        <v>1</v>
      </c>
      <c r="H1610" s="16">
        <f t="shared" si="25"/>
        <v>1</v>
      </c>
      <c r="I1610" s="13">
        <v>1</v>
      </c>
      <c r="J1610" s="160"/>
    </row>
    <row r="1611" spans="1:10">
      <c r="A1611" s="13" t="s">
        <v>9</v>
      </c>
      <c r="B1611" s="13" t="s">
        <v>379</v>
      </c>
      <c r="C1611" s="13" t="str">
        <f>VLOOKUP([1]Competence!$B37,[1]Competence!$B$12:$B$100,1,FALSE)</f>
        <v>Vulnerability Research</v>
      </c>
      <c r="D1611" s="13" t="e" cm="1">
        <f t="array" ref="D1611">_xlfn.XLOOKUP(B1611,[1]Baseline!$D$3:$AZ$3,_xlfn.XLOOKUP(C1611,[1]Baseline!$B$4:$B$91,[1]Baseline!$D$4:$AZ$91))</f>
        <v>#N/A</v>
      </c>
      <c r="E1611" s="13" t="s">
        <v>49</v>
      </c>
      <c r="F1611" s="13">
        <v>1</v>
      </c>
      <c r="G1611" s="153">
        <v>1</v>
      </c>
      <c r="H1611" s="16">
        <f t="shared" si="25"/>
        <v>0</v>
      </c>
      <c r="I1611" s="13">
        <v>1</v>
      </c>
      <c r="J1611" s="160"/>
    </row>
    <row r="1612" spans="1:10">
      <c r="A1612" s="13" t="s">
        <v>9</v>
      </c>
      <c r="B1612" s="13" t="s">
        <v>379</v>
      </c>
      <c r="C1612" s="13" t="str">
        <f>VLOOKUP([1]Competence!$B38,[1]Competence!$B$12:$B$100,1,FALSE)</f>
        <v>Competency assessment</v>
      </c>
      <c r="D1612" s="13" t="e" cm="1">
        <f t="array" ref="D1612">_xlfn.XLOOKUP(B1612,[1]Baseline!$D$3:$AZ$3,_xlfn.XLOOKUP(C1612,[1]Baseline!$B$4:$B$91,[1]Baseline!$D$4:$AZ$91))</f>
        <v>#N/A</v>
      </c>
      <c r="E1612" s="13" t="s">
        <v>49</v>
      </c>
      <c r="F1612" s="13">
        <v>1</v>
      </c>
      <c r="G1612" s="153">
        <v>1</v>
      </c>
      <c r="H1612" s="16">
        <f t="shared" si="25"/>
        <v>0</v>
      </c>
      <c r="I1612" s="13">
        <v>1</v>
      </c>
      <c r="J1612" s="160"/>
    </row>
    <row r="1613" spans="1:10">
      <c r="A1613" s="13" t="s">
        <v>9</v>
      </c>
      <c r="B1613" s="13" t="s">
        <v>379</v>
      </c>
      <c r="C1613" s="13" t="str">
        <f>VLOOKUP([1]Competence!$B39,[1]Competence!$B$12:$B$100,1,FALSE)</f>
        <v>Financial management</v>
      </c>
      <c r="D1613" s="13" t="e" cm="1">
        <f t="array" ref="D1613">_xlfn.XLOOKUP(B1613,[1]Baseline!$D$3:$AZ$3,_xlfn.XLOOKUP(C1613,[1]Baseline!$B$4:$B$91,[1]Baseline!$D$4:$AZ$91))</f>
        <v>#N/A</v>
      </c>
      <c r="E1613" s="13" t="s">
        <v>49</v>
      </c>
      <c r="F1613" s="13">
        <v>1</v>
      </c>
      <c r="G1613" s="153">
        <v>3</v>
      </c>
      <c r="H1613" s="16">
        <f t="shared" si="25"/>
        <v>2</v>
      </c>
      <c r="I1613" s="13">
        <v>3</v>
      </c>
      <c r="J1613" s="160"/>
    </row>
    <row r="1614" spans="1:10">
      <c r="A1614" s="13" t="s">
        <v>9</v>
      </c>
      <c r="B1614" s="13" t="s">
        <v>379</v>
      </c>
      <c r="C1614" s="13" t="str">
        <f>VLOOKUP([1]Competence!$B40,[1]Competence!$B$12:$B$100,1,FALSE)</f>
        <v>Organisation design and implementation</v>
      </c>
      <c r="D1614" s="13" t="e" cm="1">
        <f t="array" ref="D1614">_xlfn.XLOOKUP(B1614,[1]Baseline!$D$3:$AZ$3,_xlfn.XLOOKUP(C1614,[1]Baseline!$B$4:$B$91,[1]Baseline!$D$4:$AZ$91))</f>
        <v>#N/A</v>
      </c>
      <c r="E1614" s="13" t="s">
        <v>375</v>
      </c>
      <c r="F1614" s="13">
        <v>2</v>
      </c>
      <c r="G1614" s="153">
        <v>2</v>
      </c>
      <c r="H1614" s="16">
        <f t="shared" si="25"/>
        <v>0</v>
      </c>
      <c r="I1614" s="13">
        <v>2</v>
      </c>
      <c r="J1614" s="160"/>
    </row>
    <row r="1615" spans="1:10">
      <c r="A1615" s="13" t="s">
        <v>9</v>
      </c>
      <c r="B1615" s="13" t="s">
        <v>379</v>
      </c>
      <c r="C1615" s="13" t="str">
        <f>VLOOKUP([1]Competence!$B41,[1]Competence!$B$12:$B$100,1,FALSE)</f>
        <v>Organisational capability development</v>
      </c>
      <c r="D1615" s="13" t="e" cm="1">
        <f t="array" ref="D1615">_xlfn.XLOOKUP(B1615,[1]Baseline!$D$3:$AZ$3,_xlfn.XLOOKUP(C1615,[1]Baseline!$B$4:$B$91,[1]Baseline!$D$4:$AZ$91))</f>
        <v>#N/A</v>
      </c>
      <c r="E1615" s="13" t="s">
        <v>375</v>
      </c>
      <c r="F1615" s="13">
        <v>0</v>
      </c>
      <c r="G1615" s="153">
        <v>2</v>
      </c>
      <c r="H1615" s="16">
        <f t="shared" si="25"/>
        <v>2</v>
      </c>
      <c r="I1615" s="13">
        <v>2</v>
      </c>
      <c r="J1615" s="160"/>
    </row>
    <row r="1616" spans="1:10">
      <c r="A1616" s="13" t="s">
        <v>9</v>
      </c>
      <c r="B1616" s="13" t="s">
        <v>379</v>
      </c>
      <c r="C1616" s="13" t="str">
        <f>VLOOKUP([1]Competence!$B42,[1]Competence!$B$12:$B$100,1,FALSE)</f>
        <v>Organisational change management</v>
      </c>
      <c r="D1616" s="13" t="e" cm="1">
        <f t="array" ref="D1616">_xlfn.XLOOKUP(B1616,[1]Baseline!$D$3:$AZ$3,_xlfn.XLOOKUP(C1616,[1]Baseline!$B$4:$B$91,[1]Baseline!$D$4:$AZ$91))</f>
        <v>#N/A</v>
      </c>
      <c r="E1616" s="13" t="s">
        <v>375</v>
      </c>
      <c r="F1616" s="13">
        <v>1</v>
      </c>
      <c r="G1616" s="153">
        <v>2</v>
      </c>
      <c r="H1616" s="16">
        <f t="shared" si="25"/>
        <v>1</v>
      </c>
      <c r="I1616" s="13">
        <v>2</v>
      </c>
      <c r="J1616" s="160"/>
    </row>
    <row r="1617" spans="1:10">
      <c r="A1617" s="13" t="s">
        <v>9</v>
      </c>
      <c r="B1617" s="13" t="s">
        <v>379</v>
      </c>
      <c r="C1617" s="13" t="str">
        <f>VLOOKUP([1]Competence!$B43,[1]Competence!$B$12:$B$100,1,FALSE)</f>
        <v>Performance Management</v>
      </c>
      <c r="D1617" s="13" t="e" cm="1">
        <f t="array" ref="D1617">_xlfn.XLOOKUP(B1617,[1]Baseline!$D$3:$AZ$3,_xlfn.XLOOKUP(C1617,[1]Baseline!$B$4:$B$91,[1]Baseline!$D$4:$AZ$91))</f>
        <v>#N/A</v>
      </c>
      <c r="E1617" s="13" t="s">
        <v>375</v>
      </c>
      <c r="F1617" s="13">
        <v>1</v>
      </c>
      <c r="G1617" s="153">
        <v>1</v>
      </c>
      <c r="H1617" s="16">
        <f t="shared" si="25"/>
        <v>0</v>
      </c>
      <c r="I1617" s="13">
        <v>1</v>
      </c>
      <c r="J1617" s="160"/>
    </row>
    <row r="1618" spans="1:10">
      <c r="A1618" s="13" t="s">
        <v>9</v>
      </c>
      <c r="B1618" s="13" t="s">
        <v>379</v>
      </c>
      <c r="C1618" s="13" t="str">
        <f>VLOOKUP([1]Competence!$B44,[1]Competence!$B$12:$B$100,1,FALSE)</f>
        <v>Professional Development</v>
      </c>
      <c r="D1618" s="13" t="e" cm="1">
        <f t="array" ref="D1618">_xlfn.XLOOKUP(B1618,[1]Baseline!$D$3:$AZ$3,_xlfn.XLOOKUP(C1618,[1]Baseline!$B$4:$B$91,[1]Baseline!$D$4:$AZ$91))</f>
        <v>#N/A</v>
      </c>
      <c r="E1618" s="13" t="s">
        <v>373</v>
      </c>
      <c r="F1618" s="13">
        <v>0</v>
      </c>
      <c r="G1618" s="153">
        <v>1</v>
      </c>
      <c r="H1618" s="16">
        <f t="shared" si="25"/>
        <v>1</v>
      </c>
      <c r="I1618" s="13">
        <v>1</v>
      </c>
      <c r="J1618" s="160"/>
    </row>
    <row r="1619" spans="1:10">
      <c r="A1619" s="13" t="s">
        <v>9</v>
      </c>
      <c r="B1619" s="13" t="s">
        <v>379</v>
      </c>
      <c r="C1619" s="13" t="str">
        <f>VLOOKUP([1]Competence!$B45,[1]Competence!$B$12:$B$100,1,FALSE)</f>
        <v>Strategic Planning</v>
      </c>
      <c r="D1619" s="13" t="e" cm="1">
        <f t="array" ref="D1619">_xlfn.XLOOKUP(B1619,[1]Baseline!$D$3:$AZ$3,_xlfn.XLOOKUP(C1619,[1]Baseline!$B$4:$B$91,[1]Baseline!$D$4:$AZ$91))</f>
        <v>#N/A</v>
      </c>
      <c r="E1619" s="13" t="s">
        <v>373</v>
      </c>
      <c r="F1619" s="13">
        <v>0</v>
      </c>
      <c r="G1619" s="153">
        <v>1</v>
      </c>
      <c r="H1619" s="16">
        <f t="shared" si="25"/>
        <v>1</v>
      </c>
      <c r="I1619" s="13">
        <v>1</v>
      </c>
      <c r="J1619" s="160"/>
    </row>
    <row r="1620" spans="1:10">
      <c r="A1620" s="13" t="s">
        <v>9</v>
      </c>
      <c r="B1620" s="13" t="s">
        <v>379</v>
      </c>
      <c r="C1620" s="13" t="str">
        <f>VLOOKUP([1]Competence!$B46,[1]Competence!$B$12:$B$100,1,FALSE)</f>
        <v>Workforce Planning</v>
      </c>
      <c r="D1620" s="13" t="e" cm="1">
        <f t="array" ref="D1620">_xlfn.XLOOKUP(B1620,[1]Baseline!$D$3:$AZ$3,_xlfn.XLOOKUP(C1620,[1]Baseline!$B$4:$B$91,[1]Baseline!$D$4:$AZ$91))</f>
        <v>#N/A</v>
      </c>
      <c r="E1620" s="13" t="s">
        <v>373</v>
      </c>
      <c r="F1620" s="13">
        <v>0</v>
      </c>
      <c r="G1620" s="153">
        <v>1</v>
      </c>
      <c r="H1620" s="16">
        <f t="shared" si="25"/>
        <v>1</v>
      </c>
      <c r="I1620" s="13">
        <v>1</v>
      </c>
      <c r="J1620" s="160"/>
    </row>
    <row r="1621" spans="1:10">
      <c r="A1621" s="13" t="s">
        <v>9</v>
      </c>
      <c r="B1621" s="13" t="s">
        <v>379</v>
      </c>
      <c r="C1621" s="13" t="str">
        <f>VLOOKUP([1]Competence!$B47,[1]Competence!$B$12:$B$100,1,FALSE)</f>
        <v>Audit</v>
      </c>
      <c r="D1621" s="13" t="e" cm="1">
        <f t="array" ref="D1621">_xlfn.XLOOKUP(B1621,[1]Baseline!$D$3:$AZ$3,_xlfn.XLOOKUP(C1621,[1]Baseline!$B$4:$B$91,[1]Baseline!$D$4:$AZ$91))</f>
        <v>#N/A</v>
      </c>
      <c r="E1621" s="13" t="s">
        <v>376</v>
      </c>
      <c r="F1621" s="13">
        <v>2</v>
      </c>
      <c r="G1621" s="153">
        <v>2</v>
      </c>
      <c r="H1621" s="16">
        <f t="shared" si="25"/>
        <v>0</v>
      </c>
      <c r="I1621" s="13">
        <v>2</v>
      </c>
      <c r="J1621" s="160"/>
    </row>
    <row r="1622" spans="1:10">
      <c r="A1622" s="13" t="s">
        <v>9</v>
      </c>
      <c r="B1622" s="13" t="s">
        <v>379</v>
      </c>
      <c r="C1622" s="13" t="str">
        <f>VLOOKUP([1]Competence!$B48,[1]Competence!$B$12:$B$100,1,FALSE)</f>
        <v>Contract management</v>
      </c>
      <c r="D1622" s="13" t="e" cm="1">
        <f t="array" ref="D1622">_xlfn.XLOOKUP(B1622,[1]Baseline!$D$3:$AZ$3,_xlfn.XLOOKUP(C1622,[1]Baseline!$B$4:$B$91,[1]Baseline!$D$4:$AZ$91))</f>
        <v>#N/A</v>
      </c>
      <c r="E1622" s="13" t="s">
        <v>374</v>
      </c>
      <c r="F1622" s="13">
        <v>0</v>
      </c>
      <c r="G1622" s="153">
        <v>1</v>
      </c>
      <c r="H1622" s="16">
        <f t="shared" si="25"/>
        <v>1</v>
      </c>
      <c r="I1622" s="13">
        <v>1</v>
      </c>
      <c r="J1622" s="160"/>
    </row>
    <row r="1623" spans="1:10">
      <c r="A1623" s="13" t="s">
        <v>9</v>
      </c>
      <c r="B1623" s="13" t="s">
        <v>379</v>
      </c>
      <c r="C1623" s="13" t="str">
        <f>VLOOKUP([1]Competence!$B49,[1]Competence!$B$12:$B$100,1,FALSE)</f>
        <v>Feasibility assessment</v>
      </c>
      <c r="D1623" s="13" t="e" cm="1">
        <f t="array" ref="D1623">_xlfn.XLOOKUP(B1623,[1]Baseline!$D$3:$AZ$3,_xlfn.XLOOKUP(C1623,[1]Baseline!$B$4:$B$91,[1]Baseline!$D$4:$AZ$91))</f>
        <v>#N/A</v>
      </c>
      <c r="E1623" s="13" t="s">
        <v>374</v>
      </c>
      <c r="F1623" s="13">
        <v>1</v>
      </c>
      <c r="G1623" s="153">
        <v>0</v>
      </c>
      <c r="H1623" s="16">
        <f t="shared" si="25"/>
        <v>-1</v>
      </c>
      <c r="I1623" s="13">
        <v>0</v>
      </c>
      <c r="J1623" s="160"/>
    </row>
    <row r="1624" spans="1:10">
      <c r="A1624" s="13" t="s">
        <v>9</v>
      </c>
      <c r="B1624" s="13" t="s">
        <v>379</v>
      </c>
      <c r="C1624" s="13" t="str">
        <f>VLOOKUP([1]Competence!$B50,[1]Competence!$B$12:$B$100,1,FALSE)</f>
        <v>Governance</v>
      </c>
      <c r="D1624" s="13" t="e" cm="1">
        <f t="array" ref="D1624">_xlfn.XLOOKUP(B1624,[1]Baseline!$D$3:$AZ$3,_xlfn.XLOOKUP(C1624,[1]Baseline!$B$4:$B$91,[1]Baseline!$D$4:$AZ$91))</f>
        <v>#N/A</v>
      </c>
      <c r="E1624" s="13" t="s">
        <v>374</v>
      </c>
      <c r="F1624" s="13">
        <v>1</v>
      </c>
      <c r="G1624" s="153">
        <v>1</v>
      </c>
      <c r="H1624" s="16">
        <f t="shared" si="25"/>
        <v>0</v>
      </c>
      <c r="I1624" s="13">
        <v>1</v>
      </c>
      <c r="J1624" s="160"/>
    </row>
    <row r="1625" spans="1:10">
      <c r="A1625" s="13" t="s">
        <v>9</v>
      </c>
      <c r="B1625" s="13" t="s">
        <v>379</v>
      </c>
      <c r="C1625" s="13" t="str">
        <f>VLOOKUP([1]Competence!$B51,[1]Competence!$B$12:$B$100,1,FALSE)</f>
        <v>Risk management</v>
      </c>
      <c r="D1625" s="13" t="e" cm="1">
        <f t="array" ref="D1625">_xlfn.XLOOKUP(B1625,[1]Baseline!$D$3:$AZ$3,_xlfn.XLOOKUP(C1625,[1]Baseline!$B$4:$B$91,[1]Baseline!$D$4:$AZ$91))</f>
        <v>#N/A</v>
      </c>
      <c r="E1625" s="13" t="s">
        <v>374</v>
      </c>
      <c r="F1625" s="13">
        <v>0</v>
      </c>
      <c r="G1625" s="153">
        <v>1</v>
      </c>
      <c r="H1625" s="16">
        <f t="shared" si="25"/>
        <v>1</v>
      </c>
      <c r="I1625" s="13">
        <v>1</v>
      </c>
      <c r="J1625" s="160"/>
    </row>
    <row r="1626" spans="1:10">
      <c r="A1626" s="13" t="s">
        <v>9</v>
      </c>
      <c r="B1626" s="13" t="s">
        <v>379</v>
      </c>
      <c r="C1626" s="13" t="str">
        <f>VLOOKUP([1]Competence!$B52,[1]Competence!$B$12:$B$100,1,FALSE)</f>
        <v>Sourcing</v>
      </c>
      <c r="D1626" s="13" t="e" cm="1">
        <f t="array" ref="D1626">_xlfn.XLOOKUP(B1626,[1]Baseline!$D$3:$AZ$3,_xlfn.XLOOKUP(C1626,[1]Baseline!$B$4:$B$91,[1]Baseline!$D$4:$AZ$91))</f>
        <v>#N/A</v>
      </c>
      <c r="E1626" s="13" t="s">
        <v>377</v>
      </c>
      <c r="F1626" s="13">
        <v>0</v>
      </c>
      <c r="G1626" s="153">
        <v>3</v>
      </c>
      <c r="H1626" s="16">
        <f t="shared" si="25"/>
        <v>3</v>
      </c>
      <c r="I1626" s="13">
        <v>3</v>
      </c>
      <c r="J1626" s="160"/>
    </row>
    <row r="1627" spans="1:10">
      <c r="A1627" s="13" t="s">
        <v>9</v>
      </c>
      <c r="B1627" s="13" t="s">
        <v>379</v>
      </c>
      <c r="C1627" s="13" t="str">
        <f>VLOOKUP([1]Competence!$B53,[1]Competence!$B$12:$B$100,1,FALSE)</f>
        <v>Supplier management</v>
      </c>
      <c r="D1627" s="13" t="e" cm="1">
        <f t="array" ref="D1627">_xlfn.XLOOKUP(B1627,[1]Baseline!$D$3:$AZ$3,_xlfn.XLOOKUP(C1627,[1]Baseline!$B$4:$B$91,[1]Baseline!$D$4:$AZ$91))</f>
        <v>#N/A</v>
      </c>
      <c r="E1627" s="13" t="s">
        <v>377</v>
      </c>
      <c r="F1627" s="13">
        <v>0</v>
      </c>
      <c r="G1627" s="153">
        <v>1</v>
      </c>
      <c r="H1627" s="16">
        <f t="shared" si="25"/>
        <v>1</v>
      </c>
      <c r="I1627" s="13">
        <v>1</v>
      </c>
      <c r="J1627" s="160"/>
    </row>
    <row r="1628" spans="1:10">
      <c r="A1628" s="13" t="s">
        <v>9</v>
      </c>
      <c r="B1628" s="13" t="s">
        <v>379</v>
      </c>
      <c r="C1628" s="13" t="str">
        <f>VLOOKUP([1]Competence!$B54,[1]Competence!$B$12:$B$100,1,FALSE)</f>
        <v>Sustainability</v>
      </c>
      <c r="D1628" s="13" t="e" cm="1">
        <f t="array" ref="D1628">_xlfn.XLOOKUP(B1628,[1]Baseline!$D$3:$AZ$3,_xlfn.XLOOKUP(C1628,[1]Baseline!$B$4:$B$91,[1]Baseline!$D$4:$AZ$91))</f>
        <v>#N/A</v>
      </c>
      <c r="E1628" s="13" t="s">
        <v>377</v>
      </c>
      <c r="F1628" s="13">
        <v>0</v>
      </c>
      <c r="G1628" s="153">
        <v>1</v>
      </c>
      <c r="H1628" s="16">
        <f t="shared" si="25"/>
        <v>1</v>
      </c>
      <c r="I1628" s="13">
        <v>1</v>
      </c>
      <c r="J1628" s="160"/>
    </row>
    <row r="1629" spans="1:10">
      <c r="A1629" s="13" t="s">
        <v>9</v>
      </c>
      <c r="B1629" s="13" t="s">
        <v>379</v>
      </c>
      <c r="C1629" s="13" t="str">
        <f>VLOOKUP([1]Competence!$B55,[1]Competence!$B$12:$B$100,1,FALSE)</f>
        <v>Acceptance testing</v>
      </c>
      <c r="D1629" s="13" t="e" cm="1">
        <f t="array" ref="D1629">_xlfn.XLOOKUP(B1629,[1]Baseline!$D$3:$AZ$3,_xlfn.XLOOKUP(C1629,[1]Baseline!$B$4:$B$91,[1]Baseline!$D$4:$AZ$91))</f>
        <v>#N/A</v>
      </c>
      <c r="E1629" s="13" t="s">
        <v>378</v>
      </c>
      <c r="F1629" s="13">
        <v>0</v>
      </c>
      <c r="G1629" s="153">
        <v>2</v>
      </c>
      <c r="H1629" s="16">
        <f t="shared" si="25"/>
        <v>2</v>
      </c>
      <c r="I1629" s="13">
        <v>2</v>
      </c>
      <c r="J1629" s="160"/>
    </row>
    <row r="1630" spans="1:10">
      <c r="A1630" s="13" t="s">
        <v>9</v>
      </c>
      <c r="B1630" s="13" t="s">
        <v>379</v>
      </c>
      <c r="C1630" s="13" t="str">
        <f>VLOOKUP([1]Competence!$B56,[1]Competence!$B$12:$B$100,1,FALSE)</f>
        <v>Application support</v>
      </c>
      <c r="D1630" s="13" t="e" cm="1">
        <f t="array" ref="D1630">_xlfn.XLOOKUP(B1630,[1]Baseline!$D$3:$AZ$3,_xlfn.XLOOKUP(C1630,[1]Baseline!$B$4:$B$91,[1]Baseline!$D$4:$AZ$91))</f>
        <v>#N/A</v>
      </c>
      <c r="E1630" s="13" t="s">
        <v>378</v>
      </c>
      <c r="F1630" s="13">
        <v>0</v>
      </c>
      <c r="G1630" s="153">
        <v>2</v>
      </c>
      <c r="H1630" s="16">
        <f t="shared" si="25"/>
        <v>2</v>
      </c>
      <c r="I1630" s="13">
        <v>2</v>
      </c>
      <c r="J1630" s="160"/>
    </row>
    <row r="1631" spans="1:10">
      <c r="A1631" s="13" t="s">
        <v>9</v>
      </c>
      <c r="B1631" s="13" t="s">
        <v>379</v>
      </c>
      <c r="C1631" s="13" t="str">
        <f>VLOOKUP([1]Competence!$B57,[1]Competence!$B$12:$B$100,1,FALSE)</f>
        <v>Data Engineering</v>
      </c>
      <c r="D1631" s="13" t="e" cm="1">
        <f t="array" ref="D1631">_xlfn.XLOOKUP(B1631,[1]Baseline!$D$3:$AZ$3,_xlfn.XLOOKUP(C1631,[1]Baseline!$B$4:$B$91,[1]Baseline!$D$4:$AZ$91))</f>
        <v>#N/A</v>
      </c>
      <c r="E1631" s="13" t="s">
        <v>378</v>
      </c>
      <c r="F1631" s="13">
        <v>0</v>
      </c>
      <c r="G1631" s="153">
        <v>1</v>
      </c>
      <c r="H1631" s="16">
        <f t="shared" si="25"/>
        <v>1</v>
      </c>
      <c r="I1631" s="13">
        <v>1</v>
      </c>
      <c r="J1631" s="160"/>
    </row>
    <row r="1632" spans="1:10">
      <c r="A1632" s="13" t="s">
        <v>9</v>
      </c>
      <c r="B1632" s="13" t="s">
        <v>379</v>
      </c>
      <c r="C1632" s="13" t="str">
        <f>VLOOKUP([1]Competence!$B58,[1]Competence!$B$12:$B$100,1,FALSE)</f>
        <v>Data Management</v>
      </c>
      <c r="D1632" s="13" t="e" cm="1">
        <f t="array" ref="D1632">_xlfn.XLOOKUP(B1632,[1]Baseline!$D$3:$AZ$3,_xlfn.XLOOKUP(C1632,[1]Baseline!$B$4:$B$91,[1]Baseline!$D$4:$AZ$91))</f>
        <v>#N/A</v>
      </c>
      <c r="E1632" s="13" t="s">
        <v>49</v>
      </c>
      <c r="F1632" s="13">
        <v>0</v>
      </c>
      <c r="G1632" s="153">
        <v>1</v>
      </c>
      <c r="H1632" s="16">
        <f t="shared" si="25"/>
        <v>1</v>
      </c>
      <c r="I1632" s="13">
        <v>1</v>
      </c>
      <c r="J1632" s="160"/>
    </row>
    <row r="1633" spans="1:10">
      <c r="A1633" s="13" t="s">
        <v>9</v>
      </c>
      <c r="B1633" s="13" t="s">
        <v>379</v>
      </c>
      <c r="C1633" s="13" t="str">
        <f>VLOOKUP([1]Competence!$B59,[1]Competence!$B$12:$B$100,1,FALSE)</f>
        <v>Data Modelling and Design</v>
      </c>
      <c r="D1633" s="13" t="e" cm="1">
        <f t="array" ref="D1633">_xlfn.XLOOKUP(B1633,[1]Baseline!$D$3:$AZ$3,_xlfn.XLOOKUP(C1633,[1]Baseline!$B$4:$B$91,[1]Baseline!$D$4:$AZ$91))</f>
        <v>#N/A</v>
      </c>
      <c r="E1633" s="13" t="s">
        <v>49</v>
      </c>
      <c r="F1633" s="13">
        <v>0</v>
      </c>
      <c r="G1633" s="153">
        <v>1</v>
      </c>
      <c r="H1633" s="16">
        <f t="shared" si="25"/>
        <v>1</v>
      </c>
      <c r="I1633" s="13">
        <v>1</v>
      </c>
      <c r="J1633" s="160"/>
    </row>
    <row r="1634" spans="1:10">
      <c r="A1634" s="13" t="s">
        <v>9</v>
      </c>
      <c r="B1634" s="13" t="s">
        <v>379</v>
      </c>
      <c r="C1634" s="13" t="str">
        <f>VLOOKUP([1]Competence!$B60,[1]Competence!$B$12:$B$100,1,FALSE)</f>
        <v>Data science</v>
      </c>
      <c r="D1634" s="13" t="e" cm="1">
        <f t="array" ref="D1634">_xlfn.XLOOKUP(B1634,[1]Baseline!$D$3:$AZ$3,_xlfn.XLOOKUP(C1634,[1]Baseline!$B$4:$B$91,[1]Baseline!$D$4:$AZ$91))</f>
        <v>#N/A</v>
      </c>
      <c r="E1634" s="13" t="s">
        <v>375</v>
      </c>
      <c r="F1634" s="13">
        <v>1</v>
      </c>
      <c r="G1634" s="153">
        <v>0</v>
      </c>
      <c r="H1634" s="16">
        <f t="shared" si="25"/>
        <v>-1</v>
      </c>
      <c r="I1634" s="13">
        <v>0</v>
      </c>
      <c r="J1634" s="160"/>
    </row>
    <row r="1635" spans="1:10">
      <c r="A1635" s="13" t="s">
        <v>9</v>
      </c>
      <c r="B1635" s="13" t="s">
        <v>379</v>
      </c>
      <c r="C1635" s="13" t="str">
        <f>VLOOKUP([1]Competence!$B61,[1]Competence!$B$12:$B$100,1,FALSE)</f>
        <v>Data visualisation</v>
      </c>
      <c r="D1635" s="13" t="e" cm="1">
        <f t="array" ref="D1635">_xlfn.XLOOKUP(B1635,[1]Baseline!$D$3:$AZ$3,_xlfn.XLOOKUP(C1635,[1]Baseline!$B$4:$B$91,[1]Baseline!$D$4:$AZ$91))</f>
        <v>#N/A</v>
      </c>
      <c r="E1635" s="13" t="s">
        <v>375</v>
      </c>
      <c r="F1635" s="13">
        <v>0</v>
      </c>
      <c r="G1635" s="153">
        <v>1</v>
      </c>
      <c r="H1635" s="16">
        <f t="shared" si="25"/>
        <v>1</v>
      </c>
      <c r="I1635" s="13">
        <v>1</v>
      </c>
      <c r="J1635" s="160"/>
    </row>
    <row r="1636" spans="1:10">
      <c r="A1636" s="13" t="s">
        <v>9</v>
      </c>
      <c r="B1636" s="13" t="s">
        <v>379</v>
      </c>
      <c r="C1636" s="13" t="str">
        <f>VLOOKUP([1]Competence!$B62,[1]Competence!$B$12:$B$100,1,FALSE)</f>
        <v>Database Administration</v>
      </c>
      <c r="D1636" s="13" t="e" cm="1">
        <f t="array" ref="D1636">_xlfn.XLOOKUP(B1636,[1]Baseline!$D$3:$AZ$3,_xlfn.XLOOKUP(C1636,[1]Baseline!$B$4:$B$91,[1]Baseline!$D$4:$AZ$91))</f>
        <v>#N/A</v>
      </c>
      <c r="E1636" s="13" t="s">
        <v>375</v>
      </c>
      <c r="F1636" s="13">
        <v>0</v>
      </c>
      <c r="G1636" s="153">
        <v>1</v>
      </c>
      <c r="H1636" s="16">
        <f t="shared" si="25"/>
        <v>1</v>
      </c>
      <c r="I1636" s="13">
        <v>1</v>
      </c>
      <c r="J1636" s="160"/>
    </row>
    <row r="1637" spans="1:10">
      <c r="A1637" s="13" t="s">
        <v>9</v>
      </c>
      <c r="B1637" s="13" t="s">
        <v>379</v>
      </c>
      <c r="C1637" s="13" t="str">
        <f>VLOOKUP([1]Competence!$B63,[1]Competence!$B$12:$B$100,1,FALSE)</f>
        <v>Database Design</v>
      </c>
      <c r="D1637" s="13" t="e" cm="1">
        <f t="array" ref="D1637">_xlfn.XLOOKUP(B1637,[1]Baseline!$D$3:$AZ$3,_xlfn.XLOOKUP(C1637,[1]Baseline!$B$4:$B$91,[1]Baseline!$D$4:$AZ$91))</f>
        <v>#N/A</v>
      </c>
      <c r="E1637" s="13" t="s">
        <v>375</v>
      </c>
      <c r="F1637" s="13">
        <v>0</v>
      </c>
      <c r="G1637" s="153">
        <v>1</v>
      </c>
      <c r="H1637" s="16">
        <f t="shared" si="25"/>
        <v>1</v>
      </c>
      <c r="I1637" s="13">
        <v>1</v>
      </c>
      <c r="J1637" s="160"/>
    </row>
    <row r="1638" spans="1:10">
      <c r="A1638" s="13" t="s">
        <v>9</v>
      </c>
      <c r="B1638" s="13" t="s">
        <v>379</v>
      </c>
      <c r="C1638" s="13" t="str">
        <f>VLOOKUP([1]Competence!$B64,[1]Competence!$B$12:$B$100,1,FALSE)</f>
        <v>Hardware design</v>
      </c>
      <c r="D1638" s="13" t="e" cm="1">
        <f t="array" ref="D1638">_xlfn.XLOOKUP(B1638,[1]Baseline!$D$3:$AZ$3,_xlfn.XLOOKUP(C1638,[1]Baseline!$B$4:$B$91,[1]Baseline!$D$4:$AZ$91))</f>
        <v>#N/A</v>
      </c>
      <c r="E1638" s="13" t="s">
        <v>375</v>
      </c>
      <c r="F1638" s="13">
        <v>0</v>
      </c>
      <c r="G1638" s="153">
        <v>2</v>
      </c>
      <c r="H1638" s="16">
        <f t="shared" si="25"/>
        <v>2</v>
      </c>
      <c r="I1638" s="13">
        <v>2</v>
      </c>
      <c r="J1638" s="160"/>
    </row>
    <row r="1639" spans="1:10">
      <c r="A1639" s="13" t="s">
        <v>9</v>
      </c>
      <c r="B1639" s="13" t="s">
        <v>379</v>
      </c>
      <c r="C1639" s="13" t="str">
        <f>VLOOKUP([1]Competence!$B65,[1]Competence!$B$12:$B$100,1,FALSE)</f>
        <v>High Performance Computing</v>
      </c>
      <c r="D1639" s="13" t="e" cm="1">
        <f t="array" ref="D1639">_xlfn.XLOOKUP(B1639,[1]Baseline!$D$3:$AZ$3,_xlfn.XLOOKUP(C1639,[1]Baseline!$B$4:$B$91,[1]Baseline!$D$4:$AZ$91))</f>
        <v>#N/A</v>
      </c>
      <c r="E1639" s="13" t="s">
        <v>375</v>
      </c>
      <c r="F1639" s="13">
        <v>0</v>
      </c>
      <c r="G1639" s="153">
        <v>1</v>
      </c>
      <c r="H1639" s="16">
        <f t="shared" si="25"/>
        <v>1</v>
      </c>
      <c r="I1639" s="13">
        <v>1</v>
      </c>
      <c r="J1639" s="160"/>
    </row>
    <row r="1640" spans="1:10">
      <c r="A1640" s="13" t="s">
        <v>9</v>
      </c>
      <c r="B1640" s="13" t="s">
        <v>379</v>
      </c>
      <c r="C1640" s="13" t="str">
        <f>VLOOKUP([1]Competence!$B66,[1]Competence!$B$12:$B$100,1,FALSE)</f>
        <v>Research Computing</v>
      </c>
      <c r="D1640" s="13" t="e" cm="1">
        <f t="array" ref="D1640">_xlfn.XLOOKUP(B1640,[1]Baseline!$D$3:$AZ$3,_xlfn.XLOOKUP(C1640,[1]Baseline!$B$4:$B$91,[1]Baseline!$D$4:$AZ$91))</f>
        <v>#N/A</v>
      </c>
      <c r="E1640" s="13" t="s">
        <v>375</v>
      </c>
      <c r="F1640" s="13">
        <v>0</v>
      </c>
      <c r="G1640" s="153">
        <v>2</v>
      </c>
      <c r="H1640" s="16">
        <f t="shared" si="25"/>
        <v>2</v>
      </c>
      <c r="I1640" s="13">
        <v>2</v>
      </c>
      <c r="J1640" s="160"/>
    </row>
    <row r="1641" spans="1:10">
      <c r="A1641" s="13" t="s">
        <v>9</v>
      </c>
      <c r="B1641" s="13" t="s">
        <v>379</v>
      </c>
      <c r="C1641" s="13" t="str">
        <f>VLOOKUP([1]Competence!$B67,[1]Competence!$B$12:$B$100,1,FALSE)</f>
        <v>Information assurance</v>
      </c>
      <c r="D1641" s="13" t="e" cm="1">
        <f t="array" ref="D1641">_xlfn.XLOOKUP(B1641,[1]Baseline!$D$3:$AZ$3,_xlfn.XLOOKUP(C1641,[1]Baseline!$B$4:$B$91,[1]Baseline!$D$4:$AZ$91))</f>
        <v>#N/A</v>
      </c>
      <c r="E1641" s="13" t="s">
        <v>375</v>
      </c>
      <c r="F1641" s="13">
        <v>1</v>
      </c>
      <c r="G1641" s="153">
        <v>2</v>
      </c>
      <c r="H1641" s="16">
        <f t="shared" si="25"/>
        <v>1</v>
      </c>
      <c r="I1641" s="13">
        <v>2</v>
      </c>
      <c r="J1641" s="160"/>
    </row>
    <row r="1642" spans="1:10">
      <c r="A1642" s="13" t="s">
        <v>9</v>
      </c>
      <c r="B1642" s="13" t="s">
        <v>379</v>
      </c>
      <c r="C1642" s="13" t="str">
        <f>VLOOKUP([1]Competence!$B68,[1]Competence!$B$12:$B$100,1,FALSE)</f>
        <v>Information management</v>
      </c>
      <c r="D1642" s="13" t="e" cm="1">
        <f t="array" ref="D1642">_xlfn.XLOOKUP(B1642,[1]Baseline!$D$3:$AZ$3,_xlfn.XLOOKUP(C1642,[1]Baseline!$B$4:$B$91,[1]Baseline!$D$4:$AZ$91))</f>
        <v>#N/A</v>
      </c>
      <c r="E1642" s="13" t="s">
        <v>375</v>
      </c>
      <c r="F1642" s="13">
        <v>2</v>
      </c>
      <c r="G1642" s="153">
        <v>1</v>
      </c>
      <c r="H1642" s="16">
        <f t="shared" si="25"/>
        <v>-1</v>
      </c>
      <c r="I1642" s="13">
        <v>1</v>
      </c>
      <c r="J1642" s="160"/>
    </row>
    <row r="1643" spans="1:10">
      <c r="A1643" s="13" t="s">
        <v>9</v>
      </c>
      <c r="B1643" s="13" t="s">
        <v>379</v>
      </c>
      <c r="C1643" s="13" t="str">
        <f>VLOOKUP([1]Competence!$B69,[1]Competence!$B$12:$B$100,1,FALSE)</f>
        <v>Infrastructure</v>
      </c>
      <c r="D1643" s="13" t="e" cm="1">
        <f t="array" ref="D1643">_xlfn.XLOOKUP(B1643,[1]Baseline!$D$3:$AZ$3,_xlfn.XLOOKUP(C1643,[1]Baseline!$B$4:$B$91,[1]Baseline!$D$4:$AZ$91))</f>
        <v>#N/A</v>
      </c>
      <c r="E1643" s="13" t="s">
        <v>375</v>
      </c>
      <c r="F1643" s="13">
        <v>2</v>
      </c>
      <c r="G1643" s="153">
        <v>3</v>
      </c>
      <c r="H1643" s="16">
        <f t="shared" si="25"/>
        <v>1</v>
      </c>
      <c r="I1643" s="13">
        <v>3</v>
      </c>
      <c r="J1643" s="160"/>
    </row>
    <row r="1644" spans="1:10">
      <c r="A1644" s="13" t="s">
        <v>9</v>
      </c>
      <c r="B1644" s="13" t="s">
        <v>379</v>
      </c>
      <c r="C1644" s="13" t="str">
        <f>VLOOKUP([1]Competence!$B70,[1]Competence!$B$12:$B$100,1,FALSE)</f>
        <v>Network design</v>
      </c>
      <c r="D1644" s="13" t="e" cm="1">
        <f t="array" ref="D1644">_xlfn.XLOOKUP(B1644,[1]Baseline!$D$3:$AZ$3,_xlfn.XLOOKUP(C1644,[1]Baseline!$B$4:$B$91,[1]Baseline!$D$4:$AZ$91))</f>
        <v>#N/A</v>
      </c>
      <c r="E1644" s="13" t="s">
        <v>375</v>
      </c>
      <c r="F1644" s="13">
        <v>0</v>
      </c>
      <c r="G1644" s="153">
        <v>2</v>
      </c>
      <c r="H1644" s="16">
        <f t="shared" si="25"/>
        <v>2</v>
      </c>
      <c r="I1644" s="13">
        <v>2</v>
      </c>
      <c r="J1644" s="160"/>
    </row>
    <row r="1645" spans="1:10">
      <c r="A1645" s="13" t="s">
        <v>9</v>
      </c>
      <c r="B1645" s="13" t="s">
        <v>379</v>
      </c>
      <c r="C1645" s="13" t="str">
        <f>VLOOKUP([1]Competence!$B71,[1]Competence!$B$12:$B$100,1,FALSE)</f>
        <v>Network Analytics</v>
      </c>
      <c r="D1645" s="13" t="e" cm="1">
        <f t="array" ref="D1645">_xlfn.XLOOKUP(B1645,[1]Baseline!$D$3:$AZ$3,_xlfn.XLOOKUP(C1645,[1]Baseline!$B$4:$B$91,[1]Baseline!$D$4:$AZ$91))</f>
        <v>#N/A</v>
      </c>
      <c r="E1645" s="13" t="s">
        <v>375</v>
      </c>
      <c r="F1645" s="13">
        <v>0</v>
      </c>
      <c r="G1645" s="153">
        <v>2</v>
      </c>
      <c r="H1645" s="16">
        <f t="shared" si="25"/>
        <v>2</v>
      </c>
      <c r="I1645" s="13">
        <v>2</v>
      </c>
      <c r="J1645" s="160"/>
    </row>
    <row r="1646" spans="1:10">
      <c r="A1646" s="13" t="s">
        <v>9</v>
      </c>
      <c r="B1646" s="13" t="s">
        <v>379</v>
      </c>
      <c r="C1646" s="13" t="str">
        <f>VLOOKUP([1]Competence!$B72,[1]Competence!$B$12:$B$100,1,FALSE)</f>
        <v>Network support</v>
      </c>
      <c r="D1646" s="13" t="e" cm="1">
        <f t="array" ref="D1646">_xlfn.XLOOKUP(B1646,[1]Baseline!$D$3:$AZ$3,_xlfn.XLOOKUP(C1646,[1]Baseline!$B$4:$B$91,[1]Baseline!$D$4:$AZ$91))</f>
        <v>#N/A</v>
      </c>
      <c r="E1646" s="13" t="s">
        <v>375</v>
      </c>
      <c r="F1646" s="13">
        <v>0</v>
      </c>
      <c r="G1646" s="153">
        <v>3</v>
      </c>
      <c r="H1646" s="16">
        <f t="shared" si="25"/>
        <v>3</v>
      </c>
      <c r="I1646" s="13">
        <v>3</v>
      </c>
      <c r="J1646" s="160"/>
    </row>
    <row r="1647" spans="1:10">
      <c r="A1647" s="13" t="s">
        <v>9</v>
      </c>
      <c r="B1647" s="13" t="s">
        <v>379</v>
      </c>
      <c r="C1647" s="13" t="str">
        <f>VLOOKUP([1]Competence!$B73,[1]Competence!$B$12:$B$100,1,FALSE)</f>
        <v>Programming/software development</v>
      </c>
      <c r="D1647" s="13" t="e" cm="1">
        <f t="array" ref="D1647">_xlfn.XLOOKUP(B1647,[1]Baseline!$D$3:$AZ$3,_xlfn.XLOOKUP(C1647,[1]Baseline!$B$4:$B$91,[1]Baseline!$D$4:$AZ$91))</f>
        <v>#N/A</v>
      </c>
      <c r="E1647" s="13" t="s">
        <v>375</v>
      </c>
      <c r="F1647" s="13">
        <v>0</v>
      </c>
      <c r="G1647" s="153">
        <v>1</v>
      </c>
      <c r="H1647" s="16">
        <f t="shared" si="25"/>
        <v>1</v>
      </c>
      <c r="I1647" s="13">
        <v>1</v>
      </c>
      <c r="J1647" s="160"/>
    </row>
    <row r="1648" spans="1:10">
      <c r="A1648" s="13" t="s">
        <v>9</v>
      </c>
      <c r="B1648" s="13" t="s">
        <v>379</v>
      </c>
      <c r="C1648" s="13" t="str">
        <f>VLOOKUP([1]Competence!$B74,[1]Competence!$B$12:$B$100,1,FALSE)</f>
        <v>Real-time/embedded systems development</v>
      </c>
      <c r="D1648" s="13" t="e" cm="1">
        <f t="array" ref="D1648">_xlfn.XLOOKUP(B1648,[1]Baseline!$D$3:$AZ$3,_xlfn.XLOOKUP(C1648,[1]Baseline!$B$4:$B$91,[1]Baseline!$D$4:$AZ$91))</f>
        <v>#N/A</v>
      </c>
      <c r="E1648" s="13" t="s">
        <v>375</v>
      </c>
      <c r="F1648" s="13">
        <v>0</v>
      </c>
      <c r="G1648" s="153">
        <v>1</v>
      </c>
      <c r="H1648" s="16">
        <f t="shared" si="25"/>
        <v>1</v>
      </c>
      <c r="I1648" s="13">
        <v>1</v>
      </c>
      <c r="J1648" s="160"/>
    </row>
    <row r="1649" spans="1:10">
      <c r="A1649" s="13" t="s">
        <v>9</v>
      </c>
      <c r="B1649" s="13" t="s">
        <v>379</v>
      </c>
      <c r="C1649" s="13" t="str">
        <f>VLOOKUP([1]Competence!$B75,[1]Competence!$B$12:$B$100,1,FALSE)</f>
        <v>Requirements definition and management</v>
      </c>
      <c r="D1649" s="13" t="e" cm="1">
        <f t="array" ref="D1649">_xlfn.XLOOKUP(B1649,[1]Baseline!$D$3:$AZ$3,_xlfn.XLOOKUP(C1649,[1]Baseline!$B$4:$B$91,[1]Baseline!$D$4:$AZ$91))</f>
        <v>#N/A</v>
      </c>
      <c r="E1649" s="13" t="s">
        <v>375</v>
      </c>
      <c r="F1649" s="13">
        <v>0</v>
      </c>
      <c r="G1649" s="153">
        <v>1</v>
      </c>
      <c r="H1649" s="16">
        <f t="shared" si="25"/>
        <v>1</v>
      </c>
      <c r="I1649" s="13">
        <v>1</v>
      </c>
      <c r="J1649" s="160"/>
    </row>
    <row r="1650" spans="1:10">
      <c r="A1650" s="13" t="s">
        <v>9</v>
      </c>
      <c r="B1650" s="13" t="s">
        <v>379</v>
      </c>
      <c r="C1650" s="13" t="str">
        <f>VLOOKUP([1]Competence!$B76,[1]Competence!$B$12:$B$100,1,FALSE)</f>
        <v>Software configuration</v>
      </c>
      <c r="D1650" s="13" t="e" cm="1">
        <f t="array" ref="D1650">_xlfn.XLOOKUP(B1650,[1]Baseline!$D$3:$AZ$3,_xlfn.XLOOKUP(C1650,[1]Baseline!$B$4:$B$91,[1]Baseline!$D$4:$AZ$91))</f>
        <v>#N/A</v>
      </c>
      <c r="E1650" s="13" t="s">
        <v>375</v>
      </c>
      <c r="F1650" s="13">
        <v>0</v>
      </c>
      <c r="G1650" s="153">
        <v>2</v>
      </c>
      <c r="H1650" s="16">
        <f t="shared" si="25"/>
        <v>2</v>
      </c>
      <c r="I1650" s="13">
        <v>2</v>
      </c>
      <c r="J1650" s="160"/>
    </row>
    <row r="1651" spans="1:10">
      <c r="A1651" s="13" t="s">
        <v>9</v>
      </c>
      <c r="B1651" s="13" t="s">
        <v>379</v>
      </c>
      <c r="C1651" s="13" t="str">
        <f>VLOOKUP([1]Competence!$B77,[1]Competence!$B$12:$B$100,1,FALSE)</f>
        <v>Software design</v>
      </c>
      <c r="D1651" s="13" t="e" cm="1">
        <f t="array" ref="D1651">_xlfn.XLOOKUP(B1651,[1]Baseline!$D$3:$AZ$3,_xlfn.XLOOKUP(C1651,[1]Baseline!$B$4:$B$91,[1]Baseline!$D$4:$AZ$91))</f>
        <v>#N/A</v>
      </c>
      <c r="E1651" s="13" t="s">
        <v>375</v>
      </c>
      <c r="F1651" s="13">
        <v>0</v>
      </c>
      <c r="G1651" s="153">
        <v>1</v>
      </c>
      <c r="H1651" s="16">
        <f t="shared" si="25"/>
        <v>1</v>
      </c>
      <c r="I1651" s="13">
        <v>1</v>
      </c>
      <c r="J1651" s="160"/>
    </row>
    <row r="1652" spans="1:10">
      <c r="A1652" s="13" t="s">
        <v>9</v>
      </c>
      <c r="B1652" s="13" t="s">
        <v>379</v>
      </c>
      <c r="C1652" s="13" t="str">
        <f>VLOOKUP([1]Competence!$B78,[1]Competence!$B$12:$B$100,1,FALSE)</f>
        <v>Solution architecture</v>
      </c>
      <c r="D1652" s="13" t="e" cm="1">
        <f t="array" ref="D1652">_xlfn.XLOOKUP(B1652,[1]Baseline!$D$3:$AZ$3,_xlfn.XLOOKUP(C1652,[1]Baseline!$B$4:$B$91,[1]Baseline!$D$4:$AZ$91))</f>
        <v>#N/A</v>
      </c>
      <c r="E1652" s="13" t="s">
        <v>373</v>
      </c>
      <c r="F1652" s="13">
        <v>0</v>
      </c>
      <c r="G1652" s="153">
        <v>1</v>
      </c>
      <c r="H1652" s="16">
        <f t="shared" si="25"/>
        <v>1</v>
      </c>
      <c r="I1652" s="13">
        <v>1</v>
      </c>
      <c r="J1652" s="160"/>
    </row>
    <row r="1653" spans="1:10">
      <c r="A1653" s="13" t="s">
        <v>9</v>
      </c>
      <c r="B1653" s="13" t="s">
        <v>379</v>
      </c>
      <c r="C1653" s="13" t="str">
        <f>VLOOKUP([1]Competence!$B79,[1]Competence!$B$12:$B$100,1,FALSE)</f>
        <v>System software</v>
      </c>
      <c r="D1653" s="13" t="e" cm="1">
        <f t="array" ref="D1653">_xlfn.XLOOKUP(B1653,[1]Baseline!$D$3:$AZ$3,_xlfn.XLOOKUP(C1653,[1]Baseline!$B$4:$B$91,[1]Baseline!$D$4:$AZ$91))</f>
        <v>#N/A</v>
      </c>
      <c r="E1653" s="13" t="s">
        <v>373</v>
      </c>
      <c r="F1653" s="13">
        <v>0</v>
      </c>
      <c r="G1653" s="153">
        <v>2</v>
      </c>
      <c r="H1653" s="16">
        <f t="shared" si="25"/>
        <v>2</v>
      </c>
      <c r="I1653" s="13">
        <v>2</v>
      </c>
      <c r="J1653" s="160"/>
    </row>
    <row r="1654" spans="1:10">
      <c r="A1654" s="13" t="s">
        <v>9</v>
      </c>
      <c r="B1654" s="13" t="s">
        <v>379</v>
      </c>
      <c r="C1654" s="13" t="str">
        <f>VLOOKUP([1]Competence!$B80,[1]Competence!$B$12:$B$100,1,FALSE)</f>
        <v>Systems and software life cycle engineering</v>
      </c>
      <c r="D1654" s="13" t="e" cm="1">
        <f t="array" ref="D1654">_xlfn.XLOOKUP(B1654,[1]Baseline!$D$3:$AZ$3,_xlfn.XLOOKUP(C1654,[1]Baseline!$B$4:$B$91,[1]Baseline!$D$4:$AZ$91))</f>
        <v>#N/A</v>
      </c>
      <c r="E1654" s="13" t="s">
        <v>373</v>
      </c>
      <c r="F1654" s="13">
        <v>0</v>
      </c>
      <c r="G1654" s="153">
        <v>1</v>
      </c>
      <c r="H1654" s="16">
        <f t="shared" si="25"/>
        <v>1</v>
      </c>
      <c r="I1654" s="13">
        <v>1</v>
      </c>
      <c r="J1654" s="160"/>
    </row>
    <row r="1655" spans="1:10">
      <c r="A1655" s="13" t="s">
        <v>9</v>
      </c>
      <c r="B1655" s="13" t="s">
        <v>379</v>
      </c>
      <c r="C1655" s="13" t="str">
        <f>VLOOKUP([1]Competence!$B81,[1]Competence!$B$12:$B$100,1,FALSE)</f>
        <v>Systems design</v>
      </c>
      <c r="D1655" s="13" t="e" cm="1">
        <f t="array" ref="D1655">_xlfn.XLOOKUP(B1655,[1]Baseline!$D$3:$AZ$3,_xlfn.XLOOKUP(C1655,[1]Baseline!$B$4:$B$91,[1]Baseline!$D$4:$AZ$91))</f>
        <v>#N/A</v>
      </c>
      <c r="E1655" s="13" t="s">
        <v>373</v>
      </c>
      <c r="F1655" s="13">
        <v>0</v>
      </c>
      <c r="G1655" s="153">
        <v>1</v>
      </c>
      <c r="H1655" s="16">
        <f t="shared" si="25"/>
        <v>1</v>
      </c>
      <c r="I1655" s="13">
        <v>1</v>
      </c>
      <c r="J1655" s="160"/>
    </row>
    <row r="1656" spans="1:10">
      <c r="A1656" s="13" t="s">
        <v>9</v>
      </c>
      <c r="B1656" s="13" t="s">
        <v>379</v>
      </c>
      <c r="C1656" s="13" t="str">
        <f>VLOOKUP([1]Competence!$B82,[1]Competence!$B$12:$B$100,1,FALSE)</f>
        <v>Systems development management</v>
      </c>
      <c r="D1656" s="13" t="e" cm="1">
        <f t="array" ref="D1656">_xlfn.XLOOKUP(B1656,[1]Baseline!$D$3:$AZ$3,_xlfn.XLOOKUP(C1656,[1]Baseline!$B$4:$B$91,[1]Baseline!$D$4:$AZ$91))</f>
        <v>#N/A</v>
      </c>
      <c r="E1656" s="13" t="s">
        <v>374</v>
      </c>
      <c r="F1656" s="13">
        <v>0</v>
      </c>
      <c r="G1656" s="153">
        <v>1</v>
      </c>
      <c r="H1656" s="16">
        <f t="shared" si="25"/>
        <v>1</v>
      </c>
      <c r="I1656" s="13">
        <v>1</v>
      </c>
      <c r="J1656" s="160"/>
    </row>
    <row r="1657" spans="1:10">
      <c r="A1657" s="13" t="s">
        <v>9</v>
      </c>
      <c r="B1657" s="13" t="s">
        <v>379</v>
      </c>
      <c r="C1657" s="13" t="str">
        <f>VLOOKUP([1]Competence!$B83,[1]Competence!$B$12:$B$100,1,FALSE)</f>
        <v>Systems installation and removal</v>
      </c>
      <c r="D1657" s="13" t="e" cm="1">
        <f t="array" ref="D1657">_xlfn.XLOOKUP(B1657,[1]Baseline!$D$3:$AZ$3,_xlfn.XLOOKUP(C1657,[1]Baseline!$B$4:$B$91,[1]Baseline!$D$4:$AZ$91))</f>
        <v>#N/A</v>
      </c>
      <c r="E1657" s="13" t="s">
        <v>377</v>
      </c>
      <c r="F1657" s="13">
        <v>0</v>
      </c>
      <c r="G1657" s="153">
        <v>2</v>
      </c>
      <c r="H1657" s="16">
        <f t="shared" si="25"/>
        <v>2</v>
      </c>
      <c r="I1657" s="13">
        <v>2</v>
      </c>
      <c r="J1657" s="160"/>
    </row>
    <row r="1658" spans="1:10">
      <c r="A1658" s="13" t="s">
        <v>9</v>
      </c>
      <c r="B1658" s="13" t="s">
        <v>379</v>
      </c>
      <c r="C1658" s="13" t="str">
        <f>VLOOKUP([1]Competence!$B84,[1]Competence!$B$12:$B$100,1,FALSE)</f>
        <v>Testing</v>
      </c>
      <c r="D1658" s="13" t="e" cm="1">
        <f t="array" ref="D1658">_xlfn.XLOOKUP(B1658,[1]Baseline!$D$3:$AZ$3,_xlfn.XLOOKUP(C1658,[1]Baseline!$B$4:$B$91,[1]Baseline!$D$4:$AZ$91))</f>
        <v>#N/A</v>
      </c>
      <c r="E1658" s="13" t="s">
        <v>378</v>
      </c>
      <c r="F1658" s="13">
        <v>1</v>
      </c>
      <c r="G1658" s="153">
        <v>1</v>
      </c>
      <c r="H1658" s="16">
        <f t="shared" si="25"/>
        <v>0</v>
      </c>
      <c r="I1658" s="13">
        <v>1</v>
      </c>
      <c r="J1658" s="160"/>
    </row>
    <row r="1659" spans="1:10">
      <c r="A1659" s="13" t="s">
        <v>9</v>
      </c>
      <c r="B1659" s="13" t="s">
        <v>379</v>
      </c>
      <c r="C1659" s="13" t="str">
        <f>VLOOKUP([1]Competence!$B85,[1]Competence!$B$12:$B$100,1,FALSE)</f>
        <v>Innovation</v>
      </c>
      <c r="D1659" s="13" t="e" cm="1">
        <f t="array" ref="D1659">_xlfn.XLOOKUP(B1659,[1]Baseline!$D$3:$AZ$3,_xlfn.XLOOKUP(C1659,[1]Baseline!$B$4:$B$91,[1]Baseline!$D$4:$AZ$91))</f>
        <v>#N/A</v>
      </c>
      <c r="E1659" s="13" t="s">
        <v>378</v>
      </c>
      <c r="F1659" s="13">
        <v>0</v>
      </c>
      <c r="G1659" s="153">
        <v>2</v>
      </c>
      <c r="H1659" s="16">
        <f t="shared" si="25"/>
        <v>2</v>
      </c>
      <c r="I1659" s="13">
        <v>2</v>
      </c>
      <c r="J1659" s="160"/>
    </row>
    <row r="1660" spans="1:10">
      <c r="A1660" s="13" t="s">
        <v>9</v>
      </c>
      <c r="B1660" s="13" t="s">
        <v>379</v>
      </c>
      <c r="C1660" s="13" t="str">
        <f>VLOOKUP([1]Competence!$B86,[1]Competence!$B$12:$B$100,1,FALSE)</f>
        <v>Specialist Advice</v>
      </c>
      <c r="D1660" s="13" t="e" cm="1">
        <f t="array" ref="D1660">_xlfn.XLOOKUP(B1660,[1]Baseline!$D$3:$AZ$3,_xlfn.XLOOKUP(C1660,[1]Baseline!$B$4:$B$91,[1]Baseline!$D$4:$AZ$91))</f>
        <v>#N/A</v>
      </c>
      <c r="E1660" s="13" t="s">
        <v>378</v>
      </c>
      <c r="F1660" s="13">
        <v>0</v>
      </c>
      <c r="G1660" s="153">
        <v>2</v>
      </c>
      <c r="H1660" s="16">
        <f t="shared" si="25"/>
        <v>2</v>
      </c>
      <c r="I1660" s="13">
        <v>2</v>
      </c>
      <c r="J1660" s="160"/>
    </row>
    <row r="1661" spans="1:10">
      <c r="A1661" s="13" t="s">
        <v>9</v>
      </c>
      <c r="B1661" s="13" t="s">
        <v>379</v>
      </c>
      <c r="C1661" s="13" t="str">
        <f>VLOOKUP([1]Competence!$B87,[1]Competence!$B$12:$B$100,1,FALSE)</f>
        <v>Emerging technology monitoring</v>
      </c>
      <c r="D1661" s="13" t="e" cm="1">
        <f t="array" ref="D1661">_xlfn.XLOOKUP(B1661,[1]Baseline!$D$3:$AZ$3,_xlfn.XLOOKUP(C1661,[1]Baseline!$B$4:$B$91,[1]Baseline!$D$4:$AZ$91))</f>
        <v>#N/A</v>
      </c>
      <c r="E1661" s="13" t="s">
        <v>378</v>
      </c>
      <c r="F1661" s="13">
        <v>0</v>
      </c>
      <c r="G1661" s="153">
        <v>2</v>
      </c>
      <c r="H1661" s="16">
        <f t="shared" si="25"/>
        <v>2</v>
      </c>
      <c r="I1661" s="13">
        <v>2</v>
      </c>
      <c r="J1661" s="160"/>
    </row>
    <row r="1662" spans="1:10">
      <c r="A1662" s="13" t="s">
        <v>9</v>
      </c>
      <c r="B1662" s="13" t="s">
        <v>379</v>
      </c>
      <c r="C1662" s="13" t="str">
        <f>VLOOKUP([1]Competence!$B88,[1]Competence!$B$12:$B$100,1,FALSE)</f>
        <v>Systems integration and build</v>
      </c>
      <c r="D1662" s="13" t="e" cm="1">
        <f t="array" ref="D1662">_xlfn.XLOOKUP(B1662,[1]Baseline!$D$3:$AZ$3,_xlfn.XLOOKUP(C1662,[1]Baseline!$B$4:$B$91,[1]Baseline!$D$4:$AZ$91))</f>
        <v>#N/A</v>
      </c>
      <c r="E1662" s="13" t="s">
        <v>49</v>
      </c>
      <c r="F1662" s="13">
        <v>1</v>
      </c>
      <c r="G1662" s="153">
        <v>2</v>
      </c>
      <c r="H1662" s="16">
        <f t="shared" si="25"/>
        <v>1</v>
      </c>
      <c r="I1662" s="13">
        <v>2</v>
      </c>
      <c r="J1662" s="160"/>
    </row>
    <row r="1663" spans="1:10">
      <c r="A1663" s="13" t="s">
        <v>9</v>
      </c>
      <c r="B1663" s="13" t="s">
        <v>379</v>
      </c>
      <c r="C1663" s="13" t="str">
        <f>VLOOKUP([1]Competence!$B89,[1]Competence!$B$12:$B$100,1,FALSE)</f>
        <v>Audio Visual</v>
      </c>
      <c r="D1663" s="13" t="e" cm="1">
        <f t="array" ref="D1663">_xlfn.XLOOKUP(B1663,[1]Baseline!$D$3:$AZ$3,_xlfn.XLOOKUP(C1663,[1]Baseline!$B$4:$B$91,[1]Baseline!$D$4:$AZ$91))</f>
        <v>#N/A</v>
      </c>
      <c r="E1663" s="13" t="s">
        <v>375</v>
      </c>
      <c r="F1663" s="13">
        <v>0</v>
      </c>
      <c r="G1663" s="153">
        <v>3</v>
      </c>
      <c r="H1663" s="16">
        <f t="shared" si="25"/>
        <v>3</v>
      </c>
      <c r="I1663" s="13">
        <v>3</v>
      </c>
      <c r="J1663" s="160"/>
    </row>
    <row r="1664" spans="1:10">
      <c r="A1664" s="13" t="s">
        <v>9</v>
      </c>
      <c r="B1664" s="13" t="s">
        <v>379</v>
      </c>
      <c r="C1664" s="13" t="str">
        <f>VLOOKUP([1]Competence!$B90,[1]Competence!$B$12:$B$100,1,FALSE)</f>
        <v>Augmented Reality</v>
      </c>
      <c r="D1664" s="13" t="e" cm="1">
        <f t="array" ref="D1664">_xlfn.XLOOKUP(B1664,[1]Baseline!$D$3:$AZ$3,_xlfn.XLOOKUP(C1664,[1]Baseline!$B$4:$B$91,[1]Baseline!$D$4:$AZ$91))</f>
        <v>#N/A</v>
      </c>
      <c r="E1664" s="13" t="s">
        <v>375</v>
      </c>
      <c r="F1664" s="13">
        <v>0</v>
      </c>
      <c r="G1664" s="153">
        <v>2</v>
      </c>
      <c r="H1664" s="16">
        <f t="shared" si="25"/>
        <v>2</v>
      </c>
      <c r="I1664" s="13">
        <v>2</v>
      </c>
      <c r="J1664" s="160"/>
    </row>
    <row r="1665" spans="1:10">
      <c r="A1665" s="13" t="s">
        <v>9</v>
      </c>
      <c r="B1665" s="13" t="s">
        <v>379</v>
      </c>
      <c r="C1665" s="13" t="str">
        <f>VLOOKUP([1]Competence!$B91,[1]Competence!$B$12:$B$100,1,FALSE)</f>
        <v>Benefits management</v>
      </c>
      <c r="D1665" s="13" t="e" cm="1">
        <f t="array" ref="D1665">_xlfn.XLOOKUP(B1665,[1]Baseline!$D$3:$AZ$3,_xlfn.XLOOKUP(C1665,[1]Baseline!$B$4:$B$91,[1]Baseline!$D$4:$AZ$91))</f>
        <v>#N/A</v>
      </c>
      <c r="E1665" s="13" t="s">
        <v>375</v>
      </c>
      <c r="F1665" s="13">
        <v>0</v>
      </c>
      <c r="G1665" s="153">
        <v>1</v>
      </c>
      <c r="H1665" s="16">
        <f t="shared" si="25"/>
        <v>1</v>
      </c>
      <c r="I1665" s="13">
        <v>1</v>
      </c>
      <c r="J1665" s="160"/>
    </row>
    <row r="1666" spans="1:10">
      <c r="A1666" s="13" t="s">
        <v>9</v>
      </c>
      <c r="B1666" s="13" t="s">
        <v>379</v>
      </c>
      <c r="C1666" s="13" t="str">
        <f>VLOOKUP([1]Competence!$B92,[1]Competence!$B$12:$B$100,1,FALSE)</f>
        <v>Business administration</v>
      </c>
      <c r="D1666" s="13" t="e" cm="1">
        <f t="array" ref="D1666">_xlfn.XLOOKUP(B1666,[1]Baseline!$D$3:$AZ$3,_xlfn.XLOOKUP(C1666,[1]Baseline!$B$4:$B$91,[1]Baseline!$D$4:$AZ$91))</f>
        <v>#N/A</v>
      </c>
      <c r="E1666" s="13" t="s">
        <v>375</v>
      </c>
      <c r="F1666" s="13">
        <v>0</v>
      </c>
      <c r="G1666" s="153">
        <v>2</v>
      </c>
      <c r="H1666" s="16">
        <f t="shared" ref="H1666:H1729" si="26">I1666-F1666</f>
        <v>2</v>
      </c>
      <c r="I1666" s="13">
        <v>2</v>
      </c>
      <c r="J1666" s="160"/>
    </row>
    <row r="1667" spans="1:10">
      <c r="A1667" s="13" t="s">
        <v>9</v>
      </c>
      <c r="B1667" s="13" t="s">
        <v>379</v>
      </c>
      <c r="C1667" s="13" t="str">
        <f>VLOOKUP([1]Competence!$B93,[1]Competence!$B$12:$B$100,1,FALSE)</f>
        <v>Business intelligence</v>
      </c>
      <c r="D1667" s="13" t="e" cm="1">
        <f t="array" ref="D1667">_xlfn.XLOOKUP(B1667,[1]Baseline!$D$3:$AZ$3,_xlfn.XLOOKUP(C1667,[1]Baseline!$B$4:$B$91,[1]Baseline!$D$4:$AZ$91))</f>
        <v>#N/A</v>
      </c>
      <c r="E1667" s="13" t="s">
        <v>375</v>
      </c>
      <c r="F1667" s="13">
        <v>0</v>
      </c>
      <c r="G1667" s="153">
        <v>0</v>
      </c>
      <c r="H1667" s="16">
        <f t="shared" si="26"/>
        <v>0</v>
      </c>
      <c r="I1667" s="13">
        <v>0</v>
      </c>
      <c r="J1667" s="160"/>
    </row>
    <row r="1668" spans="1:10">
      <c r="A1668" s="13" t="s">
        <v>9</v>
      </c>
      <c r="B1668" s="13" t="s">
        <v>379</v>
      </c>
      <c r="C1668" s="13" t="str">
        <f>VLOOKUP([1]Competence!$B94,[1]Competence!$B$12:$B$100,1,FALSE)</f>
        <v>Business modelling</v>
      </c>
      <c r="D1668" s="13" t="e" cm="1">
        <f t="array" ref="D1668">_xlfn.XLOOKUP(B1668,[1]Baseline!$D$3:$AZ$3,_xlfn.XLOOKUP(C1668,[1]Baseline!$B$4:$B$91,[1]Baseline!$D$4:$AZ$91))</f>
        <v>#N/A</v>
      </c>
      <c r="E1668" s="13" t="s">
        <v>375</v>
      </c>
      <c r="F1668" s="13">
        <v>0</v>
      </c>
      <c r="G1668" s="153">
        <v>1</v>
      </c>
      <c r="H1668" s="16">
        <f t="shared" si="26"/>
        <v>1</v>
      </c>
      <c r="I1668" s="13">
        <v>1</v>
      </c>
      <c r="J1668" s="160"/>
    </row>
    <row r="1669" spans="1:10">
      <c r="A1669" s="13" t="s">
        <v>9</v>
      </c>
      <c r="B1669" s="13" t="s">
        <v>379</v>
      </c>
      <c r="C1669" s="13" t="str">
        <f>VLOOKUP([1]Competence!$B95,[1]Competence!$B$12:$B$100,1,FALSE)</f>
        <v>Business process improvement</v>
      </c>
      <c r="D1669" s="13" t="e" cm="1">
        <f t="array" ref="D1669">_xlfn.XLOOKUP(B1669,[1]Baseline!$D$3:$AZ$3,_xlfn.XLOOKUP(C1669,[1]Baseline!$B$4:$B$91,[1]Baseline!$D$4:$AZ$91))</f>
        <v>#N/A</v>
      </c>
      <c r="E1669" s="13" t="s">
        <v>375</v>
      </c>
      <c r="F1669" s="13">
        <v>0</v>
      </c>
      <c r="G1669" s="153">
        <v>0</v>
      </c>
      <c r="H1669" s="16">
        <f t="shared" si="26"/>
        <v>0</v>
      </c>
      <c r="I1669" s="13">
        <v>0</v>
      </c>
      <c r="J1669" s="160"/>
    </row>
    <row r="1670" spans="1:10">
      <c r="A1670" s="13" t="s">
        <v>9</v>
      </c>
      <c r="B1670" s="13" t="s">
        <v>379</v>
      </c>
      <c r="C1670" s="13" t="str">
        <f>VLOOKUP([1]Competence!$B96,[1]Competence!$B$12:$B$100,1,FALSE)</f>
        <v>Business situation analysis</v>
      </c>
      <c r="D1670" s="13" t="e" cm="1">
        <f t="array" ref="D1670">_xlfn.XLOOKUP(B1670,[1]Baseline!$D$3:$AZ$3,_xlfn.XLOOKUP(C1670,[1]Baseline!$B$4:$B$91,[1]Baseline!$D$4:$AZ$91))</f>
        <v>#N/A</v>
      </c>
      <c r="E1670" s="13" t="s">
        <v>375</v>
      </c>
      <c r="F1670" s="13">
        <v>0</v>
      </c>
      <c r="G1670" s="153">
        <v>0</v>
      </c>
      <c r="H1670" s="16">
        <f t="shared" si="26"/>
        <v>0</v>
      </c>
      <c r="I1670" s="13">
        <v>0</v>
      </c>
      <c r="J1670" s="160"/>
    </row>
    <row r="1671" spans="1:10">
      <c r="A1671" s="13" t="s">
        <v>9</v>
      </c>
      <c r="B1671" s="13" t="s">
        <v>379</v>
      </c>
      <c r="C1671" s="13" t="str">
        <f>VLOOKUP([1]Competence!$B97,[1]Competence!$B$12:$B$100,1,FALSE)</f>
        <v>Programme management</v>
      </c>
      <c r="D1671" s="13" t="e" cm="1">
        <f t="array" ref="D1671">_xlfn.XLOOKUP(B1671,[1]Baseline!$D$3:$AZ$3,_xlfn.XLOOKUP(C1671,[1]Baseline!$B$4:$B$91,[1]Baseline!$D$4:$AZ$91))</f>
        <v>#N/A</v>
      </c>
      <c r="E1671" s="13" t="s">
        <v>375</v>
      </c>
      <c r="F1671" s="13">
        <v>1</v>
      </c>
      <c r="G1671" s="153">
        <v>1</v>
      </c>
      <c r="H1671" s="16">
        <f t="shared" si="26"/>
        <v>0</v>
      </c>
      <c r="I1671" s="13">
        <v>1</v>
      </c>
      <c r="J1671" s="160"/>
    </row>
    <row r="1672" spans="1:10">
      <c r="A1672" s="13" t="s">
        <v>9</v>
      </c>
      <c r="B1672" s="13" t="s">
        <v>379</v>
      </c>
      <c r="C1672" s="13" t="str">
        <f>VLOOKUP([1]Competence!$B98,[1]Competence!$B$12:$B$100,1,FALSE)</f>
        <v>Project management</v>
      </c>
      <c r="D1672" s="13" t="e" cm="1">
        <f t="array" ref="D1672">_xlfn.XLOOKUP(B1672,[1]Baseline!$D$3:$AZ$3,_xlfn.XLOOKUP(C1672,[1]Baseline!$B$4:$B$91,[1]Baseline!$D$4:$AZ$91))</f>
        <v>#N/A</v>
      </c>
      <c r="E1672" s="13" t="s">
        <v>375</v>
      </c>
      <c r="F1672" s="13">
        <v>0</v>
      </c>
      <c r="G1672" s="153">
        <v>1</v>
      </c>
      <c r="H1672" s="16">
        <f t="shared" si="26"/>
        <v>1</v>
      </c>
      <c r="I1672" s="13">
        <v>1</v>
      </c>
      <c r="J1672" s="160"/>
    </row>
    <row r="1673" spans="1:10">
      <c r="A1673" s="13" t="s">
        <v>9</v>
      </c>
      <c r="B1673" s="13" t="s">
        <v>379</v>
      </c>
      <c r="C1673" s="13" t="str">
        <f>VLOOKUP([1]Competence!$B99,[1]Competence!$B$12:$B$100,1,FALSE)</f>
        <v>Quality assurance</v>
      </c>
      <c r="D1673" s="13" t="e" cm="1">
        <f t="array" ref="D1673">_xlfn.XLOOKUP(B1673,[1]Baseline!$D$3:$AZ$3,_xlfn.XLOOKUP(C1673,[1]Baseline!$B$4:$B$91,[1]Baseline!$D$4:$AZ$91))</f>
        <v>#N/A</v>
      </c>
      <c r="E1673" s="13" t="s">
        <v>373</v>
      </c>
      <c r="F1673" s="13">
        <v>0</v>
      </c>
      <c r="G1673" s="153">
        <v>1</v>
      </c>
      <c r="H1673" s="16">
        <f t="shared" si="26"/>
        <v>1</v>
      </c>
      <c r="I1673" s="13">
        <v>1</v>
      </c>
      <c r="J1673" s="160"/>
    </row>
    <row r="1674" spans="1:10">
      <c r="A1674" s="13" t="s">
        <v>10</v>
      </c>
      <c r="B1674" s="16" t="s">
        <v>84</v>
      </c>
      <c r="C1674" s="14" t="str">
        <f>VLOOKUP([1]Competence!$B12,[1]Competence!$B$12:$B$100,1,FALSE)</f>
        <v>Asset Management</v>
      </c>
      <c r="D1674" s="13" t="str" cm="1">
        <f t="array" ref="D1674">_xlfn.XLOOKUP(B1674,[1]Baseline!$D$3:$AZ$3,_xlfn.XLOOKUP(C1674,[1]Baseline!$B$4:$B$91,[1]Baseline!$D$4:$AZ$91))</f>
        <v>Practitioner</v>
      </c>
      <c r="E1674" s="16"/>
      <c r="F1674" s="14">
        <v>3</v>
      </c>
      <c r="G1674" s="16">
        <v>2</v>
      </c>
      <c r="H1674" s="16">
        <f t="shared" si="26"/>
        <v>-1</v>
      </c>
      <c r="I1674" s="13">
        <v>2</v>
      </c>
    </row>
    <row r="1675" spans="1:10">
      <c r="A1675" s="13" t="s">
        <v>10</v>
      </c>
      <c r="B1675" s="16" t="s">
        <v>84</v>
      </c>
      <c r="C1675" s="14" t="str">
        <f>VLOOKUP([1]Competence!$B13,[1]Competence!$B$12:$B$100,1,FALSE)</f>
        <v>Change Control</v>
      </c>
      <c r="D1675" s="13" t="str" cm="1">
        <f t="array" ref="D1675">_xlfn.XLOOKUP(B1675,[1]Baseline!$D$3:$AZ$3,_xlfn.XLOOKUP(C1675,[1]Baseline!$B$4:$B$91,[1]Baseline!$D$4:$AZ$91))</f>
        <v>Practitioner</v>
      </c>
      <c r="E1675" s="16"/>
      <c r="F1675" s="14">
        <v>3</v>
      </c>
      <c r="G1675" s="16">
        <v>3</v>
      </c>
      <c r="H1675" s="16">
        <f t="shared" si="26"/>
        <v>0</v>
      </c>
      <c r="I1675" s="13">
        <v>3</v>
      </c>
    </row>
    <row r="1676" spans="1:10">
      <c r="A1676" s="13" t="s">
        <v>10</v>
      </c>
      <c r="B1676" s="16" t="s">
        <v>84</v>
      </c>
      <c r="C1676" s="14" t="str">
        <f>VLOOKUP([1]Competence!$B14,[1]Competence!$B$12:$B$100,1,FALSE)</f>
        <v>Customer Service Support</v>
      </c>
      <c r="D1676" s="13" t="str" cm="1">
        <f t="array" ref="D1676">_xlfn.XLOOKUP(B1676,[1]Baseline!$D$3:$AZ$3,_xlfn.XLOOKUP(C1676,[1]Baseline!$B$4:$B$91,[1]Baseline!$D$4:$AZ$91))</f>
        <v>Practitioner</v>
      </c>
      <c r="E1676" s="16"/>
      <c r="F1676" s="14">
        <v>3</v>
      </c>
      <c r="G1676" s="16">
        <v>4</v>
      </c>
      <c r="H1676" s="16">
        <f t="shared" si="26"/>
        <v>1</v>
      </c>
      <c r="I1676" s="13">
        <v>4</v>
      </c>
    </row>
    <row r="1677" spans="1:10">
      <c r="A1677" s="13" t="s">
        <v>10</v>
      </c>
      <c r="B1677" s="16" t="s">
        <v>84</v>
      </c>
      <c r="C1677" s="14" t="str">
        <f>VLOOKUP([1]Competence!$B15,[1]Competence!$B$12:$B$100,1,FALSE)</f>
        <v>Incident management</v>
      </c>
      <c r="D1677" s="13" t="str" cm="1">
        <f t="array" ref="D1677">_xlfn.XLOOKUP(B1677,[1]Baseline!$D$3:$AZ$3,_xlfn.XLOOKUP(C1677,[1]Baseline!$B$4:$B$91,[1]Baseline!$D$4:$AZ$91))</f>
        <v>Practitioner</v>
      </c>
      <c r="E1677" s="16"/>
      <c r="F1677" s="14">
        <v>3</v>
      </c>
      <c r="G1677" s="16">
        <v>3</v>
      </c>
      <c r="H1677" s="16">
        <f t="shared" si="26"/>
        <v>0</v>
      </c>
      <c r="I1677" s="13">
        <v>3</v>
      </c>
    </row>
    <row r="1678" spans="1:10">
      <c r="A1678" s="13" t="s">
        <v>10</v>
      </c>
      <c r="B1678" s="16" t="s">
        <v>84</v>
      </c>
      <c r="C1678" s="14" t="str">
        <f>VLOOKUP([1]Competence!$B16,[1]Competence!$B$12:$B$100,1,FALSE)</f>
        <v>Information security</v>
      </c>
      <c r="D1678" s="13" t="str" cm="1">
        <f t="array" ref="D1678">_xlfn.XLOOKUP(B1678,[1]Baseline!$D$3:$AZ$3,_xlfn.XLOOKUP(C1678,[1]Baseline!$B$4:$B$91,[1]Baseline!$D$4:$AZ$91))</f>
        <v>Practitioner</v>
      </c>
      <c r="E1678" s="16"/>
      <c r="F1678" s="14">
        <v>3</v>
      </c>
      <c r="G1678" s="16">
        <v>3</v>
      </c>
      <c r="H1678" s="16">
        <f t="shared" si="26"/>
        <v>0</v>
      </c>
      <c r="I1678" s="13">
        <v>3</v>
      </c>
    </row>
    <row r="1679" spans="1:10">
      <c r="A1679" s="13" t="s">
        <v>10</v>
      </c>
      <c r="B1679" s="16" t="s">
        <v>84</v>
      </c>
      <c r="C1679" s="14" t="str">
        <f>VLOOKUP([1]Competence!$B17,[1]Competence!$B$12:$B$100,1,FALSE)</f>
        <v>Personal data protection</v>
      </c>
      <c r="D1679" s="13" t="str" cm="1">
        <f t="array" ref="D1679">_xlfn.XLOOKUP(B1679,[1]Baseline!$D$3:$AZ$3,_xlfn.XLOOKUP(C1679,[1]Baseline!$B$4:$B$91,[1]Baseline!$D$4:$AZ$91))</f>
        <v>Practitioner</v>
      </c>
      <c r="E1679" s="16"/>
      <c r="F1679" s="14">
        <v>3</v>
      </c>
      <c r="G1679" s="16">
        <v>3</v>
      </c>
      <c r="H1679" s="16">
        <f t="shared" si="26"/>
        <v>0</v>
      </c>
      <c r="I1679" s="13">
        <v>3</v>
      </c>
    </row>
    <row r="1680" spans="1:10">
      <c r="A1680" s="13" t="s">
        <v>10</v>
      </c>
      <c r="B1680" s="16" t="s">
        <v>84</v>
      </c>
      <c r="C1680" s="14" t="str">
        <f>VLOOKUP([1]Competence!$B18,[1]Competence!$B$12:$B$100,1,FALSE)</f>
        <v>Problem management</v>
      </c>
      <c r="D1680" s="13" t="str" cm="1">
        <f t="array" ref="D1680">_xlfn.XLOOKUP(B1680,[1]Baseline!$D$3:$AZ$3,_xlfn.XLOOKUP(C1680,[1]Baseline!$B$4:$B$91,[1]Baseline!$D$4:$AZ$91))</f>
        <v>Working</v>
      </c>
      <c r="E1680" s="16"/>
      <c r="F1680" s="14">
        <v>2</v>
      </c>
      <c r="G1680" s="16">
        <v>2</v>
      </c>
      <c r="H1680" s="16">
        <f t="shared" si="26"/>
        <v>0</v>
      </c>
      <c r="I1680" s="13">
        <v>2</v>
      </c>
    </row>
    <row r="1681" spans="1:9">
      <c r="A1681" s="13" t="s">
        <v>10</v>
      </c>
      <c r="B1681" s="16" t="s">
        <v>84</v>
      </c>
      <c r="C1681" s="14" t="str">
        <f>VLOOKUP([1]Competence!$B19,[1]Competence!$B$12:$B$100,1,FALSE)</f>
        <v>Service catalogue management</v>
      </c>
      <c r="D1681" s="13" t="str" cm="1">
        <f t="array" ref="D1681">_xlfn.XLOOKUP(B1681,[1]Baseline!$D$3:$AZ$3,_xlfn.XLOOKUP(C1681,[1]Baseline!$B$4:$B$91,[1]Baseline!$D$4:$AZ$91))</f>
        <v>Working</v>
      </c>
      <c r="E1681" s="16"/>
      <c r="F1681" s="14">
        <v>2</v>
      </c>
      <c r="G1681" s="16">
        <v>3</v>
      </c>
      <c r="H1681" s="16">
        <f t="shared" si="26"/>
        <v>1</v>
      </c>
      <c r="I1681" s="13">
        <v>3</v>
      </c>
    </row>
    <row r="1682" spans="1:9">
      <c r="A1682" s="13" t="s">
        <v>10</v>
      </c>
      <c r="B1682" s="16" t="s">
        <v>84</v>
      </c>
      <c r="C1682" s="14" t="str">
        <f>VLOOKUP([1]Competence!$B20,[1]Competence!$B$12:$B$100,1,FALSE)</f>
        <v>Service level management</v>
      </c>
      <c r="D1682" s="13" t="str" cm="1">
        <f t="array" ref="D1682">_xlfn.XLOOKUP(B1682,[1]Baseline!$D$3:$AZ$3,_xlfn.XLOOKUP(C1682,[1]Baseline!$B$4:$B$91,[1]Baseline!$D$4:$AZ$91))</f>
        <v>Working</v>
      </c>
      <c r="E1682" s="16"/>
      <c r="F1682" s="14">
        <v>2</v>
      </c>
      <c r="G1682" s="16">
        <v>3</v>
      </c>
      <c r="H1682" s="16">
        <f t="shared" si="26"/>
        <v>1</v>
      </c>
      <c r="I1682" s="13">
        <v>3</v>
      </c>
    </row>
    <row r="1683" spans="1:9">
      <c r="A1683" s="13" t="s">
        <v>10</v>
      </c>
      <c r="B1683" s="16" t="s">
        <v>84</v>
      </c>
      <c r="C1683" s="14" t="str">
        <f>VLOOKUP([1]Competence!$B21,[1]Competence!$B$12:$B$100,1,FALSE)</f>
        <v>Availability Management</v>
      </c>
      <c r="D1683" s="13" t="str" cm="1">
        <f t="array" ref="D1683">_xlfn.XLOOKUP(B1683,[1]Baseline!$D$3:$AZ$3,_xlfn.XLOOKUP(C1683,[1]Baseline!$B$4:$B$91,[1]Baseline!$D$4:$AZ$91))</f>
        <v>Practitioner</v>
      </c>
      <c r="E1683" s="16"/>
      <c r="F1683" s="14">
        <v>3</v>
      </c>
      <c r="G1683" s="16">
        <v>2</v>
      </c>
      <c r="H1683" s="16">
        <f t="shared" si="26"/>
        <v>-1</v>
      </c>
      <c r="I1683" s="13">
        <v>2</v>
      </c>
    </row>
    <row r="1684" spans="1:9">
      <c r="A1684" s="13" t="s">
        <v>10</v>
      </c>
      <c r="B1684" s="16" t="s">
        <v>84</v>
      </c>
      <c r="C1684" s="14" t="str">
        <f>VLOOKUP([1]Competence!$B22,[1]Competence!$B$12:$B$100,1,FALSE)</f>
        <v>Capacity management</v>
      </c>
      <c r="D1684" s="13" t="str" cm="1">
        <f t="array" ref="D1684">_xlfn.XLOOKUP(B1684,[1]Baseline!$D$3:$AZ$3,_xlfn.XLOOKUP(C1684,[1]Baseline!$B$4:$B$91,[1]Baseline!$D$4:$AZ$91))</f>
        <v>Practitioner</v>
      </c>
      <c r="E1684" s="16"/>
      <c r="F1684" s="14">
        <v>3</v>
      </c>
      <c r="G1684" s="16">
        <v>2</v>
      </c>
      <c r="H1684" s="16">
        <f t="shared" si="26"/>
        <v>-1</v>
      </c>
      <c r="I1684" s="13">
        <v>2</v>
      </c>
    </row>
    <row r="1685" spans="1:9">
      <c r="A1685" s="13" t="s">
        <v>10</v>
      </c>
      <c r="B1685" s="16" t="s">
        <v>84</v>
      </c>
      <c r="C1685" s="14" t="str">
        <f>VLOOKUP([1]Competence!$B23,[1]Competence!$B$12:$B$100,1,FALSE)</f>
        <v>Configuration Management</v>
      </c>
      <c r="D1685" s="13" t="str" cm="1">
        <f t="array" ref="D1685">_xlfn.XLOOKUP(B1685,[1]Baseline!$D$3:$AZ$3,_xlfn.XLOOKUP(C1685,[1]Baseline!$B$4:$B$91,[1]Baseline!$D$4:$AZ$91))</f>
        <v>Practitioner</v>
      </c>
      <c r="E1685" s="16"/>
      <c r="F1685" s="14">
        <v>3</v>
      </c>
      <c r="G1685" s="16">
        <v>3</v>
      </c>
      <c r="H1685" s="16">
        <f t="shared" si="26"/>
        <v>0</v>
      </c>
      <c r="I1685" s="13">
        <v>3</v>
      </c>
    </row>
    <row r="1686" spans="1:9">
      <c r="A1686" s="13" t="s">
        <v>10</v>
      </c>
      <c r="B1686" s="16" t="s">
        <v>84</v>
      </c>
      <c r="C1686" s="14" t="str">
        <f>VLOOKUP([1]Competence!$B24,[1]Competence!$B$12:$B$100,1,FALSE)</f>
        <v>Continuity Management</v>
      </c>
      <c r="D1686" s="13" t="str" cm="1">
        <f t="array" ref="D1686">_xlfn.XLOOKUP(B1686,[1]Baseline!$D$3:$AZ$3,_xlfn.XLOOKUP(C1686,[1]Baseline!$B$4:$B$91,[1]Baseline!$D$4:$AZ$91))</f>
        <v>Practitioner</v>
      </c>
      <c r="E1686" s="16"/>
      <c r="F1686" s="14">
        <v>3</v>
      </c>
      <c r="G1686" s="16">
        <v>2</v>
      </c>
      <c r="H1686" s="16">
        <f t="shared" si="26"/>
        <v>-1</v>
      </c>
      <c r="I1686" s="13">
        <v>2</v>
      </c>
    </row>
    <row r="1687" spans="1:9">
      <c r="A1687" s="13" t="s">
        <v>10</v>
      </c>
      <c r="B1687" s="16" t="s">
        <v>84</v>
      </c>
      <c r="C1687" s="14" t="str">
        <f>VLOOKUP([1]Competence!$B25,[1]Competence!$B$12:$B$100,1,FALSE)</f>
        <v>Demand Management</v>
      </c>
      <c r="D1687" s="13" t="str" cm="1">
        <f t="array" ref="D1687">_xlfn.XLOOKUP(B1687,[1]Baseline!$D$3:$AZ$3,_xlfn.XLOOKUP(C1687,[1]Baseline!$B$4:$B$91,[1]Baseline!$D$4:$AZ$91))</f>
        <v>Practitioner</v>
      </c>
      <c r="E1687" s="16"/>
      <c r="F1687" s="14">
        <v>3</v>
      </c>
      <c r="G1687" s="16">
        <v>2</v>
      </c>
      <c r="H1687" s="16">
        <f t="shared" si="26"/>
        <v>-1</v>
      </c>
      <c r="I1687" s="13">
        <v>2</v>
      </c>
    </row>
    <row r="1688" spans="1:9">
      <c r="A1688" s="13" t="s">
        <v>10</v>
      </c>
      <c r="B1688" s="16" t="s">
        <v>84</v>
      </c>
      <c r="C1688" s="14" t="str">
        <f>VLOOKUP([1]Competence!$B26,[1]Competence!$B$12:$B$100,1,FALSE)</f>
        <v>Knowledge management</v>
      </c>
      <c r="D1688" s="13" t="str" cm="1">
        <f t="array" ref="D1688">_xlfn.XLOOKUP(B1688,[1]Baseline!$D$3:$AZ$3,_xlfn.XLOOKUP(C1688,[1]Baseline!$B$4:$B$91,[1]Baseline!$D$4:$AZ$91))</f>
        <v>Practitioner</v>
      </c>
      <c r="E1688" s="16"/>
      <c r="F1688" s="14">
        <v>3</v>
      </c>
      <c r="G1688" s="16">
        <v>3</v>
      </c>
      <c r="H1688" s="16">
        <f t="shared" si="26"/>
        <v>0</v>
      </c>
      <c r="I1688" s="13">
        <v>3</v>
      </c>
    </row>
    <row r="1689" spans="1:9">
      <c r="A1689" s="13" t="s">
        <v>10</v>
      </c>
      <c r="B1689" s="16" t="s">
        <v>84</v>
      </c>
      <c r="C1689" s="14" t="str">
        <f>VLOOKUP([1]Competence!$B27,[1]Competence!$B$12:$B$100,1,FALSE)</f>
        <v>Methods and tools</v>
      </c>
      <c r="D1689" s="13" t="str" cm="1">
        <f t="array" ref="D1689">_xlfn.XLOOKUP(B1689,[1]Baseline!$D$3:$AZ$3,_xlfn.XLOOKUP(C1689,[1]Baseline!$B$4:$B$91,[1]Baseline!$D$4:$AZ$91))</f>
        <v>Practitioner</v>
      </c>
      <c r="E1689" s="16"/>
      <c r="F1689" s="14">
        <v>3</v>
      </c>
      <c r="G1689" s="16">
        <v>3</v>
      </c>
      <c r="H1689" s="16">
        <f t="shared" si="26"/>
        <v>0</v>
      </c>
      <c r="I1689" s="13">
        <v>3</v>
      </c>
    </row>
    <row r="1690" spans="1:9">
      <c r="A1690" s="13" t="s">
        <v>10</v>
      </c>
      <c r="B1690" s="16" t="s">
        <v>84</v>
      </c>
      <c r="C1690" s="14" t="str">
        <f>VLOOKUP([1]Competence!$B28,[1]Competence!$B$12:$B$100,1,FALSE)</f>
        <v>Release and deployment</v>
      </c>
      <c r="D1690" s="13" t="str" cm="1">
        <f t="array" ref="D1690">_xlfn.XLOOKUP(B1690,[1]Baseline!$D$3:$AZ$3,_xlfn.XLOOKUP(C1690,[1]Baseline!$B$4:$B$91,[1]Baseline!$D$4:$AZ$91))</f>
        <v>Practitioner</v>
      </c>
      <c r="E1690" s="16"/>
      <c r="F1690" s="14">
        <v>3</v>
      </c>
      <c r="G1690" s="16">
        <v>2</v>
      </c>
      <c r="H1690" s="16">
        <f t="shared" si="26"/>
        <v>-1</v>
      </c>
      <c r="I1690" s="13">
        <v>2</v>
      </c>
    </row>
    <row r="1691" spans="1:9">
      <c r="A1691" s="13" t="s">
        <v>10</v>
      </c>
      <c r="B1691" s="16" t="s">
        <v>84</v>
      </c>
      <c r="C1691" s="14" t="str">
        <f>VLOOKUP([1]Competence!$B29,[1]Competence!$B$12:$B$100,1,FALSE)</f>
        <v>Service acceptance</v>
      </c>
      <c r="D1691" s="13" t="str" cm="1">
        <f t="array" ref="D1691">_xlfn.XLOOKUP(B1691,[1]Baseline!$D$3:$AZ$3,_xlfn.XLOOKUP(C1691,[1]Baseline!$B$4:$B$91,[1]Baseline!$D$4:$AZ$91))</f>
        <v>Practitioner</v>
      </c>
      <c r="E1691" s="16"/>
      <c r="F1691" s="14">
        <v>3</v>
      </c>
      <c r="G1691" s="16">
        <v>3</v>
      </c>
      <c r="H1691" s="16">
        <f t="shared" si="26"/>
        <v>0</v>
      </c>
      <c r="I1691" s="13">
        <v>3</v>
      </c>
    </row>
    <row r="1692" spans="1:9">
      <c r="A1692" s="13" t="s">
        <v>10</v>
      </c>
      <c r="B1692" s="16" t="s">
        <v>84</v>
      </c>
      <c r="C1692" s="14" t="str">
        <f>VLOOKUP([1]Competence!$B30,[1]Competence!$B$12:$B$100,1,FALSE)</f>
        <v>Stakeholder relationship management</v>
      </c>
      <c r="D1692" s="13" t="str" cm="1">
        <f t="array" ref="D1692">_xlfn.XLOOKUP(B1692,[1]Baseline!$D$3:$AZ$3,_xlfn.XLOOKUP(C1692,[1]Baseline!$B$4:$B$91,[1]Baseline!$D$4:$AZ$91))</f>
        <v>Practitioner</v>
      </c>
      <c r="E1692" s="16"/>
      <c r="F1692" s="14">
        <v>3</v>
      </c>
      <c r="G1692" s="16">
        <v>3</v>
      </c>
      <c r="H1692" s="16">
        <f t="shared" si="26"/>
        <v>0</v>
      </c>
      <c r="I1692" s="13">
        <v>3</v>
      </c>
    </row>
    <row r="1693" spans="1:9">
      <c r="A1693" s="13" t="s">
        <v>10</v>
      </c>
      <c r="B1693" s="16" t="s">
        <v>84</v>
      </c>
      <c r="C1693" s="14" t="str">
        <f>VLOOKUP([1]Competence!$B31,[1]Competence!$B$12:$B$100,1,FALSE)</f>
        <v>Storage management</v>
      </c>
      <c r="D1693" s="13" t="str" cm="1">
        <f t="array" ref="D1693">_xlfn.XLOOKUP(B1693,[1]Baseline!$D$3:$AZ$3,_xlfn.XLOOKUP(C1693,[1]Baseline!$B$4:$B$91,[1]Baseline!$D$4:$AZ$91))</f>
        <v>Practitioner</v>
      </c>
      <c r="E1693" s="16"/>
      <c r="F1693" s="14">
        <v>3</v>
      </c>
      <c r="G1693" s="16">
        <v>1</v>
      </c>
      <c r="H1693" s="16">
        <f t="shared" si="26"/>
        <v>-2</v>
      </c>
      <c r="I1693" s="13">
        <v>1</v>
      </c>
    </row>
    <row r="1694" spans="1:9">
      <c r="A1694" s="13" t="s">
        <v>10</v>
      </c>
      <c r="B1694" s="16" t="s">
        <v>84</v>
      </c>
      <c r="C1694" s="14" t="str">
        <f>VLOOKUP([1]Competence!$B32,[1]Competence!$B$12:$B$100,1,FALSE)</f>
        <v>Digital Forensics</v>
      </c>
      <c r="D1694" s="13" t="str" cm="1">
        <f t="array" ref="D1694">_xlfn.XLOOKUP(B1694,[1]Baseline!$D$3:$AZ$3,_xlfn.XLOOKUP(C1694,[1]Baseline!$B$4:$B$91,[1]Baseline!$D$4:$AZ$91))</f>
        <v>Practitioner</v>
      </c>
      <c r="E1694" s="16"/>
      <c r="F1694" s="14">
        <v>3</v>
      </c>
      <c r="G1694" s="16">
        <v>1</v>
      </c>
      <c r="H1694" s="16">
        <f t="shared" si="26"/>
        <v>-2</v>
      </c>
      <c r="I1694" s="13">
        <v>1</v>
      </c>
    </row>
    <row r="1695" spans="1:9">
      <c r="A1695" s="13" t="s">
        <v>10</v>
      </c>
      <c r="B1695" s="16" t="s">
        <v>84</v>
      </c>
      <c r="C1695" s="14" t="str">
        <f>VLOOKUP([1]Competence!$B33,[1]Competence!$B$12:$B$100,1,FALSE)</f>
        <v>Penetration testing</v>
      </c>
      <c r="D1695" s="13" t="str" cm="1">
        <f t="array" ref="D1695">_xlfn.XLOOKUP(B1695,[1]Baseline!$D$3:$AZ$3,_xlfn.XLOOKUP(C1695,[1]Baseline!$B$4:$B$91,[1]Baseline!$D$4:$AZ$91))</f>
        <v>Practitioner</v>
      </c>
      <c r="E1695" s="16"/>
      <c r="F1695" s="14">
        <v>3</v>
      </c>
      <c r="G1695" s="16">
        <v>2</v>
      </c>
      <c r="H1695" s="16">
        <f t="shared" si="26"/>
        <v>-1</v>
      </c>
      <c r="I1695" s="13">
        <v>2</v>
      </c>
    </row>
    <row r="1696" spans="1:9">
      <c r="A1696" s="13" t="s">
        <v>10</v>
      </c>
      <c r="B1696" s="16" t="s">
        <v>84</v>
      </c>
      <c r="C1696" s="14" t="str">
        <f>VLOOKUP([1]Competence!$B34,[1]Competence!$B$12:$B$100,1,FALSE)</f>
        <v>Security Operations</v>
      </c>
      <c r="D1696" s="13" t="str" cm="1">
        <f t="array" ref="D1696">_xlfn.XLOOKUP(B1696,[1]Baseline!$D$3:$AZ$3,_xlfn.XLOOKUP(C1696,[1]Baseline!$B$4:$B$91,[1]Baseline!$D$4:$AZ$91))</f>
        <v>Expert</v>
      </c>
      <c r="E1696" s="16"/>
      <c r="F1696" s="14">
        <v>4</v>
      </c>
      <c r="G1696" s="16">
        <v>2</v>
      </c>
      <c r="H1696" s="16">
        <f t="shared" si="26"/>
        <v>-2</v>
      </c>
      <c r="I1696" s="13">
        <v>2</v>
      </c>
    </row>
    <row r="1697" spans="1:9">
      <c r="A1697" s="13" t="s">
        <v>10</v>
      </c>
      <c r="B1697" s="16" t="s">
        <v>84</v>
      </c>
      <c r="C1697" s="14" t="str">
        <f>VLOOKUP([1]Competence!$B35,[1]Competence!$B$12:$B$100,1,FALSE)</f>
        <v>Threat Intelligence</v>
      </c>
      <c r="D1697" s="13" t="str" cm="1">
        <f t="array" ref="D1697">_xlfn.XLOOKUP(B1697,[1]Baseline!$D$3:$AZ$3,_xlfn.XLOOKUP(C1697,[1]Baseline!$B$4:$B$91,[1]Baseline!$D$4:$AZ$91))</f>
        <v>Expert</v>
      </c>
      <c r="E1697" s="16"/>
      <c r="F1697" s="14">
        <v>4</v>
      </c>
      <c r="G1697" s="16">
        <v>2</v>
      </c>
      <c r="H1697" s="16">
        <f t="shared" si="26"/>
        <v>-2</v>
      </c>
      <c r="I1697" s="13">
        <v>2</v>
      </c>
    </row>
    <row r="1698" spans="1:9">
      <c r="A1698" s="13" t="s">
        <v>10</v>
      </c>
      <c r="B1698" s="16" t="s">
        <v>84</v>
      </c>
      <c r="C1698" s="14" t="str">
        <f>VLOOKUP([1]Competence!$B36,[1]Competence!$B$12:$B$100,1,FALSE)</f>
        <v>Vulnerability assessment</v>
      </c>
      <c r="D1698" s="13" t="str" cm="1">
        <f t="array" ref="D1698">_xlfn.XLOOKUP(B1698,[1]Baseline!$D$3:$AZ$3,_xlfn.XLOOKUP(C1698,[1]Baseline!$B$4:$B$91,[1]Baseline!$D$4:$AZ$91))</f>
        <v>Expert</v>
      </c>
      <c r="E1698" s="16"/>
      <c r="F1698" s="14">
        <v>4</v>
      </c>
      <c r="G1698" s="16">
        <v>1</v>
      </c>
      <c r="H1698" s="16">
        <f t="shared" si="26"/>
        <v>-3</v>
      </c>
      <c r="I1698" s="13">
        <v>1</v>
      </c>
    </row>
    <row r="1699" spans="1:9">
      <c r="A1699" s="13" t="s">
        <v>10</v>
      </c>
      <c r="B1699" s="16" t="s">
        <v>84</v>
      </c>
      <c r="C1699" s="14" t="str">
        <f>VLOOKUP([1]Competence!$B37,[1]Competence!$B$12:$B$100,1,FALSE)</f>
        <v>Vulnerability Research</v>
      </c>
      <c r="D1699" s="13" t="str" cm="1">
        <f t="array" ref="D1699">_xlfn.XLOOKUP(B1699,[1]Baseline!$D$3:$AZ$3,_xlfn.XLOOKUP(C1699,[1]Baseline!$B$4:$B$91,[1]Baseline!$D$4:$AZ$91))</f>
        <v>No Knowledge</v>
      </c>
      <c r="E1699" s="16"/>
      <c r="F1699" s="14">
        <v>0</v>
      </c>
      <c r="G1699" s="16">
        <v>2</v>
      </c>
      <c r="H1699" s="16">
        <f t="shared" si="26"/>
        <v>2</v>
      </c>
      <c r="I1699" s="13">
        <v>2</v>
      </c>
    </row>
    <row r="1700" spans="1:9">
      <c r="A1700" s="13" t="s">
        <v>10</v>
      </c>
      <c r="B1700" s="16" t="s">
        <v>84</v>
      </c>
      <c r="C1700" s="14" t="str">
        <f>VLOOKUP([1]Competence!$B38,[1]Competence!$B$12:$B$100,1,FALSE)</f>
        <v>Competency assessment</v>
      </c>
      <c r="D1700" s="13" t="str" cm="1">
        <f t="array" ref="D1700">_xlfn.XLOOKUP(B1700,[1]Baseline!$D$3:$AZ$3,_xlfn.XLOOKUP(C1700,[1]Baseline!$B$4:$B$91,[1]Baseline!$D$4:$AZ$91))</f>
        <v>Practitioner</v>
      </c>
      <c r="E1700" s="16"/>
      <c r="F1700" s="14">
        <v>3</v>
      </c>
      <c r="G1700" s="16">
        <v>2</v>
      </c>
      <c r="H1700" s="16">
        <f t="shared" si="26"/>
        <v>-1</v>
      </c>
      <c r="I1700" s="13">
        <v>2</v>
      </c>
    </row>
    <row r="1701" spans="1:9">
      <c r="A1701" s="13" t="s">
        <v>10</v>
      </c>
      <c r="B1701" s="16" t="s">
        <v>84</v>
      </c>
      <c r="C1701" s="14" t="str">
        <f>VLOOKUP([1]Competence!$B39,[1]Competence!$B$12:$B$100,1,FALSE)</f>
        <v>Financial management</v>
      </c>
      <c r="D1701" s="13" t="str" cm="1">
        <f t="array" ref="D1701">_xlfn.XLOOKUP(B1701,[1]Baseline!$D$3:$AZ$3,_xlfn.XLOOKUP(C1701,[1]Baseline!$B$4:$B$91,[1]Baseline!$D$4:$AZ$91))</f>
        <v>Awareness</v>
      </c>
      <c r="E1701" s="16"/>
      <c r="F1701" s="14">
        <v>1</v>
      </c>
      <c r="G1701" s="16">
        <v>3</v>
      </c>
      <c r="H1701" s="16">
        <f t="shared" si="26"/>
        <v>2</v>
      </c>
      <c r="I1701" s="13">
        <v>3</v>
      </c>
    </row>
    <row r="1702" spans="1:9" ht="30">
      <c r="A1702" s="13" t="s">
        <v>10</v>
      </c>
      <c r="B1702" s="16" t="s">
        <v>84</v>
      </c>
      <c r="C1702" s="14" t="str">
        <f>VLOOKUP([1]Competence!$B40,[1]Competence!$B$12:$B$100,1,FALSE)</f>
        <v>Organisation design and implementation</v>
      </c>
      <c r="D1702" s="13" t="str" cm="1">
        <f t="array" ref="D1702">_xlfn.XLOOKUP(B1702,[1]Baseline!$D$3:$AZ$3,_xlfn.XLOOKUP(C1702,[1]Baseline!$B$4:$B$91,[1]Baseline!$D$4:$AZ$91))</f>
        <v>Awareness</v>
      </c>
      <c r="E1702" s="16"/>
      <c r="F1702" s="14">
        <v>1</v>
      </c>
      <c r="G1702" s="16">
        <v>3</v>
      </c>
      <c r="H1702" s="16">
        <f t="shared" si="26"/>
        <v>2</v>
      </c>
      <c r="I1702" s="13">
        <v>3</v>
      </c>
    </row>
    <row r="1703" spans="1:9">
      <c r="A1703" s="13" t="s">
        <v>10</v>
      </c>
      <c r="B1703" s="16" t="s">
        <v>84</v>
      </c>
      <c r="C1703" s="14" t="str">
        <f>VLOOKUP([1]Competence!$B41,[1]Competence!$B$12:$B$100,1,FALSE)</f>
        <v>Organisational capability development</v>
      </c>
      <c r="D1703" s="13" t="str" cm="1">
        <f t="array" ref="D1703">_xlfn.XLOOKUP(B1703,[1]Baseline!$D$3:$AZ$3,_xlfn.XLOOKUP(C1703,[1]Baseline!$B$4:$B$91,[1]Baseline!$D$4:$AZ$91))</f>
        <v>Awareness</v>
      </c>
      <c r="E1703" s="16"/>
      <c r="F1703" s="14">
        <v>1</v>
      </c>
      <c r="G1703" s="16">
        <v>2</v>
      </c>
      <c r="H1703" s="16">
        <f t="shared" si="26"/>
        <v>1</v>
      </c>
      <c r="I1703" s="13">
        <v>2</v>
      </c>
    </row>
    <row r="1704" spans="1:9">
      <c r="A1704" s="13" t="s">
        <v>10</v>
      </c>
      <c r="B1704" s="16" t="s">
        <v>84</v>
      </c>
      <c r="C1704" s="14" t="str">
        <f>VLOOKUP([1]Competence!$B42,[1]Competence!$B$12:$B$100,1,FALSE)</f>
        <v>Organisational change management</v>
      </c>
      <c r="D1704" s="13" t="str" cm="1">
        <f t="array" ref="D1704">_xlfn.XLOOKUP(B1704,[1]Baseline!$D$3:$AZ$3,_xlfn.XLOOKUP(C1704,[1]Baseline!$B$4:$B$91,[1]Baseline!$D$4:$AZ$91))</f>
        <v>Working</v>
      </c>
      <c r="E1704" s="16"/>
      <c r="F1704" s="14">
        <v>2</v>
      </c>
      <c r="G1704" s="16">
        <v>2</v>
      </c>
      <c r="H1704" s="16">
        <f t="shared" si="26"/>
        <v>0</v>
      </c>
      <c r="I1704" s="13">
        <v>2</v>
      </c>
    </row>
    <row r="1705" spans="1:9">
      <c r="A1705" s="13" t="s">
        <v>10</v>
      </c>
      <c r="B1705" s="16" t="s">
        <v>84</v>
      </c>
      <c r="C1705" s="14" t="str">
        <f>VLOOKUP([1]Competence!$B43,[1]Competence!$B$12:$B$100,1,FALSE)</f>
        <v>Performance Management</v>
      </c>
      <c r="D1705" s="13" t="str" cm="1">
        <f t="array" ref="D1705">_xlfn.XLOOKUP(B1705,[1]Baseline!$D$3:$AZ$3,_xlfn.XLOOKUP(C1705,[1]Baseline!$B$4:$B$91,[1]Baseline!$D$4:$AZ$91))</f>
        <v>Working</v>
      </c>
      <c r="E1705" s="16"/>
      <c r="F1705" s="14">
        <v>2</v>
      </c>
      <c r="G1705" s="16">
        <v>3</v>
      </c>
      <c r="H1705" s="16">
        <f t="shared" si="26"/>
        <v>1</v>
      </c>
      <c r="I1705" s="13">
        <v>3</v>
      </c>
    </row>
    <row r="1706" spans="1:9">
      <c r="A1706" s="13" t="s">
        <v>10</v>
      </c>
      <c r="B1706" s="16" t="s">
        <v>84</v>
      </c>
      <c r="C1706" s="14" t="str">
        <f>VLOOKUP([1]Competence!$B44,[1]Competence!$B$12:$B$100,1,FALSE)</f>
        <v>Professional Development</v>
      </c>
      <c r="D1706" s="13" t="str" cm="1">
        <f t="array" ref="D1706">_xlfn.XLOOKUP(B1706,[1]Baseline!$D$3:$AZ$3,_xlfn.XLOOKUP(C1706,[1]Baseline!$B$4:$B$91,[1]Baseline!$D$4:$AZ$91))</f>
        <v>Practitioner</v>
      </c>
      <c r="E1706" s="16"/>
      <c r="F1706" s="14">
        <v>3</v>
      </c>
      <c r="G1706" s="16">
        <v>2</v>
      </c>
      <c r="H1706" s="16">
        <f t="shared" si="26"/>
        <v>-1</v>
      </c>
      <c r="I1706" s="13">
        <v>2</v>
      </c>
    </row>
    <row r="1707" spans="1:9">
      <c r="A1707" s="13" t="s">
        <v>10</v>
      </c>
      <c r="B1707" s="16" t="s">
        <v>84</v>
      </c>
      <c r="C1707" s="14" t="str">
        <f>VLOOKUP([1]Competence!$B45,[1]Competence!$B$12:$B$100,1,FALSE)</f>
        <v>Strategic Planning</v>
      </c>
      <c r="D1707" s="13" t="str" cm="1">
        <f t="array" ref="D1707">_xlfn.XLOOKUP(B1707,[1]Baseline!$D$3:$AZ$3,_xlfn.XLOOKUP(C1707,[1]Baseline!$B$4:$B$91,[1]Baseline!$D$4:$AZ$91))</f>
        <v>Working</v>
      </c>
      <c r="E1707" s="16"/>
      <c r="F1707" s="14">
        <v>2</v>
      </c>
      <c r="G1707" s="16">
        <v>2</v>
      </c>
      <c r="H1707" s="16">
        <f t="shared" si="26"/>
        <v>0</v>
      </c>
      <c r="I1707" s="13">
        <v>2</v>
      </c>
    </row>
    <row r="1708" spans="1:9">
      <c r="A1708" s="13" t="s">
        <v>10</v>
      </c>
      <c r="B1708" s="16" t="s">
        <v>84</v>
      </c>
      <c r="C1708" s="14" t="str">
        <f>VLOOKUP([1]Competence!$B46,[1]Competence!$B$12:$B$100,1,FALSE)</f>
        <v>Workforce Planning</v>
      </c>
      <c r="D1708" s="13" t="str" cm="1">
        <f t="array" ref="D1708">_xlfn.XLOOKUP(B1708,[1]Baseline!$D$3:$AZ$3,_xlfn.XLOOKUP(C1708,[1]Baseline!$B$4:$B$91,[1]Baseline!$D$4:$AZ$91))</f>
        <v>Practitioner</v>
      </c>
      <c r="E1708" s="16"/>
      <c r="F1708" s="14">
        <v>3</v>
      </c>
      <c r="G1708" s="16">
        <v>2</v>
      </c>
      <c r="H1708" s="16">
        <f t="shared" si="26"/>
        <v>-1</v>
      </c>
      <c r="I1708" s="13">
        <v>2</v>
      </c>
    </row>
    <row r="1709" spans="1:9">
      <c r="A1709" s="13" t="s">
        <v>10</v>
      </c>
      <c r="B1709" s="16" t="s">
        <v>84</v>
      </c>
      <c r="C1709" s="14" t="str">
        <f>VLOOKUP([1]Competence!$B47,[1]Competence!$B$12:$B$100,1,FALSE)</f>
        <v>Audit</v>
      </c>
      <c r="D1709" s="13" t="str" cm="1">
        <f t="array" ref="D1709">_xlfn.XLOOKUP(B1709,[1]Baseline!$D$3:$AZ$3,_xlfn.XLOOKUP(C1709,[1]Baseline!$B$4:$B$91,[1]Baseline!$D$4:$AZ$91))</f>
        <v>Practitioner</v>
      </c>
      <c r="E1709" s="16"/>
      <c r="F1709" s="14">
        <v>3</v>
      </c>
      <c r="G1709" s="16">
        <v>1</v>
      </c>
      <c r="H1709" s="16">
        <f t="shared" si="26"/>
        <v>-2</v>
      </c>
      <c r="I1709" s="13">
        <v>1</v>
      </c>
    </row>
    <row r="1710" spans="1:9">
      <c r="A1710" s="13" t="s">
        <v>10</v>
      </c>
      <c r="B1710" s="16" t="s">
        <v>84</v>
      </c>
      <c r="C1710" s="14" t="str">
        <f>VLOOKUP([1]Competence!$B48,[1]Competence!$B$12:$B$100,1,FALSE)</f>
        <v>Contract management</v>
      </c>
      <c r="D1710" s="13" t="str" cm="1">
        <f t="array" ref="D1710">_xlfn.XLOOKUP(B1710,[1]Baseline!$D$3:$AZ$3,_xlfn.XLOOKUP(C1710,[1]Baseline!$B$4:$B$91,[1]Baseline!$D$4:$AZ$91))</f>
        <v>Practitioner</v>
      </c>
      <c r="E1710" s="16"/>
      <c r="F1710" s="14">
        <v>3</v>
      </c>
      <c r="G1710" s="16">
        <v>2</v>
      </c>
      <c r="H1710" s="16">
        <f t="shared" si="26"/>
        <v>-1</v>
      </c>
      <c r="I1710" s="13">
        <v>2</v>
      </c>
    </row>
    <row r="1711" spans="1:9">
      <c r="A1711" s="13" t="s">
        <v>10</v>
      </c>
      <c r="B1711" s="16" t="s">
        <v>84</v>
      </c>
      <c r="C1711" s="14" t="str">
        <f>VLOOKUP([1]Competence!$B49,[1]Competence!$B$12:$B$100,1,FALSE)</f>
        <v>Feasibility assessment</v>
      </c>
      <c r="D1711" s="13" t="str" cm="1">
        <f t="array" ref="D1711">_xlfn.XLOOKUP(B1711,[1]Baseline!$D$3:$AZ$3,_xlfn.XLOOKUP(C1711,[1]Baseline!$B$4:$B$91,[1]Baseline!$D$4:$AZ$91))</f>
        <v>Practitioner</v>
      </c>
      <c r="E1711" s="16"/>
      <c r="F1711" s="14">
        <v>3</v>
      </c>
      <c r="G1711" s="16">
        <v>2</v>
      </c>
      <c r="H1711" s="16">
        <f t="shared" si="26"/>
        <v>-1</v>
      </c>
      <c r="I1711" s="13">
        <v>2</v>
      </c>
    </row>
    <row r="1712" spans="1:9">
      <c r="A1712" s="13" t="s">
        <v>10</v>
      </c>
      <c r="B1712" s="16" t="s">
        <v>84</v>
      </c>
      <c r="C1712" s="14" t="str">
        <f>VLOOKUP([1]Competence!$B50,[1]Competence!$B$12:$B$100,1,FALSE)</f>
        <v>Governance</v>
      </c>
      <c r="D1712" s="13" t="str" cm="1">
        <f t="array" ref="D1712">_xlfn.XLOOKUP(B1712,[1]Baseline!$D$3:$AZ$3,_xlfn.XLOOKUP(C1712,[1]Baseline!$B$4:$B$91,[1]Baseline!$D$4:$AZ$91))</f>
        <v>Practitioner</v>
      </c>
      <c r="E1712" s="16"/>
      <c r="F1712" s="14">
        <v>3</v>
      </c>
      <c r="G1712" s="16">
        <v>2</v>
      </c>
      <c r="H1712" s="16">
        <f t="shared" si="26"/>
        <v>-1</v>
      </c>
      <c r="I1712" s="13">
        <v>2</v>
      </c>
    </row>
    <row r="1713" spans="1:9">
      <c r="A1713" s="13" t="s">
        <v>10</v>
      </c>
      <c r="B1713" s="16" t="s">
        <v>84</v>
      </c>
      <c r="C1713" s="14" t="str">
        <f>VLOOKUP([1]Competence!$B51,[1]Competence!$B$12:$B$100,1,FALSE)</f>
        <v>Risk management</v>
      </c>
      <c r="D1713" s="13" t="str" cm="1">
        <f t="array" ref="D1713">_xlfn.XLOOKUP(B1713,[1]Baseline!$D$3:$AZ$3,_xlfn.XLOOKUP(C1713,[1]Baseline!$B$4:$B$91,[1]Baseline!$D$4:$AZ$91))</f>
        <v>Practitioner</v>
      </c>
      <c r="E1713" s="16"/>
      <c r="F1713" s="14">
        <v>3</v>
      </c>
      <c r="G1713" s="16">
        <v>2</v>
      </c>
      <c r="H1713" s="16">
        <f t="shared" si="26"/>
        <v>-1</v>
      </c>
      <c r="I1713" s="13">
        <v>2</v>
      </c>
    </row>
    <row r="1714" spans="1:9">
      <c r="A1714" s="13" t="s">
        <v>10</v>
      </c>
      <c r="B1714" s="16" t="s">
        <v>84</v>
      </c>
      <c r="C1714" s="14" t="str">
        <f>VLOOKUP([1]Competence!$B52,[1]Competence!$B$12:$B$100,1,FALSE)</f>
        <v>Sourcing</v>
      </c>
      <c r="D1714" s="13" t="str" cm="1">
        <f t="array" ref="D1714">_xlfn.XLOOKUP(B1714,[1]Baseline!$D$3:$AZ$3,_xlfn.XLOOKUP(C1714,[1]Baseline!$B$4:$B$91,[1]Baseline!$D$4:$AZ$91))</f>
        <v>Practitioner</v>
      </c>
      <c r="E1714" s="16"/>
      <c r="F1714" s="14">
        <v>3</v>
      </c>
      <c r="G1714" s="16">
        <v>2</v>
      </c>
      <c r="H1714" s="16">
        <f t="shared" si="26"/>
        <v>-1</v>
      </c>
      <c r="I1714" s="13">
        <v>2</v>
      </c>
    </row>
    <row r="1715" spans="1:9">
      <c r="A1715" s="13" t="s">
        <v>10</v>
      </c>
      <c r="B1715" s="16" t="s">
        <v>84</v>
      </c>
      <c r="C1715" s="14" t="str">
        <f>VLOOKUP([1]Competence!$B53,[1]Competence!$B$12:$B$100,1,FALSE)</f>
        <v>Supplier management</v>
      </c>
      <c r="D1715" s="13" t="str" cm="1">
        <f t="array" ref="D1715">_xlfn.XLOOKUP(B1715,[1]Baseline!$D$3:$AZ$3,_xlfn.XLOOKUP(C1715,[1]Baseline!$B$4:$B$91,[1]Baseline!$D$4:$AZ$91))</f>
        <v>Practitioner</v>
      </c>
      <c r="E1715" s="16"/>
      <c r="F1715" s="14">
        <v>3</v>
      </c>
      <c r="G1715" s="16">
        <v>1</v>
      </c>
      <c r="H1715" s="16">
        <f t="shared" si="26"/>
        <v>-2</v>
      </c>
      <c r="I1715" s="13">
        <v>1</v>
      </c>
    </row>
    <row r="1716" spans="1:9">
      <c r="A1716" s="13" t="s">
        <v>10</v>
      </c>
      <c r="B1716" s="16" t="s">
        <v>84</v>
      </c>
      <c r="C1716" s="14" t="str">
        <f>VLOOKUP([1]Competence!$B54,[1]Competence!$B$12:$B$100,1,FALSE)</f>
        <v>Sustainability</v>
      </c>
      <c r="D1716" s="13" t="str" cm="1">
        <f t="array" ref="D1716">_xlfn.XLOOKUP(B1716,[1]Baseline!$D$3:$AZ$3,_xlfn.XLOOKUP(C1716,[1]Baseline!$B$4:$B$91,[1]Baseline!$D$4:$AZ$91))</f>
        <v>Awareness</v>
      </c>
      <c r="E1716" s="16"/>
      <c r="F1716" s="14">
        <v>1</v>
      </c>
      <c r="G1716" s="16">
        <v>2</v>
      </c>
      <c r="H1716" s="16">
        <f t="shared" si="26"/>
        <v>1</v>
      </c>
      <c r="I1716" s="13">
        <v>2</v>
      </c>
    </row>
    <row r="1717" spans="1:9">
      <c r="A1717" s="13" t="s">
        <v>10</v>
      </c>
      <c r="B1717" s="16" t="s">
        <v>84</v>
      </c>
      <c r="C1717" s="14" t="str">
        <f>VLOOKUP([1]Competence!$B55,[1]Competence!$B$12:$B$100,1,FALSE)</f>
        <v>Acceptance testing</v>
      </c>
      <c r="D1717" s="13" t="str" cm="1">
        <f t="array" ref="D1717">_xlfn.XLOOKUP(B1717,[1]Baseline!$D$3:$AZ$3,_xlfn.XLOOKUP(C1717,[1]Baseline!$B$4:$B$91,[1]Baseline!$D$4:$AZ$91))</f>
        <v>Practitioner</v>
      </c>
      <c r="E1717" s="16"/>
      <c r="F1717" s="14">
        <v>3</v>
      </c>
      <c r="G1717" s="16">
        <v>3</v>
      </c>
      <c r="H1717" s="16">
        <f t="shared" si="26"/>
        <v>0</v>
      </c>
      <c r="I1717" s="13">
        <v>3</v>
      </c>
    </row>
    <row r="1718" spans="1:9">
      <c r="A1718" s="13" t="s">
        <v>10</v>
      </c>
      <c r="B1718" s="16" t="s">
        <v>84</v>
      </c>
      <c r="C1718" s="14" t="str">
        <f>VLOOKUP([1]Competence!$B56,[1]Competence!$B$12:$B$100,1,FALSE)</f>
        <v>Application support</v>
      </c>
      <c r="D1718" s="13" t="str" cm="1">
        <f t="array" ref="D1718">_xlfn.XLOOKUP(B1718,[1]Baseline!$D$3:$AZ$3,_xlfn.XLOOKUP(C1718,[1]Baseline!$B$4:$B$91,[1]Baseline!$D$4:$AZ$91))</f>
        <v>Working</v>
      </c>
      <c r="E1718" s="16"/>
      <c r="F1718" s="14">
        <v>2</v>
      </c>
      <c r="G1718" s="16">
        <v>3</v>
      </c>
      <c r="H1718" s="16">
        <f t="shared" si="26"/>
        <v>1</v>
      </c>
      <c r="I1718" s="13">
        <v>3</v>
      </c>
    </row>
    <row r="1719" spans="1:9">
      <c r="A1719" s="13" t="s">
        <v>10</v>
      </c>
      <c r="B1719" s="16" t="s">
        <v>84</v>
      </c>
      <c r="C1719" s="14" t="str">
        <f>VLOOKUP([1]Competence!$B57,[1]Competence!$B$12:$B$100,1,FALSE)</f>
        <v>Data Engineering</v>
      </c>
      <c r="D1719" s="13" t="str" cm="1">
        <f t="array" ref="D1719">_xlfn.XLOOKUP(B1719,[1]Baseline!$D$3:$AZ$3,_xlfn.XLOOKUP(C1719,[1]Baseline!$B$4:$B$91,[1]Baseline!$D$4:$AZ$91))</f>
        <v>No Knowledge</v>
      </c>
      <c r="E1719" s="16"/>
      <c r="F1719" s="14">
        <v>0</v>
      </c>
      <c r="G1719" s="16">
        <v>3</v>
      </c>
      <c r="H1719" s="16">
        <f t="shared" si="26"/>
        <v>3</v>
      </c>
      <c r="I1719" s="13">
        <v>3</v>
      </c>
    </row>
    <row r="1720" spans="1:9">
      <c r="A1720" s="13" t="s">
        <v>10</v>
      </c>
      <c r="B1720" s="16" t="s">
        <v>84</v>
      </c>
      <c r="C1720" s="14" t="str">
        <f>VLOOKUP([1]Competence!$B58,[1]Competence!$B$12:$B$100,1,FALSE)</f>
        <v>Data Management</v>
      </c>
      <c r="D1720" s="13" t="str" cm="1">
        <f t="array" ref="D1720">_xlfn.XLOOKUP(B1720,[1]Baseline!$D$3:$AZ$3,_xlfn.XLOOKUP(C1720,[1]Baseline!$B$4:$B$91,[1]Baseline!$D$4:$AZ$91))</f>
        <v>No Knowledge</v>
      </c>
      <c r="E1720" s="16"/>
      <c r="F1720" s="14">
        <v>0</v>
      </c>
      <c r="G1720" s="16">
        <v>2</v>
      </c>
      <c r="H1720" s="16">
        <f t="shared" si="26"/>
        <v>2</v>
      </c>
      <c r="I1720" s="13">
        <v>2</v>
      </c>
    </row>
    <row r="1721" spans="1:9">
      <c r="A1721" s="13" t="s">
        <v>10</v>
      </c>
      <c r="B1721" s="16" t="s">
        <v>84</v>
      </c>
      <c r="C1721" s="14" t="str">
        <f>VLOOKUP([1]Competence!$B59,[1]Competence!$B$12:$B$100,1,FALSE)</f>
        <v>Data Modelling and Design</v>
      </c>
      <c r="D1721" s="13" t="str" cm="1">
        <f t="array" ref="D1721">_xlfn.XLOOKUP(B1721,[1]Baseline!$D$3:$AZ$3,_xlfn.XLOOKUP(C1721,[1]Baseline!$B$4:$B$91,[1]Baseline!$D$4:$AZ$91))</f>
        <v>No Knowledge</v>
      </c>
      <c r="E1721" s="16"/>
      <c r="F1721" s="14">
        <v>0</v>
      </c>
      <c r="G1721" s="16">
        <v>1</v>
      </c>
      <c r="H1721" s="16">
        <f t="shared" si="26"/>
        <v>1</v>
      </c>
      <c r="I1721" s="13">
        <v>1</v>
      </c>
    </row>
    <row r="1722" spans="1:9">
      <c r="A1722" s="13" t="s">
        <v>10</v>
      </c>
      <c r="B1722" s="16" t="s">
        <v>84</v>
      </c>
      <c r="C1722" s="14" t="str">
        <f>VLOOKUP([1]Competence!$B60,[1]Competence!$B$12:$B$100,1,FALSE)</f>
        <v>Data science</v>
      </c>
      <c r="D1722" s="13" t="str" cm="1">
        <f t="array" ref="D1722">_xlfn.XLOOKUP(B1722,[1]Baseline!$D$3:$AZ$3,_xlfn.XLOOKUP(C1722,[1]Baseline!$B$4:$B$91,[1]Baseline!$D$4:$AZ$91))</f>
        <v>No Knowledge</v>
      </c>
      <c r="E1722" s="16"/>
      <c r="F1722" s="14">
        <v>0</v>
      </c>
      <c r="G1722" s="16">
        <v>2</v>
      </c>
      <c r="H1722" s="16">
        <f t="shared" si="26"/>
        <v>2</v>
      </c>
      <c r="I1722" s="13">
        <v>2</v>
      </c>
    </row>
    <row r="1723" spans="1:9">
      <c r="A1723" s="13" t="s">
        <v>10</v>
      </c>
      <c r="B1723" s="16" t="s">
        <v>84</v>
      </c>
      <c r="C1723" s="14" t="str">
        <f>VLOOKUP([1]Competence!$B61,[1]Competence!$B$12:$B$100,1,FALSE)</f>
        <v>Data visualisation</v>
      </c>
      <c r="D1723" s="13" t="str" cm="1">
        <f t="array" ref="D1723">_xlfn.XLOOKUP(B1723,[1]Baseline!$D$3:$AZ$3,_xlfn.XLOOKUP(C1723,[1]Baseline!$B$4:$B$91,[1]Baseline!$D$4:$AZ$91))</f>
        <v>No Knowledge</v>
      </c>
      <c r="E1723" s="16"/>
      <c r="F1723" s="14">
        <v>0</v>
      </c>
      <c r="G1723" s="16">
        <v>3</v>
      </c>
      <c r="H1723" s="16">
        <f t="shared" si="26"/>
        <v>3</v>
      </c>
      <c r="I1723" s="13">
        <v>3</v>
      </c>
    </row>
    <row r="1724" spans="1:9">
      <c r="A1724" s="13" t="s">
        <v>10</v>
      </c>
      <c r="B1724" s="16" t="s">
        <v>84</v>
      </c>
      <c r="C1724" s="14" t="str">
        <f>VLOOKUP([1]Competence!$B62,[1]Competence!$B$12:$B$100,1,FALSE)</f>
        <v>Database Administration</v>
      </c>
      <c r="D1724" s="13" t="str" cm="1">
        <f t="array" ref="D1724">_xlfn.XLOOKUP(B1724,[1]Baseline!$D$3:$AZ$3,_xlfn.XLOOKUP(C1724,[1]Baseline!$B$4:$B$91,[1]Baseline!$D$4:$AZ$91))</f>
        <v>Awareness</v>
      </c>
      <c r="E1724" s="16"/>
      <c r="F1724" s="14">
        <v>1</v>
      </c>
      <c r="G1724" s="16">
        <v>3</v>
      </c>
      <c r="H1724" s="16">
        <f t="shared" si="26"/>
        <v>2</v>
      </c>
      <c r="I1724" s="13">
        <v>3</v>
      </c>
    </row>
    <row r="1725" spans="1:9">
      <c r="A1725" s="13" t="s">
        <v>10</v>
      </c>
      <c r="B1725" s="16" t="s">
        <v>84</v>
      </c>
      <c r="C1725" s="14" t="str">
        <f>VLOOKUP([1]Competence!$B63,[1]Competence!$B$12:$B$100,1,FALSE)</f>
        <v>Database Design</v>
      </c>
      <c r="D1725" s="13" t="str" cm="1">
        <f t="array" ref="D1725">_xlfn.XLOOKUP(B1725,[1]Baseline!$D$3:$AZ$3,_xlfn.XLOOKUP(C1725,[1]Baseline!$B$4:$B$91,[1]Baseline!$D$4:$AZ$91))</f>
        <v>No Knowledge</v>
      </c>
      <c r="E1725" s="16"/>
      <c r="F1725" s="14">
        <v>0</v>
      </c>
      <c r="G1725" s="16">
        <v>2</v>
      </c>
      <c r="H1725" s="16">
        <f t="shared" si="26"/>
        <v>2</v>
      </c>
      <c r="I1725" s="13">
        <v>2</v>
      </c>
    </row>
    <row r="1726" spans="1:9">
      <c r="A1726" s="13" t="s">
        <v>10</v>
      </c>
      <c r="B1726" s="16" t="s">
        <v>84</v>
      </c>
      <c r="C1726" s="14" t="str">
        <f>VLOOKUP([1]Competence!$B64,[1]Competence!$B$12:$B$100,1,FALSE)</f>
        <v>Hardware design</v>
      </c>
      <c r="D1726" s="13" t="str" cm="1">
        <f t="array" ref="D1726">_xlfn.XLOOKUP(B1726,[1]Baseline!$D$3:$AZ$3,_xlfn.XLOOKUP(C1726,[1]Baseline!$B$4:$B$91,[1]Baseline!$D$4:$AZ$91))</f>
        <v>Practitioner</v>
      </c>
      <c r="E1726" s="16"/>
      <c r="F1726" s="14">
        <v>3</v>
      </c>
      <c r="G1726" s="16">
        <v>1</v>
      </c>
      <c r="H1726" s="16">
        <f t="shared" si="26"/>
        <v>-2</v>
      </c>
      <c r="I1726" s="13">
        <v>1</v>
      </c>
    </row>
    <row r="1727" spans="1:9">
      <c r="A1727" s="13" t="s">
        <v>10</v>
      </c>
      <c r="B1727" s="16" t="s">
        <v>84</v>
      </c>
      <c r="C1727" s="14" t="str">
        <f>VLOOKUP([1]Competence!$B65,[1]Competence!$B$12:$B$100,1,FALSE)</f>
        <v>High Performance Computing</v>
      </c>
      <c r="D1727" s="13" t="str" cm="1">
        <f t="array" ref="D1727">_xlfn.XLOOKUP(B1727,[1]Baseline!$D$3:$AZ$3,_xlfn.XLOOKUP(C1727,[1]Baseline!$B$4:$B$91,[1]Baseline!$D$4:$AZ$91))</f>
        <v>Practitioner</v>
      </c>
      <c r="E1727" s="16"/>
      <c r="F1727" s="14">
        <v>3</v>
      </c>
      <c r="G1727" s="16">
        <v>2</v>
      </c>
      <c r="H1727" s="16">
        <f t="shared" si="26"/>
        <v>-1</v>
      </c>
      <c r="I1727" s="13">
        <v>2</v>
      </c>
    </row>
    <row r="1728" spans="1:9">
      <c r="A1728" s="13" t="s">
        <v>10</v>
      </c>
      <c r="B1728" s="16" t="s">
        <v>84</v>
      </c>
      <c r="C1728" s="14" t="str">
        <f>VLOOKUP([1]Competence!$B66,[1]Competence!$B$12:$B$100,1,FALSE)</f>
        <v>Research Computing</v>
      </c>
      <c r="D1728" s="13" t="str" cm="1">
        <f t="array" ref="D1728">_xlfn.XLOOKUP(B1728,[1]Baseline!$D$3:$AZ$3,_xlfn.XLOOKUP(C1728,[1]Baseline!$B$4:$B$91,[1]Baseline!$D$4:$AZ$91))</f>
        <v>Practitioner</v>
      </c>
      <c r="E1728" s="16"/>
      <c r="F1728" s="14">
        <v>3</v>
      </c>
      <c r="G1728" s="16">
        <v>2</v>
      </c>
      <c r="H1728" s="16">
        <f t="shared" si="26"/>
        <v>-1</v>
      </c>
      <c r="I1728" s="13">
        <v>2</v>
      </c>
    </row>
    <row r="1729" spans="1:9">
      <c r="A1729" s="13" t="s">
        <v>10</v>
      </c>
      <c r="B1729" s="16" t="s">
        <v>84</v>
      </c>
      <c r="C1729" s="14" t="str">
        <f>VLOOKUP([1]Competence!$B67,[1]Competence!$B$12:$B$100,1,FALSE)</f>
        <v>Information assurance</v>
      </c>
      <c r="D1729" s="13" t="str" cm="1">
        <f t="array" ref="D1729">_xlfn.XLOOKUP(B1729,[1]Baseline!$D$3:$AZ$3,_xlfn.XLOOKUP(C1729,[1]Baseline!$B$4:$B$91,[1]Baseline!$D$4:$AZ$91))</f>
        <v>Expert</v>
      </c>
      <c r="E1729" s="16"/>
      <c r="F1729" s="14">
        <v>4</v>
      </c>
      <c r="G1729" s="16">
        <v>2</v>
      </c>
      <c r="H1729" s="16">
        <f t="shared" si="26"/>
        <v>-2</v>
      </c>
      <c r="I1729" s="13">
        <v>2</v>
      </c>
    </row>
    <row r="1730" spans="1:9">
      <c r="A1730" s="13" t="s">
        <v>10</v>
      </c>
      <c r="B1730" s="16" t="s">
        <v>84</v>
      </c>
      <c r="C1730" s="14" t="str">
        <f>VLOOKUP([1]Competence!$B68,[1]Competence!$B$12:$B$100,1,FALSE)</f>
        <v>Information management</v>
      </c>
      <c r="D1730" s="13" t="str" cm="1">
        <f t="array" ref="D1730">_xlfn.XLOOKUP(B1730,[1]Baseline!$D$3:$AZ$3,_xlfn.XLOOKUP(C1730,[1]Baseline!$B$4:$B$91,[1]Baseline!$D$4:$AZ$91))</f>
        <v>Practitioner</v>
      </c>
      <c r="E1730" s="16"/>
      <c r="F1730" s="14">
        <v>3</v>
      </c>
      <c r="G1730" s="16">
        <v>3</v>
      </c>
      <c r="H1730" s="16">
        <f t="shared" ref="H1730:H1793" si="27">I1730-F1730</f>
        <v>0</v>
      </c>
      <c r="I1730" s="13">
        <v>3</v>
      </c>
    </row>
    <row r="1731" spans="1:9">
      <c r="A1731" s="13" t="s">
        <v>10</v>
      </c>
      <c r="B1731" s="16" t="s">
        <v>84</v>
      </c>
      <c r="C1731" s="14" t="str">
        <f>VLOOKUP([1]Competence!$B69,[1]Competence!$B$12:$B$100,1,FALSE)</f>
        <v>Infrastructure</v>
      </c>
      <c r="D1731" s="13" t="str" cm="1">
        <f t="array" ref="D1731">_xlfn.XLOOKUP(B1731,[1]Baseline!$D$3:$AZ$3,_xlfn.XLOOKUP(C1731,[1]Baseline!$B$4:$B$91,[1]Baseline!$D$4:$AZ$91))</f>
        <v>Practitioner</v>
      </c>
      <c r="E1731" s="16"/>
      <c r="F1731" s="14">
        <v>3</v>
      </c>
      <c r="G1731" s="16">
        <v>1</v>
      </c>
      <c r="H1731" s="16">
        <f t="shared" si="27"/>
        <v>-2</v>
      </c>
      <c r="I1731" s="13">
        <v>1</v>
      </c>
    </row>
    <row r="1732" spans="1:9">
      <c r="A1732" s="13" t="s">
        <v>10</v>
      </c>
      <c r="B1732" s="16" t="s">
        <v>84</v>
      </c>
      <c r="C1732" s="14" t="str">
        <f>VLOOKUP([1]Competence!$B70,[1]Competence!$B$12:$B$100,1,FALSE)</f>
        <v>Network design</v>
      </c>
      <c r="D1732" s="13" t="str" cm="1">
        <f t="array" ref="D1732">_xlfn.XLOOKUP(B1732,[1]Baseline!$D$3:$AZ$3,_xlfn.XLOOKUP(C1732,[1]Baseline!$B$4:$B$91,[1]Baseline!$D$4:$AZ$91))</f>
        <v>Working</v>
      </c>
      <c r="E1732" s="16"/>
      <c r="F1732" s="14">
        <v>2</v>
      </c>
      <c r="G1732" s="16">
        <v>1</v>
      </c>
      <c r="H1732" s="16">
        <f t="shared" si="27"/>
        <v>-1</v>
      </c>
      <c r="I1732" s="13">
        <v>1</v>
      </c>
    </row>
    <row r="1733" spans="1:9">
      <c r="A1733" s="13" t="s">
        <v>10</v>
      </c>
      <c r="B1733" s="16" t="s">
        <v>84</v>
      </c>
      <c r="C1733" s="14" t="str">
        <f>VLOOKUP([1]Competence!$B71,[1]Competence!$B$12:$B$100,1,FALSE)</f>
        <v>Network Analytics</v>
      </c>
      <c r="D1733" s="13" t="str" cm="1">
        <f t="array" ref="D1733">_xlfn.XLOOKUP(B1733,[1]Baseline!$D$3:$AZ$3,_xlfn.XLOOKUP(C1733,[1]Baseline!$B$4:$B$91,[1]Baseline!$D$4:$AZ$91))</f>
        <v>Working</v>
      </c>
      <c r="E1733" s="16"/>
      <c r="F1733" s="14">
        <v>2</v>
      </c>
      <c r="G1733" s="16">
        <v>2</v>
      </c>
      <c r="H1733" s="16">
        <f t="shared" si="27"/>
        <v>0</v>
      </c>
      <c r="I1733" s="13">
        <v>2</v>
      </c>
    </row>
    <row r="1734" spans="1:9">
      <c r="A1734" s="13" t="s">
        <v>10</v>
      </c>
      <c r="B1734" s="16" t="s">
        <v>84</v>
      </c>
      <c r="C1734" s="14" t="str">
        <f>VLOOKUP([1]Competence!$B72,[1]Competence!$B$12:$B$100,1,FALSE)</f>
        <v>Network support</v>
      </c>
      <c r="D1734" s="13" t="str" cm="1">
        <f t="array" ref="D1734">_xlfn.XLOOKUP(B1734,[1]Baseline!$D$3:$AZ$3,_xlfn.XLOOKUP(C1734,[1]Baseline!$B$4:$B$91,[1]Baseline!$D$4:$AZ$91))</f>
        <v>Working</v>
      </c>
      <c r="E1734" s="16"/>
      <c r="F1734" s="14">
        <v>2</v>
      </c>
      <c r="G1734" s="16">
        <v>2</v>
      </c>
      <c r="H1734" s="16">
        <f t="shared" si="27"/>
        <v>0</v>
      </c>
      <c r="I1734" s="13">
        <v>2</v>
      </c>
    </row>
    <row r="1735" spans="1:9">
      <c r="A1735" s="13" t="s">
        <v>10</v>
      </c>
      <c r="B1735" s="16" t="s">
        <v>84</v>
      </c>
      <c r="C1735" s="14" t="str">
        <f>VLOOKUP([1]Competence!$B73,[1]Competence!$B$12:$B$100,1,FALSE)</f>
        <v>Programming/software development</v>
      </c>
      <c r="D1735" s="13" t="str" cm="1">
        <f t="array" ref="D1735">_xlfn.XLOOKUP(B1735,[1]Baseline!$D$3:$AZ$3,_xlfn.XLOOKUP(C1735,[1]Baseline!$B$4:$B$91,[1]Baseline!$D$4:$AZ$91))</f>
        <v>Working</v>
      </c>
      <c r="E1735" s="16"/>
      <c r="F1735" s="14">
        <v>2</v>
      </c>
      <c r="G1735" s="16">
        <v>1</v>
      </c>
      <c r="H1735" s="16">
        <f t="shared" si="27"/>
        <v>-1</v>
      </c>
      <c r="I1735" s="13">
        <v>1</v>
      </c>
    </row>
    <row r="1736" spans="1:9" ht="30">
      <c r="A1736" s="13" t="s">
        <v>10</v>
      </c>
      <c r="B1736" s="16" t="s">
        <v>84</v>
      </c>
      <c r="C1736" s="14" t="str">
        <f>VLOOKUP([1]Competence!$B74,[1]Competence!$B$12:$B$100,1,FALSE)</f>
        <v>Real-time/embedded systems development</v>
      </c>
      <c r="D1736" s="13" t="str" cm="1">
        <f t="array" ref="D1736">_xlfn.XLOOKUP(B1736,[1]Baseline!$D$3:$AZ$3,_xlfn.XLOOKUP(C1736,[1]Baseline!$B$4:$B$91,[1]Baseline!$D$4:$AZ$91))</f>
        <v>No Knowledge</v>
      </c>
      <c r="E1736" s="16"/>
      <c r="F1736" s="14">
        <v>0</v>
      </c>
      <c r="G1736" s="16">
        <v>2</v>
      </c>
      <c r="H1736" s="16">
        <f t="shared" si="27"/>
        <v>2</v>
      </c>
      <c r="I1736" s="13">
        <v>2</v>
      </c>
    </row>
    <row r="1737" spans="1:9" ht="30">
      <c r="A1737" s="13" t="s">
        <v>10</v>
      </c>
      <c r="B1737" s="16" t="s">
        <v>84</v>
      </c>
      <c r="C1737" s="14" t="str">
        <f>VLOOKUP([1]Competence!$B75,[1]Competence!$B$12:$B$100,1,FALSE)</f>
        <v>Requirements definition and management</v>
      </c>
      <c r="D1737" s="13" t="str" cm="1">
        <f t="array" ref="D1737">_xlfn.XLOOKUP(B1737,[1]Baseline!$D$3:$AZ$3,_xlfn.XLOOKUP(C1737,[1]Baseline!$B$4:$B$91,[1]Baseline!$D$4:$AZ$91))</f>
        <v>Practitioner</v>
      </c>
      <c r="E1737" s="16"/>
      <c r="F1737" s="14">
        <v>3</v>
      </c>
      <c r="G1737" s="16">
        <v>2</v>
      </c>
      <c r="H1737" s="16">
        <f t="shared" si="27"/>
        <v>-1</v>
      </c>
      <c r="I1737" s="13">
        <v>2</v>
      </c>
    </row>
    <row r="1738" spans="1:9">
      <c r="A1738" s="13" t="s">
        <v>10</v>
      </c>
      <c r="B1738" s="16" t="s">
        <v>84</v>
      </c>
      <c r="C1738" s="14" t="str">
        <f>VLOOKUP([1]Competence!$B76,[1]Competence!$B$12:$B$100,1,FALSE)</f>
        <v>Software configuration</v>
      </c>
      <c r="D1738" s="13" t="str" cm="1">
        <f t="array" ref="D1738">_xlfn.XLOOKUP(B1738,[1]Baseline!$D$3:$AZ$3,_xlfn.XLOOKUP(C1738,[1]Baseline!$B$4:$B$91,[1]Baseline!$D$4:$AZ$91))</f>
        <v>Awareness</v>
      </c>
      <c r="E1738" s="16"/>
      <c r="F1738" s="14">
        <v>1</v>
      </c>
      <c r="G1738" s="16">
        <v>1</v>
      </c>
      <c r="H1738" s="16">
        <f t="shared" si="27"/>
        <v>0</v>
      </c>
      <c r="I1738" s="13">
        <v>1</v>
      </c>
    </row>
    <row r="1739" spans="1:9">
      <c r="A1739" s="13" t="s">
        <v>10</v>
      </c>
      <c r="B1739" s="16" t="s">
        <v>84</v>
      </c>
      <c r="C1739" s="14" t="str">
        <f>VLOOKUP([1]Competence!$B77,[1]Competence!$B$12:$B$100,1,FALSE)</f>
        <v>Software design</v>
      </c>
      <c r="D1739" s="13" t="str" cm="1">
        <f t="array" ref="D1739">_xlfn.XLOOKUP(B1739,[1]Baseline!$D$3:$AZ$3,_xlfn.XLOOKUP(C1739,[1]Baseline!$B$4:$B$91,[1]Baseline!$D$4:$AZ$91))</f>
        <v>Awareness</v>
      </c>
      <c r="E1739" s="16"/>
      <c r="F1739" s="14">
        <v>1</v>
      </c>
      <c r="G1739" s="16">
        <v>2</v>
      </c>
      <c r="H1739" s="16">
        <f t="shared" si="27"/>
        <v>1</v>
      </c>
      <c r="I1739" s="13">
        <v>2</v>
      </c>
    </row>
    <row r="1740" spans="1:9">
      <c r="A1740" s="13" t="s">
        <v>10</v>
      </c>
      <c r="B1740" s="16" t="s">
        <v>84</v>
      </c>
      <c r="C1740" s="14" t="str">
        <f>VLOOKUP([1]Competence!$B78,[1]Competence!$B$12:$B$100,1,FALSE)</f>
        <v>Solution architecture</v>
      </c>
      <c r="D1740" s="13" t="str" cm="1">
        <f t="array" ref="D1740">_xlfn.XLOOKUP(B1740,[1]Baseline!$D$3:$AZ$3,_xlfn.XLOOKUP(C1740,[1]Baseline!$B$4:$B$91,[1]Baseline!$D$4:$AZ$91))</f>
        <v>Practitioner</v>
      </c>
      <c r="E1740" s="16"/>
      <c r="F1740" s="14">
        <v>3</v>
      </c>
      <c r="G1740" s="16">
        <v>3</v>
      </c>
      <c r="H1740" s="16">
        <f t="shared" si="27"/>
        <v>0</v>
      </c>
      <c r="I1740" s="13">
        <v>3</v>
      </c>
    </row>
    <row r="1741" spans="1:9">
      <c r="A1741" s="13" t="s">
        <v>10</v>
      </c>
      <c r="B1741" s="16" t="s">
        <v>84</v>
      </c>
      <c r="C1741" s="14" t="str">
        <f>VLOOKUP([1]Competence!$B79,[1]Competence!$B$12:$B$100,1,FALSE)</f>
        <v>System software</v>
      </c>
      <c r="D1741" s="13" t="str" cm="1">
        <f t="array" ref="D1741">_xlfn.XLOOKUP(B1741,[1]Baseline!$D$3:$AZ$3,_xlfn.XLOOKUP(C1741,[1]Baseline!$B$4:$B$91,[1]Baseline!$D$4:$AZ$91))</f>
        <v>Expert</v>
      </c>
      <c r="E1741" s="16"/>
      <c r="F1741" s="14">
        <v>4</v>
      </c>
      <c r="G1741" s="16">
        <v>2</v>
      </c>
      <c r="H1741" s="16">
        <f t="shared" si="27"/>
        <v>-2</v>
      </c>
      <c r="I1741" s="13">
        <v>2</v>
      </c>
    </row>
    <row r="1742" spans="1:9" ht="30">
      <c r="A1742" s="13" t="s">
        <v>10</v>
      </c>
      <c r="B1742" s="16" t="s">
        <v>84</v>
      </c>
      <c r="C1742" s="14" t="str">
        <f>VLOOKUP([1]Competence!$B80,[1]Competence!$B$12:$B$100,1,FALSE)</f>
        <v>Systems and software life cycle engineering</v>
      </c>
      <c r="D1742" s="13" t="str" cm="1">
        <f t="array" ref="D1742">_xlfn.XLOOKUP(B1742,[1]Baseline!$D$3:$AZ$3,_xlfn.XLOOKUP(C1742,[1]Baseline!$B$4:$B$91,[1]Baseline!$D$4:$AZ$91))</f>
        <v>Expert</v>
      </c>
      <c r="E1742" s="16"/>
      <c r="F1742" s="14">
        <v>4</v>
      </c>
      <c r="G1742" s="16">
        <v>2</v>
      </c>
      <c r="H1742" s="16">
        <f t="shared" si="27"/>
        <v>-2</v>
      </c>
      <c r="I1742" s="13">
        <v>2</v>
      </c>
    </row>
    <row r="1743" spans="1:9">
      <c r="A1743" s="13" t="s">
        <v>10</v>
      </c>
      <c r="B1743" s="16" t="s">
        <v>84</v>
      </c>
      <c r="C1743" s="14" t="str">
        <f>VLOOKUP([1]Competence!$B81,[1]Competence!$B$12:$B$100,1,FALSE)</f>
        <v>Systems design</v>
      </c>
      <c r="D1743" s="13" t="str" cm="1">
        <f t="array" ref="D1743">_xlfn.XLOOKUP(B1743,[1]Baseline!$D$3:$AZ$3,_xlfn.XLOOKUP(C1743,[1]Baseline!$B$4:$B$91,[1]Baseline!$D$4:$AZ$91))</f>
        <v>Expert</v>
      </c>
      <c r="E1743" s="16"/>
      <c r="F1743" s="14">
        <v>4</v>
      </c>
      <c r="G1743" s="16">
        <v>3</v>
      </c>
      <c r="H1743" s="16">
        <f t="shared" si="27"/>
        <v>-1</v>
      </c>
      <c r="I1743" s="13">
        <v>3</v>
      </c>
    </row>
    <row r="1744" spans="1:9">
      <c r="A1744" s="13" t="s">
        <v>10</v>
      </c>
      <c r="B1744" s="16" t="s">
        <v>84</v>
      </c>
      <c r="C1744" s="14" t="str">
        <f>VLOOKUP([1]Competence!$B82,[1]Competence!$B$12:$B$100,1,FALSE)</f>
        <v>Systems development management</v>
      </c>
      <c r="D1744" s="13" t="str" cm="1">
        <f t="array" ref="D1744">_xlfn.XLOOKUP(B1744,[1]Baseline!$D$3:$AZ$3,_xlfn.XLOOKUP(C1744,[1]Baseline!$B$4:$B$91,[1]Baseline!$D$4:$AZ$91))</f>
        <v>Practitioner</v>
      </c>
      <c r="E1744" s="16"/>
      <c r="F1744" s="14">
        <v>3</v>
      </c>
      <c r="G1744" s="16">
        <v>3</v>
      </c>
      <c r="H1744" s="16">
        <f t="shared" si="27"/>
        <v>0</v>
      </c>
      <c r="I1744" s="13">
        <v>3</v>
      </c>
    </row>
    <row r="1745" spans="1:9">
      <c r="A1745" s="13" t="s">
        <v>10</v>
      </c>
      <c r="B1745" s="16" t="s">
        <v>84</v>
      </c>
      <c r="C1745" s="14" t="str">
        <f>VLOOKUP([1]Competence!$B83,[1]Competence!$B$12:$B$100,1,FALSE)</f>
        <v>Systems installation and removal</v>
      </c>
      <c r="D1745" s="13" t="str" cm="1">
        <f t="array" ref="D1745">_xlfn.XLOOKUP(B1745,[1]Baseline!$D$3:$AZ$3,_xlfn.XLOOKUP(C1745,[1]Baseline!$B$4:$B$91,[1]Baseline!$D$4:$AZ$91))</f>
        <v>Working</v>
      </c>
      <c r="E1745" s="16"/>
      <c r="F1745" s="14">
        <v>2</v>
      </c>
      <c r="G1745" s="16">
        <v>2</v>
      </c>
      <c r="H1745" s="16">
        <f t="shared" si="27"/>
        <v>0</v>
      </c>
      <c r="I1745" s="13">
        <v>2</v>
      </c>
    </row>
    <row r="1746" spans="1:9">
      <c r="A1746" s="13" t="s">
        <v>10</v>
      </c>
      <c r="B1746" s="16" t="s">
        <v>84</v>
      </c>
      <c r="C1746" s="14" t="str">
        <f>VLOOKUP([1]Competence!$B84,[1]Competence!$B$12:$B$100,1,FALSE)</f>
        <v>Testing</v>
      </c>
      <c r="D1746" s="13" t="str" cm="1">
        <f t="array" ref="D1746">_xlfn.XLOOKUP(B1746,[1]Baseline!$D$3:$AZ$3,_xlfn.XLOOKUP(C1746,[1]Baseline!$B$4:$B$91,[1]Baseline!$D$4:$AZ$91))</f>
        <v>Practitioner</v>
      </c>
      <c r="E1746" s="16"/>
      <c r="F1746" s="14">
        <v>3</v>
      </c>
      <c r="G1746" s="16">
        <v>2</v>
      </c>
      <c r="H1746" s="16">
        <f t="shared" si="27"/>
        <v>-1</v>
      </c>
      <c r="I1746" s="13">
        <v>2</v>
      </c>
    </row>
    <row r="1747" spans="1:9">
      <c r="A1747" s="13" t="s">
        <v>10</v>
      </c>
      <c r="B1747" s="16" t="s">
        <v>84</v>
      </c>
      <c r="C1747" s="14" t="str">
        <f>VLOOKUP([1]Competence!$B85,[1]Competence!$B$12:$B$100,1,FALSE)</f>
        <v>Innovation</v>
      </c>
      <c r="D1747" s="13" t="str" cm="1">
        <f t="array" ref="D1747">_xlfn.XLOOKUP(B1747,[1]Baseline!$D$3:$AZ$3,_xlfn.XLOOKUP(C1747,[1]Baseline!$B$4:$B$91,[1]Baseline!$D$4:$AZ$91))</f>
        <v>Expert</v>
      </c>
      <c r="E1747" s="16"/>
      <c r="F1747" s="14">
        <v>4</v>
      </c>
      <c r="G1747" s="16">
        <v>2</v>
      </c>
      <c r="H1747" s="16">
        <f t="shared" si="27"/>
        <v>-2</v>
      </c>
      <c r="I1747" s="13">
        <v>2</v>
      </c>
    </row>
    <row r="1748" spans="1:9">
      <c r="A1748" s="13" t="s">
        <v>10</v>
      </c>
      <c r="B1748" s="16" t="s">
        <v>84</v>
      </c>
      <c r="C1748" s="14" t="str">
        <f>VLOOKUP([1]Competence!$B86,[1]Competence!$B$12:$B$100,1,FALSE)</f>
        <v>Specialist Advice</v>
      </c>
      <c r="D1748" s="13" t="str" cm="1">
        <f t="array" ref="D1748">_xlfn.XLOOKUP(B1748,[1]Baseline!$D$3:$AZ$3,_xlfn.XLOOKUP(C1748,[1]Baseline!$B$4:$B$91,[1]Baseline!$D$4:$AZ$91))</f>
        <v>Expert</v>
      </c>
      <c r="E1748" s="16"/>
      <c r="F1748" s="14">
        <v>4</v>
      </c>
      <c r="G1748" s="16">
        <v>2</v>
      </c>
      <c r="H1748" s="16">
        <f t="shared" si="27"/>
        <v>-2</v>
      </c>
      <c r="I1748" s="13">
        <v>2</v>
      </c>
    </row>
    <row r="1749" spans="1:9">
      <c r="A1749" s="13" t="s">
        <v>10</v>
      </c>
      <c r="B1749" s="16" t="s">
        <v>84</v>
      </c>
      <c r="C1749" s="14" t="str">
        <f>VLOOKUP([1]Competence!$B87,[1]Competence!$B$12:$B$100,1,FALSE)</f>
        <v>Emerging technology monitoring</v>
      </c>
      <c r="D1749" s="13" t="str" cm="1">
        <f t="array" ref="D1749">_xlfn.XLOOKUP(B1749,[1]Baseline!$D$3:$AZ$3,_xlfn.XLOOKUP(C1749,[1]Baseline!$B$4:$B$91,[1]Baseline!$D$4:$AZ$91))</f>
        <v>Practitioner</v>
      </c>
      <c r="E1749" s="16"/>
      <c r="F1749" s="14">
        <v>3</v>
      </c>
      <c r="G1749" s="16">
        <v>2</v>
      </c>
      <c r="H1749" s="16">
        <f t="shared" si="27"/>
        <v>-1</v>
      </c>
      <c r="I1749" s="13">
        <v>2</v>
      </c>
    </row>
    <row r="1750" spans="1:9">
      <c r="A1750" s="13" t="s">
        <v>10</v>
      </c>
      <c r="B1750" s="16" t="s">
        <v>84</v>
      </c>
      <c r="C1750" s="14" t="str">
        <f>VLOOKUP([1]Competence!$B88,[1]Competence!$B$12:$B$100,1,FALSE)</f>
        <v>Systems integration and build</v>
      </c>
      <c r="D1750" s="13" t="str" cm="1">
        <f t="array" ref="D1750">_xlfn.XLOOKUP(B1750,[1]Baseline!$D$3:$AZ$3,_xlfn.XLOOKUP(C1750,[1]Baseline!$B$4:$B$91,[1]Baseline!$D$4:$AZ$91))</f>
        <v>Practitioner</v>
      </c>
      <c r="E1750" s="16"/>
      <c r="F1750" s="14">
        <v>3</v>
      </c>
      <c r="G1750" s="16">
        <v>2</v>
      </c>
      <c r="H1750" s="16">
        <f t="shared" si="27"/>
        <v>-1</v>
      </c>
      <c r="I1750" s="13">
        <v>2</v>
      </c>
    </row>
    <row r="1751" spans="1:9">
      <c r="A1751" s="13" t="s">
        <v>10</v>
      </c>
      <c r="B1751" s="16" t="s">
        <v>84</v>
      </c>
      <c r="C1751" s="14" t="str">
        <f>VLOOKUP([1]Competence!$B89,[1]Competence!$B$12:$B$100,1,FALSE)</f>
        <v>Audio Visual</v>
      </c>
      <c r="D1751" s="13" t="str" cm="1">
        <f t="array" ref="D1751">_xlfn.XLOOKUP(B1751,[1]Baseline!$D$3:$AZ$3,_xlfn.XLOOKUP(C1751,[1]Baseline!$B$4:$B$91,[1]Baseline!$D$4:$AZ$91))</f>
        <v>Working</v>
      </c>
      <c r="E1751" s="16"/>
      <c r="F1751" s="14">
        <v>2</v>
      </c>
      <c r="G1751" s="16">
        <v>1</v>
      </c>
      <c r="H1751" s="16">
        <f t="shared" si="27"/>
        <v>-1</v>
      </c>
      <c r="I1751" s="13">
        <v>1</v>
      </c>
    </row>
    <row r="1752" spans="1:9">
      <c r="A1752" s="13" t="s">
        <v>10</v>
      </c>
      <c r="B1752" s="16" t="s">
        <v>84</v>
      </c>
      <c r="C1752" s="14" t="str">
        <f>VLOOKUP([1]Competence!$B90,[1]Competence!$B$12:$B$100,1,FALSE)</f>
        <v>Augmented Reality</v>
      </c>
      <c r="D1752" s="13" t="str" cm="1">
        <f t="array" ref="D1752">_xlfn.XLOOKUP(B1752,[1]Baseline!$D$3:$AZ$3,_xlfn.XLOOKUP(C1752,[1]Baseline!$B$4:$B$91,[1]Baseline!$D$4:$AZ$91))</f>
        <v>Working</v>
      </c>
      <c r="E1752" s="16"/>
      <c r="F1752" s="14">
        <v>0</v>
      </c>
      <c r="G1752" s="16">
        <v>1</v>
      </c>
      <c r="H1752" s="16">
        <f t="shared" si="27"/>
        <v>1</v>
      </c>
      <c r="I1752" s="13">
        <v>1</v>
      </c>
    </row>
    <row r="1753" spans="1:9">
      <c r="A1753" s="13" t="s">
        <v>10</v>
      </c>
      <c r="B1753" s="16" t="s">
        <v>84</v>
      </c>
      <c r="C1753" s="14" t="str">
        <f>VLOOKUP([1]Competence!$B91,[1]Competence!$B$12:$B$100,1,FALSE)</f>
        <v>Benefits management</v>
      </c>
      <c r="D1753" s="13" t="str" cm="1">
        <f t="array" ref="D1753">_xlfn.XLOOKUP(B1753,[1]Baseline!$D$3:$AZ$3,_xlfn.XLOOKUP(C1753,[1]Baseline!$B$4:$B$91,[1]Baseline!$D$4:$AZ$91))</f>
        <v>Practitioner</v>
      </c>
      <c r="E1753" s="16"/>
      <c r="F1753" s="14">
        <v>3</v>
      </c>
      <c r="G1753" s="16">
        <v>2</v>
      </c>
      <c r="H1753" s="16">
        <f t="shared" si="27"/>
        <v>-1</v>
      </c>
      <c r="I1753" s="13">
        <v>2</v>
      </c>
    </row>
    <row r="1754" spans="1:9">
      <c r="A1754" s="13" t="s">
        <v>10</v>
      </c>
      <c r="B1754" s="16" t="s">
        <v>84</v>
      </c>
      <c r="C1754" s="14" t="str">
        <f>VLOOKUP([1]Competence!$B92,[1]Competence!$B$12:$B$100,1,FALSE)</f>
        <v>Business administration</v>
      </c>
      <c r="D1754" s="13" t="str" cm="1">
        <f t="array" ref="D1754">_xlfn.XLOOKUP(B1754,[1]Baseline!$D$3:$AZ$3,_xlfn.XLOOKUP(C1754,[1]Baseline!$B$4:$B$91,[1]Baseline!$D$4:$AZ$91))</f>
        <v>Practitioner</v>
      </c>
      <c r="E1754" s="16"/>
      <c r="F1754" s="14">
        <v>3</v>
      </c>
      <c r="G1754" s="16">
        <v>1</v>
      </c>
      <c r="H1754" s="16">
        <f t="shared" si="27"/>
        <v>-2</v>
      </c>
      <c r="I1754" s="13">
        <v>1</v>
      </c>
    </row>
    <row r="1755" spans="1:9">
      <c r="A1755" s="13" t="s">
        <v>10</v>
      </c>
      <c r="B1755" s="16" t="s">
        <v>84</v>
      </c>
      <c r="C1755" s="14" t="str">
        <f>VLOOKUP([1]Competence!$B93,[1]Competence!$B$12:$B$100,1,FALSE)</f>
        <v>Business intelligence</v>
      </c>
      <c r="D1755" s="13" t="str" cm="1">
        <f t="array" ref="D1755">_xlfn.XLOOKUP(B1755,[1]Baseline!$D$3:$AZ$3,_xlfn.XLOOKUP(C1755,[1]Baseline!$B$4:$B$91,[1]Baseline!$D$4:$AZ$91))</f>
        <v>Working</v>
      </c>
      <c r="E1755" s="16"/>
      <c r="F1755" s="14">
        <v>2</v>
      </c>
      <c r="G1755" s="16">
        <v>1</v>
      </c>
      <c r="H1755" s="16">
        <f t="shared" si="27"/>
        <v>-1</v>
      </c>
      <c r="I1755" s="13">
        <v>1</v>
      </c>
    </row>
    <row r="1756" spans="1:9">
      <c r="A1756" s="13" t="s">
        <v>10</v>
      </c>
      <c r="B1756" s="16" t="s">
        <v>84</v>
      </c>
      <c r="C1756" s="14" t="str">
        <f>VLOOKUP([1]Competence!$B94,[1]Competence!$B$12:$B$100,1,FALSE)</f>
        <v>Business modelling</v>
      </c>
      <c r="D1756" s="13" t="str" cm="1">
        <f t="array" ref="D1756">_xlfn.XLOOKUP(B1756,[1]Baseline!$D$3:$AZ$3,_xlfn.XLOOKUP(C1756,[1]Baseline!$B$4:$B$91,[1]Baseline!$D$4:$AZ$91))</f>
        <v>No Knowledge</v>
      </c>
      <c r="E1756" s="16"/>
      <c r="F1756" s="14">
        <v>0</v>
      </c>
      <c r="G1756" s="16">
        <v>2</v>
      </c>
      <c r="H1756" s="16">
        <f t="shared" si="27"/>
        <v>2</v>
      </c>
      <c r="I1756" s="13">
        <v>2</v>
      </c>
    </row>
    <row r="1757" spans="1:9">
      <c r="A1757" s="13" t="s">
        <v>10</v>
      </c>
      <c r="B1757" s="16" t="s">
        <v>84</v>
      </c>
      <c r="C1757" s="14" t="str">
        <f>VLOOKUP([1]Competence!$B95,[1]Competence!$B$12:$B$100,1,FALSE)</f>
        <v>Business process improvement</v>
      </c>
      <c r="D1757" s="13" t="str" cm="1">
        <f t="array" ref="D1757">_xlfn.XLOOKUP(B1757,[1]Baseline!$D$3:$AZ$3,_xlfn.XLOOKUP(C1757,[1]Baseline!$B$4:$B$91,[1]Baseline!$D$4:$AZ$91))</f>
        <v>Practitioner</v>
      </c>
      <c r="E1757" s="16"/>
      <c r="F1757" s="14">
        <v>3</v>
      </c>
      <c r="G1757" s="16">
        <v>1</v>
      </c>
      <c r="H1757" s="16">
        <f t="shared" si="27"/>
        <v>-2</v>
      </c>
      <c r="I1757" s="13">
        <v>1</v>
      </c>
    </row>
    <row r="1758" spans="1:9">
      <c r="A1758" s="13" t="s">
        <v>10</v>
      </c>
      <c r="B1758" s="16" t="s">
        <v>84</v>
      </c>
      <c r="C1758" s="14" t="str">
        <f>VLOOKUP([1]Competence!$B96,[1]Competence!$B$12:$B$100,1,FALSE)</f>
        <v>Business situation analysis</v>
      </c>
      <c r="D1758" s="13" t="str" cm="1">
        <f t="array" ref="D1758">_xlfn.XLOOKUP(B1758,[1]Baseline!$D$3:$AZ$3,_xlfn.XLOOKUP(C1758,[1]Baseline!$B$4:$B$91,[1]Baseline!$D$4:$AZ$91))</f>
        <v>Practitioner</v>
      </c>
      <c r="E1758" s="16"/>
      <c r="F1758" s="14">
        <v>3</v>
      </c>
      <c r="G1758" s="16">
        <v>1</v>
      </c>
      <c r="H1758" s="16">
        <f t="shared" si="27"/>
        <v>-2</v>
      </c>
      <c r="I1758" s="13">
        <v>1</v>
      </c>
    </row>
    <row r="1759" spans="1:9">
      <c r="A1759" s="13" t="s">
        <v>10</v>
      </c>
      <c r="B1759" s="16" t="s">
        <v>84</v>
      </c>
      <c r="C1759" s="14" t="str">
        <f>VLOOKUP([1]Competence!$B97,[1]Competence!$B$12:$B$100,1,FALSE)</f>
        <v>Programme management</v>
      </c>
      <c r="D1759" s="13" t="str" cm="1">
        <f t="array" ref="D1759">_xlfn.XLOOKUP(B1759,[1]Baseline!$D$3:$AZ$3,_xlfn.XLOOKUP(C1759,[1]Baseline!$B$4:$B$91,[1]Baseline!$D$4:$AZ$91))</f>
        <v>Practitioner</v>
      </c>
      <c r="E1759" s="16"/>
      <c r="F1759" s="14">
        <v>3</v>
      </c>
      <c r="G1759" s="16">
        <v>2</v>
      </c>
      <c r="H1759" s="16">
        <f t="shared" si="27"/>
        <v>-1</v>
      </c>
      <c r="I1759" s="13">
        <v>2</v>
      </c>
    </row>
    <row r="1760" spans="1:9">
      <c r="A1760" s="13" t="s">
        <v>10</v>
      </c>
      <c r="B1760" s="16" t="s">
        <v>84</v>
      </c>
      <c r="C1760" s="14" t="str">
        <f>VLOOKUP([1]Competence!$B98,[1]Competence!$B$12:$B$100,1,FALSE)</f>
        <v>Project management</v>
      </c>
      <c r="D1760" s="13" t="str" cm="1">
        <f t="array" ref="D1760">_xlfn.XLOOKUP(B1760,[1]Baseline!$D$3:$AZ$3,_xlfn.XLOOKUP(C1760,[1]Baseline!$B$4:$B$91,[1]Baseline!$D$4:$AZ$91))</f>
        <v>Practitioner</v>
      </c>
      <c r="E1760" s="16"/>
      <c r="F1760" s="14">
        <v>3</v>
      </c>
      <c r="G1760" s="16">
        <v>2</v>
      </c>
      <c r="H1760" s="16">
        <f t="shared" si="27"/>
        <v>-1</v>
      </c>
      <c r="I1760" s="13">
        <v>2</v>
      </c>
    </row>
    <row r="1761" spans="1:9">
      <c r="A1761" s="13" t="s">
        <v>10</v>
      </c>
      <c r="B1761" s="16" t="s">
        <v>84</v>
      </c>
      <c r="C1761" s="14" t="str">
        <f>VLOOKUP([1]Competence!$B99,[1]Competence!$B$12:$B$100,1,FALSE)</f>
        <v>Quality assurance</v>
      </c>
      <c r="D1761" s="13" t="str" cm="1">
        <f t="array" ref="D1761">_xlfn.XLOOKUP(B1761,[1]Baseline!$D$3:$AZ$3,_xlfn.XLOOKUP(C1761,[1]Baseline!$B$4:$B$91,[1]Baseline!$D$4:$AZ$91))</f>
        <v>Practitioner</v>
      </c>
      <c r="E1761" s="16"/>
      <c r="F1761" s="14">
        <v>3</v>
      </c>
      <c r="G1761" s="16">
        <v>3</v>
      </c>
      <c r="H1761" s="16">
        <f t="shared" si="27"/>
        <v>0</v>
      </c>
      <c r="I1761" s="13">
        <v>3</v>
      </c>
    </row>
    <row r="1762" spans="1:9">
      <c r="A1762" s="16" t="s">
        <v>32</v>
      </c>
      <c r="B1762" s="16" t="s">
        <v>380</v>
      </c>
      <c r="C1762" s="14" t="str">
        <f>VLOOKUP([1]Competence!$B12,[1]Competence!$B$12:$B$100,1,FALSE)</f>
        <v>Asset Management</v>
      </c>
      <c r="D1762" s="13" t="e" cm="1">
        <f t="array" ref="D1762">_xlfn.XLOOKUP(B1762,[1]Baseline!$D$3:$AZ$3,_xlfn.XLOOKUP(C1762,[1]Baseline!$B$4:$B$91,[1]Baseline!$D$4:$AZ$91))</f>
        <v>#N/A</v>
      </c>
      <c r="E1762" s="16"/>
      <c r="F1762" s="14">
        <v>3</v>
      </c>
      <c r="G1762" s="16">
        <v>2</v>
      </c>
      <c r="H1762" s="16">
        <f t="shared" si="27"/>
        <v>-1</v>
      </c>
      <c r="I1762" s="13">
        <v>2</v>
      </c>
    </row>
    <row r="1763" spans="1:9">
      <c r="A1763" s="16" t="s">
        <v>32</v>
      </c>
      <c r="B1763" s="16" t="s">
        <v>380</v>
      </c>
      <c r="C1763" s="14" t="str">
        <f>VLOOKUP([1]Competence!$B13,[1]Competence!$B$12:$B$100,1,FALSE)</f>
        <v>Change Control</v>
      </c>
      <c r="D1763" s="13" t="e" cm="1">
        <f t="array" ref="D1763">_xlfn.XLOOKUP(B1763,[1]Baseline!$D$3:$AZ$3,_xlfn.XLOOKUP(C1763,[1]Baseline!$B$4:$B$91,[1]Baseline!$D$4:$AZ$91))</f>
        <v>#N/A</v>
      </c>
      <c r="E1763" s="16"/>
      <c r="F1763" s="14">
        <v>3</v>
      </c>
      <c r="G1763" s="16">
        <v>3</v>
      </c>
      <c r="H1763" s="16">
        <f t="shared" si="27"/>
        <v>0</v>
      </c>
      <c r="I1763" s="13">
        <v>3</v>
      </c>
    </row>
    <row r="1764" spans="1:9">
      <c r="A1764" s="16" t="s">
        <v>32</v>
      </c>
      <c r="B1764" s="16" t="s">
        <v>380</v>
      </c>
      <c r="C1764" s="14" t="str">
        <f>VLOOKUP([1]Competence!$B14,[1]Competence!$B$12:$B$100,1,FALSE)</f>
        <v>Customer Service Support</v>
      </c>
      <c r="D1764" s="13" t="e" cm="1">
        <f t="array" ref="D1764">_xlfn.XLOOKUP(B1764,[1]Baseline!$D$3:$AZ$3,_xlfn.XLOOKUP(C1764,[1]Baseline!$B$4:$B$91,[1]Baseline!$D$4:$AZ$91))</f>
        <v>#N/A</v>
      </c>
      <c r="E1764" s="16"/>
      <c r="F1764" s="14">
        <v>3</v>
      </c>
      <c r="G1764" s="16">
        <v>3</v>
      </c>
      <c r="H1764" s="16">
        <f t="shared" si="27"/>
        <v>0</v>
      </c>
      <c r="I1764" s="13">
        <v>3</v>
      </c>
    </row>
    <row r="1765" spans="1:9">
      <c r="A1765" s="16" t="s">
        <v>32</v>
      </c>
      <c r="B1765" s="16" t="s">
        <v>380</v>
      </c>
      <c r="C1765" s="14" t="str">
        <f>VLOOKUP([1]Competence!$B15,[1]Competence!$B$12:$B$100,1,FALSE)</f>
        <v>Incident management</v>
      </c>
      <c r="D1765" s="13" t="e" cm="1">
        <f t="array" ref="D1765">_xlfn.XLOOKUP(B1765,[1]Baseline!$D$3:$AZ$3,_xlfn.XLOOKUP(C1765,[1]Baseline!$B$4:$B$91,[1]Baseline!$D$4:$AZ$91))</f>
        <v>#N/A</v>
      </c>
      <c r="E1765" s="16"/>
      <c r="F1765" s="14">
        <v>3</v>
      </c>
      <c r="G1765" s="16">
        <v>2</v>
      </c>
      <c r="H1765" s="16">
        <f t="shared" si="27"/>
        <v>-1</v>
      </c>
      <c r="I1765" s="13">
        <v>2</v>
      </c>
    </row>
    <row r="1766" spans="1:9">
      <c r="A1766" s="16" t="s">
        <v>32</v>
      </c>
      <c r="B1766" s="16" t="s">
        <v>380</v>
      </c>
      <c r="C1766" s="14" t="str">
        <f>VLOOKUP([1]Competence!$B16,[1]Competence!$B$12:$B$100,1,FALSE)</f>
        <v>Information security</v>
      </c>
      <c r="D1766" s="13" t="e" cm="1">
        <f t="array" ref="D1766">_xlfn.XLOOKUP(B1766,[1]Baseline!$D$3:$AZ$3,_xlfn.XLOOKUP(C1766,[1]Baseline!$B$4:$B$91,[1]Baseline!$D$4:$AZ$91))</f>
        <v>#N/A</v>
      </c>
      <c r="E1766" s="16"/>
      <c r="F1766" s="14">
        <v>3</v>
      </c>
      <c r="G1766" s="16">
        <v>2</v>
      </c>
      <c r="H1766" s="16">
        <f t="shared" si="27"/>
        <v>-1</v>
      </c>
      <c r="I1766" s="13">
        <v>2</v>
      </c>
    </row>
    <row r="1767" spans="1:9">
      <c r="A1767" s="16" t="s">
        <v>32</v>
      </c>
      <c r="B1767" s="16" t="s">
        <v>380</v>
      </c>
      <c r="C1767" s="14" t="str">
        <f>VLOOKUP([1]Competence!$B17,[1]Competence!$B$12:$B$100,1,FALSE)</f>
        <v>Personal data protection</v>
      </c>
      <c r="D1767" s="13" t="e" cm="1">
        <f t="array" ref="D1767">_xlfn.XLOOKUP(B1767,[1]Baseline!$D$3:$AZ$3,_xlfn.XLOOKUP(C1767,[1]Baseline!$B$4:$B$91,[1]Baseline!$D$4:$AZ$91))</f>
        <v>#N/A</v>
      </c>
      <c r="E1767" s="16"/>
      <c r="F1767" s="14">
        <v>3</v>
      </c>
      <c r="G1767" s="16">
        <v>3</v>
      </c>
      <c r="H1767" s="16">
        <f t="shared" si="27"/>
        <v>0</v>
      </c>
      <c r="I1767" s="13">
        <v>3</v>
      </c>
    </row>
    <row r="1768" spans="1:9">
      <c r="A1768" s="16" t="s">
        <v>32</v>
      </c>
      <c r="B1768" s="16" t="s">
        <v>380</v>
      </c>
      <c r="C1768" s="14" t="str">
        <f>VLOOKUP([1]Competence!$B18,[1]Competence!$B$12:$B$100,1,FALSE)</f>
        <v>Problem management</v>
      </c>
      <c r="D1768" s="13" t="e" cm="1">
        <f t="array" ref="D1768">_xlfn.XLOOKUP(B1768,[1]Baseline!$D$3:$AZ$3,_xlfn.XLOOKUP(C1768,[1]Baseline!$B$4:$B$91,[1]Baseline!$D$4:$AZ$91))</f>
        <v>#N/A</v>
      </c>
      <c r="E1768" s="16"/>
      <c r="F1768" s="14">
        <v>2</v>
      </c>
      <c r="G1768" s="16">
        <v>2</v>
      </c>
      <c r="H1768" s="16">
        <f t="shared" si="27"/>
        <v>0</v>
      </c>
      <c r="I1768" s="13">
        <v>2</v>
      </c>
    </row>
    <row r="1769" spans="1:9">
      <c r="A1769" s="16" t="s">
        <v>32</v>
      </c>
      <c r="B1769" s="16" t="s">
        <v>380</v>
      </c>
      <c r="C1769" s="14" t="str">
        <f>VLOOKUP([1]Competence!$B19,[1]Competence!$B$12:$B$100,1,FALSE)</f>
        <v>Service catalogue management</v>
      </c>
      <c r="D1769" s="13" t="e" cm="1">
        <f t="array" ref="D1769">_xlfn.XLOOKUP(B1769,[1]Baseline!$D$3:$AZ$3,_xlfn.XLOOKUP(C1769,[1]Baseline!$B$4:$B$91,[1]Baseline!$D$4:$AZ$91))</f>
        <v>#N/A</v>
      </c>
      <c r="E1769" s="16"/>
      <c r="F1769" s="14">
        <v>2</v>
      </c>
      <c r="G1769" s="16">
        <v>3</v>
      </c>
      <c r="H1769" s="16">
        <f t="shared" si="27"/>
        <v>1</v>
      </c>
      <c r="I1769" s="13">
        <v>3</v>
      </c>
    </row>
    <row r="1770" spans="1:9">
      <c r="A1770" s="16" t="s">
        <v>32</v>
      </c>
      <c r="B1770" s="16" t="s">
        <v>380</v>
      </c>
      <c r="C1770" s="14" t="str">
        <f>VLOOKUP([1]Competence!$B20,[1]Competence!$B$12:$B$100,1,FALSE)</f>
        <v>Service level management</v>
      </c>
      <c r="D1770" s="13" t="e" cm="1">
        <f t="array" ref="D1770">_xlfn.XLOOKUP(B1770,[1]Baseline!$D$3:$AZ$3,_xlfn.XLOOKUP(C1770,[1]Baseline!$B$4:$B$91,[1]Baseline!$D$4:$AZ$91))</f>
        <v>#N/A</v>
      </c>
      <c r="E1770" s="16"/>
      <c r="F1770" s="14">
        <v>2</v>
      </c>
      <c r="G1770" s="16">
        <v>3</v>
      </c>
      <c r="H1770" s="16">
        <f t="shared" si="27"/>
        <v>1</v>
      </c>
      <c r="I1770" s="13">
        <v>3</v>
      </c>
    </row>
    <row r="1771" spans="1:9">
      <c r="A1771" s="16" t="s">
        <v>32</v>
      </c>
      <c r="B1771" s="16" t="s">
        <v>380</v>
      </c>
      <c r="C1771" s="14" t="str">
        <f>VLOOKUP([1]Competence!$B21,[1]Competence!$B$12:$B$100,1,FALSE)</f>
        <v>Availability Management</v>
      </c>
      <c r="D1771" s="13" t="e" cm="1">
        <f t="array" ref="D1771">_xlfn.XLOOKUP(B1771,[1]Baseline!$D$3:$AZ$3,_xlfn.XLOOKUP(C1771,[1]Baseline!$B$4:$B$91,[1]Baseline!$D$4:$AZ$91))</f>
        <v>#N/A</v>
      </c>
      <c r="E1771" s="16"/>
      <c r="F1771" s="14">
        <v>3</v>
      </c>
      <c r="G1771" s="16">
        <v>1</v>
      </c>
      <c r="H1771" s="16">
        <f t="shared" si="27"/>
        <v>-2</v>
      </c>
      <c r="I1771" s="13">
        <v>1</v>
      </c>
    </row>
    <row r="1772" spans="1:9">
      <c r="A1772" s="16" t="s">
        <v>32</v>
      </c>
      <c r="B1772" s="16" t="s">
        <v>380</v>
      </c>
      <c r="C1772" s="14" t="str">
        <f>VLOOKUP([1]Competence!$B22,[1]Competence!$B$12:$B$100,1,FALSE)</f>
        <v>Capacity management</v>
      </c>
      <c r="D1772" s="13" t="e" cm="1">
        <f t="array" ref="D1772">_xlfn.XLOOKUP(B1772,[1]Baseline!$D$3:$AZ$3,_xlfn.XLOOKUP(C1772,[1]Baseline!$B$4:$B$91,[1]Baseline!$D$4:$AZ$91))</f>
        <v>#N/A</v>
      </c>
      <c r="E1772" s="16"/>
      <c r="F1772" s="14">
        <v>3</v>
      </c>
      <c r="G1772" s="16">
        <v>1</v>
      </c>
      <c r="H1772" s="16">
        <f t="shared" si="27"/>
        <v>-2</v>
      </c>
      <c r="I1772" s="13">
        <v>1</v>
      </c>
    </row>
    <row r="1773" spans="1:9">
      <c r="A1773" s="16" t="s">
        <v>32</v>
      </c>
      <c r="B1773" s="16" t="s">
        <v>380</v>
      </c>
      <c r="C1773" s="14" t="str">
        <f>VLOOKUP([1]Competence!$B23,[1]Competence!$B$12:$B$100,1,FALSE)</f>
        <v>Configuration Management</v>
      </c>
      <c r="D1773" s="13" t="e" cm="1">
        <f t="array" ref="D1773">_xlfn.XLOOKUP(B1773,[1]Baseline!$D$3:$AZ$3,_xlfn.XLOOKUP(C1773,[1]Baseline!$B$4:$B$91,[1]Baseline!$D$4:$AZ$91))</f>
        <v>#N/A</v>
      </c>
      <c r="E1773" s="16"/>
      <c r="F1773" s="14">
        <v>3</v>
      </c>
      <c r="G1773" s="16">
        <v>3</v>
      </c>
      <c r="H1773" s="16">
        <f t="shared" si="27"/>
        <v>0</v>
      </c>
      <c r="I1773" s="13">
        <v>3</v>
      </c>
    </row>
    <row r="1774" spans="1:9">
      <c r="A1774" s="16" t="s">
        <v>32</v>
      </c>
      <c r="B1774" s="16" t="s">
        <v>380</v>
      </c>
      <c r="C1774" s="14" t="str">
        <f>VLOOKUP([1]Competence!$B24,[1]Competence!$B$12:$B$100,1,FALSE)</f>
        <v>Continuity Management</v>
      </c>
      <c r="D1774" s="13" t="e" cm="1">
        <f t="array" ref="D1774">_xlfn.XLOOKUP(B1774,[1]Baseline!$D$3:$AZ$3,_xlfn.XLOOKUP(C1774,[1]Baseline!$B$4:$B$91,[1]Baseline!$D$4:$AZ$91))</f>
        <v>#N/A</v>
      </c>
      <c r="E1774" s="16"/>
      <c r="F1774" s="14">
        <v>3</v>
      </c>
      <c r="G1774" s="16">
        <v>2</v>
      </c>
      <c r="H1774" s="16">
        <f t="shared" si="27"/>
        <v>-1</v>
      </c>
      <c r="I1774" s="13">
        <v>2</v>
      </c>
    </row>
    <row r="1775" spans="1:9">
      <c r="A1775" s="16" t="s">
        <v>32</v>
      </c>
      <c r="B1775" s="16" t="s">
        <v>380</v>
      </c>
      <c r="C1775" s="14" t="str">
        <f>VLOOKUP([1]Competence!$B25,[1]Competence!$B$12:$B$100,1,FALSE)</f>
        <v>Demand Management</v>
      </c>
      <c r="D1775" s="13" t="e" cm="1">
        <f t="array" ref="D1775">_xlfn.XLOOKUP(B1775,[1]Baseline!$D$3:$AZ$3,_xlfn.XLOOKUP(C1775,[1]Baseline!$B$4:$B$91,[1]Baseline!$D$4:$AZ$91))</f>
        <v>#N/A</v>
      </c>
      <c r="E1775" s="16"/>
      <c r="F1775" s="14">
        <v>3</v>
      </c>
      <c r="G1775" s="16">
        <v>1</v>
      </c>
      <c r="H1775" s="16">
        <f t="shared" si="27"/>
        <v>-2</v>
      </c>
      <c r="I1775" s="13">
        <v>1</v>
      </c>
    </row>
    <row r="1776" spans="1:9">
      <c r="A1776" s="16" t="s">
        <v>32</v>
      </c>
      <c r="B1776" s="16" t="s">
        <v>380</v>
      </c>
      <c r="C1776" s="14" t="str">
        <f>VLOOKUP([1]Competence!$B26,[1]Competence!$B$12:$B$100,1,FALSE)</f>
        <v>Knowledge management</v>
      </c>
      <c r="D1776" s="13" t="e" cm="1">
        <f t="array" ref="D1776">_xlfn.XLOOKUP(B1776,[1]Baseline!$D$3:$AZ$3,_xlfn.XLOOKUP(C1776,[1]Baseline!$B$4:$B$91,[1]Baseline!$D$4:$AZ$91))</f>
        <v>#N/A</v>
      </c>
      <c r="E1776" s="16"/>
      <c r="F1776" s="14">
        <v>3</v>
      </c>
      <c r="G1776" s="16">
        <v>2</v>
      </c>
      <c r="H1776" s="16">
        <f t="shared" si="27"/>
        <v>-1</v>
      </c>
      <c r="I1776" s="13">
        <v>2</v>
      </c>
    </row>
    <row r="1777" spans="1:9">
      <c r="A1777" s="16" t="s">
        <v>32</v>
      </c>
      <c r="B1777" s="16" t="s">
        <v>380</v>
      </c>
      <c r="C1777" s="14" t="str">
        <f>VLOOKUP([1]Competence!$B27,[1]Competence!$B$12:$B$100,1,FALSE)</f>
        <v>Methods and tools</v>
      </c>
      <c r="D1777" s="13" t="e" cm="1">
        <f t="array" ref="D1777">_xlfn.XLOOKUP(B1777,[1]Baseline!$D$3:$AZ$3,_xlfn.XLOOKUP(C1777,[1]Baseline!$B$4:$B$91,[1]Baseline!$D$4:$AZ$91))</f>
        <v>#N/A</v>
      </c>
      <c r="E1777" s="16"/>
      <c r="F1777" s="14">
        <v>3</v>
      </c>
      <c r="G1777" s="16">
        <v>1</v>
      </c>
      <c r="H1777" s="16">
        <f t="shared" si="27"/>
        <v>-2</v>
      </c>
      <c r="I1777" s="13">
        <v>1</v>
      </c>
    </row>
    <row r="1778" spans="1:9">
      <c r="A1778" s="16" t="s">
        <v>32</v>
      </c>
      <c r="B1778" s="16" t="s">
        <v>380</v>
      </c>
      <c r="C1778" s="14" t="str">
        <f>VLOOKUP([1]Competence!$B28,[1]Competence!$B$12:$B$100,1,FALSE)</f>
        <v>Release and deployment</v>
      </c>
      <c r="D1778" s="13" t="e" cm="1">
        <f t="array" ref="D1778">_xlfn.XLOOKUP(B1778,[1]Baseline!$D$3:$AZ$3,_xlfn.XLOOKUP(C1778,[1]Baseline!$B$4:$B$91,[1]Baseline!$D$4:$AZ$91))</f>
        <v>#N/A</v>
      </c>
      <c r="E1778" s="16"/>
      <c r="F1778" s="14">
        <v>3</v>
      </c>
      <c r="G1778" s="16">
        <v>3</v>
      </c>
      <c r="H1778" s="16">
        <f t="shared" si="27"/>
        <v>0</v>
      </c>
      <c r="I1778" s="13">
        <v>3</v>
      </c>
    </row>
    <row r="1779" spans="1:9">
      <c r="A1779" s="16" t="s">
        <v>32</v>
      </c>
      <c r="B1779" s="16" t="s">
        <v>380</v>
      </c>
      <c r="C1779" s="14" t="str">
        <f>VLOOKUP([1]Competence!$B29,[1]Competence!$B$12:$B$100,1,FALSE)</f>
        <v>Service acceptance</v>
      </c>
      <c r="D1779" s="13" t="e" cm="1">
        <f t="array" ref="D1779">_xlfn.XLOOKUP(B1779,[1]Baseline!$D$3:$AZ$3,_xlfn.XLOOKUP(C1779,[1]Baseline!$B$4:$B$91,[1]Baseline!$D$4:$AZ$91))</f>
        <v>#N/A</v>
      </c>
      <c r="E1779" s="16"/>
      <c r="F1779" s="14">
        <v>3</v>
      </c>
      <c r="G1779" s="16">
        <v>3</v>
      </c>
      <c r="H1779" s="16">
        <f t="shared" si="27"/>
        <v>0</v>
      </c>
      <c r="I1779" s="13">
        <v>3</v>
      </c>
    </row>
    <row r="1780" spans="1:9">
      <c r="A1780" s="16" t="s">
        <v>32</v>
      </c>
      <c r="B1780" s="16" t="s">
        <v>380</v>
      </c>
      <c r="C1780" s="14" t="str">
        <f>VLOOKUP([1]Competence!$B30,[1]Competence!$B$12:$B$100,1,FALSE)</f>
        <v>Stakeholder relationship management</v>
      </c>
      <c r="D1780" s="13" t="e" cm="1">
        <f t="array" ref="D1780">_xlfn.XLOOKUP(B1780,[1]Baseline!$D$3:$AZ$3,_xlfn.XLOOKUP(C1780,[1]Baseline!$B$4:$B$91,[1]Baseline!$D$4:$AZ$91))</f>
        <v>#N/A</v>
      </c>
      <c r="E1780" s="16"/>
      <c r="F1780" s="14">
        <v>3</v>
      </c>
      <c r="G1780" s="16">
        <v>3</v>
      </c>
      <c r="H1780" s="16">
        <f t="shared" si="27"/>
        <v>0</v>
      </c>
      <c r="I1780" s="13">
        <v>3</v>
      </c>
    </row>
    <row r="1781" spans="1:9">
      <c r="A1781" s="16" t="s">
        <v>32</v>
      </c>
      <c r="B1781" s="16" t="s">
        <v>380</v>
      </c>
      <c r="C1781" s="14" t="str">
        <f>VLOOKUP([1]Competence!$B31,[1]Competence!$B$12:$B$100,1,FALSE)</f>
        <v>Storage management</v>
      </c>
      <c r="D1781" s="13" t="e" cm="1">
        <f t="array" ref="D1781">_xlfn.XLOOKUP(B1781,[1]Baseline!$D$3:$AZ$3,_xlfn.XLOOKUP(C1781,[1]Baseline!$B$4:$B$91,[1]Baseline!$D$4:$AZ$91))</f>
        <v>#N/A</v>
      </c>
      <c r="E1781" s="16"/>
      <c r="F1781" s="14">
        <v>3</v>
      </c>
      <c r="G1781" s="16">
        <v>1</v>
      </c>
      <c r="H1781" s="16">
        <f t="shared" si="27"/>
        <v>-2</v>
      </c>
      <c r="I1781" s="13">
        <v>1</v>
      </c>
    </row>
    <row r="1782" spans="1:9">
      <c r="A1782" s="16" t="s">
        <v>32</v>
      </c>
      <c r="B1782" s="16" t="s">
        <v>380</v>
      </c>
      <c r="C1782" s="14" t="str">
        <f>VLOOKUP([1]Competence!$B32,[1]Competence!$B$12:$B$100,1,FALSE)</f>
        <v>Digital Forensics</v>
      </c>
      <c r="D1782" s="13" t="e" cm="1">
        <f t="array" ref="D1782">_xlfn.XLOOKUP(B1782,[1]Baseline!$D$3:$AZ$3,_xlfn.XLOOKUP(C1782,[1]Baseline!$B$4:$B$91,[1]Baseline!$D$4:$AZ$91))</f>
        <v>#N/A</v>
      </c>
      <c r="E1782" s="16"/>
      <c r="F1782" s="14">
        <v>3</v>
      </c>
      <c r="G1782" s="16">
        <v>3</v>
      </c>
      <c r="H1782" s="16">
        <f t="shared" si="27"/>
        <v>0</v>
      </c>
      <c r="I1782" s="13">
        <v>3</v>
      </c>
    </row>
    <row r="1783" spans="1:9">
      <c r="A1783" s="16" t="s">
        <v>32</v>
      </c>
      <c r="B1783" s="16" t="s">
        <v>380</v>
      </c>
      <c r="C1783" s="14" t="str">
        <f>VLOOKUP([1]Competence!$B33,[1]Competence!$B$12:$B$100,1,FALSE)</f>
        <v>Penetration testing</v>
      </c>
      <c r="D1783" s="13" t="e" cm="1">
        <f t="array" ref="D1783">_xlfn.XLOOKUP(B1783,[1]Baseline!$D$3:$AZ$3,_xlfn.XLOOKUP(C1783,[1]Baseline!$B$4:$B$91,[1]Baseline!$D$4:$AZ$91))</f>
        <v>#N/A</v>
      </c>
      <c r="E1783" s="16"/>
      <c r="F1783" s="14">
        <v>3</v>
      </c>
      <c r="G1783" s="16">
        <v>2</v>
      </c>
      <c r="H1783" s="16">
        <f t="shared" si="27"/>
        <v>-1</v>
      </c>
      <c r="I1783" s="13">
        <v>2</v>
      </c>
    </row>
    <row r="1784" spans="1:9">
      <c r="A1784" s="16" t="s">
        <v>32</v>
      </c>
      <c r="B1784" s="16" t="s">
        <v>380</v>
      </c>
      <c r="C1784" s="14" t="str">
        <f>VLOOKUP([1]Competence!$B34,[1]Competence!$B$12:$B$100,1,FALSE)</f>
        <v>Security Operations</v>
      </c>
      <c r="D1784" s="13" t="e" cm="1">
        <f t="array" ref="D1784">_xlfn.XLOOKUP(B1784,[1]Baseline!$D$3:$AZ$3,_xlfn.XLOOKUP(C1784,[1]Baseline!$B$4:$B$91,[1]Baseline!$D$4:$AZ$91))</f>
        <v>#N/A</v>
      </c>
      <c r="E1784" s="16"/>
      <c r="F1784" s="14">
        <v>4</v>
      </c>
      <c r="G1784" s="16">
        <v>3</v>
      </c>
      <c r="H1784" s="16">
        <f t="shared" si="27"/>
        <v>-1</v>
      </c>
      <c r="I1784" s="13">
        <v>3</v>
      </c>
    </row>
    <row r="1785" spans="1:9">
      <c r="A1785" s="16" t="s">
        <v>32</v>
      </c>
      <c r="B1785" s="16" t="s">
        <v>380</v>
      </c>
      <c r="C1785" s="14" t="str">
        <f>VLOOKUP([1]Competence!$B35,[1]Competence!$B$12:$B$100,1,FALSE)</f>
        <v>Threat Intelligence</v>
      </c>
      <c r="D1785" s="13" t="e" cm="1">
        <f t="array" ref="D1785">_xlfn.XLOOKUP(B1785,[1]Baseline!$D$3:$AZ$3,_xlfn.XLOOKUP(C1785,[1]Baseline!$B$4:$B$91,[1]Baseline!$D$4:$AZ$91))</f>
        <v>#N/A</v>
      </c>
      <c r="E1785" s="16"/>
      <c r="F1785" s="14">
        <v>4</v>
      </c>
      <c r="G1785" s="16">
        <v>1</v>
      </c>
      <c r="H1785" s="16">
        <f t="shared" si="27"/>
        <v>-3</v>
      </c>
      <c r="I1785" s="13">
        <v>1</v>
      </c>
    </row>
    <row r="1786" spans="1:9">
      <c r="A1786" s="16" t="s">
        <v>32</v>
      </c>
      <c r="B1786" s="16" t="s">
        <v>380</v>
      </c>
      <c r="C1786" s="14" t="str">
        <f>VLOOKUP([1]Competence!$B36,[1]Competence!$B$12:$B$100,1,FALSE)</f>
        <v>Vulnerability assessment</v>
      </c>
      <c r="D1786" s="13" t="e" cm="1">
        <f t="array" ref="D1786">_xlfn.XLOOKUP(B1786,[1]Baseline!$D$3:$AZ$3,_xlfn.XLOOKUP(C1786,[1]Baseline!$B$4:$B$91,[1]Baseline!$D$4:$AZ$91))</f>
        <v>#N/A</v>
      </c>
      <c r="E1786" s="16"/>
      <c r="F1786" s="14">
        <v>4</v>
      </c>
      <c r="G1786" s="16">
        <v>0</v>
      </c>
      <c r="H1786" s="16">
        <f t="shared" si="27"/>
        <v>-4</v>
      </c>
      <c r="I1786" s="13">
        <v>0</v>
      </c>
    </row>
    <row r="1787" spans="1:9">
      <c r="A1787" s="16" t="s">
        <v>32</v>
      </c>
      <c r="B1787" s="16" t="s">
        <v>380</v>
      </c>
      <c r="C1787" s="14" t="str">
        <f>VLOOKUP([1]Competence!$B37,[1]Competence!$B$12:$B$100,1,FALSE)</f>
        <v>Vulnerability Research</v>
      </c>
      <c r="D1787" s="13" t="e" cm="1">
        <f t="array" ref="D1787">_xlfn.XLOOKUP(B1787,[1]Baseline!$D$3:$AZ$3,_xlfn.XLOOKUP(C1787,[1]Baseline!$B$4:$B$91,[1]Baseline!$D$4:$AZ$91))</f>
        <v>#N/A</v>
      </c>
      <c r="E1787" s="16"/>
      <c r="F1787" s="14">
        <v>0</v>
      </c>
      <c r="G1787" s="16">
        <v>3</v>
      </c>
      <c r="H1787" s="16">
        <f t="shared" si="27"/>
        <v>3</v>
      </c>
      <c r="I1787" s="13">
        <v>3</v>
      </c>
    </row>
    <row r="1788" spans="1:9">
      <c r="A1788" s="16" t="s">
        <v>32</v>
      </c>
      <c r="B1788" s="16" t="s">
        <v>380</v>
      </c>
      <c r="C1788" s="14" t="str">
        <f>VLOOKUP([1]Competence!$B38,[1]Competence!$B$12:$B$100,1,FALSE)</f>
        <v>Competency assessment</v>
      </c>
      <c r="D1788" s="13" t="e" cm="1">
        <f t="array" ref="D1788">_xlfn.XLOOKUP(B1788,[1]Baseline!$D$3:$AZ$3,_xlfn.XLOOKUP(C1788,[1]Baseline!$B$4:$B$91,[1]Baseline!$D$4:$AZ$91))</f>
        <v>#N/A</v>
      </c>
      <c r="E1788" s="16"/>
      <c r="F1788" s="14">
        <v>2</v>
      </c>
      <c r="G1788" s="16">
        <v>1</v>
      </c>
      <c r="H1788" s="16">
        <f t="shared" si="27"/>
        <v>-1</v>
      </c>
      <c r="I1788" s="13">
        <v>1</v>
      </c>
    </row>
    <row r="1789" spans="1:9">
      <c r="A1789" s="16" t="s">
        <v>32</v>
      </c>
      <c r="B1789" s="16" t="s">
        <v>380</v>
      </c>
      <c r="C1789" s="14" t="str">
        <f>VLOOKUP([1]Competence!$B39,[1]Competence!$B$12:$B$100,1,FALSE)</f>
        <v>Financial management</v>
      </c>
      <c r="D1789" s="13" t="e" cm="1">
        <f t="array" ref="D1789">_xlfn.XLOOKUP(B1789,[1]Baseline!$D$3:$AZ$3,_xlfn.XLOOKUP(C1789,[1]Baseline!$B$4:$B$91,[1]Baseline!$D$4:$AZ$91))</f>
        <v>#N/A</v>
      </c>
      <c r="E1789" s="16"/>
      <c r="F1789" s="14">
        <v>3</v>
      </c>
      <c r="G1789" s="16">
        <v>2</v>
      </c>
      <c r="H1789" s="16">
        <f t="shared" si="27"/>
        <v>-1</v>
      </c>
      <c r="I1789" s="13">
        <v>2</v>
      </c>
    </row>
    <row r="1790" spans="1:9" ht="30">
      <c r="A1790" s="16" t="s">
        <v>32</v>
      </c>
      <c r="B1790" s="16" t="s">
        <v>380</v>
      </c>
      <c r="C1790" s="14" t="str">
        <f>VLOOKUP([1]Competence!$B40,[1]Competence!$B$12:$B$100,1,FALSE)</f>
        <v>Organisation design and implementation</v>
      </c>
      <c r="D1790" s="13" t="e" cm="1">
        <f t="array" ref="D1790">_xlfn.XLOOKUP(B1790,[1]Baseline!$D$3:$AZ$3,_xlfn.XLOOKUP(C1790,[1]Baseline!$B$4:$B$91,[1]Baseline!$D$4:$AZ$91))</f>
        <v>#N/A</v>
      </c>
      <c r="E1790" s="16"/>
      <c r="F1790" s="14">
        <v>0</v>
      </c>
      <c r="G1790" s="16">
        <v>1</v>
      </c>
      <c r="H1790" s="16">
        <f t="shared" si="27"/>
        <v>1</v>
      </c>
      <c r="I1790" s="13">
        <v>1</v>
      </c>
    </row>
    <row r="1791" spans="1:9">
      <c r="A1791" s="16" t="s">
        <v>32</v>
      </c>
      <c r="B1791" s="16" t="s">
        <v>380</v>
      </c>
      <c r="C1791" s="14" t="str">
        <f>VLOOKUP([1]Competence!$B41,[1]Competence!$B$12:$B$100,1,FALSE)</f>
        <v>Organisational capability development</v>
      </c>
      <c r="D1791" s="13" t="e" cm="1">
        <f t="array" ref="D1791">_xlfn.XLOOKUP(B1791,[1]Baseline!$D$3:$AZ$3,_xlfn.XLOOKUP(C1791,[1]Baseline!$B$4:$B$91,[1]Baseline!$D$4:$AZ$91))</f>
        <v>#N/A</v>
      </c>
      <c r="E1791" s="16"/>
      <c r="F1791" s="14">
        <v>0</v>
      </c>
      <c r="G1791" s="16">
        <v>1</v>
      </c>
      <c r="H1791" s="16">
        <f t="shared" si="27"/>
        <v>1</v>
      </c>
      <c r="I1791" s="13">
        <v>1</v>
      </c>
    </row>
    <row r="1792" spans="1:9">
      <c r="A1792" s="16" t="s">
        <v>32</v>
      </c>
      <c r="B1792" s="16" t="s">
        <v>380</v>
      </c>
      <c r="C1792" s="14" t="str">
        <f>VLOOKUP([1]Competence!$B42,[1]Competence!$B$12:$B$100,1,FALSE)</f>
        <v>Organisational change management</v>
      </c>
      <c r="D1792" s="13" t="e" cm="1">
        <f t="array" ref="D1792">_xlfn.XLOOKUP(B1792,[1]Baseline!$D$3:$AZ$3,_xlfn.XLOOKUP(C1792,[1]Baseline!$B$4:$B$91,[1]Baseline!$D$4:$AZ$91))</f>
        <v>#N/A</v>
      </c>
      <c r="E1792" s="16"/>
      <c r="F1792" s="14">
        <v>0</v>
      </c>
      <c r="G1792" s="16">
        <v>1</v>
      </c>
      <c r="H1792" s="16">
        <f t="shared" si="27"/>
        <v>1</v>
      </c>
      <c r="I1792" s="13">
        <v>1</v>
      </c>
    </row>
    <row r="1793" spans="1:9">
      <c r="A1793" s="16" t="s">
        <v>32</v>
      </c>
      <c r="B1793" s="16" t="s">
        <v>380</v>
      </c>
      <c r="C1793" s="14" t="str">
        <f>VLOOKUP([1]Competence!$B43,[1]Competence!$B$12:$B$100,1,FALSE)</f>
        <v>Performance Management</v>
      </c>
      <c r="D1793" s="13" t="e" cm="1">
        <f t="array" ref="D1793">_xlfn.XLOOKUP(B1793,[1]Baseline!$D$3:$AZ$3,_xlfn.XLOOKUP(C1793,[1]Baseline!$B$4:$B$91,[1]Baseline!$D$4:$AZ$91))</f>
        <v>#N/A</v>
      </c>
      <c r="E1793" s="16"/>
      <c r="F1793" s="14">
        <v>0</v>
      </c>
      <c r="G1793" s="16">
        <v>1</v>
      </c>
      <c r="H1793" s="16">
        <f t="shared" si="27"/>
        <v>1</v>
      </c>
      <c r="I1793" s="13">
        <v>1</v>
      </c>
    </row>
    <row r="1794" spans="1:9">
      <c r="A1794" s="16" t="s">
        <v>32</v>
      </c>
      <c r="B1794" s="16" t="s">
        <v>380</v>
      </c>
      <c r="C1794" s="14" t="str">
        <f>VLOOKUP([1]Competence!$B44,[1]Competence!$B$12:$B$100,1,FALSE)</f>
        <v>Professional Development</v>
      </c>
      <c r="D1794" s="13" t="e" cm="1">
        <f t="array" ref="D1794">_xlfn.XLOOKUP(B1794,[1]Baseline!$D$3:$AZ$3,_xlfn.XLOOKUP(C1794,[1]Baseline!$B$4:$B$91,[1]Baseline!$D$4:$AZ$91))</f>
        <v>#N/A</v>
      </c>
      <c r="E1794" s="16"/>
      <c r="F1794" s="14">
        <v>1</v>
      </c>
      <c r="G1794" s="16">
        <v>0</v>
      </c>
      <c r="H1794" s="16">
        <f t="shared" ref="H1794:H1857" si="28">I1794-F1794</f>
        <v>-1</v>
      </c>
      <c r="I1794" s="13">
        <v>0</v>
      </c>
    </row>
    <row r="1795" spans="1:9">
      <c r="A1795" s="16" t="s">
        <v>32</v>
      </c>
      <c r="B1795" s="16" t="s">
        <v>380</v>
      </c>
      <c r="C1795" s="14" t="str">
        <f>VLOOKUP([1]Competence!$B45,[1]Competence!$B$12:$B$100,1,FALSE)</f>
        <v>Strategic Planning</v>
      </c>
      <c r="D1795" s="13" t="e" cm="1">
        <f t="array" ref="D1795">_xlfn.XLOOKUP(B1795,[1]Baseline!$D$3:$AZ$3,_xlfn.XLOOKUP(C1795,[1]Baseline!$B$4:$B$91,[1]Baseline!$D$4:$AZ$91))</f>
        <v>#N/A</v>
      </c>
      <c r="E1795" s="16"/>
      <c r="F1795" s="14">
        <v>2</v>
      </c>
      <c r="G1795" s="16">
        <v>1</v>
      </c>
      <c r="H1795" s="16">
        <f t="shared" si="28"/>
        <v>-1</v>
      </c>
      <c r="I1795" s="13">
        <v>1</v>
      </c>
    </row>
    <row r="1796" spans="1:9">
      <c r="A1796" s="16" t="s">
        <v>32</v>
      </c>
      <c r="B1796" s="16" t="s">
        <v>380</v>
      </c>
      <c r="C1796" s="14" t="str">
        <f>VLOOKUP([1]Competence!$B46,[1]Competence!$B$12:$B$100,1,FALSE)</f>
        <v>Workforce Planning</v>
      </c>
      <c r="D1796" s="13" t="e" cm="1">
        <f t="array" ref="D1796">_xlfn.XLOOKUP(B1796,[1]Baseline!$D$3:$AZ$3,_xlfn.XLOOKUP(C1796,[1]Baseline!$B$4:$B$91,[1]Baseline!$D$4:$AZ$91))</f>
        <v>#N/A</v>
      </c>
      <c r="E1796" s="16"/>
      <c r="F1796" s="14">
        <v>2</v>
      </c>
      <c r="G1796" s="16">
        <v>1</v>
      </c>
      <c r="H1796" s="16">
        <f t="shared" si="28"/>
        <v>-1</v>
      </c>
      <c r="I1796" s="13">
        <v>1</v>
      </c>
    </row>
    <row r="1797" spans="1:9">
      <c r="A1797" s="16" t="s">
        <v>32</v>
      </c>
      <c r="B1797" s="16" t="s">
        <v>380</v>
      </c>
      <c r="C1797" s="14" t="str">
        <f>VLOOKUP([1]Competence!$B47,[1]Competence!$B$12:$B$100,1,FALSE)</f>
        <v>Audit</v>
      </c>
      <c r="D1797" s="13" t="e" cm="1">
        <f t="array" ref="D1797">_xlfn.XLOOKUP(B1797,[1]Baseline!$D$3:$AZ$3,_xlfn.XLOOKUP(C1797,[1]Baseline!$B$4:$B$91,[1]Baseline!$D$4:$AZ$91))</f>
        <v>#N/A</v>
      </c>
      <c r="E1797" s="16"/>
      <c r="F1797" s="14">
        <v>3</v>
      </c>
      <c r="G1797" s="16">
        <v>1</v>
      </c>
      <c r="H1797" s="16">
        <f t="shared" si="28"/>
        <v>-2</v>
      </c>
      <c r="I1797" s="13">
        <v>1</v>
      </c>
    </row>
    <row r="1798" spans="1:9">
      <c r="A1798" s="16" t="s">
        <v>32</v>
      </c>
      <c r="B1798" s="16" t="s">
        <v>380</v>
      </c>
      <c r="C1798" s="14" t="str">
        <f>VLOOKUP([1]Competence!$B48,[1]Competence!$B$12:$B$100,1,FALSE)</f>
        <v>Contract management</v>
      </c>
      <c r="D1798" s="13" t="e" cm="1">
        <f t="array" ref="D1798">_xlfn.XLOOKUP(B1798,[1]Baseline!$D$3:$AZ$3,_xlfn.XLOOKUP(C1798,[1]Baseline!$B$4:$B$91,[1]Baseline!$D$4:$AZ$91))</f>
        <v>#N/A</v>
      </c>
      <c r="E1798" s="16"/>
      <c r="F1798" s="14">
        <v>3</v>
      </c>
      <c r="G1798" s="16">
        <v>1</v>
      </c>
      <c r="H1798" s="16">
        <f t="shared" si="28"/>
        <v>-2</v>
      </c>
      <c r="I1798" s="13">
        <v>1</v>
      </c>
    </row>
    <row r="1799" spans="1:9">
      <c r="A1799" s="16" t="s">
        <v>32</v>
      </c>
      <c r="B1799" s="16" t="s">
        <v>380</v>
      </c>
      <c r="C1799" s="14" t="str">
        <f>VLOOKUP([1]Competence!$B49,[1]Competence!$B$12:$B$100,1,FALSE)</f>
        <v>Feasibility assessment</v>
      </c>
      <c r="D1799" s="13" t="e" cm="1">
        <f t="array" ref="D1799">_xlfn.XLOOKUP(B1799,[1]Baseline!$D$3:$AZ$3,_xlfn.XLOOKUP(C1799,[1]Baseline!$B$4:$B$91,[1]Baseline!$D$4:$AZ$91))</f>
        <v>#N/A</v>
      </c>
      <c r="E1799" s="16"/>
      <c r="F1799" s="14">
        <v>3</v>
      </c>
      <c r="G1799" s="16">
        <v>0</v>
      </c>
      <c r="H1799" s="16">
        <f t="shared" si="28"/>
        <v>-3</v>
      </c>
      <c r="I1799" s="13">
        <v>0</v>
      </c>
    </row>
    <row r="1800" spans="1:9">
      <c r="A1800" s="16" t="s">
        <v>32</v>
      </c>
      <c r="B1800" s="16" t="s">
        <v>380</v>
      </c>
      <c r="C1800" s="14" t="str">
        <f>VLOOKUP([1]Competence!$B50,[1]Competence!$B$12:$B$100,1,FALSE)</f>
        <v>Governance</v>
      </c>
      <c r="D1800" s="13" t="e" cm="1">
        <f t="array" ref="D1800">_xlfn.XLOOKUP(B1800,[1]Baseline!$D$3:$AZ$3,_xlfn.XLOOKUP(C1800,[1]Baseline!$B$4:$B$91,[1]Baseline!$D$4:$AZ$91))</f>
        <v>#N/A</v>
      </c>
      <c r="E1800" s="16"/>
      <c r="F1800" s="14">
        <v>3</v>
      </c>
      <c r="G1800" s="16">
        <v>3</v>
      </c>
      <c r="H1800" s="16">
        <f t="shared" si="28"/>
        <v>0</v>
      </c>
      <c r="I1800" s="13">
        <v>3</v>
      </c>
    </row>
    <row r="1801" spans="1:9">
      <c r="A1801" s="16" t="s">
        <v>32</v>
      </c>
      <c r="B1801" s="16" t="s">
        <v>380</v>
      </c>
      <c r="C1801" s="14" t="str">
        <f>VLOOKUP([1]Competence!$B51,[1]Competence!$B$12:$B$100,1,FALSE)</f>
        <v>Risk management</v>
      </c>
      <c r="D1801" s="13" t="e" cm="1">
        <f t="array" ref="D1801">_xlfn.XLOOKUP(B1801,[1]Baseline!$D$3:$AZ$3,_xlfn.XLOOKUP(C1801,[1]Baseline!$B$4:$B$91,[1]Baseline!$D$4:$AZ$91))</f>
        <v>#N/A</v>
      </c>
      <c r="E1801" s="16"/>
      <c r="F1801" s="14">
        <v>3</v>
      </c>
      <c r="G1801" s="16">
        <v>2</v>
      </c>
      <c r="H1801" s="16">
        <f t="shared" si="28"/>
        <v>-1</v>
      </c>
      <c r="I1801" s="13">
        <v>2</v>
      </c>
    </row>
    <row r="1802" spans="1:9">
      <c r="A1802" s="16" t="s">
        <v>32</v>
      </c>
      <c r="B1802" s="16" t="s">
        <v>380</v>
      </c>
      <c r="C1802" s="14" t="str">
        <f>VLOOKUP([1]Competence!$B52,[1]Competence!$B$12:$B$100,1,FALSE)</f>
        <v>Sourcing</v>
      </c>
      <c r="D1802" s="13" t="e" cm="1">
        <f t="array" ref="D1802">_xlfn.XLOOKUP(B1802,[1]Baseline!$D$3:$AZ$3,_xlfn.XLOOKUP(C1802,[1]Baseline!$B$4:$B$91,[1]Baseline!$D$4:$AZ$91))</f>
        <v>#N/A</v>
      </c>
      <c r="E1802" s="16"/>
      <c r="F1802" s="14">
        <v>3</v>
      </c>
      <c r="G1802" s="16">
        <v>0</v>
      </c>
      <c r="H1802" s="16">
        <f t="shared" si="28"/>
        <v>-3</v>
      </c>
      <c r="I1802" s="13">
        <v>0</v>
      </c>
    </row>
    <row r="1803" spans="1:9">
      <c r="A1803" s="16" t="s">
        <v>32</v>
      </c>
      <c r="B1803" s="16" t="s">
        <v>380</v>
      </c>
      <c r="C1803" s="14" t="str">
        <f>VLOOKUP([1]Competence!$B53,[1]Competence!$B$12:$B$100,1,FALSE)</f>
        <v>Supplier management</v>
      </c>
      <c r="D1803" s="13" t="e" cm="1">
        <f t="array" ref="D1803">_xlfn.XLOOKUP(B1803,[1]Baseline!$D$3:$AZ$3,_xlfn.XLOOKUP(C1803,[1]Baseline!$B$4:$B$91,[1]Baseline!$D$4:$AZ$91))</f>
        <v>#N/A</v>
      </c>
      <c r="E1803" s="16"/>
      <c r="F1803" s="14">
        <v>3</v>
      </c>
      <c r="G1803" s="16">
        <v>2</v>
      </c>
      <c r="H1803" s="16">
        <f t="shared" si="28"/>
        <v>-1</v>
      </c>
      <c r="I1803" s="13">
        <v>2</v>
      </c>
    </row>
    <row r="1804" spans="1:9">
      <c r="A1804" s="16" t="s">
        <v>32</v>
      </c>
      <c r="B1804" s="16" t="s">
        <v>380</v>
      </c>
      <c r="C1804" s="14" t="str">
        <f>VLOOKUP([1]Competence!$B54,[1]Competence!$B$12:$B$100,1,FALSE)</f>
        <v>Sustainability</v>
      </c>
      <c r="D1804" s="13" t="e" cm="1">
        <f t="array" ref="D1804">_xlfn.XLOOKUP(B1804,[1]Baseline!$D$3:$AZ$3,_xlfn.XLOOKUP(C1804,[1]Baseline!$B$4:$B$91,[1]Baseline!$D$4:$AZ$91))</f>
        <v>#N/A</v>
      </c>
      <c r="E1804" s="16"/>
      <c r="F1804" s="14">
        <v>1</v>
      </c>
      <c r="G1804" s="16">
        <v>3</v>
      </c>
      <c r="H1804" s="16">
        <f t="shared" si="28"/>
        <v>2</v>
      </c>
      <c r="I1804" s="13">
        <v>3</v>
      </c>
    </row>
    <row r="1805" spans="1:9">
      <c r="A1805" s="16" t="s">
        <v>32</v>
      </c>
      <c r="B1805" s="16" t="s">
        <v>380</v>
      </c>
      <c r="C1805" s="14" t="str">
        <f>VLOOKUP([1]Competence!$B55,[1]Competence!$B$12:$B$100,1,FALSE)</f>
        <v>Acceptance testing</v>
      </c>
      <c r="D1805" s="13" t="e" cm="1">
        <f t="array" ref="D1805">_xlfn.XLOOKUP(B1805,[1]Baseline!$D$3:$AZ$3,_xlfn.XLOOKUP(C1805,[1]Baseline!$B$4:$B$91,[1]Baseline!$D$4:$AZ$91))</f>
        <v>#N/A</v>
      </c>
      <c r="E1805" s="16"/>
      <c r="F1805" s="14">
        <v>3</v>
      </c>
      <c r="G1805" s="16">
        <v>1</v>
      </c>
      <c r="H1805" s="16">
        <f t="shared" si="28"/>
        <v>-2</v>
      </c>
      <c r="I1805" s="13">
        <v>1</v>
      </c>
    </row>
    <row r="1806" spans="1:9">
      <c r="A1806" s="16" t="s">
        <v>32</v>
      </c>
      <c r="B1806" s="16" t="s">
        <v>380</v>
      </c>
      <c r="C1806" s="14" t="str">
        <f>VLOOKUP([1]Competence!$B56,[1]Competence!$B$12:$B$100,1,FALSE)</f>
        <v>Application support</v>
      </c>
      <c r="D1806" s="13" t="e" cm="1">
        <f t="array" ref="D1806">_xlfn.XLOOKUP(B1806,[1]Baseline!$D$3:$AZ$3,_xlfn.XLOOKUP(C1806,[1]Baseline!$B$4:$B$91,[1]Baseline!$D$4:$AZ$91))</f>
        <v>#N/A</v>
      </c>
      <c r="E1806" s="16"/>
      <c r="F1806" s="14">
        <v>2</v>
      </c>
      <c r="G1806" s="16">
        <v>2</v>
      </c>
      <c r="H1806" s="16">
        <f t="shared" si="28"/>
        <v>0</v>
      </c>
      <c r="I1806" s="13">
        <v>2</v>
      </c>
    </row>
    <row r="1807" spans="1:9">
      <c r="A1807" s="16" t="s">
        <v>32</v>
      </c>
      <c r="B1807" s="16" t="s">
        <v>380</v>
      </c>
      <c r="C1807" s="14" t="str">
        <f>VLOOKUP([1]Competence!$B57,[1]Competence!$B$12:$B$100,1,FALSE)</f>
        <v>Data Engineering</v>
      </c>
      <c r="D1807" s="13" t="e" cm="1">
        <f t="array" ref="D1807">_xlfn.XLOOKUP(B1807,[1]Baseline!$D$3:$AZ$3,_xlfn.XLOOKUP(C1807,[1]Baseline!$B$4:$B$91,[1]Baseline!$D$4:$AZ$91))</f>
        <v>#N/A</v>
      </c>
      <c r="E1807" s="16"/>
      <c r="F1807" s="14">
        <v>0</v>
      </c>
      <c r="G1807" s="16">
        <v>1</v>
      </c>
      <c r="H1807" s="16">
        <f t="shared" si="28"/>
        <v>1</v>
      </c>
      <c r="I1807" s="13">
        <v>1</v>
      </c>
    </row>
    <row r="1808" spans="1:9">
      <c r="A1808" s="16" t="s">
        <v>32</v>
      </c>
      <c r="B1808" s="16" t="s">
        <v>380</v>
      </c>
      <c r="C1808" s="14" t="str">
        <f>VLOOKUP([1]Competence!$B58,[1]Competence!$B$12:$B$100,1,FALSE)</f>
        <v>Data Management</v>
      </c>
      <c r="D1808" s="13" t="e" cm="1">
        <f t="array" ref="D1808">_xlfn.XLOOKUP(B1808,[1]Baseline!$D$3:$AZ$3,_xlfn.XLOOKUP(C1808,[1]Baseline!$B$4:$B$91,[1]Baseline!$D$4:$AZ$91))</f>
        <v>#N/A</v>
      </c>
      <c r="E1808" s="16"/>
      <c r="F1808" s="14">
        <v>0</v>
      </c>
      <c r="G1808" s="16">
        <v>1</v>
      </c>
      <c r="H1808" s="16">
        <f t="shared" si="28"/>
        <v>1</v>
      </c>
      <c r="I1808" s="13">
        <v>1</v>
      </c>
    </row>
    <row r="1809" spans="1:9">
      <c r="A1809" s="16" t="s">
        <v>32</v>
      </c>
      <c r="B1809" s="16" t="s">
        <v>380</v>
      </c>
      <c r="C1809" s="14" t="str">
        <f>VLOOKUP([1]Competence!$B59,[1]Competence!$B$12:$B$100,1,FALSE)</f>
        <v>Data Modelling and Design</v>
      </c>
      <c r="D1809" s="13" t="e" cm="1">
        <f t="array" ref="D1809">_xlfn.XLOOKUP(B1809,[1]Baseline!$D$3:$AZ$3,_xlfn.XLOOKUP(C1809,[1]Baseline!$B$4:$B$91,[1]Baseline!$D$4:$AZ$91))</f>
        <v>#N/A</v>
      </c>
      <c r="E1809" s="16"/>
      <c r="F1809" s="14">
        <v>0</v>
      </c>
      <c r="G1809" s="16">
        <v>2</v>
      </c>
      <c r="H1809" s="16">
        <f t="shared" si="28"/>
        <v>2</v>
      </c>
      <c r="I1809" s="13">
        <v>2</v>
      </c>
    </row>
    <row r="1810" spans="1:9">
      <c r="A1810" s="16" t="s">
        <v>32</v>
      </c>
      <c r="B1810" s="16" t="s">
        <v>380</v>
      </c>
      <c r="C1810" s="14" t="str">
        <f>VLOOKUP([1]Competence!$B60,[1]Competence!$B$12:$B$100,1,FALSE)</f>
        <v>Data science</v>
      </c>
      <c r="D1810" s="13" t="e" cm="1">
        <f t="array" ref="D1810">_xlfn.XLOOKUP(B1810,[1]Baseline!$D$3:$AZ$3,_xlfn.XLOOKUP(C1810,[1]Baseline!$B$4:$B$91,[1]Baseline!$D$4:$AZ$91))</f>
        <v>#N/A</v>
      </c>
      <c r="E1810" s="16"/>
      <c r="F1810" s="14">
        <v>0</v>
      </c>
      <c r="G1810" s="16">
        <v>2</v>
      </c>
      <c r="H1810" s="16">
        <f t="shared" si="28"/>
        <v>2</v>
      </c>
      <c r="I1810" s="13">
        <v>2</v>
      </c>
    </row>
    <row r="1811" spans="1:9">
      <c r="A1811" s="16" t="s">
        <v>32</v>
      </c>
      <c r="B1811" s="16" t="s">
        <v>380</v>
      </c>
      <c r="C1811" s="14" t="str">
        <f>VLOOKUP([1]Competence!$B61,[1]Competence!$B$12:$B$100,1,FALSE)</f>
        <v>Data visualisation</v>
      </c>
      <c r="D1811" s="13" t="e" cm="1">
        <f t="array" ref="D1811">_xlfn.XLOOKUP(B1811,[1]Baseline!$D$3:$AZ$3,_xlfn.XLOOKUP(C1811,[1]Baseline!$B$4:$B$91,[1]Baseline!$D$4:$AZ$91))</f>
        <v>#N/A</v>
      </c>
      <c r="E1811" s="16"/>
      <c r="F1811" s="14">
        <v>0</v>
      </c>
      <c r="G1811" s="16">
        <v>1</v>
      </c>
      <c r="H1811" s="16">
        <f t="shared" si="28"/>
        <v>1</v>
      </c>
      <c r="I1811" s="13">
        <v>1</v>
      </c>
    </row>
    <row r="1812" spans="1:9">
      <c r="A1812" s="16" t="s">
        <v>32</v>
      </c>
      <c r="B1812" s="16" t="s">
        <v>380</v>
      </c>
      <c r="C1812" s="14" t="str">
        <f>VLOOKUP([1]Competence!$B62,[1]Competence!$B$12:$B$100,1,FALSE)</f>
        <v>Database Administration</v>
      </c>
      <c r="D1812" s="13" t="e" cm="1">
        <f t="array" ref="D1812">_xlfn.XLOOKUP(B1812,[1]Baseline!$D$3:$AZ$3,_xlfn.XLOOKUP(C1812,[1]Baseline!$B$4:$B$91,[1]Baseline!$D$4:$AZ$91))</f>
        <v>#N/A</v>
      </c>
      <c r="E1812" s="16"/>
      <c r="F1812" s="14">
        <v>3</v>
      </c>
      <c r="G1812" s="16">
        <v>2</v>
      </c>
      <c r="H1812" s="16">
        <f t="shared" si="28"/>
        <v>-1</v>
      </c>
      <c r="I1812" s="13">
        <v>2</v>
      </c>
    </row>
    <row r="1813" spans="1:9">
      <c r="A1813" s="16" t="s">
        <v>32</v>
      </c>
      <c r="B1813" s="16" t="s">
        <v>380</v>
      </c>
      <c r="C1813" s="14" t="str">
        <f>VLOOKUP([1]Competence!$B63,[1]Competence!$B$12:$B$100,1,FALSE)</f>
        <v>Database Design</v>
      </c>
      <c r="D1813" s="13" t="e" cm="1">
        <f t="array" ref="D1813">_xlfn.XLOOKUP(B1813,[1]Baseline!$D$3:$AZ$3,_xlfn.XLOOKUP(C1813,[1]Baseline!$B$4:$B$91,[1]Baseline!$D$4:$AZ$91))</f>
        <v>#N/A</v>
      </c>
      <c r="E1813" s="16"/>
      <c r="F1813" s="14">
        <v>0</v>
      </c>
      <c r="G1813" s="16">
        <v>3</v>
      </c>
      <c r="H1813" s="16">
        <f t="shared" si="28"/>
        <v>3</v>
      </c>
      <c r="I1813" s="13">
        <v>3</v>
      </c>
    </row>
    <row r="1814" spans="1:9">
      <c r="A1814" s="16" t="s">
        <v>32</v>
      </c>
      <c r="B1814" s="16" t="s">
        <v>380</v>
      </c>
      <c r="C1814" s="14" t="str">
        <f>VLOOKUP([1]Competence!$B64,[1]Competence!$B$12:$B$100,1,FALSE)</f>
        <v>Hardware design</v>
      </c>
      <c r="D1814" s="13" t="e" cm="1">
        <f t="array" ref="D1814">_xlfn.XLOOKUP(B1814,[1]Baseline!$D$3:$AZ$3,_xlfn.XLOOKUP(C1814,[1]Baseline!$B$4:$B$91,[1]Baseline!$D$4:$AZ$91))</f>
        <v>#N/A</v>
      </c>
      <c r="E1814" s="16"/>
      <c r="F1814" s="14">
        <v>3</v>
      </c>
      <c r="G1814" s="16">
        <v>3</v>
      </c>
      <c r="H1814" s="16">
        <f t="shared" si="28"/>
        <v>0</v>
      </c>
      <c r="I1814" s="13">
        <v>3</v>
      </c>
    </row>
    <row r="1815" spans="1:9">
      <c r="A1815" s="16" t="s">
        <v>32</v>
      </c>
      <c r="B1815" s="16" t="s">
        <v>380</v>
      </c>
      <c r="C1815" s="14" t="str">
        <f>VLOOKUP([1]Competence!$B65,[1]Competence!$B$12:$B$100,1,FALSE)</f>
        <v>High Performance Computing</v>
      </c>
      <c r="D1815" s="13" t="e" cm="1">
        <f t="array" ref="D1815">_xlfn.XLOOKUP(B1815,[1]Baseline!$D$3:$AZ$3,_xlfn.XLOOKUP(C1815,[1]Baseline!$B$4:$B$91,[1]Baseline!$D$4:$AZ$91))</f>
        <v>#N/A</v>
      </c>
      <c r="E1815" s="16"/>
      <c r="F1815" s="14">
        <v>3</v>
      </c>
      <c r="G1815" s="16">
        <v>2</v>
      </c>
      <c r="H1815" s="16">
        <f t="shared" si="28"/>
        <v>-1</v>
      </c>
      <c r="I1815" s="13">
        <v>2</v>
      </c>
    </row>
    <row r="1816" spans="1:9">
      <c r="A1816" s="16" t="s">
        <v>32</v>
      </c>
      <c r="B1816" s="16" t="s">
        <v>380</v>
      </c>
      <c r="C1816" s="14" t="str">
        <f>VLOOKUP([1]Competence!$B66,[1]Competence!$B$12:$B$100,1,FALSE)</f>
        <v>Research Computing</v>
      </c>
      <c r="D1816" s="13" t="e" cm="1">
        <f t="array" ref="D1816">_xlfn.XLOOKUP(B1816,[1]Baseline!$D$3:$AZ$3,_xlfn.XLOOKUP(C1816,[1]Baseline!$B$4:$B$91,[1]Baseline!$D$4:$AZ$91))</f>
        <v>#N/A</v>
      </c>
      <c r="E1816" s="16"/>
      <c r="F1816" s="14">
        <v>3</v>
      </c>
      <c r="G1816" s="16">
        <v>2</v>
      </c>
      <c r="H1816" s="16">
        <f t="shared" si="28"/>
        <v>-1</v>
      </c>
      <c r="I1816" s="13">
        <v>2</v>
      </c>
    </row>
    <row r="1817" spans="1:9">
      <c r="A1817" s="16" t="s">
        <v>32</v>
      </c>
      <c r="B1817" s="16" t="s">
        <v>380</v>
      </c>
      <c r="C1817" s="14" t="str">
        <f>VLOOKUP([1]Competence!$B67,[1]Competence!$B$12:$B$100,1,FALSE)</f>
        <v>Information assurance</v>
      </c>
      <c r="D1817" s="13" t="e" cm="1">
        <f t="array" ref="D1817">_xlfn.XLOOKUP(B1817,[1]Baseline!$D$3:$AZ$3,_xlfn.XLOOKUP(C1817,[1]Baseline!$B$4:$B$91,[1]Baseline!$D$4:$AZ$91))</f>
        <v>#N/A</v>
      </c>
      <c r="E1817" s="16"/>
      <c r="F1817" s="14">
        <v>4</v>
      </c>
      <c r="G1817" s="16">
        <v>3</v>
      </c>
      <c r="H1817" s="16">
        <f t="shared" si="28"/>
        <v>-1</v>
      </c>
      <c r="I1817" s="13">
        <v>3</v>
      </c>
    </row>
    <row r="1818" spans="1:9">
      <c r="A1818" s="16" t="s">
        <v>32</v>
      </c>
      <c r="B1818" s="16" t="s">
        <v>380</v>
      </c>
      <c r="C1818" s="14" t="str">
        <f>VLOOKUP([1]Competence!$B68,[1]Competence!$B$12:$B$100,1,FALSE)</f>
        <v>Information management</v>
      </c>
      <c r="D1818" s="13" t="e" cm="1">
        <f t="array" ref="D1818">_xlfn.XLOOKUP(B1818,[1]Baseline!$D$3:$AZ$3,_xlfn.XLOOKUP(C1818,[1]Baseline!$B$4:$B$91,[1]Baseline!$D$4:$AZ$91))</f>
        <v>#N/A</v>
      </c>
      <c r="E1818" s="16"/>
      <c r="F1818" s="14">
        <v>3</v>
      </c>
      <c r="G1818" s="16">
        <v>2</v>
      </c>
      <c r="H1818" s="16">
        <f t="shared" si="28"/>
        <v>-1</v>
      </c>
      <c r="I1818" s="13">
        <v>2</v>
      </c>
    </row>
    <row r="1819" spans="1:9">
      <c r="A1819" s="16" t="s">
        <v>32</v>
      </c>
      <c r="B1819" s="16" t="s">
        <v>380</v>
      </c>
      <c r="C1819" s="14" t="str">
        <f>VLOOKUP([1]Competence!$B69,[1]Competence!$B$12:$B$100,1,FALSE)</f>
        <v>Infrastructure</v>
      </c>
      <c r="D1819" s="13" t="e" cm="1">
        <f t="array" ref="D1819">_xlfn.XLOOKUP(B1819,[1]Baseline!$D$3:$AZ$3,_xlfn.XLOOKUP(C1819,[1]Baseline!$B$4:$B$91,[1]Baseline!$D$4:$AZ$91))</f>
        <v>#N/A</v>
      </c>
      <c r="E1819" s="16"/>
      <c r="F1819" s="14">
        <v>3</v>
      </c>
      <c r="G1819" s="16">
        <v>2</v>
      </c>
      <c r="H1819" s="16">
        <f t="shared" si="28"/>
        <v>-1</v>
      </c>
      <c r="I1819" s="13">
        <v>2</v>
      </c>
    </row>
    <row r="1820" spans="1:9">
      <c r="A1820" s="16" t="s">
        <v>32</v>
      </c>
      <c r="B1820" s="16" t="s">
        <v>380</v>
      </c>
      <c r="C1820" s="14" t="str">
        <f>VLOOKUP([1]Competence!$B70,[1]Competence!$B$12:$B$100,1,FALSE)</f>
        <v>Network design</v>
      </c>
      <c r="D1820" s="13" t="e" cm="1">
        <f t="array" ref="D1820">_xlfn.XLOOKUP(B1820,[1]Baseline!$D$3:$AZ$3,_xlfn.XLOOKUP(C1820,[1]Baseline!$B$4:$B$91,[1]Baseline!$D$4:$AZ$91))</f>
        <v>#N/A</v>
      </c>
      <c r="E1820" s="16"/>
      <c r="F1820" s="14">
        <v>2</v>
      </c>
      <c r="G1820" s="16">
        <v>2</v>
      </c>
      <c r="H1820" s="16">
        <f t="shared" si="28"/>
        <v>0</v>
      </c>
      <c r="I1820" s="13">
        <v>2</v>
      </c>
    </row>
    <row r="1821" spans="1:9">
      <c r="A1821" s="16" t="s">
        <v>32</v>
      </c>
      <c r="B1821" s="16" t="s">
        <v>380</v>
      </c>
      <c r="C1821" s="14" t="str">
        <f>VLOOKUP([1]Competence!$B71,[1]Competence!$B$12:$B$100,1,FALSE)</f>
        <v>Network Analytics</v>
      </c>
      <c r="D1821" s="13" t="e" cm="1">
        <f t="array" ref="D1821">_xlfn.XLOOKUP(B1821,[1]Baseline!$D$3:$AZ$3,_xlfn.XLOOKUP(C1821,[1]Baseline!$B$4:$B$91,[1]Baseline!$D$4:$AZ$91))</f>
        <v>#N/A</v>
      </c>
      <c r="E1821" s="16"/>
      <c r="F1821" s="14">
        <v>2</v>
      </c>
      <c r="G1821" s="16">
        <v>1</v>
      </c>
      <c r="H1821" s="16">
        <f t="shared" si="28"/>
        <v>-1</v>
      </c>
      <c r="I1821" s="13">
        <v>1</v>
      </c>
    </row>
    <row r="1822" spans="1:9">
      <c r="A1822" s="16" t="s">
        <v>32</v>
      </c>
      <c r="B1822" s="16" t="s">
        <v>380</v>
      </c>
      <c r="C1822" s="14" t="str">
        <f>VLOOKUP([1]Competence!$B72,[1]Competence!$B$12:$B$100,1,FALSE)</f>
        <v>Network support</v>
      </c>
      <c r="D1822" s="13" t="e" cm="1">
        <f t="array" ref="D1822">_xlfn.XLOOKUP(B1822,[1]Baseline!$D$3:$AZ$3,_xlfn.XLOOKUP(C1822,[1]Baseline!$B$4:$B$91,[1]Baseline!$D$4:$AZ$91))</f>
        <v>#N/A</v>
      </c>
      <c r="E1822" s="16"/>
      <c r="F1822" s="14">
        <v>2</v>
      </c>
      <c r="G1822" s="16">
        <v>1</v>
      </c>
      <c r="H1822" s="16">
        <f t="shared" si="28"/>
        <v>-1</v>
      </c>
      <c r="I1822" s="13">
        <v>1</v>
      </c>
    </row>
    <row r="1823" spans="1:9">
      <c r="A1823" s="16" t="s">
        <v>32</v>
      </c>
      <c r="B1823" s="16" t="s">
        <v>380</v>
      </c>
      <c r="C1823" s="14" t="str">
        <f>VLOOKUP([1]Competence!$B73,[1]Competence!$B$12:$B$100,1,FALSE)</f>
        <v>Programming/software development</v>
      </c>
      <c r="D1823" s="13" t="e" cm="1">
        <f t="array" ref="D1823">_xlfn.XLOOKUP(B1823,[1]Baseline!$D$3:$AZ$3,_xlfn.XLOOKUP(C1823,[1]Baseline!$B$4:$B$91,[1]Baseline!$D$4:$AZ$91))</f>
        <v>#N/A</v>
      </c>
      <c r="E1823" s="16"/>
      <c r="F1823" s="14">
        <v>3</v>
      </c>
      <c r="G1823" s="16">
        <v>1</v>
      </c>
      <c r="H1823" s="16">
        <f t="shared" si="28"/>
        <v>-2</v>
      </c>
      <c r="I1823" s="13">
        <v>1</v>
      </c>
    </row>
    <row r="1824" spans="1:9" ht="30">
      <c r="A1824" s="16" t="s">
        <v>32</v>
      </c>
      <c r="B1824" s="16" t="s">
        <v>380</v>
      </c>
      <c r="C1824" s="14" t="str">
        <f>VLOOKUP([1]Competence!$B74,[1]Competence!$B$12:$B$100,1,FALSE)</f>
        <v>Real-time/embedded systems development</v>
      </c>
      <c r="D1824" s="13" t="e" cm="1">
        <f t="array" ref="D1824">_xlfn.XLOOKUP(B1824,[1]Baseline!$D$3:$AZ$3,_xlfn.XLOOKUP(C1824,[1]Baseline!$B$4:$B$91,[1]Baseline!$D$4:$AZ$91))</f>
        <v>#N/A</v>
      </c>
      <c r="E1824" s="16"/>
      <c r="F1824" s="14">
        <v>1</v>
      </c>
      <c r="G1824" s="16">
        <v>3</v>
      </c>
      <c r="H1824" s="16">
        <f t="shared" si="28"/>
        <v>2</v>
      </c>
      <c r="I1824" s="13">
        <v>3</v>
      </c>
    </row>
    <row r="1825" spans="1:9" ht="30">
      <c r="A1825" s="16" t="s">
        <v>32</v>
      </c>
      <c r="B1825" s="16" t="s">
        <v>380</v>
      </c>
      <c r="C1825" s="14" t="str">
        <f>VLOOKUP([1]Competence!$B75,[1]Competence!$B$12:$B$100,1,FALSE)</f>
        <v>Requirements definition and management</v>
      </c>
      <c r="D1825" s="13" t="e" cm="1">
        <f t="array" ref="D1825">_xlfn.XLOOKUP(B1825,[1]Baseline!$D$3:$AZ$3,_xlfn.XLOOKUP(C1825,[1]Baseline!$B$4:$B$91,[1]Baseline!$D$4:$AZ$91))</f>
        <v>#N/A</v>
      </c>
      <c r="E1825" s="16"/>
      <c r="F1825" s="14">
        <v>3</v>
      </c>
      <c r="G1825" s="16">
        <v>2</v>
      </c>
      <c r="H1825" s="16">
        <f t="shared" si="28"/>
        <v>-1</v>
      </c>
      <c r="I1825" s="13">
        <v>2</v>
      </c>
    </row>
    <row r="1826" spans="1:9">
      <c r="A1826" s="16" t="s">
        <v>32</v>
      </c>
      <c r="B1826" s="16" t="s">
        <v>380</v>
      </c>
      <c r="C1826" s="14" t="str">
        <f>VLOOKUP([1]Competence!$B76,[1]Competence!$B$12:$B$100,1,FALSE)</f>
        <v>Software configuration</v>
      </c>
      <c r="D1826" s="13" t="e" cm="1">
        <f t="array" ref="D1826">_xlfn.XLOOKUP(B1826,[1]Baseline!$D$3:$AZ$3,_xlfn.XLOOKUP(C1826,[1]Baseline!$B$4:$B$91,[1]Baseline!$D$4:$AZ$91))</f>
        <v>#N/A</v>
      </c>
      <c r="E1826" s="16"/>
      <c r="F1826" s="14">
        <v>1</v>
      </c>
      <c r="G1826" s="16">
        <v>0</v>
      </c>
      <c r="H1826" s="16">
        <f t="shared" si="28"/>
        <v>-1</v>
      </c>
      <c r="I1826" s="13">
        <v>0</v>
      </c>
    </row>
    <row r="1827" spans="1:9">
      <c r="A1827" s="16" t="s">
        <v>32</v>
      </c>
      <c r="B1827" s="16" t="s">
        <v>380</v>
      </c>
      <c r="C1827" s="14" t="str">
        <f>VLOOKUP([1]Competence!$B77,[1]Competence!$B$12:$B$100,1,FALSE)</f>
        <v>Software design</v>
      </c>
      <c r="D1827" s="13" t="e" cm="1">
        <f t="array" ref="D1827">_xlfn.XLOOKUP(B1827,[1]Baseline!$D$3:$AZ$3,_xlfn.XLOOKUP(C1827,[1]Baseline!$B$4:$B$91,[1]Baseline!$D$4:$AZ$91))</f>
        <v>#N/A</v>
      </c>
      <c r="E1827" s="16"/>
      <c r="F1827" s="14">
        <v>1</v>
      </c>
      <c r="G1827" s="16">
        <v>3</v>
      </c>
      <c r="H1827" s="16">
        <f t="shared" si="28"/>
        <v>2</v>
      </c>
      <c r="I1827" s="13">
        <v>3</v>
      </c>
    </row>
    <row r="1828" spans="1:9">
      <c r="A1828" s="16" t="s">
        <v>32</v>
      </c>
      <c r="B1828" s="16" t="s">
        <v>380</v>
      </c>
      <c r="C1828" s="14" t="str">
        <f>VLOOKUP([1]Competence!$B78,[1]Competence!$B$12:$B$100,1,FALSE)</f>
        <v>Solution architecture</v>
      </c>
      <c r="D1828" s="13" t="e" cm="1">
        <f t="array" ref="D1828">_xlfn.XLOOKUP(B1828,[1]Baseline!$D$3:$AZ$3,_xlfn.XLOOKUP(C1828,[1]Baseline!$B$4:$B$91,[1]Baseline!$D$4:$AZ$91))</f>
        <v>#N/A</v>
      </c>
      <c r="E1828" s="16"/>
      <c r="F1828" s="14">
        <v>3</v>
      </c>
      <c r="G1828" s="16">
        <v>1</v>
      </c>
      <c r="H1828" s="16">
        <f t="shared" si="28"/>
        <v>-2</v>
      </c>
      <c r="I1828" s="13">
        <v>1</v>
      </c>
    </row>
    <row r="1829" spans="1:9">
      <c r="A1829" s="16" t="s">
        <v>32</v>
      </c>
      <c r="B1829" s="16" t="s">
        <v>380</v>
      </c>
      <c r="C1829" s="14" t="str">
        <f>VLOOKUP([1]Competence!$B79,[1]Competence!$B$12:$B$100,1,FALSE)</f>
        <v>System software</v>
      </c>
      <c r="D1829" s="13" t="e" cm="1">
        <f t="array" ref="D1829">_xlfn.XLOOKUP(B1829,[1]Baseline!$D$3:$AZ$3,_xlfn.XLOOKUP(C1829,[1]Baseline!$B$4:$B$91,[1]Baseline!$D$4:$AZ$91))</f>
        <v>#N/A</v>
      </c>
      <c r="E1829" s="16"/>
      <c r="F1829" s="14">
        <v>4</v>
      </c>
      <c r="G1829" s="16">
        <v>2</v>
      </c>
      <c r="H1829" s="16">
        <f t="shared" si="28"/>
        <v>-2</v>
      </c>
      <c r="I1829" s="13">
        <v>2</v>
      </c>
    </row>
    <row r="1830" spans="1:9" ht="30">
      <c r="A1830" s="16" t="s">
        <v>32</v>
      </c>
      <c r="B1830" s="16" t="s">
        <v>380</v>
      </c>
      <c r="C1830" s="14" t="str">
        <f>VLOOKUP([1]Competence!$B80,[1]Competence!$B$12:$B$100,1,FALSE)</f>
        <v>Systems and software life cycle engineering</v>
      </c>
      <c r="D1830" s="13" t="e" cm="1">
        <f t="array" ref="D1830">_xlfn.XLOOKUP(B1830,[1]Baseline!$D$3:$AZ$3,_xlfn.XLOOKUP(C1830,[1]Baseline!$B$4:$B$91,[1]Baseline!$D$4:$AZ$91))</f>
        <v>#N/A</v>
      </c>
      <c r="E1830" s="16"/>
      <c r="F1830" s="14">
        <v>4</v>
      </c>
      <c r="G1830" s="16">
        <v>1</v>
      </c>
      <c r="H1830" s="16">
        <f t="shared" si="28"/>
        <v>-3</v>
      </c>
      <c r="I1830" s="13">
        <v>1</v>
      </c>
    </row>
    <row r="1831" spans="1:9">
      <c r="A1831" s="16" t="s">
        <v>32</v>
      </c>
      <c r="B1831" s="16" t="s">
        <v>380</v>
      </c>
      <c r="C1831" s="14" t="str">
        <f>VLOOKUP([1]Competence!$B81,[1]Competence!$B$12:$B$100,1,FALSE)</f>
        <v>Systems design</v>
      </c>
      <c r="D1831" s="13" t="e" cm="1">
        <f t="array" ref="D1831">_xlfn.XLOOKUP(B1831,[1]Baseline!$D$3:$AZ$3,_xlfn.XLOOKUP(C1831,[1]Baseline!$B$4:$B$91,[1]Baseline!$D$4:$AZ$91))</f>
        <v>#N/A</v>
      </c>
      <c r="E1831" s="16"/>
      <c r="F1831" s="14">
        <v>4</v>
      </c>
      <c r="G1831" s="16">
        <v>3</v>
      </c>
      <c r="H1831" s="16">
        <f t="shared" si="28"/>
        <v>-1</v>
      </c>
      <c r="I1831" s="13">
        <v>3</v>
      </c>
    </row>
    <row r="1832" spans="1:9">
      <c r="A1832" s="16" t="s">
        <v>32</v>
      </c>
      <c r="B1832" s="16" t="s">
        <v>380</v>
      </c>
      <c r="C1832" s="14" t="str">
        <f>VLOOKUP([1]Competence!$B82,[1]Competence!$B$12:$B$100,1,FALSE)</f>
        <v>Systems development management</v>
      </c>
      <c r="D1832" s="13" t="e" cm="1">
        <f t="array" ref="D1832">_xlfn.XLOOKUP(B1832,[1]Baseline!$D$3:$AZ$3,_xlfn.XLOOKUP(C1832,[1]Baseline!$B$4:$B$91,[1]Baseline!$D$4:$AZ$91))</f>
        <v>#N/A</v>
      </c>
      <c r="E1832" s="16"/>
      <c r="F1832" s="14">
        <v>3</v>
      </c>
      <c r="G1832" s="16">
        <v>3</v>
      </c>
      <c r="H1832" s="16">
        <f t="shared" si="28"/>
        <v>0</v>
      </c>
      <c r="I1832" s="13">
        <v>3</v>
      </c>
    </row>
    <row r="1833" spans="1:9">
      <c r="A1833" s="16" t="s">
        <v>32</v>
      </c>
      <c r="B1833" s="16" t="s">
        <v>380</v>
      </c>
      <c r="C1833" s="14" t="str">
        <f>VLOOKUP([1]Competence!$B83,[1]Competence!$B$12:$B$100,1,FALSE)</f>
        <v>Systems installation and removal</v>
      </c>
      <c r="D1833" s="13" t="e" cm="1">
        <f t="array" ref="D1833">_xlfn.XLOOKUP(B1833,[1]Baseline!$D$3:$AZ$3,_xlfn.XLOOKUP(C1833,[1]Baseline!$B$4:$B$91,[1]Baseline!$D$4:$AZ$91))</f>
        <v>#N/A</v>
      </c>
      <c r="E1833" s="16"/>
      <c r="F1833" s="14">
        <v>4</v>
      </c>
      <c r="G1833" s="16">
        <v>2</v>
      </c>
      <c r="H1833" s="16">
        <f t="shared" si="28"/>
        <v>-2</v>
      </c>
      <c r="I1833" s="13">
        <v>2</v>
      </c>
    </row>
    <row r="1834" spans="1:9">
      <c r="A1834" s="16" t="s">
        <v>32</v>
      </c>
      <c r="B1834" s="16" t="s">
        <v>380</v>
      </c>
      <c r="C1834" s="14" t="str">
        <f>VLOOKUP([1]Competence!$B84,[1]Competence!$B$12:$B$100,1,FALSE)</f>
        <v>Testing</v>
      </c>
      <c r="D1834" s="13" t="e" cm="1">
        <f t="array" ref="D1834">_xlfn.XLOOKUP(B1834,[1]Baseline!$D$3:$AZ$3,_xlfn.XLOOKUP(C1834,[1]Baseline!$B$4:$B$91,[1]Baseline!$D$4:$AZ$91))</f>
        <v>#N/A</v>
      </c>
      <c r="E1834" s="16"/>
      <c r="F1834" s="14">
        <v>3</v>
      </c>
      <c r="G1834" s="16">
        <v>4</v>
      </c>
      <c r="H1834" s="16">
        <f t="shared" si="28"/>
        <v>1</v>
      </c>
      <c r="I1834" s="13">
        <v>4</v>
      </c>
    </row>
    <row r="1835" spans="1:9">
      <c r="A1835" s="16" t="s">
        <v>32</v>
      </c>
      <c r="B1835" s="16" t="s">
        <v>380</v>
      </c>
      <c r="C1835" s="14" t="str">
        <f>VLOOKUP([1]Competence!$B85,[1]Competence!$B$12:$B$100,1,FALSE)</f>
        <v>Innovation</v>
      </c>
      <c r="D1835" s="13" t="e" cm="1">
        <f t="array" ref="D1835">_xlfn.XLOOKUP(B1835,[1]Baseline!$D$3:$AZ$3,_xlfn.XLOOKUP(C1835,[1]Baseline!$B$4:$B$91,[1]Baseline!$D$4:$AZ$91))</f>
        <v>#N/A</v>
      </c>
      <c r="E1835" s="16"/>
      <c r="F1835" s="14">
        <v>4</v>
      </c>
      <c r="G1835" s="16">
        <v>2</v>
      </c>
      <c r="H1835" s="16">
        <f t="shared" si="28"/>
        <v>-2</v>
      </c>
      <c r="I1835" s="13">
        <v>2</v>
      </c>
    </row>
    <row r="1836" spans="1:9">
      <c r="A1836" s="16" t="s">
        <v>32</v>
      </c>
      <c r="B1836" s="16" t="s">
        <v>380</v>
      </c>
      <c r="C1836" s="14" t="str">
        <f>VLOOKUP([1]Competence!$B86,[1]Competence!$B$12:$B$100,1,FALSE)</f>
        <v>Specialist Advice</v>
      </c>
      <c r="D1836" s="13" t="e" cm="1">
        <f t="array" ref="D1836">_xlfn.XLOOKUP(B1836,[1]Baseline!$D$3:$AZ$3,_xlfn.XLOOKUP(C1836,[1]Baseline!$B$4:$B$91,[1]Baseline!$D$4:$AZ$91))</f>
        <v>#N/A</v>
      </c>
      <c r="E1836" s="16"/>
      <c r="F1836" s="14">
        <v>4</v>
      </c>
      <c r="G1836" s="16">
        <v>3</v>
      </c>
      <c r="H1836" s="16">
        <f t="shared" si="28"/>
        <v>-1</v>
      </c>
      <c r="I1836" s="13">
        <v>3</v>
      </c>
    </row>
    <row r="1837" spans="1:9">
      <c r="A1837" s="16" t="s">
        <v>32</v>
      </c>
      <c r="B1837" s="16" t="s">
        <v>380</v>
      </c>
      <c r="C1837" s="14" t="str">
        <f>VLOOKUP([1]Competence!$B87,[1]Competence!$B$12:$B$100,1,FALSE)</f>
        <v>Emerging technology monitoring</v>
      </c>
      <c r="D1837" s="13" t="e" cm="1">
        <f t="array" ref="D1837">_xlfn.XLOOKUP(B1837,[1]Baseline!$D$3:$AZ$3,_xlfn.XLOOKUP(C1837,[1]Baseline!$B$4:$B$91,[1]Baseline!$D$4:$AZ$91))</f>
        <v>#N/A</v>
      </c>
      <c r="E1837" s="16"/>
      <c r="F1837" s="14">
        <v>3</v>
      </c>
      <c r="G1837" s="16">
        <v>2</v>
      </c>
      <c r="H1837" s="16">
        <f t="shared" si="28"/>
        <v>-1</v>
      </c>
      <c r="I1837" s="13">
        <v>2</v>
      </c>
    </row>
    <row r="1838" spans="1:9">
      <c r="A1838" s="16" t="s">
        <v>32</v>
      </c>
      <c r="B1838" s="16" t="s">
        <v>380</v>
      </c>
      <c r="C1838" s="14" t="str">
        <f>VLOOKUP([1]Competence!$B88,[1]Competence!$B$12:$B$100,1,FALSE)</f>
        <v>Systems integration and build</v>
      </c>
      <c r="D1838" s="13" t="e" cm="1">
        <f t="array" ref="D1838">_xlfn.XLOOKUP(B1838,[1]Baseline!$D$3:$AZ$3,_xlfn.XLOOKUP(C1838,[1]Baseline!$B$4:$B$91,[1]Baseline!$D$4:$AZ$91))</f>
        <v>#N/A</v>
      </c>
      <c r="E1838" s="16"/>
      <c r="F1838" s="14">
        <v>2</v>
      </c>
      <c r="G1838" s="16">
        <v>1</v>
      </c>
      <c r="H1838" s="16">
        <f t="shared" si="28"/>
        <v>-1</v>
      </c>
      <c r="I1838" s="13">
        <v>1</v>
      </c>
    </row>
    <row r="1839" spans="1:9">
      <c r="A1839" s="16" t="s">
        <v>32</v>
      </c>
      <c r="B1839" s="16" t="s">
        <v>380</v>
      </c>
      <c r="C1839" s="14" t="str">
        <f>VLOOKUP([1]Competence!$B89,[1]Competence!$B$12:$B$100,1,FALSE)</f>
        <v>Audio Visual</v>
      </c>
      <c r="D1839" s="13" t="e" cm="1">
        <f t="array" ref="D1839">_xlfn.XLOOKUP(B1839,[1]Baseline!$D$3:$AZ$3,_xlfn.XLOOKUP(C1839,[1]Baseline!$B$4:$B$91,[1]Baseline!$D$4:$AZ$91))</f>
        <v>#N/A</v>
      </c>
      <c r="E1839" s="16"/>
      <c r="F1839" s="14">
        <v>0</v>
      </c>
      <c r="G1839" s="16">
        <v>1</v>
      </c>
      <c r="H1839" s="16">
        <f t="shared" si="28"/>
        <v>1</v>
      </c>
      <c r="I1839" s="13">
        <v>1</v>
      </c>
    </row>
    <row r="1840" spans="1:9">
      <c r="A1840" s="16" t="s">
        <v>32</v>
      </c>
      <c r="B1840" s="16" t="s">
        <v>380</v>
      </c>
      <c r="C1840" s="14" t="str">
        <f>VLOOKUP([1]Competence!$B90,[1]Competence!$B$12:$B$100,1,FALSE)</f>
        <v>Augmented Reality</v>
      </c>
      <c r="D1840" s="13" t="e" cm="1">
        <f t="array" ref="D1840">_xlfn.XLOOKUP(B1840,[1]Baseline!$D$3:$AZ$3,_xlfn.XLOOKUP(C1840,[1]Baseline!$B$4:$B$91,[1]Baseline!$D$4:$AZ$91))</f>
        <v>#N/A</v>
      </c>
      <c r="E1840" s="16"/>
      <c r="F1840" s="14">
        <v>0</v>
      </c>
      <c r="G1840" s="16">
        <v>0</v>
      </c>
      <c r="H1840" s="16">
        <f t="shared" si="28"/>
        <v>0</v>
      </c>
      <c r="I1840" s="13">
        <v>0</v>
      </c>
    </row>
    <row r="1841" spans="1:10">
      <c r="A1841" s="16" t="s">
        <v>32</v>
      </c>
      <c r="B1841" s="16" t="s">
        <v>380</v>
      </c>
      <c r="C1841" s="14" t="str">
        <f>VLOOKUP([1]Competence!$B91,[1]Competence!$B$12:$B$100,1,FALSE)</f>
        <v>Benefits management</v>
      </c>
      <c r="D1841" s="13" t="e" cm="1">
        <f t="array" ref="D1841">_xlfn.XLOOKUP(B1841,[1]Baseline!$D$3:$AZ$3,_xlfn.XLOOKUP(C1841,[1]Baseline!$B$4:$B$91,[1]Baseline!$D$4:$AZ$91))</f>
        <v>#N/A</v>
      </c>
      <c r="E1841" s="16"/>
      <c r="F1841" s="14">
        <v>2</v>
      </c>
      <c r="G1841" s="16">
        <v>1</v>
      </c>
      <c r="H1841" s="16">
        <f t="shared" si="28"/>
        <v>-1</v>
      </c>
      <c r="I1841" s="13">
        <v>1</v>
      </c>
    </row>
    <row r="1842" spans="1:10">
      <c r="A1842" s="16" t="s">
        <v>32</v>
      </c>
      <c r="B1842" s="16" t="s">
        <v>380</v>
      </c>
      <c r="C1842" s="14" t="str">
        <f>VLOOKUP([1]Competence!$B92,[1]Competence!$B$12:$B$100,1,FALSE)</f>
        <v>Business administration</v>
      </c>
      <c r="D1842" s="13" t="e" cm="1">
        <f t="array" ref="D1842">_xlfn.XLOOKUP(B1842,[1]Baseline!$D$3:$AZ$3,_xlfn.XLOOKUP(C1842,[1]Baseline!$B$4:$B$91,[1]Baseline!$D$4:$AZ$91))</f>
        <v>#N/A</v>
      </c>
      <c r="E1842" s="16"/>
      <c r="F1842" s="14">
        <v>2</v>
      </c>
      <c r="G1842" s="16">
        <v>0</v>
      </c>
      <c r="H1842" s="16">
        <f t="shared" si="28"/>
        <v>-2</v>
      </c>
      <c r="I1842" s="13">
        <v>0</v>
      </c>
    </row>
    <row r="1843" spans="1:10">
      <c r="A1843" s="16" t="s">
        <v>32</v>
      </c>
      <c r="B1843" s="16" t="s">
        <v>380</v>
      </c>
      <c r="C1843" s="14" t="str">
        <f>VLOOKUP([1]Competence!$B93,[1]Competence!$B$12:$B$100,1,FALSE)</f>
        <v>Business intelligence</v>
      </c>
      <c r="D1843" s="13" t="e" cm="1">
        <f t="array" ref="D1843">_xlfn.XLOOKUP(B1843,[1]Baseline!$D$3:$AZ$3,_xlfn.XLOOKUP(C1843,[1]Baseline!$B$4:$B$91,[1]Baseline!$D$4:$AZ$91))</f>
        <v>#N/A</v>
      </c>
      <c r="E1843" s="16"/>
      <c r="F1843" s="14">
        <v>2</v>
      </c>
      <c r="G1843" s="16">
        <v>2</v>
      </c>
      <c r="H1843" s="16">
        <f t="shared" si="28"/>
        <v>0</v>
      </c>
      <c r="I1843" s="13">
        <v>2</v>
      </c>
    </row>
    <row r="1844" spans="1:10">
      <c r="A1844" s="16" t="s">
        <v>32</v>
      </c>
      <c r="B1844" s="16" t="s">
        <v>380</v>
      </c>
      <c r="C1844" s="14" t="str">
        <f>VLOOKUP([1]Competence!$B94,[1]Competence!$B$12:$B$100,1,FALSE)</f>
        <v>Business modelling</v>
      </c>
      <c r="D1844" s="13" t="e" cm="1">
        <f t="array" ref="D1844">_xlfn.XLOOKUP(B1844,[1]Baseline!$D$3:$AZ$3,_xlfn.XLOOKUP(C1844,[1]Baseline!$B$4:$B$91,[1]Baseline!$D$4:$AZ$91))</f>
        <v>#N/A</v>
      </c>
      <c r="E1844" s="16"/>
      <c r="F1844" s="14">
        <v>0</v>
      </c>
      <c r="G1844" s="16">
        <v>1</v>
      </c>
      <c r="H1844" s="16">
        <f t="shared" si="28"/>
        <v>1</v>
      </c>
      <c r="I1844" s="13">
        <v>1</v>
      </c>
    </row>
    <row r="1845" spans="1:10">
      <c r="A1845" s="16" t="s">
        <v>32</v>
      </c>
      <c r="B1845" s="16" t="s">
        <v>380</v>
      </c>
      <c r="C1845" s="14" t="str">
        <f>VLOOKUP([1]Competence!$B95,[1]Competence!$B$12:$B$100,1,FALSE)</f>
        <v>Business process improvement</v>
      </c>
      <c r="D1845" s="13" t="e" cm="1">
        <f t="array" ref="D1845">_xlfn.XLOOKUP(B1845,[1]Baseline!$D$3:$AZ$3,_xlfn.XLOOKUP(C1845,[1]Baseline!$B$4:$B$91,[1]Baseline!$D$4:$AZ$91))</f>
        <v>#N/A</v>
      </c>
      <c r="E1845" s="16"/>
      <c r="F1845" s="14">
        <v>2</v>
      </c>
      <c r="G1845" s="16">
        <v>2</v>
      </c>
      <c r="H1845" s="16">
        <f t="shared" si="28"/>
        <v>0</v>
      </c>
      <c r="I1845" s="13">
        <v>2</v>
      </c>
    </row>
    <row r="1846" spans="1:10">
      <c r="A1846" s="16" t="s">
        <v>32</v>
      </c>
      <c r="B1846" s="16" t="s">
        <v>380</v>
      </c>
      <c r="C1846" s="14" t="str">
        <f>VLOOKUP([1]Competence!$B96,[1]Competence!$B$12:$B$100,1,FALSE)</f>
        <v>Business situation analysis</v>
      </c>
      <c r="D1846" s="13" t="e" cm="1">
        <f t="array" ref="D1846">_xlfn.XLOOKUP(B1846,[1]Baseline!$D$3:$AZ$3,_xlfn.XLOOKUP(C1846,[1]Baseline!$B$4:$B$91,[1]Baseline!$D$4:$AZ$91))</f>
        <v>#N/A</v>
      </c>
      <c r="E1846" s="16"/>
      <c r="F1846" s="14">
        <v>2</v>
      </c>
      <c r="G1846" s="16">
        <v>1</v>
      </c>
      <c r="H1846" s="16">
        <f t="shared" si="28"/>
        <v>-1</v>
      </c>
      <c r="I1846" s="13">
        <v>1</v>
      </c>
    </row>
    <row r="1847" spans="1:10">
      <c r="A1847" s="16" t="s">
        <v>32</v>
      </c>
      <c r="B1847" s="16" t="s">
        <v>380</v>
      </c>
      <c r="C1847" s="14" t="str">
        <f>VLOOKUP([1]Competence!$B97,[1]Competence!$B$12:$B$100,1,FALSE)</f>
        <v>Programme management</v>
      </c>
      <c r="D1847" s="13" t="e" cm="1">
        <f t="array" ref="D1847">_xlfn.XLOOKUP(B1847,[1]Baseline!$D$3:$AZ$3,_xlfn.XLOOKUP(C1847,[1]Baseline!$B$4:$B$91,[1]Baseline!$D$4:$AZ$91))</f>
        <v>#N/A</v>
      </c>
      <c r="E1847" s="16"/>
      <c r="F1847" s="14">
        <v>2</v>
      </c>
      <c r="G1847" s="16">
        <v>1</v>
      </c>
      <c r="H1847" s="16">
        <f t="shared" si="28"/>
        <v>-1</v>
      </c>
      <c r="I1847" s="13">
        <v>1</v>
      </c>
    </row>
    <row r="1848" spans="1:10">
      <c r="A1848" s="16" t="s">
        <v>32</v>
      </c>
      <c r="B1848" s="16" t="s">
        <v>380</v>
      </c>
      <c r="C1848" s="14" t="str">
        <f>VLOOKUP([1]Competence!$B98,[1]Competence!$B$12:$B$100,1,FALSE)</f>
        <v>Project management</v>
      </c>
      <c r="D1848" s="13" t="e" cm="1">
        <f t="array" ref="D1848">_xlfn.XLOOKUP(B1848,[1]Baseline!$D$3:$AZ$3,_xlfn.XLOOKUP(C1848,[1]Baseline!$B$4:$B$91,[1]Baseline!$D$4:$AZ$91))</f>
        <v>#N/A</v>
      </c>
      <c r="E1848" s="16"/>
      <c r="F1848" s="14">
        <v>2</v>
      </c>
      <c r="G1848" s="16">
        <v>4</v>
      </c>
      <c r="H1848" s="16">
        <f t="shared" si="28"/>
        <v>2</v>
      </c>
      <c r="I1848" s="13">
        <v>4</v>
      </c>
    </row>
    <row r="1849" spans="1:10">
      <c r="A1849" s="16" t="s">
        <v>32</v>
      </c>
      <c r="B1849" s="16" t="s">
        <v>380</v>
      </c>
      <c r="C1849" s="14" t="str">
        <f>VLOOKUP([1]Competence!$B99,[1]Competence!$B$12:$B$100,1,FALSE)</f>
        <v>Quality assurance</v>
      </c>
      <c r="D1849" s="13" t="e" cm="1">
        <f t="array" ref="D1849">_xlfn.XLOOKUP(B1849,[1]Baseline!$D$3:$AZ$3,_xlfn.XLOOKUP(C1849,[1]Baseline!$B$4:$B$91,[1]Baseline!$D$4:$AZ$91))</f>
        <v>#N/A</v>
      </c>
      <c r="E1849" s="16"/>
      <c r="F1849" s="14">
        <v>3</v>
      </c>
      <c r="G1849" s="16">
        <v>1</v>
      </c>
      <c r="H1849" s="16">
        <f t="shared" si="28"/>
        <v>-2</v>
      </c>
      <c r="I1849" s="13">
        <v>1</v>
      </c>
    </row>
    <row r="1850" spans="1:10">
      <c r="A1850" s="13" t="s">
        <v>27</v>
      </c>
      <c r="B1850" s="13" t="s">
        <v>89</v>
      </c>
      <c r="C1850" s="13" t="str">
        <f>VLOOKUP([1]Competence!$B12,[1]Competence!$B$12:$B$100,1,FALSE)</f>
        <v>Asset Management</v>
      </c>
      <c r="D1850" s="13" t="str" cm="1">
        <f t="array" ref="D1850">_xlfn.XLOOKUP(B1850,[1]Baseline!$D$3:$AZ$3,_xlfn.XLOOKUP(C1850,[1]Baseline!$B$4:$B$91,[1]Baseline!$D$4:$AZ$91))</f>
        <v>Expert</v>
      </c>
      <c r="E1850" s="13" t="s">
        <v>49</v>
      </c>
      <c r="F1850" s="13">
        <v>4</v>
      </c>
      <c r="G1850" s="153">
        <v>2</v>
      </c>
      <c r="H1850" s="16">
        <f t="shared" si="28"/>
        <v>-2</v>
      </c>
      <c r="I1850" s="13">
        <v>2</v>
      </c>
      <c r="J1850" s="160"/>
    </row>
    <row r="1851" spans="1:10">
      <c r="A1851" s="13" t="s">
        <v>27</v>
      </c>
      <c r="B1851" s="13" t="s">
        <v>89</v>
      </c>
      <c r="C1851" s="13" t="str">
        <f>VLOOKUP([1]Competence!$B13,[1]Competence!$B$12:$B$100,1,FALSE)</f>
        <v>Change Control</v>
      </c>
      <c r="D1851" s="13" t="str" cm="1">
        <f t="array" ref="D1851">_xlfn.XLOOKUP(B1851,[1]Baseline!$D$3:$AZ$3,_xlfn.XLOOKUP(C1851,[1]Baseline!$B$4:$B$91,[1]Baseline!$D$4:$AZ$91))</f>
        <v>Working</v>
      </c>
      <c r="E1851" s="13" t="s">
        <v>376</v>
      </c>
      <c r="F1851" s="13">
        <v>4</v>
      </c>
      <c r="G1851" s="153">
        <v>2</v>
      </c>
      <c r="H1851" s="16">
        <f t="shared" si="28"/>
        <v>-2</v>
      </c>
      <c r="I1851" s="13">
        <v>2</v>
      </c>
      <c r="J1851" s="160"/>
    </row>
    <row r="1852" spans="1:10">
      <c r="A1852" s="13" t="s">
        <v>27</v>
      </c>
      <c r="B1852" s="13" t="s">
        <v>89</v>
      </c>
      <c r="C1852" s="13" t="str">
        <f>VLOOKUP([1]Competence!$B14,[1]Competence!$B$12:$B$100,1,FALSE)</f>
        <v>Customer Service Support</v>
      </c>
      <c r="D1852" s="13" t="str" cm="1">
        <f t="array" ref="D1852">_xlfn.XLOOKUP(B1852,[1]Baseline!$D$3:$AZ$3,_xlfn.XLOOKUP(C1852,[1]Baseline!$B$4:$B$91,[1]Baseline!$D$4:$AZ$91))</f>
        <v>Practitioner</v>
      </c>
      <c r="E1852" s="13" t="s">
        <v>374</v>
      </c>
      <c r="F1852" s="13">
        <v>2</v>
      </c>
      <c r="G1852" s="153">
        <v>2</v>
      </c>
      <c r="H1852" s="16">
        <f t="shared" si="28"/>
        <v>0</v>
      </c>
      <c r="I1852" s="13">
        <v>2</v>
      </c>
      <c r="J1852" s="160"/>
    </row>
    <row r="1853" spans="1:10">
      <c r="A1853" s="13" t="s">
        <v>27</v>
      </c>
      <c r="B1853" s="13" t="s">
        <v>89</v>
      </c>
      <c r="C1853" s="13" t="str">
        <f>VLOOKUP([1]Competence!$B15,[1]Competence!$B$12:$B$100,1,FALSE)</f>
        <v>Incident management</v>
      </c>
      <c r="D1853" s="13" t="str" cm="1">
        <f t="array" ref="D1853">_xlfn.XLOOKUP(B1853,[1]Baseline!$D$3:$AZ$3,_xlfn.XLOOKUP(C1853,[1]Baseline!$B$4:$B$91,[1]Baseline!$D$4:$AZ$91))</f>
        <v>Practitioner</v>
      </c>
      <c r="E1853" s="13" t="s">
        <v>377</v>
      </c>
      <c r="F1853" s="13">
        <v>3</v>
      </c>
      <c r="G1853" s="153">
        <v>2</v>
      </c>
      <c r="H1853" s="16">
        <f t="shared" si="28"/>
        <v>-1</v>
      </c>
      <c r="I1853" s="13">
        <v>2</v>
      </c>
      <c r="J1853" s="160"/>
    </row>
    <row r="1854" spans="1:10">
      <c r="A1854" s="13" t="s">
        <v>27</v>
      </c>
      <c r="B1854" s="13" t="s">
        <v>89</v>
      </c>
      <c r="C1854" s="13" t="str">
        <f>VLOOKUP([1]Competence!$B16,[1]Competence!$B$12:$B$100,1,FALSE)</f>
        <v>Information security</v>
      </c>
      <c r="D1854" s="13" t="str" cm="1">
        <f t="array" ref="D1854">_xlfn.XLOOKUP(B1854,[1]Baseline!$D$3:$AZ$3,_xlfn.XLOOKUP(C1854,[1]Baseline!$B$4:$B$91,[1]Baseline!$D$4:$AZ$91))</f>
        <v>Practitioner</v>
      </c>
      <c r="E1854" s="13" t="s">
        <v>378</v>
      </c>
      <c r="F1854" s="13">
        <v>2</v>
      </c>
      <c r="G1854" s="153">
        <v>2</v>
      </c>
      <c r="H1854" s="16">
        <f t="shared" si="28"/>
        <v>0</v>
      </c>
      <c r="I1854" s="13">
        <v>2</v>
      </c>
      <c r="J1854" s="160"/>
    </row>
    <row r="1855" spans="1:10">
      <c r="A1855" s="13" t="s">
        <v>27</v>
      </c>
      <c r="B1855" s="13" t="s">
        <v>89</v>
      </c>
      <c r="C1855" s="13" t="str">
        <f>VLOOKUP([1]Competence!$B17,[1]Competence!$B$12:$B$100,1,FALSE)</f>
        <v>Personal data protection</v>
      </c>
      <c r="D1855" s="13" t="str" cm="1">
        <f t="array" ref="D1855">_xlfn.XLOOKUP(B1855,[1]Baseline!$D$3:$AZ$3,_xlfn.XLOOKUP(C1855,[1]Baseline!$B$4:$B$91,[1]Baseline!$D$4:$AZ$91))</f>
        <v>Practitioner</v>
      </c>
      <c r="E1855" s="13" t="s">
        <v>378</v>
      </c>
      <c r="F1855" s="13">
        <v>2</v>
      </c>
      <c r="G1855" s="153">
        <v>2</v>
      </c>
      <c r="H1855" s="16">
        <f t="shared" si="28"/>
        <v>0</v>
      </c>
      <c r="I1855" s="13">
        <v>2</v>
      </c>
      <c r="J1855" s="160"/>
    </row>
    <row r="1856" spans="1:10">
      <c r="A1856" s="13" t="s">
        <v>27</v>
      </c>
      <c r="B1856" s="13" t="s">
        <v>89</v>
      </c>
      <c r="C1856" s="13" t="str">
        <f>VLOOKUP([1]Competence!$B18,[1]Competence!$B$12:$B$100,1,FALSE)</f>
        <v>Problem management</v>
      </c>
      <c r="D1856" s="13" t="str" cm="1">
        <f t="array" ref="D1856">_xlfn.XLOOKUP(B1856,[1]Baseline!$D$3:$AZ$3,_xlfn.XLOOKUP(C1856,[1]Baseline!$B$4:$B$91,[1]Baseline!$D$4:$AZ$91))</f>
        <v>Working</v>
      </c>
      <c r="E1856" s="13" t="s">
        <v>49</v>
      </c>
      <c r="F1856" s="13">
        <v>3</v>
      </c>
      <c r="G1856" s="153">
        <v>1</v>
      </c>
      <c r="H1856" s="16">
        <f t="shared" si="28"/>
        <v>-2</v>
      </c>
      <c r="I1856" s="13">
        <v>1</v>
      </c>
      <c r="J1856" s="160"/>
    </row>
    <row r="1857" spans="1:10">
      <c r="A1857" s="13" t="s">
        <v>27</v>
      </c>
      <c r="B1857" s="13" t="s">
        <v>89</v>
      </c>
      <c r="C1857" s="13" t="str">
        <f>VLOOKUP([1]Competence!$B19,[1]Competence!$B$12:$B$100,1,FALSE)</f>
        <v>Service catalogue management</v>
      </c>
      <c r="D1857" s="13" t="str" cm="1">
        <f t="array" ref="D1857">_xlfn.XLOOKUP(B1857,[1]Baseline!$D$3:$AZ$3,_xlfn.XLOOKUP(C1857,[1]Baseline!$B$4:$B$91,[1]Baseline!$D$4:$AZ$91))</f>
        <v>Working</v>
      </c>
      <c r="E1857" s="13" t="s">
        <v>49</v>
      </c>
      <c r="F1857" s="13">
        <v>2</v>
      </c>
      <c r="G1857" s="153">
        <v>1</v>
      </c>
      <c r="H1857" s="16">
        <f t="shared" si="28"/>
        <v>-1</v>
      </c>
      <c r="I1857" s="13">
        <v>1</v>
      </c>
      <c r="J1857" s="160"/>
    </row>
    <row r="1858" spans="1:10">
      <c r="A1858" s="13" t="s">
        <v>27</v>
      </c>
      <c r="B1858" s="13" t="s">
        <v>89</v>
      </c>
      <c r="C1858" s="13" t="str">
        <f>VLOOKUP([1]Competence!$B20,[1]Competence!$B$12:$B$100,1,FALSE)</f>
        <v>Service level management</v>
      </c>
      <c r="D1858" s="13" t="str" cm="1">
        <f t="array" ref="D1858">_xlfn.XLOOKUP(B1858,[1]Baseline!$D$3:$AZ$3,_xlfn.XLOOKUP(C1858,[1]Baseline!$B$4:$B$91,[1]Baseline!$D$4:$AZ$91))</f>
        <v>Working</v>
      </c>
      <c r="E1858" s="13" t="s">
        <v>49</v>
      </c>
      <c r="F1858" s="13">
        <v>3</v>
      </c>
      <c r="G1858" s="153">
        <v>1</v>
      </c>
      <c r="H1858" s="16">
        <f t="shared" ref="H1858:H1921" si="29">I1858-F1858</f>
        <v>-2</v>
      </c>
      <c r="I1858" s="13">
        <v>1</v>
      </c>
      <c r="J1858" s="160"/>
    </row>
    <row r="1859" spans="1:10">
      <c r="A1859" s="13" t="s">
        <v>27</v>
      </c>
      <c r="B1859" s="13" t="s">
        <v>89</v>
      </c>
      <c r="C1859" s="13" t="str">
        <f>VLOOKUP([1]Competence!$B21,[1]Competence!$B$12:$B$100,1,FALSE)</f>
        <v>Availability Management</v>
      </c>
      <c r="D1859" s="13" t="str" cm="1">
        <f t="array" ref="D1859">_xlfn.XLOOKUP(B1859,[1]Baseline!$D$3:$AZ$3,_xlfn.XLOOKUP(C1859,[1]Baseline!$B$4:$B$91,[1]Baseline!$D$4:$AZ$91))</f>
        <v>Awareness</v>
      </c>
      <c r="E1859" s="13" t="s">
        <v>375</v>
      </c>
      <c r="F1859" s="13">
        <v>3</v>
      </c>
      <c r="G1859" s="153">
        <v>1</v>
      </c>
      <c r="H1859" s="16">
        <f t="shared" si="29"/>
        <v>-2</v>
      </c>
      <c r="I1859" s="13">
        <v>1</v>
      </c>
      <c r="J1859" s="160"/>
    </row>
    <row r="1860" spans="1:10">
      <c r="A1860" s="13" t="s">
        <v>27</v>
      </c>
      <c r="B1860" s="13" t="s">
        <v>89</v>
      </c>
      <c r="C1860" s="13" t="str">
        <f>VLOOKUP([1]Competence!$B22,[1]Competence!$B$12:$B$100,1,FALSE)</f>
        <v>Capacity management</v>
      </c>
      <c r="D1860" s="13" t="str" cm="1">
        <f t="array" ref="D1860">_xlfn.XLOOKUP(B1860,[1]Baseline!$D$3:$AZ$3,_xlfn.XLOOKUP(C1860,[1]Baseline!$B$4:$B$91,[1]Baseline!$D$4:$AZ$91))</f>
        <v>No Knowledge</v>
      </c>
      <c r="E1860" s="13" t="s">
        <v>376</v>
      </c>
      <c r="F1860" s="13">
        <v>3</v>
      </c>
      <c r="G1860" s="153">
        <v>1</v>
      </c>
      <c r="H1860" s="16">
        <f t="shared" si="29"/>
        <v>-2</v>
      </c>
      <c r="I1860" s="13">
        <v>1</v>
      </c>
      <c r="J1860" s="160"/>
    </row>
    <row r="1861" spans="1:10">
      <c r="A1861" s="13" t="s">
        <v>27</v>
      </c>
      <c r="B1861" s="13" t="s">
        <v>89</v>
      </c>
      <c r="C1861" s="13" t="str">
        <f>VLOOKUP([1]Competence!$B23,[1]Competence!$B$12:$B$100,1,FALSE)</f>
        <v>Configuration Management</v>
      </c>
      <c r="D1861" s="13" t="str" cm="1">
        <f t="array" ref="D1861">_xlfn.XLOOKUP(B1861,[1]Baseline!$D$3:$AZ$3,_xlfn.XLOOKUP(C1861,[1]Baseline!$B$4:$B$91,[1]Baseline!$D$4:$AZ$91))</f>
        <v>No Knowledge</v>
      </c>
      <c r="E1861" s="13" t="s">
        <v>376</v>
      </c>
      <c r="F1861" s="13">
        <v>3</v>
      </c>
      <c r="G1861" s="153">
        <v>1</v>
      </c>
      <c r="H1861" s="16">
        <f t="shared" si="29"/>
        <v>-2</v>
      </c>
      <c r="I1861" s="13">
        <v>1</v>
      </c>
      <c r="J1861" s="160"/>
    </row>
    <row r="1862" spans="1:10">
      <c r="A1862" s="13" t="s">
        <v>27</v>
      </c>
      <c r="B1862" s="13" t="s">
        <v>89</v>
      </c>
      <c r="C1862" s="13" t="str">
        <f>VLOOKUP([1]Competence!$B24,[1]Competence!$B$12:$B$100,1,FALSE)</f>
        <v>Continuity Management</v>
      </c>
      <c r="D1862" s="13" t="str" cm="1">
        <f t="array" ref="D1862">_xlfn.XLOOKUP(B1862,[1]Baseline!$D$3:$AZ$3,_xlfn.XLOOKUP(C1862,[1]Baseline!$B$4:$B$91,[1]Baseline!$D$4:$AZ$91))</f>
        <v>Awareness</v>
      </c>
      <c r="E1862" s="13" t="s">
        <v>376</v>
      </c>
      <c r="F1862" s="13">
        <v>3</v>
      </c>
      <c r="G1862" s="153">
        <v>1</v>
      </c>
      <c r="H1862" s="16">
        <f t="shared" si="29"/>
        <v>-2</v>
      </c>
      <c r="I1862" s="13">
        <v>1</v>
      </c>
      <c r="J1862" s="160"/>
    </row>
    <row r="1863" spans="1:10">
      <c r="A1863" s="13" t="s">
        <v>27</v>
      </c>
      <c r="B1863" s="13" t="s">
        <v>89</v>
      </c>
      <c r="C1863" s="13" t="str">
        <f>VLOOKUP([1]Competence!$B25,[1]Competence!$B$12:$B$100,1,FALSE)</f>
        <v>Demand Management</v>
      </c>
      <c r="D1863" s="13" t="str" cm="1">
        <f t="array" ref="D1863">_xlfn.XLOOKUP(B1863,[1]Baseline!$D$3:$AZ$3,_xlfn.XLOOKUP(C1863,[1]Baseline!$B$4:$B$91,[1]Baseline!$D$4:$AZ$91))</f>
        <v>Working</v>
      </c>
      <c r="E1863" s="13" t="s">
        <v>376</v>
      </c>
      <c r="F1863" s="13">
        <v>3</v>
      </c>
      <c r="G1863" s="153">
        <v>1</v>
      </c>
      <c r="H1863" s="16">
        <f t="shared" si="29"/>
        <v>-2</v>
      </c>
      <c r="I1863" s="13">
        <v>1</v>
      </c>
      <c r="J1863" s="160"/>
    </row>
    <row r="1864" spans="1:10">
      <c r="A1864" s="13" t="s">
        <v>27</v>
      </c>
      <c r="B1864" s="13" t="s">
        <v>89</v>
      </c>
      <c r="C1864" s="13" t="str">
        <f>VLOOKUP([1]Competence!$B26,[1]Competence!$B$12:$B$100,1,FALSE)</f>
        <v>Knowledge management</v>
      </c>
      <c r="D1864" s="13" t="str" cm="1">
        <f t="array" ref="D1864">_xlfn.XLOOKUP(B1864,[1]Baseline!$D$3:$AZ$3,_xlfn.XLOOKUP(C1864,[1]Baseline!$B$4:$B$91,[1]Baseline!$D$4:$AZ$91))</f>
        <v>Working</v>
      </c>
      <c r="E1864" s="13" t="s">
        <v>376</v>
      </c>
      <c r="F1864" s="13">
        <v>2</v>
      </c>
      <c r="G1864" s="153">
        <v>1</v>
      </c>
      <c r="H1864" s="16">
        <f t="shared" si="29"/>
        <v>-1</v>
      </c>
      <c r="I1864" s="13">
        <v>1</v>
      </c>
      <c r="J1864" s="160"/>
    </row>
    <row r="1865" spans="1:10">
      <c r="A1865" s="13" t="s">
        <v>27</v>
      </c>
      <c r="B1865" s="13" t="s">
        <v>89</v>
      </c>
      <c r="C1865" s="13" t="str">
        <f>VLOOKUP([1]Competence!$B27,[1]Competence!$B$12:$B$100,1,FALSE)</f>
        <v>Methods and tools</v>
      </c>
      <c r="D1865" s="13" t="str" cm="1">
        <f t="array" ref="D1865">_xlfn.XLOOKUP(B1865,[1]Baseline!$D$3:$AZ$3,_xlfn.XLOOKUP(C1865,[1]Baseline!$B$4:$B$91,[1]Baseline!$D$4:$AZ$91))</f>
        <v>Awareness</v>
      </c>
      <c r="E1865" s="13" t="s">
        <v>376</v>
      </c>
      <c r="F1865" s="13">
        <v>2</v>
      </c>
      <c r="G1865" s="153">
        <v>1</v>
      </c>
      <c r="H1865" s="16">
        <f t="shared" si="29"/>
        <v>-1</v>
      </c>
      <c r="I1865" s="13">
        <v>1</v>
      </c>
      <c r="J1865" s="160"/>
    </row>
    <row r="1866" spans="1:10">
      <c r="A1866" s="13" t="s">
        <v>27</v>
      </c>
      <c r="B1866" s="13" t="s">
        <v>89</v>
      </c>
      <c r="C1866" s="13" t="str">
        <f>VLOOKUP([1]Competence!$B28,[1]Competence!$B$12:$B$100,1,FALSE)</f>
        <v>Release and deployment</v>
      </c>
      <c r="D1866" s="13" t="str" cm="1">
        <f t="array" ref="D1866">_xlfn.XLOOKUP(B1866,[1]Baseline!$D$3:$AZ$3,_xlfn.XLOOKUP(C1866,[1]Baseline!$B$4:$B$91,[1]Baseline!$D$4:$AZ$91))</f>
        <v>No Knowledge</v>
      </c>
      <c r="E1866" s="13" t="s">
        <v>376</v>
      </c>
      <c r="F1866" s="13">
        <v>2</v>
      </c>
      <c r="G1866" s="153">
        <v>0</v>
      </c>
      <c r="H1866" s="16">
        <f t="shared" si="29"/>
        <v>-2</v>
      </c>
      <c r="I1866" s="13">
        <v>0</v>
      </c>
      <c r="J1866" s="160"/>
    </row>
    <row r="1867" spans="1:10">
      <c r="A1867" s="13" t="s">
        <v>27</v>
      </c>
      <c r="B1867" s="13" t="s">
        <v>89</v>
      </c>
      <c r="C1867" s="13" t="str">
        <f>VLOOKUP([1]Competence!$B29,[1]Competence!$B$12:$B$100,1,FALSE)</f>
        <v>Service acceptance</v>
      </c>
      <c r="D1867" s="13" t="str" cm="1">
        <f t="array" ref="D1867">_xlfn.XLOOKUP(B1867,[1]Baseline!$D$3:$AZ$3,_xlfn.XLOOKUP(C1867,[1]Baseline!$B$4:$B$91,[1]Baseline!$D$4:$AZ$91))</f>
        <v>No Knowledge</v>
      </c>
      <c r="E1867" s="13" t="s">
        <v>374</v>
      </c>
      <c r="F1867" s="13">
        <v>2</v>
      </c>
      <c r="G1867" s="153">
        <v>0</v>
      </c>
      <c r="H1867" s="16">
        <f t="shared" si="29"/>
        <v>-2</v>
      </c>
      <c r="I1867" s="13">
        <v>0</v>
      </c>
      <c r="J1867" s="160"/>
    </row>
    <row r="1868" spans="1:10">
      <c r="A1868" s="13" t="s">
        <v>27</v>
      </c>
      <c r="B1868" s="13" t="s">
        <v>89</v>
      </c>
      <c r="C1868" s="13" t="str">
        <f>VLOOKUP([1]Competence!$B30,[1]Competence!$B$12:$B$100,1,FALSE)</f>
        <v>Stakeholder relationship management</v>
      </c>
      <c r="D1868" s="13" t="str" cm="1">
        <f t="array" ref="D1868">_xlfn.XLOOKUP(B1868,[1]Baseline!$D$3:$AZ$3,_xlfn.XLOOKUP(C1868,[1]Baseline!$B$4:$B$91,[1]Baseline!$D$4:$AZ$91))</f>
        <v>Working</v>
      </c>
      <c r="E1868" s="13" t="s">
        <v>374</v>
      </c>
      <c r="F1868" s="13">
        <v>2</v>
      </c>
      <c r="G1868" s="153">
        <v>0</v>
      </c>
      <c r="H1868" s="16">
        <f t="shared" si="29"/>
        <v>-2</v>
      </c>
      <c r="I1868" s="13">
        <v>0</v>
      </c>
      <c r="J1868" s="160"/>
    </row>
    <row r="1869" spans="1:10">
      <c r="A1869" s="13" t="s">
        <v>27</v>
      </c>
      <c r="B1869" s="13" t="s">
        <v>89</v>
      </c>
      <c r="C1869" s="13" t="str">
        <f>VLOOKUP([1]Competence!$B31,[1]Competence!$B$12:$B$100,1,FALSE)</f>
        <v>Storage management</v>
      </c>
      <c r="D1869" s="13" t="str" cm="1">
        <f t="array" ref="D1869">_xlfn.XLOOKUP(B1869,[1]Baseline!$D$3:$AZ$3,_xlfn.XLOOKUP(C1869,[1]Baseline!$B$4:$B$91,[1]Baseline!$D$4:$AZ$91))</f>
        <v>Working</v>
      </c>
      <c r="E1869" s="13" t="s">
        <v>374</v>
      </c>
      <c r="F1869" s="13">
        <v>2</v>
      </c>
      <c r="G1869" s="153">
        <v>1</v>
      </c>
      <c r="H1869" s="16">
        <f t="shared" si="29"/>
        <v>-1</v>
      </c>
      <c r="I1869" s="13">
        <v>1</v>
      </c>
      <c r="J1869" s="160"/>
    </row>
    <row r="1870" spans="1:10">
      <c r="A1870" s="13" t="s">
        <v>27</v>
      </c>
      <c r="B1870" s="13" t="s">
        <v>89</v>
      </c>
      <c r="C1870" s="13" t="str">
        <f>VLOOKUP([1]Competence!$B32,[1]Competence!$B$12:$B$100,1,FALSE)</f>
        <v>Digital Forensics</v>
      </c>
      <c r="D1870" s="13" t="str" cm="1">
        <f t="array" ref="D1870">_xlfn.XLOOKUP(B1870,[1]Baseline!$D$3:$AZ$3,_xlfn.XLOOKUP(C1870,[1]Baseline!$B$4:$B$91,[1]Baseline!$D$4:$AZ$91))</f>
        <v>No Knowledge</v>
      </c>
      <c r="E1870" s="13" t="s">
        <v>378</v>
      </c>
      <c r="F1870" s="13">
        <v>2</v>
      </c>
      <c r="G1870" s="153">
        <v>1</v>
      </c>
      <c r="H1870" s="16">
        <f t="shared" si="29"/>
        <v>-1</v>
      </c>
      <c r="I1870" s="13">
        <v>1</v>
      </c>
      <c r="J1870" s="160"/>
    </row>
    <row r="1871" spans="1:10">
      <c r="A1871" s="13" t="s">
        <v>27</v>
      </c>
      <c r="B1871" s="13" t="s">
        <v>89</v>
      </c>
      <c r="C1871" s="13" t="str">
        <f>VLOOKUP([1]Competence!$B33,[1]Competence!$B$12:$B$100,1,FALSE)</f>
        <v>Penetration testing</v>
      </c>
      <c r="D1871" s="13" t="str" cm="1">
        <f t="array" ref="D1871">_xlfn.XLOOKUP(B1871,[1]Baseline!$D$3:$AZ$3,_xlfn.XLOOKUP(C1871,[1]Baseline!$B$4:$B$91,[1]Baseline!$D$4:$AZ$91))</f>
        <v>No Knowledge</v>
      </c>
      <c r="E1871" s="13" t="s">
        <v>378</v>
      </c>
      <c r="F1871" s="13">
        <v>2</v>
      </c>
      <c r="G1871" s="153">
        <v>0</v>
      </c>
      <c r="H1871" s="16">
        <f t="shared" si="29"/>
        <v>-2</v>
      </c>
      <c r="I1871" s="13">
        <v>0</v>
      </c>
      <c r="J1871" s="160"/>
    </row>
    <row r="1872" spans="1:10">
      <c r="A1872" s="13" t="s">
        <v>27</v>
      </c>
      <c r="B1872" s="13" t="s">
        <v>89</v>
      </c>
      <c r="C1872" s="13" t="str">
        <f>VLOOKUP([1]Competence!$B34,[1]Competence!$B$12:$B$100,1,FALSE)</f>
        <v>Security Operations</v>
      </c>
      <c r="D1872" s="13" t="str" cm="1">
        <f t="array" ref="D1872">_xlfn.XLOOKUP(B1872,[1]Baseline!$D$3:$AZ$3,_xlfn.XLOOKUP(C1872,[1]Baseline!$B$4:$B$91,[1]Baseline!$D$4:$AZ$91))</f>
        <v>Practitioner</v>
      </c>
      <c r="E1872" s="13" t="s">
        <v>49</v>
      </c>
      <c r="F1872" s="13">
        <v>2</v>
      </c>
      <c r="G1872" s="153">
        <v>1</v>
      </c>
      <c r="H1872" s="16">
        <f t="shared" si="29"/>
        <v>-1</v>
      </c>
      <c r="I1872" s="13">
        <v>1</v>
      </c>
      <c r="J1872" s="160"/>
    </row>
    <row r="1873" spans="1:10">
      <c r="A1873" s="13" t="s">
        <v>27</v>
      </c>
      <c r="B1873" s="13" t="s">
        <v>89</v>
      </c>
      <c r="C1873" s="13" t="str">
        <f>VLOOKUP([1]Competence!$B35,[1]Competence!$B$12:$B$100,1,FALSE)</f>
        <v>Threat Intelligence</v>
      </c>
      <c r="D1873" s="13" t="str" cm="1">
        <f t="array" ref="D1873">_xlfn.XLOOKUP(B1873,[1]Baseline!$D$3:$AZ$3,_xlfn.XLOOKUP(C1873,[1]Baseline!$B$4:$B$91,[1]Baseline!$D$4:$AZ$91))</f>
        <v>No Knowledge</v>
      </c>
      <c r="E1873" s="13" t="s">
        <v>49</v>
      </c>
      <c r="F1873" s="13">
        <v>2</v>
      </c>
      <c r="G1873" s="153">
        <v>0</v>
      </c>
      <c r="H1873" s="16">
        <f t="shared" si="29"/>
        <v>-2</v>
      </c>
      <c r="I1873" s="13">
        <v>0</v>
      </c>
      <c r="J1873" s="160"/>
    </row>
    <row r="1874" spans="1:10">
      <c r="A1874" s="13" t="s">
        <v>27</v>
      </c>
      <c r="B1874" s="13" t="s">
        <v>89</v>
      </c>
      <c r="C1874" s="13" t="str">
        <f>VLOOKUP([1]Competence!$B36,[1]Competence!$B$12:$B$100,1,FALSE)</f>
        <v>Vulnerability assessment</v>
      </c>
      <c r="D1874" s="13" t="str" cm="1">
        <f t="array" ref="D1874">_xlfn.XLOOKUP(B1874,[1]Baseline!$D$3:$AZ$3,_xlfn.XLOOKUP(C1874,[1]Baseline!$B$4:$B$91,[1]Baseline!$D$4:$AZ$91))</f>
        <v>Working</v>
      </c>
      <c r="E1874" s="13" t="s">
        <v>375</v>
      </c>
      <c r="F1874" s="13">
        <v>2</v>
      </c>
      <c r="G1874" s="153">
        <v>2</v>
      </c>
      <c r="H1874" s="16">
        <f t="shared" si="29"/>
        <v>0</v>
      </c>
      <c r="I1874" s="13">
        <v>2</v>
      </c>
      <c r="J1874" s="160"/>
    </row>
    <row r="1875" spans="1:10">
      <c r="A1875" s="13" t="s">
        <v>27</v>
      </c>
      <c r="B1875" s="13" t="s">
        <v>89</v>
      </c>
      <c r="C1875" s="13" t="str">
        <f>VLOOKUP([1]Competence!$B37,[1]Competence!$B$12:$B$100,1,FALSE)</f>
        <v>Vulnerability Research</v>
      </c>
      <c r="D1875" s="13" t="str" cm="1">
        <f t="array" ref="D1875">_xlfn.XLOOKUP(B1875,[1]Baseline!$D$3:$AZ$3,_xlfn.XLOOKUP(C1875,[1]Baseline!$B$4:$B$91,[1]Baseline!$D$4:$AZ$91))</f>
        <v>No Knowledge</v>
      </c>
      <c r="E1875" s="13" t="s">
        <v>375</v>
      </c>
      <c r="F1875" s="13">
        <v>1</v>
      </c>
      <c r="G1875" s="153">
        <v>0</v>
      </c>
      <c r="H1875" s="16">
        <f t="shared" si="29"/>
        <v>-1</v>
      </c>
      <c r="I1875" s="13">
        <v>0</v>
      </c>
      <c r="J1875" s="160"/>
    </row>
    <row r="1876" spans="1:10">
      <c r="A1876" s="13" t="s">
        <v>27</v>
      </c>
      <c r="B1876" s="13" t="s">
        <v>89</v>
      </c>
      <c r="C1876" s="13" t="str">
        <f>VLOOKUP([1]Competence!$B38,[1]Competence!$B$12:$B$100,1,FALSE)</f>
        <v>Competency assessment</v>
      </c>
      <c r="D1876" s="13" t="str" cm="1">
        <f t="array" ref="D1876">_xlfn.XLOOKUP(B1876,[1]Baseline!$D$3:$AZ$3,_xlfn.XLOOKUP(C1876,[1]Baseline!$B$4:$B$91,[1]Baseline!$D$4:$AZ$91))</f>
        <v>Working</v>
      </c>
      <c r="E1876" s="13" t="s">
        <v>373</v>
      </c>
      <c r="F1876" s="13">
        <v>2</v>
      </c>
      <c r="G1876" s="153">
        <v>1</v>
      </c>
      <c r="H1876" s="16">
        <f t="shared" si="29"/>
        <v>-1</v>
      </c>
      <c r="I1876" s="13">
        <v>1</v>
      </c>
      <c r="J1876" s="160"/>
    </row>
    <row r="1877" spans="1:10">
      <c r="A1877" s="13" t="s">
        <v>27</v>
      </c>
      <c r="B1877" s="13" t="s">
        <v>89</v>
      </c>
      <c r="C1877" s="13" t="str">
        <f>VLOOKUP([1]Competence!$B39,[1]Competence!$B$12:$B$100,1,FALSE)</f>
        <v>Financial management</v>
      </c>
      <c r="D1877" s="13" t="str" cm="1">
        <f t="array" ref="D1877">_xlfn.XLOOKUP(B1877,[1]Baseline!$D$3:$AZ$3,_xlfn.XLOOKUP(C1877,[1]Baseline!$B$4:$B$91,[1]Baseline!$D$4:$AZ$91))</f>
        <v>Working</v>
      </c>
      <c r="E1877" s="13" t="s">
        <v>376</v>
      </c>
      <c r="F1877" s="13">
        <v>2</v>
      </c>
      <c r="G1877" s="153">
        <v>1</v>
      </c>
      <c r="H1877" s="16">
        <f t="shared" si="29"/>
        <v>-1</v>
      </c>
      <c r="I1877" s="13">
        <v>1</v>
      </c>
      <c r="J1877" s="160"/>
    </row>
    <row r="1878" spans="1:10">
      <c r="A1878" s="13" t="s">
        <v>27</v>
      </c>
      <c r="B1878" s="13" t="s">
        <v>89</v>
      </c>
      <c r="C1878" s="13" t="str">
        <f>VLOOKUP([1]Competence!$B40,[1]Competence!$B$12:$B$100,1,FALSE)</f>
        <v>Organisation design and implementation</v>
      </c>
      <c r="D1878" s="13" t="str" cm="1">
        <f t="array" ref="D1878">_xlfn.XLOOKUP(B1878,[1]Baseline!$D$3:$AZ$3,_xlfn.XLOOKUP(C1878,[1]Baseline!$B$4:$B$91,[1]Baseline!$D$4:$AZ$91))</f>
        <v>No Knowledge</v>
      </c>
      <c r="E1878" s="13" t="s">
        <v>374</v>
      </c>
      <c r="F1878" s="13">
        <v>1</v>
      </c>
      <c r="G1878" s="153">
        <v>0</v>
      </c>
      <c r="H1878" s="16">
        <f t="shared" si="29"/>
        <v>-1</v>
      </c>
      <c r="I1878" s="13">
        <v>0</v>
      </c>
      <c r="J1878" s="160"/>
    </row>
    <row r="1879" spans="1:10">
      <c r="A1879" s="13" t="s">
        <v>27</v>
      </c>
      <c r="B1879" s="13" t="s">
        <v>89</v>
      </c>
      <c r="C1879" s="13" t="str">
        <f>VLOOKUP([1]Competence!$B41,[1]Competence!$B$12:$B$100,1,FALSE)</f>
        <v>Organisational capability development</v>
      </c>
      <c r="D1879" s="13" t="str" cm="1">
        <f t="array" ref="D1879">_xlfn.XLOOKUP(B1879,[1]Baseline!$D$3:$AZ$3,_xlfn.XLOOKUP(C1879,[1]Baseline!$B$4:$B$91,[1]Baseline!$D$4:$AZ$91))</f>
        <v>No Knowledge</v>
      </c>
      <c r="E1879" s="13" t="s">
        <v>374</v>
      </c>
      <c r="F1879" s="13">
        <v>1</v>
      </c>
      <c r="G1879" s="153">
        <v>0</v>
      </c>
      <c r="H1879" s="16">
        <f t="shared" si="29"/>
        <v>-1</v>
      </c>
      <c r="I1879" s="13">
        <v>0</v>
      </c>
      <c r="J1879" s="160"/>
    </row>
    <row r="1880" spans="1:10">
      <c r="A1880" s="13" t="s">
        <v>27</v>
      </c>
      <c r="B1880" s="13" t="s">
        <v>89</v>
      </c>
      <c r="C1880" s="13" t="str">
        <f>VLOOKUP([1]Competence!$B42,[1]Competence!$B$12:$B$100,1,FALSE)</f>
        <v>Organisational change management</v>
      </c>
      <c r="D1880" s="13" t="str" cm="1">
        <f t="array" ref="D1880">_xlfn.XLOOKUP(B1880,[1]Baseline!$D$3:$AZ$3,_xlfn.XLOOKUP(C1880,[1]Baseline!$B$4:$B$91,[1]Baseline!$D$4:$AZ$91))</f>
        <v>No Knowledge</v>
      </c>
      <c r="E1880" s="13" t="s">
        <v>374</v>
      </c>
      <c r="F1880" s="13">
        <v>1</v>
      </c>
      <c r="G1880" s="153">
        <v>0</v>
      </c>
      <c r="H1880" s="16">
        <f t="shared" si="29"/>
        <v>-1</v>
      </c>
      <c r="I1880" s="13">
        <v>0</v>
      </c>
      <c r="J1880" s="160"/>
    </row>
    <row r="1881" spans="1:10">
      <c r="A1881" s="13" t="s">
        <v>27</v>
      </c>
      <c r="B1881" s="13" t="s">
        <v>89</v>
      </c>
      <c r="C1881" s="13" t="str">
        <f>VLOOKUP([1]Competence!$B43,[1]Competence!$B$12:$B$100,1,FALSE)</f>
        <v>Performance Management</v>
      </c>
      <c r="D1881" s="13" t="str" cm="1">
        <f t="array" ref="D1881">_xlfn.XLOOKUP(B1881,[1]Baseline!$D$3:$AZ$3,_xlfn.XLOOKUP(C1881,[1]Baseline!$B$4:$B$91,[1]Baseline!$D$4:$AZ$91))</f>
        <v>Working</v>
      </c>
      <c r="E1881" s="13" t="s">
        <v>374</v>
      </c>
      <c r="F1881" s="13">
        <v>0</v>
      </c>
      <c r="G1881" s="153">
        <v>0</v>
      </c>
      <c r="H1881" s="16">
        <f t="shared" si="29"/>
        <v>0</v>
      </c>
      <c r="I1881" s="13">
        <v>0</v>
      </c>
      <c r="J1881" s="160"/>
    </row>
    <row r="1882" spans="1:10">
      <c r="A1882" s="13" t="s">
        <v>27</v>
      </c>
      <c r="B1882" s="13" t="s">
        <v>89</v>
      </c>
      <c r="C1882" s="13" t="str">
        <f>VLOOKUP([1]Competence!$B44,[1]Competence!$B$12:$B$100,1,FALSE)</f>
        <v>Professional Development</v>
      </c>
      <c r="D1882" s="13" t="str" cm="1">
        <f t="array" ref="D1882">_xlfn.XLOOKUP(B1882,[1]Baseline!$D$3:$AZ$3,_xlfn.XLOOKUP(C1882,[1]Baseline!$B$4:$B$91,[1]Baseline!$D$4:$AZ$91))</f>
        <v>Awareness</v>
      </c>
      <c r="E1882" s="13" t="s">
        <v>374</v>
      </c>
      <c r="F1882" s="13">
        <v>0</v>
      </c>
      <c r="G1882" s="153">
        <v>1</v>
      </c>
      <c r="H1882" s="16">
        <f t="shared" si="29"/>
        <v>1</v>
      </c>
      <c r="I1882" s="13">
        <v>1</v>
      </c>
      <c r="J1882" s="160"/>
    </row>
    <row r="1883" spans="1:10">
      <c r="A1883" s="13" t="s">
        <v>27</v>
      </c>
      <c r="B1883" s="13" t="s">
        <v>89</v>
      </c>
      <c r="C1883" s="13" t="str">
        <f>VLOOKUP([1]Competence!$B45,[1]Competence!$B$12:$B$100,1,FALSE)</f>
        <v>Strategic Planning</v>
      </c>
      <c r="D1883" s="13" t="str" cm="1">
        <f t="array" ref="D1883">_xlfn.XLOOKUP(B1883,[1]Baseline!$D$3:$AZ$3,_xlfn.XLOOKUP(C1883,[1]Baseline!$B$4:$B$91,[1]Baseline!$D$4:$AZ$91))</f>
        <v>No Knowledge</v>
      </c>
      <c r="E1883" s="13" t="s">
        <v>377</v>
      </c>
      <c r="F1883" s="13">
        <v>0</v>
      </c>
      <c r="G1883" s="153">
        <v>0</v>
      </c>
      <c r="H1883" s="16">
        <f t="shared" si="29"/>
        <v>0</v>
      </c>
      <c r="I1883" s="13">
        <v>0</v>
      </c>
      <c r="J1883" s="160"/>
    </row>
    <row r="1884" spans="1:10">
      <c r="A1884" s="13" t="s">
        <v>27</v>
      </c>
      <c r="B1884" s="13" t="s">
        <v>89</v>
      </c>
      <c r="C1884" s="13" t="str">
        <f>VLOOKUP([1]Competence!$B46,[1]Competence!$B$12:$B$100,1,FALSE)</f>
        <v>Workforce Planning</v>
      </c>
      <c r="D1884" s="13" t="str" cm="1">
        <f t="array" ref="D1884">_xlfn.XLOOKUP(B1884,[1]Baseline!$D$3:$AZ$3,_xlfn.XLOOKUP(C1884,[1]Baseline!$B$4:$B$91,[1]Baseline!$D$4:$AZ$91))</f>
        <v>Working</v>
      </c>
      <c r="E1884" s="13" t="s">
        <v>377</v>
      </c>
      <c r="F1884" s="13">
        <v>0</v>
      </c>
      <c r="G1884" s="153">
        <v>0</v>
      </c>
      <c r="H1884" s="16">
        <f t="shared" si="29"/>
        <v>0</v>
      </c>
      <c r="I1884" s="13">
        <v>0</v>
      </c>
      <c r="J1884" s="160"/>
    </row>
    <row r="1885" spans="1:10">
      <c r="A1885" s="13" t="s">
        <v>27</v>
      </c>
      <c r="B1885" s="13" t="s">
        <v>89</v>
      </c>
      <c r="C1885" s="13" t="str">
        <f>VLOOKUP([1]Competence!$B47,[1]Competence!$B$12:$B$100,1,FALSE)</f>
        <v>Audit</v>
      </c>
      <c r="D1885" s="13" t="str" cm="1">
        <f t="array" ref="D1885">_xlfn.XLOOKUP(B1885,[1]Baseline!$D$3:$AZ$3,_xlfn.XLOOKUP(C1885,[1]Baseline!$B$4:$B$91,[1]Baseline!$D$4:$AZ$91))</f>
        <v>Working</v>
      </c>
      <c r="E1885" s="13" t="s">
        <v>377</v>
      </c>
      <c r="F1885" s="13">
        <v>2</v>
      </c>
      <c r="G1885" s="153">
        <v>1</v>
      </c>
      <c r="H1885" s="16">
        <f t="shared" si="29"/>
        <v>-1</v>
      </c>
      <c r="I1885" s="13">
        <v>1</v>
      </c>
      <c r="J1885" s="160"/>
    </row>
    <row r="1886" spans="1:10">
      <c r="A1886" s="13" t="s">
        <v>27</v>
      </c>
      <c r="B1886" s="13" t="s">
        <v>89</v>
      </c>
      <c r="C1886" s="13" t="str">
        <f>VLOOKUP([1]Competence!$B48,[1]Competence!$B$12:$B$100,1,FALSE)</f>
        <v>Contract management</v>
      </c>
      <c r="D1886" s="13" t="str" cm="1">
        <f t="array" ref="D1886">_xlfn.XLOOKUP(B1886,[1]Baseline!$D$3:$AZ$3,_xlfn.XLOOKUP(C1886,[1]Baseline!$B$4:$B$91,[1]Baseline!$D$4:$AZ$91))</f>
        <v>Practitioner</v>
      </c>
      <c r="E1886" s="13" t="s">
        <v>377</v>
      </c>
      <c r="F1886" s="13">
        <v>0</v>
      </c>
      <c r="G1886" s="153">
        <v>1</v>
      </c>
      <c r="H1886" s="16">
        <f t="shared" si="29"/>
        <v>1</v>
      </c>
      <c r="I1886" s="13">
        <v>1</v>
      </c>
      <c r="J1886" s="160"/>
    </row>
    <row r="1887" spans="1:10">
      <c r="A1887" s="13" t="s">
        <v>27</v>
      </c>
      <c r="B1887" s="13" t="s">
        <v>89</v>
      </c>
      <c r="C1887" s="13" t="str">
        <f>VLOOKUP([1]Competence!$B49,[1]Competence!$B$12:$B$100,1,FALSE)</f>
        <v>Feasibility assessment</v>
      </c>
      <c r="D1887" s="13" t="str" cm="1">
        <f t="array" ref="D1887">_xlfn.XLOOKUP(B1887,[1]Baseline!$D$3:$AZ$3,_xlfn.XLOOKUP(C1887,[1]Baseline!$B$4:$B$91,[1]Baseline!$D$4:$AZ$91))</f>
        <v>No Knowledge</v>
      </c>
      <c r="E1887" s="13" t="s">
        <v>378</v>
      </c>
      <c r="F1887" s="13">
        <v>0</v>
      </c>
      <c r="G1887" s="153">
        <v>0</v>
      </c>
      <c r="H1887" s="16">
        <f t="shared" si="29"/>
        <v>0</v>
      </c>
      <c r="I1887" s="13">
        <v>0</v>
      </c>
      <c r="J1887" s="160"/>
    </row>
    <row r="1888" spans="1:10">
      <c r="A1888" s="13" t="s">
        <v>27</v>
      </c>
      <c r="B1888" s="13" t="s">
        <v>89</v>
      </c>
      <c r="C1888" s="13" t="str">
        <f>VLOOKUP([1]Competence!$B50,[1]Competence!$B$12:$B$100,1,FALSE)</f>
        <v>Governance</v>
      </c>
      <c r="D1888" s="13" t="str" cm="1">
        <f t="array" ref="D1888">_xlfn.XLOOKUP(B1888,[1]Baseline!$D$3:$AZ$3,_xlfn.XLOOKUP(C1888,[1]Baseline!$B$4:$B$91,[1]Baseline!$D$4:$AZ$91))</f>
        <v>Expert</v>
      </c>
      <c r="E1888" s="13" t="s">
        <v>378</v>
      </c>
      <c r="F1888" s="13">
        <v>0</v>
      </c>
      <c r="G1888" s="153">
        <v>0</v>
      </c>
      <c r="H1888" s="16">
        <f t="shared" si="29"/>
        <v>0</v>
      </c>
      <c r="I1888" s="13">
        <v>0</v>
      </c>
      <c r="J1888" s="160"/>
    </row>
    <row r="1889" spans="1:10">
      <c r="A1889" s="13" t="s">
        <v>27</v>
      </c>
      <c r="B1889" s="13" t="s">
        <v>89</v>
      </c>
      <c r="C1889" s="13" t="str">
        <f>VLOOKUP([1]Competence!$B51,[1]Competence!$B$12:$B$100,1,FALSE)</f>
        <v>Risk management</v>
      </c>
      <c r="D1889" s="13" t="str" cm="1">
        <f t="array" ref="D1889">_xlfn.XLOOKUP(B1889,[1]Baseline!$D$3:$AZ$3,_xlfn.XLOOKUP(C1889,[1]Baseline!$B$4:$B$91,[1]Baseline!$D$4:$AZ$91))</f>
        <v>Working</v>
      </c>
      <c r="E1889" s="13" t="s">
        <v>378</v>
      </c>
      <c r="F1889" s="13">
        <v>0</v>
      </c>
      <c r="G1889" s="153">
        <v>0</v>
      </c>
      <c r="H1889" s="16">
        <f t="shared" si="29"/>
        <v>0</v>
      </c>
      <c r="I1889" s="13">
        <v>0</v>
      </c>
      <c r="J1889" s="160"/>
    </row>
    <row r="1890" spans="1:10">
      <c r="A1890" s="13" t="s">
        <v>27</v>
      </c>
      <c r="B1890" s="13" t="s">
        <v>89</v>
      </c>
      <c r="C1890" s="13" t="str">
        <f>VLOOKUP([1]Competence!$B52,[1]Competence!$B$12:$B$100,1,FALSE)</f>
        <v>Sourcing</v>
      </c>
      <c r="D1890" s="13" t="str" cm="1">
        <f t="array" ref="D1890">_xlfn.XLOOKUP(B1890,[1]Baseline!$D$3:$AZ$3,_xlfn.XLOOKUP(C1890,[1]Baseline!$B$4:$B$91,[1]Baseline!$D$4:$AZ$91))</f>
        <v>Working</v>
      </c>
      <c r="E1890" s="13" t="s">
        <v>378</v>
      </c>
      <c r="F1890" s="13">
        <v>1</v>
      </c>
      <c r="G1890" s="153">
        <v>1</v>
      </c>
      <c r="H1890" s="16">
        <f t="shared" si="29"/>
        <v>0</v>
      </c>
      <c r="I1890" s="13">
        <v>1</v>
      </c>
      <c r="J1890" s="160"/>
    </row>
    <row r="1891" spans="1:10">
      <c r="A1891" s="13" t="s">
        <v>27</v>
      </c>
      <c r="B1891" s="13" t="s">
        <v>89</v>
      </c>
      <c r="C1891" s="13" t="str">
        <f>VLOOKUP([1]Competence!$B53,[1]Competence!$B$12:$B$100,1,FALSE)</f>
        <v>Supplier management</v>
      </c>
      <c r="D1891" s="13" t="str" cm="1">
        <f t="array" ref="D1891">_xlfn.XLOOKUP(B1891,[1]Baseline!$D$3:$AZ$3,_xlfn.XLOOKUP(C1891,[1]Baseline!$B$4:$B$91,[1]Baseline!$D$4:$AZ$91))</f>
        <v>Practitioner</v>
      </c>
      <c r="E1891" s="13" t="s">
        <v>378</v>
      </c>
      <c r="F1891" s="13">
        <v>0</v>
      </c>
      <c r="G1891" s="153">
        <v>1</v>
      </c>
      <c r="H1891" s="16">
        <f t="shared" si="29"/>
        <v>1</v>
      </c>
      <c r="I1891" s="13">
        <v>1</v>
      </c>
      <c r="J1891" s="160"/>
    </row>
    <row r="1892" spans="1:10">
      <c r="A1892" s="13" t="s">
        <v>27</v>
      </c>
      <c r="B1892" s="13" t="s">
        <v>89</v>
      </c>
      <c r="C1892" s="13" t="str">
        <f>VLOOKUP([1]Competence!$B54,[1]Competence!$B$12:$B$100,1,FALSE)</f>
        <v>Sustainability</v>
      </c>
      <c r="D1892" s="13" t="str" cm="1">
        <f t="array" ref="D1892">_xlfn.XLOOKUP(B1892,[1]Baseline!$D$3:$AZ$3,_xlfn.XLOOKUP(C1892,[1]Baseline!$B$4:$B$91,[1]Baseline!$D$4:$AZ$91))</f>
        <v>Awareness</v>
      </c>
      <c r="E1892" s="13" t="s">
        <v>49</v>
      </c>
      <c r="F1892" s="13">
        <v>0</v>
      </c>
      <c r="G1892" s="153">
        <v>1</v>
      </c>
      <c r="H1892" s="16">
        <f t="shared" si="29"/>
        <v>1</v>
      </c>
      <c r="I1892" s="13">
        <v>1</v>
      </c>
      <c r="J1892" s="160"/>
    </row>
    <row r="1893" spans="1:10">
      <c r="A1893" s="13" t="s">
        <v>27</v>
      </c>
      <c r="B1893" s="13" t="s">
        <v>89</v>
      </c>
      <c r="C1893" s="13" t="str">
        <f>VLOOKUP([1]Competence!$B55,[1]Competence!$B$12:$B$100,1,FALSE)</f>
        <v>Acceptance testing</v>
      </c>
      <c r="D1893" s="13" t="str" cm="1">
        <f t="array" ref="D1893">_xlfn.XLOOKUP(B1893,[1]Baseline!$D$3:$AZ$3,_xlfn.XLOOKUP(C1893,[1]Baseline!$B$4:$B$91,[1]Baseline!$D$4:$AZ$91))</f>
        <v>No Knowledge</v>
      </c>
      <c r="E1893" s="13" t="s">
        <v>49</v>
      </c>
      <c r="F1893" s="13">
        <v>1</v>
      </c>
      <c r="G1893" s="153">
        <v>1</v>
      </c>
      <c r="H1893" s="16">
        <f t="shared" si="29"/>
        <v>0</v>
      </c>
      <c r="I1893" s="13">
        <v>1</v>
      </c>
      <c r="J1893" s="160"/>
    </row>
    <row r="1894" spans="1:10">
      <c r="A1894" s="13" t="s">
        <v>27</v>
      </c>
      <c r="B1894" s="13" t="s">
        <v>89</v>
      </c>
      <c r="C1894" s="13" t="str">
        <f>VLOOKUP([1]Competence!$B56,[1]Competence!$B$12:$B$100,1,FALSE)</f>
        <v>Application support</v>
      </c>
      <c r="D1894" s="13" t="str" cm="1">
        <f t="array" ref="D1894">_xlfn.XLOOKUP(B1894,[1]Baseline!$D$3:$AZ$3,_xlfn.XLOOKUP(C1894,[1]Baseline!$B$4:$B$91,[1]Baseline!$D$4:$AZ$91))</f>
        <v>No Knowledge</v>
      </c>
      <c r="E1894" s="13" t="s">
        <v>375</v>
      </c>
      <c r="F1894" s="13">
        <v>0</v>
      </c>
      <c r="G1894" s="153">
        <v>2</v>
      </c>
      <c r="H1894" s="16">
        <f t="shared" si="29"/>
        <v>2</v>
      </c>
      <c r="I1894" s="13">
        <v>2</v>
      </c>
      <c r="J1894" s="160"/>
    </row>
    <row r="1895" spans="1:10">
      <c r="A1895" s="13" t="s">
        <v>27</v>
      </c>
      <c r="B1895" s="13" t="s">
        <v>89</v>
      </c>
      <c r="C1895" s="13" t="str">
        <f>VLOOKUP([1]Competence!$B57,[1]Competence!$B$12:$B$100,1,FALSE)</f>
        <v>Data Engineering</v>
      </c>
      <c r="D1895" s="13" t="str" cm="1">
        <f t="array" ref="D1895">_xlfn.XLOOKUP(B1895,[1]Baseline!$D$3:$AZ$3,_xlfn.XLOOKUP(C1895,[1]Baseline!$B$4:$B$91,[1]Baseline!$D$4:$AZ$91))</f>
        <v>No Knowledge</v>
      </c>
      <c r="E1895" s="13" t="s">
        <v>375</v>
      </c>
      <c r="F1895" s="13">
        <v>0</v>
      </c>
      <c r="G1895" s="153">
        <v>2</v>
      </c>
      <c r="H1895" s="16">
        <f t="shared" si="29"/>
        <v>2</v>
      </c>
      <c r="I1895" s="13">
        <v>2</v>
      </c>
      <c r="J1895" s="160"/>
    </row>
    <row r="1896" spans="1:10">
      <c r="A1896" s="13" t="s">
        <v>27</v>
      </c>
      <c r="B1896" s="13" t="s">
        <v>89</v>
      </c>
      <c r="C1896" s="13" t="str">
        <f>VLOOKUP([1]Competence!$B58,[1]Competence!$B$12:$B$100,1,FALSE)</f>
        <v>Data Management</v>
      </c>
      <c r="D1896" s="13" t="str" cm="1">
        <f t="array" ref="D1896">_xlfn.XLOOKUP(B1896,[1]Baseline!$D$3:$AZ$3,_xlfn.XLOOKUP(C1896,[1]Baseline!$B$4:$B$91,[1]Baseline!$D$4:$AZ$91))</f>
        <v>No Knowledge</v>
      </c>
      <c r="E1896" s="13" t="s">
        <v>375</v>
      </c>
      <c r="F1896" s="13">
        <v>1</v>
      </c>
      <c r="G1896" s="153">
        <v>2</v>
      </c>
      <c r="H1896" s="16">
        <f t="shared" si="29"/>
        <v>1</v>
      </c>
      <c r="I1896" s="13">
        <v>2</v>
      </c>
      <c r="J1896" s="160"/>
    </row>
    <row r="1897" spans="1:10">
      <c r="A1897" s="13" t="s">
        <v>27</v>
      </c>
      <c r="B1897" s="13" t="s">
        <v>89</v>
      </c>
      <c r="C1897" s="13" t="str">
        <f>VLOOKUP([1]Competence!$B59,[1]Competence!$B$12:$B$100,1,FALSE)</f>
        <v>Data Modelling and Design</v>
      </c>
      <c r="D1897" s="13" t="str" cm="1">
        <f t="array" ref="D1897">_xlfn.XLOOKUP(B1897,[1]Baseline!$D$3:$AZ$3,_xlfn.XLOOKUP(C1897,[1]Baseline!$B$4:$B$91,[1]Baseline!$D$4:$AZ$91))</f>
        <v>No Knowledge</v>
      </c>
      <c r="E1897" s="13" t="s">
        <v>375</v>
      </c>
      <c r="F1897" s="13">
        <v>1</v>
      </c>
      <c r="G1897" s="153">
        <v>2</v>
      </c>
      <c r="H1897" s="16">
        <f t="shared" si="29"/>
        <v>1</v>
      </c>
      <c r="I1897" s="13">
        <v>2</v>
      </c>
      <c r="J1897" s="160"/>
    </row>
    <row r="1898" spans="1:10">
      <c r="A1898" s="13" t="s">
        <v>27</v>
      </c>
      <c r="B1898" s="13" t="s">
        <v>89</v>
      </c>
      <c r="C1898" s="13" t="str">
        <f>VLOOKUP([1]Competence!$B60,[1]Competence!$B$12:$B$100,1,FALSE)</f>
        <v>Data science</v>
      </c>
      <c r="D1898" s="13" t="str" cm="1">
        <f t="array" ref="D1898">_xlfn.XLOOKUP(B1898,[1]Baseline!$D$3:$AZ$3,_xlfn.XLOOKUP(C1898,[1]Baseline!$B$4:$B$91,[1]Baseline!$D$4:$AZ$91))</f>
        <v>No Knowledge</v>
      </c>
      <c r="E1898" s="13" t="s">
        <v>375</v>
      </c>
      <c r="F1898" s="13">
        <v>1</v>
      </c>
      <c r="G1898" s="153">
        <v>0</v>
      </c>
      <c r="H1898" s="16">
        <f t="shared" si="29"/>
        <v>-1</v>
      </c>
      <c r="I1898" s="13">
        <v>0</v>
      </c>
      <c r="J1898" s="160"/>
    </row>
    <row r="1899" spans="1:10">
      <c r="A1899" s="13" t="s">
        <v>27</v>
      </c>
      <c r="B1899" s="13" t="s">
        <v>89</v>
      </c>
      <c r="C1899" s="13" t="str">
        <f>VLOOKUP([1]Competence!$B61,[1]Competence!$B$12:$B$100,1,FALSE)</f>
        <v>Data visualisation</v>
      </c>
      <c r="D1899" s="13" t="str" cm="1">
        <f t="array" ref="D1899">_xlfn.XLOOKUP(B1899,[1]Baseline!$D$3:$AZ$3,_xlfn.XLOOKUP(C1899,[1]Baseline!$B$4:$B$91,[1]Baseline!$D$4:$AZ$91))</f>
        <v>No Knowledge</v>
      </c>
      <c r="E1899" s="13" t="s">
        <v>375</v>
      </c>
      <c r="F1899" s="13">
        <v>0</v>
      </c>
      <c r="G1899" s="153">
        <v>1</v>
      </c>
      <c r="H1899" s="16">
        <f t="shared" si="29"/>
        <v>1</v>
      </c>
      <c r="I1899" s="13">
        <v>1</v>
      </c>
      <c r="J1899" s="160"/>
    </row>
    <row r="1900" spans="1:10">
      <c r="A1900" s="13" t="s">
        <v>27</v>
      </c>
      <c r="B1900" s="13" t="s">
        <v>89</v>
      </c>
      <c r="C1900" s="13" t="str">
        <f>VLOOKUP([1]Competence!$B62,[1]Competence!$B$12:$B$100,1,FALSE)</f>
        <v>Database Administration</v>
      </c>
      <c r="D1900" s="13" t="str" cm="1">
        <f t="array" ref="D1900">_xlfn.XLOOKUP(B1900,[1]Baseline!$D$3:$AZ$3,_xlfn.XLOOKUP(C1900,[1]Baseline!$B$4:$B$91,[1]Baseline!$D$4:$AZ$91))</f>
        <v>No Knowledge</v>
      </c>
      <c r="E1900" s="13" t="s">
        <v>375</v>
      </c>
      <c r="F1900" s="13">
        <v>0</v>
      </c>
      <c r="G1900" s="153">
        <v>3</v>
      </c>
      <c r="H1900" s="16">
        <f t="shared" si="29"/>
        <v>3</v>
      </c>
      <c r="I1900" s="13">
        <v>3</v>
      </c>
      <c r="J1900" s="160"/>
    </row>
    <row r="1901" spans="1:10">
      <c r="A1901" s="13" t="s">
        <v>27</v>
      </c>
      <c r="B1901" s="13" t="s">
        <v>89</v>
      </c>
      <c r="C1901" s="13" t="str">
        <f>VLOOKUP([1]Competence!$B63,[1]Competence!$B$12:$B$100,1,FALSE)</f>
        <v>Database Design</v>
      </c>
      <c r="D1901" s="13" t="str" cm="1">
        <f t="array" ref="D1901">_xlfn.XLOOKUP(B1901,[1]Baseline!$D$3:$AZ$3,_xlfn.XLOOKUP(C1901,[1]Baseline!$B$4:$B$91,[1]Baseline!$D$4:$AZ$91))</f>
        <v>No Knowledge</v>
      </c>
      <c r="E1901" s="13" t="s">
        <v>375</v>
      </c>
      <c r="F1901" s="13">
        <v>0</v>
      </c>
      <c r="G1901" s="153">
        <v>2</v>
      </c>
      <c r="H1901" s="16">
        <f t="shared" si="29"/>
        <v>2</v>
      </c>
      <c r="I1901" s="13">
        <v>2</v>
      </c>
      <c r="J1901" s="160"/>
    </row>
    <row r="1902" spans="1:10">
      <c r="A1902" s="13" t="s">
        <v>27</v>
      </c>
      <c r="B1902" s="13" t="s">
        <v>89</v>
      </c>
      <c r="C1902" s="13" t="str">
        <f>VLOOKUP([1]Competence!$B64,[1]Competence!$B$12:$B$100,1,FALSE)</f>
        <v>Hardware design</v>
      </c>
      <c r="D1902" s="13" t="str" cm="1">
        <f t="array" ref="D1902">_xlfn.XLOOKUP(B1902,[1]Baseline!$D$3:$AZ$3,_xlfn.XLOOKUP(C1902,[1]Baseline!$B$4:$B$91,[1]Baseline!$D$4:$AZ$91))</f>
        <v>No Knowledge</v>
      </c>
      <c r="E1902" s="13" t="s">
        <v>375</v>
      </c>
      <c r="F1902" s="13">
        <v>0</v>
      </c>
      <c r="G1902" s="153">
        <v>0</v>
      </c>
      <c r="H1902" s="16">
        <f t="shared" si="29"/>
        <v>0</v>
      </c>
      <c r="I1902" s="13">
        <v>0</v>
      </c>
      <c r="J1902" s="160"/>
    </row>
    <row r="1903" spans="1:10">
      <c r="A1903" s="13" t="s">
        <v>27</v>
      </c>
      <c r="B1903" s="13" t="s">
        <v>89</v>
      </c>
      <c r="C1903" s="13" t="str">
        <f>VLOOKUP([1]Competence!$B65,[1]Competence!$B$12:$B$100,1,FALSE)</f>
        <v>High Performance Computing</v>
      </c>
      <c r="D1903" s="13" t="str" cm="1">
        <f t="array" ref="D1903">_xlfn.XLOOKUP(B1903,[1]Baseline!$D$3:$AZ$3,_xlfn.XLOOKUP(C1903,[1]Baseline!$B$4:$B$91,[1]Baseline!$D$4:$AZ$91))</f>
        <v>Awareness</v>
      </c>
      <c r="E1903" s="13" t="s">
        <v>375</v>
      </c>
      <c r="F1903" s="13">
        <v>0</v>
      </c>
      <c r="G1903" s="153">
        <v>1</v>
      </c>
      <c r="H1903" s="16">
        <f t="shared" si="29"/>
        <v>1</v>
      </c>
      <c r="I1903" s="13">
        <v>1</v>
      </c>
      <c r="J1903" s="160"/>
    </row>
    <row r="1904" spans="1:10">
      <c r="A1904" s="13" t="s">
        <v>27</v>
      </c>
      <c r="B1904" s="13" t="s">
        <v>89</v>
      </c>
      <c r="C1904" s="13" t="str">
        <f>VLOOKUP([1]Competence!$B66,[1]Competence!$B$12:$B$100,1,FALSE)</f>
        <v>Research Computing</v>
      </c>
      <c r="D1904" s="13" t="str" cm="1">
        <f t="array" ref="D1904">_xlfn.XLOOKUP(B1904,[1]Baseline!$D$3:$AZ$3,_xlfn.XLOOKUP(C1904,[1]Baseline!$B$4:$B$91,[1]Baseline!$D$4:$AZ$91))</f>
        <v>Awareness</v>
      </c>
      <c r="E1904" s="13" t="s">
        <v>375</v>
      </c>
      <c r="F1904" s="13">
        <v>2</v>
      </c>
      <c r="G1904" s="153">
        <v>1</v>
      </c>
      <c r="H1904" s="16">
        <f t="shared" si="29"/>
        <v>-1</v>
      </c>
      <c r="I1904" s="13">
        <v>1</v>
      </c>
      <c r="J1904" s="160"/>
    </row>
    <row r="1905" spans="1:10">
      <c r="A1905" s="13" t="s">
        <v>27</v>
      </c>
      <c r="B1905" s="13" t="s">
        <v>89</v>
      </c>
      <c r="C1905" s="13" t="str">
        <f>VLOOKUP([1]Competence!$B67,[1]Competence!$B$12:$B$100,1,FALSE)</f>
        <v>Information assurance</v>
      </c>
      <c r="D1905" s="13" t="str" cm="1">
        <f t="array" ref="D1905">_xlfn.XLOOKUP(B1905,[1]Baseline!$D$3:$AZ$3,_xlfn.XLOOKUP(C1905,[1]Baseline!$B$4:$B$91,[1]Baseline!$D$4:$AZ$91))</f>
        <v>Practitioner</v>
      </c>
      <c r="E1905" s="13" t="s">
        <v>375</v>
      </c>
      <c r="F1905" s="13">
        <v>0</v>
      </c>
      <c r="G1905" s="153">
        <v>1</v>
      </c>
      <c r="H1905" s="16">
        <f t="shared" si="29"/>
        <v>1</v>
      </c>
      <c r="I1905" s="13">
        <v>1</v>
      </c>
      <c r="J1905" s="160"/>
    </row>
    <row r="1906" spans="1:10">
      <c r="A1906" s="13" t="s">
        <v>27</v>
      </c>
      <c r="B1906" s="13" t="s">
        <v>89</v>
      </c>
      <c r="C1906" s="13" t="str">
        <f>VLOOKUP([1]Competence!$B68,[1]Competence!$B$12:$B$100,1,FALSE)</f>
        <v>Information management</v>
      </c>
      <c r="D1906" s="13" t="str" cm="1">
        <f t="array" ref="D1906">_xlfn.XLOOKUP(B1906,[1]Baseline!$D$3:$AZ$3,_xlfn.XLOOKUP(C1906,[1]Baseline!$B$4:$B$91,[1]Baseline!$D$4:$AZ$91))</f>
        <v>Awareness</v>
      </c>
      <c r="E1906" s="13" t="s">
        <v>375</v>
      </c>
      <c r="F1906" s="13">
        <v>0</v>
      </c>
      <c r="G1906" s="153">
        <v>1</v>
      </c>
      <c r="H1906" s="16">
        <f t="shared" si="29"/>
        <v>1</v>
      </c>
      <c r="I1906" s="13">
        <v>1</v>
      </c>
      <c r="J1906" s="160"/>
    </row>
    <row r="1907" spans="1:10">
      <c r="A1907" s="13" t="s">
        <v>27</v>
      </c>
      <c r="B1907" s="13" t="s">
        <v>89</v>
      </c>
      <c r="C1907" s="13" t="str">
        <f>VLOOKUP([1]Competence!$B69,[1]Competence!$B$12:$B$100,1,FALSE)</f>
        <v>Infrastructure</v>
      </c>
      <c r="D1907" s="13" t="str" cm="1">
        <f t="array" ref="D1907">_xlfn.XLOOKUP(B1907,[1]Baseline!$D$3:$AZ$3,_xlfn.XLOOKUP(C1907,[1]Baseline!$B$4:$B$91,[1]Baseline!$D$4:$AZ$91))</f>
        <v>Working</v>
      </c>
      <c r="E1907" s="13" t="s">
        <v>373</v>
      </c>
      <c r="F1907" s="13">
        <v>0</v>
      </c>
      <c r="G1907" s="153">
        <v>1</v>
      </c>
      <c r="H1907" s="16">
        <f t="shared" si="29"/>
        <v>1</v>
      </c>
      <c r="I1907" s="13">
        <v>1</v>
      </c>
      <c r="J1907" s="160"/>
    </row>
    <row r="1908" spans="1:10">
      <c r="A1908" s="13" t="s">
        <v>27</v>
      </c>
      <c r="B1908" s="13" t="s">
        <v>89</v>
      </c>
      <c r="C1908" s="13" t="str">
        <f>VLOOKUP([1]Competence!$B70,[1]Competence!$B$12:$B$100,1,FALSE)</f>
        <v>Network design</v>
      </c>
      <c r="D1908" s="13" t="str" cm="1">
        <f t="array" ref="D1908">_xlfn.XLOOKUP(B1908,[1]Baseline!$D$3:$AZ$3,_xlfn.XLOOKUP(C1908,[1]Baseline!$B$4:$B$91,[1]Baseline!$D$4:$AZ$91))</f>
        <v>No Knowledge</v>
      </c>
      <c r="E1908" s="13" t="s">
        <v>373</v>
      </c>
      <c r="F1908" s="13">
        <v>0</v>
      </c>
      <c r="G1908" s="153">
        <v>2</v>
      </c>
      <c r="H1908" s="16">
        <f t="shared" si="29"/>
        <v>2</v>
      </c>
      <c r="I1908" s="13">
        <v>2</v>
      </c>
      <c r="J1908" s="160"/>
    </row>
    <row r="1909" spans="1:10">
      <c r="A1909" s="13" t="s">
        <v>27</v>
      </c>
      <c r="B1909" s="13" t="s">
        <v>89</v>
      </c>
      <c r="C1909" s="13" t="str">
        <f>VLOOKUP([1]Competence!$B71,[1]Competence!$B$12:$B$100,1,FALSE)</f>
        <v>Network Analytics</v>
      </c>
      <c r="D1909" s="13" t="str" cm="1">
        <f t="array" ref="D1909">_xlfn.XLOOKUP(B1909,[1]Baseline!$D$3:$AZ$3,_xlfn.XLOOKUP(C1909,[1]Baseline!$B$4:$B$91,[1]Baseline!$D$4:$AZ$91))</f>
        <v>No Knowledge</v>
      </c>
      <c r="E1909" s="13" t="s">
        <v>373</v>
      </c>
      <c r="F1909" s="13">
        <v>0</v>
      </c>
      <c r="G1909" s="153">
        <v>0</v>
      </c>
      <c r="H1909" s="16">
        <f t="shared" si="29"/>
        <v>0</v>
      </c>
      <c r="I1909" s="13">
        <v>0</v>
      </c>
      <c r="J1909" s="160"/>
    </row>
    <row r="1910" spans="1:10">
      <c r="A1910" s="13" t="s">
        <v>27</v>
      </c>
      <c r="B1910" s="13" t="s">
        <v>89</v>
      </c>
      <c r="C1910" s="13" t="str">
        <f>VLOOKUP([1]Competence!$B72,[1]Competence!$B$12:$B$100,1,FALSE)</f>
        <v>Network support</v>
      </c>
      <c r="D1910" s="13" t="str" cm="1">
        <f t="array" ref="D1910">_xlfn.XLOOKUP(B1910,[1]Baseline!$D$3:$AZ$3,_xlfn.XLOOKUP(C1910,[1]Baseline!$B$4:$B$91,[1]Baseline!$D$4:$AZ$91))</f>
        <v>Awareness</v>
      </c>
      <c r="E1910" s="13" t="s">
        <v>373</v>
      </c>
      <c r="F1910" s="13">
        <v>0</v>
      </c>
      <c r="G1910" s="153">
        <v>2</v>
      </c>
      <c r="H1910" s="16">
        <f t="shared" si="29"/>
        <v>2</v>
      </c>
      <c r="I1910" s="13">
        <v>2</v>
      </c>
      <c r="J1910" s="160"/>
    </row>
    <row r="1911" spans="1:10">
      <c r="A1911" s="13" t="s">
        <v>27</v>
      </c>
      <c r="B1911" s="13" t="s">
        <v>89</v>
      </c>
      <c r="C1911" s="13" t="str">
        <f>VLOOKUP([1]Competence!$B73,[1]Competence!$B$12:$B$100,1,FALSE)</f>
        <v>Programming/software development</v>
      </c>
      <c r="D1911" s="13" t="str" cm="1">
        <f t="array" ref="D1911">_xlfn.XLOOKUP(B1911,[1]Baseline!$D$3:$AZ$3,_xlfn.XLOOKUP(C1911,[1]Baseline!$B$4:$B$91,[1]Baseline!$D$4:$AZ$91))</f>
        <v>No Knowledge</v>
      </c>
      <c r="E1911" s="13" t="s">
        <v>373</v>
      </c>
      <c r="F1911" s="13">
        <v>0</v>
      </c>
      <c r="G1911" s="153">
        <v>2</v>
      </c>
      <c r="H1911" s="16">
        <f t="shared" si="29"/>
        <v>2</v>
      </c>
      <c r="I1911" s="13">
        <v>2</v>
      </c>
      <c r="J1911" s="160"/>
    </row>
    <row r="1912" spans="1:10">
      <c r="A1912" s="13" t="s">
        <v>27</v>
      </c>
      <c r="B1912" s="13" t="s">
        <v>89</v>
      </c>
      <c r="C1912" s="13" t="str">
        <f>VLOOKUP([1]Competence!$B74,[1]Competence!$B$12:$B$100,1,FALSE)</f>
        <v>Real-time/embedded systems development</v>
      </c>
      <c r="D1912" s="13" t="str" cm="1">
        <f t="array" ref="D1912">_xlfn.XLOOKUP(B1912,[1]Baseline!$D$3:$AZ$3,_xlfn.XLOOKUP(C1912,[1]Baseline!$B$4:$B$91,[1]Baseline!$D$4:$AZ$91))</f>
        <v>No Knowledge</v>
      </c>
      <c r="E1912" s="13" t="s">
        <v>373</v>
      </c>
      <c r="F1912" s="13">
        <v>0</v>
      </c>
      <c r="G1912" s="153">
        <v>0</v>
      </c>
      <c r="H1912" s="16">
        <f t="shared" si="29"/>
        <v>0</v>
      </c>
      <c r="I1912" s="13">
        <v>0</v>
      </c>
      <c r="J1912" s="160"/>
    </row>
    <row r="1913" spans="1:10">
      <c r="A1913" s="13" t="s">
        <v>27</v>
      </c>
      <c r="B1913" s="13" t="s">
        <v>89</v>
      </c>
      <c r="C1913" s="13" t="str">
        <f>VLOOKUP([1]Competence!$B75,[1]Competence!$B$12:$B$100,1,FALSE)</f>
        <v>Requirements definition and management</v>
      </c>
      <c r="D1913" s="13" t="str" cm="1">
        <f t="array" ref="D1913">_xlfn.XLOOKUP(B1913,[1]Baseline!$D$3:$AZ$3,_xlfn.XLOOKUP(C1913,[1]Baseline!$B$4:$B$91,[1]Baseline!$D$4:$AZ$91))</f>
        <v>No Knowledge</v>
      </c>
      <c r="E1913" s="13" t="s">
        <v>374</v>
      </c>
      <c r="F1913" s="13">
        <v>0</v>
      </c>
      <c r="G1913" s="153">
        <v>0</v>
      </c>
      <c r="H1913" s="16">
        <f t="shared" si="29"/>
        <v>0</v>
      </c>
      <c r="I1913" s="13">
        <v>0</v>
      </c>
      <c r="J1913" s="160"/>
    </row>
    <row r="1914" spans="1:10">
      <c r="A1914" s="13" t="s">
        <v>27</v>
      </c>
      <c r="B1914" s="13" t="s">
        <v>89</v>
      </c>
      <c r="C1914" s="13" t="str">
        <f>VLOOKUP([1]Competence!$B76,[1]Competence!$B$12:$B$100,1,FALSE)</f>
        <v>Software configuration</v>
      </c>
      <c r="D1914" s="13" t="str" cm="1">
        <f t="array" ref="D1914">_xlfn.XLOOKUP(B1914,[1]Baseline!$D$3:$AZ$3,_xlfn.XLOOKUP(C1914,[1]Baseline!$B$4:$B$91,[1]Baseline!$D$4:$AZ$91))</f>
        <v>No Knowledge</v>
      </c>
      <c r="E1914" s="13" t="s">
        <v>374</v>
      </c>
      <c r="F1914" s="13">
        <v>0</v>
      </c>
      <c r="G1914" s="153">
        <v>2</v>
      </c>
      <c r="H1914" s="16">
        <f t="shared" si="29"/>
        <v>2</v>
      </c>
      <c r="I1914" s="13">
        <v>2</v>
      </c>
      <c r="J1914" s="160"/>
    </row>
    <row r="1915" spans="1:10">
      <c r="A1915" s="13" t="s">
        <v>27</v>
      </c>
      <c r="B1915" s="13" t="s">
        <v>89</v>
      </c>
      <c r="C1915" s="13" t="str">
        <f>VLOOKUP([1]Competence!$B77,[1]Competence!$B$12:$B$100,1,FALSE)</f>
        <v>Software design</v>
      </c>
      <c r="D1915" s="13" t="str" cm="1">
        <f t="array" ref="D1915">_xlfn.XLOOKUP(B1915,[1]Baseline!$D$3:$AZ$3,_xlfn.XLOOKUP(C1915,[1]Baseline!$B$4:$B$91,[1]Baseline!$D$4:$AZ$91))</f>
        <v>No Knowledge</v>
      </c>
      <c r="E1915" s="13" t="s">
        <v>377</v>
      </c>
      <c r="F1915" s="13">
        <v>0</v>
      </c>
      <c r="G1915" s="153">
        <v>1</v>
      </c>
      <c r="H1915" s="16">
        <f t="shared" si="29"/>
        <v>1</v>
      </c>
      <c r="I1915" s="13">
        <v>1</v>
      </c>
      <c r="J1915" s="160"/>
    </row>
    <row r="1916" spans="1:10">
      <c r="A1916" s="13" t="s">
        <v>27</v>
      </c>
      <c r="B1916" s="13" t="s">
        <v>89</v>
      </c>
      <c r="C1916" s="13" t="str">
        <f>VLOOKUP([1]Competence!$B78,[1]Competence!$B$12:$B$100,1,FALSE)</f>
        <v>Solution architecture</v>
      </c>
      <c r="D1916" s="13" t="str" cm="1">
        <f t="array" ref="D1916">_xlfn.XLOOKUP(B1916,[1]Baseline!$D$3:$AZ$3,_xlfn.XLOOKUP(C1916,[1]Baseline!$B$4:$B$91,[1]Baseline!$D$4:$AZ$91))</f>
        <v>No Knowledge</v>
      </c>
      <c r="E1916" s="13" t="s">
        <v>375</v>
      </c>
      <c r="F1916" s="13">
        <v>0</v>
      </c>
      <c r="G1916" s="153">
        <v>0</v>
      </c>
      <c r="H1916" s="16">
        <f t="shared" si="29"/>
        <v>0</v>
      </c>
      <c r="I1916" s="13">
        <v>0</v>
      </c>
      <c r="J1916" s="160"/>
    </row>
    <row r="1917" spans="1:10">
      <c r="A1917" s="13" t="s">
        <v>27</v>
      </c>
      <c r="B1917" s="13" t="s">
        <v>89</v>
      </c>
      <c r="C1917" s="13" t="str">
        <f>VLOOKUP([1]Competence!$B79,[1]Competence!$B$12:$B$100,1,FALSE)</f>
        <v>System software</v>
      </c>
      <c r="D1917" s="13" t="str" cm="1">
        <f t="array" ref="D1917">_xlfn.XLOOKUP(B1917,[1]Baseline!$D$3:$AZ$3,_xlfn.XLOOKUP(C1917,[1]Baseline!$B$4:$B$91,[1]Baseline!$D$4:$AZ$91))</f>
        <v>No Knowledge</v>
      </c>
      <c r="E1917" s="13" t="s">
        <v>375</v>
      </c>
      <c r="F1917" s="13">
        <v>0</v>
      </c>
      <c r="G1917" s="153">
        <v>2</v>
      </c>
      <c r="H1917" s="16">
        <f t="shared" si="29"/>
        <v>2</v>
      </c>
      <c r="I1917" s="13">
        <v>2</v>
      </c>
      <c r="J1917" s="160"/>
    </row>
    <row r="1918" spans="1:10">
      <c r="A1918" s="13" t="s">
        <v>27</v>
      </c>
      <c r="B1918" s="13" t="s">
        <v>89</v>
      </c>
      <c r="C1918" s="13" t="str">
        <f>VLOOKUP([1]Competence!$B80,[1]Competence!$B$12:$B$100,1,FALSE)</f>
        <v>Systems and software life cycle engineering</v>
      </c>
      <c r="D1918" s="13" t="str" cm="1">
        <f t="array" ref="D1918">_xlfn.XLOOKUP(B1918,[1]Baseline!$D$3:$AZ$3,_xlfn.XLOOKUP(C1918,[1]Baseline!$B$4:$B$91,[1]Baseline!$D$4:$AZ$91))</f>
        <v>No Knowledge</v>
      </c>
      <c r="E1918" s="13" t="s">
        <v>375</v>
      </c>
      <c r="F1918" s="13">
        <v>1</v>
      </c>
      <c r="G1918" s="153">
        <v>1</v>
      </c>
      <c r="H1918" s="16">
        <f t="shared" si="29"/>
        <v>0</v>
      </c>
      <c r="I1918" s="13">
        <v>1</v>
      </c>
      <c r="J1918" s="160"/>
    </row>
    <row r="1919" spans="1:10">
      <c r="A1919" s="13" t="s">
        <v>27</v>
      </c>
      <c r="B1919" s="13" t="s">
        <v>89</v>
      </c>
      <c r="C1919" s="13" t="str">
        <f>VLOOKUP([1]Competence!$B81,[1]Competence!$B$12:$B$100,1,FALSE)</f>
        <v>Systems design</v>
      </c>
      <c r="D1919" s="13" t="str" cm="1">
        <f t="array" ref="D1919">_xlfn.XLOOKUP(B1919,[1]Baseline!$D$3:$AZ$3,_xlfn.XLOOKUP(C1919,[1]Baseline!$B$4:$B$91,[1]Baseline!$D$4:$AZ$91))</f>
        <v>No Knowledge</v>
      </c>
      <c r="E1919" s="13" t="s">
        <v>375</v>
      </c>
      <c r="F1919" s="13">
        <v>0</v>
      </c>
      <c r="G1919" s="153">
        <v>1</v>
      </c>
      <c r="H1919" s="16">
        <f t="shared" si="29"/>
        <v>1</v>
      </c>
      <c r="I1919" s="13">
        <v>1</v>
      </c>
      <c r="J1919" s="160"/>
    </row>
    <row r="1920" spans="1:10">
      <c r="A1920" s="13" t="s">
        <v>27</v>
      </c>
      <c r="B1920" s="13" t="s">
        <v>89</v>
      </c>
      <c r="C1920" s="13" t="str">
        <f>VLOOKUP([1]Competence!$B82,[1]Competence!$B$12:$B$100,1,FALSE)</f>
        <v>Systems development management</v>
      </c>
      <c r="D1920" s="13" t="str" cm="1">
        <f t="array" ref="D1920">_xlfn.XLOOKUP(B1920,[1]Baseline!$D$3:$AZ$3,_xlfn.XLOOKUP(C1920,[1]Baseline!$B$4:$B$91,[1]Baseline!$D$4:$AZ$91))</f>
        <v>No Knowledge</v>
      </c>
      <c r="E1920" s="13" t="s">
        <v>375</v>
      </c>
      <c r="F1920" s="13">
        <v>0</v>
      </c>
      <c r="G1920" s="153">
        <v>0</v>
      </c>
      <c r="H1920" s="16">
        <f t="shared" si="29"/>
        <v>0</v>
      </c>
      <c r="I1920" s="13">
        <v>0</v>
      </c>
      <c r="J1920" s="160"/>
    </row>
    <row r="1921" spans="1:10">
      <c r="A1921" s="13" t="s">
        <v>27</v>
      </c>
      <c r="B1921" s="13" t="s">
        <v>89</v>
      </c>
      <c r="C1921" s="13" t="str">
        <f>VLOOKUP([1]Competence!$B83,[1]Competence!$B$12:$B$100,1,FALSE)</f>
        <v>Systems installation and removal</v>
      </c>
      <c r="D1921" s="13" t="str" cm="1">
        <f t="array" ref="D1921">_xlfn.XLOOKUP(B1921,[1]Baseline!$D$3:$AZ$3,_xlfn.XLOOKUP(C1921,[1]Baseline!$B$4:$B$91,[1]Baseline!$D$4:$AZ$91))</f>
        <v>Awareness</v>
      </c>
      <c r="E1921" s="13" t="s">
        <v>375</v>
      </c>
      <c r="F1921" s="13">
        <v>0</v>
      </c>
      <c r="G1921" s="153">
        <v>2</v>
      </c>
      <c r="H1921" s="16">
        <f t="shared" si="29"/>
        <v>2</v>
      </c>
      <c r="I1921" s="13">
        <v>2</v>
      </c>
      <c r="J1921" s="160"/>
    </row>
    <row r="1922" spans="1:10">
      <c r="A1922" s="13" t="s">
        <v>27</v>
      </c>
      <c r="B1922" s="13" t="s">
        <v>89</v>
      </c>
      <c r="C1922" s="13" t="str">
        <f>VLOOKUP([1]Competence!$B84,[1]Competence!$B$12:$B$100,1,FALSE)</f>
        <v>Testing</v>
      </c>
      <c r="D1922" s="13" t="str" cm="1">
        <f t="array" ref="D1922">_xlfn.XLOOKUP(B1922,[1]Baseline!$D$3:$AZ$3,_xlfn.XLOOKUP(C1922,[1]Baseline!$B$4:$B$91,[1]Baseline!$D$4:$AZ$91))</f>
        <v>Working</v>
      </c>
      <c r="E1922" s="13" t="s">
        <v>375</v>
      </c>
      <c r="F1922" s="13">
        <v>1</v>
      </c>
      <c r="G1922" s="153">
        <v>2</v>
      </c>
      <c r="H1922" s="16">
        <f t="shared" ref="H1922:H1985" si="30">I1922-F1922</f>
        <v>1</v>
      </c>
      <c r="I1922" s="13">
        <v>2</v>
      </c>
      <c r="J1922" s="160"/>
    </row>
    <row r="1923" spans="1:10">
      <c r="A1923" s="13" t="s">
        <v>27</v>
      </c>
      <c r="B1923" s="13" t="s">
        <v>89</v>
      </c>
      <c r="C1923" s="13" t="str">
        <f>VLOOKUP([1]Competence!$B85,[1]Competence!$B$12:$B$100,1,FALSE)</f>
        <v>Innovation</v>
      </c>
      <c r="D1923" s="13" t="str" cm="1">
        <f t="array" ref="D1923">_xlfn.XLOOKUP(B1923,[1]Baseline!$D$3:$AZ$3,_xlfn.XLOOKUP(C1923,[1]Baseline!$B$4:$B$91,[1]Baseline!$D$4:$AZ$91))</f>
        <v>No Knowledge</v>
      </c>
      <c r="E1923" s="13" t="s">
        <v>375</v>
      </c>
      <c r="F1923" s="13">
        <v>1</v>
      </c>
      <c r="G1923" s="153">
        <v>0</v>
      </c>
      <c r="H1923" s="16">
        <f t="shared" si="30"/>
        <v>-1</v>
      </c>
      <c r="I1923" s="13">
        <v>0</v>
      </c>
      <c r="J1923" s="160"/>
    </row>
    <row r="1924" spans="1:10">
      <c r="A1924" s="13" t="s">
        <v>27</v>
      </c>
      <c r="B1924" s="13" t="s">
        <v>89</v>
      </c>
      <c r="C1924" s="13" t="str">
        <f>VLOOKUP([1]Competence!$B86,[1]Competence!$B$12:$B$100,1,FALSE)</f>
        <v>Specialist Advice</v>
      </c>
      <c r="D1924" s="13" t="str" cm="1">
        <f t="array" ref="D1924">_xlfn.XLOOKUP(B1924,[1]Baseline!$D$3:$AZ$3,_xlfn.XLOOKUP(C1924,[1]Baseline!$B$4:$B$91,[1]Baseline!$D$4:$AZ$91))</f>
        <v>No Knowledge</v>
      </c>
      <c r="E1924" s="13" t="s">
        <v>375</v>
      </c>
      <c r="F1924" s="13">
        <v>0</v>
      </c>
      <c r="G1924" s="153">
        <v>3</v>
      </c>
      <c r="H1924" s="16">
        <f t="shared" si="30"/>
        <v>3</v>
      </c>
      <c r="I1924" s="13">
        <v>3</v>
      </c>
      <c r="J1924" s="160"/>
    </row>
    <row r="1925" spans="1:10">
      <c r="A1925" s="13" t="s">
        <v>27</v>
      </c>
      <c r="B1925" s="13" t="s">
        <v>89</v>
      </c>
      <c r="C1925" s="13" t="str">
        <f>VLOOKUP([1]Competence!$B87,[1]Competence!$B$12:$B$100,1,FALSE)</f>
        <v>Emerging technology monitoring</v>
      </c>
      <c r="D1925" s="13" t="str" cm="1">
        <f t="array" ref="D1925">_xlfn.XLOOKUP(B1925,[1]Baseline!$D$3:$AZ$3,_xlfn.XLOOKUP(C1925,[1]Baseline!$B$4:$B$91,[1]Baseline!$D$4:$AZ$91))</f>
        <v>No Knowledge</v>
      </c>
      <c r="E1925" s="13" t="s">
        <v>373</v>
      </c>
      <c r="F1925" s="13">
        <v>0</v>
      </c>
      <c r="G1925" s="153">
        <v>0</v>
      </c>
      <c r="H1925" s="16">
        <f t="shared" si="30"/>
        <v>0</v>
      </c>
      <c r="I1925" s="13">
        <v>0</v>
      </c>
      <c r="J1925" s="160"/>
    </row>
    <row r="1926" spans="1:10">
      <c r="A1926" s="13" t="s">
        <v>27</v>
      </c>
      <c r="B1926" s="13" t="s">
        <v>89</v>
      </c>
      <c r="C1926" s="13" t="str">
        <f>VLOOKUP([1]Competence!$B88,[1]Competence!$B$12:$B$100,1,FALSE)</f>
        <v>Systems integration and build</v>
      </c>
      <c r="D1926" s="13" t="str" cm="1">
        <f t="array" ref="D1926">_xlfn.XLOOKUP(B1926,[1]Baseline!$D$3:$AZ$3,_xlfn.XLOOKUP(C1926,[1]Baseline!$B$4:$B$91,[1]Baseline!$D$4:$AZ$91))</f>
        <v>Awareness</v>
      </c>
      <c r="E1926" s="13" t="s">
        <v>373</v>
      </c>
      <c r="F1926" s="13">
        <v>0</v>
      </c>
      <c r="G1926" s="153">
        <v>0</v>
      </c>
      <c r="H1926" s="16">
        <f t="shared" si="30"/>
        <v>0</v>
      </c>
      <c r="I1926" s="13">
        <v>0</v>
      </c>
      <c r="J1926" s="160"/>
    </row>
    <row r="1927" spans="1:10">
      <c r="A1927" s="13" t="s">
        <v>27</v>
      </c>
      <c r="B1927" s="13" t="s">
        <v>89</v>
      </c>
      <c r="C1927" s="13" t="str">
        <f>VLOOKUP([1]Competence!$B89,[1]Competence!$B$12:$B$100,1,FALSE)</f>
        <v>Audio Visual</v>
      </c>
      <c r="D1927" s="13" t="str" cm="1">
        <f t="array" ref="D1927">_xlfn.XLOOKUP(B1927,[1]Baseline!$D$3:$AZ$3,_xlfn.XLOOKUP(C1927,[1]Baseline!$B$4:$B$91,[1]Baseline!$D$4:$AZ$91))</f>
        <v>Awareness</v>
      </c>
      <c r="E1927" s="13" t="s">
        <v>375</v>
      </c>
      <c r="F1927" s="13">
        <v>0</v>
      </c>
      <c r="G1927" s="153">
        <v>2</v>
      </c>
      <c r="H1927" s="16">
        <f t="shared" si="30"/>
        <v>2</v>
      </c>
      <c r="I1927" s="13">
        <v>2</v>
      </c>
      <c r="J1927" s="160"/>
    </row>
    <row r="1928" spans="1:10">
      <c r="A1928" s="13" t="s">
        <v>27</v>
      </c>
      <c r="B1928" s="13" t="s">
        <v>89</v>
      </c>
      <c r="C1928" s="13" t="str">
        <f>VLOOKUP([1]Competence!$B90,[1]Competence!$B$12:$B$100,1,FALSE)</f>
        <v>Augmented Reality</v>
      </c>
      <c r="D1928" s="13" t="str" cm="1">
        <f t="array" ref="D1928">_xlfn.XLOOKUP(B1928,[1]Baseline!$D$3:$AZ$3,_xlfn.XLOOKUP(C1928,[1]Baseline!$B$4:$B$91,[1]Baseline!$D$4:$AZ$91))</f>
        <v>Awareness</v>
      </c>
      <c r="E1928" s="13" t="s">
        <v>375</v>
      </c>
      <c r="F1928" s="13">
        <v>0</v>
      </c>
      <c r="G1928" s="153">
        <v>1</v>
      </c>
      <c r="H1928" s="16">
        <f t="shared" si="30"/>
        <v>1</v>
      </c>
      <c r="I1928" s="13">
        <v>1</v>
      </c>
      <c r="J1928" s="160"/>
    </row>
    <row r="1929" spans="1:10">
      <c r="A1929" s="13" t="s">
        <v>27</v>
      </c>
      <c r="B1929" s="13" t="s">
        <v>89</v>
      </c>
      <c r="C1929" s="13" t="str">
        <f>VLOOKUP([1]Competence!$B91,[1]Competence!$B$12:$B$100,1,FALSE)</f>
        <v>Benefits management</v>
      </c>
      <c r="D1929" s="13" t="str" cm="1">
        <f t="array" ref="D1929">_xlfn.XLOOKUP(B1929,[1]Baseline!$D$3:$AZ$3,_xlfn.XLOOKUP(C1929,[1]Baseline!$B$4:$B$91,[1]Baseline!$D$4:$AZ$91))</f>
        <v>No Knowledge</v>
      </c>
      <c r="E1929" s="13" t="s">
        <v>375</v>
      </c>
      <c r="F1929" s="13">
        <v>0</v>
      </c>
      <c r="G1929" s="153">
        <v>0</v>
      </c>
      <c r="H1929" s="16">
        <f t="shared" si="30"/>
        <v>0</v>
      </c>
      <c r="I1929" s="13">
        <v>0</v>
      </c>
      <c r="J1929" s="160"/>
    </row>
    <row r="1930" spans="1:10">
      <c r="A1930" s="13" t="s">
        <v>27</v>
      </c>
      <c r="B1930" s="13" t="s">
        <v>89</v>
      </c>
      <c r="C1930" s="13" t="str">
        <f>VLOOKUP([1]Competence!$B92,[1]Competence!$B$12:$B$100,1,FALSE)</f>
        <v>Business administration</v>
      </c>
      <c r="D1930" s="13" t="str" cm="1">
        <f t="array" ref="D1930">_xlfn.XLOOKUP(B1930,[1]Baseline!$D$3:$AZ$3,_xlfn.XLOOKUP(C1930,[1]Baseline!$B$4:$B$91,[1]Baseline!$D$4:$AZ$91))</f>
        <v>No Knowledge</v>
      </c>
      <c r="E1930" s="13" t="s">
        <v>375</v>
      </c>
      <c r="F1930" s="13">
        <v>0</v>
      </c>
      <c r="G1930" s="153">
        <v>0</v>
      </c>
      <c r="H1930" s="16">
        <f t="shared" si="30"/>
        <v>0</v>
      </c>
      <c r="I1930" s="13">
        <v>0</v>
      </c>
      <c r="J1930" s="160"/>
    </row>
    <row r="1931" spans="1:10">
      <c r="A1931" s="13" t="s">
        <v>27</v>
      </c>
      <c r="B1931" s="13" t="s">
        <v>89</v>
      </c>
      <c r="C1931" s="13" t="str">
        <f>VLOOKUP([1]Competence!$B93,[1]Competence!$B$12:$B$100,1,FALSE)</f>
        <v>Business intelligence</v>
      </c>
      <c r="D1931" s="13" t="str" cm="1">
        <f t="array" ref="D1931">_xlfn.XLOOKUP(B1931,[1]Baseline!$D$3:$AZ$3,_xlfn.XLOOKUP(C1931,[1]Baseline!$B$4:$B$91,[1]Baseline!$D$4:$AZ$91))</f>
        <v>No Knowledge</v>
      </c>
      <c r="E1931" s="13" t="s">
        <v>375</v>
      </c>
      <c r="F1931" s="13">
        <v>0</v>
      </c>
      <c r="G1931" s="153">
        <v>0</v>
      </c>
      <c r="H1931" s="16">
        <f t="shared" si="30"/>
        <v>0</v>
      </c>
      <c r="I1931" s="13">
        <v>0</v>
      </c>
      <c r="J1931" s="160"/>
    </row>
    <row r="1932" spans="1:10">
      <c r="A1932" s="13" t="s">
        <v>27</v>
      </c>
      <c r="B1932" s="13" t="s">
        <v>89</v>
      </c>
      <c r="C1932" s="13" t="str">
        <f>VLOOKUP([1]Competence!$B94,[1]Competence!$B$12:$B$100,1,FALSE)</f>
        <v>Business modelling</v>
      </c>
      <c r="D1932" s="13" t="str" cm="1">
        <f t="array" ref="D1932">_xlfn.XLOOKUP(B1932,[1]Baseline!$D$3:$AZ$3,_xlfn.XLOOKUP(C1932,[1]Baseline!$B$4:$B$91,[1]Baseline!$D$4:$AZ$91))</f>
        <v>No Knowledge</v>
      </c>
      <c r="E1932" s="13" t="s">
        <v>375</v>
      </c>
      <c r="F1932" s="13">
        <v>0</v>
      </c>
      <c r="G1932" s="153">
        <v>0</v>
      </c>
      <c r="H1932" s="16">
        <f t="shared" si="30"/>
        <v>0</v>
      </c>
      <c r="I1932" s="13">
        <v>0</v>
      </c>
      <c r="J1932" s="160"/>
    </row>
    <row r="1933" spans="1:10">
      <c r="A1933" s="13" t="s">
        <v>27</v>
      </c>
      <c r="B1933" s="13" t="s">
        <v>89</v>
      </c>
      <c r="C1933" s="13" t="str">
        <f>VLOOKUP([1]Competence!$B95,[1]Competence!$B$12:$B$100,1,FALSE)</f>
        <v>Business process improvement</v>
      </c>
      <c r="D1933" s="13" t="str" cm="1">
        <f t="array" ref="D1933">_xlfn.XLOOKUP(B1933,[1]Baseline!$D$3:$AZ$3,_xlfn.XLOOKUP(C1933,[1]Baseline!$B$4:$B$91,[1]Baseline!$D$4:$AZ$91))</f>
        <v>No Knowledge</v>
      </c>
      <c r="E1933" s="13" t="s">
        <v>375</v>
      </c>
      <c r="F1933" s="13">
        <v>0</v>
      </c>
      <c r="G1933" s="153">
        <v>0</v>
      </c>
      <c r="H1933" s="16">
        <f t="shared" si="30"/>
        <v>0</v>
      </c>
      <c r="I1933" s="13">
        <v>0</v>
      </c>
      <c r="J1933" s="160"/>
    </row>
    <row r="1934" spans="1:10">
      <c r="A1934" s="13" t="s">
        <v>27</v>
      </c>
      <c r="B1934" s="13" t="s">
        <v>89</v>
      </c>
      <c r="C1934" s="13" t="str">
        <f>VLOOKUP([1]Competence!$B96,[1]Competence!$B$12:$B$100,1,FALSE)</f>
        <v>Business situation analysis</v>
      </c>
      <c r="D1934" s="13" t="str" cm="1">
        <f t="array" ref="D1934">_xlfn.XLOOKUP(B1934,[1]Baseline!$D$3:$AZ$3,_xlfn.XLOOKUP(C1934,[1]Baseline!$B$4:$B$91,[1]Baseline!$D$4:$AZ$91))</f>
        <v>No Knowledge</v>
      </c>
      <c r="E1934" s="13" t="s">
        <v>375</v>
      </c>
      <c r="F1934" s="13">
        <v>0</v>
      </c>
      <c r="G1934" s="153">
        <v>0</v>
      </c>
      <c r="H1934" s="16">
        <f t="shared" si="30"/>
        <v>0</v>
      </c>
      <c r="I1934" s="13">
        <v>0</v>
      </c>
      <c r="J1934" s="160"/>
    </row>
    <row r="1935" spans="1:10">
      <c r="A1935" s="13" t="s">
        <v>27</v>
      </c>
      <c r="B1935" s="13" t="s">
        <v>89</v>
      </c>
      <c r="C1935" s="13" t="str">
        <f>VLOOKUP([1]Competence!$B97,[1]Competence!$B$12:$B$100,1,FALSE)</f>
        <v>Programme management</v>
      </c>
      <c r="D1935" s="13" t="str" cm="1">
        <f t="array" ref="D1935">_xlfn.XLOOKUP(B1935,[1]Baseline!$D$3:$AZ$3,_xlfn.XLOOKUP(C1935,[1]Baseline!$B$4:$B$91,[1]Baseline!$D$4:$AZ$91))</f>
        <v>No Knowledge</v>
      </c>
      <c r="E1935" s="13" t="s">
        <v>375</v>
      </c>
      <c r="F1935" s="13">
        <v>0</v>
      </c>
      <c r="G1935" s="153">
        <v>1</v>
      </c>
      <c r="H1935" s="16">
        <f t="shared" si="30"/>
        <v>1</v>
      </c>
      <c r="I1935" s="13">
        <v>1</v>
      </c>
      <c r="J1935" s="160"/>
    </row>
    <row r="1936" spans="1:10">
      <c r="A1936" s="13" t="s">
        <v>27</v>
      </c>
      <c r="B1936" s="13" t="s">
        <v>89</v>
      </c>
      <c r="C1936" s="13" t="str">
        <f>VLOOKUP([1]Competence!$B98,[1]Competence!$B$12:$B$100,1,FALSE)</f>
        <v>Project management</v>
      </c>
      <c r="D1936" s="13" t="str" cm="1">
        <f t="array" ref="D1936">_xlfn.XLOOKUP(B1936,[1]Baseline!$D$3:$AZ$3,_xlfn.XLOOKUP(C1936,[1]Baseline!$B$4:$B$91,[1]Baseline!$D$4:$AZ$91))</f>
        <v>No Knowledge</v>
      </c>
      <c r="E1936" s="13" t="s">
        <v>375</v>
      </c>
      <c r="F1936" s="13">
        <v>0</v>
      </c>
      <c r="G1936" s="153">
        <v>1</v>
      </c>
      <c r="H1936" s="16">
        <f t="shared" si="30"/>
        <v>1</v>
      </c>
      <c r="I1936" s="13">
        <v>1</v>
      </c>
      <c r="J1936" s="160"/>
    </row>
    <row r="1937" spans="1:10">
      <c r="A1937" s="13" t="s">
        <v>27</v>
      </c>
      <c r="B1937" s="13" t="s">
        <v>89</v>
      </c>
      <c r="C1937" s="13" t="str">
        <f>VLOOKUP([1]Competence!$B99,[1]Competence!$B$12:$B$100,1,FALSE)</f>
        <v>Quality assurance</v>
      </c>
      <c r="D1937" s="13" t="str" cm="1">
        <f t="array" ref="D1937">_xlfn.XLOOKUP(B1937,[1]Baseline!$D$3:$AZ$3,_xlfn.XLOOKUP(C1937,[1]Baseline!$B$4:$B$91,[1]Baseline!$D$4:$AZ$91))</f>
        <v>Working</v>
      </c>
      <c r="E1937" s="13" t="s">
        <v>375</v>
      </c>
      <c r="F1937" s="13">
        <v>0</v>
      </c>
      <c r="G1937" s="153">
        <v>1</v>
      </c>
      <c r="H1937" s="16">
        <f t="shared" si="30"/>
        <v>1</v>
      </c>
      <c r="I1937" s="13">
        <v>1</v>
      </c>
      <c r="J1937" s="160"/>
    </row>
    <row r="1938" spans="1:10">
      <c r="A1938" s="13" t="s">
        <v>21</v>
      </c>
      <c r="B1938" s="13" t="s">
        <v>83</v>
      </c>
      <c r="C1938" s="13" t="str">
        <f>VLOOKUP([1]Competence!$B12,[1]Competence!$B$12:$B$100,1,FALSE)</f>
        <v>Asset Management</v>
      </c>
      <c r="D1938" s="13" t="str" cm="1">
        <f t="array" ref="D1938">_xlfn.XLOOKUP(B1938,[1]Baseline!$D$3:$AZ$3,_xlfn.XLOOKUP(C1938,[1]Baseline!$B$4:$B$91,[1]Baseline!$D$4:$AZ$91))</f>
        <v>Working</v>
      </c>
      <c r="E1938" s="13" t="s">
        <v>374</v>
      </c>
      <c r="F1938" s="13">
        <v>4</v>
      </c>
      <c r="G1938" s="153">
        <v>1</v>
      </c>
      <c r="H1938" s="16">
        <f t="shared" si="30"/>
        <v>-3</v>
      </c>
      <c r="I1938" s="13">
        <v>1</v>
      </c>
      <c r="J1938" s="160"/>
    </row>
    <row r="1939" spans="1:10">
      <c r="A1939" s="13" t="s">
        <v>21</v>
      </c>
      <c r="B1939" s="13" t="s">
        <v>83</v>
      </c>
      <c r="C1939" s="13" t="str">
        <f>VLOOKUP([1]Competence!$B13,[1]Competence!$B$12:$B$100,1,FALSE)</f>
        <v>Change Control</v>
      </c>
      <c r="D1939" s="13" t="str" cm="1">
        <f t="array" ref="D1939">_xlfn.XLOOKUP(B1939,[1]Baseline!$D$3:$AZ$3,_xlfn.XLOOKUP(C1939,[1]Baseline!$B$4:$B$91,[1]Baseline!$D$4:$AZ$91))</f>
        <v>Practitioner</v>
      </c>
      <c r="E1939" s="13" t="s">
        <v>377</v>
      </c>
      <c r="F1939" s="13">
        <v>4</v>
      </c>
      <c r="G1939" s="153">
        <v>3</v>
      </c>
      <c r="H1939" s="16">
        <f t="shared" si="30"/>
        <v>-1</v>
      </c>
      <c r="I1939" s="13">
        <v>3</v>
      </c>
      <c r="J1939" s="160"/>
    </row>
    <row r="1940" spans="1:10">
      <c r="A1940" s="13" t="s">
        <v>21</v>
      </c>
      <c r="B1940" s="13" t="s">
        <v>83</v>
      </c>
      <c r="C1940" s="13" t="str">
        <f>VLOOKUP([1]Competence!$B14,[1]Competence!$B$12:$B$100,1,FALSE)</f>
        <v>Customer Service Support</v>
      </c>
      <c r="D1940" s="13" t="str" cm="1">
        <f t="array" ref="D1940">_xlfn.XLOOKUP(B1940,[1]Baseline!$D$3:$AZ$3,_xlfn.XLOOKUP(C1940,[1]Baseline!$B$4:$B$91,[1]Baseline!$D$4:$AZ$91))</f>
        <v>Practitioner</v>
      </c>
      <c r="E1940" s="13" t="s">
        <v>377</v>
      </c>
      <c r="F1940" s="13">
        <v>4</v>
      </c>
      <c r="G1940" s="153">
        <v>2</v>
      </c>
      <c r="H1940" s="16">
        <f t="shared" si="30"/>
        <v>-2</v>
      </c>
      <c r="I1940" s="13">
        <v>2</v>
      </c>
      <c r="J1940" s="160"/>
    </row>
    <row r="1941" spans="1:10">
      <c r="A1941" s="13" t="s">
        <v>21</v>
      </c>
      <c r="B1941" s="13" t="s">
        <v>83</v>
      </c>
      <c r="C1941" s="13" t="str">
        <f>VLOOKUP([1]Competence!$B15,[1]Competence!$B$12:$B$100,1,FALSE)</f>
        <v>Incident management</v>
      </c>
      <c r="D1941" s="13" t="str" cm="1">
        <f t="array" ref="D1941">_xlfn.XLOOKUP(B1941,[1]Baseline!$D$3:$AZ$3,_xlfn.XLOOKUP(C1941,[1]Baseline!$B$4:$B$91,[1]Baseline!$D$4:$AZ$91))</f>
        <v>Practitioner</v>
      </c>
      <c r="E1941" s="13" t="s">
        <v>49</v>
      </c>
      <c r="F1941" s="13">
        <v>3</v>
      </c>
      <c r="G1941" s="153">
        <v>3</v>
      </c>
      <c r="H1941" s="16">
        <f t="shared" si="30"/>
        <v>0</v>
      </c>
      <c r="I1941" s="13">
        <v>3</v>
      </c>
      <c r="J1941" s="160"/>
    </row>
    <row r="1942" spans="1:10">
      <c r="A1942" s="13" t="s">
        <v>21</v>
      </c>
      <c r="B1942" s="13" t="s">
        <v>83</v>
      </c>
      <c r="C1942" s="13" t="str">
        <f>VLOOKUP([1]Competence!$B16,[1]Competence!$B$12:$B$100,1,FALSE)</f>
        <v>Information security</v>
      </c>
      <c r="D1942" s="13" t="str" cm="1">
        <f t="array" ref="D1942">_xlfn.XLOOKUP(B1942,[1]Baseline!$D$3:$AZ$3,_xlfn.XLOOKUP(C1942,[1]Baseline!$B$4:$B$91,[1]Baseline!$D$4:$AZ$91))</f>
        <v>Practitioner</v>
      </c>
      <c r="E1942" s="13" t="s">
        <v>49</v>
      </c>
      <c r="F1942" s="13">
        <v>3</v>
      </c>
      <c r="G1942" s="153">
        <v>3</v>
      </c>
      <c r="H1942" s="16">
        <f t="shared" si="30"/>
        <v>0</v>
      </c>
      <c r="I1942" s="13">
        <v>3</v>
      </c>
      <c r="J1942" s="160"/>
    </row>
    <row r="1943" spans="1:10">
      <c r="A1943" s="13" t="s">
        <v>21</v>
      </c>
      <c r="B1943" s="13" t="s">
        <v>83</v>
      </c>
      <c r="C1943" s="13" t="str">
        <f>VLOOKUP([1]Competence!$B17,[1]Competence!$B$12:$B$100,1,FALSE)</f>
        <v>Personal data protection</v>
      </c>
      <c r="D1943" s="13" t="str" cm="1">
        <f t="array" ref="D1943">_xlfn.XLOOKUP(B1943,[1]Baseline!$D$3:$AZ$3,_xlfn.XLOOKUP(C1943,[1]Baseline!$B$4:$B$91,[1]Baseline!$D$4:$AZ$91))</f>
        <v>Practitioner</v>
      </c>
      <c r="E1943" s="13" t="s">
        <v>49</v>
      </c>
      <c r="F1943" s="13">
        <v>3</v>
      </c>
      <c r="G1943" s="153">
        <v>2</v>
      </c>
      <c r="H1943" s="16">
        <f t="shared" si="30"/>
        <v>-1</v>
      </c>
      <c r="I1943" s="13">
        <v>2</v>
      </c>
      <c r="J1943" s="160"/>
    </row>
    <row r="1944" spans="1:10">
      <c r="A1944" s="13" t="s">
        <v>21</v>
      </c>
      <c r="B1944" s="13" t="s">
        <v>83</v>
      </c>
      <c r="C1944" s="13" t="str">
        <f>VLOOKUP([1]Competence!$B18,[1]Competence!$B$12:$B$100,1,FALSE)</f>
        <v>Problem management</v>
      </c>
      <c r="D1944" s="13" t="str" cm="1">
        <f t="array" ref="D1944">_xlfn.XLOOKUP(B1944,[1]Baseline!$D$3:$AZ$3,_xlfn.XLOOKUP(C1944,[1]Baseline!$B$4:$B$91,[1]Baseline!$D$4:$AZ$91))</f>
        <v>Working</v>
      </c>
      <c r="E1944" s="13" t="s">
        <v>375</v>
      </c>
      <c r="F1944" s="13">
        <v>4</v>
      </c>
      <c r="G1944" s="153">
        <v>3</v>
      </c>
      <c r="H1944" s="16">
        <f t="shared" si="30"/>
        <v>-1</v>
      </c>
      <c r="I1944" s="13">
        <v>3</v>
      </c>
      <c r="J1944" s="160"/>
    </row>
    <row r="1945" spans="1:10">
      <c r="A1945" s="13" t="s">
        <v>21</v>
      </c>
      <c r="B1945" s="13" t="s">
        <v>83</v>
      </c>
      <c r="C1945" s="13" t="str">
        <f>VLOOKUP([1]Competence!$B19,[1]Competence!$B$12:$B$100,1,FALSE)</f>
        <v>Service catalogue management</v>
      </c>
      <c r="D1945" s="13" t="str" cm="1">
        <f t="array" ref="D1945">_xlfn.XLOOKUP(B1945,[1]Baseline!$D$3:$AZ$3,_xlfn.XLOOKUP(C1945,[1]Baseline!$B$4:$B$91,[1]Baseline!$D$4:$AZ$91))</f>
        <v>Working</v>
      </c>
      <c r="E1945" s="13" t="s">
        <v>374</v>
      </c>
      <c r="F1945" s="13">
        <v>3</v>
      </c>
      <c r="G1945" s="153">
        <v>2</v>
      </c>
      <c r="H1945" s="16">
        <f t="shared" si="30"/>
        <v>-1</v>
      </c>
      <c r="I1945" s="13">
        <v>2</v>
      </c>
      <c r="J1945" s="160"/>
    </row>
    <row r="1946" spans="1:10">
      <c r="A1946" s="13" t="s">
        <v>21</v>
      </c>
      <c r="B1946" s="13" t="s">
        <v>83</v>
      </c>
      <c r="C1946" s="13" t="str">
        <f>VLOOKUP([1]Competence!$B20,[1]Competence!$B$12:$B$100,1,FALSE)</f>
        <v>Service level management</v>
      </c>
      <c r="D1946" s="13" t="str" cm="1">
        <f t="array" ref="D1946">_xlfn.XLOOKUP(B1946,[1]Baseline!$D$3:$AZ$3,_xlfn.XLOOKUP(C1946,[1]Baseline!$B$4:$B$91,[1]Baseline!$D$4:$AZ$91))</f>
        <v>Working</v>
      </c>
      <c r="E1946" s="13" t="s">
        <v>377</v>
      </c>
      <c r="F1946" s="13">
        <v>3</v>
      </c>
      <c r="G1946" s="153">
        <v>1</v>
      </c>
      <c r="H1946" s="16">
        <f t="shared" si="30"/>
        <v>-2</v>
      </c>
      <c r="I1946" s="13">
        <v>1</v>
      </c>
      <c r="J1946" s="160"/>
    </row>
    <row r="1947" spans="1:10">
      <c r="A1947" s="13" t="s">
        <v>21</v>
      </c>
      <c r="B1947" s="13" t="s">
        <v>83</v>
      </c>
      <c r="C1947" s="13" t="str">
        <f>VLOOKUP([1]Competence!$B21,[1]Competence!$B$12:$B$100,1,FALSE)</f>
        <v>Availability Management</v>
      </c>
      <c r="D1947" s="13" t="str" cm="1">
        <f t="array" ref="D1947">_xlfn.XLOOKUP(B1947,[1]Baseline!$D$3:$AZ$3,_xlfn.XLOOKUP(C1947,[1]Baseline!$B$4:$B$91,[1]Baseline!$D$4:$AZ$91))</f>
        <v>Working</v>
      </c>
      <c r="E1947" s="13" t="s">
        <v>377</v>
      </c>
      <c r="F1947" s="13">
        <v>4</v>
      </c>
      <c r="G1947" s="153">
        <v>1</v>
      </c>
      <c r="H1947" s="16">
        <f t="shared" si="30"/>
        <v>-3</v>
      </c>
      <c r="I1947" s="13">
        <v>1</v>
      </c>
      <c r="J1947" s="160"/>
    </row>
    <row r="1948" spans="1:10">
      <c r="A1948" s="13" t="s">
        <v>21</v>
      </c>
      <c r="B1948" s="13" t="s">
        <v>83</v>
      </c>
      <c r="C1948" s="13" t="str">
        <f>VLOOKUP([1]Competence!$B22,[1]Competence!$B$12:$B$100,1,FALSE)</f>
        <v>Capacity management</v>
      </c>
      <c r="D1948" s="13" t="str" cm="1">
        <f t="array" ref="D1948">_xlfn.XLOOKUP(B1948,[1]Baseline!$D$3:$AZ$3,_xlfn.XLOOKUP(C1948,[1]Baseline!$B$4:$B$91,[1]Baseline!$D$4:$AZ$91))</f>
        <v>Working</v>
      </c>
      <c r="E1948" s="13" t="s">
        <v>377</v>
      </c>
      <c r="F1948" s="13">
        <v>4</v>
      </c>
      <c r="G1948" s="153">
        <v>2</v>
      </c>
      <c r="H1948" s="16">
        <f t="shared" si="30"/>
        <v>-2</v>
      </c>
      <c r="I1948" s="13">
        <v>2</v>
      </c>
      <c r="J1948" s="160"/>
    </row>
    <row r="1949" spans="1:10">
      <c r="A1949" s="13" t="s">
        <v>21</v>
      </c>
      <c r="B1949" s="13" t="s">
        <v>83</v>
      </c>
      <c r="C1949" s="13" t="str">
        <f>VLOOKUP([1]Competence!$B23,[1]Competence!$B$12:$B$100,1,FALSE)</f>
        <v>Configuration Management</v>
      </c>
      <c r="D1949" s="13" t="str" cm="1">
        <f t="array" ref="D1949">_xlfn.XLOOKUP(B1949,[1]Baseline!$D$3:$AZ$3,_xlfn.XLOOKUP(C1949,[1]Baseline!$B$4:$B$91,[1]Baseline!$D$4:$AZ$91))</f>
        <v>Working</v>
      </c>
      <c r="E1949" s="13" t="s">
        <v>49</v>
      </c>
      <c r="F1949" s="13">
        <v>3</v>
      </c>
      <c r="G1949" s="153">
        <v>3</v>
      </c>
      <c r="H1949" s="16">
        <f t="shared" si="30"/>
        <v>0</v>
      </c>
      <c r="I1949" s="13">
        <v>3</v>
      </c>
      <c r="J1949" s="160"/>
    </row>
    <row r="1950" spans="1:10">
      <c r="A1950" s="13" t="s">
        <v>21</v>
      </c>
      <c r="B1950" s="13" t="s">
        <v>83</v>
      </c>
      <c r="C1950" s="13" t="str">
        <f>VLOOKUP([1]Competence!$B24,[1]Competence!$B$12:$B$100,1,FALSE)</f>
        <v>Continuity Management</v>
      </c>
      <c r="D1950" s="13" t="str" cm="1">
        <f t="array" ref="D1950">_xlfn.XLOOKUP(B1950,[1]Baseline!$D$3:$AZ$3,_xlfn.XLOOKUP(C1950,[1]Baseline!$B$4:$B$91,[1]Baseline!$D$4:$AZ$91))</f>
        <v>Working</v>
      </c>
      <c r="E1950" s="13" t="s">
        <v>49</v>
      </c>
      <c r="F1950" s="13">
        <v>3</v>
      </c>
      <c r="G1950" s="153">
        <v>1</v>
      </c>
      <c r="H1950" s="16">
        <f t="shared" si="30"/>
        <v>-2</v>
      </c>
      <c r="I1950" s="13">
        <v>1</v>
      </c>
      <c r="J1950" s="160"/>
    </row>
    <row r="1951" spans="1:10">
      <c r="A1951" s="13" t="s">
        <v>21</v>
      </c>
      <c r="B1951" s="13" t="s">
        <v>83</v>
      </c>
      <c r="C1951" s="13" t="str">
        <f>VLOOKUP([1]Competence!$B25,[1]Competence!$B$12:$B$100,1,FALSE)</f>
        <v>Demand Management</v>
      </c>
      <c r="D1951" s="13" t="str" cm="1">
        <f t="array" ref="D1951">_xlfn.XLOOKUP(B1951,[1]Baseline!$D$3:$AZ$3,_xlfn.XLOOKUP(C1951,[1]Baseline!$B$4:$B$91,[1]Baseline!$D$4:$AZ$91))</f>
        <v>Practitioner</v>
      </c>
      <c r="E1951" s="13" t="s">
        <v>49</v>
      </c>
      <c r="F1951" s="13">
        <v>3</v>
      </c>
      <c r="G1951" s="153">
        <v>2</v>
      </c>
      <c r="H1951" s="16">
        <f t="shared" si="30"/>
        <v>-1</v>
      </c>
      <c r="I1951" s="13">
        <v>2</v>
      </c>
      <c r="J1951" s="160"/>
    </row>
    <row r="1952" spans="1:10">
      <c r="A1952" s="13" t="s">
        <v>21</v>
      </c>
      <c r="B1952" s="13" t="s">
        <v>83</v>
      </c>
      <c r="C1952" s="13" t="str">
        <f>VLOOKUP([1]Competence!$B26,[1]Competence!$B$12:$B$100,1,FALSE)</f>
        <v>Knowledge management</v>
      </c>
      <c r="D1952" s="13" t="str" cm="1">
        <f t="array" ref="D1952">_xlfn.XLOOKUP(B1952,[1]Baseline!$D$3:$AZ$3,_xlfn.XLOOKUP(C1952,[1]Baseline!$B$4:$B$91,[1]Baseline!$D$4:$AZ$91))</f>
        <v>Practitioner</v>
      </c>
      <c r="E1952" s="13" t="s">
        <v>49</v>
      </c>
      <c r="F1952" s="13">
        <v>3</v>
      </c>
      <c r="G1952" s="153">
        <v>2</v>
      </c>
      <c r="H1952" s="16">
        <f t="shared" si="30"/>
        <v>-1</v>
      </c>
      <c r="I1952" s="13">
        <v>2</v>
      </c>
      <c r="J1952" s="160"/>
    </row>
    <row r="1953" spans="1:10">
      <c r="A1953" s="13" t="s">
        <v>21</v>
      </c>
      <c r="B1953" s="13" t="s">
        <v>83</v>
      </c>
      <c r="C1953" s="13" t="str">
        <f>VLOOKUP([1]Competence!$B27,[1]Competence!$B$12:$B$100,1,FALSE)</f>
        <v>Methods and tools</v>
      </c>
      <c r="D1953" s="13" t="str" cm="1">
        <f t="array" ref="D1953">_xlfn.XLOOKUP(B1953,[1]Baseline!$D$3:$AZ$3,_xlfn.XLOOKUP(C1953,[1]Baseline!$B$4:$B$91,[1]Baseline!$D$4:$AZ$91))</f>
        <v>Expert</v>
      </c>
      <c r="E1953" s="13" t="s">
        <v>375</v>
      </c>
      <c r="F1953" s="13">
        <v>3</v>
      </c>
      <c r="G1953" s="153">
        <v>3</v>
      </c>
      <c r="H1953" s="16">
        <f t="shared" si="30"/>
        <v>0</v>
      </c>
      <c r="I1953" s="13">
        <v>3</v>
      </c>
      <c r="J1953" s="160"/>
    </row>
    <row r="1954" spans="1:10">
      <c r="A1954" s="13" t="s">
        <v>21</v>
      </c>
      <c r="B1954" s="13" t="s">
        <v>83</v>
      </c>
      <c r="C1954" s="13" t="str">
        <f>VLOOKUP([1]Competence!$B28,[1]Competence!$B$12:$B$100,1,FALSE)</f>
        <v>Release and deployment</v>
      </c>
      <c r="D1954" s="13" t="str" cm="1">
        <f t="array" ref="D1954">_xlfn.XLOOKUP(B1954,[1]Baseline!$D$3:$AZ$3,_xlfn.XLOOKUP(C1954,[1]Baseline!$B$4:$B$91,[1]Baseline!$D$4:$AZ$91))</f>
        <v>Expert</v>
      </c>
      <c r="E1954" s="13" t="s">
        <v>375</v>
      </c>
      <c r="F1954" s="13">
        <v>3</v>
      </c>
      <c r="G1954" s="153">
        <v>3</v>
      </c>
      <c r="H1954" s="16">
        <f t="shared" si="30"/>
        <v>0</v>
      </c>
      <c r="I1954" s="13">
        <v>3</v>
      </c>
      <c r="J1954" s="160"/>
    </row>
    <row r="1955" spans="1:10">
      <c r="A1955" s="13" t="s">
        <v>21</v>
      </c>
      <c r="B1955" s="13" t="s">
        <v>83</v>
      </c>
      <c r="C1955" s="13" t="str">
        <f>VLOOKUP([1]Competence!$B29,[1]Competence!$B$12:$B$100,1,FALSE)</f>
        <v>Service acceptance</v>
      </c>
      <c r="D1955" s="13" t="str" cm="1">
        <f t="array" ref="D1955">_xlfn.XLOOKUP(B1955,[1]Baseline!$D$3:$AZ$3,_xlfn.XLOOKUP(C1955,[1]Baseline!$B$4:$B$91,[1]Baseline!$D$4:$AZ$91))</f>
        <v>Expert</v>
      </c>
      <c r="E1955" s="13" t="s">
        <v>376</v>
      </c>
      <c r="F1955" s="13">
        <v>2</v>
      </c>
      <c r="G1955" s="153">
        <v>1</v>
      </c>
      <c r="H1955" s="16">
        <f t="shared" si="30"/>
        <v>-1</v>
      </c>
      <c r="I1955" s="13">
        <v>1</v>
      </c>
      <c r="J1955" s="160"/>
    </row>
    <row r="1956" spans="1:10">
      <c r="A1956" s="13" t="s">
        <v>21</v>
      </c>
      <c r="B1956" s="13" t="s">
        <v>83</v>
      </c>
      <c r="C1956" s="13" t="str">
        <f>VLOOKUP([1]Competence!$B30,[1]Competence!$B$12:$B$100,1,FALSE)</f>
        <v>Stakeholder relationship management</v>
      </c>
      <c r="D1956" s="13" t="str" cm="1">
        <f t="array" ref="D1956">_xlfn.XLOOKUP(B1956,[1]Baseline!$D$3:$AZ$3,_xlfn.XLOOKUP(C1956,[1]Baseline!$B$4:$B$91,[1]Baseline!$D$4:$AZ$91))</f>
        <v>Practitioner</v>
      </c>
      <c r="E1956" s="13" t="s">
        <v>376</v>
      </c>
      <c r="F1956" s="13">
        <v>3</v>
      </c>
      <c r="G1956" s="153">
        <v>1</v>
      </c>
      <c r="H1956" s="16">
        <f t="shared" si="30"/>
        <v>-2</v>
      </c>
      <c r="I1956" s="13">
        <v>1</v>
      </c>
      <c r="J1956" s="160"/>
    </row>
    <row r="1957" spans="1:10">
      <c r="A1957" s="13" t="s">
        <v>21</v>
      </c>
      <c r="B1957" s="13" t="s">
        <v>83</v>
      </c>
      <c r="C1957" s="13" t="str">
        <f>VLOOKUP([1]Competence!$B31,[1]Competence!$B$12:$B$100,1,FALSE)</f>
        <v>Storage management</v>
      </c>
      <c r="D1957" s="13" t="str" cm="1">
        <f t="array" ref="D1957">_xlfn.XLOOKUP(B1957,[1]Baseline!$D$3:$AZ$3,_xlfn.XLOOKUP(C1957,[1]Baseline!$B$4:$B$91,[1]Baseline!$D$4:$AZ$91))</f>
        <v>Awareness</v>
      </c>
      <c r="E1957" s="13" t="s">
        <v>376</v>
      </c>
      <c r="F1957" s="13">
        <v>3</v>
      </c>
      <c r="G1957" s="153">
        <v>3</v>
      </c>
      <c r="H1957" s="16">
        <f t="shared" si="30"/>
        <v>0</v>
      </c>
      <c r="I1957" s="13">
        <v>3</v>
      </c>
      <c r="J1957" s="160"/>
    </row>
    <row r="1958" spans="1:10">
      <c r="A1958" s="13" t="s">
        <v>21</v>
      </c>
      <c r="B1958" s="13" t="s">
        <v>83</v>
      </c>
      <c r="C1958" s="13" t="str">
        <f>VLOOKUP([1]Competence!$B32,[1]Competence!$B$12:$B$100,1,FALSE)</f>
        <v>Digital Forensics</v>
      </c>
      <c r="D1958" s="13" t="str" cm="1">
        <f t="array" ref="D1958">_xlfn.XLOOKUP(B1958,[1]Baseline!$D$3:$AZ$3,_xlfn.XLOOKUP(C1958,[1]Baseline!$B$4:$B$91,[1]Baseline!$D$4:$AZ$91))</f>
        <v>Practitioner</v>
      </c>
      <c r="E1958" s="13" t="s">
        <v>376</v>
      </c>
      <c r="F1958" s="13">
        <v>2</v>
      </c>
      <c r="G1958" s="153">
        <v>1</v>
      </c>
      <c r="H1958" s="16">
        <f t="shared" si="30"/>
        <v>-1</v>
      </c>
      <c r="I1958" s="13">
        <v>1</v>
      </c>
      <c r="J1958" s="160"/>
    </row>
    <row r="1959" spans="1:10">
      <c r="A1959" s="13" t="s">
        <v>21</v>
      </c>
      <c r="B1959" s="13" t="s">
        <v>83</v>
      </c>
      <c r="C1959" s="13" t="str">
        <f>VLOOKUP([1]Competence!$B33,[1]Competence!$B$12:$B$100,1,FALSE)</f>
        <v>Penetration testing</v>
      </c>
      <c r="D1959" s="13" t="str" cm="1">
        <f t="array" ref="D1959">_xlfn.XLOOKUP(B1959,[1]Baseline!$D$3:$AZ$3,_xlfn.XLOOKUP(C1959,[1]Baseline!$B$4:$B$91,[1]Baseline!$D$4:$AZ$91))</f>
        <v>Practitioner</v>
      </c>
      <c r="E1959" s="13" t="s">
        <v>374</v>
      </c>
      <c r="F1959" s="13">
        <v>2</v>
      </c>
      <c r="G1959" s="153">
        <v>1</v>
      </c>
      <c r="H1959" s="16">
        <f t="shared" si="30"/>
        <v>-1</v>
      </c>
      <c r="I1959" s="13">
        <v>1</v>
      </c>
      <c r="J1959" s="160"/>
    </row>
    <row r="1960" spans="1:10">
      <c r="A1960" s="13" t="s">
        <v>21</v>
      </c>
      <c r="B1960" s="13" t="s">
        <v>83</v>
      </c>
      <c r="C1960" s="13" t="str">
        <f>VLOOKUP([1]Competence!$B34,[1]Competence!$B$12:$B$100,1,FALSE)</f>
        <v>Security Operations</v>
      </c>
      <c r="D1960" s="13" t="str" cm="1">
        <f t="array" ref="D1960">_xlfn.XLOOKUP(B1960,[1]Baseline!$D$3:$AZ$3,_xlfn.XLOOKUP(C1960,[1]Baseline!$B$4:$B$91,[1]Baseline!$D$4:$AZ$91))</f>
        <v>Practitioner</v>
      </c>
      <c r="E1960" s="13" t="s">
        <v>374</v>
      </c>
      <c r="F1960" s="13">
        <v>2</v>
      </c>
      <c r="G1960" s="153">
        <v>2</v>
      </c>
      <c r="H1960" s="16">
        <f t="shared" si="30"/>
        <v>0</v>
      </c>
      <c r="I1960" s="13">
        <v>2</v>
      </c>
      <c r="J1960" s="160"/>
    </row>
    <row r="1961" spans="1:10">
      <c r="A1961" s="13" t="s">
        <v>21</v>
      </c>
      <c r="B1961" s="13" t="s">
        <v>83</v>
      </c>
      <c r="C1961" s="13" t="str">
        <f>VLOOKUP([1]Competence!$B35,[1]Competence!$B$12:$B$100,1,FALSE)</f>
        <v>Threat Intelligence</v>
      </c>
      <c r="D1961" s="13" t="str" cm="1">
        <f t="array" ref="D1961">_xlfn.XLOOKUP(B1961,[1]Baseline!$D$3:$AZ$3,_xlfn.XLOOKUP(C1961,[1]Baseline!$B$4:$B$91,[1]Baseline!$D$4:$AZ$91))</f>
        <v>Practitioner</v>
      </c>
      <c r="E1961" s="13" t="s">
        <v>374</v>
      </c>
      <c r="F1961" s="13">
        <v>3</v>
      </c>
      <c r="G1961" s="153">
        <v>1</v>
      </c>
      <c r="H1961" s="16">
        <f t="shared" si="30"/>
        <v>-2</v>
      </c>
      <c r="I1961" s="13">
        <v>1</v>
      </c>
      <c r="J1961" s="160"/>
    </row>
    <row r="1962" spans="1:10">
      <c r="A1962" s="13" t="s">
        <v>21</v>
      </c>
      <c r="B1962" s="13" t="s">
        <v>83</v>
      </c>
      <c r="C1962" s="13" t="str">
        <f>VLOOKUP([1]Competence!$B36,[1]Competence!$B$12:$B$100,1,FALSE)</f>
        <v>Vulnerability assessment</v>
      </c>
      <c r="D1962" s="13" t="str" cm="1">
        <f t="array" ref="D1962">_xlfn.XLOOKUP(B1962,[1]Baseline!$D$3:$AZ$3,_xlfn.XLOOKUP(C1962,[1]Baseline!$B$4:$B$91,[1]Baseline!$D$4:$AZ$91))</f>
        <v>Practitioner</v>
      </c>
      <c r="E1962" s="13" t="s">
        <v>374</v>
      </c>
      <c r="F1962" s="13">
        <v>4</v>
      </c>
      <c r="G1962" s="153">
        <v>2</v>
      </c>
      <c r="H1962" s="16">
        <f t="shared" si="30"/>
        <v>-2</v>
      </c>
      <c r="I1962" s="13">
        <v>2</v>
      </c>
      <c r="J1962" s="160"/>
    </row>
    <row r="1963" spans="1:10">
      <c r="A1963" s="13" t="s">
        <v>21</v>
      </c>
      <c r="B1963" s="13" t="s">
        <v>83</v>
      </c>
      <c r="C1963" s="13" t="str">
        <f>VLOOKUP([1]Competence!$B37,[1]Competence!$B$12:$B$100,1,FALSE)</f>
        <v>Vulnerability Research</v>
      </c>
      <c r="D1963" s="13" t="str" cm="1">
        <f t="array" ref="D1963">_xlfn.XLOOKUP(B1963,[1]Baseline!$D$3:$AZ$3,_xlfn.XLOOKUP(C1963,[1]Baseline!$B$4:$B$91,[1]Baseline!$D$4:$AZ$91))</f>
        <v>No Knowledge</v>
      </c>
      <c r="E1963" s="13" t="s">
        <v>374</v>
      </c>
      <c r="F1963" s="13">
        <v>4</v>
      </c>
      <c r="G1963" s="153">
        <v>1</v>
      </c>
      <c r="H1963" s="16">
        <f t="shared" si="30"/>
        <v>-3</v>
      </c>
      <c r="I1963" s="13">
        <v>1</v>
      </c>
      <c r="J1963" s="160"/>
    </row>
    <row r="1964" spans="1:10">
      <c r="A1964" s="13" t="s">
        <v>21</v>
      </c>
      <c r="B1964" s="13" t="s">
        <v>83</v>
      </c>
      <c r="C1964" s="13" t="str">
        <f>VLOOKUP([1]Competence!$B38,[1]Competence!$B$12:$B$100,1,FALSE)</f>
        <v>Competency assessment</v>
      </c>
      <c r="D1964" s="13" t="str" cm="1">
        <f t="array" ref="D1964">_xlfn.XLOOKUP(B1964,[1]Baseline!$D$3:$AZ$3,_xlfn.XLOOKUP(C1964,[1]Baseline!$B$4:$B$91,[1]Baseline!$D$4:$AZ$91))</f>
        <v>Awareness</v>
      </c>
      <c r="E1964" s="13" t="s">
        <v>375</v>
      </c>
      <c r="F1964" s="13">
        <v>4</v>
      </c>
      <c r="G1964" s="153">
        <v>2</v>
      </c>
      <c r="H1964" s="16">
        <f t="shared" si="30"/>
        <v>-2</v>
      </c>
      <c r="I1964" s="13">
        <v>2</v>
      </c>
      <c r="J1964" s="160"/>
    </row>
    <row r="1965" spans="1:10">
      <c r="A1965" s="13" t="s">
        <v>21</v>
      </c>
      <c r="B1965" s="13" t="s">
        <v>83</v>
      </c>
      <c r="C1965" s="13" t="str">
        <f>VLOOKUP([1]Competence!$B39,[1]Competence!$B$12:$B$100,1,FALSE)</f>
        <v>Financial management</v>
      </c>
      <c r="D1965" s="13" t="str" cm="1">
        <f t="array" ref="D1965">_xlfn.XLOOKUP(B1965,[1]Baseline!$D$3:$AZ$3,_xlfn.XLOOKUP(C1965,[1]Baseline!$B$4:$B$91,[1]Baseline!$D$4:$AZ$91))</f>
        <v>No Knowledge</v>
      </c>
      <c r="E1965" s="13" t="s">
        <v>375</v>
      </c>
      <c r="F1965" s="13">
        <v>4</v>
      </c>
      <c r="G1965" s="153">
        <v>1</v>
      </c>
      <c r="H1965" s="16">
        <f t="shared" si="30"/>
        <v>-3</v>
      </c>
      <c r="I1965" s="13">
        <v>1</v>
      </c>
      <c r="J1965" s="160"/>
    </row>
    <row r="1966" spans="1:10">
      <c r="A1966" s="13" t="s">
        <v>21</v>
      </c>
      <c r="B1966" s="13" t="s">
        <v>83</v>
      </c>
      <c r="C1966" s="13" t="str">
        <f>VLOOKUP([1]Competence!$B40,[1]Competence!$B$12:$B$100,1,FALSE)</f>
        <v>Organisation design and implementation</v>
      </c>
      <c r="D1966" s="13" t="str" cm="1">
        <f t="array" ref="D1966">_xlfn.XLOOKUP(B1966,[1]Baseline!$D$3:$AZ$3,_xlfn.XLOOKUP(C1966,[1]Baseline!$B$4:$B$91,[1]Baseline!$D$4:$AZ$91))</f>
        <v>No Knowledge</v>
      </c>
      <c r="E1966" s="13" t="s">
        <v>375</v>
      </c>
      <c r="F1966" s="13">
        <v>4</v>
      </c>
      <c r="G1966" s="153">
        <v>2</v>
      </c>
      <c r="H1966" s="16">
        <f t="shared" si="30"/>
        <v>-2</v>
      </c>
      <c r="I1966" s="13">
        <v>2</v>
      </c>
      <c r="J1966" s="160"/>
    </row>
    <row r="1967" spans="1:10">
      <c r="A1967" s="13" t="s">
        <v>21</v>
      </c>
      <c r="B1967" s="13" t="s">
        <v>83</v>
      </c>
      <c r="C1967" s="13" t="str">
        <f>VLOOKUP([1]Competence!$B41,[1]Competence!$B$12:$B$100,1,FALSE)</f>
        <v>Organisational capability development</v>
      </c>
      <c r="D1967" s="13" t="str" cm="1">
        <f t="array" ref="D1967">_xlfn.XLOOKUP(B1967,[1]Baseline!$D$3:$AZ$3,_xlfn.XLOOKUP(C1967,[1]Baseline!$B$4:$B$91,[1]Baseline!$D$4:$AZ$91))</f>
        <v>No Knowledge</v>
      </c>
      <c r="E1967" s="13" t="s">
        <v>375</v>
      </c>
      <c r="F1967" s="13">
        <v>4</v>
      </c>
      <c r="G1967" s="153">
        <v>1</v>
      </c>
      <c r="H1967" s="16">
        <f t="shared" si="30"/>
        <v>-3</v>
      </c>
      <c r="I1967" s="13">
        <v>1</v>
      </c>
      <c r="J1967" s="160"/>
    </row>
    <row r="1968" spans="1:10">
      <c r="A1968" s="13" t="s">
        <v>21</v>
      </c>
      <c r="B1968" s="13" t="s">
        <v>83</v>
      </c>
      <c r="C1968" s="13" t="str">
        <f>VLOOKUP([1]Competence!$B42,[1]Competence!$B$12:$B$100,1,FALSE)</f>
        <v>Organisational change management</v>
      </c>
      <c r="D1968" s="13" t="str" cm="1">
        <f t="array" ref="D1968">_xlfn.XLOOKUP(B1968,[1]Baseline!$D$3:$AZ$3,_xlfn.XLOOKUP(C1968,[1]Baseline!$B$4:$B$91,[1]Baseline!$D$4:$AZ$91))</f>
        <v>No Knowledge</v>
      </c>
      <c r="E1968" s="13" t="s">
        <v>375</v>
      </c>
      <c r="F1968" s="13">
        <v>4</v>
      </c>
      <c r="G1968" s="153">
        <v>1</v>
      </c>
      <c r="H1968" s="16">
        <f t="shared" si="30"/>
        <v>-3</v>
      </c>
      <c r="I1968" s="13">
        <v>1</v>
      </c>
      <c r="J1968" s="160"/>
    </row>
    <row r="1969" spans="1:10">
      <c r="A1969" s="13" t="s">
        <v>21</v>
      </c>
      <c r="B1969" s="13" t="s">
        <v>83</v>
      </c>
      <c r="C1969" s="13" t="str">
        <f>VLOOKUP([1]Competence!$B43,[1]Competence!$B$12:$B$100,1,FALSE)</f>
        <v>Performance Management</v>
      </c>
      <c r="D1969" s="13" t="str" cm="1">
        <f t="array" ref="D1969">_xlfn.XLOOKUP(B1969,[1]Baseline!$D$3:$AZ$3,_xlfn.XLOOKUP(C1969,[1]Baseline!$B$4:$B$91,[1]Baseline!$D$4:$AZ$91))</f>
        <v>Awareness</v>
      </c>
      <c r="E1969" s="13" t="s">
        <v>375</v>
      </c>
      <c r="F1969" s="13">
        <v>4</v>
      </c>
      <c r="G1969" s="153">
        <v>2</v>
      </c>
      <c r="H1969" s="16">
        <f t="shared" si="30"/>
        <v>-2</v>
      </c>
      <c r="I1969" s="13">
        <v>2</v>
      </c>
      <c r="J1969" s="160"/>
    </row>
    <row r="1970" spans="1:10">
      <c r="A1970" s="13" t="s">
        <v>21</v>
      </c>
      <c r="B1970" s="13" t="s">
        <v>83</v>
      </c>
      <c r="C1970" s="13" t="str">
        <f>VLOOKUP([1]Competence!$B44,[1]Competence!$B$12:$B$100,1,FALSE)</f>
        <v>Professional Development</v>
      </c>
      <c r="D1970" s="13" t="str" cm="1">
        <f t="array" ref="D1970">_xlfn.XLOOKUP(B1970,[1]Baseline!$D$3:$AZ$3,_xlfn.XLOOKUP(C1970,[1]Baseline!$B$4:$B$91,[1]Baseline!$D$4:$AZ$91))</f>
        <v>Working</v>
      </c>
      <c r="E1970" s="13" t="s">
        <v>376</v>
      </c>
      <c r="F1970" s="13">
        <v>3</v>
      </c>
      <c r="G1970" s="153">
        <v>2</v>
      </c>
      <c r="H1970" s="16">
        <f t="shared" si="30"/>
        <v>-1</v>
      </c>
      <c r="I1970" s="13">
        <v>2</v>
      </c>
      <c r="J1970" s="160"/>
    </row>
    <row r="1971" spans="1:10">
      <c r="A1971" s="13" t="s">
        <v>21</v>
      </c>
      <c r="B1971" s="13" t="s">
        <v>83</v>
      </c>
      <c r="C1971" s="13" t="str">
        <f>VLOOKUP([1]Competence!$B45,[1]Competence!$B$12:$B$100,1,FALSE)</f>
        <v>Strategic Planning</v>
      </c>
      <c r="D1971" s="13" t="str" cm="1">
        <f t="array" ref="D1971">_xlfn.XLOOKUP(B1971,[1]Baseline!$D$3:$AZ$3,_xlfn.XLOOKUP(C1971,[1]Baseline!$B$4:$B$91,[1]Baseline!$D$4:$AZ$91))</f>
        <v>No Knowledge</v>
      </c>
      <c r="E1971" s="13" t="s">
        <v>376</v>
      </c>
      <c r="F1971" s="13">
        <v>2</v>
      </c>
      <c r="G1971" s="153">
        <v>1</v>
      </c>
      <c r="H1971" s="16">
        <f t="shared" si="30"/>
        <v>-1</v>
      </c>
      <c r="I1971" s="13">
        <v>1</v>
      </c>
      <c r="J1971" s="160"/>
    </row>
    <row r="1972" spans="1:10">
      <c r="A1972" s="13" t="s">
        <v>21</v>
      </c>
      <c r="B1972" s="13" t="s">
        <v>83</v>
      </c>
      <c r="C1972" s="13" t="str">
        <f>VLOOKUP([1]Competence!$B46,[1]Competence!$B$12:$B$100,1,FALSE)</f>
        <v>Workforce Planning</v>
      </c>
      <c r="D1972" s="13" t="str" cm="1">
        <f t="array" ref="D1972">_xlfn.XLOOKUP(B1972,[1]Baseline!$D$3:$AZ$3,_xlfn.XLOOKUP(C1972,[1]Baseline!$B$4:$B$91,[1]Baseline!$D$4:$AZ$91))</f>
        <v>No Knowledge</v>
      </c>
      <c r="E1972" s="13" t="s">
        <v>374</v>
      </c>
      <c r="F1972" s="13">
        <v>2</v>
      </c>
      <c r="G1972" s="153">
        <v>2</v>
      </c>
      <c r="H1972" s="16">
        <f t="shared" si="30"/>
        <v>0</v>
      </c>
      <c r="I1972" s="13">
        <v>2</v>
      </c>
      <c r="J1972" s="160"/>
    </row>
    <row r="1973" spans="1:10">
      <c r="A1973" s="13" t="s">
        <v>21</v>
      </c>
      <c r="B1973" s="13" t="s">
        <v>83</v>
      </c>
      <c r="C1973" s="13" t="str">
        <f>VLOOKUP([1]Competence!$B47,[1]Competence!$B$12:$B$100,1,FALSE)</f>
        <v>Audit</v>
      </c>
      <c r="D1973" s="13" t="str" cm="1">
        <f t="array" ref="D1973">_xlfn.XLOOKUP(B1973,[1]Baseline!$D$3:$AZ$3,_xlfn.XLOOKUP(C1973,[1]Baseline!$B$4:$B$91,[1]Baseline!$D$4:$AZ$91))</f>
        <v>Practitioner</v>
      </c>
      <c r="E1973" s="13" t="s">
        <v>49</v>
      </c>
      <c r="F1973" s="13">
        <v>1</v>
      </c>
      <c r="G1973" s="153">
        <v>1</v>
      </c>
      <c r="H1973" s="16">
        <f t="shared" si="30"/>
        <v>0</v>
      </c>
      <c r="I1973" s="13">
        <v>1</v>
      </c>
      <c r="J1973" s="160"/>
    </row>
    <row r="1974" spans="1:10">
      <c r="A1974" s="13" t="s">
        <v>21</v>
      </c>
      <c r="B1974" s="13" t="s">
        <v>83</v>
      </c>
      <c r="C1974" s="13" t="str">
        <f>VLOOKUP([1]Competence!$B48,[1]Competence!$B$12:$B$100,1,FALSE)</f>
        <v>Contract management</v>
      </c>
      <c r="D1974" s="13" t="str" cm="1">
        <f t="array" ref="D1974">_xlfn.XLOOKUP(B1974,[1]Baseline!$D$3:$AZ$3,_xlfn.XLOOKUP(C1974,[1]Baseline!$B$4:$B$91,[1]Baseline!$D$4:$AZ$91))</f>
        <v>Practitioner</v>
      </c>
      <c r="E1974" s="13" t="s">
        <v>375</v>
      </c>
      <c r="F1974" s="13">
        <v>3</v>
      </c>
      <c r="G1974" s="153">
        <v>0</v>
      </c>
      <c r="H1974" s="16">
        <f t="shared" si="30"/>
        <v>-3</v>
      </c>
      <c r="I1974" s="13">
        <v>0</v>
      </c>
      <c r="J1974" s="160"/>
    </row>
    <row r="1975" spans="1:10">
      <c r="A1975" s="13" t="s">
        <v>21</v>
      </c>
      <c r="B1975" s="13" t="s">
        <v>83</v>
      </c>
      <c r="C1975" s="13" t="str">
        <f>VLOOKUP([1]Competence!$B49,[1]Competence!$B$12:$B$100,1,FALSE)</f>
        <v>Feasibility assessment</v>
      </c>
      <c r="D1975" s="13" t="str" cm="1">
        <f t="array" ref="D1975">_xlfn.XLOOKUP(B1975,[1]Baseline!$D$3:$AZ$3,_xlfn.XLOOKUP(C1975,[1]Baseline!$B$4:$B$91,[1]Baseline!$D$4:$AZ$91))</f>
        <v>Practitioner</v>
      </c>
      <c r="E1975" s="13" t="s">
        <v>375</v>
      </c>
      <c r="F1975" s="13">
        <v>2</v>
      </c>
      <c r="G1975" s="153">
        <v>0</v>
      </c>
      <c r="H1975" s="16">
        <f t="shared" si="30"/>
        <v>-2</v>
      </c>
      <c r="I1975" s="13">
        <v>0</v>
      </c>
      <c r="J1975" s="160"/>
    </row>
    <row r="1976" spans="1:10">
      <c r="A1976" s="13" t="s">
        <v>21</v>
      </c>
      <c r="B1976" s="13" t="s">
        <v>83</v>
      </c>
      <c r="C1976" s="13" t="str">
        <f>VLOOKUP([1]Competence!$B50,[1]Competence!$B$12:$B$100,1,FALSE)</f>
        <v>Governance</v>
      </c>
      <c r="D1976" s="13" t="str" cm="1">
        <f t="array" ref="D1976">_xlfn.XLOOKUP(B1976,[1]Baseline!$D$3:$AZ$3,_xlfn.XLOOKUP(C1976,[1]Baseline!$B$4:$B$91,[1]Baseline!$D$4:$AZ$91))</f>
        <v>Practitioner</v>
      </c>
      <c r="E1976" s="13" t="s">
        <v>375</v>
      </c>
      <c r="F1976" s="13">
        <v>3</v>
      </c>
      <c r="G1976" s="153">
        <v>1</v>
      </c>
      <c r="H1976" s="16">
        <f t="shared" si="30"/>
        <v>-2</v>
      </c>
      <c r="I1976" s="13">
        <v>1</v>
      </c>
      <c r="J1976" s="160"/>
    </row>
    <row r="1977" spans="1:10">
      <c r="A1977" s="13" t="s">
        <v>21</v>
      </c>
      <c r="B1977" s="13" t="s">
        <v>83</v>
      </c>
      <c r="C1977" s="13" t="str">
        <f>VLOOKUP([1]Competence!$B51,[1]Competence!$B$12:$B$100,1,FALSE)</f>
        <v>Risk management</v>
      </c>
      <c r="D1977" s="13" t="str" cm="1">
        <f t="array" ref="D1977">_xlfn.XLOOKUP(B1977,[1]Baseline!$D$3:$AZ$3,_xlfn.XLOOKUP(C1977,[1]Baseline!$B$4:$B$91,[1]Baseline!$D$4:$AZ$91))</f>
        <v>Working</v>
      </c>
      <c r="E1977" s="13" t="s">
        <v>375</v>
      </c>
      <c r="F1977" s="13">
        <v>3</v>
      </c>
      <c r="G1977" s="153">
        <v>1</v>
      </c>
      <c r="H1977" s="16">
        <f t="shared" si="30"/>
        <v>-2</v>
      </c>
      <c r="I1977" s="13">
        <v>1</v>
      </c>
      <c r="J1977" s="160"/>
    </row>
    <row r="1978" spans="1:10">
      <c r="A1978" s="13" t="s">
        <v>21</v>
      </c>
      <c r="B1978" s="13" t="s">
        <v>83</v>
      </c>
      <c r="C1978" s="13" t="str">
        <f>VLOOKUP([1]Competence!$B52,[1]Competence!$B$12:$B$100,1,FALSE)</f>
        <v>Sourcing</v>
      </c>
      <c r="D1978" s="13" t="str" cm="1">
        <f t="array" ref="D1978">_xlfn.XLOOKUP(B1978,[1]Baseline!$D$3:$AZ$3,_xlfn.XLOOKUP(C1978,[1]Baseline!$B$4:$B$91,[1]Baseline!$D$4:$AZ$91))</f>
        <v>Practitioner</v>
      </c>
      <c r="E1978" s="13" t="s">
        <v>375</v>
      </c>
      <c r="F1978" s="13">
        <v>1</v>
      </c>
      <c r="G1978" s="153">
        <v>1</v>
      </c>
      <c r="H1978" s="16">
        <f t="shared" si="30"/>
        <v>0</v>
      </c>
      <c r="I1978" s="13">
        <v>1</v>
      </c>
      <c r="J1978" s="160"/>
    </row>
    <row r="1979" spans="1:10">
      <c r="A1979" s="13" t="s">
        <v>21</v>
      </c>
      <c r="B1979" s="13" t="s">
        <v>83</v>
      </c>
      <c r="C1979" s="13" t="str">
        <f>VLOOKUP([1]Competence!$B53,[1]Competence!$B$12:$B$100,1,FALSE)</f>
        <v>Supplier management</v>
      </c>
      <c r="D1979" s="13" t="str" cm="1">
        <f t="array" ref="D1979">_xlfn.XLOOKUP(B1979,[1]Baseline!$D$3:$AZ$3,_xlfn.XLOOKUP(C1979,[1]Baseline!$B$4:$B$91,[1]Baseline!$D$4:$AZ$91))</f>
        <v>Practitioner</v>
      </c>
      <c r="E1979" s="13" t="s">
        <v>375</v>
      </c>
      <c r="F1979" s="13">
        <v>0</v>
      </c>
      <c r="G1979" s="153">
        <v>0</v>
      </c>
      <c r="H1979" s="16">
        <f t="shared" si="30"/>
        <v>0</v>
      </c>
      <c r="I1979" s="13">
        <v>0</v>
      </c>
      <c r="J1979" s="160"/>
    </row>
    <row r="1980" spans="1:10">
      <c r="A1980" s="13" t="s">
        <v>21</v>
      </c>
      <c r="B1980" s="13" t="s">
        <v>83</v>
      </c>
      <c r="C1980" s="13" t="str">
        <f>VLOOKUP([1]Competence!$B54,[1]Competence!$B$12:$B$100,1,FALSE)</f>
        <v>Sustainability</v>
      </c>
      <c r="D1980" s="13" t="str" cm="1">
        <f t="array" ref="D1980">_xlfn.XLOOKUP(B1980,[1]Baseline!$D$3:$AZ$3,_xlfn.XLOOKUP(C1980,[1]Baseline!$B$4:$B$91,[1]Baseline!$D$4:$AZ$91))</f>
        <v>Awareness</v>
      </c>
      <c r="E1980" s="13" t="s">
        <v>375</v>
      </c>
      <c r="F1980" s="13">
        <v>3</v>
      </c>
      <c r="G1980" s="153">
        <v>1</v>
      </c>
      <c r="H1980" s="16">
        <f t="shared" si="30"/>
        <v>-2</v>
      </c>
      <c r="I1980" s="13">
        <v>1</v>
      </c>
      <c r="J1980" s="160"/>
    </row>
    <row r="1981" spans="1:10">
      <c r="A1981" s="13" t="s">
        <v>21</v>
      </c>
      <c r="B1981" s="13" t="s">
        <v>83</v>
      </c>
      <c r="C1981" s="13" t="str">
        <f>VLOOKUP([1]Competence!$B55,[1]Competence!$B$12:$B$100,1,FALSE)</f>
        <v>Acceptance testing</v>
      </c>
      <c r="D1981" s="13" t="str" cm="1">
        <f t="array" ref="D1981">_xlfn.XLOOKUP(B1981,[1]Baseline!$D$3:$AZ$3,_xlfn.XLOOKUP(C1981,[1]Baseline!$B$4:$B$91,[1]Baseline!$D$4:$AZ$91))</f>
        <v>Practitioner</v>
      </c>
      <c r="E1981" s="13" t="s">
        <v>375</v>
      </c>
      <c r="F1981" s="13">
        <v>3</v>
      </c>
      <c r="G1981" s="153">
        <v>1</v>
      </c>
      <c r="H1981" s="16">
        <f t="shared" si="30"/>
        <v>-2</v>
      </c>
      <c r="I1981" s="13">
        <v>1</v>
      </c>
      <c r="J1981" s="160"/>
    </row>
    <row r="1982" spans="1:10">
      <c r="A1982" s="13" t="s">
        <v>21</v>
      </c>
      <c r="B1982" s="13" t="s">
        <v>83</v>
      </c>
      <c r="C1982" s="13" t="str">
        <f>VLOOKUP([1]Competence!$B56,[1]Competence!$B$12:$B$100,1,FALSE)</f>
        <v>Application support</v>
      </c>
      <c r="D1982" s="13" t="str" cm="1">
        <f t="array" ref="D1982">_xlfn.XLOOKUP(B1982,[1]Baseline!$D$3:$AZ$3,_xlfn.XLOOKUP(C1982,[1]Baseline!$B$4:$B$91,[1]Baseline!$D$4:$AZ$91))</f>
        <v>Practitioner</v>
      </c>
      <c r="E1982" s="13" t="s">
        <v>375</v>
      </c>
      <c r="F1982" s="13">
        <v>3</v>
      </c>
      <c r="G1982" s="153">
        <v>3</v>
      </c>
      <c r="H1982" s="16">
        <f t="shared" si="30"/>
        <v>0</v>
      </c>
      <c r="I1982" s="13">
        <v>3</v>
      </c>
      <c r="J1982" s="160"/>
    </row>
    <row r="1983" spans="1:10">
      <c r="A1983" s="13" t="s">
        <v>21</v>
      </c>
      <c r="B1983" s="13" t="s">
        <v>83</v>
      </c>
      <c r="C1983" s="13" t="str">
        <f>VLOOKUP([1]Competence!$B57,[1]Competence!$B$12:$B$100,1,FALSE)</f>
        <v>Data Engineering</v>
      </c>
      <c r="D1983" s="13" t="str" cm="1">
        <f t="array" ref="D1983">_xlfn.XLOOKUP(B1983,[1]Baseline!$D$3:$AZ$3,_xlfn.XLOOKUP(C1983,[1]Baseline!$B$4:$B$91,[1]Baseline!$D$4:$AZ$91))</f>
        <v>Awareness</v>
      </c>
      <c r="E1983" s="13" t="s">
        <v>376</v>
      </c>
      <c r="F1983" s="13">
        <v>2</v>
      </c>
      <c r="G1983" s="153">
        <v>1</v>
      </c>
      <c r="H1983" s="16">
        <f t="shared" si="30"/>
        <v>-1</v>
      </c>
      <c r="I1983" s="13">
        <v>1</v>
      </c>
      <c r="J1983" s="160"/>
    </row>
    <row r="1984" spans="1:10">
      <c r="A1984" s="13" t="s">
        <v>21</v>
      </c>
      <c r="B1984" s="13" t="s">
        <v>83</v>
      </c>
      <c r="C1984" s="13" t="str">
        <f>VLOOKUP([1]Competence!$B58,[1]Competence!$B$12:$B$100,1,FALSE)</f>
        <v>Data Management</v>
      </c>
      <c r="D1984" s="13" t="str" cm="1">
        <f t="array" ref="D1984">_xlfn.XLOOKUP(B1984,[1]Baseline!$D$3:$AZ$3,_xlfn.XLOOKUP(C1984,[1]Baseline!$B$4:$B$91,[1]Baseline!$D$4:$AZ$91))</f>
        <v>No Knowledge</v>
      </c>
      <c r="E1984" s="13" t="s">
        <v>376</v>
      </c>
      <c r="F1984" s="13">
        <v>2</v>
      </c>
      <c r="G1984" s="153">
        <v>1</v>
      </c>
      <c r="H1984" s="16">
        <f t="shared" si="30"/>
        <v>-1</v>
      </c>
      <c r="I1984" s="13">
        <v>1</v>
      </c>
      <c r="J1984" s="160"/>
    </row>
    <row r="1985" spans="1:10">
      <c r="A1985" s="13" t="s">
        <v>21</v>
      </c>
      <c r="B1985" s="13" t="s">
        <v>83</v>
      </c>
      <c r="C1985" s="13" t="str">
        <f>VLOOKUP([1]Competence!$B59,[1]Competence!$B$12:$B$100,1,FALSE)</f>
        <v>Data Modelling and Design</v>
      </c>
      <c r="D1985" s="13" t="str" cm="1">
        <f t="array" ref="D1985">_xlfn.XLOOKUP(B1985,[1]Baseline!$D$3:$AZ$3,_xlfn.XLOOKUP(C1985,[1]Baseline!$B$4:$B$91,[1]Baseline!$D$4:$AZ$91))</f>
        <v>No Knowledge</v>
      </c>
      <c r="E1985" s="13" t="s">
        <v>376</v>
      </c>
      <c r="F1985" s="13">
        <v>2</v>
      </c>
      <c r="G1985" s="153">
        <v>2</v>
      </c>
      <c r="H1985" s="16">
        <f t="shared" si="30"/>
        <v>0</v>
      </c>
      <c r="I1985" s="13">
        <v>2</v>
      </c>
      <c r="J1985" s="160"/>
    </row>
    <row r="1986" spans="1:10">
      <c r="A1986" s="13" t="s">
        <v>21</v>
      </c>
      <c r="B1986" s="13" t="s">
        <v>83</v>
      </c>
      <c r="C1986" s="13" t="str">
        <f>VLOOKUP([1]Competence!$B60,[1]Competence!$B$12:$B$100,1,FALSE)</f>
        <v>Data science</v>
      </c>
      <c r="D1986" s="13" t="str" cm="1">
        <f t="array" ref="D1986">_xlfn.XLOOKUP(B1986,[1]Baseline!$D$3:$AZ$3,_xlfn.XLOOKUP(C1986,[1]Baseline!$B$4:$B$91,[1]Baseline!$D$4:$AZ$91))</f>
        <v>No Knowledge</v>
      </c>
      <c r="E1986" s="13" t="s">
        <v>374</v>
      </c>
      <c r="F1986" s="13">
        <v>2</v>
      </c>
      <c r="G1986" s="153">
        <v>1</v>
      </c>
      <c r="H1986" s="16">
        <f t="shared" ref="H1986:H2049" si="31">I1986-F1986</f>
        <v>-1</v>
      </c>
      <c r="I1986" s="13">
        <v>1</v>
      </c>
      <c r="J1986" s="160"/>
    </row>
    <row r="1987" spans="1:10">
      <c r="A1987" s="13" t="s">
        <v>21</v>
      </c>
      <c r="B1987" s="13" t="s">
        <v>83</v>
      </c>
      <c r="C1987" s="13" t="str">
        <f>VLOOKUP([1]Competence!$B61,[1]Competence!$B$12:$B$100,1,FALSE)</f>
        <v>Data visualisation</v>
      </c>
      <c r="D1987" s="13" t="str" cm="1">
        <f t="array" ref="D1987">_xlfn.XLOOKUP(B1987,[1]Baseline!$D$3:$AZ$3,_xlfn.XLOOKUP(C1987,[1]Baseline!$B$4:$B$91,[1]Baseline!$D$4:$AZ$91))</f>
        <v>No Knowledge</v>
      </c>
      <c r="E1987" s="13" t="s">
        <v>377</v>
      </c>
      <c r="F1987" s="13">
        <v>0</v>
      </c>
      <c r="G1987" s="153">
        <v>2</v>
      </c>
      <c r="H1987" s="16">
        <f t="shared" si="31"/>
        <v>2</v>
      </c>
      <c r="I1987" s="13">
        <v>2</v>
      </c>
      <c r="J1987" s="160"/>
    </row>
    <row r="1988" spans="1:10">
      <c r="A1988" s="13" t="s">
        <v>21</v>
      </c>
      <c r="B1988" s="13" t="s">
        <v>83</v>
      </c>
      <c r="C1988" s="13" t="str">
        <f>VLOOKUP([1]Competence!$B62,[1]Competence!$B$12:$B$100,1,FALSE)</f>
        <v>Database Administration</v>
      </c>
      <c r="D1988" s="13" t="str" cm="1">
        <f t="array" ref="D1988">_xlfn.XLOOKUP(B1988,[1]Baseline!$D$3:$AZ$3,_xlfn.XLOOKUP(C1988,[1]Baseline!$B$4:$B$91,[1]Baseline!$D$4:$AZ$91))</f>
        <v>Working</v>
      </c>
      <c r="E1988" s="13" t="s">
        <v>378</v>
      </c>
      <c r="F1988" s="13">
        <v>1</v>
      </c>
      <c r="G1988" s="153">
        <v>2</v>
      </c>
      <c r="H1988" s="16">
        <f t="shared" si="31"/>
        <v>1</v>
      </c>
      <c r="I1988" s="13">
        <v>2</v>
      </c>
      <c r="J1988" s="160"/>
    </row>
    <row r="1989" spans="1:10">
      <c r="A1989" s="13" t="s">
        <v>21</v>
      </c>
      <c r="B1989" s="13" t="s">
        <v>83</v>
      </c>
      <c r="C1989" s="13" t="str">
        <f>VLOOKUP([1]Competence!$B63,[1]Competence!$B$12:$B$100,1,FALSE)</f>
        <v>Database Design</v>
      </c>
      <c r="D1989" s="13" t="str" cm="1">
        <f t="array" ref="D1989">_xlfn.XLOOKUP(B1989,[1]Baseline!$D$3:$AZ$3,_xlfn.XLOOKUP(C1989,[1]Baseline!$B$4:$B$91,[1]Baseline!$D$4:$AZ$91))</f>
        <v>Working</v>
      </c>
      <c r="E1989" s="13" t="s">
        <v>378</v>
      </c>
      <c r="F1989" s="13">
        <v>0</v>
      </c>
      <c r="G1989" s="153">
        <v>3</v>
      </c>
      <c r="H1989" s="16">
        <f t="shared" si="31"/>
        <v>3</v>
      </c>
      <c r="I1989" s="13">
        <v>3</v>
      </c>
      <c r="J1989" s="160"/>
    </row>
    <row r="1990" spans="1:10">
      <c r="A1990" s="13" t="s">
        <v>21</v>
      </c>
      <c r="B1990" s="13" t="s">
        <v>83</v>
      </c>
      <c r="C1990" s="13" t="str">
        <f>VLOOKUP([1]Competence!$B64,[1]Competence!$B$12:$B$100,1,FALSE)</f>
        <v>Hardware design</v>
      </c>
      <c r="D1990" s="13" t="str" cm="1">
        <f t="array" ref="D1990">_xlfn.XLOOKUP(B1990,[1]Baseline!$D$3:$AZ$3,_xlfn.XLOOKUP(C1990,[1]Baseline!$B$4:$B$91,[1]Baseline!$D$4:$AZ$91))</f>
        <v>No Knowledge</v>
      </c>
      <c r="E1990" s="13" t="s">
        <v>378</v>
      </c>
      <c r="F1990" s="13">
        <v>0</v>
      </c>
      <c r="G1990" s="153">
        <v>1</v>
      </c>
      <c r="H1990" s="16">
        <f t="shared" si="31"/>
        <v>1</v>
      </c>
      <c r="I1990" s="13">
        <v>1</v>
      </c>
      <c r="J1990" s="160"/>
    </row>
    <row r="1991" spans="1:10">
      <c r="A1991" s="13" t="s">
        <v>21</v>
      </c>
      <c r="B1991" s="13" t="s">
        <v>83</v>
      </c>
      <c r="C1991" s="13" t="str">
        <f>VLOOKUP([1]Competence!$B65,[1]Competence!$B$12:$B$100,1,FALSE)</f>
        <v>High Performance Computing</v>
      </c>
      <c r="D1991" s="13" t="str" cm="1">
        <f t="array" ref="D1991">_xlfn.XLOOKUP(B1991,[1]Baseline!$D$3:$AZ$3,_xlfn.XLOOKUP(C1991,[1]Baseline!$B$4:$B$91,[1]Baseline!$D$4:$AZ$91))</f>
        <v>No Knowledge</v>
      </c>
      <c r="E1991" s="13" t="s">
        <v>378</v>
      </c>
      <c r="F1991" s="13">
        <v>0</v>
      </c>
      <c r="G1991" s="153">
        <v>1</v>
      </c>
      <c r="H1991" s="16">
        <f t="shared" si="31"/>
        <v>1</v>
      </c>
      <c r="I1991" s="13">
        <v>1</v>
      </c>
      <c r="J1991" s="160"/>
    </row>
    <row r="1992" spans="1:10">
      <c r="A1992" s="13" t="s">
        <v>21</v>
      </c>
      <c r="B1992" s="13" t="s">
        <v>83</v>
      </c>
      <c r="C1992" s="13" t="str">
        <f>VLOOKUP([1]Competence!$B66,[1]Competence!$B$12:$B$100,1,FALSE)</f>
        <v>Research Computing</v>
      </c>
      <c r="D1992" s="13" t="str" cm="1">
        <f t="array" ref="D1992">_xlfn.XLOOKUP(B1992,[1]Baseline!$D$3:$AZ$3,_xlfn.XLOOKUP(C1992,[1]Baseline!$B$4:$B$91,[1]Baseline!$D$4:$AZ$91))</f>
        <v>Awareness</v>
      </c>
      <c r="E1992" s="13" t="s">
        <v>378</v>
      </c>
      <c r="F1992" s="13">
        <v>1</v>
      </c>
      <c r="G1992" s="153">
        <v>1</v>
      </c>
      <c r="H1992" s="16">
        <f t="shared" si="31"/>
        <v>0</v>
      </c>
      <c r="I1992" s="13">
        <v>1</v>
      </c>
      <c r="J1992" s="160"/>
    </row>
    <row r="1993" spans="1:10">
      <c r="A1993" s="13" t="s">
        <v>21</v>
      </c>
      <c r="B1993" s="13" t="s">
        <v>83</v>
      </c>
      <c r="C1993" s="13" t="str">
        <f>VLOOKUP([1]Competence!$B67,[1]Competence!$B$12:$B$100,1,FALSE)</f>
        <v>Information assurance</v>
      </c>
      <c r="D1993" s="13" t="str" cm="1">
        <f t="array" ref="D1993">_xlfn.XLOOKUP(B1993,[1]Baseline!$D$3:$AZ$3,_xlfn.XLOOKUP(C1993,[1]Baseline!$B$4:$B$91,[1]Baseline!$D$4:$AZ$91))</f>
        <v>Practitioner</v>
      </c>
      <c r="E1993" s="13" t="s">
        <v>378</v>
      </c>
      <c r="F1993" s="13">
        <v>0</v>
      </c>
      <c r="G1993" s="153">
        <v>3</v>
      </c>
      <c r="H1993" s="16">
        <f t="shared" si="31"/>
        <v>3</v>
      </c>
      <c r="I1993" s="13">
        <v>3</v>
      </c>
      <c r="J1993" s="160"/>
    </row>
    <row r="1994" spans="1:10">
      <c r="A1994" s="13" t="s">
        <v>21</v>
      </c>
      <c r="B1994" s="13" t="s">
        <v>83</v>
      </c>
      <c r="C1994" s="13" t="str">
        <f>VLOOKUP([1]Competence!$B68,[1]Competence!$B$12:$B$100,1,FALSE)</f>
        <v>Information management</v>
      </c>
      <c r="D1994" s="13" t="str" cm="1">
        <f t="array" ref="D1994">_xlfn.XLOOKUP(B1994,[1]Baseline!$D$3:$AZ$3,_xlfn.XLOOKUP(C1994,[1]Baseline!$B$4:$B$91,[1]Baseline!$D$4:$AZ$91))</f>
        <v>Practitioner</v>
      </c>
      <c r="E1994" s="13" t="s">
        <v>375</v>
      </c>
      <c r="F1994" s="13">
        <v>0</v>
      </c>
      <c r="G1994" s="153">
        <v>3</v>
      </c>
      <c r="H1994" s="16">
        <f t="shared" si="31"/>
        <v>3</v>
      </c>
      <c r="I1994" s="13">
        <v>3</v>
      </c>
      <c r="J1994" s="160"/>
    </row>
    <row r="1995" spans="1:10">
      <c r="A1995" s="13" t="s">
        <v>21</v>
      </c>
      <c r="B1995" s="13" t="s">
        <v>83</v>
      </c>
      <c r="C1995" s="13" t="str">
        <f>VLOOKUP([1]Competence!$B69,[1]Competence!$B$12:$B$100,1,FALSE)</f>
        <v>Infrastructure</v>
      </c>
      <c r="D1995" s="13" t="str" cm="1">
        <f t="array" ref="D1995">_xlfn.XLOOKUP(B1995,[1]Baseline!$D$3:$AZ$3,_xlfn.XLOOKUP(C1995,[1]Baseline!$B$4:$B$91,[1]Baseline!$D$4:$AZ$91))</f>
        <v>Working</v>
      </c>
      <c r="E1995" s="13" t="s">
        <v>375</v>
      </c>
      <c r="F1995" s="13">
        <v>0</v>
      </c>
      <c r="G1995" s="153">
        <v>3</v>
      </c>
      <c r="H1995" s="16">
        <f t="shared" si="31"/>
        <v>3</v>
      </c>
      <c r="I1995" s="13">
        <v>3</v>
      </c>
      <c r="J1995" s="160"/>
    </row>
    <row r="1996" spans="1:10">
      <c r="A1996" s="13" t="s">
        <v>21</v>
      </c>
      <c r="B1996" s="13" t="s">
        <v>83</v>
      </c>
      <c r="C1996" s="13" t="str">
        <f>VLOOKUP([1]Competence!$B70,[1]Competence!$B$12:$B$100,1,FALSE)</f>
        <v>Network design</v>
      </c>
      <c r="D1996" s="13" t="str" cm="1">
        <f t="array" ref="D1996">_xlfn.XLOOKUP(B1996,[1]Baseline!$D$3:$AZ$3,_xlfn.XLOOKUP(C1996,[1]Baseline!$B$4:$B$91,[1]Baseline!$D$4:$AZ$91))</f>
        <v>Awareness</v>
      </c>
      <c r="E1996" s="13" t="s">
        <v>375</v>
      </c>
      <c r="F1996" s="13">
        <v>0</v>
      </c>
      <c r="G1996" s="153">
        <v>1</v>
      </c>
      <c r="H1996" s="16">
        <f t="shared" si="31"/>
        <v>1</v>
      </c>
      <c r="I1996" s="13">
        <v>1</v>
      </c>
      <c r="J1996" s="160"/>
    </row>
    <row r="1997" spans="1:10">
      <c r="A1997" s="13" t="s">
        <v>21</v>
      </c>
      <c r="B1997" s="13" t="s">
        <v>83</v>
      </c>
      <c r="C1997" s="13" t="str">
        <f>VLOOKUP([1]Competence!$B71,[1]Competence!$B$12:$B$100,1,FALSE)</f>
        <v>Network Analytics</v>
      </c>
      <c r="D1997" s="13" t="str" cm="1">
        <f t="array" ref="D1997">_xlfn.XLOOKUP(B1997,[1]Baseline!$D$3:$AZ$3,_xlfn.XLOOKUP(C1997,[1]Baseline!$B$4:$B$91,[1]Baseline!$D$4:$AZ$91))</f>
        <v>No Knowledge</v>
      </c>
      <c r="E1997" s="13" t="s">
        <v>375</v>
      </c>
      <c r="F1997" s="13">
        <v>0</v>
      </c>
      <c r="G1997" s="153">
        <v>2</v>
      </c>
      <c r="H1997" s="16">
        <f t="shared" si="31"/>
        <v>2</v>
      </c>
      <c r="I1997" s="13">
        <v>2</v>
      </c>
      <c r="J1997" s="160"/>
    </row>
    <row r="1998" spans="1:10">
      <c r="A1998" s="13" t="s">
        <v>21</v>
      </c>
      <c r="B1998" s="13" t="s">
        <v>83</v>
      </c>
      <c r="C1998" s="13" t="str">
        <f>VLOOKUP([1]Competence!$B72,[1]Competence!$B$12:$B$100,1,FALSE)</f>
        <v>Network support</v>
      </c>
      <c r="D1998" s="13" t="str" cm="1">
        <f t="array" ref="D1998">_xlfn.XLOOKUP(B1998,[1]Baseline!$D$3:$AZ$3,_xlfn.XLOOKUP(C1998,[1]Baseline!$B$4:$B$91,[1]Baseline!$D$4:$AZ$91))</f>
        <v>No Knowledge</v>
      </c>
      <c r="E1998" s="13" t="s">
        <v>375</v>
      </c>
      <c r="F1998" s="13">
        <v>0</v>
      </c>
      <c r="G1998" s="153">
        <v>0</v>
      </c>
      <c r="H1998" s="16">
        <f t="shared" si="31"/>
        <v>0</v>
      </c>
      <c r="I1998" s="13">
        <v>0</v>
      </c>
      <c r="J1998" s="160"/>
    </row>
    <row r="1999" spans="1:10">
      <c r="A1999" s="13" t="s">
        <v>21</v>
      </c>
      <c r="B1999" s="13" t="s">
        <v>83</v>
      </c>
      <c r="C1999" s="13" t="str">
        <f>VLOOKUP([1]Competence!$B73,[1]Competence!$B$12:$B$100,1,FALSE)</f>
        <v>Programming/software development</v>
      </c>
      <c r="D1999" s="13" t="str" cm="1">
        <f t="array" ref="D1999">_xlfn.XLOOKUP(B1999,[1]Baseline!$D$3:$AZ$3,_xlfn.XLOOKUP(C1999,[1]Baseline!$B$4:$B$91,[1]Baseline!$D$4:$AZ$91))</f>
        <v>Expert</v>
      </c>
      <c r="E1999" s="13" t="s">
        <v>375</v>
      </c>
      <c r="F1999" s="13">
        <v>2</v>
      </c>
      <c r="G1999" s="153">
        <v>3</v>
      </c>
      <c r="H1999" s="16">
        <f t="shared" si="31"/>
        <v>1</v>
      </c>
      <c r="I1999" s="13">
        <v>3</v>
      </c>
      <c r="J1999" s="160"/>
    </row>
    <row r="2000" spans="1:10">
      <c r="A2000" s="13" t="s">
        <v>21</v>
      </c>
      <c r="B2000" s="13" t="s">
        <v>83</v>
      </c>
      <c r="C2000" s="13" t="str">
        <f>VLOOKUP([1]Competence!$B74,[1]Competence!$B$12:$B$100,1,FALSE)</f>
        <v>Real-time/embedded systems development</v>
      </c>
      <c r="D2000" s="13" t="str" cm="1">
        <f t="array" ref="D2000">_xlfn.XLOOKUP(B2000,[1]Baseline!$D$3:$AZ$3,_xlfn.XLOOKUP(C2000,[1]Baseline!$B$4:$B$91,[1]Baseline!$D$4:$AZ$91))</f>
        <v>Expert</v>
      </c>
      <c r="E2000" s="13" t="s">
        <v>375</v>
      </c>
      <c r="F2000" s="13">
        <v>2</v>
      </c>
      <c r="G2000" s="153">
        <v>1</v>
      </c>
      <c r="H2000" s="16">
        <f t="shared" si="31"/>
        <v>-1</v>
      </c>
      <c r="I2000" s="13">
        <v>1</v>
      </c>
      <c r="J2000" s="160"/>
    </row>
    <row r="2001" spans="1:10">
      <c r="A2001" s="13" t="s">
        <v>21</v>
      </c>
      <c r="B2001" s="13" t="s">
        <v>83</v>
      </c>
      <c r="C2001" s="13" t="str">
        <f>VLOOKUP([1]Competence!$B75,[1]Competence!$B$12:$B$100,1,FALSE)</f>
        <v>Requirements definition and management</v>
      </c>
      <c r="D2001" s="13" t="str" cm="1">
        <f t="array" ref="D2001">_xlfn.XLOOKUP(B2001,[1]Baseline!$D$3:$AZ$3,_xlfn.XLOOKUP(C2001,[1]Baseline!$B$4:$B$91,[1]Baseline!$D$4:$AZ$91))</f>
        <v>Expert</v>
      </c>
      <c r="E2001" s="13" t="s">
        <v>375</v>
      </c>
      <c r="F2001" s="13">
        <v>1</v>
      </c>
      <c r="G2001" s="153">
        <v>3</v>
      </c>
      <c r="H2001" s="16">
        <f t="shared" si="31"/>
        <v>2</v>
      </c>
      <c r="I2001" s="13">
        <v>3</v>
      </c>
      <c r="J2001" s="160"/>
    </row>
    <row r="2002" spans="1:10">
      <c r="A2002" s="13" t="s">
        <v>21</v>
      </c>
      <c r="B2002" s="13" t="s">
        <v>83</v>
      </c>
      <c r="C2002" s="13" t="str">
        <f>VLOOKUP([1]Competence!$B76,[1]Competence!$B$12:$B$100,1,FALSE)</f>
        <v>Software configuration</v>
      </c>
      <c r="D2002" s="13" t="str" cm="1">
        <f t="array" ref="D2002">_xlfn.XLOOKUP(B2002,[1]Baseline!$D$3:$AZ$3,_xlfn.XLOOKUP(C2002,[1]Baseline!$B$4:$B$91,[1]Baseline!$D$4:$AZ$91))</f>
        <v>Expert</v>
      </c>
      <c r="E2002" s="13" t="s">
        <v>375</v>
      </c>
      <c r="F2002" s="13">
        <v>1</v>
      </c>
      <c r="G2002" s="153">
        <v>3</v>
      </c>
      <c r="H2002" s="16">
        <f t="shared" si="31"/>
        <v>2</v>
      </c>
      <c r="I2002" s="13">
        <v>3</v>
      </c>
      <c r="J2002" s="160"/>
    </row>
    <row r="2003" spans="1:10">
      <c r="A2003" s="13" t="s">
        <v>21</v>
      </c>
      <c r="B2003" s="13" t="s">
        <v>83</v>
      </c>
      <c r="C2003" s="13" t="str">
        <f>VLOOKUP([1]Competence!$B77,[1]Competence!$B$12:$B$100,1,FALSE)</f>
        <v>Software design</v>
      </c>
      <c r="D2003" s="13" t="str" cm="1">
        <f t="array" ref="D2003">_xlfn.XLOOKUP(B2003,[1]Baseline!$D$3:$AZ$3,_xlfn.XLOOKUP(C2003,[1]Baseline!$B$4:$B$91,[1]Baseline!$D$4:$AZ$91))</f>
        <v>Expert</v>
      </c>
      <c r="E2003" s="13" t="s">
        <v>375</v>
      </c>
      <c r="F2003" s="13">
        <v>0</v>
      </c>
      <c r="G2003" s="153">
        <v>3</v>
      </c>
      <c r="H2003" s="16">
        <f t="shared" si="31"/>
        <v>3</v>
      </c>
      <c r="I2003" s="13">
        <v>3</v>
      </c>
      <c r="J2003" s="160"/>
    </row>
    <row r="2004" spans="1:10">
      <c r="A2004" s="13" t="s">
        <v>21</v>
      </c>
      <c r="B2004" s="13" t="s">
        <v>83</v>
      </c>
      <c r="C2004" s="13" t="str">
        <f>VLOOKUP([1]Competence!$B78,[1]Competence!$B$12:$B$100,1,FALSE)</f>
        <v>Solution architecture</v>
      </c>
      <c r="D2004" s="13" t="str" cm="1">
        <f t="array" ref="D2004">_xlfn.XLOOKUP(B2004,[1]Baseline!$D$3:$AZ$3,_xlfn.XLOOKUP(C2004,[1]Baseline!$B$4:$B$91,[1]Baseline!$D$4:$AZ$91))</f>
        <v>Working</v>
      </c>
      <c r="E2004" s="13" t="s">
        <v>375</v>
      </c>
      <c r="F2004" s="13">
        <v>0</v>
      </c>
      <c r="G2004" s="153">
        <v>3</v>
      </c>
      <c r="H2004" s="16">
        <f t="shared" si="31"/>
        <v>3</v>
      </c>
      <c r="I2004" s="13">
        <v>3</v>
      </c>
      <c r="J2004" s="160"/>
    </row>
    <row r="2005" spans="1:10">
      <c r="A2005" s="13" t="s">
        <v>21</v>
      </c>
      <c r="B2005" s="13" t="s">
        <v>83</v>
      </c>
      <c r="C2005" s="13" t="str">
        <f>VLOOKUP([1]Competence!$B79,[1]Competence!$B$12:$B$100,1,FALSE)</f>
        <v>System software</v>
      </c>
      <c r="D2005" s="13" t="str" cm="1">
        <f t="array" ref="D2005">_xlfn.XLOOKUP(B2005,[1]Baseline!$D$3:$AZ$3,_xlfn.XLOOKUP(C2005,[1]Baseline!$B$4:$B$91,[1]Baseline!$D$4:$AZ$91))</f>
        <v>Expert</v>
      </c>
      <c r="E2005" s="13" t="s">
        <v>374</v>
      </c>
      <c r="F2005" s="13">
        <v>0</v>
      </c>
      <c r="G2005" s="153">
        <v>3</v>
      </c>
      <c r="H2005" s="16">
        <f t="shared" si="31"/>
        <v>3</v>
      </c>
      <c r="I2005" s="13">
        <v>3</v>
      </c>
      <c r="J2005" s="160"/>
    </row>
    <row r="2006" spans="1:10">
      <c r="A2006" s="13" t="s">
        <v>21</v>
      </c>
      <c r="B2006" s="13" t="s">
        <v>83</v>
      </c>
      <c r="C2006" s="13" t="str">
        <f>VLOOKUP([1]Competence!$B80,[1]Competence!$B$12:$B$100,1,FALSE)</f>
        <v>Systems and software life cycle engineering</v>
      </c>
      <c r="D2006" s="13" t="str" cm="1">
        <f t="array" ref="D2006">_xlfn.XLOOKUP(B2006,[1]Baseline!$D$3:$AZ$3,_xlfn.XLOOKUP(C2006,[1]Baseline!$B$4:$B$91,[1]Baseline!$D$4:$AZ$91))</f>
        <v>Expert</v>
      </c>
      <c r="E2006" s="13" t="s">
        <v>374</v>
      </c>
      <c r="F2006" s="13">
        <v>1</v>
      </c>
      <c r="G2006" s="153">
        <v>3</v>
      </c>
      <c r="H2006" s="16">
        <f t="shared" si="31"/>
        <v>2</v>
      </c>
      <c r="I2006" s="13">
        <v>3</v>
      </c>
      <c r="J2006" s="160"/>
    </row>
    <row r="2007" spans="1:10">
      <c r="A2007" s="13" t="s">
        <v>21</v>
      </c>
      <c r="B2007" s="13" t="s">
        <v>83</v>
      </c>
      <c r="C2007" s="13" t="str">
        <f>VLOOKUP([1]Competence!$B81,[1]Competence!$B$12:$B$100,1,FALSE)</f>
        <v>Systems design</v>
      </c>
      <c r="D2007" s="13" t="str" cm="1">
        <f t="array" ref="D2007">_xlfn.XLOOKUP(B2007,[1]Baseline!$D$3:$AZ$3,_xlfn.XLOOKUP(C2007,[1]Baseline!$B$4:$B$91,[1]Baseline!$D$4:$AZ$91))</f>
        <v>Awareness</v>
      </c>
      <c r="E2007" s="13" t="s">
        <v>378</v>
      </c>
      <c r="F2007" s="13">
        <v>0</v>
      </c>
      <c r="G2007" s="153">
        <v>3</v>
      </c>
      <c r="H2007" s="16">
        <f t="shared" si="31"/>
        <v>3</v>
      </c>
      <c r="I2007" s="13">
        <v>3</v>
      </c>
      <c r="J2007" s="160"/>
    </row>
    <row r="2008" spans="1:10">
      <c r="A2008" s="13" t="s">
        <v>21</v>
      </c>
      <c r="B2008" s="13" t="s">
        <v>83</v>
      </c>
      <c r="C2008" s="13" t="str">
        <f>VLOOKUP([1]Competence!$B82,[1]Competence!$B$12:$B$100,1,FALSE)</f>
        <v>Systems development management</v>
      </c>
      <c r="D2008" s="13" t="str" cm="1">
        <f t="array" ref="D2008">_xlfn.XLOOKUP(B2008,[1]Baseline!$D$3:$AZ$3,_xlfn.XLOOKUP(C2008,[1]Baseline!$B$4:$B$91,[1]Baseline!$D$4:$AZ$91))</f>
        <v>Awareness</v>
      </c>
      <c r="E2008" s="13" t="s">
        <v>378</v>
      </c>
      <c r="F2008" s="13">
        <v>0</v>
      </c>
      <c r="G2008" s="153">
        <v>2</v>
      </c>
      <c r="H2008" s="16">
        <f t="shared" si="31"/>
        <v>2</v>
      </c>
      <c r="I2008" s="13">
        <v>2</v>
      </c>
      <c r="J2008" s="160"/>
    </row>
    <row r="2009" spans="1:10">
      <c r="A2009" s="13" t="s">
        <v>21</v>
      </c>
      <c r="B2009" s="13" t="s">
        <v>83</v>
      </c>
      <c r="C2009" s="13" t="str">
        <f>VLOOKUP([1]Competence!$B83,[1]Competence!$B$12:$B$100,1,FALSE)</f>
        <v>Systems installation and removal</v>
      </c>
      <c r="D2009" s="13" t="str" cm="1">
        <f t="array" ref="D2009">_xlfn.XLOOKUP(B2009,[1]Baseline!$D$3:$AZ$3,_xlfn.XLOOKUP(C2009,[1]Baseline!$B$4:$B$91,[1]Baseline!$D$4:$AZ$91))</f>
        <v>Awareness</v>
      </c>
      <c r="E2009" s="13" t="s">
        <v>378</v>
      </c>
      <c r="F2009" s="13">
        <v>0</v>
      </c>
      <c r="G2009" s="153">
        <v>2</v>
      </c>
      <c r="H2009" s="16">
        <f t="shared" si="31"/>
        <v>2</v>
      </c>
      <c r="I2009" s="13">
        <v>2</v>
      </c>
      <c r="J2009" s="160"/>
    </row>
    <row r="2010" spans="1:10">
      <c r="A2010" s="13" t="s">
        <v>21</v>
      </c>
      <c r="B2010" s="13" t="s">
        <v>83</v>
      </c>
      <c r="C2010" s="13" t="str">
        <f>VLOOKUP([1]Competence!$B84,[1]Competence!$B$12:$B$100,1,FALSE)</f>
        <v>Testing</v>
      </c>
      <c r="D2010" s="13" t="str" cm="1">
        <f t="array" ref="D2010">_xlfn.XLOOKUP(B2010,[1]Baseline!$D$3:$AZ$3,_xlfn.XLOOKUP(C2010,[1]Baseline!$B$4:$B$91,[1]Baseline!$D$4:$AZ$91))</f>
        <v>Practitioner</v>
      </c>
      <c r="E2010" s="13" t="s">
        <v>375</v>
      </c>
      <c r="F2010" s="13">
        <v>0</v>
      </c>
      <c r="G2010" s="153">
        <v>3</v>
      </c>
      <c r="H2010" s="16">
        <f t="shared" si="31"/>
        <v>3</v>
      </c>
      <c r="I2010" s="13">
        <v>3</v>
      </c>
      <c r="J2010" s="160"/>
    </row>
    <row r="2011" spans="1:10">
      <c r="A2011" s="13" t="s">
        <v>21</v>
      </c>
      <c r="B2011" s="13" t="s">
        <v>83</v>
      </c>
      <c r="C2011" s="13" t="str">
        <f>VLOOKUP([1]Competence!$B85,[1]Competence!$B$12:$B$100,1,FALSE)</f>
        <v>Innovation</v>
      </c>
      <c r="D2011" s="13" t="str" cm="1">
        <f t="array" ref="D2011">_xlfn.XLOOKUP(B2011,[1]Baseline!$D$3:$AZ$3,_xlfn.XLOOKUP(C2011,[1]Baseline!$B$4:$B$91,[1]Baseline!$D$4:$AZ$91))</f>
        <v>Practitioner</v>
      </c>
      <c r="E2011" s="13" t="s">
        <v>375</v>
      </c>
      <c r="F2011" s="13">
        <v>0</v>
      </c>
      <c r="G2011" s="153">
        <v>3</v>
      </c>
      <c r="H2011" s="16">
        <f t="shared" si="31"/>
        <v>3</v>
      </c>
      <c r="I2011" s="13">
        <v>3</v>
      </c>
      <c r="J2011" s="160"/>
    </row>
    <row r="2012" spans="1:10">
      <c r="A2012" s="13" t="s">
        <v>21</v>
      </c>
      <c r="B2012" s="13" t="s">
        <v>83</v>
      </c>
      <c r="C2012" s="13" t="str">
        <f>VLOOKUP([1]Competence!$B86,[1]Competence!$B$12:$B$100,1,FALSE)</f>
        <v>Specialist Advice</v>
      </c>
      <c r="D2012" s="13" t="str" cm="1">
        <f t="array" ref="D2012">_xlfn.XLOOKUP(B2012,[1]Baseline!$D$3:$AZ$3,_xlfn.XLOOKUP(C2012,[1]Baseline!$B$4:$B$91,[1]Baseline!$D$4:$AZ$91))</f>
        <v>Practitioner</v>
      </c>
      <c r="E2012" s="13" t="s">
        <v>375</v>
      </c>
      <c r="F2012" s="13">
        <v>0</v>
      </c>
      <c r="G2012" s="153">
        <v>3</v>
      </c>
      <c r="H2012" s="16">
        <f t="shared" si="31"/>
        <v>3</v>
      </c>
      <c r="I2012" s="13">
        <v>3</v>
      </c>
      <c r="J2012" s="160"/>
    </row>
    <row r="2013" spans="1:10">
      <c r="A2013" s="13" t="s">
        <v>21</v>
      </c>
      <c r="B2013" s="13" t="s">
        <v>83</v>
      </c>
      <c r="C2013" s="13" t="str">
        <f>VLOOKUP([1]Competence!$B87,[1]Competence!$B$12:$B$100,1,FALSE)</f>
        <v>Emerging technology monitoring</v>
      </c>
      <c r="D2013" s="13" t="str" cm="1">
        <f t="array" ref="D2013">_xlfn.XLOOKUP(B2013,[1]Baseline!$D$3:$AZ$3,_xlfn.XLOOKUP(C2013,[1]Baseline!$B$4:$B$91,[1]Baseline!$D$4:$AZ$91))</f>
        <v>Awareness</v>
      </c>
      <c r="E2013" s="13" t="s">
        <v>375</v>
      </c>
      <c r="F2013" s="13">
        <v>1</v>
      </c>
      <c r="G2013" s="153">
        <v>3</v>
      </c>
      <c r="H2013" s="16">
        <f t="shared" si="31"/>
        <v>2</v>
      </c>
      <c r="I2013" s="13">
        <v>3</v>
      </c>
      <c r="J2013" s="160"/>
    </row>
    <row r="2014" spans="1:10">
      <c r="A2014" s="13" t="s">
        <v>21</v>
      </c>
      <c r="B2014" s="13" t="s">
        <v>83</v>
      </c>
      <c r="C2014" s="13" t="str">
        <f>VLOOKUP([1]Competence!$B88,[1]Competence!$B$12:$B$100,1,FALSE)</f>
        <v>Systems integration and build</v>
      </c>
      <c r="D2014" s="13" t="str" cm="1">
        <f t="array" ref="D2014">_xlfn.XLOOKUP(B2014,[1]Baseline!$D$3:$AZ$3,_xlfn.XLOOKUP(C2014,[1]Baseline!$B$4:$B$91,[1]Baseline!$D$4:$AZ$91))</f>
        <v>No Knowledge</v>
      </c>
      <c r="E2014" s="13" t="s">
        <v>375</v>
      </c>
      <c r="F2014" s="13">
        <v>1</v>
      </c>
      <c r="G2014" s="153">
        <v>2</v>
      </c>
      <c r="H2014" s="16">
        <f t="shared" si="31"/>
        <v>1</v>
      </c>
      <c r="I2014" s="13">
        <v>2</v>
      </c>
      <c r="J2014" s="160"/>
    </row>
    <row r="2015" spans="1:10">
      <c r="A2015" s="13" t="s">
        <v>21</v>
      </c>
      <c r="B2015" s="13" t="s">
        <v>83</v>
      </c>
      <c r="C2015" s="13" t="str">
        <f>VLOOKUP([1]Competence!$B89,[1]Competence!$B$12:$B$100,1,FALSE)</f>
        <v>Audio Visual</v>
      </c>
      <c r="D2015" s="13" t="str" cm="1">
        <f t="array" ref="D2015">_xlfn.XLOOKUP(B2015,[1]Baseline!$D$3:$AZ$3,_xlfn.XLOOKUP(C2015,[1]Baseline!$B$4:$B$91,[1]Baseline!$D$4:$AZ$91))</f>
        <v>No Knowledge</v>
      </c>
      <c r="E2015" s="13" t="s">
        <v>375</v>
      </c>
      <c r="F2015" s="13">
        <v>0</v>
      </c>
      <c r="G2015" s="153">
        <v>1</v>
      </c>
      <c r="H2015" s="16">
        <f t="shared" si="31"/>
        <v>1</v>
      </c>
      <c r="I2015" s="13">
        <v>1</v>
      </c>
      <c r="J2015" s="160"/>
    </row>
    <row r="2016" spans="1:10">
      <c r="A2016" s="13" t="s">
        <v>21</v>
      </c>
      <c r="B2016" s="13" t="s">
        <v>83</v>
      </c>
      <c r="C2016" s="13" t="str">
        <f>VLOOKUP([1]Competence!$B90,[1]Competence!$B$12:$B$100,1,FALSE)</f>
        <v>Augmented Reality</v>
      </c>
      <c r="D2016" s="13" t="str" cm="1">
        <f t="array" ref="D2016">_xlfn.XLOOKUP(B2016,[1]Baseline!$D$3:$AZ$3,_xlfn.XLOOKUP(C2016,[1]Baseline!$B$4:$B$91,[1]Baseline!$D$4:$AZ$91))</f>
        <v>No Knowledge</v>
      </c>
      <c r="E2016" s="13" t="s">
        <v>373</v>
      </c>
      <c r="F2016" s="13">
        <v>0</v>
      </c>
      <c r="G2016" s="153">
        <v>1</v>
      </c>
      <c r="H2016" s="16">
        <f t="shared" si="31"/>
        <v>1</v>
      </c>
      <c r="I2016" s="13">
        <v>1</v>
      </c>
      <c r="J2016" s="160"/>
    </row>
    <row r="2017" spans="1:10">
      <c r="A2017" s="13" t="s">
        <v>21</v>
      </c>
      <c r="B2017" s="13" t="s">
        <v>83</v>
      </c>
      <c r="C2017" s="13" t="str">
        <f>VLOOKUP([1]Competence!$B91,[1]Competence!$B$12:$B$100,1,FALSE)</f>
        <v>Benefits management</v>
      </c>
      <c r="D2017" s="13" t="str" cm="1">
        <f t="array" ref="D2017">_xlfn.XLOOKUP(B2017,[1]Baseline!$D$3:$AZ$3,_xlfn.XLOOKUP(C2017,[1]Baseline!$B$4:$B$91,[1]Baseline!$D$4:$AZ$91))</f>
        <v>No Knowledge</v>
      </c>
      <c r="E2017" s="13" t="s">
        <v>373</v>
      </c>
      <c r="F2017" s="13">
        <v>0</v>
      </c>
      <c r="G2017" s="153">
        <v>2</v>
      </c>
      <c r="H2017" s="16">
        <f t="shared" si="31"/>
        <v>2</v>
      </c>
      <c r="I2017" s="13">
        <v>2</v>
      </c>
      <c r="J2017" s="160"/>
    </row>
    <row r="2018" spans="1:10">
      <c r="A2018" s="13" t="s">
        <v>21</v>
      </c>
      <c r="B2018" s="13" t="s">
        <v>83</v>
      </c>
      <c r="C2018" s="13" t="str">
        <f>VLOOKUP([1]Competence!$B92,[1]Competence!$B$12:$B$100,1,FALSE)</f>
        <v>Business administration</v>
      </c>
      <c r="D2018" s="13" t="str" cm="1">
        <f t="array" ref="D2018">_xlfn.XLOOKUP(B2018,[1]Baseline!$D$3:$AZ$3,_xlfn.XLOOKUP(C2018,[1]Baseline!$B$4:$B$91,[1]Baseline!$D$4:$AZ$91))</f>
        <v>No Knowledge</v>
      </c>
      <c r="E2018" s="13" t="s">
        <v>373</v>
      </c>
      <c r="F2018" s="13">
        <v>0</v>
      </c>
      <c r="G2018" s="153">
        <v>3</v>
      </c>
      <c r="H2018" s="16">
        <f t="shared" si="31"/>
        <v>3</v>
      </c>
      <c r="I2018" s="13">
        <v>3</v>
      </c>
      <c r="J2018" s="160"/>
    </row>
    <row r="2019" spans="1:10">
      <c r="A2019" s="13" t="s">
        <v>21</v>
      </c>
      <c r="B2019" s="13" t="s">
        <v>83</v>
      </c>
      <c r="C2019" s="13" t="str">
        <f>VLOOKUP([1]Competence!$B93,[1]Competence!$B$12:$B$100,1,FALSE)</f>
        <v>Business intelligence</v>
      </c>
      <c r="D2019" s="13" t="str" cm="1">
        <f t="array" ref="D2019">_xlfn.XLOOKUP(B2019,[1]Baseline!$D$3:$AZ$3,_xlfn.XLOOKUP(C2019,[1]Baseline!$B$4:$B$91,[1]Baseline!$D$4:$AZ$91))</f>
        <v>No Knowledge</v>
      </c>
      <c r="E2019" s="13" t="s">
        <v>373</v>
      </c>
      <c r="F2019" s="13">
        <v>0</v>
      </c>
      <c r="G2019" s="153">
        <v>3</v>
      </c>
      <c r="H2019" s="16">
        <f t="shared" si="31"/>
        <v>3</v>
      </c>
      <c r="I2019" s="13">
        <v>3</v>
      </c>
      <c r="J2019" s="160"/>
    </row>
    <row r="2020" spans="1:10">
      <c r="A2020" s="13" t="s">
        <v>21</v>
      </c>
      <c r="B2020" s="13" t="s">
        <v>83</v>
      </c>
      <c r="C2020" s="13" t="str">
        <f>VLOOKUP([1]Competence!$B94,[1]Competence!$B$12:$B$100,1,FALSE)</f>
        <v>Business modelling</v>
      </c>
      <c r="D2020" s="13" t="str" cm="1">
        <f t="array" ref="D2020">_xlfn.XLOOKUP(B2020,[1]Baseline!$D$3:$AZ$3,_xlfn.XLOOKUP(C2020,[1]Baseline!$B$4:$B$91,[1]Baseline!$D$4:$AZ$91))</f>
        <v>No Knowledge</v>
      </c>
      <c r="E2020" s="13" t="s">
        <v>373</v>
      </c>
      <c r="F2020" s="13">
        <v>0</v>
      </c>
      <c r="G2020" s="153">
        <v>2</v>
      </c>
      <c r="H2020" s="16">
        <f t="shared" si="31"/>
        <v>2</v>
      </c>
      <c r="I2020" s="13">
        <v>2</v>
      </c>
      <c r="J2020" s="160"/>
    </row>
    <row r="2021" spans="1:10">
      <c r="A2021" s="13" t="s">
        <v>21</v>
      </c>
      <c r="B2021" s="13" t="s">
        <v>83</v>
      </c>
      <c r="C2021" s="13" t="str">
        <f>VLOOKUP([1]Competence!$B95,[1]Competence!$B$12:$B$100,1,FALSE)</f>
        <v>Business process improvement</v>
      </c>
      <c r="D2021" s="13" t="str" cm="1">
        <f t="array" ref="D2021">_xlfn.XLOOKUP(B2021,[1]Baseline!$D$3:$AZ$3,_xlfn.XLOOKUP(C2021,[1]Baseline!$B$4:$B$91,[1]Baseline!$D$4:$AZ$91))</f>
        <v>No Knowledge</v>
      </c>
      <c r="E2021" s="13" t="s">
        <v>375</v>
      </c>
      <c r="F2021" s="13">
        <v>0</v>
      </c>
      <c r="G2021" s="153">
        <v>3</v>
      </c>
      <c r="H2021" s="16">
        <f t="shared" si="31"/>
        <v>3</v>
      </c>
      <c r="I2021" s="13">
        <v>3</v>
      </c>
      <c r="J2021" s="160"/>
    </row>
    <row r="2022" spans="1:10">
      <c r="A2022" s="13" t="s">
        <v>21</v>
      </c>
      <c r="B2022" s="13" t="s">
        <v>83</v>
      </c>
      <c r="C2022" s="13" t="str">
        <f>VLOOKUP([1]Competence!$B96,[1]Competence!$B$12:$B$100,1,FALSE)</f>
        <v>Business situation analysis</v>
      </c>
      <c r="D2022" s="13" t="str" cm="1">
        <f t="array" ref="D2022">_xlfn.XLOOKUP(B2022,[1]Baseline!$D$3:$AZ$3,_xlfn.XLOOKUP(C2022,[1]Baseline!$B$4:$B$91,[1]Baseline!$D$4:$AZ$91))</f>
        <v>No Knowledge</v>
      </c>
      <c r="E2022" s="13" t="s">
        <v>373</v>
      </c>
      <c r="F2022" s="13">
        <v>0</v>
      </c>
      <c r="G2022" s="153">
        <v>2</v>
      </c>
      <c r="H2022" s="16">
        <f t="shared" si="31"/>
        <v>2</v>
      </c>
      <c r="I2022" s="13">
        <v>2</v>
      </c>
      <c r="J2022" s="160"/>
    </row>
    <row r="2023" spans="1:10">
      <c r="A2023" s="13" t="s">
        <v>21</v>
      </c>
      <c r="B2023" s="13" t="s">
        <v>83</v>
      </c>
      <c r="C2023" s="13" t="str">
        <f>VLOOKUP([1]Competence!$B97,[1]Competence!$B$12:$B$100,1,FALSE)</f>
        <v>Programme management</v>
      </c>
      <c r="D2023" s="13" t="str" cm="1">
        <f t="array" ref="D2023">_xlfn.XLOOKUP(B2023,[1]Baseline!$D$3:$AZ$3,_xlfn.XLOOKUP(C2023,[1]Baseline!$B$4:$B$91,[1]Baseline!$D$4:$AZ$91))</f>
        <v>No Knowledge</v>
      </c>
      <c r="E2023" s="13" t="s">
        <v>373</v>
      </c>
      <c r="F2023" s="13">
        <v>0</v>
      </c>
      <c r="G2023" s="153">
        <v>2</v>
      </c>
      <c r="H2023" s="16">
        <f t="shared" si="31"/>
        <v>2</v>
      </c>
      <c r="I2023" s="13">
        <v>2</v>
      </c>
      <c r="J2023" s="160"/>
    </row>
    <row r="2024" spans="1:10">
      <c r="A2024" s="13" t="s">
        <v>21</v>
      </c>
      <c r="B2024" s="13" t="s">
        <v>83</v>
      </c>
      <c r="C2024" s="13" t="str">
        <f>VLOOKUP([1]Competence!$B98,[1]Competence!$B$12:$B$100,1,FALSE)</f>
        <v>Project management</v>
      </c>
      <c r="D2024" s="13" t="str" cm="1">
        <f t="array" ref="D2024">_xlfn.XLOOKUP(B2024,[1]Baseline!$D$3:$AZ$3,_xlfn.XLOOKUP(C2024,[1]Baseline!$B$4:$B$91,[1]Baseline!$D$4:$AZ$91))</f>
        <v>No Knowledge</v>
      </c>
      <c r="E2024" s="13" t="s">
        <v>373</v>
      </c>
      <c r="F2024" s="13">
        <v>0</v>
      </c>
      <c r="G2024" s="153">
        <v>2</v>
      </c>
      <c r="H2024" s="16">
        <f t="shared" si="31"/>
        <v>2</v>
      </c>
      <c r="I2024" s="13">
        <v>2</v>
      </c>
      <c r="J2024" s="160"/>
    </row>
    <row r="2025" spans="1:10">
      <c r="A2025" s="13" t="s">
        <v>21</v>
      </c>
      <c r="B2025" s="13" t="s">
        <v>83</v>
      </c>
      <c r="C2025" s="13" t="str">
        <f>VLOOKUP([1]Competence!$B99,[1]Competence!$B$12:$B$100,1,FALSE)</f>
        <v>Quality assurance</v>
      </c>
      <c r="D2025" s="13" t="str" cm="1">
        <f t="array" ref="D2025">_xlfn.XLOOKUP(B2025,[1]Baseline!$D$3:$AZ$3,_xlfn.XLOOKUP(C2025,[1]Baseline!$B$4:$B$91,[1]Baseline!$D$4:$AZ$91))</f>
        <v>No Knowledge</v>
      </c>
      <c r="E2025" s="13" t="s">
        <v>373</v>
      </c>
      <c r="F2025" s="13">
        <v>0</v>
      </c>
      <c r="G2025" s="153">
        <v>3</v>
      </c>
      <c r="H2025" s="16">
        <f t="shared" si="31"/>
        <v>3</v>
      </c>
      <c r="I2025" s="13">
        <v>3</v>
      </c>
      <c r="J2025" s="160"/>
    </row>
    <row r="2026" spans="1:10">
      <c r="A2026" s="13" t="s">
        <v>18</v>
      </c>
      <c r="B2026" s="16" t="s">
        <v>66</v>
      </c>
      <c r="C2026" s="16" t="str">
        <f>VLOOKUP([1]Competence!$B12,[1]Competence!$B$12:$B$100,1,FALSE)</f>
        <v>Asset Management</v>
      </c>
      <c r="D2026" s="13" t="str" cm="1">
        <f t="array" ref="D2026">_xlfn.XLOOKUP(B2026,[1]Baseline!$D$3:$AZ$3,_xlfn.XLOOKUP(C2026,[1]Baseline!$B$4:$B$91,[1]Baseline!$D$4:$AZ$91))</f>
        <v>Practitioner</v>
      </c>
      <c r="E2026" s="13" t="s">
        <v>373</v>
      </c>
      <c r="F2026" s="16">
        <v>0</v>
      </c>
      <c r="G2026" s="16">
        <v>3</v>
      </c>
      <c r="H2026" s="16">
        <f t="shared" si="31"/>
        <v>3</v>
      </c>
      <c r="I2026" s="13">
        <v>3</v>
      </c>
    </row>
    <row r="2027" spans="1:10">
      <c r="A2027" s="13" t="s">
        <v>18</v>
      </c>
      <c r="B2027" s="16" t="s">
        <v>66</v>
      </c>
      <c r="C2027" s="16" t="str">
        <f>VLOOKUP([1]Competence!$B13,[1]Competence!$B$12:$B$100,1,FALSE)</f>
        <v>Change Control</v>
      </c>
      <c r="D2027" s="13" t="str" cm="1">
        <f t="array" ref="D2027">_xlfn.XLOOKUP(B2027,[1]Baseline!$D$3:$AZ$3,_xlfn.XLOOKUP(C2027,[1]Baseline!$B$4:$B$91,[1]Baseline!$D$4:$AZ$91))</f>
        <v>Practitioner</v>
      </c>
      <c r="E2027" s="13" t="s">
        <v>373</v>
      </c>
      <c r="F2027" s="16">
        <v>0</v>
      </c>
      <c r="G2027" s="16">
        <v>2</v>
      </c>
      <c r="H2027" s="16">
        <f t="shared" si="31"/>
        <v>2</v>
      </c>
      <c r="I2027" s="13">
        <v>2</v>
      </c>
    </row>
    <row r="2028" spans="1:10">
      <c r="A2028" s="13" t="s">
        <v>18</v>
      </c>
      <c r="B2028" s="16" t="s">
        <v>66</v>
      </c>
      <c r="C2028" s="16" t="str">
        <f>VLOOKUP([1]Competence!$B14,[1]Competence!$B$12:$B$100,1,FALSE)</f>
        <v>Customer Service Support</v>
      </c>
      <c r="D2028" s="13" t="str" cm="1">
        <f t="array" ref="D2028">_xlfn.XLOOKUP(B2028,[1]Baseline!$D$3:$AZ$3,_xlfn.XLOOKUP(C2028,[1]Baseline!$B$4:$B$91,[1]Baseline!$D$4:$AZ$91))</f>
        <v>Practitioner</v>
      </c>
      <c r="E2028" s="13" t="s">
        <v>373</v>
      </c>
      <c r="F2028" s="16">
        <v>0</v>
      </c>
      <c r="G2028" s="16">
        <v>3</v>
      </c>
      <c r="H2028" s="16">
        <f t="shared" si="31"/>
        <v>3</v>
      </c>
      <c r="I2028" s="13">
        <v>3</v>
      </c>
    </row>
    <row r="2029" spans="1:10">
      <c r="A2029" s="13" t="s">
        <v>18</v>
      </c>
      <c r="B2029" s="16" t="s">
        <v>66</v>
      </c>
      <c r="C2029" s="16" t="str">
        <f>VLOOKUP([1]Competence!$B15,[1]Competence!$B$12:$B$100,1,FALSE)</f>
        <v>Incident management</v>
      </c>
      <c r="D2029" s="13" t="str" cm="1">
        <f t="array" ref="D2029">_xlfn.XLOOKUP(B2029,[1]Baseline!$D$3:$AZ$3,_xlfn.XLOOKUP(C2029,[1]Baseline!$B$4:$B$91,[1]Baseline!$D$4:$AZ$91))</f>
        <v>Practitioner</v>
      </c>
      <c r="E2029" s="13" t="s">
        <v>373</v>
      </c>
      <c r="F2029" s="16">
        <v>0</v>
      </c>
      <c r="G2029" s="16">
        <v>3</v>
      </c>
      <c r="H2029" s="16">
        <f t="shared" si="31"/>
        <v>3</v>
      </c>
      <c r="I2029" s="13">
        <v>3</v>
      </c>
    </row>
    <row r="2030" spans="1:10">
      <c r="A2030" s="13" t="s">
        <v>18</v>
      </c>
      <c r="B2030" s="16" t="s">
        <v>66</v>
      </c>
      <c r="C2030" s="16" t="str">
        <f>VLOOKUP([1]Competence!$B16,[1]Competence!$B$12:$B$100,1,FALSE)</f>
        <v>Information security</v>
      </c>
      <c r="D2030" s="13" t="str" cm="1">
        <f t="array" ref="D2030">_xlfn.XLOOKUP(B2030,[1]Baseline!$D$3:$AZ$3,_xlfn.XLOOKUP(C2030,[1]Baseline!$B$4:$B$91,[1]Baseline!$D$4:$AZ$91))</f>
        <v>Practitioner</v>
      </c>
      <c r="E2030" s="13" t="s">
        <v>373</v>
      </c>
      <c r="F2030" s="16">
        <v>0</v>
      </c>
      <c r="G2030" s="16">
        <v>2</v>
      </c>
      <c r="H2030" s="16">
        <f t="shared" si="31"/>
        <v>2</v>
      </c>
      <c r="I2030" s="13">
        <v>2</v>
      </c>
    </row>
    <row r="2031" spans="1:10">
      <c r="A2031" s="13" t="s">
        <v>18</v>
      </c>
      <c r="B2031" s="16" t="s">
        <v>66</v>
      </c>
      <c r="C2031" s="16" t="str">
        <f>VLOOKUP([1]Competence!$B17,[1]Competence!$B$12:$B$100,1,FALSE)</f>
        <v>Personal data protection</v>
      </c>
      <c r="D2031" s="13" t="str" cm="1">
        <f t="array" ref="D2031">_xlfn.XLOOKUP(B2031,[1]Baseline!$D$3:$AZ$3,_xlfn.XLOOKUP(C2031,[1]Baseline!$B$4:$B$91,[1]Baseline!$D$4:$AZ$91))</f>
        <v>Practitioner</v>
      </c>
      <c r="E2031" s="13" t="s">
        <v>373</v>
      </c>
      <c r="F2031" s="16">
        <v>0</v>
      </c>
      <c r="G2031" s="16">
        <v>3</v>
      </c>
      <c r="H2031" s="16">
        <f t="shared" si="31"/>
        <v>3</v>
      </c>
      <c r="I2031" s="13">
        <v>3</v>
      </c>
    </row>
    <row r="2032" spans="1:10">
      <c r="A2032" s="13" t="s">
        <v>18</v>
      </c>
      <c r="B2032" s="16" t="s">
        <v>66</v>
      </c>
      <c r="C2032" s="16" t="str">
        <f>VLOOKUP([1]Competence!$B18,[1]Competence!$B$12:$B$100,1,FALSE)</f>
        <v>Problem management</v>
      </c>
      <c r="D2032" s="13" t="str" cm="1">
        <f t="array" ref="D2032">_xlfn.XLOOKUP(B2032,[1]Baseline!$D$3:$AZ$3,_xlfn.XLOOKUP(C2032,[1]Baseline!$B$4:$B$91,[1]Baseline!$D$4:$AZ$91))</f>
        <v>Working</v>
      </c>
      <c r="E2032" s="16" t="s">
        <v>376</v>
      </c>
      <c r="F2032" s="16">
        <v>2</v>
      </c>
      <c r="G2032" s="16">
        <v>3</v>
      </c>
      <c r="H2032" s="16">
        <f t="shared" si="31"/>
        <v>1</v>
      </c>
      <c r="I2032" s="13">
        <v>3</v>
      </c>
    </row>
    <row r="2033" spans="1:9">
      <c r="A2033" s="13" t="s">
        <v>18</v>
      </c>
      <c r="B2033" s="16" t="s">
        <v>66</v>
      </c>
      <c r="C2033" s="16" t="str">
        <f>VLOOKUP([1]Competence!$B19,[1]Competence!$B$12:$B$100,1,FALSE)</f>
        <v>Service catalogue management</v>
      </c>
      <c r="D2033" s="13" t="str" cm="1">
        <f t="array" ref="D2033">_xlfn.XLOOKUP(B2033,[1]Baseline!$D$3:$AZ$3,_xlfn.XLOOKUP(C2033,[1]Baseline!$B$4:$B$91,[1]Baseline!$D$4:$AZ$91))</f>
        <v>Working</v>
      </c>
      <c r="E2033" s="16" t="s">
        <v>376</v>
      </c>
      <c r="F2033" s="16">
        <v>2</v>
      </c>
      <c r="G2033" s="16">
        <v>3</v>
      </c>
      <c r="H2033" s="16">
        <f t="shared" si="31"/>
        <v>1</v>
      </c>
      <c r="I2033" s="13">
        <v>3</v>
      </c>
    </row>
    <row r="2034" spans="1:9">
      <c r="A2034" s="13" t="s">
        <v>18</v>
      </c>
      <c r="B2034" s="16" t="s">
        <v>66</v>
      </c>
      <c r="C2034" s="16" t="str">
        <f>VLOOKUP([1]Competence!$B20,[1]Competence!$B$12:$B$100,1,FALSE)</f>
        <v>Service level management</v>
      </c>
      <c r="D2034" s="13" t="str" cm="1">
        <f t="array" ref="D2034">_xlfn.XLOOKUP(B2034,[1]Baseline!$D$3:$AZ$3,_xlfn.XLOOKUP(C2034,[1]Baseline!$B$4:$B$91,[1]Baseline!$D$4:$AZ$91))</f>
        <v>Practitioner</v>
      </c>
      <c r="E2034" s="16" t="s">
        <v>376</v>
      </c>
      <c r="F2034" s="16">
        <v>3</v>
      </c>
      <c r="G2034" s="16">
        <v>3</v>
      </c>
      <c r="H2034" s="16">
        <f t="shared" si="31"/>
        <v>0</v>
      </c>
      <c r="I2034" s="13">
        <v>3</v>
      </c>
    </row>
    <row r="2035" spans="1:9">
      <c r="A2035" s="13" t="s">
        <v>18</v>
      </c>
      <c r="B2035" s="16" t="s">
        <v>66</v>
      </c>
      <c r="C2035" s="16" t="str">
        <f>VLOOKUP([1]Competence!$B21,[1]Competence!$B$12:$B$100,1,FALSE)</f>
        <v>Availability Management</v>
      </c>
      <c r="D2035" s="13" t="str" cm="1">
        <f t="array" ref="D2035">_xlfn.XLOOKUP(B2035,[1]Baseline!$D$3:$AZ$3,_xlfn.XLOOKUP(C2035,[1]Baseline!$B$4:$B$91,[1]Baseline!$D$4:$AZ$91))</f>
        <v>Awareness</v>
      </c>
      <c r="E2035" s="16" t="s">
        <v>376</v>
      </c>
      <c r="F2035" s="16">
        <v>2</v>
      </c>
      <c r="G2035" s="16">
        <v>1</v>
      </c>
      <c r="H2035" s="16">
        <f t="shared" si="31"/>
        <v>-1</v>
      </c>
      <c r="I2035" s="13">
        <v>1</v>
      </c>
    </row>
    <row r="2036" spans="1:9">
      <c r="A2036" s="13" t="s">
        <v>18</v>
      </c>
      <c r="B2036" s="16" t="s">
        <v>66</v>
      </c>
      <c r="C2036" s="16" t="str">
        <f>VLOOKUP([1]Competence!$B22,[1]Competence!$B$12:$B$100,1,FALSE)</f>
        <v>Capacity management</v>
      </c>
      <c r="D2036" s="13" t="str" cm="1">
        <f t="array" ref="D2036">_xlfn.XLOOKUP(B2036,[1]Baseline!$D$3:$AZ$3,_xlfn.XLOOKUP(C2036,[1]Baseline!$B$4:$B$91,[1]Baseline!$D$4:$AZ$91))</f>
        <v>No Knowledge</v>
      </c>
      <c r="E2036" s="16" t="s">
        <v>376</v>
      </c>
      <c r="F2036" s="16">
        <v>2</v>
      </c>
      <c r="G2036" s="16">
        <v>0</v>
      </c>
      <c r="H2036" s="16">
        <f t="shared" si="31"/>
        <v>-2</v>
      </c>
      <c r="I2036" s="13">
        <v>0</v>
      </c>
    </row>
    <row r="2037" spans="1:9">
      <c r="A2037" s="13" t="s">
        <v>18</v>
      </c>
      <c r="B2037" s="16" t="s">
        <v>66</v>
      </c>
      <c r="C2037" s="16" t="str">
        <f>VLOOKUP([1]Competence!$B23,[1]Competence!$B$12:$B$100,1,FALSE)</f>
        <v>Configuration Management</v>
      </c>
      <c r="D2037" s="13" t="str" cm="1">
        <f t="array" ref="D2037">_xlfn.XLOOKUP(B2037,[1]Baseline!$D$3:$AZ$3,_xlfn.XLOOKUP(C2037,[1]Baseline!$B$4:$B$91,[1]Baseline!$D$4:$AZ$91))</f>
        <v>Working</v>
      </c>
      <c r="E2037" s="16" t="s">
        <v>376</v>
      </c>
      <c r="F2037" s="16">
        <v>3</v>
      </c>
      <c r="G2037" s="16">
        <v>1</v>
      </c>
      <c r="H2037" s="16">
        <f t="shared" si="31"/>
        <v>-2</v>
      </c>
      <c r="I2037" s="13">
        <v>1</v>
      </c>
    </row>
    <row r="2038" spans="1:9">
      <c r="A2038" s="13" t="s">
        <v>18</v>
      </c>
      <c r="B2038" s="16" t="s">
        <v>66</v>
      </c>
      <c r="C2038" s="16" t="str">
        <f>VLOOKUP([1]Competence!$B24,[1]Competence!$B$12:$B$100,1,FALSE)</f>
        <v>Continuity Management</v>
      </c>
      <c r="D2038" s="13" t="str" cm="1">
        <f t="array" ref="D2038">_xlfn.XLOOKUP(B2038,[1]Baseline!$D$3:$AZ$3,_xlfn.XLOOKUP(C2038,[1]Baseline!$B$4:$B$91,[1]Baseline!$D$4:$AZ$91))</f>
        <v>Awareness</v>
      </c>
      <c r="E2038" s="16" t="s">
        <v>376</v>
      </c>
      <c r="F2038" s="16">
        <v>2</v>
      </c>
      <c r="G2038" s="16">
        <v>1</v>
      </c>
      <c r="H2038" s="16">
        <f t="shared" si="31"/>
        <v>-1</v>
      </c>
      <c r="I2038" s="13">
        <v>1</v>
      </c>
    </row>
    <row r="2039" spans="1:9">
      <c r="A2039" s="13" t="s">
        <v>18</v>
      </c>
      <c r="B2039" s="16" t="s">
        <v>66</v>
      </c>
      <c r="C2039" s="16" t="str">
        <f>VLOOKUP([1]Competence!$B25,[1]Competence!$B$12:$B$100,1,FALSE)</f>
        <v>Demand Management</v>
      </c>
      <c r="D2039" s="13" t="str" cm="1">
        <f t="array" ref="D2039">_xlfn.XLOOKUP(B2039,[1]Baseline!$D$3:$AZ$3,_xlfn.XLOOKUP(C2039,[1]Baseline!$B$4:$B$91,[1]Baseline!$D$4:$AZ$91))</f>
        <v>Working</v>
      </c>
      <c r="E2039" s="16" t="s">
        <v>376</v>
      </c>
      <c r="F2039" s="16">
        <v>2</v>
      </c>
      <c r="G2039" s="16">
        <v>1</v>
      </c>
      <c r="H2039" s="16">
        <f t="shared" si="31"/>
        <v>-1</v>
      </c>
      <c r="I2039" s="13">
        <v>1</v>
      </c>
    </row>
    <row r="2040" spans="1:9">
      <c r="A2040" s="13" t="s">
        <v>18</v>
      </c>
      <c r="B2040" s="16" t="s">
        <v>66</v>
      </c>
      <c r="C2040" s="16" t="str">
        <f>VLOOKUP([1]Competence!$B26,[1]Competence!$B$12:$B$100,1,FALSE)</f>
        <v>Knowledge management</v>
      </c>
      <c r="D2040" s="13" t="str" cm="1">
        <f t="array" ref="D2040">_xlfn.XLOOKUP(B2040,[1]Baseline!$D$3:$AZ$3,_xlfn.XLOOKUP(C2040,[1]Baseline!$B$4:$B$91,[1]Baseline!$D$4:$AZ$91))</f>
        <v>Working</v>
      </c>
      <c r="E2040" s="16" t="s">
        <v>376</v>
      </c>
      <c r="F2040" s="16">
        <v>2</v>
      </c>
      <c r="G2040" s="16">
        <v>3</v>
      </c>
      <c r="H2040" s="16">
        <f t="shared" si="31"/>
        <v>1</v>
      </c>
      <c r="I2040" s="13">
        <v>3</v>
      </c>
    </row>
    <row r="2041" spans="1:9">
      <c r="A2041" s="13" t="s">
        <v>18</v>
      </c>
      <c r="B2041" s="16" t="s">
        <v>66</v>
      </c>
      <c r="C2041" s="16" t="str">
        <f>VLOOKUP([1]Competence!$B27,[1]Competence!$B$12:$B$100,1,FALSE)</f>
        <v>Methods and tools</v>
      </c>
      <c r="D2041" s="13" t="str" cm="1">
        <f t="array" ref="D2041">_xlfn.XLOOKUP(B2041,[1]Baseline!$D$3:$AZ$3,_xlfn.XLOOKUP(C2041,[1]Baseline!$B$4:$B$91,[1]Baseline!$D$4:$AZ$91))</f>
        <v>Working</v>
      </c>
      <c r="E2041" s="16" t="s">
        <v>49</v>
      </c>
      <c r="F2041" s="16">
        <v>1</v>
      </c>
      <c r="G2041" s="16">
        <v>1</v>
      </c>
      <c r="H2041" s="16">
        <f t="shared" si="31"/>
        <v>0</v>
      </c>
      <c r="I2041" s="13">
        <v>1</v>
      </c>
    </row>
    <row r="2042" spans="1:9">
      <c r="A2042" s="13" t="s">
        <v>18</v>
      </c>
      <c r="B2042" s="16" t="s">
        <v>66</v>
      </c>
      <c r="C2042" s="16" t="str">
        <f>VLOOKUP([1]Competence!$B28,[1]Competence!$B$12:$B$100,1,FALSE)</f>
        <v>Release and deployment</v>
      </c>
      <c r="D2042" s="13" t="str" cm="1">
        <f t="array" ref="D2042">_xlfn.XLOOKUP(B2042,[1]Baseline!$D$3:$AZ$3,_xlfn.XLOOKUP(C2042,[1]Baseline!$B$4:$B$91,[1]Baseline!$D$4:$AZ$91))</f>
        <v>No Knowledge</v>
      </c>
      <c r="E2042" s="16" t="s">
        <v>49</v>
      </c>
      <c r="F2042" s="16">
        <v>0</v>
      </c>
      <c r="G2042" s="16">
        <v>1</v>
      </c>
      <c r="H2042" s="16">
        <f t="shared" si="31"/>
        <v>1</v>
      </c>
      <c r="I2042" s="13">
        <v>1</v>
      </c>
    </row>
    <row r="2043" spans="1:9">
      <c r="A2043" s="13" t="s">
        <v>18</v>
      </c>
      <c r="B2043" s="16" t="s">
        <v>66</v>
      </c>
      <c r="C2043" s="16" t="str">
        <f>VLOOKUP([1]Competence!$B29,[1]Competence!$B$12:$B$100,1,FALSE)</f>
        <v>Service acceptance</v>
      </c>
      <c r="D2043" s="13" t="str" cm="1">
        <f t="array" ref="D2043">_xlfn.XLOOKUP(B2043,[1]Baseline!$D$3:$AZ$3,_xlfn.XLOOKUP(C2043,[1]Baseline!$B$4:$B$91,[1]Baseline!$D$4:$AZ$91))</f>
        <v>No Knowledge</v>
      </c>
      <c r="E2043" s="16" t="s">
        <v>49</v>
      </c>
      <c r="F2043" s="16">
        <v>0</v>
      </c>
      <c r="G2043" s="16">
        <v>0</v>
      </c>
      <c r="H2043" s="16">
        <f t="shared" si="31"/>
        <v>0</v>
      </c>
      <c r="I2043" s="13">
        <v>0</v>
      </c>
    </row>
    <row r="2044" spans="1:9">
      <c r="A2044" s="13" t="s">
        <v>18</v>
      </c>
      <c r="B2044" s="16" t="s">
        <v>66</v>
      </c>
      <c r="C2044" s="16" t="str">
        <f>VLOOKUP([1]Competence!$B30,[1]Competence!$B$12:$B$100,1,FALSE)</f>
        <v>Stakeholder relationship management</v>
      </c>
      <c r="D2044" s="13" t="str" cm="1">
        <f t="array" ref="D2044">_xlfn.XLOOKUP(B2044,[1]Baseline!$D$3:$AZ$3,_xlfn.XLOOKUP(C2044,[1]Baseline!$B$4:$B$91,[1]Baseline!$D$4:$AZ$91))</f>
        <v>Practitioner</v>
      </c>
      <c r="E2044" s="16" t="s">
        <v>49</v>
      </c>
      <c r="F2044" s="16">
        <v>1</v>
      </c>
      <c r="G2044" s="16">
        <v>3</v>
      </c>
      <c r="H2044" s="16">
        <f t="shared" si="31"/>
        <v>2</v>
      </c>
      <c r="I2044" s="13">
        <v>3</v>
      </c>
    </row>
    <row r="2045" spans="1:9">
      <c r="A2045" s="13" t="s">
        <v>18</v>
      </c>
      <c r="B2045" s="16" t="s">
        <v>66</v>
      </c>
      <c r="C2045" s="16" t="str">
        <f>VLOOKUP([1]Competence!$B31,[1]Competence!$B$12:$B$100,1,FALSE)</f>
        <v>Storage management</v>
      </c>
      <c r="D2045" s="13" t="str" cm="1">
        <f t="array" ref="D2045">_xlfn.XLOOKUP(B2045,[1]Baseline!$D$3:$AZ$3,_xlfn.XLOOKUP(C2045,[1]Baseline!$B$4:$B$91,[1]Baseline!$D$4:$AZ$91))</f>
        <v>Working</v>
      </c>
      <c r="E2045" s="16" t="s">
        <v>49</v>
      </c>
      <c r="F2045" s="16">
        <v>0</v>
      </c>
      <c r="G2045" s="16">
        <v>1</v>
      </c>
      <c r="H2045" s="16">
        <f t="shared" si="31"/>
        <v>1</v>
      </c>
      <c r="I2045" s="13">
        <v>1</v>
      </c>
    </row>
    <row r="2046" spans="1:9">
      <c r="A2046" s="13" t="s">
        <v>18</v>
      </c>
      <c r="B2046" s="16" t="s">
        <v>66</v>
      </c>
      <c r="C2046" s="16" t="str">
        <f>VLOOKUP([1]Competence!$B32,[1]Competence!$B$12:$B$100,1,FALSE)</f>
        <v>Digital Forensics</v>
      </c>
      <c r="D2046" s="13" t="str" cm="1">
        <f t="array" ref="D2046">_xlfn.XLOOKUP(B2046,[1]Baseline!$D$3:$AZ$3,_xlfn.XLOOKUP(C2046,[1]Baseline!$B$4:$B$91,[1]Baseline!$D$4:$AZ$91))</f>
        <v>No Knowledge</v>
      </c>
      <c r="E2046" s="16" t="s">
        <v>49</v>
      </c>
      <c r="F2046" s="16">
        <v>1</v>
      </c>
      <c r="G2046" s="16">
        <v>1</v>
      </c>
      <c r="H2046" s="16">
        <f t="shared" si="31"/>
        <v>0</v>
      </c>
      <c r="I2046" s="13">
        <v>1</v>
      </c>
    </row>
    <row r="2047" spans="1:9">
      <c r="A2047" s="13" t="s">
        <v>18</v>
      </c>
      <c r="B2047" s="16" t="s">
        <v>66</v>
      </c>
      <c r="C2047" s="16" t="str">
        <f>VLOOKUP([1]Competence!$B33,[1]Competence!$B$12:$B$100,1,FALSE)</f>
        <v>Penetration testing</v>
      </c>
      <c r="D2047" s="13" t="str" cm="1">
        <f t="array" ref="D2047">_xlfn.XLOOKUP(B2047,[1]Baseline!$D$3:$AZ$3,_xlfn.XLOOKUP(C2047,[1]Baseline!$B$4:$B$91,[1]Baseline!$D$4:$AZ$91))</f>
        <v>No Knowledge</v>
      </c>
      <c r="E2047" s="16" t="s">
        <v>49</v>
      </c>
      <c r="F2047" s="16">
        <v>1</v>
      </c>
      <c r="G2047" s="16">
        <v>1</v>
      </c>
      <c r="H2047" s="16">
        <f t="shared" si="31"/>
        <v>0</v>
      </c>
      <c r="I2047" s="13">
        <v>1</v>
      </c>
    </row>
    <row r="2048" spans="1:9">
      <c r="A2048" s="13" t="s">
        <v>18</v>
      </c>
      <c r="B2048" s="16" t="s">
        <v>66</v>
      </c>
      <c r="C2048" s="16" t="str">
        <f>VLOOKUP([1]Competence!$B34,[1]Competence!$B$12:$B$100,1,FALSE)</f>
        <v>Security Operations</v>
      </c>
      <c r="D2048" s="13" t="str" cm="1">
        <f t="array" ref="D2048">_xlfn.XLOOKUP(B2048,[1]Baseline!$D$3:$AZ$3,_xlfn.XLOOKUP(C2048,[1]Baseline!$B$4:$B$91,[1]Baseline!$D$4:$AZ$91))</f>
        <v>Practitioner</v>
      </c>
      <c r="E2048" s="16" t="s">
        <v>49</v>
      </c>
      <c r="F2048" s="16">
        <v>1</v>
      </c>
      <c r="G2048" s="16">
        <v>1</v>
      </c>
      <c r="H2048" s="16">
        <f t="shared" si="31"/>
        <v>0</v>
      </c>
      <c r="I2048" s="13">
        <v>1</v>
      </c>
    </row>
    <row r="2049" spans="1:9">
      <c r="A2049" s="13" t="s">
        <v>18</v>
      </c>
      <c r="B2049" s="16" t="s">
        <v>66</v>
      </c>
      <c r="C2049" s="16" t="str">
        <f>VLOOKUP([1]Competence!$B35,[1]Competence!$B$12:$B$100,1,FALSE)</f>
        <v>Threat Intelligence</v>
      </c>
      <c r="D2049" s="13" t="str" cm="1">
        <f t="array" ref="D2049">_xlfn.XLOOKUP(B2049,[1]Baseline!$D$3:$AZ$3,_xlfn.XLOOKUP(C2049,[1]Baseline!$B$4:$B$91,[1]Baseline!$D$4:$AZ$91))</f>
        <v>No Knowledge</v>
      </c>
      <c r="E2049" s="16" t="s">
        <v>378</v>
      </c>
      <c r="F2049" s="16">
        <v>1</v>
      </c>
      <c r="G2049" s="16">
        <v>1</v>
      </c>
      <c r="H2049" s="16">
        <f t="shared" si="31"/>
        <v>0</v>
      </c>
      <c r="I2049" s="13">
        <v>1</v>
      </c>
    </row>
    <row r="2050" spans="1:9">
      <c r="A2050" s="13" t="s">
        <v>18</v>
      </c>
      <c r="B2050" s="16" t="s">
        <v>66</v>
      </c>
      <c r="C2050" s="16" t="str">
        <f>VLOOKUP([1]Competence!$B36,[1]Competence!$B$12:$B$100,1,FALSE)</f>
        <v>Vulnerability assessment</v>
      </c>
      <c r="D2050" s="13" t="str" cm="1">
        <f t="array" ref="D2050">_xlfn.XLOOKUP(B2050,[1]Baseline!$D$3:$AZ$3,_xlfn.XLOOKUP(C2050,[1]Baseline!$B$4:$B$91,[1]Baseline!$D$4:$AZ$91))</f>
        <v>Working</v>
      </c>
      <c r="E2050" s="16" t="s">
        <v>378</v>
      </c>
      <c r="F2050" s="16">
        <v>1</v>
      </c>
      <c r="G2050" s="16">
        <v>1</v>
      </c>
      <c r="H2050" s="16">
        <f t="shared" ref="H2050:H2113" si="32">I2050-F2050</f>
        <v>0</v>
      </c>
      <c r="I2050" s="13">
        <v>1</v>
      </c>
    </row>
    <row r="2051" spans="1:9">
      <c r="A2051" s="13" t="s">
        <v>18</v>
      </c>
      <c r="B2051" s="16" t="s">
        <v>66</v>
      </c>
      <c r="C2051" s="16" t="str">
        <f>VLOOKUP([1]Competence!$B37,[1]Competence!$B$12:$B$100,1,FALSE)</f>
        <v>Vulnerability Research</v>
      </c>
      <c r="D2051" s="13" t="str" cm="1">
        <f t="array" ref="D2051">_xlfn.XLOOKUP(B2051,[1]Baseline!$D$3:$AZ$3,_xlfn.XLOOKUP(C2051,[1]Baseline!$B$4:$B$91,[1]Baseline!$D$4:$AZ$91))</f>
        <v>No Knowledge</v>
      </c>
      <c r="E2051" s="16" t="s">
        <v>378</v>
      </c>
      <c r="F2051" s="16">
        <v>0</v>
      </c>
      <c r="G2051" s="16">
        <v>1</v>
      </c>
      <c r="H2051" s="16">
        <f t="shared" si="32"/>
        <v>1</v>
      </c>
      <c r="I2051" s="13">
        <v>1</v>
      </c>
    </row>
    <row r="2052" spans="1:9">
      <c r="A2052" s="13" t="s">
        <v>18</v>
      </c>
      <c r="B2052" s="16" t="s">
        <v>66</v>
      </c>
      <c r="C2052" s="16" t="str">
        <f>VLOOKUP([1]Competence!$B38,[1]Competence!$B$12:$B$100,1,FALSE)</f>
        <v>Competency assessment</v>
      </c>
      <c r="D2052" s="13" t="str" cm="1">
        <f t="array" ref="D2052">_xlfn.XLOOKUP(B2052,[1]Baseline!$D$3:$AZ$3,_xlfn.XLOOKUP(C2052,[1]Baseline!$B$4:$B$91,[1]Baseline!$D$4:$AZ$91))</f>
        <v>Awareness</v>
      </c>
      <c r="E2052" s="16" t="s">
        <v>378</v>
      </c>
      <c r="F2052" s="16">
        <v>0</v>
      </c>
      <c r="G2052" s="16">
        <v>1</v>
      </c>
      <c r="H2052" s="16">
        <f t="shared" si="32"/>
        <v>1</v>
      </c>
      <c r="I2052" s="13">
        <v>1</v>
      </c>
    </row>
    <row r="2053" spans="1:9">
      <c r="A2053" s="13" t="s">
        <v>18</v>
      </c>
      <c r="B2053" s="16" t="s">
        <v>66</v>
      </c>
      <c r="C2053" s="16" t="str">
        <f>VLOOKUP([1]Competence!$B39,[1]Competence!$B$12:$B$100,1,FALSE)</f>
        <v>Financial management</v>
      </c>
      <c r="D2053" s="13" t="str" cm="1">
        <f t="array" ref="D2053">_xlfn.XLOOKUP(B2053,[1]Baseline!$D$3:$AZ$3,_xlfn.XLOOKUP(C2053,[1]Baseline!$B$4:$B$91,[1]Baseline!$D$4:$AZ$91))</f>
        <v>Working</v>
      </c>
      <c r="E2053" s="16" t="s">
        <v>378</v>
      </c>
      <c r="F2053" s="16">
        <v>0</v>
      </c>
      <c r="G2053" s="16">
        <v>1</v>
      </c>
      <c r="H2053" s="16">
        <f t="shared" si="32"/>
        <v>1</v>
      </c>
      <c r="I2053" s="13">
        <v>1</v>
      </c>
    </row>
    <row r="2054" spans="1:9">
      <c r="A2054" s="13" t="s">
        <v>18</v>
      </c>
      <c r="B2054" s="16" t="s">
        <v>66</v>
      </c>
      <c r="C2054" s="16" t="str">
        <f>VLOOKUP([1]Competence!$B40,[1]Competence!$B$12:$B$100,1,FALSE)</f>
        <v>Organisation design and implementation</v>
      </c>
      <c r="D2054" s="13" t="str" cm="1">
        <f t="array" ref="D2054">_xlfn.XLOOKUP(B2054,[1]Baseline!$D$3:$AZ$3,_xlfn.XLOOKUP(C2054,[1]Baseline!$B$4:$B$91,[1]Baseline!$D$4:$AZ$91))</f>
        <v>No Knowledge</v>
      </c>
      <c r="E2054" s="16" t="s">
        <v>378</v>
      </c>
      <c r="F2054" s="16">
        <v>0</v>
      </c>
      <c r="G2054" s="16">
        <v>0</v>
      </c>
      <c r="H2054" s="16">
        <f t="shared" si="32"/>
        <v>0</v>
      </c>
      <c r="I2054" s="13">
        <v>0</v>
      </c>
    </row>
    <row r="2055" spans="1:9">
      <c r="A2055" s="13" t="s">
        <v>18</v>
      </c>
      <c r="B2055" s="16" t="s">
        <v>66</v>
      </c>
      <c r="C2055" s="16" t="str">
        <f>VLOOKUP([1]Competence!$B41,[1]Competence!$B$12:$B$100,1,FALSE)</f>
        <v>Organisational capability development</v>
      </c>
      <c r="D2055" s="13" t="str" cm="1">
        <f t="array" ref="D2055">_xlfn.XLOOKUP(B2055,[1]Baseline!$D$3:$AZ$3,_xlfn.XLOOKUP(C2055,[1]Baseline!$B$4:$B$91,[1]Baseline!$D$4:$AZ$91))</f>
        <v>No Knowledge</v>
      </c>
      <c r="E2055" s="16" t="s">
        <v>378</v>
      </c>
      <c r="F2055" s="16">
        <v>1</v>
      </c>
      <c r="G2055" s="16">
        <v>0</v>
      </c>
      <c r="H2055" s="16">
        <f t="shared" si="32"/>
        <v>-1</v>
      </c>
      <c r="I2055" s="13">
        <v>0</v>
      </c>
    </row>
    <row r="2056" spans="1:9">
      <c r="A2056" s="13" t="s">
        <v>18</v>
      </c>
      <c r="B2056" s="16" t="s">
        <v>66</v>
      </c>
      <c r="C2056" s="16" t="str">
        <f>VLOOKUP([1]Competence!$B42,[1]Competence!$B$12:$B$100,1,FALSE)</f>
        <v>Organisational change management</v>
      </c>
      <c r="D2056" s="13" t="str" cm="1">
        <f t="array" ref="D2056">_xlfn.XLOOKUP(B2056,[1]Baseline!$D$3:$AZ$3,_xlfn.XLOOKUP(C2056,[1]Baseline!$B$4:$B$91,[1]Baseline!$D$4:$AZ$91))</f>
        <v>No Knowledge</v>
      </c>
      <c r="E2056" s="16" t="s">
        <v>378</v>
      </c>
      <c r="F2056" s="16">
        <v>0</v>
      </c>
      <c r="G2056" s="16">
        <v>0</v>
      </c>
      <c r="H2056" s="16">
        <f t="shared" si="32"/>
        <v>0</v>
      </c>
      <c r="I2056" s="13">
        <v>0</v>
      </c>
    </row>
    <row r="2057" spans="1:9">
      <c r="A2057" s="13" t="s">
        <v>18</v>
      </c>
      <c r="B2057" s="16" t="s">
        <v>66</v>
      </c>
      <c r="C2057" s="16" t="str">
        <f>VLOOKUP([1]Competence!$B43,[1]Competence!$B$12:$B$100,1,FALSE)</f>
        <v>Performance Management</v>
      </c>
      <c r="D2057" s="13" t="str" cm="1">
        <f t="array" ref="D2057">_xlfn.XLOOKUP(B2057,[1]Baseline!$D$3:$AZ$3,_xlfn.XLOOKUP(C2057,[1]Baseline!$B$4:$B$91,[1]Baseline!$D$4:$AZ$91))</f>
        <v>No Knowledge</v>
      </c>
      <c r="E2057" s="16" t="s">
        <v>378</v>
      </c>
      <c r="F2057" s="16">
        <v>0</v>
      </c>
      <c r="G2057" s="16">
        <v>0</v>
      </c>
      <c r="H2057" s="16">
        <f t="shared" si="32"/>
        <v>0</v>
      </c>
      <c r="I2057" s="13">
        <v>0</v>
      </c>
    </row>
    <row r="2058" spans="1:9">
      <c r="A2058" s="13" t="s">
        <v>18</v>
      </c>
      <c r="B2058" s="16" t="s">
        <v>66</v>
      </c>
      <c r="C2058" s="16" t="str">
        <f>VLOOKUP([1]Competence!$B44,[1]Competence!$B$12:$B$100,1,FALSE)</f>
        <v>Professional Development</v>
      </c>
      <c r="D2058" s="13" t="str" cm="1">
        <f t="array" ref="D2058">_xlfn.XLOOKUP(B2058,[1]Baseline!$D$3:$AZ$3,_xlfn.XLOOKUP(C2058,[1]Baseline!$B$4:$B$91,[1]Baseline!$D$4:$AZ$91))</f>
        <v>No Knowledge</v>
      </c>
      <c r="E2058" s="16" t="s">
        <v>377</v>
      </c>
      <c r="F2058" s="16">
        <v>0</v>
      </c>
      <c r="G2058" s="16">
        <v>1</v>
      </c>
      <c r="H2058" s="16">
        <f t="shared" si="32"/>
        <v>1</v>
      </c>
      <c r="I2058" s="13">
        <v>1</v>
      </c>
    </row>
    <row r="2059" spans="1:9">
      <c r="A2059" s="13" t="s">
        <v>18</v>
      </c>
      <c r="B2059" s="16" t="s">
        <v>66</v>
      </c>
      <c r="C2059" s="16" t="str">
        <f>VLOOKUP([1]Competence!$B45,[1]Competence!$B$12:$B$100,1,FALSE)</f>
        <v>Strategic Planning</v>
      </c>
      <c r="D2059" s="13" t="str" cm="1">
        <f t="array" ref="D2059">_xlfn.XLOOKUP(B2059,[1]Baseline!$D$3:$AZ$3,_xlfn.XLOOKUP(C2059,[1]Baseline!$B$4:$B$91,[1]Baseline!$D$4:$AZ$91))</f>
        <v>No Knowledge</v>
      </c>
      <c r="E2059" s="16" t="s">
        <v>377</v>
      </c>
      <c r="F2059" s="16">
        <v>0</v>
      </c>
      <c r="G2059" s="16">
        <v>1</v>
      </c>
      <c r="H2059" s="16">
        <f t="shared" si="32"/>
        <v>1</v>
      </c>
      <c r="I2059" s="13">
        <v>1</v>
      </c>
    </row>
    <row r="2060" spans="1:9">
      <c r="A2060" s="13" t="s">
        <v>18</v>
      </c>
      <c r="B2060" s="16" t="s">
        <v>66</v>
      </c>
      <c r="C2060" s="16" t="str">
        <f>VLOOKUP([1]Competence!$B46,[1]Competence!$B$12:$B$100,1,FALSE)</f>
        <v>Workforce Planning</v>
      </c>
      <c r="D2060" s="13" t="str" cm="1">
        <f t="array" ref="D2060">_xlfn.XLOOKUP(B2060,[1]Baseline!$D$3:$AZ$3,_xlfn.XLOOKUP(C2060,[1]Baseline!$B$4:$B$91,[1]Baseline!$D$4:$AZ$91))</f>
        <v>No Knowledge</v>
      </c>
      <c r="E2060" s="16" t="s">
        <v>377</v>
      </c>
      <c r="F2060" s="16">
        <v>2</v>
      </c>
      <c r="G2060" s="16">
        <v>0</v>
      </c>
      <c r="H2060" s="16">
        <f t="shared" si="32"/>
        <v>-2</v>
      </c>
      <c r="I2060" s="13">
        <v>0</v>
      </c>
    </row>
    <row r="2061" spans="1:9">
      <c r="A2061" s="13" t="s">
        <v>18</v>
      </c>
      <c r="B2061" s="16" t="s">
        <v>66</v>
      </c>
      <c r="C2061" s="16" t="str">
        <f>VLOOKUP([1]Competence!$B47,[1]Competence!$B$12:$B$100,1,FALSE)</f>
        <v>Audit</v>
      </c>
      <c r="D2061" s="13" t="str" cm="1">
        <f t="array" ref="D2061">_xlfn.XLOOKUP(B2061,[1]Baseline!$D$3:$AZ$3,_xlfn.XLOOKUP(C2061,[1]Baseline!$B$4:$B$91,[1]Baseline!$D$4:$AZ$91))</f>
        <v>Working</v>
      </c>
      <c r="E2061" s="16" t="s">
        <v>377</v>
      </c>
      <c r="F2061" s="16">
        <v>0</v>
      </c>
      <c r="G2061" s="16">
        <v>1</v>
      </c>
      <c r="H2061" s="16">
        <f t="shared" si="32"/>
        <v>1</v>
      </c>
      <c r="I2061" s="13">
        <v>1</v>
      </c>
    </row>
    <row r="2062" spans="1:9">
      <c r="A2062" s="13" t="s">
        <v>18</v>
      </c>
      <c r="B2062" s="16" t="s">
        <v>66</v>
      </c>
      <c r="C2062" s="16" t="str">
        <f>VLOOKUP([1]Competence!$B48,[1]Competence!$B$12:$B$100,1,FALSE)</f>
        <v>Contract management</v>
      </c>
      <c r="D2062" s="13" t="str" cm="1">
        <f t="array" ref="D2062">_xlfn.XLOOKUP(B2062,[1]Baseline!$D$3:$AZ$3,_xlfn.XLOOKUP(C2062,[1]Baseline!$B$4:$B$91,[1]Baseline!$D$4:$AZ$91))</f>
        <v>Working</v>
      </c>
      <c r="E2062" s="16" t="s">
        <v>377</v>
      </c>
      <c r="F2062" s="16">
        <v>2</v>
      </c>
      <c r="G2062" s="16">
        <v>0</v>
      </c>
      <c r="H2062" s="16">
        <f t="shared" si="32"/>
        <v>-2</v>
      </c>
      <c r="I2062" s="13">
        <v>0</v>
      </c>
    </row>
    <row r="2063" spans="1:9">
      <c r="A2063" s="13" t="s">
        <v>18</v>
      </c>
      <c r="B2063" s="16" t="s">
        <v>66</v>
      </c>
      <c r="C2063" s="16" t="str">
        <f>VLOOKUP([1]Competence!$B49,[1]Competence!$B$12:$B$100,1,FALSE)</f>
        <v>Feasibility assessment</v>
      </c>
      <c r="D2063" s="13" t="str" cm="1">
        <f t="array" ref="D2063">_xlfn.XLOOKUP(B2063,[1]Baseline!$D$3:$AZ$3,_xlfn.XLOOKUP(C2063,[1]Baseline!$B$4:$B$91,[1]Baseline!$D$4:$AZ$91))</f>
        <v>Working</v>
      </c>
      <c r="E2063" s="16" t="s">
        <v>377</v>
      </c>
      <c r="F2063" s="16">
        <v>0</v>
      </c>
      <c r="G2063" s="16">
        <v>1</v>
      </c>
      <c r="H2063" s="16">
        <f t="shared" si="32"/>
        <v>1</v>
      </c>
      <c r="I2063" s="13">
        <v>1</v>
      </c>
    </row>
    <row r="2064" spans="1:9">
      <c r="A2064" s="13" t="s">
        <v>18</v>
      </c>
      <c r="B2064" s="16" t="s">
        <v>66</v>
      </c>
      <c r="C2064" s="16" t="str">
        <f>VLOOKUP([1]Competence!$B50,[1]Competence!$B$12:$B$100,1,FALSE)</f>
        <v>Governance</v>
      </c>
      <c r="D2064" s="13" t="str" cm="1">
        <f t="array" ref="D2064">_xlfn.XLOOKUP(B2064,[1]Baseline!$D$3:$AZ$3,_xlfn.XLOOKUP(C2064,[1]Baseline!$B$4:$B$91,[1]Baseline!$D$4:$AZ$91))</f>
        <v>Working</v>
      </c>
      <c r="E2064" s="16" t="s">
        <v>374</v>
      </c>
      <c r="F2064" s="16">
        <v>1</v>
      </c>
      <c r="G2064" s="16">
        <v>1</v>
      </c>
      <c r="H2064" s="16">
        <f t="shared" si="32"/>
        <v>0</v>
      </c>
      <c r="I2064" s="13">
        <v>1</v>
      </c>
    </row>
    <row r="2065" spans="1:9">
      <c r="A2065" s="13" t="s">
        <v>18</v>
      </c>
      <c r="B2065" s="16" t="s">
        <v>66</v>
      </c>
      <c r="C2065" s="16" t="str">
        <f>VLOOKUP([1]Competence!$B51,[1]Competence!$B$12:$B$100,1,FALSE)</f>
        <v>Risk management</v>
      </c>
      <c r="D2065" s="13" t="str" cm="1">
        <f t="array" ref="D2065">_xlfn.XLOOKUP(B2065,[1]Baseline!$D$3:$AZ$3,_xlfn.XLOOKUP(C2065,[1]Baseline!$B$4:$B$91,[1]Baseline!$D$4:$AZ$91))</f>
        <v>No Knowledge</v>
      </c>
      <c r="E2065" s="16" t="s">
        <v>374</v>
      </c>
      <c r="F2065" s="16">
        <v>0</v>
      </c>
      <c r="G2065" s="16">
        <v>1</v>
      </c>
      <c r="H2065" s="16">
        <f t="shared" si="32"/>
        <v>1</v>
      </c>
      <c r="I2065" s="13">
        <v>1</v>
      </c>
    </row>
    <row r="2066" spans="1:9">
      <c r="A2066" s="13" t="s">
        <v>18</v>
      </c>
      <c r="B2066" s="16" t="s">
        <v>66</v>
      </c>
      <c r="C2066" s="16" t="str">
        <f>VLOOKUP([1]Competence!$B52,[1]Competence!$B$12:$B$100,1,FALSE)</f>
        <v>Sourcing</v>
      </c>
      <c r="D2066" s="13" t="str" cm="1">
        <f t="array" ref="D2066">_xlfn.XLOOKUP(B2066,[1]Baseline!$D$3:$AZ$3,_xlfn.XLOOKUP(C2066,[1]Baseline!$B$4:$B$91,[1]Baseline!$D$4:$AZ$91))</f>
        <v>Practitioner</v>
      </c>
      <c r="E2066" s="16" t="s">
        <v>374</v>
      </c>
      <c r="F2066" s="16">
        <v>1</v>
      </c>
      <c r="G2066" s="16">
        <v>1</v>
      </c>
      <c r="H2066" s="16">
        <f t="shared" si="32"/>
        <v>0</v>
      </c>
      <c r="I2066" s="13">
        <v>1</v>
      </c>
    </row>
    <row r="2067" spans="1:9">
      <c r="A2067" s="13" t="s">
        <v>18</v>
      </c>
      <c r="B2067" s="16" t="s">
        <v>66</v>
      </c>
      <c r="C2067" s="16" t="str">
        <f>VLOOKUP([1]Competence!$B53,[1]Competence!$B$12:$B$100,1,FALSE)</f>
        <v>Supplier management</v>
      </c>
      <c r="D2067" s="13" t="str" cm="1">
        <f t="array" ref="D2067">_xlfn.XLOOKUP(B2067,[1]Baseline!$D$3:$AZ$3,_xlfn.XLOOKUP(C2067,[1]Baseline!$B$4:$B$91,[1]Baseline!$D$4:$AZ$91))</f>
        <v>Practitioner</v>
      </c>
      <c r="E2067" s="16" t="s">
        <v>374</v>
      </c>
      <c r="F2067" s="16">
        <v>1</v>
      </c>
      <c r="G2067" s="16">
        <v>1</v>
      </c>
      <c r="H2067" s="16">
        <f t="shared" si="32"/>
        <v>0</v>
      </c>
      <c r="I2067" s="13">
        <v>1</v>
      </c>
    </row>
    <row r="2068" spans="1:9">
      <c r="A2068" s="13" t="s">
        <v>18</v>
      </c>
      <c r="B2068" s="16" t="s">
        <v>66</v>
      </c>
      <c r="C2068" s="16" t="str">
        <f>VLOOKUP([1]Competence!$B54,[1]Competence!$B$12:$B$100,1,FALSE)</f>
        <v>Sustainability</v>
      </c>
      <c r="D2068" s="13" t="str" cm="1">
        <f t="array" ref="D2068">_xlfn.XLOOKUP(B2068,[1]Baseline!$D$3:$AZ$3,_xlfn.XLOOKUP(C2068,[1]Baseline!$B$4:$B$91,[1]Baseline!$D$4:$AZ$91))</f>
        <v>Awareness</v>
      </c>
      <c r="E2068" s="16" t="s">
        <v>374</v>
      </c>
      <c r="F2068" s="16">
        <v>1</v>
      </c>
      <c r="G2068" s="16">
        <v>1</v>
      </c>
      <c r="H2068" s="16">
        <f t="shared" si="32"/>
        <v>0</v>
      </c>
      <c r="I2068" s="13">
        <v>1</v>
      </c>
    </row>
    <row r="2069" spans="1:9">
      <c r="A2069" s="13" t="s">
        <v>18</v>
      </c>
      <c r="B2069" s="16" t="s">
        <v>66</v>
      </c>
      <c r="C2069" s="16" t="str">
        <f>VLOOKUP([1]Competence!$B55,[1]Competence!$B$12:$B$100,1,FALSE)</f>
        <v>Acceptance testing</v>
      </c>
      <c r="D2069" s="13" t="str" cm="1">
        <f t="array" ref="D2069">_xlfn.XLOOKUP(B2069,[1]Baseline!$D$3:$AZ$3,_xlfn.XLOOKUP(C2069,[1]Baseline!$B$4:$B$91,[1]Baseline!$D$4:$AZ$91))</f>
        <v>Working</v>
      </c>
      <c r="E2069" s="16" t="s">
        <v>374</v>
      </c>
      <c r="F2069" s="16">
        <v>2</v>
      </c>
      <c r="G2069" s="16">
        <v>2</v>
      </c>
      <c r="H2069" s="16">
        <f t="shared" si="32"/>
        <v>0</v>
      </c>
      <c r="I2069" s="13">
        <v>2</v>
      </c>
    </row>
    <row r="2070" spans="1:9">
      <c r="A2070" s="13" t="s">
        <v>18</v>
      </c>
      <c r="B2070" s="16" t="s">
        <v>66</v>
      </c>
      <c r="C2070" s="16" t="str">
        <f>VLOOKUP([1]Competence!$B56,[1]Competence!$B$12:$B$100,1,FALSE)</f>
        <v>Application support</v>
      </c>
      <c r="D2070" s="13" t="str" cm="1">
        <f t="array" ref="D2070">_xlfn.XLOOKUP(B2070,[1]Baseline!$D$3:$AZ$3,_xlfn.XLOOKUP(C2070,[1]Baseline!$B$4:$B$91,[1]Baseline!$D$4:$AZ$91))</f>
        <v>Working</v>
      </c>
      <c r="E2070" s="16" t="s">
        <v>374</v>
      </c>
      <c r="F2070" s="16">
        <v>1</v>
      </c>
      <c r="G2070" s="16">
        <v>3</v>
      </c>
      <c r="H2070" s="16">
        <f t="shared" si="32"/>
        <v>2</v>
      </c>
      <c r="I2070" s="13">
        <v>3</v>
      </c>
    </row>
    <row r="2071" spans="1:9">
      <c r="A2071" s="13" t="s">
        <v>18</v>
      </c>
      <c r="B2071" s="16" t="s">
        <v>66</v>
      </c>
      <c r="C2071" s="16" t="str">
        <f>VLOOKUP([1]Competence!$B57,[1]Competence!$B$12:$B$100,1,FALSE)</f>
        <v>Data Engineering</v>
      </c>
      <c r="D2071" s="13" t="str" cm="1">
        <f t="array" ref="D2071">_xlfn.XLOOKUP(B2071,[1]Baseline!$D$3:$AZ$3,_xlfn.XLOOKUP(C2071,[1]Baseline!$B$4:$B$91,[1]Baseline!$D$4:$AZ$91))</f>
        <v>No Knowledge</v>
      </c>
      <c r="E2071" s="16" t="s">
        <v>374</v>
      </c>
      <c r="F2071" s="16">
        <v>0</v>
      </c>
      <c r="G2071" s="16">
        <v>1</v>
      </c>
      <c r="H2071" s="16">
        <f t="shared" si="32"/>
        <v>1</v>
      </c>
      <c r="I2071" s="13">
        <v>1</v>
      </c>
    </row>
    <row r="2072" spans="1:9">
      <c r="A2072" s="13" t="s">
        <v>18</v>
      </c>
      <c r="B2072" s="16" t="s">
        <v>66</v>
      </c>
      <c r="C2072" s="16" t="str">
        <f>VLOOKUP([1]Competence!$B58,[1]Competence!$B$12:$B$100,1,FALSE)</f>
        <v>Data Management</v>
      </c>
      <c r="D2072" s="13" t="str" cm="1">
        <f t="array" ref="D2072">_xlfn.XLOOKUP(B2072,[1]Baseline!$D$3:$AZ$3,_xlfn.XLOOKUP(C2072,[1]Baseline!$B$4:$B$91,[1]Baseline!$D$4:$AZ$91))</f>
        <v>No Knowledge</v>
      </c>
      <c r="E2072" s="16" t="s">
        <v>374</v>
      </c>
      <c r="F2072" s="16">
        <v>0</v>
      </c>
      <c r="G2072" s="16">
        <v>1</v>
      </c>
      <c r="H2072" s="16">
        <f t="shared" si="32"/>
        <v>1</v>
      </c>
      <c r="I2072" s="13">
        <v>1</v>
      </c>
    </row>
    <row r="2073" spans="1:9">
      <c r="A2073" s="13" t="s">
        <v>18</v>
      </c>
      <c r="B2073" s="16" t="s">
        <v>66</v>
      </c>
      <c r="C2073" s="16" t="str">
        <f>VLOOKUP([1]Competence!$B59,[1]Competence!$B$12:$B$100,1,FALSE)</f>
        <v>Data Modelling and Design</v>
      </c>
      <c r="D2073" s="13" t="str" cm="1">
        <f t="array" ref="D2073">_xlfn.XLOOKUP(B2073,[1]Baseline!$D$3:$AZ$3,_xlfn.XLOOKUP(C2073,[1]Baseline!$B$4:$B$91,[1]Baseline!$D$4:$AZ$91))</f>
        <v>No Knowledge</v>
      </c>
      <c r="E2073" s="16" t="s">
        <v>374</v>
      </c>
      <c r="F2073" s="16">
        <v>2</v>
      </c>
      <c r="G2073" s="16">
        <v>1</v>
      </c>
      <c r="H2073" s="16">
        <f t="shared" si="32"/>
        <v>-1</v>
      </c>
      <c r="I2073" s="13">
        <v>1</v>
      </c>
    </row>
    <row r="2074" spans="1:9">
      <c r="A2074" s="13" t="s">
        <v>18</v>
      </c>
      <c r="B2074" s="16" t="s">
        <v>66</v>
      </c>
      <c r="C2074" s="16" t="str">
        <f>VLOOKUP([1]Competence!$B60,[1]Competence!$B$12:$B$100,1,FALSE)</f>
        <v>Data science</v>
      </c>
      <c r="D2074" s="13" t="str" cm="1">
        <f t="array" ref="D2074">_xlfn.XLOOKUP(B2074,[1]Baseline!$D$3:$AZ$3,_xlfn.XLOOKUP(C2074,[1]Baseline!$B$4:$B$91,[1]Baseline!$D$4:$AZ$91))</f>
        <v>No Knowledge</v>
      </c>
      <c r="E2074" s="16" t="s">
        <v>374</v>
      </c>
      <c r="F2074" s="16">
        <v>2</v>
      </c>
      <c r="G2074" s="16">
        <v>1</v>
      </c>
      <c r="H2074" s="16">
        <f t="shared" si="32"/>
        <v>-1</v>
      </c>
      <c r="I2074" s="13">
        <v>1</v>
      </c>
    </row>
    <row r="2075" spans="1:9">
      <c r="A2075" s="13" t="s">
        <v>18</v>
      </c>
      <c r="B2075" s="16" t="s">
        <v>66</v>
      </c>
      <c r="C2075" s="16" t="str">
        <f>VLOOKUP([1]Competence!$B61,[1]Competence!$B$12:$B$100,1,FALSE)</f>
        <v>Data visualisation</v>
      </c>
      <c r="D2075" s="13" t="str" cm="1">
        <f t="array" ref="D2075">_xlfn.XLOOKUP(B2075,[1]Baseline!$D$3:$AZ$3,_xlfn.XLOOKUP(C2075,[1]Baseline!$B$4:$B$91,[1]Baseline!$D$4:$AZ$91))</f>
        <v>No Knowledge</v>
      </c>
      <c r="E2075" s="16" t="s">
        <v>375</v>
      </c>
      <c r="F2075" s="16">
        <v>1</v>
      </c>
      <c r="G2075" s="16">
        <v>1</v>
      </c>
      <c r="H2075" s="16">
        <f t="shared" si="32"/>
        <v>0</v>
      </c>
      <c r="I2075" s="13">
        <v>1</v>
      </c>
    </row>
    <row r="2076" spans="1:9">
      <c r="A2076" s="13" t="s">
        <v>18</v>
      </c>
      <c r="B2076" s="16" t="s">
        <v>66</v>
      </c>
      <c r="C2076" s="16" t="str">
        <f>VLOOKUP([1]Competence!$B62,[1]Competence!$B$12:$B$100,1,FALSE)</f>
        <v>Database Administration</v>
      </c>
      <c r="D2076" s="13" t="str" cm="1">
        <f t="array" ref="D2076">_xlfn.XLOOKUP(B2076,[1]Baseline!$D$3:$AZ$3,_xlfn.XLOOKUP(C2076,[1]Baseline!$B$4:$B$91,[1]Baseline!$D$4:$AZ$91))</f>
        <v>No Knowledge</v>
      </c>
      <c r="E2076" s="16" t="s">
        <v>375</v>
      </c>
      <c r="F2076" s="16">
        <v>2</v>
      </c>
      <c r="G2076" s="16">
        <v>2</v>
      </c>
      <c r="H2076" s="16">
        <f t="shared" si="32"/>
        <v>0</v>
      </c>
      <c r="I2076" s="13">
        <v>2</v>
      </c>
    </row>
    <row r="2077" spans="1:9">
      <c r="A2077" s="13" t="s">
        <v>18</v>
      </c>
      <c r="B2077" s="16" t="s">
        <v>66</v>
      </c>
      <c r="C2077" s="16" t="str">
        <f>VLOOKUP([1]Competence!$B63,[1]Competence!$B$12:$B$100,1,FALSE)</f>
        <v>Database Design</v>
      </c>
      <c r="D2077" s="13" t="str" cm="1">
        <f t="array" ref="D2077">_xlfn.XLOOKUP(B2077,[1]Baseline!$D$3:$AZ$3,_xlfn.XLOOKUP(C2077,[1]Baseline!$B$4:$B$91,[1]Baseline!$D$4:$AZ$91))</f>
        <v>No Knowledge</v>
      </c>
      <c r="E2077" s="16" t="s">
        <v>375</v>
      </c>
      <c r="F2077" s="16">
        <v>1</v>
      </c>
      <c r="G2077" s="16">
        <v>2</v>
      </c>
      <c r="H2077" s="16">
        <f t="shared" si="32"/>
        <v>1</v>
      </c>
      <c r="I2077" s="13">
        <v>2</v>
      </c>
    </row>
    <row r="2078" spans="1:9">
      <c r="A2078" s="13" t="s">
        <v>18</v>
      </c>
      <c r="B2078" s="16" t="s">
        <v>66</v>
      </c>
      <c r="C2078" s="16" t="str">
        <f>VLOOKUP([1]Competence!$B64,[1]Competence!$B$12:$B$100,1,FALSE)</f>
        <v>Hardware design</v>
      </c>
      <c r="D2078" s="13" t="str" cm="1">
        <f t="array" ref="D2078">_xlfn.XLOOKUP(B2078,[1]Baseline!$D$3:$AZ$3,_xlfn.XLOOKUP(C2078,[1]Baseline!$B$4:$B$91,[1]Baseline!$D$4:$AZ$91))</f>
        <v>No Knowledge</v>
      </c>
      <c r="E2078" s="16" t="s">
        <v>375</v>
      </c>
      <c r="F2078" s="16">
        <v>0</v>
      </c>
      <c r="G2078" s="16">
        <v>1</v>
      </c>
      <c r="H2078" s="16">
        <f t="shared" si="32"/>
        <v>1</v>
      </c>
      <c r="I2078" s="13">
        <v>1</v>
      </c>
    </row>
    <row r="2079" spans="1:9">
      <c r="A2079" s="13" t="s">
        <v>18</v>
      </c>
      <c r="B2079" s="16" t="s">
        <v>66</v>
      </c>
      <c r="C2079" s="16" t="str">
        <f>VLOOKUP([1]Competence!$B65,[1]Competence!$B$12:$B$100,1,FALSE)</f>
        <v>High Performance Computing</v>
      </c>
      <c r="D2079" s="13" t="str" cm="1">
        <f t="array" ref="D2079">_xlfn.XLOOKUP(B2079,[1]Baseline!$D$3:$AZ$3,_xlfn.XLOOKUP(C2079,[1]Baseline!$B$4:$B$91,[1]Baseline!$D$4:$AZ$91))</f>
        <v>Awareness</v>
      </c>
      <c r="E2079" s="16" t="s">
        <v>375</v>
      </c>
      <c r="F2079" s="16">
        <v>0</v>
      </c>
      <c r="G2079" s="16">
        <v>1</v>
      </c>
      <c r="H2079" s="16">
        <f t="shared" si="32"/>
        <v>1</v>
      </c>
      <c r="I2079" s="13">
        <v>1</v>
      </c>
    </row>
    <row r="2080" spans="1:9">
      <c r="A2080" s="13" t="s">
        <v>18</v>
      </c>
      <c r="B2080" s="16" t="s">
        <v>66</v>
      </c>
      <c r="C2080" s="16" t="str">
        <f>VLOOKUP([1]Competence!$B66,[1]Competence!$B$12:$B$100,1,FALSE)</f>
        <v>Research Computing</v>
      </c>
      <c r="D2080" s="13" t="str" cm="1">
        <f t="array" ref="D2080">_xlfn.XLOOKUP(B2080,[1]Baseline!$D$3:$AZ$3,_xlfn.XLOOKUP(C2080,[1]Baseline!$B$4:$B$91,[1]Baseline!$D$4:$AZ$91))</f>
        <v>Awareness</v>
      </c>
      <c r="E2080" s="16" t="s">
        <v>375</v>
      </c>
      <c r="F2080" s="16">
        <v>0</v>
      </c>
      <c r="G2080" s="16">
        <v>1</v>
      </c>
      <c r="H2080" s="16">
        <f t="shared" si="32"/>
        <v>1</v>
      </c>
      <c r="I2080" s="13">
        <v>1</v>
      </c>
    </row>
    <row r="2081" spans="1:9">
      <c r="A2081" s="13" t="s">
        <v>18</v>
      </c>
      <c r="B2081" s="16" t="s">
        <v>66</v>
      </c>
      <c r="C2081" s="16" t="str">
        <f>VLOOKUP([1]Competence!$B67,[1]Competence!$B$12:$B$100,1,FALSE)</f>
        <v>Information assurance</v>
      </c>
      <c r="D2081" s="13" t="str" cm="1">
        <f t="array" ref="D2081">_xlfn.XLOOKUP(B2081,[1]Baseline!$D$3:$AZ$3,_xlfn.XLOOKUP(C2081,[1]Baseline!$B$4:$B$91,[1]Baseline!$D$4:$AZ$91))</f>
        <v>Working</v>
      </c>
      <c r="E2081" s="16" t="s">
        <v>375</v>
      </c>
      <c r="F2081" s="16">
        <v>0</v>
      </c>
      <c r="G2081" s="16">
        <v>3</v>
      </c>
      <c r="H2081" s="16">
        <f t="shared" si="32"/>
        <v>3</v>
      </c>
      <c r="I2081" s="13">
        <v>3</v>
      </c>
    </row>
    <row r="2082" spans="1:9">
      <c r="A2082" s="13" t="s">
        <v>18</v>
      </c>
      <c r="B2082" s="16" t="s">
        <v>66</v>
      </c>
      <c r="C2082" s="16" t="str">
        <f>VLOOKUP([1]Competence!$B68,[1]Competence!$B$12:$B$100,1,FALSE)</f>
        <v>Information management</v>
      </c>
      <c r="D2082" s="13" t="str" cm="1">
        <f t="array" ref="D2082">_xlfn.XLOOKUP(B2082,[1]Baseline!$D$3:$AZ$3,_xlfn.XLOOKUP(C2082,[1]Baseline!$B$4:$B$91,[1]Baseline!$D$4:$AZ$91))</f>
        <v>Awareness</v>
      </c>
      <c r="E2082" s="16" t="s">
        <v>375</v>
      </c>
      <c r="F2082" s="16">
        <v>0</v>
      </c>
      <c r="G2082" s="16">
        <v>1</v>
      </c>
      <c r="H2082" s="16">
        <f t="shared" si="32"/>
        <v>1</v>
      </c>
      <c r="I2082" s="13">
        <v>1</v>
      </c>
    </row>
    <row r="2083" spans="1:9">
      <c r="A2083" s="13" t="s">
        <v>18</v>
      </c>
      <c r="B2083" s="16" t="s">
        <v>66</v>
      </c>
      <c r="C2083" s="16" t="str">
        <f>VLOOKUP([1]Competence!$B69,[1]Competence!$B$12:$B$100,1,FALSE)</f>
        <v>Infrastructure</v>
      </c>
      <c r="D2083" s="13" t="str" cm="1">
        <f t="array" ref="D2083">_xlfn.XLOOKUP(B2083,[1]Baseline!$D$3:$AZ$3,_xlfn.XLOOKUP(C2083,[1]Baseline!$B$4:$B$91,[1]Baseline!$D$4:$AZ$91))</f>
        <v>Working</v>
      </c>
      <c r="E2083" s="16" t="s">
        <v>375</v>
      </c>
      <c r="F2083" s="16">
        <v>0</v>
      </c>
      <c r="G2083" s="16">
        <v>3</v>
      </c>
      <c r="H2083" s="16">
        <f t="shared" si="32"/>
        <v>3</v>
      </c>
      <c r="I2083" s="13">
        <v>3</v>
      </c>
    </row>
    <row r="2084" spans="1:9">
      <c r="A2084" s="13" t="s">
        <v>18</v>
      </c>
      <c r="B2084" s="16" t="s">
        <v>66</v>
      </c>
      <c r="C2084" s="16" t="str">
        <f>VLOOKUP([1]Competence!$B70,[1]Competence!$B$12:$B$100,1,FALSE)</f>
        <v>Network design</v>
      </c>
      <c r="D2084" s="13" t="str" cm="1">
        <f t="array" ref="D2084">_xlfn.XLOOKUP(B2084,[1]Baseline!$D$3:$AZ$3,_xlfn.XLOOKUP(C2084,[1]Baseline!$B$4:$B$91,[1]Baseline!$D$4:$AZ$91))</f>
        <v>No Knowledge</v>
      </c>
      <c r="E2084" s="16" t="s">
        <v>375</v>
      </c>
      <c r="F2084" s="16">
        <v>0</v>
      </c>
      <c r="G2084" s="16">
        <v>1</v>
      </c>
      <c r="H2084" s="16">
        <f t="shared" si="32"/>
        <v>1</v>
      </c>
      <c r="I2084" s="13">
        <v>1</v>
      </c>
    </row>
    <row r="2085" spans="1:9">
      <c r="A2085" s="13" t="s">
        <v>18</v>
      </c>
      <c r="B2085" s="16" t="s">
        <v>66</v>
      </c>
      <c r="C2085" s="16" t="str">
        <f>VLOOKUP([1]Competence!$B71,[1]Competence!$B$12:$B$100,1,FALSE)</f>
        <v>Network Analytics</v>
      </c>
      <c r="D2085" s="13" t="str" cm="1">
        <f t="array" ref="D2085">_xlfn.XLOOKUP(B2085,[1]Baseline!$D$3:$AZ$3,_xlfn.XLOOKUP(C2085,[1]Baseline!$B$4:$B$91,[1]Baseline!$D$4:$AZ$91))</f>
        <v>No Knowledge</v>
      </c>
      <c r="E2085" s="16" t="s">
        <v>375</v>
      </c>
      <c r="F2085" s="16">
        <v>0</v>
      </c>
      <c r="G2085" s="16">
        <v>2</v>
      </c>
      <c r="H2085" s="16">
        <f t="shared" si="32"/>
        <v>2</v>
      </c>
      <c r="I2085" s="13">
        <v>2</v>
      </c>
    </row>
    <row r="2086" spans="1:9">
      <c r="A2086" s="13" t="s">
        <v>18</v>
      </c>
      <c r="B2086" s="16" t="s">
        <v>66</v>
      </c>
      <c r="C2086" s="16" t="str">
        <f>VLOOKUP([1]Competence!$B72,[1]Competence!$B$12:$B$100,1,FALSE)</f>
        <v>Network support</v>
      </c>
      <c r="D2086" s="13" t="str" cm="1">
        <f t="array" ref="D2086">_xlfn.XLOOKUP(B2086,[1]Baseline!$D$3:$AZ$3,_xlfn.XLOOKUP(C2086,[1]Baseline!$B$4:$B$91,[1]Baseline!$D$4:$AZ$91))</f>
        <v>Working</v>
      </c>
      <c r="E2086" s="16" t="s">
        <v>375</v>
      </c>
      <c r="F2086" s="16">
        <v>0</v>
      </c>
      <c r="G2086" s="16">
        <v>3</v>
      </c>
      <c r="H2086" s="16">
        <f t="shared" si="32"/>
        <v>3</v>
      </c>
      <c r="I2086" s="13">
        <v>3</v>
      </c>
    </row>
    <row r="2087" spans="1:9">
      <c r="A2087" s="13" t="s">
        <v>18</v>
      </c>
      <c r="B2087" s="16" t="s">
        <v>66</v>
      </c>
      <c r="C2087" s="16" t="str">
        <f>VLOOKUP([1]Competence!$B73,[1]Competence!$B$12:$B$100,1,FALSE)</f>
        <v>Programming/software development</v>
      </c>
      <c r="D2087" s="13" t="str" cm="1">
        <f t="array" ref="D2087">_xlfn.XLOOKUP(B2087,[1]Baseline!$D$3:$AZ$3,_xlfn.XLOOKUP(C2087,[1]Baseline!$B$4:$B$91,[1]Baseline!$D$4:$AZ$91))</f>
        <v>No Knowledge</v>
      </c>
      <c r="E2087" s="16" t="s">
        <v>375</v>
      </c>
      <c r="F2087" s="16">
        <v>0</v>
      </c>
      <c r="G2087" s="16">
        <v>3</v>
      </c>
      <c r="H2087" s="16">
        <f t="shared" si="32"/>
        <v>3</v>
      </c>
      <c r="I2087" s="13">
        <v>3</v>
      </c>
    </row>
    <row r="2088" spans="1:9">
      <c r="A2088" s="13" t="s">
        <v>18</v>
      </c>
      <c r="B2088" s="16" t="s">
        <v>66</v>
      </c>
      <c r="C2088" s="16" t="str">
        <f>VLOOKUP([1]Competence!$B74,[1]Competence!$B$12:$B$100,1,FALSE)</f>
        <v>Real-time/embedded systems development</v>
      </c>
      <c r="D2088" s="13" t="str" cm="1">
        <f t="array" ref="D2088">_xlfn.XLOOKUP(B2088,[1]Baseline!$D$3:$AZ$3,_xlfn.XLOOKUP(C2088,[1]Baseline!$B$4:$B$91,[1]Baseline!$D$4:$AZ$91))</f>
        <v>No Knowledge</v>
      </c>
      <c r="E2088" s="16" t="s">
        <v>375</v>
      </c>
      <c r="F2088" s="16">
        <v>1</v>
      </c>
      <c r="G2088" s="16">
        <v>2</v>
      </c>
      <c r="H2088" s="16">
        <f t="shared" si="32"/>
        <v>1</v>
      </c>
      <c r="I2088" s="13">
        <v>2</v>
      </c>
    </row>
    <row r="2089" spans="1:9">
      <c r="A2089" s="13" t="s">
        <v>18</v>
      </c>
      <c r="B2089" s="16" t="s">
        <v>66</v>
      </c>
      <c r="C2089" s="16" t="str">
        <f>VLOOKUP([1]Competence!$B75,[1]Competence!$B$12:$B$100,1,FALSE)</f>
        <v>Requirements definition and management</v>
      </c>
      <c r="D2089" s="13" t="str" cm="1">
        <f t="array" ref="D2089">_xlfn.XLOOKUP(B2089,[1]Baseline!$D$3:$AZ$3,_xlfn.XLOOKUP(C2089,[1]Baseline!$B$4:$B$91,[1]Baseline!$D$4:$AZ$91))</f>
        <v>No Knowledge</v>
      </c>
      <c r="E2089" s="16" t="s">
        <v>375</v>
      </c>
      <c r="F2089" s="16">
        <v>2</v>
      </c>
      <c r="G2089" s="16">
        <v>2</v>
      </c>
      <c r="H2089" s="16">
        <f t="shared" si="32"/>
        <v>0</v>
      </c>
      <c r="I2089" s="13">
        <v>2</v>
      </c>
    </row>
    <row r="2090" spans="1:9">
      <c r="A2090" s="13" t="s">
        <v>18</v>
      </c>
      <c r="B2090" s="16" t="s">
        <v>66</v>
      </c>
      <c r="C2090" s="16" t="str">
        <f>VLOOKUP([1]Competence!$B76,[1]Competence!$B$12:$B$100,1,FALSE)</f>
        <v>Software configuration</v>
      </c>
      <c r="D2090" s="13" t="str" cm="1">
        <f t="array" ref="D2090">_xlfn.XLOOKUP(B2090,[1]Baseline!$D$3:$AZ$3,_xlfn.XLOOKUP(C2090,[1]Baseline!$B$4:$B$91,[1]Baseline!$D$4:$AZ$91))</f>
        <v>No Knowledge</v>
      </c>
      <c r="E2090" s="16" t="s">
        <v>375</v>
      </c>
      <c r="F2090" s="16">
        <v>1</v>
      </c>
      <c r="G2090" s="16">
        <v>3</v>
      </c>
      <c r="H2090" s="16">
        <f t="shared" si="32"/>
        <v>2</v>
      </c>
      <c r="I2090" s="13">
        <v>3</v>
      </c>
    </row>
    <row r="2091" spans="1:9">
      <c r="A2091" s="13" t="s">
        <v>18</v>
      </c>
      <c r="B2091" s="16" t="s">
        <v>66</v>
      </c>
      <c r="C2091" s="16" t="str">
        <f>VLOOKUP([1]Competence!$B77,[1]Competence!$B$12:$B$100,1,FALSE)</f>
        <v>Software design</v>
      </c>
      <c r="D2091" s="13" t="str" cm="1">
        <f t="array" ref="D2091">_xlfn.XLOOKUP(B2091,[1]Baseline!$D$3:$AZ$3,_xlfn.XLOOKUP(C2091,[1]Baseline!$B$4:$B$91,[1]Baseline!$D$4:$AZ$91))</f>
        <v>No Knowledge</v>
      </c>
      <c r="E2091" s="16" t="s">
        <v>375</v>
      </c>
      <c r="F2091" s="16">
        <v>1</v>
      </c>
      <c r="G2091" s="16">
        <v>2</v>
      </c>
      <c r="H2091" s="16">
        <f t="shared" si="32"/>
        <v>1</v>
      </c>
      <c r="I2091" s="13">
        <v>2</v>
      </c>
    </row>
    <row r="2092" spans="1:9">
      <c r="A2092" s="13" t="s">
        <v>18</v>
      </c>
      <c r="B2092" s="16" t="s">
        <v>66</v>
      </c>
      <c r="C2092" s="16" t="str">
        <f>VLOOKUP([1]Competence!$B78,[1]Competence!$B$12:$B$100,1,FALSE)</f>
        <v>Solution architecture</v>
      </c>
      <c r="D2092" s="13" t="str" cm="1">
        <f t="array" ref="D2092">_xlfn.XLOOKUP(B2092,[1]Baseline!$D$3:$AZ$3,_xlfn.XLOOKUP(C2092,[1]Baseline!$B$4:$B$91,[1]Baseline!$D$4:$AZ$91))</f>
        <v>No Knowledge</v>
      </c>
      <c r="E2092" s="16" t="s">
        <v>375</v>
      </c>
      <c r="F2092" s="16">
        <v>0</v>
      </c>
      <c r="G2092" s="16">
        <v>1</v>
      </c>
      <c r="H2092" s="16">
        <f t="shared" si="32"/>
        <v>1</v>
      </c>
      <c r="I2092" s="13">
        <v>1</v>
      </c>
    </row>
    <row r="2093" spans="1:9">
      <c r="A2093" s="13" t="s">
        <v>18</v>
      </c>
      <c r="B2093" s="16" t="s">
        <v>66</v>
      </c>
      <c r="C2093" s="16" t="str">
        <f>VLOOKUP([1]Competence!$B79,[1]Competence!$B$12:$B$100,1,FALSE)</f>
        <v>System software</v>
      </c>
      <c r="D2093" s="13" t="str" cm="1">
        <f t="array" ref="D2093">_xlfn.XLOOKUP(B2093,[1]Baseline!$D$3:$AZ$3,_xlfn.XLOOKUP(C2093,[1]Baseline!$B$4:$B$91,[1]Baseline!$D$4:$AZ$91))</f>
        <v>No Knowledge</v>
      </c>
      <c r="E2093" s="16" t="s">
        <v>375</v>
      </c>
      <c r="F2093" s="16">
        <v>0</v>
      </c>
      <c r="G2093" s="16">
        <v>3</v>
      </c>
      <c r="H2093" s="16">
        <f t="shared" si="32"/>
        <v>3</v>
      </c>
      <c r="I2093" s="13">
        <v>3</v>
      </c>
    </row>
    <row r="2094" spans="1:9">
      <c r="A2094" s="13" t="s">
        <v>18</v>
      </c>
      <c r="B2094" s="16" t="s">
        <v>66</v>
      </c>
      <c r="C2094" s="16" t="str">
        <f>VLOOKUP([1]Competence!$B80,[1]Competence!$B$12:$B$100,1,FALSE)</f>
        <v>Systems and software life cycle engineering</v>
      </c>
      <c r="D2094" s="13" t="str" cm="1">
        <f t="array" ref="D2094">_xlfn.XLOOKUP(B2094,[1]Baseline!$D$3:$AZ$3,_xlfn.XLOOKUP(C2094,[1]Baseline!$B$4:$B$91,[1]Baseline!$D$4:$AZ$91))</f>
        <v>No Knowledge</v>
      </c>
      <c r="E2094" s="16" t="s">
        <v>375</v>
      </c>
      <c r="F2094" s="16">
        <v>0</v>
      </c>
      <c r="G2094" s="16">
        <v>2</v>
      </c>
      <c r="H2094" s="16">
        <f t="shared" si="32"/>
        <v>2</v>
      </c>
      <c r="I2094" s="13">
        <v>2</v>
      </c>
    </row>
    <row r="2095" spans="1:9">
      <c r="A2095" s="13" t="s">
        <v>18</v>
      </c>
      <c r="B2095" s="16" t="s">
        <v>66</v>
      </c>
      <c r="C2095" s="16" t="str">
        <f>VLOOKUP([1]Competence!$B81,[1]Competence!$B$12:$B$100,1,FALSE)</f>
        <v>Systems design</v>
      </c>
      <c r="D2095" s="13" t="str" cm="1">
        <f t="array" ref="D2095">_xlfn.XLOOKUP(B2095,[1]Baseline!$D$3:$AZ$3,_xlfn.XLOOKUP(C2095,[1]Baseline!$B$4:$B$91,[1]Baseline!$D$4:$AZ$91))</f>
        <v>No Knowledge</v>
      </c>
      <c r="E2095" s="16" t="s">
        <v>375</v>
      </c>
      <c r="F2095" s="16">
        <v>2</v>
      </c>
      <c r="G2095" s="16">
        <v>2</v>
      </c>
      <c r="H2095" s="16">
        <f t="shared" si="32"/>
        <v>0</v>
      </c>
      <c r="I2095" s="13">
        <v>2</v>
      </c>
    </row>
    <row r="2096" spans="1:9">
      <c r="A2096" s="13" t="s">
        <v>18</v>
      </c>
      <c r="B2096" s="16" t="s">
        <v>66</v>
      </c>
      <c r="C2096" s="16" t="str">
        <f>VLOOKUP([1]Competence!$B82,[1]Competence!$B$12:$B$100,1,FALSE)</f>
        <v>Systems development management</v>
      </c>
      <c r="D2096" s="13" t="str" cm="1">
        <f t="array" ref="D2096">_xlfn.XLOOKUP(B2096,[1]Baseline!$D$3:$AZ$3,_xlfn.XLOOKUP(C2096,[1]Baseline!$B$4:$B$91,[1]Baseline!$D$4:$AZ$91))</f>
        <v>No Knowledge</v>
      </c>
      <c r="E2096" s="16" t="s">
        <v>375</v>
      </c>
      <c r="F2096" s="16">
        <v>0</v>
      </c>
      <c r="G2096" s="16">
        <v>2</v>
      </c>
      <c r="H2096" s="16">
        <f t="shared" si="32"/>
        <v>2</v>
      </c>
      <c r="I2096" s="13">
        <v>2</v>
      </c>
    </row>
    <row r="2097" spans="1:9">
      <c r="A2097" s="13" t="s">
        <v>18</v>
      </c>
      <c r="B2097" s="16" t="s">
        <v>66</v>
      </c>
      <c r="C2097" s="16" t="str">
        <f>VLOOKUP([1]Competence!$B83,[1]Competence!$B$12:$B$100,1,FALSE)</f>
        <v>Systems installation and removal</v>
      </c>
      <c r="D2097" s="13" t="str" cm="1">
        <f t="array" ref="D2097">_xlfn.XLOOKUP(B2097,[1]Baseline!$D$3:$AZ$3,_xlfn.XLOOKUP(C2097,[1]Baseline!$B$4:$B$91,[1]Baseline!$D$4:$AZ$91))</f>
        <v>Working</v>
      </c>
      <c r="E2097" s="16" t="s">
        <v>375</v>
      </c>
      <c r="F2097" s="16">
        <v>0</v>
      </c>
      <c r="G2097" s="16">
        <v>3</v>
      </c>
      <c r="H2097" s="16">
        <f t="shared" si="32"/>
        <v>3</v>
      </c>
      <c r="I2097" s="13">
        <v>3</v>
      </c>
    </row>
    <row r="2098" spans="1:9">
      <c r="A2098" s="13" t="s">
        <v>18</v>
      </c>
      <c r="B2098" s="16" t="s">
        <v>66</v>
      </c>
      <c r="C2098" s="16" t="str">
        <f>VLOOKUP([1]Competence!$B84,[1]Competence!$B$12:$B$100,1,FALSE)</f>
        <v>Testing</v>
      </c>
      <c r="D2098" s="13" t="str" cm="1">
        <f t="array" ref="D2098">_xlfn.XLOOKUP(B2098,[1]Baseline!$D$3:$AZ$3,_xlfn.XLOOKUP(C2098,[1]Baseline!$B$4:$B$91,[1]Baseline!$D$4:$AZ$91))</f>
        <v>Working</v>
      </c>
      <c r="E2098" s="16" t="s">
        <v>375</v>
      </c>
      <c r="F2098" s="16">
        <v>0</v>
      </c>
      <c r="G2098" s="16">
        <v>3</v>
      </c>
      <c r="H2098" s="16">
        <f t="shared" si="32"/>
        <v>3</v>
      </c>
      <c r="I2098" s="13">
        <v>3</v>
      </c>
    </row>
    <row r="2099" spans="1:9">
      <c r="A2099" s="13" t="s">
        <v>18</v>
      </c>
      <c r="B2099" s="16" t="s">
        <v>66</v>
      </c>
      <c r="C2099" s="16" t="str">
        <f>VLOOKUP([1]Competence!$B85,[1]Competence!$B$12:$B$100,1,FALSE)</f>
        <v>Innovation</v>
      </c>
      <c r="D2099" s="13" t="str" cm="1">
        <f t="array" ref="D2099">_xlfn.XLOOKUP(B2099,[1]Baseline!$D$3:$AZ$3,_xlfn.XLOOKUP(C2099,[1]Baseline!$B$4:$B$91,[1]Baseline!$D$4:$AZ$91))</f>
        <v>No Knowledge</v>
      </c>
      <c r="E2099" s="16" t="s">
        <v>375</v>
      </c>
      <c r="F2099" s="16">
        <v>1</v>
      </c>
      <c r="G2099" s="16">
        <v>1</v>
      </c>
      <c r="H2099" s="16">
        <f t="shared" si="32"/>
        <v>0</v>
      </c>
      <c r="I2099" s="13">
        <v>1</v>
      </c>
    </row>
    <row r="2100" spans="1:9">
      <c r="A2100" s="13" t="s">
        <v>18</v>
      </c>
      <c r="B2100" s="16" t="s">
        <v>66</v>
      </c>
      <c r="C2100" s="16" t="str">
        <f>VLOOKUP([1]Competence!$B86,[1]Competence!$B$12:$B$100,1,FALSE)</f>
        <v>Specialist Advice</v>
      </c>
      <c r="D2100" s="13" t="str" cm="1">
        <f t="array" ref="D2100">_xlfn.XLOOKUP(B2100,[1]Baseline!$D$3:$AZ$3,_xlfn.XLOOKUP(C2100,[1]Baseline!$B$4:$B$91,[1]Baseline!$D$4:$AZ$91))</f>
        <v>No Knowledge</v>
      </c>
      <c r="E2100" s="16" t="s">
        <v>375</v>
      </c>
      <c r="F2100" s="16">
        <v>0</v>
      </c>
      <c r="G2100" s="16">
        <v>2</v>
      </c>
      <c r="H2100" s="16">
        <f t="shared" si="32"/>
        <v>2</v>
      </c>
      <c r="I2100" s="13">
        <v>2</v>
      </c>
    </row>
    <row r="2101" spans="1:9">
      <c r="A2101" s="13" t="s">
        <v>18</v>
      </c>
      <c r="B2101" s="16" t="s">
        <v>66</v>
      </c>
      <c r="C2101" s="16" t="str">
        <f>VLOOKUP([1]Competence!$B87,[1]Competence!$B$12:$B$100,1,FALSE)</f>
        <v>Emerging technology monitoring</v>
      </c>
      <c r="D2101" s="13" t="str" cm="1">
        <f t="array" ref="D2101">_xlfn.XLOOKUP(B2101,[1]Baseline!$D$3:$AZ$3,_xlfn.XLOOKUP(C2101,[1]Baseline!$B$4:$B$91,[1]Baseline!$D$4:$AZ$91))</f>
        <v>No Knowledge</v>
      </c>
      <c r="E2101" s="16" t="s">
        <v>375</v>
      </c>
      <c r="F2101" s="16">
        <v>0</v>
      </c>
      <c r="G2101" s="16">
        <v>1</v>
      </c>
      <c r="H2101" s="16">
        <f t="shared" si="32"/>
        <v>1</v>
      </c>
      <c r="I2101" s="13">
        <v>1</v>
      </c>
    </row>
    <row r="2102" spans="1:9">
      <c r="A2102" s="13" t="s">
        <v>18</v>
      </c>
      <c r="B2102" s="16" t="s">
        <v>66</v>
      </c>
      <c r="C2102" s="16" t="str">
        <f>VLOOKUP([1]Competence!$B88,[1]Competence!$B$12:$B$100,1,FALSE)</f>
        <v>Systems integration and build</v>
      </c>
      <c r="D2102" s="13" t="str" cm="1">
        <f t="array" ref="D2102">_xlfn.XLOOKUP(B2102,[1]Baseline!$D$3:$AZ$3,_xlfn.XLOOKUP(C2102,[1]Baseline!$B$4:$B$91,[1]Baseline!$D$4:$AZ$91))</f>
        <v>Practitioner</v>
      </c>
      <c r="E2102" s="16" t="s">
        <v>375</v>
      </c>
      <c r="F2102" s="16">
        <v>0</v>
      </c>
      <c r="G2102" s="16">
        <v>1</v>
      </c>
      <c r="H2102" s="16">
        <f t="shared" si="32"/>
        <v>1</v>
      </c>
      <c r="I2102" s="13">
        <v>1</v>
      </c>
    </row>
    <row r="2103" spans="1:9">
      <c r="A2103" s="13" t="s">
        <v>18</v>
      </c>
      <c r="B2103" s="16" t="s">
        <v>66</v>
      </c>
      <c r="C2103" s="16" t="str">
        <f>VLOOKUP([1]Competence!$B89,[1]Competence!$B$12:$B$100,1,FALSE)</f>
        <v>Audio Visual</v>
      </c>
      <c r="D2103" s="13" t="str" cm="1">
        <f t="array" ref="D2103">_xlfn.XLOOKUP(B2103,[1]Baseline!$D$3:$AZ$3,_xlfn.XLOOKUP(C2103,[1]Baseline!$B$4:$B$91,[1]Baseline!$D$4:$AZ$91))</f>
        <v>Awareness</v>
      </c>
      <c r="E2103" s="16" t="s">
        <v>375</v>
      </c>
      <c r="F2103" s="16">
        <v>0</v>
      </c>
      <c r="G2103" s="16">
        <v>3</v>
      </c>
      <c r="H2103" s="16">
        <f t="shared" si="32"/>
        <v>3</v>
      </c>
      <c r="I2103" s="13">
        <v>3</v>
      </c>
    </row>
    <row r="2104" spans="1:9">
      <c r="A2104" s="13" t="s">
        <v>18</v>
      </c>
      <c r="B2104" s="16" t="s">
        <v>66</v>
      </c>
      <c r="C2104" s="16" t="str">
        <f>VLOOKUP([1]Competence!$B90,[1]Competence!$B$12:$B$100,1,FALSE)</f>
        <v>Augmented Reality</v>
      </c>
      <c r="D2104" s="13" t="str" cm="1">
        <f t="array" ref="D2104">_xlfn.XLOOKUP(B2104,[1]Baseline!$D$3:$AZ$3,_xlfn.XLOOKUP(C2104,[1]Baseline!$B$4:$B$91,[1]Baseline!$D$4:$AZ$91))</f>
        <v>Awareness</v>
      </c>
      <c r="E2104" s="16" t="s">
        <v>375</v>
      </c>
      <c r="F2104" s="16">
        <v>0</v>
      </c>
      <c r="G2104" s="16">
        <v>1</v>
      </c>
      <c r="H2104" s="16">
        <f t="shared" si="32"/>
        <v>1</v>
      </c>
      <c r="I2104" s="13">
        <v>1</v>
      </c>
    </row>
    <row r="2105" spans="1:9">
      <c r="A2105" s="13" t="s">
        <v>18</v>
      </c>
      <c r="B2105" s="16" t="s">
        <v>66</v>
      </c>
      <c r="C2105" s="16" t="str">
        <f>VLOOKUP([1]Competence!$B91,[1]Competence!$B$12:$B$100,1,FALSE)</f>
        <v>Benefits management</v>
      </c>
      <c r="D2105" s="13" t="str" cm="1">
        <f t="array" ref="D2105">_xlfn.XLOOKUP(B2105,[1]Baseline!$D$3:$AZ$3,_xlfn.XLOOKUP(C2105,[1]Baseline!$B$4:$B$91,[1]Baseline!$D$4:$AZ$91))</f>
        <v>No Knowledge</v>
      </c>
      <c r="E2105" s="16" t="s">
        <v>375</v>
      </c>
      <c r="F2105" s="16">
        <v>0</v>
      </c>
      <c r="G2105" s="16">
        <v>1</v>
      </c>
      <c r="H2105" s="16">
        <f t="shared" si="32"/>
        <v>1</v>
      </c>
      <c r="I2105" s="13">
        <v>1</v>
      </c>
    </row>
    <row r="2106" spans="1:9">
      <c r="A2106" s="13" t="s">
        <v>18</v>
      </c>
      <c r="B2106" s="16" t="s">
        <v>66</v>
      </c>
      <c r="C2106" s="16" t="str">
        <f>VLOOKUP([1]Competence!$B92,[1]Competence!$B$12:$B$100,1,FALSE)</f>
        <v>Business administration</v>
      </c>
      <c r="D2106" s="13" t="str" cm="1">
        <f t="array" ref="D2106">_xlfn.XLOOKUP(B2106,[1]Baseline!$D$3:$AZ$3,_xlfn.XLOOKUP(C2106,[1]Baseline!$B$4:$B$91,[1]Baseline!$D$4:$AZ$91))</f>
        <v>No Knowledge</v>
      </c>
      <c r="E2106" s="16" t="s">
        <v>375</v>
      </c>
      <c r="F2106" s="16">
        <v>0</v>
      </c>
      <c r="G2106" s="16">
        <v>1</v>
      </c>
      <c r="H2106" s="16">
        <f t="shared" si="32"/>
        <v>1</v>
      </c>
      <c r="I2106" s="13">
        <v>1</v>
      </c>
    </row>
    <row r="2107" spans="1:9">
      <c r="A2107" s="13" t="s">
        <v>18</v>
      </c>
      <c r="B2107" s="16" t="s">
        <v>66</v>
      </c>
      <c r="C2107" s="16" t="str">
        <f>VLOOKUP([1]Competence!$B93,[1]Competence!$B$12:$B$100,1,FALSE)</f>
        <v>Business intelligence</v>
      </c>
      <c r="D2107" s="13" t="str" cm="1">
        <f t="array" ref="D2107">_xlfn.XLOOKUP(B2107,[1]Baseline!$D$3:$AZ$3,_xlfn.XLOOKUP(C2107,[1]Baseline!$B$4:$B$91,[1]Baseline!$D$4:$AZ$91))</f>
        <v>No Knowledge</v>
      </c>
      <c r="E2107" s="16" t="s">
        <v>375</v>
      </c>
      <c r="F2107" s="16">
        <v>0</v>
      </c>
      <c r="G2107" s="16">
        <v>1</v>
      </c>
      <c r="H2107" s="16">
        <f t="shared" si="32"/>
        <v>1</v>
      </c>
      <c r="I2107" s="13">
        <v>1</v>
      </c>
    </row>
    <row r="2108" spans="1:9">
      <c r="A2108" s="13" t="s">
        <v>18</v>
      </c>
      <c r="B2108" s="16" t="s">
        <v>66</v>
      </c>
      <c r="C2108" s="16" t="str">
        <f>VLOOKUP([1]Competence!$B94,[1]Competence!$B$12:$B$100,1,FALSE)</f>
        <v>Business modelling</v>
      </c>
      <c r="D2108" s="13" t="str" cm="1">
        <f t="array" ref="D2108">_xlfn.XLOOKUP(B2108,[1]Baseline!$D$3:$AZ$3,_xlfn.XLOOKUP(C2108,[1]Baseline!$B$4:$B$91,[1]Baseline!$D$4:$AZ$91))</f>
        <v>No Knowledge</v>
      </c>
      <c r="E2108" s="16" t="s">
        <v>375</v>
      </c>
      <c r="F2108" s="16">
        <v>2</v>
      </c>
      <c r="G2108" s="16">
        <v>1</v>
      </c>
      <c r="H2108" s="16">
        <f t="shared" si="32"/>
        <v>-1</v>
      </c>
      <c r="I2108" s="13">
        <v>1</v>
      </c>
    </row>
    <row r="2109" spans="1:9">
      <c r="A2109" s="13" t="s">
        <v>18</v>
      </c>
      <c r="B2109" s="16" t="s">
        <v>66</v>
      </c>
      <c r="C2109" s="16" t="str">
        <f>VLOOKUP([1]Competence!$B95,[1]Competence!$B$12:$B$100,1,FALSE)</f>
        <v>Business process improvement</v>
      </c>
      <c r="D2109" s="13" t="str" cm="1">
        <f t="array" ref="D2109">_xlfn.XLOOKUP(B2109,[1]Baseline!$D$3:$AZ$3,_xlfn.XLOOKUP(C2109,[1]Baseline!$B$4:$B$91,[1]Baseline!$D$4:$AZ$91))</f>
        <v>No Knowledge</v>
      </c>
      <c r="E2109" s="16" t="s">
        <v>375</v>
      </c>
      <c r="F2109" s="16">
        <v>2</v>
      </c>
      <c r="G2109" s="16">
        <v>1</v>
      </c>
      <c r="H2109" s="16">
        <f t="shared" si="32"/>
        <v>-1</v>
      </c>
      <c r="I2109" s="13">
        <v>1</v>
      </c>
    </row>
    <row r="2110" spans="1:9">
      <c r="A2110" s="13" t="s">
        <v>18</v>
      </c>
      <c r="B2110" s="16" t="s">
        <v>66</v>
      </c>
      <c r="C2110" s="16" t="str">
        <f>VLOOKUP([1]Competence!$B96,[1]Competence!$B$12:$B$100,1,FALSE)</f>
        <v>Business situation analysis</v>
      </c>
      <c r="D2110" s="13" t="str" cm="1">
        <f t="array" ref="D2110">_xlfn.XLOOKUP(B2110,[1]Baseline!$D$3:$AZ$3,_xlfn.XLOOKUP(C2110,[1]Baseline!$B$4:$B$91,[1]Baseline!$D$4:$AZ$91))</f>
        <v>No Knowledge</v>
      </c>
      <c r="E2110" s="16" t="s">
        <v>375</v>
      </c>
      <c r="F2110" s="16">
        <v>2</v>
      </c>
      <c r="G2110" s="16">
        <v>1</v>
      </c>
      <c r="H2110" s="16">
        <f t="shared" si="32"/>
        <v>-1</v>
      </c>
      <c r="I2110" s="13">
        <v>1</v>
      </c>
    </row>
    <row r="2111" spans="1:9">
      <c r="A2111" s="13" t="s">
        <v>18</v>
      </c>
      <c r="B2111" s="16" t="s">
        <v>66</v>
      </c>
      <c r="C2111" s="16" t="str">
        <f>VLOOKUP([1]Competence!$B97,[1]Competence!$B$12:$B$100,1,FALSE)</f>
        <v>Programme management</v>
      </c>
      <c r="D2111" s="13" t="str" cm="1">
        <f t="array" ref="D2111">_xlfn.XLOOKUP(B2111,[1]Baseline!$D$3:$AZ$3,_xlfn.XLOOKUP(C2111,[1]Baseline!$B$4:$B$91,[1]Baseline!$D$4:$AZ$91))</f>
        <v>No Knowledge</v>
      </c>
      <c r="E2111" s="16" t="s">
        <v>373</v>
      </c>
      <c r="F2111" s="16">
        <v>0</v>
      </c>
      <c r="G2111" s="16">
        <v>2</v>
      </c>
      <c r="H2111" s="16">
        <f t="shared" si="32"/>
        <v>2</v>
      </c>
      <c r="I2111" s="13">
        <v>2</v>
      </c>
    </row>
    <row r="2112" spans="1:9">
      <c r="A2112" s="13" t="s">
        <v>18</v>
      </c>
      <c r="B2112" s="16" t="s">
        <v>66</v>
      </c>
      <c r="C2112" s="16" t="str">
        <f>VLOOKUP([1]Competence!$B98,[1]Competence!$B$12:$B$100,1,FALSE)</f>
        <v>Project management</v>
      </c>
      <c r="D2112" s="13" t="str" cm="1">
        <f t="array" ref="D2112">_xlfn.XLOOKUP(B2112,[1]Baseline!$D$3:$AZ$3,_xlfn.XLOOKUP(C2112,[1]Baseline!$B$4:$B$91,[1]Baseline!$D$4:$AZ$91))</f>
        <v>No Knowledge</v>
      </c>
      <c r="E2112" s="16" t="s">
        <v>373</v>
      </c>
      <c r="F2112" s="16">
        <v>0</v>
      </c>
      <c r="G2112" s="16">
        <v>2</v>
      </c>
      <c r="H2112" s="16">
        <f t="shared" si="32"/>
        <v>2</v>
      </c>
      <c r="I2112" s="13">
        <v>2</v>
      </c>
    </row>
    <row r="2113" spans="1:9">
      <c r="A2113" s="13" t="s">
        <v>18</v>
      </c>
      <c r="B2113" s="16" t="s">
        <v>66</v>
      </c>
      <c r="C2113" s="16" t="str">
        <f>VLOOKUP([1]Competence!$B99,[1]Competence!$B$12:$B$100,1,FALSE)</f>
        <v>Quality assurance</v>
      </c>
      <c r="D2113" s="13" t="str" cm="1">
        <f t="array" ref="D2113">_xlfn.XLOOKUP(B2113,[1]Baseline!$D$3:$AZ$3,_xlfn.XLOOKUP(C2113,[1]Baseline!$B$4:$B$91,[1]Baseline!$D$4:$AZ$91))</f>
        <v>Working</v>
      </c>
      <c r="E2113" s="16" t="s">
        <v>373</v>
      </c>
      <c r="F2113" s="16">
        <v>1</v>
      </c>
      <c r="G2113" s="16">
        <v>1</v>
      </c>
      <c r="H2113" s="16">
        <f t="shared" si="32"/>
        <v>0</v>
      </c>
      <c r="I2113" s="13">
        <v>1</v>
      </c>
    </row>
    <row r="2114" spans="1:9">
      <c r="A2114" s="13" t="s">
        <v>381</v>
      </c>
      <c r="B2114" s="16" t="s">
        <v>58</v>
      </c>
      <c r="C2114" s="16" t="str">
        <f>VLOOKUP([1]Competence!$B12,[1]Competence!$B$12:$B$100,1,FALSE)</f>
        <v>Asset Management</v>
      </c>
      <c r="D2114" s="13" t="str" cm="1">
        <f t="array" ref="D2114">_xlfn.XLOOKUP(B2114,[1]Baseline!$D$3:$AZ$3,_xlfn.XLOOKUP(C2114,[1]Baseline!$B$4:$B$91,[1]Baseline!$D$4:$AZ$91))</f>
        <v>Working</v>
      </c>
      <c r="E2114" s="16" t="s">
        <v>334</v>
      </c>
      <c r="F2114" s="16">
        <v>0</v>
      </c>
      <c r="G2114" s="16">
        <v>3</v>
      </c>
      <c r="H2114" s="16">
        <f t="shared" ref="H2114:H2177" si="33">I2114-F2114</f>
        <v>3</v>
      </c>
      <c r="I2114" s="13">
        <v>3</v>
      </c>
    </row>
    <row r="2115" spans="1:9">
      <c r="A2115" s="13" t="s">
        <v>381</v>
      </c>
      <c r="B2115" s="16" t="s">
        <v>58</v>
      </c>
      <c r="C2115" s="16" t="str">
        <f>VLOOKUP([1]Competence!$B13,[1]Competence!$B$12:$B$100,1,FALSE)</f>
        <v>Change Control</v>
      </c>
      <c r="D2115" s="13" t="str" cm="1">
        <f t="array" ref="D2115">_xlfn.XLOOKUP(B2115,[1]Baseline!$D$3:$AZ$3,_xlfn.XLOOKUP(C2115,[1]Baseline!$B$4:$B$91,[1]Baseline!$D$4:$AZ$91))</f>
        <v>Working</v>
      </c>
      <c r="E2115" s="16" t="s">
        <v>337</v>
      </c>
      <c r="F2115" s="16">
        <v>0</v>
      </c>
      <c r="G2115" s="16">
        <v>3</v>
      </c>
      <c r="H2115" s="16">
        <f t="shared" si="33"/>
        <v>3</v>
      </c>
      <c r="I2115" s="13">
        <v>3</v>
      </c>
    </row>
    <row r="2116" spans="1:9">
      <c r="A2116" s="13" t="s">
        <v>381</v>
      </c>
      <c r="B2116" s="16" t="s">
        <v>58</v>
      </c>
      <c r="C2116" s="16" t="str">
        <f>VLOOKUP([1]Competence!$B14,[1]Competence!$B$12:$B$100,1,FALSE)</f>
        <v>Customer Service Support</v>
      </c>
      <c r="D2116" s="13" t="str" cm="1">
        <f t="array" ref="D2116">_xlfn.XLOOKUP(B2116,[1]Baseline!$D$3:$AZ$3,_xlfn.XLOOKUP(C2116,[1]Baseline!$B$4:$B$91,[1]Baseline!$D$4:$AZ$91))</f>
        <v>Practitioner</v>
      </c>
      <c r="E2116" s="16" t="s">
        <v>340</v>
      </c>
      <c r="F2116" s="16">
        <v>0</v>
      </c>
      <c r="G2116" s="16">
        <v>4</v>
      </c>
      <c r="H2116" s="16">
        <f t="shared" si="33"/>
        <v>4</v>
      </c>
      <c r="I2116" s="13">
        <v>4</v>
      </c>
    </row>
    <row r="2117" spans="1:9">
      <c r="A2117" s="13" t="s">
        <v>381</v>
      </c>
      <c r="B2117" s="16" t="s">
        <v>58</v>
      </c>
      <c r="C2117" s="16" t="str">
        <f>VLOOKUP([1]Competence!$B15,[1]Competence!$B$12:$B$100,1,FALSE)</f>
        <v>Incident management</v>
      </c>
      <c r="D2117" s="13" t="str" cm="1">
        <f t="array" ref="D2117">_xlfn.XLOOKUP(B2117,[1]Baseline!$D$3:$AZ$3,_xlfn.XLOOKUP(C2117,[1]Baseline!$B$4:$B$91,[1]Baseline!$D$4:$AZ$91))</f>
        <v>Working</v>
      </c>
      <c r="E2117" s="16" t="s">
        <v>343</v>
      </c>
      <c r="F2117" s="16">
        <v>0</v>
      </c>
      <c r="G2117" s="16">
        <v>4</v>
      </c>
      <c r="H2117" s="16">
        <f t="shared" si="33"/>
        <v>4</v>
      </c>
      <c r="I2117" s="13">
        <v>4</v>
      </c>
    </row>
    <row r="2118" spans="1:9">
      <c r="A2118" s="13" t="s">
        <v>381</v>
      </c>
      <c r="B2118" s="16" t="s">
        <v>58</v>
      </c>
      <c r="C2118" s="16" t="str">
        <f>VLOOKUP([1]Competence!$B16,[1]Competence!$B$12:$B$100,1,FALSE)</f>
        <v>Information security</v>
      </c>
      <c r="D2118" s="13" t="str" cm="1">
        <f t="array" ref="D2118">_xlfn.XLOOKUP(B2118,[1]Baseline!$D$3:$AZ$3,_xlfn.XLOOKUP(C2118,[1]Baseline!$B$4:$B$91,[1]Baseline!$D$4:$AZ$91))</f>
        <v>Working</v>
      </c>
      <c r="E2118" s="16" t="s">
        <v>346</v>
      </c>
      <c r="F2118" s="16">
        <v>0</v>
      </c>
      <c r="G2118" s="16">
        <v>3</v>
      </c>
      <c r="H2118" s="16">
        <f t="shared" si="33"/>
        <v>3</v>
      </c>
      <c r="I2118" s="13">
        <v>3</v>
      </c>
    </row>
    <row r="2119" spans="1:9">
      <c r="A2119" s="13" t="s">
        <v>381</v>
      </c>
      <c r="B2119" s="16" t="s">
        <v>58</v>
      </c>
      <c r="C2119" s="16" t="str">
        <f>VLOOKUP([1]Competence!$B17,[1]Competence!$B$12:$B$100,1,FALSE)</f>
        <v>Personal data protection</v>
      </c>
      <c r="D2119" s="13" t="str" cm="1">
        <f t="array" ref="D2119">_xlfn.XLOOKUP(B2119,[1]Baseline!$D$3:$AZ$3,_xlfn.XLOOKUP(C2119,[1]Baseline!$B$4:$B$91,[1]Baseline!$D$4:$AZ$91))</f>
        <v>Practitioner</v>
      </c>
      <c r="E2119" s="16" t="s">
        <v>349</v>
      </c>
      <c r="F2119" s="16">
        <v>0</v>
      </c>
      <c r="G2119" s="16">
        <v>3</v>
      </c>
      <c r="H2119" s="16">
        <f t="shared" si="33"/>
        <v>3</v>
      </c>
      <c r="I2119" s="13">
        <v>3</v>
      </c>
    </row>
    <row r="2120" spans="1:9">
      <c r="A2120" s="13" t="s">
        <v>381</v>
      </c>
      <c r="B2120" s="16" t="s">
        <v>58</v>
      </c>
      <c r="C2120" s="16" t="str">
        <f>VLOOKUP([1]Competence!$B18,[1]Competence!$B$12:$B$100,1,FALSE)</f>
        <v>Problem management</v>
      </c>
      <c r="D2120" s="13" t="str" cm="1">
        <f t="array" ref="D2120">_xlfn.XLOOKUP(B2120,[1]Baseline!$D$3:$AZ$3,_xlfn.XLOOKUP(C2120,[1]Baseline!$B$4:$B$91,[1]Baseline!$D$4:$AZ$91))</f>
        <v>Working</v>
      </c>
      <c r="E2120" s="16" t="s">
        <v>106</v>
      </c>
      <c r="F2120" s="16">
        <v>2</v>
      </c>
      <c r="G2120" s="16">
        <v>3</v>
      </c>
      <c r="H2120" s="16">
        <f t="shared" si="33"/>
        <v>1</v>
      </c>
      <c r="I2120" s="13">
        <v>3</v>
      </c>
    </row>
    <row r="2121" spans="1:9">
      <c r="A2121" s="13" t="s">
        <v>381</v>
      </c>
      <c r="B2121" s="16" t="s">
        <v>58</v>
      </c>
      <c r="C2121" s="16" t="str">
        <f>VLOOKUP([1]Competence!$B19,[1]Competence!$B$12:$B$100,1,FALSE)</f>
        <v>Service catalogue management</v>
      </c>
      <c r="D2121" s="13" t="str" cm="1">
        <f t="array" ref="D2121">_xlfn.XLOOKUP(B2121,[1]Baseline!$D$3:$AZ$3,_xlfn.XLOOKUP(C2121,[1]Baseline!$B$4:$B$91,[1]Baseline!$D$4:$AZ$91))</f>
        <v>Working</v>
      </c>
      <c r="E2121" s="16" t="s">
        <v>109</v>
      </c>
      <c r="F2121" s="16">
        <v>2</v>
      </c>
      <c r="G2121" s="16">
        <v>3</v>
      </c>
      <c r="H2121" s="16">
        <f t="shared" si="33"/>
        <v>1</v>
      </c>
      <c r="I2121" s="13">
        <v>3</v>
      </c>
    </row>
    <row r="2122" spans="1:9">
      <c r="A2122" s="13" t="s">
        <v>381</v>
      </c>
      <c r="B2122" s="16" t="s">
        <v>58</v>
      </c>
      <c r="C2122" s="16" t="str">
        <f>VLOOKUP([1]Competence!$B20,[1]Competence!$B$12:$B$100,1,FALSE)</f>
        <v>Service level management</v>
      </c>
      <c r="D2122" s="13" t="str" cm="1">
        <f t="array" ref="D2122">_xlfn.XLOOKUP(B2122,[1]Baseline!$D$3:$AZ$3,_xlfn.XLOOKUP(C2122,[1]Baseline!$B$4:$B$91,[1]Baseline!$D$4:$AZ$91))</f>
        <v>Working</v>
      </c>
      <c r="E2122" s="16" t="s">
        <v>112</v>
      </c>
      <c r="F2122" s="16">
        <v>3</v>
      </c>
      <c r="G2122" s="16">
        <v>3</v>
      </c>
      <c r="H2122" s="16">
        <f t="shared" si="33"/>
        <v>0</v>
      </c>
      <c r="I2122" s="13">
        <v>3</v>
      </c>
    </row>
    <row r="2123" spans="1:9">
      <c r="A2123" s="13" t="s">
        <v>381</v>
      </c>
      <c r="B2123" s="16" t="s">
        <v>58</v>
      </c>
      <c r="C2123" s="16" t="str">
        <f>VLOOKUP([1]Competence!$B21,[1]Competence!$B$12:$B$100,1,FALSE)</f>
        <v>Availability Management</v>
      </c>
      <c r="D2123" s="13" t="str" cm="1">
        <f t="array" ref="D2123">_xlfn.XLOOKUP(B2123,[1]Baseline!$D$3:$AZ$3,_xlfn.XLOOKUP(C2123,[1]Baseline!$B$4:$B$91,[1]Baseline!$D$4:$AZ$91))</f>
        <v>Awareness</v>
      </c>
      <c r="E2123" s="16" t="s">
        <v>115</v>
      </c>
      <c r="F2123" s="16">
        <v>2</v>
      </c>
      <c r="G2123" s="16">
        <v>1</v>
      </c>
      <c r="H2123" s="16">
        <f t="shared" si="33"/>
        <v>-1</v>
      </c>
      <c r="I2123" s="13">
        <v>1</v>
      </c>
    </row>
    <row r="2124" spans="1:9">
      <c r="A2124" s="13" t="s">
        <v>381</v>
      </c>
      <c r="B2124" s="16" t="s">
        <v>58</v>
      </c>
      <c r="C2124" s="16" t="str">
        <f>VLOOKUP([1]Competence!$B22,[1]Competence!$B$12:$B$100,1,FALSE)</f>
        <v>Capacity management</v>
      </c>
      <c r="D2124" s="13" t="str" cm="1">
        <f t="array" ref="D2124">_xlfn.XLOOKUP(B2124,[1]Baseline!$D$3:$AZ$3,_xlfn.XLOOKUP(C2124,[1]Baseline!$B$4:$B$91,[1]Baseline!$D$4:$AZ$91))</f>
        <v>No Knowledge</v>
      </c>
      <c r="E2124" s="16" t="s">
        <v>118</v>
      </c>
      <c r="F2124" s="16">
        <v>2</v>
      </c>
      <c r="G2124" s="16">
        <v>0</v>
      </c>
      <c r="H2124" s="16">
        <f t="shared" si="33"/>
        <v>-2</v>
      </c>
      <c r="I2124" s="13">
        <v>0</v>
      </c>
    </row>
    <row r="2125" spans="1:9">
      <c r="A2125" s="13" t="s">
        <v>381</v>
      </c>
      <c r="B2125" s="16" t="s">
        <v>58</v>
      </c>
      <c r="C2125" s="16" t="str">
        <f>VLOOKUP([1]Competence!$B23,[1]Competence!$B$12:$B$100,1,FALSE)</f>
        <v>Configuration Management</v>
      </c>
      <c r="D2125" s="13" t="str" cm="1">
        <f t="array" ref="D2125">_xlfn.XLOOKUP(B2125,[1]Baseline!$D$3:$AZ$3,_xlfn.XLOOKUP(C2125,[1]Baseline!$B$4:$B$91,[1]Baseline!$D$4:$AZ$91))</f>
        <v>Awareness</v>
      </c>
      <c r="E2125" s="16" t="s">
        <v>121</v>
      </c>
      <c r="F2125" s="16">
        <v>3</v>
      </c>
      <c r="G2125" s="16">
        <v>1</v>
      </c>
      <c r="H2125" s="16">
        <f t="shared" si="33"/>
        <v>-2</v>
      </c>
      <c r="I2125" s="13">
        <v>1</v>
      </c>
    </row>
    <row r="2126" spans="1:9">
      <c r="A2126" s="13" t="s">
        <v>381</v>
      </c>
      <c r="B2126" s="16" t="s">
        <v>58</v>
      </c>
      <c r="C2126" s="16" t="str">
        <f>VLOOKUP([1]Competence!$B24,[1]Competence!$B$12:$B$100,1,FALSE)</f>
        <v>Continuity Management</v>
      </c>
      <c r="D2126" s="13" t="str" cm="1">
        <f t="array" ref="D2126">_xlfn.XLOOKUP(B2126,[1]Baseline!$D$3:$AZ$3,_xlfn.XLOOKUP(C2126,[1]Baseline!$B$4:$B$91,[1]Baseline!$D$4:$AZ$91))</f>
        <v>Awareness</v>
      </c>
      <c r="E2126" s="16" t="s">
        <v>124</v>
      </c>
      <c r="F2126" s="16">
        <v>2</v>
      </c>
      <c r="G2126" s="16">
        <v>1</v>
      </c>
      <c r="H2126" s="16">
        <f t="shared" si="33"/>
        <v>-1</v>
      </c>
      <c r="I2126" s="13">
        <v>1</v>
      </c>
    </row>
    <row r="2127" spans="1:9">
      <c r="A2127" s="13" t="s">
        <v>381</v>
      </c>
      <c r="B2127" s="16" t="s">
        <v>58</v>
      </c>
      <c r="C2127" s="16" t="str">
        <f>VLOOKUP([1]Competence!$B25,[1]Competence!$B$12:$B$100,1,FALSE)</f>
        <v>Demand Management</v>
      </c>
      <c r="D2127" s="13" t="str" cm="1">
        <f t="array" ref="D2127">_xlfn.XLOOKUP(B2127,[1]Baseline!$D$3:$AZ$3,_xlfn.XLOOKUP(C2127,[1]Baseline!$B$4:$B$91,[1]Baseline!$D$4:$AZ$91))</f>
        <v>Awareness</v>
      </c>
      <c r="E2127" s="16" t="s">
        <v>127</v>
      </c>
      <c r="F2127" s="16">
        <v>2</v>
      </c>
      <c r="G2127" s="16">
        <v>1</v>
      </c>
      <c r="H2127" s="16">
        <f t="shared" si="33"/>
        <v>-1</v>
      </c>
      <c r="I2127" s="13">
        <v>1</v>
      </c>
    </row>
    <row r="2128" spans="1:9">
      <c r="A2128" s="13" t="s">
        <v>381</v>
      </c>
      <c r="B2128" s="16" t="s">
        <v>58</v>
      </c>
      <c r="C2128" s="16" t="str">
        <f>VLOOKUP([1]Competence!$B26,[1]Competence!$B$12:$B$100,1,FALSE)</f>
        <v>Knowledge management</v>
      </c>
      <c r="D2128" s="13" t="str" cm="1">
        <f t="array" ref="D2128">_xlfn.XLOOKUP(B2128,[1]Baseline!$D$3:$AZ$3,_xlfn.XLOOKUP(C2128,[1]Baseline!$B$4:$B$91,[1]Baseline!$D$4:$AZ$91))</f>
        <v>Working</v>
      </c>
      <c r="E2128" s="16" t="s">
        <v>130</v>
      </c>
      <c r="F2128" s="16">
        <v>2</v>
      </c>
      <c r="G2128" s="16">
        <v>3</v>
      </c>
      <c r="H2128" s="16">
        <f t="shared" si="33"/>
        <v>1</v>
      </c>
      <c r="I2128" s="13">
        <v>3</v>
      </c>
    </row>
    <row r="2129" spans="1:9">
      <c r="A2129" s="13" t="s">
        <v>381</v>
      </c>
      <c r="B2129" s="16" t="s">
        <v>58</v>
      </c>
      <c r="C2129" s="16" t="str">
        <f>VLOOKUP([1]Competence!$B27,[1]Competence!$B$12:$B$100,1,FALSE)</f>
        <v>Methods and tools</v>
      </c>
      <c r="D2129" s="13" t="str" cm="1">
        <f t="array" ref="D2129">_xlfn.XLOOKUP(B2129,[1]Baseline!$D$3:$AZ$3,_xlfn.XLOOKUP(C2129,[1]Baseline!$B$4:$B$91,[1]Baseline!$D$4:$AZ$91))</f>
        <v>Awareness</v>
      </c>
      <c r="E2129" s="16" t="s">
        <v>211</v>
      </c>
      <c r="F2129" s="16">
        <v>1</v>
      </c>
      <c r="G2129" s="16">
        <v>1</v>
      </c>
      <c r="H2129" s="16">
        <f t="shared" si="33"/>
        <v>0</v>
      </c>
      <c r="I2129" s="13">
        <v>1</v>
      </c>
    </row>
    <row r="2130" spans="1:9">
      <c r="A2130" s="13" t="s">
        <v>381</v>
      </c>
      <c r="B2130" s="16" t="s">
        <v>58</v>
      </c>
      <c r="C2130" s="16" t="str">
        <f>VLOOKUP([1]Competence!$B28,[1]Competence!$B$12:$B$100,1,FALSE)</f>
        <v>Release and deployment</v>
      </c>
      <c r="D2130" s="13" t="str" cm="1">
        <f t="array" ref="D2130">_xlfn.XLOOKUP(B2130,[1]Baseline!$D$3:$AZ$3,_xlfn.XLOOKUP(C2130,[1]Baseline!$B$4:$B$91,[1]Baseline!$D$4:$AZ$91))</f>
        <v>No Knowledge</v>
      </c>
      <c r="E2130" s="16" t="s">
        <v>214</v>
      </c>
      <c r="F2130" s="16">
        <v>0</v>
      </c>
      <c r="G2130" s="16">
        <v>0</v>
      </c>
      <c r="H2130" s="16">
        <f t="shared" si="33"/>
        <v>0</v>
      </c>
      <c r="I2130" s="13">
        <v>0</v>
      </c>
    </row>
    <row r="2131" spans="1:9">
      <c r="A2131" s="13" t="s">
        <v>381</v>
      </c>
      <c r="B2131" s="16" t="s">
        <v>58</v>
      </c>
      <c r="C2131" s="16" t="str">
        <f>VLOOKUP([1]Competence!$B29,[1]Competence!$B$12:$B$100,1,FALSE)</f>
        <v>Service acceptance</v>
      </c>
      <c r="D2131" s="13" t="str" cm="1">
        <f t="array" ref="D2131">_xlfn.XLOOKUP(B2131,[1]Baseline!$D$3:$AZ$3,_xlfn.XLOOKUP(C2131,[1]Baseline!$B$4:$B$91,[1]Baseline!$D$4:$AZ$91))</f>
        <v>No Knowledge</v>
      </c>
      <c r="E2131" s="16" t="s">
        <v>217</v>
      </c>
      <c r="F2131" s="16">
        <v>0</v>
      </c>
      <c r="G2131" s="16">
        <v>0</v>
      </c>
      <c r="H2131" s="16">
        <f t="shared" si="33"/>
        <v>0</v>
      </c>
      <c r="I2131" s="13">
        <v>0</v>
      </c>
    </row>
    <row r="2132" spans="1:9">
      <c r="A2132" s="13" t="s">
        <v>381</v>
      </c>
      <c r="B2132" s="16" t="s">
        <v>58</v>
      </c>
      <c r="C2132" s="16" t="str">
        <f>VLOOKUP([1]Competence!$B30,[1]Competence!$B$12:$B$100,1,FALSE)</f>
        <v>Stakeholder relationship management</v>
      </c>
      <c r="D2132" s="13" t="str" cm="1">
        <f t="array" ref="D2132">_xlfn.XLOOKUP(B2132,[1]Baseline!$D$3:$AZ$3,_xlfn.XLOOKUP(C2132,[1]Baseline!$B$4:$B$91,[1]Baseline!$D$4:$AZ$91))</f>
        <v>Working</v>
      </c>
      <c r="E2132" s="16" t="s">
        <v>49</v>
      </c>
      <c r="F2132" s="16">
        <v>1</v>
      </c>
      <c r="G2132" s="16">
        <v>1</v>
      </c>
      <c r="H2132" s="16">
        <f t="shared" si="33"/>
        <v>0</v>
      </c>
      <c r="I2132" s="13">
        <v>1</v>
      </c>
    </row>
    <row r="2133" spans="1:9">
      <c r="A2133" s="13" t="s">
        <v>381</v>
      </c>
      <c r="B2133" s="16" t="s">
        <v>58</v>
      </c>
      <c r="C2133" s="16" t="str">
        <f>VLOOKUP([1]Competence!$B31,[1]Competence!$B$12:$B$100,1,FALSE)</f>
        <v>Storage management</v>
      </c>
      <c r="D2133" s="13" t="str" cm="1">
        <f t="array" ref="D2133">_xlfn.XLOOKUP(B2133,[1]Baseline!$D$3:$AZ$3,_xlfn.XLOOKUP(C2133,[1]Baseline!$B$4:$B$91,[1]Baseline!$D$4:$AZ$91))</f>
        <v>Working</v>
      </c>
      <c r="E2133" s="16" t="s">
        <v>222</v>
      </c>
      <c r="F2133" s="16">
        <v>0</v>
      </c>
      <c r="G2133" s="16">
        <v>3</v>
      </c>
      <c r="H2133" s="16">
        <f t="shared" si="33"/>
        <v>3</v>
      </c>
      <c r="I2133" s="13">
        <v>3</v>
      </c>
    </row>
    <row r="2134" spans="1:9">
      <c r="A2134" s="13" t="s">
        <v>381</v>
      </c>
      <c r="B2134" s="16" t="s">
        <v>58</v>
      </c>
      <c r="C2134" s="16" t="str">
        <f>VLOOKUP([1]Competence!$B32,[1]Competence!$B$12:$B$100,1,FALSE)</f>
        <v>Digital Forensics</v>
      </c>
      <c r="D2134" s="13" t="str" cm="1">
        <f t="array" ref="D2134">_xlfn.XLOOKUP(B2134,[1]Baseline!$D$3:$AZ$3,_xlfn.XLOOKUP(C2134,[1]Baseline!$B$4:$B$91,[1]Baseline!$D$4:$AZ$91))</f>
        <v>No Knowledge</v>
      </c>
      <c r="E2134" s="16" t="s">
        <v>225</v>
      </c>
      <c r="F2134" s="16">
        <v>1</v>
      </c>
      <c r="G2134" s="16">
        <v>1</v>
      </c>
      <c r="H2134" s="16">
        <f t="shared" si="33"/>
        <v>0</v>
      </c>
      <c r="I2134" s="13">
        <v>1</v>
      </c>
    </row>
    <row r="2135" spans="1:9">
      <c r="A2135" s="13" t="s">
        <v>381</v>
      </c>
      <c r="B2135" s="16" t="s">
        <v>58</v>
      </c>
      <c r="C2135" s="16" t="str">
        <f>VLOOKUP([1]Competence!$B33,[1]Competence!$B$12:$B$100,1,FALSE)</f>
        <v>Penetration testing</v>
      </c>
      <c r="D2135" s="13" t="str" cm="1">
        <f t="array" ref="D2135">_xlfn.XLOOKUP(B2135,[1]Baseline!$D$3:$AZ$3,_xlfn.XLOOKUP(C2135,[1]Baseline!$B$4:$B$91,[1]Baseline!$D$4:$AZ$91))</f>
        <v>No Knowledge</v>
      </c>
      <c r="E2135" s="16" t="s">
        <v>228</v>
      </c>
      <c r="F2135" s="16">
        <v>1</v>
      </c>
      <c r="G2135" s="16">
        <v>0</v>
      </c>
      <c r="H2135" s="16">
        <f t="shared" si="33"/>
        <v>-1</v>
      </c>
      <c r="I2135" s="13">
        <v>0</v>
      </c>
    </row>
    <row r="2136" spans="1:9">
      <c r="A2136" s="13" t="s">
        <v>381</v>
      </c>
      <c r="B2136" s="16" t="s">
        <v>58</v>
      </c>
      <c r="C2136" s="16" t="str">
        <f>VLOOKUP([1]Competence!$B34,[1]Competence!$B$12:$B$100,1,FALSE)</f>
        <v>Security Operations</v>
      </c>
      <c r="D2136" s="13" t="str" cm="1">
        <f t="array" ref="D2136">_xlfn.XLOOKUP(B2136,[1]Baseline!$D$3:$AZ$3,_xlfn.XLOOKUP(C2136,[1]Baseline!$B$4:$B$91,[1]Baseline!$D$4:$AZ$91))</f>
        <v>Working</v>
      </c>
      <c r="E2136" s="16" t="s">
        <v>231</v>
      </c>
      <c r="F2136" s="16">
        <v>1</v>
      </c>
      <c r="G2136" s="16">
        <v>1</v>
      </c>
      <c r="H2136" s="16">
        <f t="shared" si="33"/>
        <v>0</v>
      </c>
      <c r="I2136" s="13">
        <v>1</v>
      </c>
    </row>
    <row r="2137" spans="1:9">
      <c r="A2137" s="13" t="s">
        <v>381</v>
      </c>
      <c r="B2137" s="16" t="s">
        <v>58</v>
      </c>
      <c r="C2137" s="16" t="str">
        <f>VLOOKUP([1]Competence!$B35,[1]Competence!$B$12:$B$100,1,FALSE)</f>
        <v>Threat Intelligence</v>
      </c>
      <c r="D2137" s="13" t="str" cm="1">
        <f t="array" ref="D2137">_xlfn.XLOOKUP(B2137,[1]Baseline!$D$3:$AZ$3,_xlfn.XLOOKUP(C2137,[1]Baseline!$B$4:$B$91,[1]Baseline!$D$4:$AZ$91))</f>
        <v>No Knowledge</v>
      </c>
      <c r="E2137" s="16" t="s">
        <v>185</v>
      </c>
      <c r="F2137" s="16">
        <v>1</v>
      </c>
      <c r="G2137" s="16">
        <v>0</v>
      </c>
      <c r="H2137" s="16">
        <f t="shared" si="33"/>
        <v>-1</v>
      </c>
      <c r="I2137" s="13">
        <v>0</v>
      </c>
    </row>
    <row r="2138" spans="1:9">
      <c r="A2138" s="13" t="s">
        <v>381</v>
      </c>
      <c r="B2138" s="16" t="s">
        <v>58</v>
      </c>
      <c r="C2138" s="16" t="str">
        <f>VLOOKUP([1]Competence!$B36,[1]Competence!$B$12:$B$100,1,FALSE)</f>
        <v>Vulnerability assessment</v>
      </c>
      <c r="D2138" s="13" t="str" cm="1">
        <f t="array" ref="D2138">_xlfn.XLOOKUP(B2138,[1]Baseline!$D$3:$AZ$3,_xlfn.XLOOKUP(C2138,[1]Baseline!$B$4:$B$91,[1]Baseline!$D$4:$AZ$91))</f>
        <v>Working</v>
      </c>
      <c r="E2138" s="16" t="s">
        <v>188</v>
      </c>
      <c r="F2138" s="16">
        <v>1</v>
      </c>
      <c r="G2138" s="16">
        <v>1</v>
      </c>
      <c r="H2138" s="16">
        <f t="shared" si="33"/>
        <v>0</v>
      </c>
      <c r="I2138" s="13">
        <v>1</v>
      </c>
    </row>
    <row r="2139" spans="1:9">
      <c r="A2139" s="13" t="s">
        <v>381</v>
      </c>
      <c r="B2139" s="16" t="s">
        <v>58</v>
      </c>
      <c r="C2139" s="16" t="str">
        <f>VLOOKUP([1]Competence!$B37,[1]Competence!$B$12:$B$100,1,FALSE)</f>
        <v>Vulnerability Research</v>
      </c>
      <c r="D2139" s="13" t="str" cm="1">
        <f t="array" ref="D2139">_xlfn.XLOOKUP(B2139,[1]Baseline!$D$3:$AZ$3,_xlfn.XLOOKUP(C2139,[1]Baseline!$B$4:$B$91,[1]Baseline!$D$4:$AZ$91))</f>
        <v>No Knowledge</v>
      </c>
      <c r="E2139" s="16" t="s">
        <v>191</v>
      </c>
      <c r="F2139" s="16">
        <v>0</v>
      </c>
      <c r="G2139" s="16">
        <v>0</v>
      </c>
      <c r="H2139" s="16">
        <f t="shared" si="33"/>
        <v>0</v>
      </c>
      <c r="I2139" s="13">
        <v>0</v>
      </c>
    </row>
    <row r="2140" spans="1:9">
      <c r="A2140" s="13" t="s">
        <v>381</v>
      </c>
      <c r="B2140" s="16" t="s">
        <v>58</v>
      </c>
      <c r="C2140" s="16" t="str">
        <f>VLOOKUP([1]Competence!$B38,[1]Competence!$B$12:$B$100,1,FALSE)</f>
        <v>Competency assessment</v>
      </c>
      <c r="D2140" s="13" t="str" cm="1">
        <f t="array" ref="D2140">_xlfn.XLOOKUP(B2140,[1]Baseline!$D$3:$AZ$3,_xlfn.XLOOKUP(C2140,[1]Baseline!$B$4:$B$91,[1]Baseline!$D$4:$AZ$91))</f>
        <v>Awareness</v>
      </c>
      <c r="E2140" s="16" t="s">
        <v>194</v>
      </c>
      <c r="F2140" s="16">
        <v>0</v>
      </c>
      <c r="G2140" s="16">
        <v>1</v>
      </c>
      <c r="H2140" s="16">
        <f t="shared" si="33"/>
        <v>1</v>
      </c>
      <c r="I2140" s="13">
        <v>1</v>
      </c>
    </row>
    <row r="2141" spans="1:9">
      <c r="A2141" s="13" t="s">
        <v>381</v>
      </c>
      <c r="B2141" s="16" t="s">
        <v>58</v>
      </c>
      <c r="C2141" s="16" t="str">
        <f>VLOOKUP([1]Competence!$B39,[1]Competence!$B$12:$B$100,1,FALSE)</f>
        <v>Financial management</v>
      </c>
      <c r="D2141" s="13" t="str" cm="1">
        <f t="array" ref="D2141">_xlfn.XLOOKUP(B2141,[1]Baseline!$D$3:$AZ$3,_xlfn.XLOOKUP(C2141,[1]Baseline!$B$4:$B$91,[1]Baseline!$D$4:$AZ$91))</f>
        <v>Awareness</v>
      </c>
      <c r="E2141" s="16" t="s">
        <v>197</v>
      </c>
      <c r="F2141" s="16">
        <v>0</v>
      </c>
      <c r="G2141" s="16">
        <v>3</v>
      </c>
      <c r="H2141" s="16">
        <f t="shared" si="33"/>
        <v>3</v>
      </c>
      <c r="I2141" s="13">
        <v>3</v>
      </c>
    </row>
    <row r="2142" spans="1:9">
      <c r="A2142" s="13" t="s">
        <v>381</v>
      </c>
      <c r="B2142" s="16" t="s">
        <v>58</v>
      </c>
      <c r="C2142" s="16" t="str">
        <f>VLOOKUP([1]Competence!$B40,[1]Competence!$B$12:$B$100,1,FALSE)</f>
        <v>Organisation design and implementation</v>
      </c>
      <c r="D2142" s="13" t="str" cm="1">
        <f t="array" ref="D2142">_xlfn.XLOOKUP(B2142,[1]Baseline!$D$3:$AZ$3,_xlfn.XLOOKUP(C2142,[1]Baseline!$B$4:$B$91,[1]Baseline!$D$4:$AZ$91))</f>
        <v>No Knowledge</v>
      </c>
      <c r="E2142" s="16" t="s">
        <v>200</v>
      </c>
      <c r="F2142" s="16">
        <v>0</v>
      </c>
      <c r="G2142" s="16">
        <v>0</v>
      </c>
      <c r="H2142" s="16">
        <f t="shared" si="33"/>
        <v>0</v>
      </c>
      <c r="I2142" s="13">
        <v>0</v>
      </c>
    </row>
    <row r="2143" spans="1:9">
      <c r="A2143" s="13" t="s">
        <v>381</v>
      </c>
      <c r="B2143" s="16" t="s">
        <v>58</v>
      </c>
      <c r="C2143" s="16" t="str">
        <f>VLOOKUP([1]Competence!$B41,[1]Competence!$B$12:$B$100,1,FALSE)</f>
        <v>Organisational capability development</v>
      </c>
      <c r="D2143" s="13" t="str" cm="1">
        <f t="array" ref="D2143">_xlfn.XLOOKUP(B2143,[1]Baseline!$D$3:$AZ$3,_xlfn.XLOOKUP(C2143,[1]Baseline!$B$4:$B$91,[1]Baseline!$D$4:$AZ$91))</f>
        <v>No Knowledge</v>
      </c>
      <c r="E2143" s="16" t="s">
        <v>203</v>
      </c>
      <c r="F2143" s="16">
        <v>1</v>
      </c>
      <c r="G2143" s="16">
        <v>1</v>
      </c>
      <c r="H2143" s="16">
        <f t="shared" si="33"/>
        <v>0</v>
      </c>
      <c r="I2143" s="13">
        <v>1</v>
      </c>
    </row>
    <row r="2144" spans="1:9">
      <c r="A2144" s="13" t="s">
        <v>381</v>
      </c>
      <c r="B2144" s="16" t="s">
        <v>58</v>
      </c>
      <c r="C2144" s="16" t="str">
        <f>VLOOKUP([1]Competence!$B42,[1]Competence!$B$12:$B$100,1,FALSE)</f>
        <v>Organisational change management</v>
      </c>
      <c r="D2144" s="13" t="str" cm="1">
        <f t="array" ref="D2144">_xlfn.XLOOKUP(B2144,[1]Baseline!$D$3:$AZ$3,_xlfn.XLOOKUP(C2144,[1]Baseline!$B$4:$B$91,[1]Baseline!$D$4:$AZ$91))</f>
        <v>No Knowledge</v>
      </c>
      <c r="E2144" s="16" t="s">
        <v>206</v>
      </c>
      <c r="F2144" s="16">
        <v>0</v>
      </c>
      <c r="G2144" s="16">
        <v>1</v>
      </c>
      <c r="H2144" s="16">
        <f t="shared" si="33"/>
        <v>1</v>
      </c>
      <c r="I2144" s="13">
        <v>1</v>
      </c>
    </row>
    <row r="2145" spans="1:9">
      <c r="A2145" s="13" t="s">
        <v>381</v>
      </c>
      <c r="B2145" s="16" t="s">
        <v>58</v>
      </c>
      <c r="C2145" s="16" t="str">
        <f>VLOOKUP([1]Competence!$B43,[1]Competence!$B$12:$B$100,1,FALSE)</f>
        <v>Performance Management</v>
      </c>
      <c r="D2145" s="13" t="str" cm="1">
        <f t="array" ref="D2145">_xlfn.XLOOKUP(B2145,[1]Baseline!$D$3:$AZ$3,_xlfn.XLOOKUP(C2145,[1]Baseline!$B$4:$B$91,[1]Baseline!$D$4:$AZ$91))</f>
        <v>No Knowledge</v>
      </c>
      <c r="E2145" s="16" t="s">
        <v>208</v>
      </c>
      <c r="F2145" s="16">
        <v>0</v>
      </c>
      <c r="G2145" s="16">
        <v>1</v>
      </c>
      <c r="H2145" s="16">
        <f t="shared" si="33"/>
        <v>1</v>
      </c>
      <c r="I2145" s="13">
        <v>1</v>
      </c>
    </row>
    <row r="2146" spans="1:9">
      <c r="A2146" s="13" t="s">
        <v>381</v>
      </c>
      <c r="B2146" s="16" t="s">
        <v>58</v>
      </c>
      <c r="C2146" s="16" t="str">
        <f>VLOOKUP([1]Competence!$B44,[1]Competence!$B$12:$B$100,1,FALSE)</f>
        <v>Professional Development</v>
      </c>
      <c r="D2146" s="13" t="str" cm="1">
        <f t="array" ref="D2146">_xlfn.XLOOKUP(B2146,[1]Baseline!$D$3:$AZ$3,_xlfn.XLOOKUP(C2146,[1]Baseline!$B$4:$B$91,[1]Baseline!$D$4:$AZ$91))</f>
        <v>Awareness</v>
      </c>
      <c r="E2146" s="16" t="s">
        <v>167</v>
      </c>
      <c r="F2146" s="16">
        <v>0</v>
      </c>
      <c r="G2146" s="16">
        <v>3</v>
      </c>
      <c r="H2146" s="16">
        <f t="shared" si="33"/>
        <v>3</v>
      </c>
      <c r="I2146" s="13">
        <v>3</v>
      </c>
    </row>
    <row r="2147" spans="1:9">
      <c r="A2147" s="13" t="s">
        <v>381</v>
      </c>
      <c r="B2147" s="16" t="s">
        <v>58</v>
      </c>
      <c r="C2147" s="16" t="str">
        <f>VLOOKUP([1]Competence!$B45,[1]Competence!$B$12:$B$100,1,FALSE)</f>
        <v>Strategic Planning</v>
      </c>
      <c r="D2147" s="13" t="str" cm="1">
        <f t="array" ref="D2147">_xlfn.XLOOKUP(B2147,[1]Baseline!$D$3:$AZ$3,_xlfn.XLOOKUP(C2147,[1]Baseline!$B$4:$B$91,[1]Baseline!$D$4:$AZ$91))</f>
        <v>No Knowledge</v>
      </c>
      <c r="E2147" s="16" t="s">
        <v>170</v>
      </c>
      <c r="F2147" s="16">
        <v>0</v>
      </c>
      <c r="G2147" s="16">
        <v>0</v>
      </c>
      <c r="H2147" s="16">
        <f t="shared" si="33"/>
        <v>0</v>
      </c>
      <c r="I2147" s="13">
        <v>0</v>
      </c>
    </row>
    <row r="2148" spans="1:9">
      <c r="A2148" s="13" t="s">
        <v>381</v>
      </c>
      <c r="B2148" s="16" t="s">
        <v>58</v>
      </c>
      <c r="C2148" s="16" t="str">
        <f>VLOOKUP([1]Competence!$B46,[1]Competence!$B$12:$B$100,1,FALSE)</f>
        <v>Workforce Planning</v>
      </c>
      <c r="D2148" s="13" t="str" cm="1">
        <f t="array" ref="D2148">_xlfn.XLOOKUP(B2148,[1]Baseline!$D$3:$AZ$3,_xlfn.XLOOKUP(C2148,[1]Baseline!$B$4:$B$91,[1]Baseline!$D$4:$AZ$91))</f>
        <v>No Knowledge</v>
      </c>
      <c r="E2148" s="16" t="s">
        <v>173</v>
      </c>
      <c r="F2148" s="16">
        <v>2</v>
      </c>
      <c r="G2148" s="16">
        <v>1</v>
      </c>
      <c r="H2148" s="16">
        <f t="shared" si="33"/>
        <v>-1</v>
      </c>
      <c r="I2148" s="13">
        <v>1</v>
      </c>
    </row>
    <row r="2149" spans="1:9">
      <c r="A2149" s="13" t="s">
        <v>381</v>
      </c>
      <c r="B2149" s="16" t="s">
        <v>58</v>
      </c>
      <c r="C2149" s="16" t="str">
        <f>VLOOKUP([1]Competence!$B47,[1]Competence!$B$12:$B$100,1,FALSE)</f>
        <v>Audit</v>
      </c>
      <c r="D2149" s="13" t="str" cm="1">
        <f t="array" ref="D2149">_xlfn.XLOOKUP(B2149,[1]Baseline!$D$3:$AZ$3,_xlfn.XLOOKUP(C2149,[1]Baseline!$B$4:$B$91,[1]Baseline!$D$4:$AZ$91))</f>
        <v>Awareness</v>
      </c>
      <c r="E2149" s="16" t="s">
        <v>176</v>
      </c>
      <c r="F2149" s="16">
        <v>0</v>
      </c>
      <c r="G2149" s="16">
        <v>1</v>
      </c>
      <c r="H2149" s="16">
        <f t="shared" si="33"/>
        <v>1</v>
      </c>
      <c r="I2149" s="13">
        <v>1</v>
      </c>
    </row>
    <row r="2150" spans="1:9">
      <c r="A2150" s="13" t="s">
        <v>381</v>
      </c>
      <c r="B2150" s="16" t="s">
        <v>58</v>
      </c>
      <c r="C2150" s="16" t="str">
        <f>VLOOKUP([1]Competence!$B48,[1]Competence!$B$12:$B$100,1,FALSE)</f>
        <v>Contract management</v>
      </c>
      <c r="D2150" s="13" t="str" cm="1">
        <f t="array" ref="D2150">_xlfn.XLOOKUP(B2150,[1]Baseline!$D$3:$AZ$3,_xlfn.XLOOKUP(C2150,[1]Baseline!$B$4:$B$91,[1]Baseline!$D$4:$AZ$91))</f>
        <v>No Knowledge</v>
      </c>
      <c r="E2150" s="16" t="s">
        <v>179</v>
      </c>
      <c r="F2150" s="16">
        <v>2</v>
      </c>
      <c r="G2150" s="16">
        <v>1</v>
      </c>
      <c r="H2150" s="16">
        <f t="shared" si="33"/>
        <v>-1</v>
      </c>
      <c r="I2150" s="13">
        <v>1</v>
      </c>
    </row>
    <row r="2151" spans="1:9">
      <c r="A2151" s="13" t="s">
        <v>381</v>
      </c>
      <c r="B2151" s="16" t="s">
        <v>58</v>
      </c>
      <c r="C2151" s="16" t="str">
        <f>VLOOKUP([1]Competence!$B49,[1]Competence!$B$12:$B$100,1,FALSE)</f>
        <v>Feasibility assessment</v>
      </c>
      <c r="D2151" s="13" t="str" cm="1">
        <f t="array" ref="D2151">_xlfn.XLOOKUP(B2151,[1]Baseline!$D$3:$AZ$3,_xlfn.XLOOKUP(C2151,[1]Baseline!$B$4:$B$91,[1]Baseline!$D$4:$AZ$91))</f>
        <v>No Knowledge</v>
      </c>
      <c r="E2151" s="16" t="s">
        <v>182</v>
      </c>
      <c r="F2151" s="16">
        <v>0</v>
      </c>
      <c r="G2151" s="16">
        <v>4</v>
      </c>
      <c r="H2151" s="16">
        <f t="shared" si="33"/>
        <v>4</v>
      </c>
      <c r="I2151" s="13">
        <v>4</v>
      </c>
    </row>
    <row r="2152" spans="1:9">
      <c r="A2152" s="13" t="s">
        <v>381</v>
      </c>
      <c r="B2152" s="16" t="s">
        <v>58</v>
      </c>
      <c r="C2152" s="16" t="str">
        <f>VLOOKUP([1]Competence!$B50,[1]Competence!$B$12:$B$100,1,FALSE)</f>
        <v>Governance</v>
      </c>
      <c r="D2152" s="13" t="str" cm="1">
        <f t="array" ref="D2152">_xlfn.XLOOKUP(B2152,[1]Baseline!$D$3:$AZ$3,_xlfn.XLOOKUP(C2152,[1]Baseline!$B$4:$B$91,[1]Baseline!$D$4:$AZ$91))</f>
        <v>Awareness</v>
      </c>
      <c r="E2152" s="16" t="s">
        <v>133</v>
      </c>
      <c r="F2152" s="16">
        <v>1</v>
      </c>
      <c r="G2152" s="16">
        <v>1</v>
      </c>
      <c r="H2152" s="16">
        <f t="shared" si="33"/>
        <v>0</v>
      </c>
      <c r="I2152" s="13">
        <v>1</v>
      </c>
    </row>
    <row r="2153" spans="1:9">
      <c r="A2153" s="13" t="s">
        <v>381</v>
      </c>
      <c r="B2153" s="16" t="s">
        <v>58</v>
      </c>
      <c r="C2153" s="16" t="str">
        <f>VLOOKUP([1]Competence!$B51,[1]Competence!$B$12:$B$100,1,FALSE)</f>
        <v>Risk management</v>
      </c>
      <c r="D2153" s="13" t="str" cm="1">
        <f t="array" ref="D2153">_xlfn.XLOOKUP(B2153,[1]Baseline!$D$3:$AZ$3,_xlfn.XLOOKUP(C2153,[1]Baseline!$B$4:$B$91,[1]Baseline!$D$4:$AZ$91))</f>
        <v>No Knowledge</v>
      </c>
      <c r="E2153" s="16" t="s">
        <v>136</v>
      </c>
      <c r="F2153" s="16">
        <v>0</v>
      </c>
      <c r="G2153" s="16">
        <v>0</v>
      </c>
      <c r="H2153" s="16">
        <f t="shared" si="33"/>
        <v>0</v>
      </c>
      <c r="I2153" s="13">
        <v>0</v>
      </c>
    </row>
    <row r="2154" spans="1:9">
      <c r="A2154" s="13" t="s">
        <v>381</v>
      </c>
      <c r="B2154" s="16" t="s">
        <v>58</v>
      </c>
      <c r="C2154" s="16" t="str">
        <f>VLOOKUP([1]Competence!$B52,[1]Competence!$B$12:$B$100,1,FALSE)</f>
        <v>Sourcing</v>
      </c>
      <c r="D2154" s="13" t="str" cm="1">
        <f t="array" ref="D2154">_xlfn.XLOOKUP(B2154,[1]Baseline!$D$3:$AZ$3,_xlfn.XLOOKUP(C2154,[1]Baseline!$B$4:$B$91,[1]Baseline!$D$4:$AZ$91))</f>
        <v>Awareness</v>
      </c>
      <c r="E2154" s="16" t="s">
        <v>139</v>
      </c>
      <c r="F2154" s="16">
        <v>1</v>
      </c>
      <c r="G2154" s="16">
        <v>1</v>
      </c>
      <c r="H2154" s="16">
        <f t="shared" si="33"/>
        <v>0</v>
      </c>
      <c r="I2154" s="13">
        <v>1</v>
      </c>
    </row>
    <row r="2155" spans="1:9">
      <c r="A2155" s="13" t="s">
        <v>381</v>
      </c>
      <c r="B2155" s="16" t="s">
        <v>58</v>
      </c>
      <c r="C2155" s="16" t="str">
        <f>VLOOKUP([1]Competence!$B53,[1]Competence!$B$12:$B$100,1,FALSE)</f>
        <v>Supplier management</v>
      </c>
      <c r="D2155" s="13" t="str" cm="1">
        <f t="array" ref="D2155">_xlfn.XLOOKUP(B2155,[1]Baseline!$D$3:$AZ$3,_xlfn.XLOOKUP(C2155,[1]Baseline!$B$4:$B$91,[1]Baseline!$D$4:$AZ$91))</f>
        <v>Awareness</v>
      </c>
      <c r="E2155" s="16" t="s">
        <v>142</v>
      </c>
      <c r="F2155" s="16">
        <v>1</v>
      </c>
      <c r="G2155" s="16">
        <v>0</v>
      </c>
      <c r="H2155" s="16">
        <f t="shared" si="33"/>
        <v>-1</v>
      </c>
      <c r="I2155" s="13">
        <v>0</v>
      </c>
    </row>
    <row r="2156" spans="1:9">
      <c r="A2156" s="13" t="s">
        <v>381</v>
      </c>
      <c r="B2156" s="16" t="s">
        <v>58</v>
      </c>
      <c r="C2156" s="16" t="str">
        <f>VLOOKUP([1]Competence!$B54,[1]Competence!$B$12:$B$100,1,FALSE)</f>
        <v>Sustainability</v>
      </c>
      <c r="D2156" s="13" t="str" cm="1">
        <f t="array" ref="D2156">_xlfn.XLOOKUP(B2156,[1]Baseline!$D$3:$AZ$3,_xlfn.XLOOKUP(C2156,[1]Baseline!$B$4:$B$91,[1]Baseline!$D$4:$AZ$91))</f>
        <v>Awareness</v>
      </c>
      <c r="E2156" s="16" t="s">
        <v>145</v>
      </c>
      <c r="F2156" s="16">
        <v>1</v>
      </c>
      <c r="G2156" s="16">
        <v>1</v>
      </c>
      <c r="H2156" s="16">
        <f t="shared" si="33"/>
        <v>0</v>
      </c>
      <c r="I2156" s="13">
        <v>1</v>
      </c>
    </row>
    <row r="2157" spans="1:9">
      <c r="A2157" s="13" t="s">
        <v>381</v>
      </c>
      <c r="B2157" s="16" t="s">
        <v>58</v>
      </c>
      <c r="C2157" s="16" t="str">
        <f>VLOOKUP([1]Competence!$B55,[1]Competence!$B$12:$B$100,1,FALSE)</f>
        <v>Acceptance testing</v>
      </c>
      <c r="D2157" s="13" t="str" cm="1">
        <f t="array" ref="D2157">_xlfn.XLOOKUP(B2157,[1]Baseline!$D$3:$AZ$3,_xlfn.XLOOKUP(C2157,[1]Baseline!$B$4:$B$91,[1]Baseline!$D$4:$AZ$91))</f>
        <v>Awareness</v>
      </c>
      <c r="E2157" s="16" t="s">
        <v>148</v>
      </c>
      <c r="F2157" s="16">
        <v>2</v>
      </c>
      <c r="G2157" s="16">
        <v>1</v>
      </c>
      <c r="H2157" s="16">
        <f t="shared" si="33"/>
        <v>-1</v>
      </c>
      <c r="I2157" s="13">
        <v>1</v>
      </c>
    </row>
    <row r="2158" spans="1:9">
      <c r="A2158" s="13" t="s">
        <v>381</v>
      </c>
      <c r="B2158" s="16" t="s">
        <v>58</v>
      </c>
      <c r="C2158" s="16" t="str">
        <f>VLOOKUP([1]Competence!$B56,[1]Competence!$B$12:$B$100,1,FALSE)</f>
        <v>Application support</v>
      </c>
      <c r="D2158" s="13" t="str" cm="1">
        <f t="array" ref="D2158">_xlfn.XLOOKUP(B2158,[1]Baseline!$D$3:$AZ$3,_xlfn.XLOOKUP(C2158,[1]Baseline!$B$4:$B$91,[1]Baseline!$D$4:$AZ$91))</f>
        <v>Working</v>
      </c>
      <c r="E2158" s="16" t="s">
        <v>151</v>
      </c>
      <c r="F2158" s="16">
        <v>1</v>
      </c>
      <c r="G2158" s="16">
        <v>3</v>
      </c>
      <c r="H2158" s="16">
        <f t="shared" si="33"/>
        <v>2</v>
      </c>
      <c r="I2158" s="13">
        <v>3</v>
      </c>
    </row>
    <row r="2159" spans="1:9">
      <c r="A2159" s="13" t="s">
        <v>381</v>
      </c>
      <c r="B2159" s="16" t="s">
        <v>58</v>
      </c>
      <c r="C2159" s="16" t="str">
        <f>VLOOKUP([1]Competence!$B57,[1]Competence!$B$12:$B$100,1,FALSE)</f>
        <v>Data Engineering</v>
      </c>
      <c r="D2159" s="13" t="str" cm="1">
        <f t="array" ref="D2159">_xlfn.XLOOKUP(B2159,[1]Baseline!$D$3:$AZ$3,_xlfn.XLOOKUP(C2159,[1]Baseline!$B$4:$B$91,[1]Baseline!$D$4:$AZ$91))</f>
        <v>No Knowledge</v>
      </c>
      <c r="E2159" s="16" t="s">
        <v>154</v>
      </c>
      <c r="F2159" s="16">
        <v>0</v>
      </c>
      <c r="G2159" s="16">
        <v>0</v>
      </c>
      <c r="H2159" s="16">
        <f t="shared" si="33"/>
        <v>0</v>
      </c>
      <c r="I2159" s="13">
        <v>0</v>
      </c>
    </row>
    <row r="2160" spans="1:9">
      <c r="A2160" s="13" t="s">
        <v>381</v>
      </c>
      <c r="B2160" s="16" t="s">
        <v>58</v>
      </c>
      <c r="C2160" s="16" t="str">
        <f>VLOOKUP([1]Competence!$B58,[1]Competence!$B$12:$B$100,1,FALSE)</f>
        <v>Data Management</v>
      </c>
      <c r="D2160" s="13" t="str" cm="1">
        <f t="array" ref="D2160">_xlfn.XLOOKUP(B2160,[1]Baseline!$D$3:$AZ$3,_xlfn.XLOOKUP(C2160,[1]Baseline!$B$4:$B$91,[1]Baseline!$D$4:$AZ$91))</f>
        <v>No Knowledge</v>
      </c>
      <c r="E2160" s="16" t="s">
        <v>158</v>
      </c>
      <c r="F2160" s="16">
        <v>0</v>
      </c>
      <c r="G2160" s="16">
        <v>0</v>
      </c>
      <c r="H2160" s="16">
        <f t="shared" si="33"/>
        <v>0</v>
      </c>
      <c r="I2160" s="13">
        <v>0</v>
      </c>
    </row>
    <row r="2161" spans="1:9">
      <c r="A2161" s="13" t="s">
        <v>381</v>
      </c>
      <c r="B2161" s="16" t="s">
        <v>58</v>
      </c>
      <c r="C2161" s="16" t="str">
        <f>VLOOKUP([1]Competence!$B59,[1]Competence!$B$12:$B$100,1,FALSE)</f>
        <v>Data Modelling and Design</v>
      </c>
      <c r="D2161" s="13" t="str" cm="1">
        <f t="array" ref="D2161">_xlfn.XLOOKUP(B2161,[1]Baseline!$D$3:$AZ$3,_xlfn.XLOOKUP(C2161,[1]Baseline!$B$4:$B$91,[1]Baseline!$D$4:$AZ$91))</f>
        <v>No Knowledge</v>
      </c>
      <c r="E2161" s="16" t="s">
        <v>161</v>
      </c>
      <c r="F2161" s="16">
        <v>2</v>
      </c>
      <c r="G2161" s="16">
        <v>0</v>
      </c>
      <c r="H2161" s="16">
        <f t="shared" si="33"/>
        <v>-2</v>
      </c>
      <c r="I2161" s="13">
        <v>0</v>
      </c>
    </row>
    <row r="2162" spans="1:9">
      <c r="A2162" s="13" t="s">
        <v>381</v>
      </c>
      <c r="B2162" s="16" t="s">
        <v>58</v>
      </c>
      <c r="C2162" s="16" t="str">
        <f>VLOOKUP([1]Competence!$B60,[1]Competence!$B$12:$B$100,1,FALSE)</f>
        <v>Data science</v>
      </c>
      <c r="D2162" s="13" t="str" cm="1">
        <f t="array" ref="D2162">_xlfn.XLOOKUP(B2162,[1]Baseline!$D$3:$AZ$3,_xlfn.XLOOKUP(C2162,[1]Baseline!$B$4:$B$91,[1]Baseline!$D$4:$AZ$91))</f>
        <v>No Knowledge</v>
      </c>
      <c r="E2162" s="16" t="s">
        <v>164</v>
      </c>
      <c r="F2162" s="16">
        <v>2</v>
      </c>
      <c r="G2162" s="16">
        <v>0</v>
      </c>
      <c r="H2162" s="16">
        <f t="shared" si="33"/>
        <v>-2</v>
      </c>
      <c r="I2162" s="13">
        <v>0</v>
      </c>
    </row>
    <row r="2163" spans="1:9">
      <c r="A2163" s="13" t="s">
        <v>381</v>
      </c>
      <c r="B2163" s="16" t="s">
        <v>58</v>
      </c>
      <c r="C2163" s="16" t="str">
        <f>VLOOKUP([1]Competence!$B61,[1]Competence!$B$12:$B$100,1,FALSE)</f>
        <v>Data visualisation</v>
      </c>
      <c r="D2163" s="13" t="str" cm="1">
        <f t="array" ref="D2163">_xlfn.XLOOKUP(B2163,[1]Baseline!$D$3:$AZ$3,_xlfn.XLOOKUP(C2163,[1]Baseline!$B$4:$B$91,[1]Baseline!$D$4:$AZ$91))</f>
        <v>No Knowledge</v>
      </c>
      <c r="E2163" s="16" t="s">
        <v>234</v>
      </c>
      <c r="F2163" s="16">
        <v>1</v>
      </c>
      <c r="G2163" s="16">
        <v>0</v>
      </c>
      <c r="H2163" s="16">
        <f t="shared" si="33"/>
        <v>-1</v>
      </c>
      <c r="I2163" s="13">
        <v>0</v>
      </c>
    </row>
    <row r="2164" spans="1:9">
      <c r="A2164" s="13" t="s">
        <v>381</v>
      </c>
      <c r="B2164" s="16" t="s">
        <v>58</v>
      </c>
      <c r="C2164" s="16" t="str">
        <f>VLOOKUP([1]Competence!$B62,[1]Competence!$B$12:$B$100,1,FALSE)</f>
        <v>Database Administration</v>
      </c>
      <c r="D2164" s="13" t="str" cm="1">
        <f t="array" ref="D2164">_xlfn.XLOOKUP(B2164,[1]Baseline!$D$3:$AZ$3,_xlfn.XLOOKUP(C2164,[1]Baseline!$B$4:$B$91,[1]Baseline!$D$4:$AZ$91))</f>
        <v>No Knowledge</v>
      </c>
      <c r="E2164" s="16" t="s">
        <v>237</v>
      </c>
      <c r="F2164" s="16">
        <v>2</v>
      </c>
      <c r="G2164" s="16">
        <v>1</v>
      </c>
      <c r="H2164" s="16">
        <f t="shared" si="33"/>
        <v>-1</v>
      </c>
      <c r="I2164" s="13">
        <v>1</v>
      </c>
    </row>
    <row r="2165" spans="1:9">
      <c r="A2165" s="13" t="s">
        <v>381</v>
      </c>
      <c r="B2165" s="16" t="s">
        <v>58</v>
      </c>
      <c r="C2165" s="16" t="str">
        <f>VLOOKUP([1]Competence!$B63,[1]Competence!$B$12:$B$100,1,FALSE)</f>
        <v>Database Design</v>
      </c>
      <c r="D2165" s="13" t="str" cm="1">
        <f t="array" ref="D2165">_xlfn.XLOOKUP(B2165,[1]Baseline!$D$3:$AZ$3,_xlfn.XLOOKUP(C2165,[1]Baseline!$B$4:$B$91,[1]Baseline!$D$4:$AZ$91))</f>
        <v>No Knowledge</v>
      </c>
      <c r="E2165" s="16" t="s">
        <v>382</v>
      </c>
      <c r="F2165" s="16">
        <v>1</v>
      </c>
      <c r="G2165" s="16">
        <v>0</v>
      </c>
      <c r="H2165" s="16">
        <f t="shared" si="33"/>
        <v>-1</v>
      </c>
      <c r="I2165" s="13">
        <v>0</v>
      </c>
    </row>
    <row r="2166" spans="1:9">
      <c r="A2166" s="13" t="s">
        <v>381</v>
      </c>
      <c r="B2166" s="16" t="s">
        <v>58</v>
      </c>
      <c r="C2166" s="16" t="str">
        <f>VLOOKUP([1]Competence!$B64,[1]Competence!$B$12:$B$100,1,FALSE)</f>
        <v>Hardware design</v>
      </c>
      <c r="D2166" s="13" t="str" cm="1">
        <f t="array" ref="D2166">_xlfn.XLOOKUP(B2166,[1]Baseline!$D$3:$AZ$3,_xlfn.XLOOKUP(C2166,[1]Baseline!$B$4:$B$91,[1]Baseline!$D$4:$AZ$91))</f>
        <v>No Knowledge</v>
      </c>
      <c r="E2166" s="16" t="s">
        <v>383</v>
      </c>
      <c r="F2166" s="16">
        <v>0</v>
      </c>
      <c r="G2166" s="16">
        <v>0</v>
      </c>
      <c r="H2166" s="16">
        <f t="shared" si="33"/>
        <v>0</v>
      </c>
      <c r="I2166" s="13">
        <v>0</v>
      </c>
    </row>
    <row r="2167" spans="1:9">
      <c r="A2167" s="13" t="s">
        <v>381</v>
      </c>
      <c r="B2167" s="16" t="s">
        <v>58</v>
      </c>
      <c r="C2167" s="16" t="str">
        <f>VLOOKUP([1]Competence!$B65,[1]Competence!$B$12:$B$100,1,FALSE)</f>
        <v>High Performance Computing</v>
      </c>
      <c r="D2167" s="13" t="str" cm="1">
        <f t="array" ref="D2167">_xlfn.XLOOKUP(B2167,[1]Baseline!$D$3:$AZ$3,_xlfn.XLOOKUP(C2167,[1]Baseline!$B$4:$B$91,[1]Baseline!$D$4:$AZ$91))</f>
        <v>Awareness</v>
      </c>
      <c r="E2167" s="16" t="s">
        <v>240</v>
      </c>
      <c r="F2167" s="16">
        <v>0</v>
      </c>
      <c r="G2167" s="16">
        <v>1</v>
      </c>
      <c r="H2167" s="16">
        <f t="shared" si="33"/>
        <v>1</v>
      </c>
      <c r="I2167" s="13">
        <v>1</v>
      </c>
    </row>
    <row r="2168" spans="1:9">
      <c r="A2168" s="13" t="s">
        <v>381</v>
      </c>
      <c r="B2168" s="16" t="s">
        <v>58</v>
      </c>
      <c r="C2168" s="16" t="str">
        <f>VLOOKUP([1]Competence!$B66,[1]Competence!$B$12:$B$100,1,FALSE)</f>
        <v>Research Computing</v>
      </c>
      <c r="D2168" s="13" t="str" cm="1">
        <f t="array" ref="D2168">_xlfn.XLOOKUP(B2168,[1]Baseline!$D$3:$AZ$3,_xlfn.XLOOKUP(C2168,[1]Baseline!$B$4:$B$91,[1]Baseline!$D$4:$AZ$91))</f>
        <v>Awareness</v>
      </c>
      <c r="E2168" s="16" t="s">
        <v>243</v>
      </c>
      <c r="F2168" s="16">
        <v>0</v>
      </c>
      <c r="G2168" s="16">
        <v>0</v>
      </c>
      <c r="H2168" s="16">
        <f t="shared" si="33"/>
        <v>0</v>
      </c>
      <c r="I2168" s="13">
        <v>0</v>
      </c>
    </row>
    <row r="2169" spans="1:9">
      <c r="A2169" s="13" t="s">
        <v>381</v>
      </c>
      <c r="B2169" s="16" t="s">
        <v>58</v>
      </c>
      <c r="C2169" s="16" t="str">
        <f>VLOOKUP([1]Competence!$B67,[1]Competence!$B$12:$B$100,1,FALSE)</f>
        <v>Information assurance</v>
      </c>
      <c r="D2169" s="13" t="str" cm="1">
        <f t="array" ref="D2169">_xlfn.XLOOKUP(B2169,[1]Baseline!$D$3:$AZ$3,_xlfn.XLOOKUP(C2169,[1]Baseline!$B$4:$B$91,[1]Baseline!$D$4:$AZ$91))</f>
        <v>Working</v>
      </c>
      <c r="E2169" s="16" t="s">
        <v>246</v>
      </c>
      <c r="F2169" s="16">
        <v>0</v>
      </c>
      <c r="G2169" s="16">
        <v>3</v>
      </c>
      <c r="H2169" s="16">
        <f t="shared" si="33"/>
        <v>3</v>
      </c>
      <c r="I2169" s="13">
        <v>3</v>
      </c>
    </row>
    <row r="2170" spans="1:9">
      <c r="A2170" s="13" t="s">
        <v>381</v>
      </c>
      <c r="B2170" s="16" t="s">
        <v>58</v>
      </c>
      <c r="C2170" s="16" t="str">
        <f>VLOOKUP([1]Competence!$B68,[1]Competence!$B$12:$B$100,1,FALSE)</f>
        <v>Information management</v>
      </c>
      <c r="D2170" s="13" t="str" cm="1">
        <f t="array" ref="D2170">_xlfn.XLOOKUP(B2170,[1]Baseline!$D$3:$AZ$3,_xlfn.XLOOKUP(C2170,[1]Baseline!$B$4:$B$91,[1]Baseline!$D$4:$AZ$91))</f>
        <v>Awareness</v>
      </c>
      <c r="E2170" s="16" t="s">
        <v>249</v>
      </c>
      <c r="F2170" s="16">
        <v>0</v>
      </c>
      <c r="G2170" s="16">
        <v>1</v>
      </c>
      <c r="H2170" s="16">
        <f t="shared" si="33"/>
        <v>1</v>
      </c>
      <c r="I2170" s="13">
        <v>1</v>
      </c>
    </row>
    <row r="2171" spans="1:9">
      <c r="A2171" s="13" t="s">
        <v>381</v>
      </c>
      <c r="B2171" s="16" t="s">
        <v>58</v>
      </c>
      <c r="C2171" s="16" t="str">
        <f>VLOOKUP([1]Competence!$B69,[1]Competence!$B$12:$B$100,1,FALSE)</f>
        <v>Infrastructure</v>
      </c>
      <c r="D2171" s="13" t="str" cm="1">
        <f t="array" ref="D2171">_xlfn.XLOOKUP(B2171,[1]Baseline!$D$3:$AZ$3,_xlfn.XLOOKUP(C2171,[1]Baseline!$B$4:$B$91,[1]Baseline!$D$4:$AZ$91))</f>
        <v>Awareness</v>
      </c>
      <c r="E2171" s="16" t="s">
        <v>252</v>
      </c>
      <c r="F2171" s="16">
        <v>0</v>
      </c>
      <c r="G2171" s="16">
        <v>3</v>
      </c>
      <c r="H2171" s="16">
        <f t="shared" si="33"/>
        <v>3</v>
      </c>
      <c r="I2171" s="13">
        <v>3</v>
      </c>
    </row>
    <row r="2172" spans="1:9">
      <c r="A2172" s="13" t="s">
        <v>381</v>
      </c>
      <c r="B2172" s="16" t="s">
        <v>58</v>
      </c>
      <c r="C2172" s="16" t="str">
        <f>VLOOKUP([1]Competence!$B70,[1]Competence!$B$12:$B$100,1,FALSE)</f>
        <v>Network design</v>
      </c>
      <c r="D2172" s="13" t="str" cm="1">
        <f t="array" ref="D2172">_xlfn.XLOOKUP(B2172,[1]Baseline!$D$3:$AZ$3,_xlfn.XLOOKUP(C2172,[1]Baseline!$B$4:$B$91,[1]Baseline!$D$4:$AZ$91))</f>
        <v>No Knowledge</v>
      </c>
      <c r="E2172" s="16" t="s">
        <v>255</v>
      </c>
      <c r="F2172" s="16">
        <v>0</v>
      </c>
      <c r="G2172" s="16">
        <v>0</v>
      </c>
      <c r="H2172" s="16">
        <f t="shared" si="33"/>
        <v>0</v>
      </c>
      <c r="I2172" s="13">
        <v>0</v>
      </c>
    </row>
    <row r="2173" spans="1:9">
      <c r="A2173" s="13" t="s">
        <v>381</v>
      </c>
      <c r="B2173" s="16" t="s">
        <v>58</v>
      </c>
      <c r="C2173" s="16" t="str">
        <f>VLOOKUP([1]Competence!$B71,[1]Competence!$B$12:$B$100,1,FALSE)</f>
        <v>Network Analytics</v>
      </c>
      <c r="D2173" s="13" t="str" cm="1">
        <f t="array" ref="D2173">_xlfn.XLOOKUP(B2173,[1]Baseline!$D$3:$AZ$3,_xlfn.XLOOKUP(C2173,[1]Baseline!$B$4:$B$91,[1]Baseline!$D$4:$AZ$91))</f>
        <v>No Knowledge</v>
      </c>
      <c r="E2173" s="16" t="s">
        <v>258</v>
      </c>
      <c r="F2173" s="16">
        <v>0</v>
      </c>
      <c r="G2173" s="16">
        <v>3</v>
      </c>
      <c r="H2173" s="16">
        <f t="shared" si="33"/>
        <v>3</v>
      </c>
      <c r="I2173" s="13">
        <v>3</v>
      </c>
    </row>
    <row r="2174" spans="1:9">
      <c r="A2174" s="13" t="s">
        <v>381</v>
      </c>
      <c r="B2174" s="16" t="s">
        <v>58</v>
      </c>
      <c r="C2174" s="16" t="str">
        <f>VLOOKUP([1]Competence!$B72,[1]Competence!$B$12:$B$100,1,FALSE)</f>
        <v>Network support</v>
      </c>
      <c r="D2174" s="13" t="str" cm="1">
        <f t="array" ref="D2174">_xlfn.XLOOKUP(B2174,[1]Baseline!$D$3:$AZ$3,_xlfn.XLOOKUP(C2174,[1]Baseline!$B$4:$B$91,[1]Baseline!$D$4:$AZ$91))</f>
        <v>Working</v>
      </c>
      <c r="E2174" s="16" t="s">
        <v>326</v>
      </c>
      <c r="F2174" s="16">
        <v>0</v>
      </c>
      <c r="G2174" s="16">
        <v>3</v>
      </c>
      <c r="H2174" s="16">
        <f t="shared" si="33"/>
        <v>3</v>
      </c>
      <c r="I2174" s="13">
        <v>3</v>
      </c>
    </row>
    <row r="2175" spans="1:9">
      <c r="A2175" s="13" t="s">
        <v>381</v>
      </c>
      <c r="B2175" s="16" t="s">
        <v>58</v>
      </c>
      <c r="C2175" s="16" t="str">
        <f>VLOOKUP([1]Competence!$B73,[1]Competence!$B$12:$B$100,1,FALSE)</f>
        <v>Programming/software development</v>
      </c>
      <c r="D2175" s="13" t="str" cm="1">
        <f t="array" ref="D2175">_xlfn.XLOOKUP(B2175,[1]Baseline!$D$3:$AZ$3,_xlfn.XLOOKUP(C2175,[1]Baseline!$B$4:$B$91,[1]Baseline!$D$4:$AZ$91))</f>
        <v>No Knowledge</v>
      </c>
      <c r="E2175" s="16" t="s">
        <v>261</v>
      </c>
      <c r="F2175" s="16">
        <v>0</v>
      </c>
      <c r="G2175" s="16">
        <v>0</v>
      </c>
      <c r="H2175" s="16">
        <f t="shared" si="33"/>
        <v>0</v>
      </c>
      <c r="I2175" s="13">
        <v>0</v>
      </c>
    </row>
    <row r="2176" spans="1:9">
      <c r="A2176" s="13" t="s">
        <v>381</v>
      </c>
      <c r="B2176" s="16" t="s">
        <v>58</v>
      </c>
      <c r="C2176" s="16" t="str">
        <f>VLOOKUP([1]Competence!$B74,[1]Competence!$B$12:$B$100,1,FALSE)</f>
        <v>Real-time/embedded systems development</v>
      </c>
      <c r="D2176" s="13" t="str" cm="1">
        <f t="array" ref="D2176">_xlfn.XLOOKUP(B2176,[1]Baseline!$D$3:$AZ$3,_xlfn.XLOOKUP(C2176,[1]Baseline!$B$4:$B$91,[1]Baseline!$D$4:$AZ$91))</f>
        <v>No Knowledge</v>
      </c>
      <c r="E2176" s="16" t="s">
        <v>264</v>
      </c>
      <c r="F2176" s="16">
        <v>1</v>
      </c>
      <c r="G2176" s="16">
        <v>0</v>
      </c>
      <c r="H2176" s="16">
        <f t="shared" si="33"/>
        <v>-1</v>
      </c>
      <c r="I2176" s="13">
        <v>0</v>
      </c>
    </row>
    <row r="2177" spans="1:9">
      <c r="A2177" s="13" t="s">
        <v>381</v>
      </c>
      <c r="B2177" s="16" t="s">
        <v>58</v>
      </c>
      <c r="C2177" s="16" t="str">
        <f>VLOOKUP([1]Competence!$B75,[1]Competence!$B$12:$B$100,1,FALSE)</f>
        <v>Requirements definition and management</v>
      </c>
      <c r="D2177" s="13" t="str" cm="1">
        <f t="array" ref="D2177">_xlfn.XLOOKUP(B2177,[1]Baseline!$D$3:$AZ$3,_xlfn.XLOOKUP(C2177,[1]Baseline!$B$4:$B$91,[1]Baseline!$D$4:$AZ$91))</f>
        <v>No Knowledge</v>
      </c>
      <c r="E2177" s="16" t="s">
        <v>267</v>
      </c>
      <c r="F2177" s="16">
        <v>2</v>
      </c>
      <c r="G2177" s="16">
        <v>1</v>
      </c>
      <c r="H2177" s="16">
        <f t="shared" si="33"/>
        <v>-1</v>
      </c>
      <c r="I2177" s="13">
        <v>1</v>
      </c>
    </row>
    <row r="2178" spans="1:9">
      <c r="A2178" s="13" t="s">
        <v>381</v>
      </c>
      <c r="B2178" s="16" t="s">
        <v>58</v>
      </c>
      <c r="C2178" s="16" t="str">
        <f>VLOOKUP([1]Competence!$B76,[1]Competence!$B$12:$B$100,1,FALSE)</f>
        <v>Software configuration</v>
      </c>
      <c r="D2178" s="13" t="str" cm="1">
        <f t="array" ref="D2178">_xlfn.XLOOKUP(B2178,[1]Baseline!$D$3:$AZ$3,_xlfn.XLOOKUP(C2178,[1]Baseline!$B$4:$B$91,[1]Baseline!$D$4:$AZ$91))</f>
        <v>No Knowledge</v>
      </c>
      <c r="E2178" s="16" t="s">
        <v>270</v>
      </c>
      <c r="F2178" s="16">
        <v>1</v>
      </c>
      <c r="G2178" s="16">
        <v>0</v>
      </c>
      <c r="H2178" s="16">
        <f t="shared" ref="H2178:H2241" si="34">I2178-F2178</f>
        <v>-1</v>
      </c>
      <c r="I2178" s="13">
        <v>0</v>
      </c>
    </row>
    <row r="2179" spans="1:9">
      <c r="A2179" s="13" t="s">
        <v>381</v>
      </c>
      <c r="B2179" s="16" t="s">
        <v>58</v>
      </c>
      <c r="C2179" s="16" t="str">
        <f>VLOOKUP([1]Competence!$B77,[1]Competence!$B$12:$B$100,1,FALSE)</f>
        <v>Software design</v>
      </c>
      <c r="D2179" s="13" t="str" cm="1">
        <f t="array" ref="D2179">_xlfn.XLOOKUP(B2179,[1]Baseline!$D$3:$AZ$3,_xlfn.XLOOKUP(C2179,[1]Baseline!$B$4:$B$91,[1]Baseline!$D$4:$AZ$91))</f>
        <v>No Knowledge</v>
      </c>
      <c r="E2179" s="16" t="s">
        <v>50</v>
      </c>
      <c r="F2179" s="16">
        <v>1</v>
      </c>
      <c r="G2179" s="16">
        <v>0</v>
      </c>
      <c r="H2179" s="16">
        <f t="shared" si="34"/>
        <v>-1</v>
      </c>
      <c r="I2179" s="13">
        <v>0</v>
      </c>
    </row>
    <row r="2180" spans="1:9">
      <c r="A2180" s="13" t="s">
        <v>381</v>
      </c>
      <c r="B2180" s="16" t="s">
        <v>58</v>
      </c>
      <c r="C2180" s="16" t="str">
        <f>VLOOKUP([1]Competence!$B78,[1]Competence!$B$12:$B$100,1,FALSE)</f>
        <v>Solution architecture</v>
      </c>
      <c r="D2180" s="13" t="str" cm="1">
        <f t="array" ref="D2180">_xlfn.XLOOKUP(B2180,[1]Baseline!$D$3:$AZ$3,_xlfn.XLOOKUP(C2180,[1]Baseline!$B$4:$B$91,[1]Baseline!$D$4:$AZ$91))</f>
        <v>No Knowledge</v>
      </c>
      <c r="E2180" s="16" t="s">
        <v>320</v>
      </c>
      <c r="F2180" s="16">
        <v>0</v>
      </c>
      <c r="G2180" s="16">
        <v>0</v>
      </c>
      <c r="H2180" s="16">
        <f t="shared" si="34"/>
        <v>0</v>
      </c>
      <c r="I2180" s="13">
        <v>0</v>
      </c>
    </row>
    <row r="2181" spans="1:9">
      <c r="A2181" s="13" t="s">
        <v>381</v>
      </c>
      <c r="B2181" s="16" t="s">
        <v>58</v>
      </c>
      <c r="C2181" s="16" t="str">
        <f>VLOOKUP([1]Competence!$B79,[1]Competence!$B$12:$B$100,1,FALSE)</f>
        <v>System software</v>
      </c>
      <c r="D2181" s="13" t="str" cm="1">
        <f t="array" ref="D2181">_xlfn.XLOOKUP(B2181,[1]Baseline!$D$3:$AZ$3,_xlfn.XLOOKUP(C2181,[1]Baseline!$B$4:$B$91,[1]Baseline!$D$4:$AZ$91))</f>
        <v>No Knowledge</v>
      </c>
      <c r="E2181" s="16" t="s">
        <v>278</v>
      </c>
      <c r="F2181" s="16">
        <v>0</v>
      </c>
      <c r="G2181" s="16">
        <v>1</v>
      </c>
      <c r="H2181" s="16">
        <f t="shared" si="34"/>
        <v>1</v>
      </c>
      <c r="I2181" s="13">
        <v>1</v>
      </c>
    </row>
    <row r="2182" spans="1:9">
      <c r="A2182" s="13" t="s">
        <v>381</v>
      </c>
      <c r="B2182" s="16" t="s">
        <v>58</v>
      </c>
      <c r="C2182" s="16" t="str">
        <f>VLOOKUP([1]Competence!$B80,[1]Competence!$B$12:$B$100,1,FALSE)</f>
        <v>Systems and software life cycle engineering</v>
      </c>
      <c r="D2182" s="13" t="str" cm="1">
        <f t="array" ref="D2182">_xlfn.XLOOKUP(B2182,[1]Baseline!$D$3:$AZ$3,_xlfn.XLOOKUP(C2182,[1]Baseline!$B$4:$B$91,[1]Baseline!$D$4:$AZ$91))</f>
        <v>No Knowledge</v>
      </c>
      <c r="E2182" s="16" t="s">
        <v>275</v>
      </c>
      <c r="F2182" s="16">
        <v>0</v>
      </c>
      <c r="G2182" s="16">
        <v>0</v>
      </c>
      <c r="H2182" s="16">
        <f t="shared" si="34"/>
        <v>0</v>
      </c>
      <c r="I2182" s="13">
        <v>0</v>
      </c>
    </row>
    <row r="2183" spans="1:9">
      <c r="A2183" s="13" t="s">
        <v>381</v>
      </c>
      <c r="B2183" s="16" t="s">
        <v>58</v>
      </c>
      <c r="C2183" s="16" t="str">
        <f>VLOOKUP([1]Competence!$B81,[1]Competence!$B$12:$B$100,1,FALSE)</f>
        <v>Systems design</v>
      </c>
      <c r="D2183" s="13" t="str" cm="1">
        <f t="array" ref="D2183">_xlfn.XLOOKUP(B2183,[1]Baseline!$D$3:$AZ$3,_xlfn.XLOOKUP(C2183,[1]Baseline!$B$4:$B$91,[1]Baseline!$D$4:$AZ$91))</f>
        <v>No Knowledge</v>
      </c>
      <c r="E2183" s="16" t="s">
        <v>281</v>
      </c>
      <c r="F2183" s="16">
        <v>2</v>
      </c>
      <c r="G2183" s="16">
        <v>0</v>
      </c>
      <c r="H2183" s="16">
        <f t="shared" si="34"/>
        <v>-2</v>
      </c>
      <c r="I2183" s="13">
        <v>0</v>
      </c>
    </row>
    <row r="2184" spans="1:9">
      <c r="A2184" s="13" t="s">
        <v>381</v>
      </c>
      <c r="B2184" s="16" t="s">
        <v>58</v>
      </c>
      <c r="C2184" s="16" t="str">
        <f>VLOOKUP([1]Competence!$B82,[1]Competence!$B$12:$B$100,1,FALSE)</f>
        <v>Systems development management</v>
      </c>
      <c r="D2184" s="13" t="str" cm="1">
        <f t="array" ref="D2184">_xlfn.XLOOKUP(B2184,[1]Baseline!$D$3:$AZ$3,_xlfn.XLOOKUP(C2184,[1]Baseline!$B$4:$B$91,[1]Baseline!$D$4:$AZ$91))</f>
        <v>No Knowledge</v>
      </c>
      <c r="E2184" s="16" t="s">
        <v>284</v>
      </c>
      <c r="F2184" s="16">
        <v>0</v>
      </c>
      <c r="G2184" s="16">
        <v>0</v>
      </c>
      <c r="H2184" s="16">
        <f t="shared" si="34"/>
        <v>0</v>
      </c>
      <c r="I2184" s="13">
        <v>0</v>
      </c>
    </row>
    <row r="2185" spans="1:9">
      <c r="A2185" s="13" t="s">
        <v>381</v>
      </c>
      <c r="B2185" s="16" t="s">
        <v>58</v>
      </c>
      <c r="C2185" s="16" t="str">
        <f>VLOOKUP([1]Competence!$B83,[1]Competence!$B$12:$B$100,1,FALSE)</f>
        <v>Systems installation and removal</v>
      </c>
      <c r="D2185" s="13" t="str" cm="1">
        <f t="array" ref="D2185">_xlfn.XLOOKUP(B2185,[1]Baseline!$D$3:$AZ$3,_xlfn.XLOOKUP(C2185,[1]Baseline!$B$4:$B$91,[1]Baseline!$D$4:$AZ$91))</f>
        <v>Working</v>
      </c>
      <c r="E2185" s="16" t="s">
        <v>287</v>
      </c>
      <c r="F2185" s="16">
        <v>0</v>
      </c>
      <c r="G2185" s="16">
        <v>4</v>
      </c>
      <c r="H2185" s="16">
        <f t="shared" si="34"/>
        <v>4</v>
      </c>
      <c r="I2185" s="13">
        <v>4</v>
      </c>
    </row>
    <row r="2186" spans="1:9">
      <c r="A2186" s="13" t="s">
        <v>381</v>
      </c>
      <c r="B2186" s="16" t="s">
        <v>58</v>
      </c>
      <c r="C2186" s="16" t="str">
        <f>VLOOKUP([1]Competence!$B84,[1]Competence!$B$12:$B$100,1,FALSE)</f>
        <v>Testing</v>
      </c>
      <c r="D2186" s="13" t="str" cm="1">
        <f t="array" ref="D2186">_xlfn.XLOOKUP(B2186,[1]Baseline!$D$3:$AZ$3,_xlfn.XLOOKUP(C2186,[1]Baseline!$B$4:$B$91,[1]Baseline!$D$4:$AZ$91))</f>
        <v>Working</v>
      </c>
      <c r="E2186" s="16" t="s">
        <v>290</v>
      </c>
      <c r="F2186" s="16">
        <v>0</v>
      </c>
      <c r="G2186" s="16">
        <v>3</v>
      </c>
      <c r="H2186" s="16">
        <f t="shared" si="34"/>
        <v>3</v>
      </c>
      <c r="I2186" s="13">
        <v>3</v>
      </c>
    </row>
    <row r="2187" spans="1:9">
      <c r="A2187" s="13" t="s">
        <v>381</v>
      </c>
      <c r="B2187" s="16" t="s">
        <v>58</v>
      </c>
      <c r="C2187" s="16" t="str">
        <f>VLOOKUP([1]Competence!$B85,[1]Competence!$B$12:$B$100,1,FALSE)</f>
        <v>Innovation</v>
      </c>
      <c r="D2187" s="13" t="str" cm="1">
        <f t="array" ref="D2187">_xlfn.XLOOKUP(B2187,[1]Baseline!$D$3:$AZ$3,_xlfn.XLOOKUP(C2187,[1]Baseline!$B$4:$B$91,[1]Baseline!$D$4:$AZ$91))</f>
        <v>No Knowledge</v>
      </c>
      <c r="E2187" s="16" t="s">
        <v>51</v>
      </c>
      <c r="F2187" s="16">
        <v>1</v>
      </c>
      <c r="G2187" s="16">
        <v>0</v>
      </c>
      <c r="H2187" s="16">
        <f t="shared" si="34"/>
        <v>-1</v>
      </c>
      <c r="I2187" s="13">
        <v>0</v>
      </c>
    </row>
    <row r="2188" spans="1:9">
      <c r="A2188" s="13" t="s">
        <v>381</v>
      </c>
      <c r="B2188" s="16" t="s">
        <v>58</v>
      </c>
      <c r="C2188" s="16" t="str">
        <f>VLOOKUP([1]Competence!$B86,[1]Competence!$B$12:$B$100,1,FALSE)</f>
        <v>Specialist Advice</v>
      </c>
      <c r="D2188" s="13" t="str" cm="1">
        <f t="array" ref="D2188">_xlfn.XLOOKUP(B2188,[1]Baseline!$D$3:$AZ$3,_xlfn.XLOOKUP(C2188,[1]Baseline!$B$4:$B$91,[1]Baseline!$D$4:$AZ$91))</f>
        <v>No Knowledge</v>
      </c>
      <c r="E2188" s="16" t="s">
        <v>293</v>
      </c>
      <c r="F2188" s="16">
        <v>0</v>
      </c>
      <c r="G2188" s="16">
        <v>0</v>
      </c>
      <c r="H2188" s="16">
        <f t="shared" si="34"/>
        <v>0</v>
      </c>
      <c r="I2188" s="13">
        <v>0</v>
      </c>
    </row>
    <row r="2189" spans="1:9">
      <c r="A2189" s="13" t="s">
        <v>381</v>
      </c>
      <c r="B2189" s="16" t="s">
        <v>58</v>
      </c>
      <c r="C2189" s="16" t="str">
        <f>VLOOKUP([1]Competence!$B87,[1]Competence!$B$12:$B$100,1,FALSE)</f>
        <v>Emerging technology monitoring</v>
      </c>
      <c r="D2189" s="13" t="str" cm="1">
        <f t="array" ref="D2189">_xlfn.XLOOKUP(B2189,[1]Baseline!$D$3:$AZ$3,_xlfn.XLOOKUP(C2189,[1]Baseline!$B$4:$B$91,[1]Baseline!$D$4:$AZ$91))</f>
        <v>No Knowledge</v>
      </c>
      <c r="E2189" s="16" t="s">
        <v>296</v>
      </c>
      <c r="F2189" s="16">
        <v>0</v>
      </c>
      <c r="G2189" s="16">
        <v>0</v>
      </c>
      <c r="H2189" s="16">
        <f t="shared" si="34"/>
        <v>0</v>
      </c>
      <c r="I2189" s="13">
        <v>0</v>
      </c>
    </row>
    <row r="2190" spans="1:9">
      <c r="A2190" s="13" t="s">
        <v>381</v>
      </c>
      <c r="B2190" s="16" t="s">
        <v>58</v>
      </c>
      <c r="C2190" s="16" t="str">
        <f>VLOOKUP([1]Competence!$B88,[1]Competence!$B$12:$B$100,1,FALSE)</f>
        <v>Systems integration and build</v>
      </c>
      <c r="D2190" s="13" t="str" cm="1">
        <f t="array" ref="D2190">_xlfn.XLOOKUP(B2190,[1]Baseline!$D$3:$AZ$3,_xlfn.XLOOKUP(C2190,[1]Baseline!$B$4:$B$91,[1]Baseline!$D$4:$AZ$91))</f>
        <v>Working</v>
      </c>
      <c r="E2190" s="16" t="s">
        <v>299</v>
      </c>
      <c r="F2190" s="16">
        <v>0</v>
      </c>
      <c r="G2190" s="16">
        <v>3</v>
      </c>
      <c r="H2190" s="16">
        <f t="shared" si="34"/>
        <v>3</v>
      </c>
      <c r="I2190" s="13">
        <v>3</v>
      </c>
    </row>
    <row r="2191" spans="1:9">
      <c r="A2191" s="13" t="s">
        <v>381</v>
      </c>
      <c r="B2191" s="16" t="s">
        <v>58</v>
      </c>
      <c r="C2191" s="16" t="str">
        <f>VLOOKUP([1]Competence!$B89,[1]Competence!$B$12:$B$100,1,FALSE)</f>
        <v>Audio Visual</v>
      </c>
      <c r="D2191" s="13" t="str" cm="1">
        <f t="array" ref="D2191">_xlfn.XLOOKUP(B2191,[1]Baseline!$D$3:$AZ$3,_xlfn.XLOOKUP(C2191,[1]Baseline!$B$4:$B$91,[1]Baseline!$D$4:$AZ$91))</f>
        <v>Awareness</v>
      </c>
      <c r="E2191" s="16" t="s">
        <v>323</v>
      </c>
      <c r="F2191" s="16">
        <v>0</v>
      </c>
      <c r="G2191" s="16">
        <v>3</v>
      </c>
      <c r="H2191" s="16">
        <f t="shared" si="34"/>
        <v>3</v>
      </c>
      <c r="I2191" s="13">
        <v>3</v>
      </c>
    </row>
    <row r="2192" spans="1:9">
      <c r="A2192" s="13" t="s">
        <v>381</v>
      </c>
      <c r="B2192" s="16" t="s">
        <v>58</v>
      </c>
      <c r="C2192" s="16" t="str">
        <f>VLOOKUP([1]Competence!$B90,[1]Competence!$B$12:$B$100,1,FALSE)</f>
        <v>Augmented Reality</v>
      </c>
      <c r="D2192" s="13" t="str" cm="1">
        <f t="array" ref="D2192">_xlfn.XLOOKUP(B2192,[1]Baseline!$D$3:$AZ$3,_xlfn.XLOOKUP(C2192,[1]Baseline!$B$4:$B$91,[1]Baseline!$D$4:$AZ$91))</f>
        <v>No Knowledge</v>
      </c>
      <c r="E2192" s="16" t="s">
        <v>302</v>
      </c>
      <c r="F2192" s="16">
        <v>0</v>
      </c>
      <c r="G2192" s="16">
        <v>1</v>
      </c>
      <c r="H2192" s="16">
        <f t="shared" si="34"/>
        <v>1</v>
      </c>
      <c r="I2192" s="13">
        <v>1</v>
      </c>
    </row>
    <row r="2193" spans="1:9">
      <c r="A2193" s="13" t="s">
        <v>381</v>
      </c>
      <c r="B2193" s="16" t="s">
        <v>58</v>
      </c>
      <c r="C2193" s="16" t="str">
        <f>VLOOKUP([1]Competence!$B91,[1]Competence!$B$12:$B$100,1,FALSE)</f>
        <v>Benefits management</v>
      </c>
      <c r="D2193" s="13" t="str" cm="1">
        <f t="array" ref="D2193">_xlfn.XLOOKUP(B2193,[1]Baseline!$D$3:$AZ$3,_xlfn.XLOOKUP(C2193,[1]Baseline!$B$4:$B$91,[1]Baseline!$D$4:$AZ$91))</f>
        <v>No Knowledge</v>
      </c>
      <c r="E2193" s="16" t="s">
        <v>305</v>
      </c>
      <c r="F2193" s="16">
        <v>0</v>
      </c>
      <c r="G2193" s="16">
        <v>0</v>
      </c>
      <c r="H2193" s="16">
        <f t="shared" si="34"/>
        <v>0</v>
      </c>
      <c r="I2193" s="13">
        <v>0</v>
      </c>
    </row>
    <row r="2194" spans="1:9">
      <c r="A2194" s="13" t="s">
        <v>381</v>
      </c>
      <c r="B2194" s="16" t="s">
        <v>58</v>
      </c>
      <c r="C2194" s="16" t="str">
        <f>VLOOKUP([1]Competence!$B92,[1]Competence!$B$12:$B$100,1,FALSE)</f>
        <v>Business administration</v>
      </c>
      <c r="D2194" s="13" t="str" cm="1">
        <f t="array" ref="D2194">_xlfn.XLOOKUP(B2194,[1]Baseline!$D$3:$AZ$3,_xlfn.XLOOKUP(C2194,[1]Baseline!$B$4:$B$91,[1]Baseline!$D$4:$AZ$91))</f>
        <v>No Knowledge</v>
      </c>
      <c r="E2194" s="16" t="s">
        <v>308</v>
      </c>
      <c r="F2194" s="16">
        <v>0</v>
      </c>
      <c r="G2194" s="16">
        <v>0</v>
      </c>
      <c r="H2194" s="16">
        <f t="shared" si="34"/>
        <v>0</v>
      </c>
      <c r="I2194" s="13">
        <v>0</v>
      </c>
    </row>
    <row r="2195" spans="1:9">
      <c r="A2195" s="13" t="s">
        <v>381</v>
      </c>
      <c r="B2195" s="16" t="s">
        <v>58</v>
      </c>
      <c r="C2195" s="16" t="str">
        <f>VLOOKUP([1]Competence!$B93,[1]Competence!$B$12:$B$100,1,FALSE)</f>
        <v>Business intelligence</v>
      </c>
      <c r="D2195" s="13" t="str" cm="1">
        <f t="array" ref="D2195">_xlfn.XLOOKUP(B2195,[1]Baseline!$D$3:$AZ$3,_xlfn.XLOOKUP(C2195,[1]Baseline!$B$4:$B$91,[1]Baseline!$D$4:$AZ$91))</f>
        <v>No Knowledge</v>
      </c>
      <c r="E2195" s="16" t="s">
        <v>311</v>
      </c>
      <c r="F2195" s="16">
        <v>0</v>
      </c>
      <c r="G2195" s="16">
        <v>0</v>
      </c>
      <c r="H2195" s="16">
        <f t="shared" si="34"/>
        <v>0</v>
      </c>
      <c r="I2195" s="13">
        <v>0</v>
      </c>
    </row>
    <row r="2196" spans="1:9">
      <c r="A2196" s="13" t="s">
        <v>381</v>
      </c>
      <c r="B2196" s="16" t="s">
        <v>58</v>
      </c>
      <c r="C2196" s="16" t="str">
        <f>VLOOKUP([1]Competence!$B94,[1]Competence!$B$12:$B$100,1,FALSE)</f>
        <v>Business modelling</v>
      </c>
      <c r="D2196" s="13" t="str" cm="1">
        <f t="array" ref="D2196">_xlfn.XLOOKUP(B2196,[1]Baseline!$D$3:$AZ$3,_xlfn.XLOOKUP(C2196,[1]Baseline!$B$4:$B$91,[1]Baseline!$D$4:$AZ$91))</f>
        <v>No Knowledge</v>
      </c>
      <c r="E2196" s="16" t="s">
        <v>314</v>
      </c>
      <c r="F2196" s="16">
        <v>2</v>
      </c>
      <c r="G2196" s="16">
        <v>0</v>
      </c>
      <c r="H2196" s="16">
        <f t="shared" si="34"/>
        <v>-2</v>
      </c>
      <c r="I2196" s="13">
        <v>0</v>
      </c>
    </row>
    <row r="2197" spans="1:9">
      <c r="A2197" s="13" t="s">
        <v>381</v>
      </c>
      <c r="B2197" s="16" t="s">
        <v>58</v>
      </c>
      <c r="C2197" s="16" t="str">
        <f>VLOOKUP([1]Competence!$B95,[1]Competence!$B$12:$B$100,1,FALSE)</f>
        <v>Business process improvement</v>
      </c>
      <c r="D2197" s="13" t="str" cm="1">
        <f t="array" ref="D2197">_xlfn.XLOOKUP(B2197,[1]Baseline!$D$3:$AZ$3,_xlfn.XLOOKUP(C2197,[1]Baseline!$B$4:$B$91,[1]Baseline!$D$4:$AZ$91))</f>
        <v>No Knowledge</v>
      </c>
      <c r="E2197" s="16" t="s">
        <v>328</v>
      </c>
      <c r="F2197" s="16">
        <v>2</v>
      </c>
      <c r="G2197" s="16">
        <v>0</v>
      </c>
      <c r="H2197" s="16">
        <f t="shared" si="34"/>
        <v>-2</v>
      </c>
      <c r="I2197" s="13">
        <v>0</v>
      </c>
    </row>
    <row r="2198" spans="1:9">
      <c r="A2198" s="13" t="s">
        <v>381</v>
      </c>
      <c r="B2198" s="16" t="s">
        <v>58</v>
      </c>
      <c r="C2198" s="16" t="str">
        <f>VLOOKUP([1]Competence!$B96,[1]Competence!$B$12:$B$100,1,FALSE)</f>
        <v>Business situation analysis</v>
      </c>
      <c r="D2198" s="13" t="str" cm="1">
        <f t="array" ref="D2198">_xlfn.XLOOKUP(B2198,[1]Baseline!$D$3:$AZ$3,_xlfn.XLOOKUP(C2198,[1]Baseline!$B$4:$B$91,[1]Baseline!$D$4:$AZ$91))</f>
        <v>No Knowledge</v>
      </c>
      <c r="E2198" s="16" t="s">
        <v>317</v>
      </c>
      <c r="F2198" s="16">
        <v>2</v>
      </c>
      <c r="G2198" s="16">
        <v>0</v>
      </c>
      <c r="H2198" s="16">
        <f t="shared" si="34"/>
        <v>-2</v>
      </c>
      <c r="I2198" s="13">
        <v>0</v>
      </c>
    </row>
    <row r="2199" spans="1:9">
      <c r="A2199" s="13" t="s">
        <v>381</v>
      </c>
      <c r="B2199" s="16" t="s">
        <v>58</v>
      </c>
      <c r="C2199" s="16" t="str">
        <f>VLOOKUP([1]Competence!$B97,[1]Competence!$B$12:$B$100,1,FALSE)</f>
        <v>Programme management</v>
      </c>
      <c r="D2199" s="13" t="str" cm="1">
        <f t="array" ref="D2199">_xlfn.XLOOKUP(B2199,[1]Baseline!$D$3:$AZ$3,_xlfn.XLOOKUP(C2199,[1]Baseline!$B$4:$B$91,[1]Baseline!$D$4:$AZ$91))</f>
        <v>No Knowledge</v>
      </c>
      <c r="E2199" s="16" t="s">
        <v>352</v>
      </c>
      <c r="F2199" s="16">
        <v>0</v>
      </c>
      <c r="G2199" s="16">
        <v>0</v>
      </c>
      <c r="H2199" s="16">
        <f t="shared" si="34"/>
        <v>0</v>
      </c>
      <c r="I2199" s="13">
        <v>0</v>
      </c>
    </row>
    <row r="2200" spans="1:9">
      <c r="A2200" s="13" t="s">
        <v>381</v>
      </c>
      <c r="B2200" s="16" t="s">
        <v>58</v>
      </c>
      <c r="C2200" s="16" t="str">
        <f>VLOOKUP([1]Competence!$B98,[1]Competence!$B$12:$B$100,1,FALSE)</f>
        <v>Project management</v>
      </c>
      <c r="D2200" s="13" t="str" cm="1">
        <f t="array" ref="D2200">_xlfn.XLOOKUP(B2200,[1]Baseline!$D$3:$AZ$3,_xlfn.XLOOKUP(C2200,[1]Baseline!$B$4:$B$91,[1]Baseline!$D$4:$AZ$91))</f>
        <v>No Knowledge</v>
      </c>
      <c r="E2200" s="16" t="s">
        <v>355</v>
      </c>
      <c r="F2200" s="16">
        <v>0</v>
      </c>
      <c r="G2200" s="16">
        <v>3</v>
      </c>
      <c r="H2200" s="16">
        <f t="shared" si="34"/>
        <v>3</v>
      </c>
      <c r="I2200" s="13">
        <v>3</v>
      </c>
    </row>
    <row r="2201" spans="1:9">
      <c r="A2201" s="13" t="s">
        <v>381</v>
      </c>
      <c r="B2201" s="16" t="s">
        <v>58</v>
      </c>
      <c r="C2201" s="16" t="str">
        <f>VLOOKUP([1]Competence!$B99,[1]Competence!$B$12:$B$100,1,FALSE)</f>
        <v>Quality assurance</v>
      </c>
      <c r="D2201" s="13" t="str" cm="1">
        <f t="array" ref="D2201">_xlfn.XLOOKUP(B2201,[1]Baseline!$D$3:$AZ$3,_xlfn.XLOOKUP(C2201,[1]Baseline!$B$4:$B$91,[1]Baseline!$D$4:$AZ$91))</f>
        <v>Awareness</v>
      </c>
      <c r="E2201" s="16" t="s">
        <v>358</v>
      </c>
      <c r="F2201" s="16">
        <v>1</v>
      </c>
      <c r="G2201" s="16">
        <v>0</v>
      </c>
      <c r="H2201" s="16">
        <f t="shared" si="34"/>
        <v>-1</v>
      </c>
      <c r="I2201" s="13">
        <v>0</v>
      </c>
    </row>
    <row r="2202" spans="1:9">
      <c r="A2202" s="16" t="s">
        <v>3</v>
      </c>
      <c r="B2202" s="16" t="s">
        <v>58</v>
      </c>
      <c r="C2202" s="16" t="str">
        <f>VLOOKUP([1]Competence!$B12,[1]Competence!$B$12:$B$100,1,FALSE)</f>
        <v>Asset Management</v>
      </c>
      <c r="D2202" s="13" t="str" cm="1">
        <f t="array" ref="D2202">_xlfn.XLOOKUP(B2202,[1]Baseline!$D$3:$AZ$3,_xlfn.XLOOKUP(C2202,[1]Baseline!$B$4:$B$91,[1]Baseline!$D$4:$AZ$91))</f>
        <v>Working</v>
      </c>
      <c r="E2202" s="16" t="s">
        <v>334</v>
      </c>
      <c r="F2202" s="16">
        <v>0</v>
      </c>
      <c r="G2202" s="16">
        <v>99</v>
      </c>
      <c r="H2202" s="16">
        <f t="shared" si="34"/>
        <v>99</v>
      </c>
      <c r="I2202" s="13">
        <v>99</v>
      </c>
    </row>
    <row r="2203" spans="1:9">
      <c r="A2203" s="16" t="s">
        <v>3</v>
      </c>
      <c r="B2203" s="16" t="s">
        <v>58</v>
      </c>
      <c r="C2203" s="16" t="str">
        <f>VLOOKUP([1]Competence!$B13,[1]Competence!$B$12:$B$100,1,FALSE)</f>
        <v>Change Control</v>
      </c>
      <c r="D2203" s="13" t="str" cm="1">
        <f t="array" ref="D2203">_xlfn.XLOOKUP(B2203,[1]Baseline!$D$3:$AZ$3,_xlfn.XLOOKUP(C2203,[1]Baseline!$B$4:$B$91,[1]Baseline!$D$4:$AZ$91))</f>
        <v>Working</v>
      </c>
      <c r="E2203" s="16" t="s">
        <v>337</v>
      </c>
      <c r="F2203" s="16">
        <v>0</v>
      </c>
      <c r="G2203" s="16">
        <v>99</v>
      </c>
      <c r="H2203" s="16">
        <f t="shared" si="34"/>
        <v>99</v>
      </c>
      <c r="I2203" s="13">
        <v>99</v>
      </c>
    </row>
    <row r="2204" spans="1:9">
      <c r="A2204" s="16" t="s">
        <v>3</v>
      </c>
      <c r="B2204" s="16" t="s">
        <v>58</v>
      </c>
      <c r="C2204" s="16" t="str">
        <f>VLOOKUP([1]Competence!$B14,[1]Competence!$B$12:$B$100,1,FALSE)</f>
        <v>Customer Service Support</v>
      </c>
      <c r="D2204" s="13" t="str" cm="1">
        <f t="array" ref="D2204">_xlfn.XLOOKUP(B2204,[1]Baseline!$D$3:$AZ$3,_xlfn.XLOOKUP(C2204,[1]Baseline!$B$4:$B$91,[1]Baseline!$D$4:$AZ$91))</f>
        <v>Practitioner</v>
      </c>
      <c r="E2204" s="16" t="s">
        <v>340</v>
      </c>
      <c r="F2204" s="16">
        <v>0</v>
      </c>
      <c r="G2204" s="16">
        <v>99</v>
      </c>
      <c r="H2204" s="16">
        <f t="shared" si="34"/>
        <v>99</v>
      </c>
      <c r="I2204" s="13">
        <v>99</v>
      </c>
    </row>
    <row r="2205" spans="1:9">
      <c r="A2205" s="16" t="s">
        <v>3</v>
      </c>
      <c r="B2205" s="16" t="s">
        <v>58</v>
      </c>
      <c r="C2205" s="16" t="str">
        <f>VLOOKUP([1]Competence!$B15,[1]Competence!$B$12:$B$100,1,FALSE)</f>
        <v>Incident management</v>
      </c>
      <c r="D2205" s="13" t="str" cm="1">
        <f t="array" ref="D2205">_xlfn.XLOOKUP(B2205,[1]Baseline!$D$3:$AZ$3,_xlfn.XLOOKUP(C2205,[1]Baseline!$B$4:$B$91,[1]Baseline!$D$4:$AZ$91))</f>
        <v>Working</v>
      </c>
      <c r="E2205" s="16" t="s">
        <v>343</v>
      </c>
      <c r="F2205" s="16">
        <v>0</v>
      </c>
      <c r="G2205" s="16">
        <v>99</v>
      </c>
      <c r="H2205" s="16">
        <f t="shared" si="34"/>
        <v>99</v>
      </c>
      <c r="I2205" s="13">
        <v>99</v>
      </c>
    </row>
    <row r="2206" spans="1:9">
      <c r="A2206" s="16" t="s">
        <v>3</v>
      </c>
      <c r="B2206" s="16" t="s">
        <v>58</v>
      </c>
      <c r="C2206" s="16" t="str">
        <f>VLOOKUP([1]Competence!$B16,[1]Competence!$B$12:$B$100,1,FALSE)</f>
        <v>Information security</v>
      </c>
      <c r="D2206" s="13" t="str" cm="1">
        <f t="array" ref="D2206">_xlfn.XLOOKUP(B2206,[1]Baseline!$D$3:$AZ$3,_xlfn.XLOOKUP(C2206,[1]Baseline!$B$4:$B$91,[1]Baseline!$D$4:$AZ$91))</f>
        <v>Working</v>
      </c>
      <c r="E2206" s="16" t="s">
        <v>346</v>
      </c>
      <c r="F2206" s="16">
        <v>0</v>
      </c>
      <c r="G2206" s="16">
        <v>99</v>
      </c>
      <c r="H2206" s="16">
        <f t="shared" si="34"/>
        <v>99</v>
      </c>
      <c r="I2206" s="13">
        <v>99</v>
      </c>
    </row>
    <row r="2207" spans="1:9">
      <c r="A2207" s="16" t="s">
        <v>3</v>
      </c>
      <c r="B2207" s="16" t="s">
        <v>58</v>
      </c>
      <c r="C2207" s="16" t="str">
        <f>VLOOKUP([1]Competence!$B17,[1]Competence!$B$12:$B$100,1,FALSE)</f>
        <v>Personal data protection</v>
      </c>
      <c r="D2207" s="13" t="str" cm="1">
        <f t="array" ref="D2207">_xlfn.XLOOKUP(B2207,[1]Baseline!$D$3:$AZ$3,_xlfn.XLOOKUP(C2207,[1]Baseline!$B$4:$B$91,[1]Baseline!$D$4:$AZ$91))</f>
        <v>Practitioner</v>
      </c>
      <c r="E2207" s="16" t="s">
        <v>349</v>
      </c>
      <c r="F2207" s="16">
        <v>0</v>
      </c>
      <c r="G2207" s="16">
        <v>99</v>
      </c>
      <c r="H2207" s="16">
        <f t="shared" si="34"/>
        <v>99</v>
      </c>
      <c r="I2207" s="13">
        <v>99</v>
      </c>
    </row>
    <row r="2208" spans="1:9">
      <c r="A2208" s="16" t="s">
        <v>3</v>
      </c>
      <c r="B2208" s="16" t="s">
        <v>58</v>
      </c>
      <c r="C2208" s="16" t="str">
        <f>VLOOKUP([1]Competence!$B18,[1]Competence!$B$12:$B$100,1,FALSE)</f>
        <v>Problem management</v>
      </c>
      <c r="D2208" s="13" t="str" cm="1">
        <f t="array" ref="D2208">_xlfn.XLOOKUP(B2208,[1]Baseline!$D$3:$AZ$3,_xlfn.XLOOKUP(C2208,[1]Baseline!$B$4:$B$91,[1]Baseline!$D$4:$AZ$91))</f>
        <v>Working</v>
      </c>
      <c r="E2208" s="16" t="s">
        <v>106</v>
      </c>
      <c r="F2208" s="16">
        <v>2</v>
      </c>
      <c r="G2208" s="16">
        <v>99</v>
      </c>
      <c r="H2208" s="16">
        <f t="shared" si="34"/>
        <v>97</v>
      </c>
      <c r="I2208" s="13">
        <v>99</v>
      </c>
    </row>
    <row r="2209" spans="1:9">
      <c r="A2209" s="16" t="s">
        <v>3</v>
      </c>
      <c r="B2209" s="16" t="s">
        <v>58</v>
      </c>
      <c r="C2209" s="16" t="str">
        <f>VLOOKUP([1]Competence!$B19,[1]Competence!$B$12:$B$100,1,FALSE)</f>
        <v>Service catalogue management</v>
      </c>
      <c r="D2209" s="13" t="str" cm="1">
        <f t="array" ref="D2209">_xlfn.XLOOKUP(B2209,[1]Baseline!$D$3:$AZ$3,_xlfn.XLOOKUP(C2209,[1]Baseline!$B$4:$B$91,[1]Baseline!$D$4:$AZ$91))</f>
        <v>Working</v>
      </c>
      <c r="E2209" s="16" t="s">
        <v>109</v>
      </c>
      <c r="F2209" s="16">
        <v>2</v>
      </c>
      <c r="G2209" s="16">
        <v>99</v>
      </c>
      <c r="H2209" s="16">
        <f t="shared" si="34"/>
        <v>97</v>
      </c>
      <c r="I2209" s="13">
        <v>99</v>
      </c>
    </row>
    <row r="2210" spans="1:9">
      <c r="A2210" s="16" t="s">
        <v>3</v>
      </c>
      <c r="B2210" s="16" t="s">
        <v>58</v>
      </c>
      <c r="C2210" s="16" t="str">
        <f>VLOOKUP([1]Competence!$B20,[1]Competence!$B$12:$B$100,1,FALSE)</f>
        <v>Service level management</v>
      </c>
      <c r="D2210" s="13" t="str" cm="1">
        <f t="array" ref="D2210">_xlfn.XLOOKUP(B2210,[1]Baseline!$D$3:$AZ$3,_xlfn.XLOOKUP(C2210,[1]Baseline!$B$4:$B$91,[1]Baseline!$D$4:$AZ$91))</f>
        <v>Working</v>
      </c>
      <c r="E2210" s="16" t="s">
        <v>112</v>
      </c>
      <c r="F2210" s="16">
        <v>3</v>
      </c>
      <c r="G2210" s="16">
        <v>99</v>
      </c>
      <c r="H2210" s="16">
        <f t="shared" si="34"/>
        <v>96</v>
      </c>
      <c r="I2210" s="13">
        <v>99</v>
      </c>
    </row>
    <row r="2211" spans="1:9">
      <c r="A2211" s="16" t="s">
        <v>3</v>
      </c>
      <c r="B2211" s="16" t="s">
        <v>58</v>
      </c>
      <c r="C2211" s="16" t="str">
        <f>VLOOKUP([1]Competence!$B21,[1]Competence!$B$12:$B$100,1,FALSE)</f>
        <v>Availability Management</v>
      </c>
      <c r="D2211" s="13" t="str" cm="1">
        <f t="array" ref="D2211">_xlfn.XLOOKUP(B2211,[1]Baseline!$D$3:$AZ$3,_xlfn.XLOOKUP(C2211,[1]Baseline!$B$4:$B$91,[1]Baseline!$D$4:$AZ$91))</f>
        <v>Awareness</v>
      </c>
      <c r="E2211" s="16" t="s">
        <v>115</v>
      </c>
      <c r="F2211" s="16">
        <v>2</v>
      </c>
      <c r="G2211" s="16">
        <v>99</v>
      </c>
      <c r="H2211" s="16">
        <f t="shared" si="34"/>
        <v>97</v>
      </c>
      <c r="I2211" s="13">
        <v>99</v>
      </c>
    </row>
    <row r="2212" spans="1:9">
      <c r="A2212" s="16" t="s">
        <v>3</v>
      </c>
      <c r="B2212" s="16" t="s">
        <v>58</v>
      </c>
      <c r="C2212" s="16" t="str">
        <f>VLOOKUP([1]Competence!$B22,[1]Competence!$B$12:$B$100,1,FALSE)</f>
        <v>Capacity management</v>
      </c>
      <c r="D2212" s="13" t="str" cm="1">
        <f t="array" ref="D2212">_xlfn.XLOOKUP(B2212,[1]Baseline!$D$3:$AZ$3,_xlfn.XLOOKUP(C2212,[1]Baseline!$B$4:$B$91,[1]Baseline!$D$4:$AZ$91))</f>
        <v>No Knowledge</v>
      </c>
      <c r="E2212" s="16" t="s">
        <v>118</v>
      </c>
      <c r="F2212" s="16">
        <v>2</v>
      </c>
      <c r="G2212" s="16">
        <v>99</v>
      </c>
      <c r="H2212" s="16">
        <f t="shared" si="34"/>
        <v>97</v>
      </c>
      <c r="I2212" s="13">
        <v>99</v>
      </c>
    </row>
    <row r="2213" spans="1:9">
      <c r="A2213" s="16" t="s">
        <v>3</v>
      </c>
      <c r="B2213" s="16" t="s">
        <v>58</v>
      </c>
      <c r="C2213" s="16" t="str">
        <f>VLOOKUP([1]Competence!$B23,[1]Competence!$B$12:$B$100,1,FALSE)</f>
        <v>Configuration Management</v>
      </c>
      <c r="D2213" s="13" t="str" cm="1">
        <f t="array" ref="D2213">_xlfn.XLOOKUP(B2213,[1]Baseline!$D$3:$AZ$3,_xlfn.XLOOKUP(C2213,[1]Baseline!$B$4:$B$91,[1]Baseline!$D$4:$AZ$91))</f>
        <v>Awareness</v>
      </c>
      <c r="E2213" s="16" t="s">
        <v>121</v>
      </c>
      <c r="F2213" s="16">
        <v>3</v>
      </c>
      <c r="G2213" s="16">
        <v>99</v>
      </c>
      <c r="H2213" s="16">
        <f t="shared" si="34"/>
        <v>96</v>
      </c>
      <c r="I2213" s="13">
        <v>99</v>
      </c>
    </row>
    <row r="2214" spans="1:9">
      <c r="A2214" s="16" t="s">
        <v>3</v>
      </c>
      <c r="B2214" s="16" t="s">
        <v>58</v>
      </c>
      <c r="C2214" s="16" t="str">
        <f>VLOOKUP([1]Competence!$B24,[1]Competence!$B$12:$B$100,1,FALSE)</f>
        <v>Continuity Management</v>
      </c>
      <c r="D2214" s="13" t="str" cm="1">
        <f t="array" ref="D2214">_xlfn.XLOOKUP(B2214,[1]Baseline!$D$3:$AZ$3,_xlfn.XLOOKUP(C2214,[1]Baseline!$B$4:$B$91,[1]Baseline!$D$4:$AZ$91))</f>
        <v>Awareness</v>
      </c>
      <c r="E2214" s="16" t="s">
        <v>124</v>
      </c>
      <c r="F2214" s="16">
        <v>2</v>
      </c>
      <c r="G2214" s="16">
        <v>99</v>
      </c>
      <c r="H2214" s="16">
        <f t="shared" si="34"/>
        <v>97</v>
      </c>
      <c r="I2214" s="13">
        <v>99</v>
      </c>
    </row>
    <row r="2215" spans="1:9">
      <c r="A2215" s="16" t="s">
        <v>3</v>
      </c>
      <c r="B2215" s="16" t="s">
        <v>58</v>
      </c>
      <c r="C2215" s="16" t="str">
        <f>VLOOKUP([1]Competence!$B25,[1]Competence!$B$12:$B$100,1,FALSE)</f>
        <v>Demand Management</v>
      </c>
      <c r="D2215" s="13" t="str" cm="1">
        <f t="array" ref="D2215">_xlfn.XLOOKUP(B2215,[1]Baseline!$D$3:$AZ$3,_xlfn.XLOOKUP(C2215,[1]Baseline!$B$4:$B$91,[1]Baseline!$D$4:$AZ$91))</f>
        <v>Awareness</v>
      </c>
      <c r="E2215" s="16" t="s">
        <v>127</v>
      </c>
      <c r="F2215" s="16">
        <v>2</v>
      </c>
      <c r="G2215" s="16">
        <v>99</v>
      </c>
      <c r="H2215" s="16">
        <f t="shared" si="34"/>
        <v>97</v>
      </c>
      <c r="I2215" s="13">
        <v>99</v>
      </c>
    </row>
    <row r="2216" spans="1:9">
      <c r="A2216" s="16" t="s">
        <v>3</v>
      </c>
      <c r="B2216" s="16" t="s">
        <v>58</v>
      </c>
      <c r="C2216" s="16" t="str">
        <f>VLOOKUP([1]Competence!$B26,[1]Competence!$B$12:$B$100,1,FALSE)</f>
        <v>Knowledge management</v>
      </c>
      <c r="D2216" s="13" t="str" cm="1">
        <f t="array" ref="D2216">_xlfn.XLOOKUP(B2216,[1]Baseline!$D$3:$AZ$3,_xlfn.XLOOKUP(C2216,[1]Baseline!$B$4:$B$91,[1]Baseline!$D$4:$AZ$91))</f>
        <v>Working</v>
      </c>
      <c r="E2216" s="16" t="s">
        <v>130</v>
      </c>
      <c r="F2216" s="16">
        <v>2</v>
      </c>
      <c r="G2216" s="16">
        <v>99</v>
      </c>
      <c r="H2216" s="16">
        <f t="shared" si="34"/>
        <v>97</v>
      </c>
      <c r="I2216" s="13">
        <v>99</v>
      </c>
    </row>
    <row r="2217" spans="1:9">
      <c r="A2217" s="16" t="s">
        <v>3</v>
      </c>
      <c r="B2217" s="16" t="s">
        <v>58</v>
      </c>
      <c r="C2217" s="16" t="str">
        <f>VLOOKUP([1]Competence!$B27,[1]Competence!$B$12:$B$100,1,FALSE)</f>
        <v>Methods and tools</v>
      </c>
      <c r="D2217" s="13" t="str" cm="1">
        <f t="array" ref="D2217">_xlfn.XLOOKUP(B2217,[1]Baseline!$D$3:$AZ$3,_xlfn.XLOOKUP(C2217,[1]Baseline!$B$4:$B$91,[1]Baseline!$D$4:$AZ$91))</f>
        <v>Awareness</v>
      </c>
      <c r="E2217" s="16" t="s">
        <v>211</v>
      </c>
      <c r="F2217" s="16">
        <v>1</v>
      </c>
      <c r="G2217" s="16">
        <v>99</v>
      </c>
      <c r="H2217" s="16">
        <f t="shared" si="34"/>
        <v>98</v>
      </c>
      <c r="I2217" s="13">
        <v>99</v>
      </c>
    </row>
    <row r="2218" spans="1:9">
      <c r="A2218" s="16" t="s">
        <v>3</v>
      </c>
      <c r="B2218" s="16" t="s">
        <v>58</v>
      </c>
      <c r="C2218" s="16" t="str">
        <f>VLOOKUP([1]Competence!$B28,[1]Competence!$B$12:$B$100,1,FALSE)</f>
        <v>Release and deployment</v>
      </c>
      <c r="D2218" s="13" t="str" cm="1">
        <f t="array" ref="D2218">_xlfn.XLOOKUP(B2218,[1]Baseline!$D$3:$AZ$3,_xlfn.XLOOKUP(C2218,[1]Baseline!$B$4:$B$91,[1]Baseline!$D$4:$AZ$91))</f>
        <v>No Knowledge</v>
      </c>
      <c r="E2218" s="16" t="s">
        <v>214</v>
      </c>
      <c r="F2218" s="16">
        <v>0</v>
      </c>
      <c r="G2218" s="16">
        <v>99</v>
      </c>
      <c r="H2218" s="16">
        <f t="shared" si="34"/>
        <v>99</v>
      </c>
      <c r="I2218" s="13">
        <v>99</v>
      </c>
    </row>
    <row r="2219" spans="1:9">
      <c r="A2219" s="16" t="s">
        <v>3</v>
      </c>
      <c r="B2219" s="16" t="s">
        <v>58</v>
      </c>
      <c r="C2219" s="16" t="str">
        <f>VLOOKUP([1]Competence!$B29,[1]Competence!$B$12:$B$100,1,FALSE)</f>
        <v>Service acceptance</v>
      </c>
      <c r="D2219" s="13" t="str" cm="1">
        <f t="array" ref="D2219">_xlfn.XLOOKUP(B2219,[1]Baseline!$D$3:$AZ$3,_xlfn.XLOOKUP(C2219,[1]Baseline!$B$4:$B$91,[1]Baseline!$D$4:$AZ$91))</f>
        <v>No Knowledge</v>
      </c>
      <c r="E2219" s="16" t="s">
        <v>217</v>
      </c>
      <c r="F2219" s="16">
        <v>0</v>
      </c>
      <c r="G2219" s="16">
        <v>99</v>
      </c>
      <c r="H2219" s="16">
        <f t="shared" si="34"/>
        <v>99</v>
      </c>
      <c r="I2219" s="13">
        <v>99</v>
      </c>
    </row>
    <row r="2220" spans="1:9">
      <c r="A2220" s="16" t="s">
        <v>3</v>
      </c>
      <c r="B2220" s="16" t="s">
        <v>58</v>
      </c>
      <c r="C2220" s="16" t="str">
        <f>VLOOKUP([1]Competence!$B30,[1]Competence!$B$12:$B$100,1,FALSE)</f>
        <v>Stakeholder relationship management</v>
      </c>
      <c r="D2220" s="13" t="str" cm="1">
        <f t="array" ref="D2220">_xlfn.XLOOKUP(B2220,[1]Baseline!$D$3:$AZ$3,_xlfn.XLOOKUP(C2220,[1]Baseline!$B$4:$B$91,[1]Baseline!$D$4:$AZ$91))</f>
        <v>Working</v>
      </c>
      <c r="E2220" s="16" t="s">
        <v>49</v>
      </c>
      <c r="F2220" s="16">
        <v>1</v>
      </c>
      <c r="G2220" s="16">
        <v>99</v>
      </c>
      <c r="H2220" s="16">
        <f t="shared" si="34"/>
        <v>98</v>
      </c>
      <c r="I2220" s="13">
        <v>99</v>
      </c>
    </row>
    <row r="2221" spans="1:9">
      <c r="A2221" s="16" t="s">
        <v>3</v>
      </c>
      <c r="B2221" s="16" t="s">
        <v>58</v>
      </c>
      <c r="C2221" s="16" t="str">
        <f>VLOOKUP([1]Competence!$B31,[1]Competence!$B$12:$B$100,1,FALSE)</f>
        <v>Storage management</v>
      </c>
      <c r="D2221" s="13" t="str" cm="1">
        <f t="array" ref="D2221">_xlfn.XLOOKUP(B2221,[1]Baseline!$D$3:$AZ$3,_xlfn.XLOOKUP(C2221,[1]Baseline!$B$4:$B$91,[1]Baseline!$D$4:$AZ$91))</f>
        <v>Working</v>
      </c>
      <c r="E2221" s="16" t="s">
        <v>222</v>
      </c>
      <c r="F2221" s="16">
        <v>0</v>
      </c>
      <c r="G2221" s="16">
        <v>99</v>
      </c>
      <c r="H2221" s="16">
        <f t="shared" si="34"/>
        <v>99</v>
      </c>
      <c r="I2221" s="13">
        <v>99</v>
      </c>
    </row>
    <row r="2222" spans="1:9">
      <c r="A2222" s="16" t="s">
        <v>3</v>
      </c>
      <c r="B2222" s="16" t="s">
        <v>58</v>
      </c>
      <c r="C2222" s="16" t="str">
        <f>VLOOKUP([1]Competence!$B32,[1]Competence!$B$12:$B$100,1,FALSE)</f>
        <v>Digital Forensics</v>
      </c>
      <c r="D2222" s="13" t="str" cm="1">
        <f t="array" ref="D2222">_xlfn.XLOOKUP(B2222,[1]Baseline!$D$3:$AZ$3,_xlfn.XLOOKUP(C2222,[1]Baseline!$B$4:$B$91,[1]Baseline!$D$4:$AZ$91))</f>
        <v>No Knowledge</v>
      </c>
      <c r="E2222" s="16" t="s">
        <v>225</v>
      </c>
      <c r="F2222" s="16">
        <v>1</v>
      </c>
      <c r="G2222" s="16">
        <v>99</v>
      </c>
      <c r="H2222" s="16">
        <f t="shared" si="34"/>
        <v>98</v>
      </c>
      <c r="I2222" s="13">
        <v>99</v>
      </c>
    </row>
    <row r="2223" spans="1:9">
      <c r="A2223" s="16" t="s">
        <v>3</v>
      </c>
      <c r="B2223" s="16" t="s">
        <v>58</v>
      </c>
      <c r="C2223" s="16" t="str">
        <f>VLOOKUP([1]Competence!$B33,[1]Competence!$B$12:$B$100,1,FALSE)</f>
        <v>Penetration testing</v>
      </c>
      <c r="D2223" s="13" t="str" cm="1">
        <f t="array" ref="D2223">_xlfn.XLOOKUP(B2223,[1]Baseline!$D$3:$AZ$3,_xlfn.XLOOKUP(C2223,[1]Baseline!$B$4:$B$91,[1]Baseline!$D$4:$AZ$91))</f>
        <v>No Knowledge</v>
      </c>
      <c r="E2223" s="16" t="s">
        <v>228</v>
      </c>
      <c r="F2223" s="16">
        <v>1</v>
      </c>
      <c r="G2223" s="16">
        <v>99</v>
      </c>
      <c r="H2223" s="16">
        <f t="shared" si="34"/>
        <v>98</v>
      </c>
      <c r="I2223" s="13">
        <v>99</v>
      </c>
    </row>
    <row r="2224" spans="1:9">
      <c r="A2224" s="16" t="s">
        <v>3</v>
      </c>
      <c r="B2224" s="16" t="s">
        <v>58</v>
      </c>
      <c r="C2224" s="16" t="str">
        <f>VLOOKUP([1]Competence!$B34,[1]Competence!$B$12:$B$100,1,FALSE)</f>
        <v>Security Operations</v>
      </c>
      <c r="D2224" s="13" t="str" cm="1">
        <f t="array" ref="D2224">_xlfn.XLOOKUP(B2224,[1]Baseline!$D$3:$AZ$3,_xlfn.XLOOKUP(C2224,[1]Baseline!$B$4:$B$91,[1]Baseline!$D$4:$AZ$91))</f>
        <v>Working</v>
      </c>
      <c r="E2224" s="16" t="s">
        <v>231</v>
      </c>
      <c r="F2224" s="16">
        <v>1</v>
      </c>
      <c r="G2224" s="16">
        <v>99</v>
      </c>
      <c r="H2224" s="16">
        <f t="shared" si="34"/>
        <v>98</v>
      </c>
      <c r="I2224" s="13">
        <v>99</v>
      </c>
    </row>
    <row r="2225" spans="1:9">
      <c r="A2225" s="16" t="s">
        <v>3</v>
      </c>
      <c r="B2225" s="16" t="s">
        <v>58</v>
      </c>
      <c r="C2225" s="16" t="str">
        <f>VLOOKUP([1]Competence!$B35,[1]Competence!$B$12:$B$100,1,FALSE)</f>
        <v>Threat Intelligence</v>
      </c>
      <c r="D2225" s="13" t="str" cm="1">
        <f t="array" ref="D2225">_xlfn.XLOOKUP(B2225,[1]Baseline!$D$3:$AZ$3,_xlfn.XLOOKUP(C2225,[1]Baseline!$B$4:$B$91,[1]Baseline!$D$4:$AZ$91))</f>
        <v>No Knowledge</v>
      </c>
      <c r="E2225" s="16" t="s">
        <v>185</v>
      </c>
      <c r="F2225" s="16">
        <v>1</v>
      </c>
      <c r="G2225" s="16">
        <v>99</v>
      </c>
      <c r="H2225" s="16">
        <f t="shared" si="34"/>
        <v>98</v>
      </c>
      <c r="I2225" s="13">
        <v>99</v>
      </c>
    </row>
    <row r="2226" spans="1:9">
      <c r="A2226" s="16" t="s">
        <v>3</v>
      </c>
      <c r="B2226" s="16" t="s">
        <v>58</v>
      </c>
      <c r="C2226" s="16" t="str">
        <f>VLOOKUP([1]Competence!$B36,[1]Competence!$B$12:$B$100,1,FALSE)</f>
        <v>Vulnerability assessment</v>
      </c>
      <c r="D2226" s="13" t="str" cm="1">
        <f t="array" ref="D2226">_xlfn.XLOOKUP(B2226,[1]Baseline!$D$3:$AZ$3,_xlfn.XLOOKUP(C2226,[1]Baseline!$B$4:$B$91,[1]Baseline!$D$4:$AZ$91))</f>
        <v>Working</v>
      </c>
      <c r="E2226" s="16" t="s">
        <v>188</v>
      </c>
      <c r="F2226" s="16">
        <v>1</v>
      </c>
      <c r="G2226" s="16">
        <v>99</v>
      </c>
      <c r="H2226" s="16">
        <f t="shared" si="34"/>
        <v>98</v>
      </c>
      <c r="I2226" s="13">
        <v>99</v>
      </c>
    </row>
    <row r="2227" spans="1:9">
      <c r="A2227" s="16" t="s">
        <v>3</v>
      </c>
      <c r="B2227" s="16" t="s">
        <v>58</v>
      </c>
      <c r="C2227" s="16" t="str">
        <f>VLOOKUP([1]Competence!$B37,[1]Competence!$B$12:$B$100,1,FALSE)</f>
        <v>Vulnerability Research</v>
      </c>
      <c r="D2227" s="13" t="str" cm="1">
        <f t="array" ref="D2227">_xlfn.XLOOKUP(B2227,[1]Baseline!$D$3:$AZ$3,_xlfn.XLOOKUP(C2227,[1]Baseline!$B$4:$B$91,[1]Baseline!$D$4:$AZ$91))</f>
        <v>No Knowledge</v>
      </c>
      <c r="E2227" s="16" t="s">
        <v>191</v>
      </c>
      <c r="F2227" s="16">
        <v>0</v>
      </c>
      <c r="G2227" s="16">
        <v>99</v>
      </c>
      <c r="H2227" s="16">
        <f t="shared" si="34"/>
        <v>99</v>
      </c>
      <c r="I2227" s="13">
        <v>99</v>
      </c>
    </row>
    <row r="2228" spans="1:9">
      <c r="A2228" s="16" t="s">
        <v>3</v>
      </c>
      <c r="B2228" s="16" t="s">
        <v>58</v>
      </c>
      <c r="C2228" s="16" t="str">
        <f>VLOOKUP([1]Competence!$B38,[1]Competence!$B$12:$B$100,1,FALSE)</f>
        <v>Competency assessment</v>
      </c>
      <c r="D2228" s="13" t="str" cm="1">
        <f t="array" ref="D2228">_xlfn.XLOOKUP(B2228,[1]Baseline!$D$3:$AZ$3,_xlfn.XLOOKUP(C2228,[1]Baseline!$B$4:$B$91,[1]Baseline!$D$4:$AZ$91))</f>
        <v>Awareness</v>
      </c>
      <c r="E2228" s="16" t="s">
        <v>194</v>
      </c>
      <c r="F2228" s="16">
        <v>0</v>
      </c>
      <c r="G2228" s="16">
        <v>99</v>
      </c>
      <c r="H2228" s="16">
        <f t="shared" si="34"/>
        <v>99</v>
      </c>
      <c r="I2228" s="13">
        <v>99</v>
      </c>
    </row>
    <row r="2229" spans="1:9">
      <c r="A2229" s="16" t="s">
        <v>3</v>
      </c>
      <c r="B2229" s="16" t="s">
        <v>58</v>
      </c>
      <c r="C2229" s="16" t="str">
        <f>VLOOKUP([1]Competence!$B39,[1]Competence!$B$12:$B$100,1,FALSE)</f>
        <v>Financial management</v>
      </c>
      <c r="D2229" s="13" t="str" cm="1">
        <f t="array" ref="D2229">_xlfn.XLOOKUP(B2229,[1]Baseline!$D$3:$AZ$3,_xlfn.XLOOKUP(C2229,[1]Baseline!$B$4:$B$91,[1]Baseline!$D$4:$AZ$91))</f>
        <v>Awareness</v>
      </c>
      <c r="E2229" s="16" t="s">
        <v>197</v>
      </c>
      <c r="F2229" s="16">
        <v>0</v>
      </c>
      <c r="G2229" s="16">
        <v>99</v>
      </c>
      <c r="H2229" s="16">
        <f t="shared" si="34"/>
        <v>99</v>
      </c>
      <c r="I2229" s="13">
        <v>99</v>
      </c>
    </row>
    <row r="2230" spans="1:9">
      <c r="A2230" s="16" t="s">
        <v>3</v>
      </c>
      <c r="B2230" s="16" t="s">
        <v>58</v>
      </c>
      <c r="C2230" s="16" t="str">
        <f>VLOOKUP([1]Competence!$B40,[1]Competence!$B$12:$B$100,1,FALSE)</f>
        <v>Organisation design and implementation</v>
      </c>
      <c r="D2230" s="13" t="str" cm="1">
        <f t="array" ref="D2230">_xlfn.XLOOKUP(B2230,[1]Baseline!$D$3:$AZ$3,_xlfn.XLOOKUP(C2230,[1]Baseline!$B$4:$B$91,[1]Baseline!$D$4:$AZ$91))</f>
        <v>No Knowledge</v>
      </c>
      <c r="E2230" s="16" t="s">
        <v>200</v>
      </c>
      <c r="F2230" s="16">
        <v>0</v>
      </c>
      <c r="G2230" s="16">
        <v>99</v>
      </c>
      <c r="H2230" s="16">
        <f t="shared" si="34"/>
        <v>99</v>
      </c>
      <c r="I2230" s="13">
        <v>99</v>
      </c>
    </row>
    <row r="2231" spans="1:9">
      <c r="A2231" s="16" t="s">
        <v>3</v>
      </c>
      <c r="B2231" s="16" t="s">
        <v>58</v>
      </c>
      <c r="C2231" s="16" t="str">
        <f>VLOOKUP([1]Competence!$B41,[1]Competence!$B$12:$B$100,1,FALSE)</f>
        <v>Organisational capability development</v>
      </c>
      <c r="D2231" s="13" t="str" cm="1">
        <f t="array" ref="D2231">_xlfn.XLOOKUP(B2231,[1]Baseline!$D$3:$AZ$3,_xlfn.XLOOKUP(C2231,[1]Baseline!$B$4:$B$91,[1]Baseline!$D$4:$AZ$91))</f>
        <v>No Knowledge</v>
      </c>
      <c r="E2231" s="16" t="s">
        <v>203</v>
      </c>
      <c r="F2231" s="16">
        <v>1</v>
      </c>
      <c r="G2231" s="16">
        <v>99</v>
      </c>
      <c r="H2231" s="16">
        <f t="shared" si="34"/>
        <v>98</v>
      </c>
      <c r="I2231" s="13">
        <v>99</v>
      </c>
    </row>
    <row r="2232" spans="1:9">
      <c r="A2232" s="16" t="s">
        <v>3</v>
      </c>
      <c r="B2232" s="16" t="s">
        <v>58</v>
      </c>
      <c r="C2232" s="16" t="str">
        <f>VLOOKUP([1]Competence!$B42,[1]Competence!$B$12:$B$100,1,FALSE)</f>
        <v>Organisational change management</v>
      </c>
      <c r="D2232" s="13" t="str" cm="1">
        <f t="array" ref="D2232">_xlfn.XLOOKUP(B2232,[1]Baseline!$D$3:$AZ$3,_xlfn.XLOOKUP(C2232,[1]Baseline!$B$4:$B$91,[1]Baseline!$D$4:$AZ$91))</f>
        <v>No Knowledge</v>
      </c>
      <c r="E2232" s="16" t="s">
        <v>206</v>
      </c>
      <c r="F2232" s="16">
        <v>0</v>
      </c>
      <c r="G2232" s="16">
        <v>99</v>
      </c>
      <c r="H2232" s="16">
        <f t="shared" si="34"/>
        <v>99</v>
      </c>
      <c r="I2232" s="13">
        <v>99</v>
      </c>
    </row>
    <row r="2233" spans="1:9">
      <c r="A2233" s="16" t="s">
        <v>3</v>
      </c>
      <c r="B2233" s="16" t="s">
        <v>58</v>
      </c>
      <c r="C2233" s="16" t="str">
        <f>VLOOKUP([1]Competence!$B43,[1]Competence!$B$12:$B$100,1,FALSE)</f>
        <v>Performance Management</v>
      </c>
      <c r="D2233" s="13" t="str" cm="1">
        <f t="array" ref="D2233">_xlfn.XLOOKUP(B2233,[1]Baseline!$D$3:$AZ$3,_xlfn.XLOOKUP(C2233,[1]Baseline!$B$4:$B$91,[1]Baseline!$D$4:$AZ$91))</f>
        <v>No Knowledge</v>
      </c>
      <c r="E2233" s="16" t="s">
        <v>208</v>
      </c>
      <c r="F2233" s="16">
        <v>0</v>
      </c>
      <c r="G2233" s="16">
        <v>99</v>
      </c>
      <c r="H2233" s="16">
        <f t="shared" si="34"/>
        <v>99</v>
      </c>
      <c r="I2233" s="13">
        <v>99</v>
      </c>
    </row>
    <row r="2234" spans="1:9">
      <c r="A2234" s="16" t="s">
        <v>3</v>
      </c>
      <c r="B2234" s="16" t="s">
        <v>58</v>
      </c>
      <c r="C2234" s="16" t="str">
        <f>VLOOKUP([1]Competence!$B44,[1]Competence!$B$12:$B$100,1,FALSE)</f>
        <v>Professional Development</v>
      </c>
      <c r="D2234" s="13" t="str" cm="1">
        <f t="array" ref="D2234">_xlfn.XLOOKUP(B2234,[1]Baseline!$D$3:$AZ$3,_xlfn.XLOOKUP(C2234,[1]Baseline!$B$4:$B$91,[1]Baseline!$D$4:$AZ$91))</f>
        <v>Awareness</v>
      </c>
      <c r="E2234" s="16" t="s">
        <v>167</v>
      </c>
      <c r="F2234" s="16">
        <v>0</v>
      </c>
      <c r="G2234" s="16">
        <v>99</v>
      </c>
      <c r="H2234" s="16">
        <f t="shared" si="34"/>
        <v>99</v>
      </c>
      <c r="I2234" s="13">
        <v>99</v>
      </c>
    </row>
    <row r="2235" spans="1:9">
      <c r="A2235" s="16" t="s">
        <v>3</v>
      </c>
      <c r="B2235" s="16" t="s">
        <v>58</v>
      </c>
      <c r="C2235" s="16" t="str">
        <f>VLOOKUP([1]Competence!$B45,[1]Competence!$B$12:$B$100,1,FALSE)</f>
        <v>Strategic Planning</v>
      </c>
      <c r="D2235" s="13" t="str" cm="1">
        <f t="array" ref="D2235">_xlfn.XLOOKUP(B2235,[1]Baseline!$D$3:$AZ$3,_xlfn.XLOOKUP(C2235,[1]Baseline!$B$4:$B$91,[1]Baseline!$D$4:$AZ$91))</f>
        <v>No Knowledge</v>
      </c>
      <c r="E2235" s="16" t="s">
        <v>170</v>
      </c>
      <c r="F2235" s="16">
        <v>0</v>
      </c>
      <c r="G2235" s="16">
        <v>99</v>
      </c>
      <c r="H2235" s="16">
        <f t="shared" si="34"/>
        <v>99</v>
      </c>
      <c r="I2235" s="13">
        <v>99</v>
      </c>
    </row>
    <row r="2236" spans="1:9">
      <c r="A2236" s="16" t="s">
        <v>3</v>
      </c>
      <c r="B2236" s="16" t="s">
        <v>58</v>
      </c>
      <c r="C2236" s="16" t="str">
        <f>VLOOKUP([1]Competence!$B46,[1]Competence!$B$12:$B$100,1,FALSE)</f>
        <v>Workforce Planning</v>
      </c>
      <c r="D2236" s="13" t="str" cm="1">
        <f t="array" ref="D2236">_xlfn.XLOOKUP(B2236,[1]Baseline!$D$3:$AZ$3,_xlfn.XLOOKUP(C2236,[1]Baseline!$B$4:$B$91,[1]Baseline!$D$4:$AZ$91))</f>
        <v>No Knowledge</v>
      </c>
      <c r="E2236" s="16" t="s">
        <v>173</v>
      </c>
      <c r="F2236" s="16">
        <v>2</v>
      </c>
      <c r="G2236" s="16">
        <v>99</v>
      </c>
      <c r="H2236" s="16">
        <f t="shared" si="34"/>
        <v>97</v>
      </c>
      <c r="I2236" s="13">
        <v>99</v>
      </c>
    </row>
    <row r="2237" spans="1:9">
      <c r="A2237" s="16" t="s">
        <v>3</v>
      </c>
      <c r="B2237" s="16" t="s">
        <v>58</v>
      </c>
      <c r="C2237" s="16" t="str">
        <f>VLOOKUP([1]Competence!$B47,[1]Competence!$B$12:$B$100,1,FALSE)</f>
        <v>Audit</v>
      </c>
      <c r="D2237" s="13" t="str" cm="1">
        <f t="array" ref="D2237">_xlfn.XLOOKUP(B2237,[1]Baseline!$D$3:$AZ$3,_xlfn.XLOOKUP(C2237,[1]Baseline!$B$4:$B$91,[1]Baseline!$D$4:$AZ$91))</f>
        <v>Awareness</v>
      </c>
      <c r="E2237" s="16" t="s">
        <v>176</v>
      </c>
      <c r="F2237" s="16">
        <v>0</v>
      </c>
      <c r="G2237" s="16">
        <v>99</v>
      </c>
      <c r="H2237" s="16">
        <f t="shared" si="34"/>
        <v>99</v>
      </c>
      <c r="I2237" s="13">
        <v>99</v>
      </c>
    </row>
    <row r="2238" spans="1:9">
      <c r="A2238" s="16" t="s">
        <v>3</v>
      </c>
      <c r="B2238" s="16" t="s">
        <v>58</v>
      </c>
      <c r="C2238" s="16" t="str">
        <f>VLOOKUP([1]Competence!$B48,[1]Competence!$B$12:$B$100,1,FALSE)</f>
        <v>Contract management</v>
      </c>
      <c r="D2238" s="13" t="str" cm="1">
        <f t="array" ref="D2238">_xlfn.XLOOKUP(B2238,[1]Baseline!$D$3:$AZ$3,_xlfn.XLOOKUP(C2238,[1]Baseline!$B$4:$B$91,[1]Baseline!$D$4:$AZ$91))</f>
        <v>No Knowledge</v>
      </c>
      <c r="E2238" s="16" t="s">
        <v>179</v>
      </c>
      <c r="F2238" s="16">
        <v>2</v>
      </c>
      <c r="G2238" s="16">
        <v>99</v>
      </c>
      <c r="H2238" s="16">
        <f t="shared" si="34"/>
        <v>97</v>
      </c>
      <c r="I2238" s="13">
        <v>99</v>
      </c>
    </row>
    <row r="2239" spans="1:9">
      <c r="A2239" s="16" t="s">
        <v>3</v>
      </c>
      <c r="B2239" s="16" t="s">
        <v>58</v>
      </c>
      <c r="C2239" s="16" t="str">
        <f>VLOOKUP([1]Competence!$B49,[1]Competence!$B$12:$B$100,1,FALSE)</f>
        <v>Feasibility assessment</v>
      </c>
      <c r="D2239" s="13" t="str" cm="1">
        <f t="array" ref="D2239">_xlfn.XLOOKUP(B2239,[1]Baseline!$D$3:$AZ$3,_xlfn.XLOOKUP(C2239,[1]Baseline!$B$4:$B$91,[1]Baseline!$D$4:$AZ$91))</f>
        <v>No Knowledge</v>
      </c>
      <c r="E2239" s="16" t="s">
        <v>182</v>
      </c>
      <c r="F2239" s="16">
        <v>0</v>
      </c>
      <c r="G2239" s="16">
        <v>99</v>
      </c>
      <c r="H2239" s="16">
        <f t="shared" si="34"/>
        <v>99</v>
      </c>
      <c r="I2239" s="13">
        <v>99</v>
      </c>
    </row>
    <row r="2240" spans="1:9">
      <c r="A2240" s="16" t="s">
        <v>3</v>
      </c>
      <c r="B2240" s="16" t="s">
        <v>58</v>
      </c>
      <c r="C2240" s="16" t="str">
        <f>VLOOKUP([1]Competence!$B50,[1]Competence!$B$12:$B$100,1,FALSE)</f>
        <v>Governance</v>
      </c>
      <c r="D2240" s="13" t="str" cm="1">
        <f t="array" ref="D2240">_xlfn.XLOOKUP(B2240,[1]Baseline!$D$3:$AZ$3,_xlfn.XLOOKUP(C2240,[1]Baseline!$B$4:$B$91,[1]Baseline!$D$4:$AZ$91))</f>
        <v>Awareness</v>
      </c>
      <c r="E2240" s="16" t="s">
        <v>133</v>
      </c>
      <c r="F2240" s="16">
        <v>1</v>
      </c>
      <c r="G2240" s="16">
        <v>99</v>
      </c>
      <c r="H2240" s="16">
        <f t="shared" si="34"/>
        <v>98</v>
      </c>
      <c r="I2240" s="13">
        <v>99</v>
      </c>
    </row>
    <row r="2241" spans="1:9">
      <c r="A2241" s="16" t="s">
        <v>3</v>
      </c>
      <c r="B2241" s="16" t="s">
        <v>58</v>
      </c>
      <c r="C2241" s="16" t="str">
        <f>VLOOKUP([1]Competence!$B51,[1]Competence!$B$12:$B$100,1,FALSE)</f>
        <v>Risk management</v>
      </c>
      <c r="D2241" s="13" t="str" cm="1">
        <f t="array" ref="D2241">_xlfn.XLOOKUP(B2241,[1]Baseline!$D$3:$AZ$3,_xlfn.XLOOKUP(C2241,[1]Baseline!$B$4:$B$91,[1]Baseline!$D$4:$AZ$91))</f>
        <v>No Knowledge</v>
      </c>
      <c r="E2241" s="16" t="s">
        <v>136</v>
      </c>
      <c r="F2241" s="16">
        <v>0</v>
      </c>
      <c r="G2241" s="16">
        <v>99</v>
      </c>
      <c r="H2241" s="16">
        <f t="shared" si="34"/>
        <v>99</v>
      </c>
      <c r="I2241" s="13">
        <v>99</v>
      </c>
    </row>
    <row r="2242" spans="1:9">
      <c r="A2242" s="16" t="s">
        <v>3</v>
      </c>
      <c r="B2242" s="16" t="s">
        <v>58</v>
      </c>
      <c r="C2242" s="16" t="str">
        <f>VLOOKUP([1]Competence!$B52,[1]Competence!$B$12:$B$100,1,FALSE)</f>
        <v>Sourcing</v>
      </c>
      <c r="D2242" s="13" t="str" cm="1">
        <f t="array" ref="D2242">_xlfn.XLOOKUP(B2242,[1]Baseline!$D$3:$AZ$3,_xlfn.XLOOKUP(C2242,[1]Baseline!$B$4:$B$91,[1]Baseline!$D$4:$AZ$91))</f>
        <v>Awareness</v>
      </c>
      <c r="E2242" s="16" t="s">
        <v>139</v>
      </c>
      <c r="F2242" s="16">
        <v>1</v>
      </c>
      <c r="G2242" s="16">
        <v>99</v>
      </c>
      <c r="H2242" s="16">
        <f t="shared" ref="H2242:H2305" si="35">I2242-F2242</f>
        <v>98</v>
      </c>
      <c r="I2242" s="13">
        <v>99</v>
      </c>
    </row>
    <row r="2243" spans="1:9">
      <c r="A2243" s="16" t="s">
        <v>3</v>
      </c>
      <c r="B2243" s="16" t="s">
        <v>58</v>
      </c>
      <c r="C2243" s="16" t="str">
        <f>VLOOKUP([1]Competence!$B53,[1]Competence!$B$12:$B$100,1,FALSE)</f>
        <v>Supplier management</v>
      </c>
      <c r="D2243" s="13" t="str" cm="1">
        <f t="array" ref="D2243">_xlfn.XLOOKUP(B2243,[1]Baseline!$D$3:$AZ$3,_xlfn.XLOOKUP(C2243,[1]Baseline!$B$4:$B$91,[1]Baseline!$D$4:$AZ$91))</f>
        <v>Awareness</v>
      </c>
      <c r="E2243" s="16" t="s">
        <v>142</v>
      </c>
      <c r="F2243" s="16">
        <v>1</v>
      </c>
      <c r="G2243" s="16">
        <v>99</v>
      </c>
      <c r="H2243" s="16">
        <f t="shared" si="35"/>
        <v>98</v>
      </c>
      <c r="I2243" s="13">
        <v>99</v>
      </c>
    </row>
    <row r="2244" spans="1:9">
      <c r="A2244" s="16" t="s">
        <v>3</v>
      </c>
      <c r="B2244" s="16" t="s">
        <v>58</v>
      </c>
      <c r="C2244" s="16" t="str">
        <f>VLOOKUP([1]Competence!$B54,[1]Competence!$B$12:$B$100,1,FALSE)</f>
        <v>Sustainability</v>
      </c>
      <c r="D2244" s="13" t="str" cm="1">
        <f t="array" ref="D2244">_xlfn.XLOOKUP(B2244,[1]Baseline!$D$3:$AZ$3,_xlfn.XLOOKUP(C2244,[1]Baseline!$B$4:$B$91,[1]Baseline!$D$4:$AZ$91))</f>
        <v>Awareness</v>
      </c>
      <c r="E2244" s="16" t="s">
        <v>145</v>
      </c>
      <c r="F2244" s="16">
        <v>1</v>
      </c>
      <c r="G2244" s="16">
        <v>99</v>
      </c>
      <c r="H2244" s="16">
        <f t="shared" si="35"/>
        <v>98</v>
      </c>
      <c r="I2244" s="13">
        <v>99</v>
      </c>
    </row>
    <row r="2245" spans="1:9">
      <c r="A2245" s="16" t="s">
        <v>3</v>
      </c>
      <c r="B2245" s="16" t="s">
        <v>58</v>
      </c>
      <c r="C2245" s="16" t="str">
        <f>VLOOKUP([1]Competence!$B55,[1]Competence!$B$12:$B$100,1,FALSE)</f>
        <v>Acceptance testing</v>
      </c>
      <c r="D2245" s="13" t="str" cm="1">
        <f t="array" ref="D2245">_xlfn.XLOOKUP(B2245,[1]Baseline!$D$3:$AZ$3,_xlfn.XLOOKUP(C2245,[1]Baseline!$B$4:$B$91,[1]Baseline!$D$4:$AZ$91))</f>
        <v>Awareness</v>
      </c>
      <c r="E2245" s="16" t="s">
        <v>148</v>
      </c>
      <c r="F2245" s="16">
        <v>2</v>
      </c>
      <c r="G2245" s="16">
        <v>99</v>
      </c>
      <c r="H2245" s="16">
        <f t="shared" si="35"/>
        <v>97</v>
      </c>
      <c r="I2245" s="13">
        <v>99</v>
      </c>
    </row>
    <row r="2246" spans="1:9">
      <c r="A2246" s="16" t="s">
        <v>3</v>
      </c>
      <c r="B2246" s="16" t="s">
        <v>58</v>
      </c>
      <c r="C2246" s="16" t="str">
        <f>VLOOKUP([1]Competence!$B56,[1]Competence!$B$12:$B$100,1,FALSE)</f>
        <v>Application support</v>
      </c>
      <c r="D2246" s="13" t="str" cm="1">
        <f t="array" ref="D2246">_xlfn.XLOOKUP(B2246,[1]Baseline!$D$3:$AZ$3,_xlfn.XLOOKUP(C2246,[1]Baseline!$B$4:$B$91,[1]Baseline!$D$4:$AZ$91))</f>
        <v>Working</v>
      </c>
      <c r="E2246" s="16" t="s">
        <v>151</v>
      </c>
      <c r="F2246" s="16">
        <v>1</v>
      </c>
      <c r="G2246" s="16">
        <v>99</v>
      </c>
      <c r="H2246" s="16">
        <f t="shared" si="35"/>
        <v>98</v>
      </c>
      <c r="I2246" s="13">
        <v>99</v>
      </c>
    </row>
    <row r="2247" spans="1:9">
      <c r="A2247" s="16" t="s">
        <v>3</v>
      </c>
      <c r="B2247" s="16" t="s">
        <v>58</v>
      </c>
      <c r="C2247" s="16" t="str">
        <f>VLOOKUP([1]Competence!$B57,[1]Competence!$B$12:$B$100,1,FALSE)</f>
        <v>Data Engineering</v>
      </c>
      <c r="D2247" s="13" t="str" cm="1">
        <f t="array" ref="D2247">_xlfn.XLOOKUP(B2247,[1]Baseline!$D$3:$AZ$3,_xlfn.XLOOKUP(C2247,[1]Baseline!$B$4:$B$91,[1]Baseline!$D$4:$AZ$91))</f>
        <v>No Knowledge</v>
      </c>
      <c r="E2247" s="16" t="s">
        <v>154</v>
      </c>
      <c r="F2247" s="16">
        <v>0</v>
      </c>
      <c r="G2247" s="16">
        <v>99</v>
      </c>
      <c r="H2247" s="16">
        <f t="shared" si="35"/>
        <v>99</v>
      </c>
      <c r="I2247" s="13">
        <v>99</v>
      </c>
    </row>
    <row r="2248" spans="1:9">
      <c r="A2248" s="16" t="s">
        <v>3</v>
      </c>
      <c r="B2248" s="16" t="s">
        <v>58</v>
      </c>
      <c r="C2248" s="16" t="str">
        <f>VLOOKUP([1]Competence!$B58,[1]Competence!$B$12:$B$100,1,FALSE)</f>
        <v>Data Management</v>
      </c>
      <c r="D2248" s="13" t="str" cm="1">
        <f t="array" ref="D2248">_xlfn.XLOOKUP(B2248,[1]Baseline!$D$3:$AZ$3,_xlfn.XLOOKUP(C2248,[1]Baseline!$B$4:$B$91,[1]Baseline!$D$4:$AZ$91))</f>
        <v>No Knowledge</v>
      </c>
      <c r="E2248" s="16" t="s">
        <v>158</v>
      </c>
      <c r="F2248" s="16">
        <v>0</v>
      </c>
      <c r="G2248" s="16">
        <v>99</v>
      </c>
      <c r="H2248" s="16">
        <f t="shared" si="35"/>
        <v>99</v>
      </c>
      <c r="I2248" s="13">
        <v>99</v>
      </c>
    </row>
    <row r="2249" spans="1:9">
      <c r="A2249" s="16" t="s">
        <v>3</v>
      </c>
      <c r="B2249" s="16" t="s">
        <v>58</v>
      </c>
      <c r="C2249" s="16" t="str">
        <f>VLOOKUP([1]Competence!$B59,[1]Competence!$B$12:$B$100,1,FALSE)</f>
        <v>Data Modelling and Design</v>
      </c>
      <c r="D2249" s="13" t="str" cm="1">
        <f t="array" ref="D2249">_xlfn.XLOOKUP(B2249,[1]Baseline!$D$3:$AZ$3,_xlfn.XLOOKUP(C2249,[1]Baseline!$B$4:$B$91,[1]Baseline!$D$4:$AZ$91))</f>
        <v>No Knowledge</v>
      </c>
      <c r="E2249" s="16" t="s">
        <v>161</v>
      </c>
      <c r="F2249" s="16">
        <v>2</v>
      </c>
      <c r="G2249" s="16">
        <v>99</v>
      </c>
      <c r="H2249" s="16">
        <f t="shared" si="35"/>
        <v>97</v>
      </c>
      <c r="I2249" s="13">
        <v>99</v>
      </c>
    </row>
    <row r="2250" spans="1:9">
      <c r="A2250" s="16" t="s">
        <v>3</v>
      </c>
      <c r="B2250" s="16" t="s">
        <v>58</v>
      </c>
      <c r="C2250" s="16" t="str">
        <f>VLOOKUP([1]Competence!$B60,[1]Competence!$B$12:$B$100,1,FALSE)</f>
        <v>Data science</v>
      </c>
      <c r="D2250" s="13" t="str" cm="1">
        <f t="array" ref="D2250">_xlfn.XLOOKUP(B2250,[1]Baseline!$D$3:$AZ$3,_xlfn.XLOOKUP(C2250,[1]Baseline!$B$4:$B$91,[1]Baseline!$D$4:$AZ$91))</f>
        <v>No Knowledge</v>
      </c>
      <c r="E2250" s="16" t="s">
        <v>164</v>
      </c>
      <c r="F2250" s="16">
        <v>2</v>
      </c>
      <c r="G2250" s="16">
        <v>99</v>
      </c>
      <c r="H2250" s="16">
        <f t="shared" si="35"/>
        <v>97</v>
      </c>
      <c r="I2250" s="13">
        <v>99</v>
      </c>
    </row>
    <row r="2251" spans="1:9">
      <c r="A2251" s="16" t="s">
        <v>3</v>
      </c>
      <c r="B2251" s="16" t="s">
        <v>58</v>
      </c>
      <c r="C2251" s="16" t="str">
        <f>VLOOKUP([1]Competence!$B61,[1]Competence!$B$12:$B$100,1,FALSE)</f>
        <v>Data visualisation</v>
      </c>
      <c r="D2251" s="13" t="str" cm="1">
        <f t="array" ref="D2251">_xlfn.XLOOKUP(B2251,[1]Baseline!$D$3:$AZ$3,_xlfn.XLOOKUP(C2251,[1]Baseline!$B$4:$B$91,[1]Baseline!$D$4:$AZ$91))</f>
        <v>No Knowledge</v>
      </c>
      <c r="E2251" s="16" t="s">
        <v>234</v>
      </c>
      <c r="F2251" s="16">
        <v>1</v>
      </c>
      <c r="G2251" s="16">
        <v>99</v>
      </c>
      <c r="H2251" s="16">
        <f t="shared" si="35"/>
        <v>98</v>
      </c>
      <c r="I2251" s="13">
        <v>99</v>
      </c>
    </row>
    <row r="2252" spans="1:9">
      <c r="A2252" s="16" t="s">
        <v>3</v>
      </c>
      <c r="B2252" s="16" t="s">
        <v>58</v>
      </c>
      <c r="C2252" s="16" t="str">
        <f>VLOOKUP([1]Competence!$B62,[1]Competence!$B$12:$B$100,1,FALSE)</f>
        <v>Database Administration</v>
      </c>
      <c r="D2252" s="13" t="str" cm="1">
        <f t="array" ref="D2252">_xlfn.XLOOKUP(B2252,[1]Baseline!$D$3:$AZ$3,_xlfn.XLOOKUP(C2252,[1]Baseline!$B$4:$B$91,[1]Baseline!$D$4:$AZ$91))</f>
        <v>No Knowledge</v>
      </c>
      <c r="E2252" s="16" t="s">
        <v>237</v>
      </c>
      <c r="F2252" s="16">
        <v>2</v>
      </c>
      <c r="G2252" s="16">
        <v>99</v>
      </c>
      <c r="H2252" s="16">
        <f t="shared" si="35"/>
        <v>97</v>
      </c>
      <c r="I2252" s="13">
        <v>99</v>
      </c>
    </row>
    <row r="2253" spans="1:9">
      <c r="A2253" s="16" t="s">
        <v>3</v>
      </c>
      <c r="B2253" s="16" t="s">
        <v>58</v>
      </c>
      <c r="C2253" s="16" t="str">
        <f>VLOOKUP([1]Competence!$B63,[1]Competence!$B$12:$B$100,1,FALSE)</f>
        <v>Database Design</v>
      </c>
      <c r="D2253" s="13" t="str" cm="1">
        <f t="array" ref="D2253">_xlfn.XLOOKUP(B2253,[1]Baseline!$D$3:$AZ$3,_xlfn.XLOOKUP(C2253,[1]Baseline!$B$4:$B$91,[1]Baseline!$D$4:$AZ$91))</f>
        <v>No Knowledge</v>
      </c>
      <c r="E2253" s="16" t="s">
        <v>382</v>
      </c>
      <c r="F2253" s="16">
        <v>1</v>
      </c>
      <c r="G2253" s="16">
        <v>99</v>
      </c>
      <c r="H2253" s="16">
        <f t="shared" si="35"/>
        <v>98</v>
      </c>
      <c r="I2253" s="13">
        <v>99</v>
      </c>
    </row>
    <row r="2254" spans="1:9">
      <c r="A2254" s="16" t="s">
        <v>3</v>
      </c>
      <c r="B2254" s="16" t="s">
        <v>58</v>
      </c>
      <c r="C2254" s="16" t="str">
        <f>VLOOKUP([1]Competence!$B64,[1]Competence!$B$12:$B$100,1,FALSE)</f>
        <v>Hardware design</v>
      </c>
      <c r="D2254" s="13" t="str" cm="1">
        <f t="array" ref="D2254">_xlfn.XLOOKUP(B2254,[1]Baseline!$D$3:$AZ$3,_xlfn.XLOOKUP(C2254,[1]Baseline!$B$4:$B$91,[1]Baseline!$D$4:$AZ$91))</f>
        <v>No Knowledge</v>
      </c>
      <c r="E2254" s="16" t="s">
        <v>383</v>
      </c>
      <c r="F2254" s="16">
        <v>0</v>
      </c>
      <c r="G2254" s="16">
        <v>99</v>
      </c>
      <c r="H2254" s="16">
        <f t="shared" si="35"/>
        <v>99</v>
      </c>
      <c r="I2254" s="13">
        <v>99</v>
      </c>
    </row>
    <row r="2255" spans="1:9">
      <c r="A2255" s="16" t="s">
        <v>3</v>
      </c>
      <c r="B2255" s="16" t="s">
        <v>58</v>
      </c>
      <c r="C2255" s="16" t="str">
        <f>VLOOKUP([1]Competence!$B65,[1]Competence!$B$12:$B$100,1,FALSE)</f>
        <v>High Performance Computing</v>
      </c>
      <c r="D2255" s="13" t="str" cm="1">
        <f t="array" ref="D2255">_xlfn.XLOOKUP(B2255,[1]Baseline!$D$3:$AZ$3,_xlfn.XLOOKUP(C2255,[1]Baseline!$B$4:$B$91,[1]Baseline!$D$4:$AZ$91))</f>
        <v>Awareness</v>
      </c>
      <c r="E2255" s="16" t="s">
        <v>240</v>
      </c>
      <c r="F2255" s="16">
        <v>0</v>
      </c>
      <c r="G2255" s="16">
        <v>99</v>
      </c>
      <c r="H2255" s="16">
        <f t="shared" si="35"/>
        <v>99</v>
      </c>
      <c r="I2255" s="13">
        <v>99</v>
      </c>
    </row>
    <row r="2256" spans="1:9">
      <c r="A2256" s="16" t="s">
        <v>3</v>
      </c>
      <c r="B2256" s="16" t="s">
        <v>58</v>
      </c>
      <c r="C2256" s="16" t="str">
        <f>VLOOKUP([1]Competence!$B66,[1]Competence!$B$12:$B$100,1,FALSE)</f>
        <v>Research Computing</v>
      </c>
      <c r="D2256" s="13" t="str" cm="1">
        <f t="array" ref="D2256">_xlfn.XLOOKUP(B2256,[1]Baseline!$D$3:$AZ$3,_xlfn.XLOOKUP(C2256,[1]Baseline!$B$4:$B$91,[1]Baseline!$D$4:$AZ$91))</f>
        <v>Awareness</v>
      </c>
      <c r="E2256" s="16" t="s">
        <v>243</v>
      </c>
      <c r="F2256" s="16">
        <v>0</v>
      </c>
      <c r="G2256" s="16">
        <v>99</v>
      </c>
      <c r="H2256" s="16">
        <f t="shared" si="35"/>
        <v>99</v>
      </c>
      <c r="I2256" s="13">
        <v>99</v>
      </c>
    </row>
    <row r="2257" spans="1:9">
      <c r="A2257" s="16" t="s">
        <v>3</v>
      </c>
      <c r="B2257" s="16" t="s">
        <v>58</v>
      </c>
      <c r="C2257" s="16" t="str">
        <f>VLOOKUP([1]Competence!$B67,[1]Competence!$B$12:$B$100,1,FALSE)</f>
        <v>Information assurance</v>
      </c>
      <c r="D2257" s="13" t="str" cm="1">
        <f t="array" ref="D2257">_xlfn.XLOOKUP(B2257,[1]Baseline!$D$3:$AZ$3,_xlfn.XLOOKUP(C2257,[1]Baseline!$B$4:$B$91,[1]Baseline!$D$4:$AZ$91))</f>
        <v>Working</v>
      </c>
      <c r="E2257" s="16" t="s">
        <v>246</v>
      </c>
      <c r="F2257" s="16">
        <v>0</v>
      </c>
      <c r="G2257" s="16">
        <v>99</v>
      </c>
      <c r="H2257" s="16">
        <f t="shared" si="35"/>
        <v>99</v>
      </c>
      <c r="I2257" s="13">
        <v>99</v>
      </c>
    </row>
    <row r="2258" spans="1:9">
      <c r="A2258" s="16" t="s">
        <v>3</v>
      </c>
      <c r="B2258" s="16" t="s">
        <v>58</v>
      </c>
      <c r="C2258" s="16" t="str">
        <f>VLOOKUP([1]Competence!$B68,[1]Competence!$B$12:$B$100,1,FALSE)</f>
        <v>Information management</v>
      </c>
      <c r="D2258" s="13" t="str" cm="1">
        <f t="array" ref="D2258">_xlfn.XLOOKUP(B2258,[1]Baseline!$D$3:$AZ$3,_xlfn.XLOOKUP(C2258,[1]Baseline!$B$4:$B$91,[1]Baseline!$D$4:$AZ$91))</f>
        <v>Awareness</v>
      </c>
      <c r="E2258" s="16" t="s">
        <v>249</v>
      </c>
      <c r="F2258" s="16">
        <v>0</v>
      </c>
      <c r="G2258" s="16">
        <v>99</v>
      </c>
      <c r="H2258" s="16">
        <f t="shared" si="35"/>
        <v>99</v>
      </c>
      <c r="I2258" s="13">
        <v>99</v>
      </c>
    </row>
    <row r="2259" spans="1:9">
      <c r="A2259" s="16" t="s">
        <v>3</v>
      </c>
      <c r="B2259" s="16" t="s">
        <v>58</v>
      </c>
      <c r="C2259" s="16" t="str">
        <f>VLOOKUP([1]Competence!$B69,[1]Competence!$B$12:$B$100,1,FALSE)</f>
        <v>Infrastructure</v>
      </c>
      <c r="D2259" s="13" t="str" cm="1">
        <f t="array" ref="D2259">_xlfn.XLOOKUP(B2259,[1]Baseline!$D$3:$AZ$3,_xlfn.XLOOKUP(C2259,[1]Baseline!$B$4:$B$91,[1]Baseline!$D$4:$AZ$91))</f>
        <v>Awareness</v>
      </c>
      <c r="E2259" s="16" t="s">
        <v>252</v>
      </c>
      <c r="F2259" s="16">
        <v>0</v>
      </c>
      <c r="G2259" s="16">
        <v>99</v>
      </c>
      <c r="H2259" s="16">
        <f t="shared" si="35"/>
        <v>99</v>
      </c>
      <c r="I2259" s="13">
        <v>99</v>
      </c>
    </row>
    <row r="2260" spans="1:9">
      <c r="A2260" s="16" t="s">
        <v>3</v>
      </c>
      <c r="B2260" s="16" t="s">
        <v>58</v>
      </c>
      <c r="C2260" s="16" t="str">
        <f>VLOOKUP([1]Competence!$B70,[1]Competence!$B$12:$B$100,1,FALSE)</f>
        <v>Network design</v>
      </c>
      <c r="D2260" s="13" t="str" cm="1">
        <f t="array" ref="D2260">_xlfn.XLOOKUP(B2260,[1]Baseline!$D$3:$AZ$3,_xlfn.XLOOKUP(C2260,[1]Baseline!$B$4:$B$91,[1]Baseline!$D$4:$AZ$91))</f>
        <v>No Knowledge</v>
      </c>
      <c r="E2260" s="16" t="s">
        <v>255</v>
      </c>
      <c r="F2260" s="16">
        <v>0</v>
      </c>
      <c r="G2260" s="16">
        <v>99</v>
      </c>
      <c r="H2260" s="16">
        <f t="shared" si="35"/>
        <v>99</v>
      </c>
      <c r="I2260" s="13">
        <v>99</v>
      </c>
    </row>
    <row r="2261" spans="1:9">
      <c r="A2261" s="16" t="s">
        <v>3</v>
      </c>
      <c r="B2261" s="16" t="s">
        <v>58</v>
      </c>
      <c r="C2261" s="16" t="str">
        <f>VLOOKUP([1]Competence!$B71,[1]Competence!$B$12:$B$100,1,FALSE)</f>
        <v>Network Analytics</v>
      </c>
      <c r="D2261" s="13" t="str" cm="1">
        <f t="array" ref="D2261">_xlfn.XLOOKUP(B2261,[1]Baseline!$D$3:$AZ$3,_xlfn.XLOOKUP(C2261,[1]Baseline!$B$4:$B$91,[1]Baseline!$D$4:$AZ$91))</f>
        <v>No Knowledge</v>
      </c>
      <c r="E2261" s="16" t="s">
        <v>258</v>
      </c>
      <c r="F2261" s="16">
        <v>0</v>
      </c>
      <c r="G2261" s="16">
        <v>99</v>
      </c>
      <c r="H2261" s="16">
        <f t="shared" si="35"/>
        <v>99</v>
      </c>
      <c r="I2261" s="13">
        <v>99</v>
      </c>
    </row>
    <row r="2262" spans="1:9">
      <c r="A2262" s="16" t="s">
        <v>3</v>
      </c>
      <c r="B2262" s="16" t="s">
        <v>58</v>
      </c>
      <c r="C2262" s="16" t="str">
        <f>VLOOKUP([1]Competence!$B72,[1]Competence!$B$12:$B$100,1,FALSE)</f>
        <v>Network support</v>
      </c>
      <c r="D2262" s="13" t="str" cm="1">
        <f t="array" ref="D2262">_xlfn.XLOOKUP(B2262,[1]Baseline!$D$3:$AZ$3,_xlfn.XLOOKUP(C2262,[1]Baseline!$B$4:$B$91,[1]Baseline!$D$4:$AZ$91))</f>
        <v>Working</v>
      </c>
      <c r="E2262" s="16" t="s">
        <v>326</v>
      </c>
      <c r="F2262" s="16">
        <v>0</v>
      </c>
      <c r="G2262" s="16">
        <v>99</v>
      </c>
      <c r="H2262" s="16">
        <f t="shared" si="35"/>
        <v>99</v>
      </c>
      <c r="I2262" s="13">
        <v>99</v>
      </c>
    </row>
    <row r="2263" spans="1:9">
      <c r="A2263" s="16" t="s">
        <v>3</v>
      </c>
      <c r="B2263" s="16" t="s">
        <v>58</v>
      </c>
      <c r="C2263" s="16" t="str">
        <f>VLOOKUP([1]Competence!$B73,[1]Competence!$B$12:$B$100,1,FALSE)</f>
        <v>Programming/software development</v>
      </c>
      <c r="D2263" s="13" t="str" cm="1">
        <f t="array" ref="D2263">_xlfn.XLOOKUP(B2263,[1]Baseline!$D$3:$AZ$3,_xlfn.XLOOKUP(C2263,[1]Baseline!$B$4:$B$91,[1]Baseline!$D$4:$AZ$91))</f>
        <v>No Knowledge</v>
      </c>
      <c r="E2263" s="16" t="s">
        <v>261</v>
      </c>
      <c r="F2263" s="16">
        <v>0</v>
      </c>
      <c r="G2263" s="16">
        <v>99</v>
      </c>
      <c r="H2263" s="16">
        <f t="shared" si="35"/>
        <v>99</v>
      </c>
      <c r="I2263" s="13">
        <v>99</v>
      </c>
    </row>
    <row r="2264" spans="1:9">
      <c r="A2264" s="16" t="s">
        <v>3</v>
      </c>
      <c r="B2264" s="16" t="s">
        <v>58</v>
      </c>
      <c r="C2264" s="16" t="str">
        <f>VLOOKUP([1]Competence!$B74,[1]Competence!$B$12:$B$100,1,FALSE)</f>
        <v>Real-time/embedded systems development</v>
      </c>
      <c r="D2264" s="13" t="str" cm="1">
        <f t="array" ref="D2264">_xlfn.XLOOKUP(B2264,[1]Baseline!$D$3:$AZ$3,_xlfn.XLOOKUP(C2264,[1]Baseline!$B$4:$B$91,[1]Baseline!$D$4:$AZ$91))</f>
        <v>No Knowledge</v>
      </c>
      <c r="E2264" s="16" t="s">
        <v>264</v>
      </c>
      <c r="F2264" s="16">
        <v>1</v>
      </c>
      <c r="G2264" s="16">
        <v>99</v>
      </c>
      <c r="H2264" s="16">
        <f t="shared" si="35"/>
        <v>98</v>
      </c>
      <c r="I2264" s="13">
        <v>99</v>
      </c>
    </row>
    <row r="2265" spans="1:9">
      <c r="A2265" s="16" t="s">
        <v>3</v>
      </c>
      <c r="B2265" s="16" t="s">
        <v>58</v>
      </c>
      <c r="C2265" s="16" t="str">
        <f>VLOOKUP([1]Competence!$B75,[1]Competence!$B$12:$B$100,1,FALSE)</f>
        <v>Requirements definition and management</v>
      </c>
      <c r="D2265" s="13" t="str" cm="1">
        <f t="array" ref="D2265">_xlfn.XLOOKUP(B2265,[1]Baseline!$D$3:$AZ$3,_xlfn.XLOOKUP(C2265,[1]Baseline!$B$4:$B$91,[1]Baseline!$D$4:$AZ$91))</f>
        <v>No Knowledge</v>
      </c>
      <c r="E2265" s="16" t="s">
        <v>267</v>
      </c>
      <c r="F2265" s="16">
        <v>2</v>
      </c>
      <c r="G2265" s="16">
        <v>99</v>
      </c>
      <c r="H2265" s="16">
        <f t="shared" si="35"/>
        <v>97</v>
      </c>
      <c r="I2265" s="13">
        <v>99</v>
      </c>
    </row>
    <row r="2266" spans="1:9">
      <c r="A2266" s="16" t="s">
        <v>3</v>
      </c>
      <c r="B2266" s="16" t="s">
        <v>58</v>
      </c>
      <c r="C2266" s="16" t="str">
        <f>VLOOKUP([1]Competence!$B76,[1]Competence!$B$12:$B$100,1,FALSE)</f>
        <v>Software configuration</v>
      </c>
      <c r="D2266" s="13" t="str" cm="1">
        <f t="array" ref="D2266">_xlfn.XLOOKUP(B2266,[1]Baseline!$D$3:$AZ$3,_xlfn.XLOOKUP(C2266,[1]Baseline!$B$4:$B$91,[1]Baseline!$D$4:$AZ$91))</f>
        <v>No Knowledge</v>
      </c>
      <c r="E2266" s="16" t="s">
        <v>270</v>
      </c>
      <c r="F2266" s="16">
        <v>1</v>
      </c>
      <c r="G2266" s="16">
        <v>99</v>
      </c>
      <c r="H2266" s="16">
        <f t="shared" si="35"/>
        <v>98</v>
      </c>
      <c r="I2266" s="13">
        <v>99</v>
      </c>
    </row>
    <row r="2267" spans="1:9">
      <c r="A2267" s="16" t="s">
        <v>3</v>
      </c>
      <c r="B2267" s="16" t="s">
        <v>58</v>
      </c>
      <c r="C2267" s="16" t="str">
        <f>VLOOKUP([1]Competence!$B77,[1]Competence!$B$12:$B$100,1,FALSE)</f>
        <v>Software design</v>
      </c>
      <c r="D2267" s="13" t="str" cm="1">
        <f t="array" ref="D2267">_xlfn.XLOOKUP(B2267,[1]Baseline!$D$3:$AZ$3,_xlfn.XLOOKUP(C2267,[1]Baseline!$B$4:$B$91,[1]Baseline!$D$4:$AZ$91))</f>
        <v>No Knowledge</v>
      </c>
      <c r="E2267" s="16" t="s">
        <v>50</v>
      </c>
      <c r="F2267" s="16">
        <v>1</v>
      </c>
      <c r="G2267" s="16">
        <v>99</v>
      </c>
      <c r="H2267" s="16">
        <f t="shared" si="35"/>
        <v>98</v>
      </c>
      <c r="I2267" s="13">
        <v>99</v>
      </c>
    </row>
    <row r="2268" spans="1:9">
      <c r="A2268" s="16" t="s">
        <v>3</v>
      </c>
      <c r="B2268" s="16" t="s">
        <v>58</v>
      </c>
      <c r="C2268" s="16" t="str">
        <f>VLOOKUP([1]Competence!$B78,[1]Competence!$B$12:$B$100,1,FALSE)</f>
        <v>Solution architecture</v>
      </c>
      <c r="D2268" s="13" t="str" cm="1">
        <f t="array" ref="D2268">_xlfn.XLOOKUP(B2268,[1]Baseline!$D$3:$AZ$3,_xlfn.XLOOKUP(C2268,[1]Baseline!$B$4:$B$91,[1]Baseline!$D$4:$AZ$91))</f>
        <v>No Knowledge</v>
      </c>
      <c r="E2268" s="16" t="s">
        <v>320</v>
      </c>
      <c r="F2268" s="16">
        <v>0</v>
      </c>
      <c r="G2268" s="16">
        <v>99</v>
      </c>
      <c r="H2268" s="16">
        <f t="shared" si="35"/>
        <v>99</v>
      </c>
      <c r="I2268" s="13">
        <v>99</v>
      </c>
    </row>
    <row r="2269" spans="1:9">
      <c r="A2269" s="16" t="s">
        <v>3</v>
      </c>
      <c r="B2269" s="16" t="s">
        <v>58</v>
      </c>
      <c r="C2269" s="16" t="str">
        <f>VLOOKUP([1]Competence!$B79,[1]Competence!$B$12:$B$100,1,FALSE)</f>
        <v>System software</v>
      </c>
      <c r="D2269" s="13" t="str" cm="1">
        <f t="array" ref="D2269">_xlfn.XLOOKUP(B2269,[1]Baseline!$D$3:$AZ$3,_xlfn.XLOOKUP(C2269,[1]Baseline!$B$4:$B$91,[1]Baseline!$D$4:$AZ$91))</f>
        <v>No Knowledge</v>
      </c>
      <c r="E2269" s="16" t="s">
        <v>278</v>
      </c>
      <c r="F2269" s="16">
        <v>0</v>
      </c>
      <c r="G2269" s="16">
        <v>99</v>
      </c>
      <c r="H2269" s="16">
        <f t="shared" si="35"/>
        <v>99</v>
      </c>
      <c r="I2269" s="13">
        <v>99</v>
      </c>
    </row>
    <row r="2270" spans="1:9">
      <c r="A2270" s="16" t="s">
        <v>3</v>
      </c>
      <c r="B2270" s="16" t="s">
        <v>58</v>
      </c>
      <c r="C2270" s="16" t="str">
        <f>VLOOKUP([1]Competence!$B80,[1]Competence!$B$12:$B$100,1,FALSE)</f>
        <v>Systems and software life cycle engineering</v>
      </c>
      <c r="D2270" s="13" t="str" cm="1">
        <f t="array" ref="D2270">_xlfn.XLOOKUP(B2270,[1]Baseline!$D$3:$AZ$3,_xlfn.XLOOKUP(C2270,[1]Baseline!$B$4:$B$91,[1]Baseline!$D$4:$AZ$91))</f>
        <v>No Knowledge</v>
      </c>
      <c r="E2270" s="16" t="s">
        <v>275</v>
      </c>
      <c r="F2270" s="16">
        <v>0</v>
      </c>
      <c r="G2270" s="16">
        <v>99</v>
      </c>
      <c r="H2270" s="16">
        <f t="shared" si="35"/>
        <v>99</v>
      </c>
      <c r="I2270" s="13">
        <v>99</v>
      </c>
    </row>
    <row r="2271" spans="1:9">
      <c r="A2271" s="16" t="s">
        <v>3</v>
      </c>
      <c r="B2271" s="16" t="s">
        <v>58</v>
      </c>
      <c r="C2271" s="16" t="str">
        <f>VLOOKUP([1]Competence!$B81,[1]Competence!$B$12:$B$100,1,FALSE)</f>
        <v>Systems design</v>
      </c>
      <c r="D2271" s="13" t="str" cm="1">
        <f t="array" ref="D2271">_xlfn.XLOOKUP(B2271,[1]Baseline!$D$3:$AZ$3,_xlfn.XLOOKUP(C2271,[1]Baseline!$B$4:$B$91,[1]Baseline!$D$4:$AZ$91))</f>
        <v>No Knowledge</v>
      </c>
      <c r="E2271" s="16" t="s">
        <v>281</v>
      </c>
      <c r="F2271" s="16">
        <v>2</v>
      </c>
      <c r="G2271" s="16">
        <v>99</v>
      </c>
      <c r="H2271" s="16">
        <f t="shared" si="35"/>
        <v>97</v>
      </c>
      <c r="I2271" s="13">
        <v>99</v>
      </c>
    </row>
    <row r="2272" spans="1:9">
      <c r="A2272" s="16" t="s">
        <v>3</v>
      </c>
      <c r="B2272" s="16" t="s">
        <v>58</v>
      </c>
      <c r="C2272" s="16" t="str">
        <f>VLOOKUP([1]Competence!$B82,[1]Competence!$B$12:$B$100,1,FALSE)</f>
        <v>Systems development management</v>
      </c>
      <c r="D2272" s="13" t="str" cm="1">
        <f t="array" ref="D2272">_xlfn.XLOOKUP(B2272,[1]Baseline!$D$3:$AZ$3,_xlfn.XLOOKUP(C2272,[1]Baseline!$B$4:$B$91,[1]Baseline!$D$4:$AZ$91))</f>
        <v>No Knowledge</v>
      </c>
      <c r="E2272" s="16" t="s">
        <v>284</v>
      </c>
      <c r="F2272" s="16">
        <v>0</v>
      </c>
      <c r="G2272" s="16">
        <v>99</v>
      </c>
      <c r="H2272" s="16">
        <f t="shared" si="35"/>
        <v>99</v>
      </c>
      <c r="I2272" s="13">
        <v>99</v>
      </c>
    </row>
    <row r="2273" spans="1:9">
      <c r="A2273" s="16" t="s">
        <v>3</v>
      </c>
      <c r="B2273" s="16" t="s">
        <v>58</v>
      </c>
      <c r="C2273" s="16" t="str">
        <f>VLOOKUP([1]Competence!$B83,[1]Competence!$B$12:$B$100,1,FALSE)</f>
        <v>Systems installation and removal</v>
      </c>
      <c r="D2273" s="13" t="str" cm="1">
        <f t="array" ref="D2273">_xlfn.XLOOKUP(B2273,[1]Baseline!$D$3:$AZ$3,_xlfn.XLOOKUP(C2273,[1]Baseline!$B$4:$B$91,[1]Baseline!$D$4:$AZ$91))</f>
        <v>Working</v>
      </c>
      <c r="E2273" s="16" t="s">
        <v>287</v>
      </c>
      <c r="F2273" s="16">
        <v>0</v>
      </c>
      <c r="G2273" s="16">
        <v>99</v>
      </c>
      <c r="H2273" s="16">
        <f t="shared" si="35"/>
        <v>99</v>
      </c>
      <c r="I2273" s="13">
        <v>99</v>
      </c>
    </row>
    <row r="2274" spans="1:9">
      <c r="A2274" s="16" t="s">
        <v>3</v>
      </c>
      <c r="B2274" s="16" t="s">
        <v>58</v>
      </c>
      <c r="C2274" s="16" t="str">
        <f>VLOOKUP([1]Competence!$B84,[1]Competence!$B$12:$B$100,1,FALSE)</f>
        <v>Testing</v>
      </c>
      <c r="D2274" s="13" t="str" cm="1">
        <f t="array" ref="D2274">_xlfn.XLOOKUP(B2274,[1]Baseline!$D$3:$AZ$3,_xlfn.XLOOKUP(C2274,[1]Baseline!$B$4:$B$91,[1]Baseline!$D$4:$AZ$91))</f>
        <v>Working</v>
      </c>
      <c r="E2274" s="16" t="s">
        <v>290</v>
      </c>
      <c r="F2274" s="16">
        <v>0</v>
      </c>
      <c r="G2274" s="16">
        <v>99</v>
      </c>
      <c r="H2274" s="16">
        <f t="shared" si="35"/>
        <v>99</v>
      </c>
      <c r="I2274" s="13">
        <v>99</v>
      </c>
    </row>
    <row r="2275" spans="1:9">
      <c r="A2275" s="16" t="s">
        <v>3</v>
      </c>
      <c r="B2275" s="16" t="s">
        <v>58</v>
      </c>
      <c r="C2275" s="16" t="str">
        <f>VLOOKUP([1]Competence!$B85,[1]Competence!$B$12:$B$100,1,FALSE)</f>
        <v>Innovation</v>
      </c>
      <c r="D2275" s="13" t="str" cm="1">
        <f t="array" ref="D2275">_xlfn.XLOOKUP(B2275,[1]Baseline!$D$3:$AZ$3,_xlfn.XLOOKUP(C2275,[1]Baseline!$B$4:$B$91,[1]Baseline!$D$4:$AZ$91))</f>
        <v>No Knowledge</v>
      </c>
      <c r="E2275" s="16" t="s">
        <v>51</v>
      </c>
      <c r="F2275" s="16">
        <v>1</v>
      </c>
      <c r="G2275" s="16">
        <v>99</v>
      </c>
      <c r="H2275" s="16">
        <f t="shared" si="35"/>
        <v>98</v>
      </c>
      <c r="I2275" s="13">
        <v>99</v>
      </c>
    </row>
    <row r="2276" spans="1:9">
      <c r="A2276" s="16" t="s">
        <v>3</v>
      </c>
      <c r="B2276" s="16" t="s">
        <v>58</v>
      </c>
      <c r="C2276" s="16" t="str">
        <f>VLOOKUP([1]Competence!$B86,[1]Competence!$B$12:$B$100,1,FALSE)</f>
        <v>Specialist Advice</v>
      </c>
      <c r="D2276" s="13" t="str" cm="1">
        <f t="array" ref="D2276">_xlfn.XLOOKUP(B2276,[1]Baseline!$D$3:$AZ$3,_xlfn.XLOOKUP(C2276,[1]Baseline!$B$4:$B$91,[1]Baseline!$D$4:$AZ$91))</f>
        <v>No Knowledge</v>
      </c>
      <c r="E2276" s="16" t="s">
        <v>293</v>
      </c>
      <c r="F2276" s="16">
        <v>0</v>
      </c>
      <c r="G2276" s="16">
        <v>99</v>
      </c>
      <c r="H2276" s="16">
        <f t="shared" si="35"/>
        <v>99</v>
      </c>
      <c r="I2276" s="13">
        <v>99</v>
      </c>
    </row>
    <row r="2277" spans="1:9">
      <c r="A2277" s="16" t="s">
        <v>3</v>
      </c>
      <c r="B2277" s="16" t="s">
        <v>58</v>
      </c>
      <c r="C2277" s="16" t="str">
        <f>VLOOKUP([1]Competence!$B87,[1]Competence!$B$12:$B$100,1,FALSE)</f>
        <v>Emerging technology monitoring</v>
      </c>
      <c r="D2277" s="13" t="str" cm="1">
        <f t="array" ref="D2277">_xlfn.XLOOKUP(B2277,[1]Baseline!$D$3:$AZ$3,_xlfn.XLOOKUP(C2277,[1]Baseline!$B$4:$B$91,[1]Baseline!$D$4:$AZ$91))</f>
        <v>No Knowledge</v>
      </c>
      <c r="E2277" s="16" t="s">
        <v>296</v>
      </c>
      <c r="F2277" s="16">
        <v>0</v>
      </c>
      <c r="G2277" s="16">
        <v>99</v>
      </c>
      <c r="H2277" s="16">
        <f t="shared" si="35"/>
        <v>99</v>
      </c>
      <c r="I2277" s="13">
        <v>99</v>
      </c>
    </row>
    <row r="2278" spans="1:9">
      <c r="A2278" s="16" t="s">
        <v>3</v>
      </c>
      <c r="B2278" s="16" t="s">
        <v>58</v>
      </c>
      <c r="C2278" s="16" t="str">
        <f>VLOOKUP([1]Competence!$B88,[1]Competence!$B$12:$B$100,1,FALSE)</f>
        <v>Systems integration and build</v>
      </c>
      <c r="D2278" s="13" t="str" cm="1">
        <f t="array" ref="D2278">_xlfn.XLOOKUP(B2278,[1]Baseline!$D$3:$AZ$3,_xlfn.XLOOKUP(C2278,[1]Baseline!$B$4:$B$91,[1]Baseline!$D$4:$AZ$91))</f>
        <v>Working</v>
      </c>
      <c r="E2278" s="16" t="s">
        <v>299</v>
      </c>
      <c r="F2278" s="16">
        <v>0</v>
      </c>
      <c r="G2278" s="16">
        <v>99</v>
      </c>
      <c r="H2278" s="16">
        <f t="shared" si="35"/>
        <v>99</v>
      </c>
      <c r="I2278" s="13">
        <v>99</v>
      </c>
    </row>
    <row r="2279" spans="1:9">
      <c r="A2279" s="16" t="s">
        <v>3</v>
      </c>
      <c r="B2279" s="16" t="s">
        <v>58</v>
      </c>
      <c r="C2279" s="16" t="str">
        <f>VLOOKUP([1]Competence!$B89,[1]Competence!$B$12:$B$100,1,FALSE)</f>
        <v>Audio Visual</v>
      </c>
      <c r="D2279" s="13" t="str" cm="1">
        <f t="array" ref="D2279">_xlfn.XLOOKUP(B2279,[1]Baseline!$D$3:$AZ$3,_xlfn.XLOOKUP(C2279,[1]Baseline!$B$4:$B$91,[1]Baseline!$D$4:$AZ$91))</f>
        <v>Awareness</v>
      </c>
      <c r="E2279" s="16" t="s">
        <v>323</v>
      </c>
      <c r="F2279" s="16">
        <v>0</v>
      </c>
      <c r="G2279" s="16">
        <v>99</v>
      </c>
      <c r="H2279" s="16">
        <f t="shared" si="35"/>
        <v>99</v>
      </c>
      <c r="I2279" s="13">
        <v>99</v>
      </c>
    </row>
    <row r="2280" spans="1:9">
      <c r="A2280" s="16" t="s">
        <v>3</v>
      </c>
      <c r="B2280" s="16" t="s">
        <v>58</v>
      </c>
      <c r="C2280" s="16" t="str">
        <f>VLOOKUP([1]Competence!$B90,[1]Competence!$B$12:$B$100,1,FALSE)</f>
        <v>Augmented Reality</v>
      </c>
      <c r="D2280" s="13" t="str" cm="1">
        <f t="array" ref="D2280">_xlfn.XLOOKUP(B2280,[1]Baseline!$D$3:$AZ$3,_xlfn.XLOOKUP(C2280,[1]Baseline!$B$4:$B$91,[1]Baseline!$D$4:$AZ$91))</f>
        <v>No Knowledge</v>
      </c>
      <c r="E2280" s="16" t="s">
        <v>302</v>
      </c>
      <c r="F2280" s="16">
        <v>0</v>
      </c>
      <c r="G2280" s="16">
        <v>99</v>
      </c>
      <c r="H2280" s="16">
        <f t="shared" si="35"/>
        <v>99</v>
      </c>
      <c r="I2280" s="13">
        <v>99</v>
      </c>
    </row>
    <row r="2281" spans="1:9">
      <c r="A2281" s="16" t="s">
        <v>3</v>
      </c>
      <c r="B2281" s="16" t="s">
        <v>58</v>
      </c>
      <c r="C2281" s="16" t="str">
        <f>VLOOKUP([1]Competence!$B91,[1]Competence!$B$12:$B$100,1,FALSE)</f>
        <v>Benefits management</v>
      </c>
      <c r="D2281" s="13" t="str" cm="1">
        <f t="array" ref="D2281">_xlfn.XLOOKUP(B2281,[1]Baseline!$D$3:$AZ$3,_xlfn.XLOOKUP(C2281,[1]Baseline!$B$4:$B$91,[1]Baseline!$D$4:$AZ$91))</f>
        <v>No Knowledge</v>
      </c>
      <c r="E2281" s="16" t="s">
        <v>305</v>
      </c>
      <c r="F2281" s="16">
        <v>0</v>
      </c>
      <c r="G2281" s="16">
        <v>99</v>
      </c>
      <c r="H2281" s="16">
        <f t="shared" si="35"/>
        <v>99</v>
      </c>
      <c r="I2281" s="13">
        <v>99</v>
      </c>
    </row>
    <row r="2282" spans="1:9">
      <c r="A2282" s="16" t="s">
        <v>3</v>
      </c>
      <c r="B2282" s="16" t="s">
        <v>58</v>
      </c>
      <c r="C2282" s="16" t="str">
        <f>VLOOKUP([1]Competence!$B92,[1]Competence!$B$12:$B$100,1,FALSE)</f>
        <v>Business administration</v>
      </c>
      <c r="D2282" s="13" t="str" cm="1">
        <f t="array" ref="D2282">_xlfn.XLOOKUP(B2282,[1]Baseline!$D$3:$AZ$3,_xlfn.XLOOKUP(C2282,[1]Baseline!$B$4:$B$91,[1]Baseline!$D$4:$AZ$91))</f>
        <v>No Knowledge</v>
      </c>
      <c r="E2282" s="16" t="s">
        <v>308</v>
      </c>
      <c r="F2282" s="16">
        <v>0</v>
      </c>
      <c r="G2282" s="16">
        <v>99</v>
      </c>
      <c r="H2282" s="16">
        <f t="shared" si="35"/>
        <v>99</v>
      </c>
      <c r="I2282" s="13">
        <v>99</v>
      </c>
    </row>
    <row r="2283" spans="1:9">
      <c r="A2283" s="16" t="s">
        <v>3</v>
      </c>
      <c r="B2283" s="16" t="s">
        <v>58</v>
      </c>
      <c r="C2283" s="16" t="str">
        <f>VLOOKUP([1]Competence!$B93,[1]Competence!$B$12:$B$100,1,FALSE)</f>
        <v>Business intelligence</v>
      </c>
      <c r="D2283" s="13" t="str" cm="1">
        <f t="array" ref="D2283">_xlfn.XLOOKUP(B2283,[1]Baseline!$D$3:$AZ$3,_xlfn.XLOOKUP(C2283,[1]Baseline!$B$4:$B$91,[1]Baseline!$D$4:$AZ$91))</f>
        <v>No Knowledge</v>
      </c>
      <c r="E2283" s="16" t="s">
        <v>311</v>
      </c>
      <c r="F2283" s="16">
        <v>0</v>
      </c>
      <c r="G2283" s="16">
        <v>99</v>
      </c>
      <c r="H2283" s="16">
        <f t="shared" si="35"/>
        <v>99</v>
      </c>
      <c r="I2283" s="13">
        <v>99</v>
      </c>
    </row>
    <row r="2284" spans="1:9">
      <c r="A2284" s="16" t="s">
        <v>3</v>
      </c>
      <c r="B2284" s="16" t="s">
        <v>58</v>
      </c>
      <c r="C2284" s="16" t="str">
        <f>VLOOKUP([1]Competence!$B94,[1]Competence!$B$12:$B$100,1,FALSE)</f>
        <v>Business modelling</v>
      </c>
      <c r="D2284" s="13" t="str" cm="1">
        <f t="array" ref="D2284">_xlfn.XLOOKUP(B2284,[1]Baseline!$D$3:$AZ$3,_xlfn.XLOOKUP(C2284,[1]Baseline!$B$4:$B$91,[1]Baseline!$D$4:$AZ$91))</f>
        <v>No Knowledge</v>
      </c>
      <c r="E2284" s="16" t="s">
        <v>314</v>
      </c>
      <c r="F2284" s="16">
        <v>2</v>
      </c>
      <c r="G2284" s="16">
        <v>99</v>
      </c>
      <c r="H2284" s="16">
        <f t="shared" si="35"/>
        <v>97</v>
      </c>
      <c r="I2284" s="13">
        <v>99</v>
      </c>
    </row>
    <row r="2285" spans="1:9">
      <c r="A2285" s="16" t="s">
        <v>3</v>
      </c>
      <c r="B2285" s="16" t="s">
        <v>58</v>
      </c>
      <c r="C2285" s="16" t="str">
        <f>VLOOKUP([1]Competence!$B95,[1]Competence!$B$12:$B$100,1,FALSE)</f>
        <v>Business process improvement</v>
      </c>
      <c r="D2285" s="13" t="str" cm="1">
        <f t="array" ref="D2285">_xlfn.XLOOKUP(B2285,[1]Baseline!$D$3:$AZ$3,_xlfn.XLOOKUP(C2285,[1]Baseline!$B$4:$B$91,[1]Baseline!$D$4:$AZ$91))</f>
        <v>No Knowledge</v>
      </c>
      <c r="E2285" s="16" t="s">
        <v>328</v>
      </c>
      <c r="F2285" s="16">
        <v>2</v>
      </c>
      <c r="G2285" s="16">
        <v>99</v>
      </c>
      <c r="H2285" s="16">
        <f t="shared" si="35"/>
        <v>97</v>
      </c>
      <c r="I2285" s="13">
        <v>99</v>
      </c>
    </row>
    <row r="2286" spans="1:9">
      <c r="A2286" s="16" t="s">
        <v>3</v>
      </c>
      <c r="B2286" s="16" t="s">
        <v>58</v>
      </c>
      <c r="C2286" s="16" t="str">
        <f>VLOOKUP([1]Competence!$B96,[1]Competence!$B$12:$B$100,1,FALSE)</f>
        <v>Business situation analysis</v>
      </c>
      <c r="D2286" s="13" t="str" cm="1">
        <f t="array" ref="D2286">_xlfn.XLOOKUP(B2286,[1]Baseline!$D$3:$AZ$3,_xlfn.XLOOKUP(C2286,[1]Baseline!$B$4:$B$91,[1]Baseline!$D$4:$AZ$91))</f>
        <v>No Knowledge</v>
      </c>
      <c r="E2286" s="16" t="s">
        <v>317</v>
      </c>
      <c r="F2286" s="16">
        <v>2</v>
      </c>
      <c r="G2286" s="16">
        <v>99</v>
      </c>
      <c r="H2286" s="16">
        <f t="shared" si="35"/>
        <v>97</v>
      </c>
      <c r="I2286" s="13">
        <v>99</v>
      </c>
    </row>
    <row r="2287" spans="1:9">
      <c r="A2287" s="16" t="s">
        <v>3</v>
      </c>
      <c r="B2287" s="16" t="s">
        <v>58</v>
      </c>
      <c r="C2287" s="16" t="str">
        <f>VLOOKUP([1]Competence!$B97,[1]Competence!$B$12:$B$100,1,FALSE)</f>
        <v>Programme management</v>
      </c>
      <c r="D2287" s="13" t="str" cm="1">
        <f t="array" ref="D2287">_xlfn.XLOOKUP(B2287,[1]Baseline!$D$3:$AZ$3,_xlfn.XLOOKUP(C2287,[1]Baseline!$B$4:$B$91,[1]Baseline!$D$4:$AZ$91))</f>
        <v>No Knowledge</v>
      </c>
      <c r="E2287" s="16" t="s">
        <v>352</v>
      </c>
      <c r="F2287" s="16">
        <v>0</v>
      </c>
      <c r="G2287" s="16">
        <v>99</v>
      </c>
      <c r="H2287" s="16">
        <f t="shared" si="35"/>
        <v>99</v>
      </c>
      <c r="I2287" s="13">
        <v>99</v>
      </c>
    </row>
    <row r="2288" spans="1:9">
      <c r="A2288" s="16" t="s">
        <v>3</v>
      </c>
      <c r="B2288" s="16" t="s">
        <v>58</v>
      </c>
      <c r="C2288" s="16" t="str">
        <f>VLOOKUP([1]Competence!$B98,[1]Competence!$B$12:$B$100,1,FALSE)</f>
        <v>Project management</v>
      </c>
      <c r="D2288" s="13" t="str" cm="1">
        <f t="array" ref="D2288">_xlfn.XLOOKUP(B2288,[1]Baseline!$D$3:$AZ$3,_xlfn.XLOOKUP(C2288,[1]Baseline!$B$4:$B$91,[1]Baseline!$D$4:$AZ$91))</f>
        <v>No Knowledge</v>
      </c>
      <c r="E2288" s="16" t="s">
        <v>355</v>
      </c>
      <c r="F2288" s="16">
        <v>0</v>
      </c>
      <c r="G2288" s="16">
        <v>99</v>
      </c>
      <c r="H2288" s="16">
        <f t="shared" si="35"/>
        <v>99</v>
      </c>
      <c r="I2288" s="13">
        <v>99</v>
      </c>
    </row>
    <row r="2289" spans="1:9">
      <c r="A2289" s="16" t="s">
        <v>3</v>
      </c>
      <c r="B2289" s="16" t="s">
        <v>58</v>
      </c>
      <c r="C2289" s="16" t="str">
        <f>VLOOKUP([1]Competence!$B99,[1]Competence!$B$12:$B$100,1,FALSE)</f>
        <v>Quality assurance</v>
      </c>
      <c r="D2289" s="13" t="str" cm="1">
        <f t="array" ref="D2289">_xlfn.XLOOKUP(B2289,[1]Baseline!$D$3:$AZ$3,_xlfn.XLOOKUP(C2289,[1]Baseline!$B$4:$B$91,[1]Baseline!$D$4:$AZ$91))</f>
        <v>Awareness</v>
      </c>
      <c r="E2289" s="16" t="s">
        <v>358</v>
      </c>
      <c r="F2289" s="16">
        <v>1</v>
      </c>
      <c r="G2289" s="16">
        <v>99</v>
      </c>
      <c r="H2289" s="16">
        <f t="shared" si="35"/>
        <v>98</v>
      </c>
      <c r="I2289" s="13">
        <v>99</v>
      </c>
    </row>
    <row r="2290" spans="1:9">
      <c r="A2290" s="16" t="s">
        <v>11</v>
      </c>
      <c r="B2290" s="16" t="s">
        <v>74</v>
      </c>
      <c r="C2290" s="16" t="str">
        <f>VLOOKUP([1]Competence!$B12,[1]Competence!$B$12:$B$100,1,FALSE)</f>
        <v>Asset Management</v>
      </c>
      <c r="D2290" s="13" t="str" cm="1">
        <f t="array" ref="D2290">_xlfn.XLOOKUP(B2290,[1]Baseline!$D$3:$AZ$3,_xlfn.XLOOKUP(C2290,[1]Baseline!$B$4:$B$91,[1]Baseline!$D$4:$AZ$91))</f>
        <v>Working</v>
      </c>
      <c r="E2290" s="16" t="s">
        <v>334</v>
      </c>
      <c r="F2290" s="16">
        <v>0</v>
      </c>
      <c r="G2290" s="16">
        <v>99</v>
      </c>
      <c r="H2290" s="16">
        <f t="shared" si="35"/>
        <v>99</v>
      </c>
      <c r="I2290" s="13">
        <v>99</v>
      </c>
    </row>
    <row r="2291" spans="1:9">
      <c r="A2291" s="16" t="s">
        <v>11</v>
      </c>
      <c r="B2291" s="16" t="s">
        <v>74</v>
      </c>
      <c r="C2291" s="16" t="str">
        <f>VLOOKUP([1]Competence!$B13,[1]Competence!$B$12:$B$100,1,FALSE)</f>
        <v>Change Control</v>
      </c>
      <c r="D2291" s="13" t="str" cm="1">
        <f t="array" ref="D2291">_xlfn.XLOOKUP(B2291,[1]Baseline!$D$3:$AZ$3,_xlfn.XLOOKUP(C2291,[1]Baseline!$B$4:$B$91,[1]Baseline!$D$4:$AZ$91))</f>
        <v>Practitioner</v>
      </c>
      <c r="E2291" s="16" t="s">
        <v>337</v>
      </c>
      <c r="F2291" s="16">
        <v>0</v>
      </c>
      <c r="G2291" s="16">
        <v>99</v>
      </c>
      <c r="H2291" s="16">
        <f t="shared" si="35"/>
        <v>99</v>
      </c>
      <c r="I2291" s="13">
        <v>99</v>
      </c>
    </row>
    <row r="2292" spans="1:9">
      <c r="A2292" s="16" t="s">
        <v>11</v>
      </c>
      <c r="B2292" s="16" t="s">
        <v>74</v>
      </c>
      <c r="C2292" s="16" t="str">
        <f>VLOOKUP([1]Competence!$B14,[1]Competence!$B$12:$B$100,1,FALSE)</f>
        <v>Customer Service Support</v>
      </c>
      <c r="D2292" s="13" t="str" cm="1">
        <f t="array" ref="D2292">_xlfn.XLOOKUP(B2292,[1]Baseline!$D$3:$AZ$3,_xlfn.XLOOKUP(C2292,[1]Baseline!$B$4:$B$91,[1]Baseline!$D$4:$AZ$91))</f>
        <v>Practitioner</v>
      </c>
      <c r="E2292" s="16" t="s">
        <v>340</v>
      </c>
      <c r="F2292" s="16">
        <v>0</v>
      </c>
      <c r="G2292" s="16">
        <v>99</v>
      </c>
      <c r="H2292" s="16">
        <f t="shared" si="35"/>
        <v>99</v>
      </c>
      <c r="I2292" s="13">
        <v>99</v>
      </c>
    </row>
    <row r="2293" spans="1:9">
      <c r="A2293" s="16" t="s">
        <v>11</v>
      </c>
      <c r="B2293" s="16" t="s">
        <v>74</v>
      </c>
      <c r="C2293" s="16" t="str">
        <f>VLOOKUP([1]Competence!$B15,[1]Competence!$B$12:$B$100,1,FALSE)</f>
        <v>Incident management</v>
      </c>
      <c r="D2293" s="13" t="str" cm="1">
        <f t="array" ref="D2293">_xlfn.XLOOKUP(B2293,[1]Baseline!$D$3:$AZ$3,_xlfn.XLOOKUP(C2293,[1]Baseline!$B$4:$B$91,[1]Baseline!$D$4:$AZ$91))</f>
        <v>Working</v>
      </c>
      <c r="E2293" s="16" t="s">
        <v>343</v>
      </c>
      <c r="F2293" s="16">
        <v>0</v>
      </c>
      <c r="G2293" s="16">
        <v>99</v>
      </c>
      <c r="H2293" s="16">
        <f t="shared" si="35"/>
        <v>99</v>
      </c>
      <c r="I2293" s="13">
        <v>99</v>
      </c>
    </row>
    <row r="2294" spans="1:9">
      <c r="A2294" s="16" t="s">
        <v>11</v>
      </c>
      <c r="B2294" s="16" t="s">
        <v>74</v>
      </c>
      <c r="C2294" s="16" t="str">
        <f>VLOOKUP([1]Competence!$B16,[1]Competence!$B$12:$B$100,1,FALSE)</f>
        <v>Information security</v>
      </c>
      <c r="D2294" s="13" t="str" cm="1">
        <f t="array" ref="D2294">_xlfn.XLOOKUP(B2294,[1]Baseline!$D$3:$AZ$3,_xlfn.XLOOKUP(C2294,[1]Baseline!$B$4:$B$91,[1]Baseline!$D$4:$AZ$91))</f>
        <v>Practitioner</v>
      </c>
      <c r="E2294" s="16" t="s">
        <v>346</v>
      </c>
      <c r="F2294" s="16">
        <v>0</v>
      </c>
      <c r="G2294" s="16">
        <v>99</v>
      </c>
      <c r="H2294" s="16">
        <f t="shared" si="35"/>
        <v>99</v>
      </c>
      <c r="I2294" s="13">
        <v>99</v>
      </c>
    </row>
    <row r="2295" spans="1:9">
      <c r="A2295" s="16" t="s">
        <v>11</v>
      </c>
      <c r="B2295" s="16" t="s">
        <v>74</v>
      </c>
      <c r="C2295" s="16" t="str">
        <f>VLOOKUP([1]Competence!$B17,[1]Competence!$B$12:$B$100,1,FALSE)</f>
        <v>Personal data protection</v>
      </c>
      <c r="D2295" s="13" t="str" cm="1">
        <f t="array" ref="D2295">_xlfn.XLOOKUP(B2295,[1]Baseline!$D$3:$AZ$3,_xlfn.XLOOKUP(C2295,[1]Baseline!$B$4:$B$91,[1]Baseline!$D$4:$AZ$91))</f>
        <v>Practitioner</v>
      </c>
      <c r="E2295" s="16" t="s">
        <v>349</v>
      </c>
      <c r="F2295" s="16">
        <v>0</v>
      </c>
      <c r="G2295" s="16">
        <v>99</v>
      </c>
      <c r="H2295" s="16">
        <f t="shared" si="35"/>
        <v>99</v>
      </c>
      <c r="I2295" s="13">
        <v>99</v>
      </c>
    </row>
    <row r="2296" spans="1:9">
      <c r="A2296" s="16" t="s">
        <v>11</v>
      </c>
      <c r="B2296" s="16" t="s">
        <v>74</v>
      </c>
      <c r="C2296" s="16" t="str">
        <f>VLOOKUP([1]Competence!$B18,[1]Competence!$B$12:$B$100,1,FALSE)</f>
        <v>Problem management</v>
      </c>
      <c r="D2296" s="13" t="str" cm="1">
        <f t="array" ref="D2296">_xlfn.XLOOKUP(B2296,[1]Baseline!$D$3:$AZ$3,_xlfn.XLOOKUP(C2296,[1]Baseline!$B$4:$B$91,[1]Baseline!$D$4:$AZ$91))</f>
        <v>Expert</v>
      </c>
      <c r="E2296" s="16" t="s">
        <v>106</v>
      </c>
      <c r="F2296" s="16">
        <v>2</v>
      </c>
      <c r="G2296" s="16">
        <v>99</v>
      </c>
      <c r="H2296" s="16">
        <f t="shared" si="35"/>
        <v>97</v>
      </c>
      <c r="I2296" s="13">
        <v>99</v>
      </c>
    </row>
    <row r="2297" spans="1:9">
      <c r="A2297" s="16" t="s">
        <v>11</v>
      </c>
      <c r="B2297" s="16" t="s">
        <v>74</v>
      </c>
      <c r="C2297" s="16" t="str">
        <f>VLOOKUP([1]Competence!$B19,[1]Competence!$B$12:$B$100,1,FALSE)</f>
        <v>Service catalogue management</v>
      </c>
      <c r="D2297" s="13" t="str" cm="1">
        <f t="array" ref="D2297">_xlfn.XLOOKUP(B2297,[1]Baseline!$D$3:$AZ$3,_xlfn.XLOOKUP(C2297,[1]Baseline!$B$4:$B$91,[1]Baseline!$D$4:$AZ$91))</f>
        <v>Expert</v>
      </c>
      <c r="E2297" s="16" t="s">
        <v>109</v>
      </c>
      <c r="F2297" s="16">
        <v>2</v>
      </c>
      <c r="G2297" s="16">
        <v>99</v>
      </c>
      <c r="H2297" s="16">
        <f t="shared" si="35"/>
        <v>97</v>
      </c>
      <c r="I2297" s="13">
        <v>99</v>
      </c>
    </row>
    <row r="2298" spans="1:9">
      <c r="A2298" s="16" t="s">
        <v>11</v>
      </c>
      <c r="B2298" s="16" t="s">
        <v>74</v>
      </c>
      <c r="C2298" s="16" t="str">
        <f>VLOOKUP([1]Competence!$B20,[1]Competence!$B$12:$B$100,1,FALSE)</f>
        <v>Service level management</v>
      </c>
      <c r="D2298" s="13" t="str" cm="1">
        <f t="array" ref="D2298">_xlfn.XLOOKUP(B2298,[1]Baseline!$D$3:$AZ$3,_xlfn.XLOOKUP(C2298,[1]Baseline!$B$4:$B$91,[1]Baseline!$D$4:$AZ$91))</f>
        <v>Expert</v>
      </c>
      <c r="E2298" s="16" t="s">
        <v>112</v>
      </c>
      <c r="F2298" s="16">
        <v>3</v>
      </c>
      <c r="G2298" s="16">
        <v>99</v>
      </c>
      <c r="H2298" s="16">
        <f t="shared" si="35"/>
        <v>96</v>
      </c>
      <c r="I2298" s="13">
        <v>99</v>
      </c>
    </row>
    <row r="2299" spans="1:9">
      <c r="A2299" s="16" t="s">
        <v>11</v>
      </c>
      <c r="B2299" s="16" t="s">
        <v>74</v>
      </c>
      <c r="C2299" s="16" t="str">
        <f>VLOOKUP([1]Competence!$B21,[1]Competence!$B$12:$B$100,1,FALSE)</f>
        <v>Availability Management</v>
      </c>
      <c r="D2299" s="13" t="str" cm="1">
        <f t="array" ref="D2299">_xlfn.XLOOKUP(B2299,[1]Baseline!$D$3:$AZ$3,_xlfn.XLOOKUP(C2299,[1]Baseline!$B$4:$B$91,[1]Baseline!$D$4:$AZ$91))</f>
        <v>Expert</v>
      </c>
      <c r="E2299" s="16" t="s">
        <v>115</v>
      </c>
      <c r="F2299" s="16">
        <v>2</v>
      </c>
      <c r="G2299" s="16">
        <v>99</v>
      </c>
      <c r="H2299" s="16">
        <f t="shared" si="35"/>
        <v>97</v>
      </c>
      <c r="I2299" s="13">
        <v>99</v>
      </c>
    </row>
    <row r="2300" spans="1:9">
      <c r="A2300" s="16" t="s">
        <v>11</v>
      </c>
      <c r="B2300" s="16" t="s">
        <v>74</v>
      </c>
      <c r="C2300" s="16" t="str">
        <f>VLOOKUP([1]Competence!$B22,[1]Competence!$B$12:$B$100,1,FALSE)</f>
        <v>Capacity management</v>
      </c>
      <c r="D2300" s="13" t="str" cm="1">
        <f t="array" ref="D2300">_xlfn.XLOOKUP(B2300,[1]Baseline!$D$3:$AZ$3,_xlfn.XLOOKUP(C2300,[1]Baseline!$B$4:$B$91,[1]Baseline!$D$4:$AZ$91))</f>
        <v>Expert</v>
      </c>
      <c r="E2300" s="16" t="s">
        <v>118</v>
      </c>
      <c r="F2300" s="16">
        <v>2</v>
      </c>
      <c r="G2300" s="16">
        <v>99</v>
      </c>
      <c r="H2300" s="16">
        <f t="shared" si="35"/>
        <v>97</v>
      </c>
      <c r="I2300" s="13">
        <v>99</v>
      </c>
    </row>
    <row r="2301" spans="1:9">
      <c r="A2301" s="16" t="s">
        <v>11</v>
      </c>
      <c r="B2301" s="16" t="s">
        <v>74</v>
      </c>
      <c r="C2301" s="16" t="str">
        <f>VLOOKUP([1]Competence!$B23,[1]Competence!$B$12:$B$100,1,FALSE)</f>
        <v>Configuration Management</v>
      </c>
      <c r="D2301" s="13" t="str" cm="1">
        <f t="array" ref="D2301">_xlfn.XLOOKUP(B2301,[1]Baseline!$D$3:$AZ$3,_xlfn.XLOOKUP(C2301,[1]Baseline!$B$4:$B$91,[1]Baseline!$D$4:$AZ$91))</f>
        <v>Expert</v>
      </c>
      <c r="E2301" s="16" t="s">
        <v>121</v>
      </c>
      <c r="F2301" s="16">
        <v>3</v>
      </c>
      <c r="G2301" s="16">
        <v>99</v>
      </c>
      <c r="H2301" s="16">
        <f t="shared" si="35"/>
        <v>96</v>
      </c>
      <c r="I2301" s="13">
        <v>99</v>
      </c>
    </row>
    <row r="2302" spans="1:9">
      <c r="A2302" s="16" t="s">
        <v>11</v>
      </c>
      <c r="B2302" s="16" t="s">
        <v>74</v>
      </c>
      <c r="C2302" s="16" t="str">
        <f>VLOOKUP([1]Competence!$B24,[1]Competence!$B$12:$B$100,1,FALSE)</f>
        <v>Continuity Management</v>
      </c>
      <c r="D2302" s="13" t="str" cm="1">
        <f t="array" ref="D2302">_xlfn.XLOOKUP(B2302,[1]Baseline!$D$3:$AZ$3,_xlfn.XLOOKUP(C2302,[1]Baseline!$B$4:$B$91,[1]Baseline!$D$4:$AZ$91))</f>
        <v>Expert</v>
      </c>
      <c r="E2302" s="16" t="s">
        <v>124</v>
      </c>
      <c r="F2302" s="16">
        <v>2</v>
      </c>
      <c r="G2302" s="16">
        <v>99</v>
      </c>
      <c r="H2302" s="16">
        <f t="shared" si="35"/>
        <v>97</v>
      </c>
      <c r="I2302" s="13">
        <v>99</v>
      </c>
    </row>
    <row r="2303" spans="1:9">
      <c r="A2303" s="16" t="s">
        <v>11</v>
      </c>
      <c r="B2303" s="16" t="s">
        <v>74</v>
      </c>
      <c r="C2303" s="16" t="str">
        <f>VLOOKUP([1]Competence!$B25,[1]Competence!$B$12:$B$100,1,FALSE)</f>
        <v>Demand Management</v>
      </c>
      <c r="D2303" s="13" t="str" cm="1">
        <f t="array" ref="D2303">_xlfn.XLOOKUP(B2303,[1]Baseline!$D$3:$AZ$3,_xlfn.XLOOKUP(C2303,[1]Baseline!$B$4:$B$91,[1]Baseline!$D$4:$AZ$91))</f>
        <v>Practitioner</v>
      </c>
      <c r="E2303" s="16" t="s">
        <v>127</v>
      </c>
      <c r="F2303" s="16">
        <v>2</v>
      </c>
      <c r="G2303" s="16">
        <v>99</v>
      </c>
      <c r="H2303" s="16">
        <f t="shared" si="35"/>
        <v>97</v>
      </c>
      <c r="I2303" s="13">
        <v>99</v>
      </c>
    </row>
    <row r="2304" spans="1:9">
      <c r="A2304" s="16" t="s">
        <v>11</v>
      </c>
      <c r="B2304" s="16" t="s">
        <v>74</v>
      </c>
      <c r="C2304" s="16" t="str">
        <f>VLOOKUP([1]Competence!$B26,[1]Competence!$B$12:$B$100,1,FALSE)</f>
        <v>Knowledge management</v>
      </c>
      <c r="D2304" s="13" t="str" cm="1">
        <f t="array" ref="D2304">_xlfn.XLOOKUP(B2304,[1]Baseline!$D$3:$AZ$3,_xlfn.XLOOKUP(C2304,[1]Baseline!$B$4:$B$91,[1]Baseline!$D$4:$AZ$91))</f>
        <v>Expert</v>
      </c>
      <c r="E2304" s="16" t="s">
        <v>130</v>
      </c>
      <c r="F2304" s="16">
        <v>2</v>
      </c>
      <c r="G2304" s="16">
        <v>99</v>
      </c>
      <c r="H2304" s="16">
        <f t="shared" si="35"/>
        <v>97</v>
      </c>
      <c r="I2304" s="13">
        <v>99</v>
      </c>
    </row>
    <row r="2305" spans="1:9">
      <c r="A2305" s="16" t="s">
        <v>11</v>
      </c>
      <c r="B2305" s="16" t="s">
        <v>74</v>
      </c>
      <c r="C2305" s="16" t="str">
        <f>VLOOKUP([1]Competence!$B27,[1]Competence!$B$12:$B$100,1,FALSE)</f>
        <v>Methods and tools</v>
      </c>
      <c r="D2305" s="13" t="str" cm="1">
        <f t="array" ref="D2305">_xlfn.XLOOKUP(B2305,[1]Baseline!$D$3:$AZ$3,_xlfn.XLOOKUP(C2305,[1]Baseline!$B$4:$B$91,[1]Baseline!$D$4:$AZ$91))</f>
        <v>Expert</v>
      </c>
      <c r="E2305" s="16" t="s">
        <v>211</v>
      </c>
      <c r="F2305" s="16">
        <v>1</v>
      </c>
      <c r="G2305" s="16">
        <v>99</v>
      </c>
      <c r="H2305" s="16">
        <f t="shared" si="35"/>
        <v>98</v>
      </c>
      <c r="I2305" s="13">
        <v>99</v>
      </c>
    </row>
    <row r="2306" spans="1:9">
      <c r="A2306" s="16" t="s">
        <v>11</v>
      </c>
      <c r="B2306" s="16" t="s">
        <v>74</v>
      </c>
      <c r="C2306" s="16" t="str">
        <f>VLOOKUP([1]Competence!$B28,[1]Competence!$B$12:$B$100,1,FALSE)</f>
        <v>Release and deployment</v>
      </c>
      <c r="D2306" s="13" t="str" cm="1">
        <f t="array" ref="D2306">_xlfn.XLOOKUP(B2306,[1]Baseline!$D$3:$AZ$3,_xlfn.XLOOKUP(C2306,[1]Baseline!$B$4:$B$91,[1]Baseline!$D$4:$AZ$91))</f>
        <v>Expert</v>
      </c>
      <c r="E2306" s="16" t="s">
        <v>214</v>
      </c>
      <c r="F2306" s="16">
        <v>0</v>
      </c>
      <c r="G2306" s="16">
        <v>99</v>
      </c>
      <c r="H2306" s="16">
        <f t="shared" ref="H2306:H2369" si="36">I2306-F2306</f>
        <v>99</v>
      </c>
      <c r="I2306" s="13">
        <v>99</v>
      </c>
    </row>
    <row r="2307" spans="1:9">
      <c r="A2307" s="16" t="s">
        <v>11</v>
      </c>
      <c r="B2307" s="16" t="s">
        <v>74</v>
      </c>
      <c r="C2307" s="16" t="str">
        <f>VLOOKUP([1]Competence!$B29,[1]Competence!$B$12:$B$100,1,FALSE)</f>
        <v>Service acceptance</v>
      </c>
      <c r="D2307" s="13" t="str" cm="1">
        <f t="array" ref="D2307">_xlfn.XLOOKUP(B2307,[1]Baseline!$D$3:$AZ$3,_xlfn.XLOOKUP(C2307,[1]Baseline!$B$4:$B$91,[1]Baseline!$D$4:$AZ$91))</f>
        <v>Expert</v>
      </c>
      <c r="E2307" s="16" t="s">
        <v>217</v>
      </c>
      <c r="F2307" s="16">
        <v>0</v>
      </c>
      <c r="G2307" s="16">
        <v>99</v>
      </c>
      <c r="H2307" s="16">
        <f t="shared" si="36"/>
        <v>99</v>
      </c>
      <c r="I2307" s="13">
        <v>99</v>
      </c>
    </row>
    <row r="2308" spans="1:9">
      <c r="A2308" s="16" t="s">
        <v>11</v>
      </c>
      <c r="B2308" s="16" t="s">
        <v>74</v>
      </c>
      <c r="C2308" s="16" t="str">
        <f>VLOOKUP([1]Competence!$B30,[1]Competence!$B$12:$B$100,1,FALSE)</f>
        <v>Stakeholder relationship management</v>
      </c>
      <c r="D2308" s="13" t="str" cm="1">
        <f t="array" ref="D2308">_xlfn.XLOOKUP(B2308,[1]Baseline!$D$3:$AZ$3,_xlfn.XLOOKUP(C2308,[1]Baseline!$B$4:$B$91,[1]Baseline!$D$4:$AZ$91))</f>
        <v>Expert</v>
      </c>
      <c r="E2308" s="16" t="s">
        <v>49</v>
      </c>
      <c r="F2308" s="16">
        <v>1</v>
      </c>
      <c r="G2308" s="16">
        <v>99</v>
      </c>
      <c r="H2308" s="16">
        <f t="shared" si="36"/>
        <v>98</v>
      </c>
      <c r="I2308" s="13">
        <v>99</v>
      </c>
    </row>
    <row r="2309" spans="1:9">
      <c r="A2309" s="16" t="s">
        <v>11</v>
      </c>
      <c r="B2309" s="16" t="s">
        <v>74</v>
      </c>
      <c r="C2309" s="16" t="str">
        <f>VLOOKUP([1]Competence!$B31,[1]Competence!$B$12:$B$100,1,FALSE)</f>
        <v>Storage management</v>
      </c>
      <c r="D2309" s="13" t="str" cm="1">
        <f t="array" ref="D2309">_xlfn.XLOOKUP(B2309,[1]Baseline!$D$3:$AZ$3,_xlfn.XLOOKUP(C2309,[1]Baseline!$B$4:$B$91,[1]Baseline!$D$4:$AZ$91))</f>
        <v>Expert</v>
      </c>
      <c r="E2309" s="16" t="s">
        <v>222</v>
      </c>
      <c r="F2309" s="16">
        <v>0</v>
      </c>
      <c r="G2309" s="16">
        <v>99</v>
      </c>
      <c r="H2309" s="16">
        <f t="shared" si="36"/>
        <v>99</v>
      </c>
      <c r="I2309" s="13">
        <v>99</v>
      </c>
    </row>
    <row r="2310" spans="1:9">
      <c r="A2310" s="16" t="s">
        <v>11</v>
      </c>
      <c r="B2310" s="16" t="s">
        <v>74</v>
      </c>
      <c r="C2310" s="16" t="str">
        <f>VLOOKUP([1]Competence!$B32,[1]Competence!$B$12:$B$100,1,FALSE)</f>
        <v>Digital Forensics</v>
      </c>
      <c r="D2310" s="13" t="str" cm="1">
        <f t="array" ref="D2310">_xlfn.XLOOKUP(B2310,[1]Baseline!$D$3:$AZ$3,_xlfn.XLOOKUP(C2310,[1]Baseline!$B$4:$B$91,[1]Baseline!$D$4:$AZ$91))</f>
        <v>No Knowledge</v>
      </c>
      <c r="E2310" s="16" t="s">
        <v>225</v>
      </c>
      <c r="F2310" s="16">
        <v>1</v>
      </c>
      <c r="G2310" s="16">
        <v>99</v>
      </c>
      <c r="H2310" s="16">
        <f t="shared" si="36"/>
        <v>98</v>
      </c>
      <c r="I2310" s="13">
        <v>99</v>
      </c>
    </row>
    <row r="2311" spans="1:9">
      <c r="A2311" s="16" t="s">
        <v>11</v>
      </c>
      <c r="B2311" s="16" t="s">
        <v>74</v>
      </c>
      <c r="C2311" s="16" t="str">
        <f>VLOOKUP([1]Competence!$B33,[1]Competence!$B$12:$B$100,1,FALSE)</f>
        <v>Penetration testing</v>
      </c>
      <c r="D2311" s="13" t="str" cm="1">
        <f t="array" ref="D2311">_xlfn.XLOOKUP(B2311,[1]Baseline!$D$3:$AZ$3,_xlfn.XLOOKUP(C2311,[1]Baseline!$B$4:$B$91,[1]Baseline!$D$4:$AZ$91))</f>
        <v>Practitioner</v>
      </c>
      <c r="E2311" s="16" t="s">
        <v>228</v>
      </c>
      <c r="F2311" s="16">
        <v>1</v>
      </c>
      <c r="G2311" s="16">
        <v>99</v>
      </c>
      <c r="H2311" s="16">
        <f t="shared" si="36"/>
        <v>98</v>
      </c>
      <c r="I2311" s="13">
        <v>99</v>
      </c>
    </row>
    <row r="2312" spans="1:9">
      <c r="A2312" s="16" t="s">
        <v>11</v>
      </c>
      <c r="B2312" s="16" t="s">
        <v>74</v>
      </c>
      <c r="C2312" s="16" t="str">
        <f>VLOOKUP([1]Competence!$B34,[1]Competence!$B$12:$B$100,1,FALSE)</f>
        <v>Security Operations</v>
      </c>
      <c r="D2312" s="13" t="str" cm="1">
        <f t="array" ref="D2312">_xlfn.XLOOKUP(B2312,[1]Baseline!$D$3:$AZ$3,_xlfn.XLOOKUP(C2312,[1]Baseline!$B$4:$B$91,[1]Baseline!$D$4:$AZ$91))</f>
        <v>Practitioner</v>
      </c>
      <c r="E2312" s="16" t="s">
        <v>231</v>
      </c>
      <c r="F2312" s="16">
        <v>1</v>
      </c>
      <c r="G2312" s="16">
        <v>99</v>
      </c>
      <c r="H2312" s="16">
        <f t="shared" si="36"/>
        <v>98</v>
      </c>
      <c r="I2312" s="13">
        <v>99</v>
      </c>
    </row>
    <row r="2313" spans="1:9">
      <c r="A2313" s="16" t="s">
        <v>11</v>
      </c>
      <c r="B2313" s="16" t="s">
        <v>74</v>
      </c>
      <c r="C2313" s="16" t="str">
        <f>VLOOKUP([1]Competence!$B35,[1]Competence!$B$12:$B$100,1,FALSE)</f>
        <v>Threat Intelligence</v>
      </c>
      <c r="D2313" s="13" t="str" cm="1">
        <f t="array" ref="D2313">_xlfn.XLOOKUP(B2313,[1]Baseline!$D$3:$AZ$3,_xlfn.XLOOKUP(C2313,[1]Baseline!$B$4:$B$91,[1]Baseline!$D$4:$AZ$91))</f>
        <v>Working</v>
      </c>
      <c r="E2313" s="16" t="s">
        <v>185</v>
      </c>
      <c r="F2313" s="16">
        <v>1</v>
      </c>
      <c r="G2313" s="16">
        <v>99</v>
      </c>
      <c r="H2313" s="16">
        <f t="shared" si="36"/>
        <v>98</v>
      </c>
      <c r="I2313" s="13">
        <v>99</v>
      </c>
    </row>
    <row r="2314" spans="1:9">
      <c r="A2314" s="16" t="s">
        <v>11</v>
      </c>
      <c r="B2314" s="16" t="s">
        <v>74</v>
      </c>
      <c r="C2314" s="16" t="str">
        <f>VLOOKUP([1]Competence!$B36,[1]Competence!$B$12:$B$100,1,FALSE)</f>
        <v>Vulnerability assessment</v>
      </c>
      <c r="D2314" s="13" t="str" cm="1">
        <f t="array" ref="D2314">_xlfn.XLOOKUP(B2314,[1]Baseline!$D$3:$AZ$3,_xlfn.XLOOKUP(C2314,[1]Baseline!$B$4:$B$91,[1]Baseline!$D$4:$AZ$91))</f>
        <v>Practitioner</v>
      </c>
      <c r="E2314" s="16" t="s">
        <v>188</v>
      </c>
      <c r="F2314" s="16">
        <v>1</v>
      </c>
      <c r="G2314" s="16">
        <v>99</v>
      </c>
      <c r="H2314" s="16">
        <f t="shared" si="36"/>
        <v>98</v>
      </c>
      <c r="I2314" s="13">
        <v>99</v>
      </c>
    </row>
    <row r="2315" spans="1:9">
      <c r="A2315" s="16" t="s">
        <v>11</v>
      </c>
      <c r="B2315" s="16" t="s">
        <v>74</v>
      </c>
      <c r="C2315" s="16" t="str">
        <f>VLOOKUP([1]Competence!$B37,[1]Competence!$B$12:$B$100,1,FALSE)</f>
        <v>Vulnerability Research</v>
      </c>
      <c r="D2315" s="13" t="str" cm="1">
        <f t="array" ref="D2315">_xlfn.XLOOKUP(B2315,[1]Baseline!$D$3:$AZ$3,_xlfn.XLOOKUP(C2315,[1]Baseline!$B$4:$B$91,[1]Baseline!$D$4:$AZ$91))</f>
        <v>Working</v>
      </c>
      <c r="E2315" s="16" t="s">
        <v>191</v>
      </c>
      <c r="F2315" s="16">
        <v>0</v>
      </c>
      <c r="G2315" s="16">
        <v>99</v>
      </c>
      <c r="H2315" s="16">
        <f t="shared" si="36"/>
        <v>99</v>
      </c>
      <c r="I2315" s="13">
        <v>99</v>
      </c>
    </row>
    <row r="2316" spans="1:9">
      <c r="A2316" s="16" t="s">
        <v>11</v>
      </c>
      <c r="B2316" s="16" t="s">
        <v>74</v>
      </c>
      <c r="C2316" s="16" t="str">
        <f>VLOOKUP([1]Competence!$B38,[1]Competence!$B$12:$B$100,1,FALSE)</f>
        <v>Competency assessment</v>
      </c>
      <c r="D2316" s="13" t="str" cm="1">
        <f t="array" ref="D2316">_xlfn.XLOOKUP(B2316,[1]Baseline!$D$3:$AZ$3,_xlfn.XLOOKUP(C2316,[1]Baseline!$B$4:$B$91,[1]Baseline!$D$4:$AZ$91))</f>
        <v>Working</v>
      </c>
      <c r="E2316" s="16" t="s">
        <v>194</v>
      </c>
      <c r="F2316" s="16">
        <v>0</v>
      </c>
      <c r="G2316" s="16">
        <v>99</v>
      </c>
      <c r="H2316" s="16">
        <f t="shared" si="36"/>
        <v>99</v>
      </c>
      <c r="I2316" s="13">
        <v>99</v>
      </c>
    </row>
    <row r="2317" spans="1:9">
      <c r="A2317" s="16" t="s">
        <v>11</v>
      </c>
      <c r="B2317" s="16" t="s">
        <v>74</v>
      </c>
      <c r="C2317" s="16" t="str">
        <f>VLOOKUP([1]Competence!$B39,[1]Competence!$B$12:$B$100,1,FALSE)</f>
        <v>Financial management</v>
      </c>
      <c r="D2317" s="13" t="str" cm="1">
        <f t="array" ref="D2317">_xlfn.XLOOKUP(B2317,[1]Baseline!$D$3:$AZ$3,_xlfn.XLOOKUP(C2317,[1]Baseline!$B$4:$B$91,[1]Baseline!$D$4:$AZ$91))</f>
        <v>Working</v>
      </c>
      <c r="E2317" s="16" t="s">
        <v>197</v>
      </c>
      <c r="F2317" s="16">
        <v>0</v>
      </c>
      <c r="G2317" s="16">
        <v>99</v>
      </c>
      <c r="H2317" s="16">
        <f t="shared" si="36"/>
        <v>99</v>
      </c>
      <c r="I2317" s="13">
        <v>99</v>
      </c>
    </row>
    <row r="2318" spans="1:9">
      <c r="A2318" s="16" t="s">
        <v>11</v>
      </c>
      <c r="B2318" s="16" t="s">
        <v>74</v>
      </c>
      <c r="C2318" s="16" t="str">
        <f>VLOOKUP([1]Competence!$B40,[1]Competence!$B$12:$B$100,1,FALSE)</f>
        <v>Organisation design and implementation</v>
      </c>
      <c r="D2318" s="13" t="str" cm="1">
        <f t="array" ref="D2318">_xlfn.XLOOKUP(B2318,[1]Baseline!$D$3:$AZ$3,_xlfn.XLOOKUP(C2318,[1]Baseline!$B$4:$B$91,[1]Baseline!$D$4:$AZ$91))</f>
        <v>No Knowledge</v>
      </c>
      <c r="E2318" s="16" t="s">
        <v>200</v>
      </c>
      <c r="F2318" s="16">
        <v>0</v>
      </c>
      <c r="G2318" s="16">
        <v>99</v>
      </c>
      <c r="H2318" s="16">
        <f t="shared" si="36"/>
        <v>99</v>
      </c>
      <c r="I2318" s="13">
        <v>99</v>
      </c>
    </row>
    <row r="2319" spans="1:9">
      <c r="A2319" s="16" t="s">
        <v>11</v>
      </c>
      <c r="B2319" s="16" t="s">
        <v>74</v>
      </c>
      <c r="C2319" s="16" t="str">
        <f>VLOOKUP([1]Competence!$B41,[1]Competence!$B$12:$B$100,1,FALSE)</f>
        <v>Organisational capability development</v>
      </c>
      <c r="D2319" s="13" t="str" cm="1">
        <f t="array" ref="D2319">_xlfn.XLOOKUP(B2319,[1]Baseline!$D$3:$AZ$3,_xlfn.XLOOKUP(C2319,[1]Baseline!$B$4:$B$91,[1]Baseline!$D$4:$AZ$91))</f>
        <v>No Knowledge</v>
      </c>
      <c r="E2319" s="16" t="s">
        <v>203</v>
      </c>
      <c r="F2319" s="16">
        <v>1</v>
      </c>
      <c r="G2319" s="16">
        <v>99</v>
      </c>
      <c r="H2319" s="16">
        <f t="shared" si="36"/>
        <v>98</v>
      </c>
      <c r="I2319" s="13">
        <v>99</v>
      </c>
    </row>
    <row r="2320" spans="1:9">
      <c r="A2320" s="16" t="s">
        <v>11</v>
      </c>
      <c r="B2320" s="16" t="s">
        <v>74</v>
      </c>
      <c r="C2320" s="16" t="str">
        <f>VLOOKUP([1]Competence!$B42,[1]Competence!$B$12:$B$100,1,FALSE)</f>
        <v>Organisational change management</v>
      </c>
      <c r="D2320" s="13" t="str" cm="1">
        <f t="array" ref="D2320">_xlfn.XLOOKUP(B2320,[1]Baseline!$D$3:$AZ$3,_xlfn.XLOOKUP(C2320,[1]Baseline!$B$4:$B$91,[1]Baseline!$D$4:$AZ$91))</f>
        <v>Awareness</v>
      </c>
      <c r="E2320" s="16" t="s">
        <v>206</v>
      </c>
      <c r="F2320" s="16">
        <v>0</v>
      </c>
      <c r="G2320" s="16">
        <v>99</v>
      </c>
      <c r="H2320" s="16">
        <f t="shared" si="36"/>
        <v>99</v>
      </c>
      <c r="I2320" s="13">
        <v>99</v>
      </c>
    </row>
    <row r="2321" spans="1:9">
      <c r="A2321" s="16" t="s">
        <v>11</v>
      </c>
      <c r="B2321" s="16" t="s">
        <v>74</v>
      </c>
      <c r="C2321" s="16" t="str">
        <f>VLOOKUP([1]Competence!$B43,[1]Competence!$B$12:$B$100,1,FALSE)</f>
        <v>Performance Management</v>
      </c>
      <c r="D2321" s="13" t="str" cm="1">
        <f t="array" ref="D2321">_xlfn.XLOOKUP(B2321,[1]Baseline!$D$3:$AZ$3,_xlfn.XLOOKUP(C2321,[1]Baseline!$B$4:$B$91,[1]Baseline!$D$4:$AZ$91))</f>
        <v>Working</v>
      </c>
      <c r="E2321" s="16" t="s">
        <v>208</v>
      </c>
      <c r="F2321" s="16">
        <v>0</v>
      </c>
      <c r="G2321" s="16">
        <v>99</v>
      </c>
      <c r="H2321" s="16">
        <f t="shared" si="36"/>
        <v>99</v>
      </c>
      <c r="I2321" s="13">
        <v>99</v>
      </c>
    </row>
    <row r="2322" spans="1:9">
      <c r="A2322" s="16" t="s">
        <v>11</v>
      </c>
      <c r="B2322" s="16" t="s">
        <v>74</v>
      </c>
      <c r="C2322" s="16" t="str">
        <f>VLOOKUP([1]Competence!$B44,[1]Competence!$B$12:$B$100,1,FALSE)</f>
        <v>Professional Development</v>
      </c>
      <c r="D2322" s="13" t="str" cm="1">
        <f t="array" ref="D2322">_xlfn.XLOOKUP(B2322,[1]Baseline!$D$3:$AZ$3,_xlfn.XLOOKUP(C2322,[1]Baseline!$B$4:$B$91,[1]Baseline!$D$4:$AZ$91))</f>
        <v>Working</v>
      </c>
      <c r="E2322" s="16" t="s">
        <v>167</v>
      </c>
      <c r="F2322" s="16">
        <v>0</v>
      </c>
      <c r="G2322" s="16">
        <v>99</v>
      </c>
      <c r="H2322" s="16">
        <f t="shared" si="36"/>
        <v>99</v>
      </c>
      <c r="I2322" s="13">
        <v>99</v>
      </c>
    </row>
    <row r="2323" spans="1:9">
      <c r="A2323" s="16" t="s">
        <v>11</v>
      </c>
      <c r="B2323" s="16" t="s">
        <v>74</v>
      </c>
      <c r="C2323" s="16" t="str">
        <f>VLOOKUP([1]Competence!$B45,[1]Competence!$B$12:$B$100,1,FALSE)</f>
        <v>Strategic Planning</v>
      </c>
      <c r="D2323" s="13" t="str" cm="1">
        <f t="array" ref="D2323">_xlfn.XLOOKUP(B2323,[1]Baseline!$D$3:$AZ$3,_xlfn.XLOOKUP(C2323,[1]Baseline!$B$4:$B$91,[1]Baseline!$D$4:$AZ$91))</f>
        <v>Awareness</v>
      </c>
      <c r="E2323" s="16" t="s">
        <v>170</v>
      </c>
      <c r="F2323" s="16">
        <v>0</v>
      </c>
      <c r="G2323" s="16">
        <v>99</v>
      </c>
      <c r="H2323" s="16">
        <f t="shared" si="36"/>
        <v>99</v>
      </c>
      <c r="I2323" s="13">
        <v>99</v>
      </c>
    </row>
    <row r="2324" spans="1:9">
      <c r="A2324" s="16" t="s">
        <v>11</v>
      </c>
      <c r="B2324" s="16" t="s">
        <v>74</v>
      </c>
      <c r="C2324" s="16" t="str">
        <f>VLOOKUP([1]Competence!$B46,[1]Competence!$B$12:$B$100,1,FALSE)</f>
        <v>Workforce Planning</v>
      </c>
      <c r="D2324" s="13" t="str" cm="1">
        <f t="array" ref="D2324">_xlfn.XLOOKUP(B2324,[1]Baseline!$D$3:$AZ$3,_xlfn.XLOOKUP(C2324,[1]Baseline!$B$4:$B$91,[1]Baseline!$D$4:$AZ$91))</f>
        <v>Working</v>
      </c>
      <c r="E2324" s="16" t="s">
        <v>173</v>
      </c>
      <c r="F2324" s="16">
        <v>2</v>
      </c>
      <c r="G2324" s="16">
        <v>99</v>
      </c>
      <c r="H2324" s="16">
        <f t="shared" si="36"/>
        <v>97</v>
      </c>
      <c r="I2324" s="13">
        <v>99</v>
      </c>
    </row>
    <row r="2325" spans="1:9">
      <c r="A2325" s="16" t="s">
        <v>11</v>
      </c>
      <c r="B2325" s="16" t="s">
        <v>74</v>
      </c>
      <c r="C2325" s="16" t="str">
        <f>VLOOKUP([1]Competence!$B47,[1]Competence!$B$12:$B$100,1,FALSE)</f>
        <v>Audit</v>
      </c>
      <c r="D2325" s="13" t="str" cm="1">
        <f t="array" ref="D2325">_xlfn.XLOOKUP(B2325,[1]Baseline!$D$3:$AZ$3,_xlfn.XLOOKUP(C2325,[1]Baseline!$B$4:$B$91,[1]Baseline!$D$4:$AZ$91))</f>
        <v>Working</v>
      </c>
      <c r="E2325" s="16" t="s">
        <v>176</v>
      </c>
      <c r="F2325" s="16">
        <v>0</v>
      </c>
      <c r="G2325" s="16">
        <v>99</v>
      </c>
      <c r="H2325" s="16">
        <f t="shared" si="36"/>
        <v>99</v>
      </c>
      <c r="I2325" s="13">
        <v>99</v>
      </c>
    </row>
    <row r="2326" spans="1:9">
      <c r="A2326" s="16" t="s">
        <v>11</v>
      </c>
      <c r="B2326" s="16" t="s">
        <v>74</v>
      </c>
      <c r="C2326" s="16" t="str">
        <f>VLOOKUP([1]Competence!$B48,[1]Competence!$B$12:$B$100,1,FALSE)</f>
        <v>Contract management</v>
      </c>
      <c r="D2326" s="13" t="str" cm="1">
        <f t="array" ref="D2326">_xlfn.XLOOKUP(B2326,[1]Baseline!$D$3:$AZ$3,_xlfn.XLOOKUP(C2326,[1]Baseline!$B$4:$B$91,[1]Baseline!$D$4:$AZ$91))</f>
        <v>Working</v>
      </c>
      <c r="E2326" s="16" t="s">
        <v>179</v>
      </c>
      <c r="F2326" s="16">
        <v>2</v>
      </c>
      <c r="G2326" s="16">
        <v>99</v>
      </c>
      <c r="H2326" s="16">
        <f t="shared" si="36"/>
        <v>97</v>
      </c>
      <c r="I2326" s="13">
        <v>99</v>
      </c>
    </row>
    <row r="2327" spans="1:9">
      <c r="A2327" s="16" t="s">
        <v>11</v>
      </c>
      <c r="B2327" s="16" t="s">
        <v>74</v>
      </c>
      <c r="C2327" s="16" t="str">
        <f>VLOOKUP([1]Competence!$B49,[1]Competence!$B$12:$B$100,1,FALSE)</f>
        <v>Feasibility assessment</v>
      </c>
      <c r="D2327" s="13" t="str" cm="1">
        <f t="array" ref="D2327">_xlfn.XLOOKUP(B2327,[1]Baseline!$D$3:$AZ$3,_xlfn.XLOOKUP(C2327,[1]Baseline!$B$4:$B$91,[1]Baseline!$D$4:$AZ$91))</f>
        <v>Working</v>
      </c>
      <c r="E2327" s="16" t="s">
        <v>182</v>
      </c>
      <c r="F2327" s="16">
        <v>0</v>
      </c>
      <c r="G2327" s="16">
        <v>99</v>
      </c>
      <c r="H2327" s="16">
        <f t="shared" si="36"/>
        <v>99</v>
      </c>
      <c r="I2327" s="13">
        <v>99</v>
      </c>
    </row>
    <row r="2328" spans="1:9">
      <c r="A2328" s="16" t="s">
        <v>11</v>
      </c>
      <c r="B2328" s="16" t="s">
        <v>74</v>
      </c>
      <c r="C2328" s="16" t="str">
        <f>VLOOKUP([1]Competence!$B50,[1]Competence!$B$12:$B$100,1,FALSE)</f>
        <v>Governance</v>
      </c>
      <c r="D2328" s="13" t="str" cm="1">
        <f t="array" ref="D2328">_xlfn.XLOOKUP(B2328,[1]Baseline!$D$3:$AZ$3,_xlfn.XLOOKUP(C2328,[1]Baseline!$B$4:$B$91,[1]Baseline!$D$4:$AZ$91))</f>
        <v>Practitioner</v>
      </c>
      <c r="E2328" s="16" t="s">
        <v>133</v>
      </c>
      <c r="F2328" s="16">
        <v>1</v>
      </c>
      <c r="G2328" s="16">
        <v>99</v>
      </c>
      <c r="H2328" s="16">
        <f t="shared" si="36"/>
        <v>98</v>
      </c>
      <c r="I2328" s="13">
        <v>99</v>
      </c>
    </row>
    <row r="2329" spans="1:9">
      <c r="A2329" s="16" t="s">
        <v>11</v>
      </c>
      <c r="B2329" s="16" t="s">
        <v>74</v>
      </c>
      <c r="C2329" s="16" t="str">
        <f>VLOOKUP([1]Competence!$B51,[1]Competence!$B$12:$B$100,1,FALSE)</f>
        <v>Risk management</v>
      </c>
      <c r="D2329" s="13" t="str" cm="1">
        <f t="array" ref="D2329">_xlfn.XLOOKUP(B2329,[1]Baseline!$D$3:$AZ$3,_xlfn.XLOOKUP(C2329,[1]Baseline!$B$4:$B$91,[1]Baseline!$D$4:$AZ$91))</f>
        <v>Practitioner</v>
      </c>
      <c r="E2329" s="16" t="s">
        <v>136</v>
      </c>
      <c r="F2329" s="16">
        <v>0</v>
      </c>
      <c r="G2329" s="16">
        <v>99</v>
      </c>
      <c r="H2329" s="16">
        <f t="shared" si="36"/>
        <v>99</v>
      </c>
      <c r="I2329" s="13">
        <v>99</v>
      </c>
    </row>
    <row r="2330" spans="1:9">
      <c r="A2330" s="16" t="s">
        <v>11</v>
      </c>
      <c r="B2330" s="16" t="s">
        <v>74</v>
      </c>
      <c r="C2330" s="16" t="str">
        <f>VLOOKUP([1]Competence!$B52,[1]Competence!$B$12:$B$100,1,FALSE)</f>
        <v>Sourcing</v>
      </c>
      <c r="D2330" s="13" t="str" cm="1">
        <f t="array" ref="D2330">_xlfn.XLOOKUP(B2330,[1]Baseline!$D$3:$AZ$3,_xlfn.XLOOKUP(C2330,[1]Baseline!$B$4:$B$91,[1]Baseline!$D$4:$AZ$91))</f>
        <v>Awareness</v>
      </c>
      <c r="E2330" s="16" t="s">
        <v>139</v>
      </c>
      <c r="F2330" s="16">
        <v>1</v>
      </c>
      <c r="G2330" s="16">
        <v>99</v>
      </c>
      <c r="H2330" s="16">
        <f t="shared" si="36"/>
        <v>98</v>
      </c>
      <c r="I2330" s="13">
        <v>99</v>
      </c>
    </row>
    <row r="2331" spans="1:9">
      <c r="A2331" s="16" t="s">
        <v>11</v>
      </c>
      <c r="B2331" s="16" t="s">
        <v>74</v>
      </c>
      <c r="C2331" s="16" t="str">
        <f>VLOOKUP([1]Competence!$B53,[1]Competence!$B$12:$B$100,1,FALSE)</f>
        <v>Supplier management</v>
      </c>
      <c r="D2331" s="13" t="str" cm="1">
        <f t="array" ref="D2331">_xlfn.XLOOKUP(B2331,[1]Baseline!$D$3:$AZ$3,_xlfn.XLOOKUP(C2331,[1]Baseline!$B$4:$B$91,[1]Baseline!$D$4:$AZ$91))</f>
        <v>Practitioner</v>
      </c>
      <c r="E2331" s="16" t="s">
        <v>142</v>
      </c>
      <c r="F2331" s="16">
        <v>1</v>
      </c>
      <c r="G2331" s="16">
        <v>99</v>
      </c>
      <c r="H2331" s="16">
        <f t="shared" si="36"/>
        <v>98</v>
      </c>
      <c r="I2331" s="13">
        <v>99</v>
      </c>
    </row>
    <row r="2332" spans="1:9">
      <c r="A2332" s="16" t="s">
        <v>11</v>
      </c>
      <c r="B2332" s="16" t="s">
        <v>74</v>
      </c>
      <c r="C2332" s="16" t="str">
        <f>VLOOKUP([1]Competence!$B54,[1]Competence!$B$12:$B$100,1,FALSE)</f>
        <v>Sustainability</v>
      </c>
      <c r="D2332" s="13" t="str" cm="1">
        <f t="array" ref="D2332">_xlfn.XLOOKUP(B2332,[1]Baseline!$D$3:$AZ$3,_xlfn.XLOOKUP(C2332,[1]Baseline!$B$4:$B$91,[1]Baseline!$D$4:$AZ$91))</f>
        <v>Awareness</v>
      </c>
      <c r="E2332" s="16" t="s">
        <v>145</v>
      </c>
      <c r="F2332" s="16">
        <v>1</v>
      </c>
      <c r="G2332" s="16">
        <v>99</v>
      </c>
      <c r="H2332" s="16">
        <f t="shared" si="36"/>
        <v>98</v>
      </c>
      <c r="I2332" s="13">
        <v>99</v>
      </c>
    </row>
    <row r="2333" spans="1:9">
      <c r="A2333" s="16" t="s">
        <v>11</v>
      </c>
      <c r="B2333" s="16" t="s">
        <v>74</v>
      </c>
      <c r="C2333" s="16" t="str">
        <f>VLOOKUP([1]Competence!$B55,[1]Competence!$B$12:$B$100,1,FALSE)</f>
        <v>Acceptance testing</v>
      </c>
      <c r="D2333" s="13" t="str" cm="1">
        <f t="array" ref="D2333">_xlfn.XLOOKUP(B2333,[1]Baseline!$D$3:$AZ$3,_xlfn.XLOOKUP(C2333,[1]Baseline!$B$4:$B$91,[1]Baseline!$D$4:$AZ$91))</f>
        <v>Working</v>
      </c>
      <c r="E2333" s="16" t="s">
        <v>148</v>
      </c>
      <c r="F2333" s="16">
        <v>2</v>
      </c>
      <c r="G2333" s="16">
        <v>99</v>
      </c>
      <c r="H2333" s="16">
        <f t="shared" si="36"/>
        <v>97</v>
      </c>
      <c r="I2333" s="13">
        <v>99</v>
      </c>
    </row>
    <row r="2334" spans="1:9">
      <c r="A2334" s="16" t="s">
        <v>11</v>
      </c>
      <c r="B2334" s="16" t="s">
        <v>74</v>
      </c>
      <c r="C2334" s="16" t="str">
        <f>VLOOKUP([1]Competence!$B56,[1]Competence!$B$12:$B$100,1,FALSE)</f>
        <v>Application support</v>
      </c>
      <c r="D2334" s="13" t="str" cm="1">
        <f t="array" ref="D2334">_xlfn.XLOOKUP(B2334,[1]Baseline!$D$3:$AZ$3,_xlfn.XLOOKUP(C2334,[1]Baseline!$B$4:$B$91,[1]Baseline!$D$4:$AZ$91))</f>
        <v>Awareness</v>
      </c>
      <c r="E2334" s="16" t="s">
        <v>151</v>
      </c>
      <c r="F2334" s="16">
        <v>1</v>
      </c>
      <c r="G2334" s="16">
        <v>99</v>
      </c>
      <c r="H2334" s="16">
        <f t="shared" si="36"/>
        <v>98</v>
      </c>
      <c r="I2334" s="13">
        <v>99</v>
      </c>
    </row>
    <row r="2335" spans="1:9">
      <c r="A2335" s="16" t="s">
        <v>11</v>
      </c>
      <c r="B2335" s="16" t="s">
        <v>74</v>
      </c>
      <c r="C2335" s="16" t="str">
        <f>VLOOKUP([1]Competence!$B57,[1]Competence!$B$12:$B$100,1,FALSE)</f>
        <v>Data Engineering</v>
      </c>
      <c r="D2335" s="13" t="str" cm="1">
        <f t="array" ref="D2335">_xlfn.XLOOKUP(B2335,[1]Baseline!$D$3:$AZ$3,_xlfn.XLOOKUP(C2335,[1]Baseline!$B$4:$B$91,[1]Baseline!$D$4:$AZ$91))</f>
        <v>No Knowledge</v>
      </c>
      <c r="E2335" s="16" t="s">
        <v>154</v>
      </c>
      <c r="F2335" s="16">
        <v>0</v>
      </c>
      <c r="G2335" s="16">
        <v>99</v>
      </c>
      <c r="H2335" s="16">
        <f t="shared" si="36"/>
        <v>99</v>
      </c>
      <c r="I2335" s="13">
        <v>99</v>
      </c>
    </row>
    <row r="2336" spans="1:9">
      <c r="A2336" s="16" t="s">
        <v>11</v>
      </c>
      <c r="B2336" s="16" t="s">
        <v>74</v>
      </c>
      <c r="C2336" s="16" t="str">
        <f>VLOOKUP([1]Competence!$B58,[1]Competence!$B$12:$B$100,1,FALSE)</f>
        <v>Data Management</v>
      </c>
      <c r="D2336" s="13" t="str" cm="1">
        <f t="array" ref="D2336">_xlfn.XLOOKUP(B2336,[1]Baseline!$D$3:$AZ$3,_xlfn.XLOOKUP(C2336,[1]Baseline!$B$4:$B$91,[1]Baseline!$D$4:$AZ$91))</f>
        <v>No Knowledge</v>
      </c>
      <c r="E2336" s="16" t="s">
        <v>158</v>
      </c>
      <c r="F2336" s="16">
        <v>0</v>
      </c>
      <c r="G2336" s="16">
        <v>99</v>
      </c>
      <c r="H2336" s="16">
        <f t="shared" si="36"/>
        <v>99</v>
      </c>
      <c r="I2336" s="13">
        <v>99</v>
      </c>
    </row>
    <row r="2337" spans="1:9">
      <c r="A2337" s="16" t="s">
        <v>11</v>
      </c>
      <c r="B2337" s="16" t="s">
        <v>74</v>
      </c>
      <c r="C2337" s="16" t="str">
        <f>VLOOKUP([1]Competence!$B59,[1]Competence!$B$12:$B$100,1,FALSE)</f>
        <v>Data Modelling and Design</v>
      </c>
      <c r="D2337" s="13" t="str" cm="1">
        <f t="array" ref="D2337">_xlfn.XLOOKUP(B2337,[1]Baseline!$D$3:$AZ$3,_xlfn.XLOOKUP(C2337,[1]Baseline!$B$4:$B$91,[1]Baseline!$D$4:$AZ$91))</f>
        <v>No Knowledge</v>
      </c>
      <c r="E2337" s="16" t="s">
        <v>161</v>
      </c>
      <c r="F2337" s="16">
        <v>2</v>
      </c>
      <c r="G2337" s="16">
        <v>99</v>
      </c>
      <c r="H2337" s="16">
        <f t="shared" si="36"/>
        <v>97</v>
      </c>
      <c r="I2337" s="13">
        <v>99</v>
      </c>
    </row>
    <row r="2338" spans="1:9">
      <c r="A2338" s="16" t="s">
        <v>11</v>
      </c>
      <c r="B2338" s="16" t="s">
        <v>74</v>
      </c>
      <c r="C2338" s="16" t="str">
        <f>VLOOKUP([1]Competence!$B60,[1]Competence!$B$12:$B$100,1,FALSE)</f>
        <v>Data science</v>
      </c>
      <c r="D2338" s="13" t="str" cm="1">
        <f t="array" ref="D2338">_xlfn.XLOOKUP(B2338,[1]Baseline!$D$3:$AZ$3,_xlfn.XLOOKUP(C2338,[1]Baseline!$B$4:$B$91,[1]Baseline!$D$4:$AZ$91))</f>
        <v>No Knowledge</v>
      </c>
      <c r="E2338" s="16" t="s">
        <v>164</v>
      </c>
      <c r="F2338" s="16">
        <v>2</v>
      </c>
      <c r="G2338" s="16">
        <v>99</v>
      </c>
      <c r="H2338" s="16">
        <f t="shared" si="36"/>
        <v>97</v>
      </c>
      <c r="I2338" s="13">
        <v>99</v>
      </c>
    </row>
    <row r="2339" spans="1:9">
      <c r="A2339" s="16" t="s">
        <v>11</v>
      </c>
      <c r="B2339" s="16" t="s">
        <v>74</v>
      </c>
      <c r="C2339" s="16" t="str">
        <f>VLOOKUP([1]Competence!$B61,[1]Competence!$B$12:$B$100,1,FALSE)</f>
        <v>Data visualisation</v>
      </c>
      <c r="D2339" s="13" t="str" cm="1">
        <f t="array" ref="D2339">_xlfn.XLOOKUP(B2339,[1]Baseline!$D$3:$AZ$3,_xlfn.XLOOKUP(C2339,[1]Baseline!$B$4:$B$91,[1]Baseline!$D$4:$AZ$91))</f>
        <v>No Knowledge</v>
      </c>
      <c r="E2339" s="16" t="s">
        <v>234</v>
      </c>
      <c r="F2339" s="16">
        <v>1</v>
      </c>
      <c r="G2339" s="16">
        <v>99</v>
      </c>
      <c r="H2339" s="16">
        <f t="shared" si="36"/>
        <v>98</v>
      </c>
      <c r="I2339" s="13">
        <v>99</v>
      </c>
    </row>
    <row r="2340" spans="1:9">
      <c r="A2340" s="16" t="s">
        <v>11</v>
      </c>
      <c r="B2340" s="16" t="s">
        <v>74</v>
      </c>
      <c r="C2340" s="16" t="str">
        <f>VLOOKUP([1]Competence!$B62,[1]Competence!$B$12:$B$100,1,FALSE)</f>
        <v>Database Administration</v>
      </c>
      <c r="D2340" s="13" t="str" cm="1">
        <f t="array" ref="D2340">_xlfn.XLOOKUP(B2340,[1]Baseline!$D$3:$AZ$3,_xlfn.XLOOKUP(C2340,[1]Baseline!$B$4:$B$91,[1]Baseline!$D$4:$AZ$91))</f>
        <v>Working</v>
      </c>
      <c r="E2340" s="16" t="s">
        <v>237</v>
      </c>
      <c r="F2340" s="16">
        <v>2</v>
      </c>
      <c r="G2340" s="16">
        <v>99</v>
      </c>
      <c r="H2340" s="16">
        <f t="shared" si="36"/>
        <v>97</v>
      </c>
      <c r="I2340" s="13">
        <v>99</v>
      </c>
    </row>
    <row r="2341" spans="1:9">
      <c r="A2341" s="16" t="s">
        <v>11</v>
      </c>
      <c r="B2341" s="16" t="s">
        <v>74</v>
      </c>
      <c r="C2341" s="16" t="str">
        <f>VLOOKUP([1]Competence!$B63,[1]Competence!$B$12:$B$100,1,FALSE)</f>
        <v>Database Design</v>
      </c>
      <c r="D2341" s="13" t="str" cm="1">
        <f t="array" ref="D2341">_xlfn.XLOOKUP(B2341,[1]Baseline!$D$3:$AZ$3,_xlfn.XLOOKUP(C2341,[1]Baseline!$B$4:$B$91,[1]Baseline!$D$4:$AZ$91))</f>
        <v>No Knowledge</v>
      </c>
      <c r="E2341" s="16" t="s">
        <v>382</v>
      </c>
      <c r="F2341" s="16">
        <v>1</v>
      </c>
      <c r="G2341" s="16">
        <v>99</v>
      </c>
      <c r="H2341" s="16">
        <f t="shared" si="36"/>
        <v>98</v>
      </c>
      <c r="I2341" s="13">
        <v>99</v>
      </c>
    </row>
    <row r="2342" spans="1:9">
      <c r="A2342" s="16" t="s">
        <v>11</v>
      </c>
      <c r="B2342" s="16" t="s">
        <v>74</v>
      </c>
      <c r="C2342" s="16" t="str">
        <f>VLOOKUP([1]Competence!$B64,[1]Competence!$B$12:$B$100,1,FALSE)</f>
        <v>Hardware design</v>
      </c>
      <c r="D2342" s="13" t="str" cm="1">
        <f t="array" ref="D2342">_xlfn.XLOOKUP(B2342,[1]Baseline!$D$3:$AZ$3,_xlfn.XLOOKUP(C2342,[1]Baseline!$B$4:$B$91,[1]Baseline!$D$4:$AZ$91))</f>
        <v>Practitioner</v>
      </c>
      <c r="E2342" s="16" t="s">
        <v>383</v>
      </c>
      <c r="F2342" s="16">
        <v>0</v>
      </c>
      <c r="G2342" s="16">
        <v>99</v>
      </c>
      <c r="H2342" s="16">
        <f t="shared" si="36"/>
        <v>99</v>
      </c>
      <c r="I2342" s="13">
        <v>99</v>
      </c>
    </row>
    <row r="2343" spans="1:9">
      <c r="A2343" s="16" t="s">
        <v>11</v>
      </c>
      <c r="B2343" s="16" t="s">
        <v>74</v>
      </c>
      <c r="C2343" s="16" t="str">
        <f>VLOOKUP([1]Competence!$B65,[1]Competence!$B$12:$B$100,1,FALSE)</f>
        <v>High Performance Computing</v>
      </c>
      <c r="D2343" s="13" t="str" cm="1">
        <f t="array" ref="D2343">_xlfn.XLOOKUP(B2343,[1]Baseline!$D$3:$AZ$3,_xlfn.XLOOKUP(C2343,[1]Baseline!$B$4:$B$91,[1]Baseline!$D$4:$AZ$91))</f>
        <v>Working</v>
      </c>
      <c r="E2343" s="16" t="s">
        <v>240</v>
      </c>
      <c r="F2343" s="16">
        <v>0</v>
      </c>
      <c r="G2343" s="16">
        <v>99</v>
      </c>
      <c r="H2343" s="16">
        <f t="shared" si="36"/>
        <v>99</v>
      </c>
      <c r="I2343" s="13">
        <v>99</v>
      </c>
    </row>
    <row r="2344" spans="1:9">
      <c r="A2344" s="16" t="s">
        <v>11</v>
      </c>
      <c r="B2344" s="16" t="s">
        <v>74</v>
      </c>
      <c r="C2344" s="16" t="str">
        <f>VLOOKUP([1]Competence!$B66,[1]Competence!$B$12:$B$100,1,FALSE)</f>
        <v>Research Computing</v>
      </c>
      <c r="D2344" s="13" t="str" cm="1">
        <f t="array" ref="D2344">_xlfn.XLOOKUP(B2344,[1]Baseline!$D$3:$AZ$3,_xlfn.XLOOKUP(C2344,[1]Baseline!$B$4:$B$91,[1]Baseline!$D$4:$AZ$91))</f>
        <v>Working</v>
      </c>
      <c r="E2344" s="16" t="s">
        <v>243</v>
      </c>
      <c r="F2344" s="16">
        <v>0</v>
      </c>
      <c r="G2344" s="16">
        <v>99</v>
      </c>
      <c r="H2344" s="16">
        <f t="shared" si="36"/>
        <v>99</v>
      </c>
      <c r="I2344" s="13">
        <v>99</v>
      </c>
    </row>
    <row r="2345" spans="1:9">
      <c r="A2345" s="16" t="s">
        <v>11</v>
      </c>
      <c r="B2345" s="16" t="s">
        <v>74</v>
      </c>
      <c r="C2345" s="16" t="str">
        <f>VLOOKUP([1]Competence!$B67,[1]Competence!$B$12:$B$100,1,FALSE)</f>
        <v>Information assurance</v>
      </c>
      <c r="D2345" s="13" t="str" cm="1">
        <f t="array" ref="D2345">_xlfn.XLOOKUP(B2345,[1]Baseline!$D$3:$AZ$3,_xlfn.XLOOKUP(C2345,[1]Baseline!$B$4:$B$91,[1]Baseline!$D$4:$AZ$91))</f>
        <v>Practitioner</v>
      </c>
      <c r="E2345" s="16" t="s">
        <v>246</v>
      </c>
      <c r="F2345" s="16">
        <v>0</v>
      </c>
      <c r="G2345" s="16">
        <v>99</v>
      </c>
      <c r="H2345" s="16">
        <f t="shared" si="36"/>
        <v>99</v>
      </c>
      <c r="I2345" s="13">
        <v>99</v>
      </c>
    </row>
    <row r="2346" spans="1:9">
      <c r="A2346" s="16" t="s">
        <v>11</v>
      </c>
      <c r="B2346" s="16" t="s">
        <v>74</v>
      </c>
      <c r="C2346" s="16" t="str">
        <f>VLOOKUP([1]Competence!$B68,[1]Competence!$B$12:$B$100,1,FALSE)</f>
        <v>Information management</v>
      </c>
      <c r="D2346" s="13" t="str" cm="1">
        <f t="array" ref="D2346">_xlfn.XLOOKUP(B2346,[1]Baseline!$D$3:$AZ$3,_xlfn.XLOOKUP(C2346,[1]Baseline!$B$4:$B$91,[1]Baseline!$D$4:$AZ$91))</f>
        <v>Practitioner</v>
      </c>
      <c r="E2346" s="16" t="s">
        <v>249</v>
      </c>
      <c r="F2346" s="16">
        <v>0</v>
      </c>
      <c r="G2346" s="16">
        <v>99</v>
      </c>
      <c r="H2346" s="16">
        <f t="shared" si="36"/>
        <v>99</v>
      </c>
      <c r="I2346" s="13">
        <v>99</v>
      </c>
    </row>
    <row r="2347" spans="1:9">
      <c r="A2347" s="16" t="s">
        <v>11</v>
      </c>
      <c r="B2347" s="16" t="s">
        <v>74</v>
      </c>
      <c r="C2347" s="16" t="str">
        <f>VLOOKUP([1]Competence!$B69,[1]Competence!$B$12:$B$100,1,FALSE)</f>
        <v>Infrastructure</v>
      </c>
      <c r="D2347" s="13" t="str" cm="1">
        <f t="array" ref="D2347">_xlfn.XLOOKUP(B2347,[1]Baseline!$D$3:$AZ$3,_xlfn.XLOOKUP(C2347,[1]Baseline!$B$4:$B$91,[1]Baseline!$D$4:$AZ$91))</f>
        <v>Expert</v>
      </c>
      <c r="E2347" s="16" t="s">
        <v>252</v>
      </c>
      <c r="F2347" s="16">
        <v>0</v>
      </c>
      <c r="G2347" s="16">
        <v>99</v>
      </c>
      <c r="H2347" s="16">
        <f t="shared" si="36"/>
        <v>99</v>
      </c>
      <c r="I2347" s="13">
        <v>99</v>
      </c>
    </row>
    <row r="2348" spans="1:9">
      <c r="A2348" s="16" t="s">
        <v>11</v>
      </c>
      <c r="B2348" s="16" t="s">
        <v>74</v>
      </c>
      <c r="C2348" s="16" t="str">
        <f>VLOOKUP([1]Competence!$B70,[1]Competence!$B$12:$B$100,1,FALSE)</f>
        <v>Network design</v>
      </c>
      <c r="D2348" s="13" t="str" cm="1">
        <f t="array" ref="D2348">_xlfn.XLOOKUP(B2348,[1]Baseline!$D$3:$AZ$3,_xlfn.XLOOKUP(C2348,[1]Baseline!$B$4:$B$91,[1]Baseline!$D$4:$AZ$91))</f>
        <v>Practitioner</v>
      </c>
      <c r="E2348" s="16" t="s">
        <v>255</v>
      </c>
      <c r="F2348" s="16">
        <v>0</v>
      </c>
      <c r="G2348" s="16">
        <v>99</v>
      </c>
      <c r="H2348" s="16">
        <f t="shared" si="36"/>
        <v>99</v>
      </c>
      <c r="I2348" s="13">
        <v>99</v>
      </c>
    </row>
    <row r="2349" spans="1:9">
      <c r="A2349" s="16" t="s">
        <v>11</v>
      </c>
      <c r="B2349" s="16" t="s">
        <v>74</v>
      </c>
      <c r="C2349" s="16" t="str">
        <f>VLOOKUP([1]Competence!$B71,[1]Competence!$B$12:$B$100,1,FALSE)</f>
        <v>Network Analytics</v>
      </c>
      <c r="D2349" s="13" t="str" cm="1">
        <f t="array" ref="D2349">_xlfn.XLOOKUP(B2349,[1]Baseline!$D$3:$AZ$3,_xlfn.XLOOKUP(C2349,[1]Baseline!$B$4:$B$91,[1]Baseline!$D$4:$AZ$91))</f>
        <v>Practitioner</v>
      </c>
      <c r="E2349" s="16" t="s">
        <v>258</v>
      </c>
      <c r="F2349" s="16">
        <v>0</v>
      </c>
      <c r="G2349" s="16">
        <v>99</v>
      </c>
      <c r="H2349" s="16">
        <f t="shared" si="36"/>
        <v>99</v>
      </c>
      <c r="I2349" s="13">
        <v>99</v>
      </c>
    </row>
    <row r="2350" spans="1:9">
      <c r="A2350" s="16" t="s">
        <v>11</v>
      </c>
      <c r="B2350" s="16" t="s">
        <v>74</v>
      </c>
      <c r="C2350" s="16" t="str">
        <f>VLOOKUP([1]Competence!$B72,[1]Competence!$B$12:$B$100,1,FALSE)</f>
        <v>Network support</v>
      </c>
      <c r="D2350" s="13" t="str" cm="1">
        <f t="array" ref="D2350">_xlfn.XLOOKUP(B2350,[1]Baseline!$D$3:$AZ$3,_xlfn.XLOOKUP(C2350,[1]Baseline!$B$4:$B$91,[1]Baseline!$D$4:$AZ$91))</f>
        <v>Practitioner</v>
      </c>
      <c r="E2350" s="16" t="s">
        <v>326</v>
      </c>
      <c r="F2350" s="16">
        <v>0</v>
      </c>
      <c r="G2350" s="16">
        <v>99</v>
      </c>
      <c r="H2350" s="16">
        <f t="shared" si="36"/>
        <v>99</v>
      </c>
      <c r="I2350" s="13">
        <v>99</v>
      </c>
    </row>
    <row r="2351" spans="1:9">
      <c r="A2351" s="16" t="s">
        <v>11</v>
      </c>
      <c r="B2351" s="16" t="s">
        <v>74</v>
      </c>
      <c r="C2351" s="16" t="str">
        <f>VLOOKUP([1]Competence!$B73,[1]Competence!$B$12:$B$100,1,FALSE)</f>
        <v>Programming/software development</v>
      </c>
      <c r="D2351" s="13" t="str" cm="1">
        <f t="array" ref="D2351">_xlfn.XLOOKUP(B2351,[1]Baseline!$D$3:$AZ$3,_xlfn.XLOOKUP(C2351,[1]Baseline!$B$4:$B$91,[1]Baseline!$D$4:$AZ$91))</f>
        <v>No Knowledge</v>
      </c>
      <c r="E2351" s="16" t="s">
        <v>261</v>
      </c>
      <c r="F2351" s="16">
        <v>0</v>
      </c>
      <c r="G2351" s="16">
        <v>99</v>
      </c>
      <c r="H2351" s="16">
        <f t="shared" si="36"/>
        <v>99</v>
      </c>
      <c r="I2351" s="13">
        <v>99</v>
      </c>
    </row>
    <row r="2352" spans="1:9">
      <c r="A2352" s="16" t="s">
        <v>11</v>
      </c>
      <c r="B2352" s="16" t="s">
        <v>74</v>
      </c>
      <c r="C2352" s="16" t="str">
        <f>VLOOKUP([1]Competence!$B74,[1]Competence!$B$12:$B$100,1,FALSE)</f>
        <v>Real-time/embedded systems development</v>
      </c>
      <c r="D2352" s="13" t="str" cm="1">
        <f t="array" ref="D2352">_xlfn.XLOOKUP(B2352,[1]Baseline!$D$3:$AZ$3,_xlfn.XLOOKUP(C2352,[1]Baseline!$B$4:$B$91,[1]Baseline!$D$4:$AZ$91))</f>
        <v>No Knowledge</v>
      </c>
      <c r="E2352" s="16" t="s">
        <v>264</v>
      </c>
      <c r="F2352" s="16">
        <v>1</v>
      </c>
      <c r="G2352" s="16">
        <v>99</v>
      </c>
      <c r="H2352" s="16">
        <f t="shared" si="36"/>
        <v>98</v>
      </c>
      <c r="I2352" s="13">
        <v>99</v>
      </c>
    </row>
    <row r="2353" spans="1:9">
      <c r="A2353" s="16" t="s">
        <v>11</v>
      </c>
      <c r="B2353" s="16" t="s">
        <v>74</v>
      </c>
      <c r="C2353" s="16" t="str">
        <f>VLOOKUP([1]Competence!$B75,[1]Competence!$B$12:$B$100,1,FALSE)</f>
        <v>Requirements definition and management</v>
      </c>
      <c r="D2353" s="13" t="str" cm="1">
        <f t="array" ref="D2353">_xlfn.XLOOKUP(B2353,[1]Baseline!$D$3:$AZ$3,_xlfn.XLOOKUP(C2353,[1]Baseline!$B$4:$B$91,[1]Baseline!$D$4:$AZ$91))</f>
        <v>No Knowledge</v>
      </c>
      <c r="E2353" s="16" t="s">
        <v>267</v>
      </c>
      <c r="F2353" s="16">
        <v>2</v>
      </c>
      <c r="G2353" s="16">
        <v>99</v>
      </c>
      <c r="H2353" s="16">
        <f t="shared" si="36"/>
        <v>97</v>
      </c>
      <c r="I2353" s="13">
        <v>99</v>
      </c>
    </row>
    <row r="2354" spans="1:9">
      <c r="A2354" s="16" t="s">
        <v>11</v>
      </c>
      <c r="B2354" s="16" t="s">
        <v>74</v>
      </c>
      <c r="C2354" s="16" t="str">
        <f>VLOOKUP([1]Competence!$B76,[1]Competence!$B$12:$B$100,1,FALSE)</f>
        <v>Software configuration</v>
      </c>
      <c r="D2354" s="13" t="str" cm="1">
        <f t="array" ref="D2354">_xlfn.XLOOKUP(B2354,[1]Baseline!$D$3:$AZ$3,_xlfn.XLOOKUP(C2354,[1]Baseline!$B$4:$B$91,[1]Baseline!$D$4:$AZ$91))</f>
        <v>No Knowledge</v>
      </c>
      <c r="E2354" s="16" t="s">
        <v>270</v>
      </c>
      <c r="F2354" s="16">
        <v>1</v>
      </c>
      <c r="G2354" s="16">
        <v>99</v>
      </c>
      <c r="H2354" s="16">
        <f t="shared" si="36"/>
        <v>98</v>
      </c>
      <c r="I2354" s="13">
        <v>99</v>
      </c>
    </row>
    <row r="2355" spans="1:9">
      <c r="A2355" s="16" t="s">
        <v>11</v>
      </c>
      <c r="B2355" s="16" t="s">
        <v>74</v>
      </c>
      <c r="C2355" s="16" t="str">
        <f>VLOOKUP([1]Competence!$B77,[1]Competence!$B$12:$B$100,1,FALSE)</f>
        <v>Software design</v>
      </c>
      <c r="D2355" s="13" t="str" cm="1">
        <f t="array" ref="D2355">_xlfn.XLOOKUP(B2355,[1]Baseline!$D$3:$AZ$3,_xlfn.XLOOKUP(C2355,[1]Baseline!$B$4:$B$91,[1]Baseline!$D$4:$AZ$91))</f>
        <v>No Knowledge</v>
      </c>
      <c r="E2355" s="16" t="s">
        <v>50</v>
      </c>
      <c r="F2355" s="16">
        <v>1</v>
      </c>
      <c r="G2355" s="16">
        <v>99</v>
      </c>
      <c r="H2355" s="16">
        <f t="shared" si="36"/>
        <v>98</v>
      </c>
      <c r="I2355" s="13">
        <v>99</v>
      </c>
    </row>
    <row r="2356" spans="1:9">
      <c r="A2356" s="16" t="s">
        <v>11</v>
      </c>
      <c r="B2356" s="16" t="s">
        <v>74</v>
      </c>
      <c r="C2356" s="16" t="str">
        <f>VLOOKUP([1]Competence!$B78,[1]Competence!$B$12:$B$100,1,FALSE)</f>
        <v>Solution architecture</v>
      </c>
      <c r="D2356" s="13" t="str" cm="1">
        <f t="array" ref="D2356">_xlfn.XLOOKUP(B2356,[1]Baseline!$D$3:$AZ$3,_xlfn.XLOOKUP(C2356,[1]Baseline!$B$4:$B$91,[1]Baseline!$D$4:$AZ$91))</f>
        <v>Working</v>
      </c>
      <c r="E2356" s="16" t="s">
        <v>320</v>
      </c>
      <c r="F2356" s="16">
        <v>0</v>
      </c>
      <c r="G2356" s="16">
        <v>99</v>
      </c>
      <c r="H2356" s="16">
        <f t="shared" si="36"/>
        <v>99</v>
      </c>
      <c r="I2356" s="13">
        <v>99</v>
      </c>
    </row>
    <row r="2357" spans="1:9">
      <c r="A2357" s="16" t="s">
        <v>11</v>
      </c>
      <c r="B2357" s="16" t="s">
        <v>74</v>
      </c>
      <c r="C2357" s="16" t="str">
        <f>VLOOKUP([1]Competence!$B79,[1]Competence!$B$12:$B$100,1,FALSE)</f>
        <v>System software</v>
      </c>
      <c r="D2357" s="13" t="str" cm="1">
        <f t="array" ref="D2357">_xlfn.XLOOKUP(B2357,[1]Baseline!$D$3:$AZ$3,_xlfn.XLOOKUP(C2357,[1]Baseline!$B$4:$B$91,[1]Baseline!$D$4:$AZ$91))</f>
        <v>No Knowledge</v>
      </c>
      <c r="E2357" s="16" t="s">
        <v>278</v>
      </c>
      <c r="F2357" s="16">
        <v>0</v>
      </c>
      <c r="G2357" s="16">
        <v>99</v>
      </c>
      <c r="H2357" s="16">
        <f t="shared" si="36"/>
        <v>99</v>
      </c>
      <c r="I2357" s="13">
        <v>99</v>
      </c>
    </row>
    <row r="2358" spans="1:9">
      <c r="A2358" s="16" t="s">
        <v>11</v>
      </c>
      <c r="B2358" s="16" t="s">
        <v>74</v>
      </c>
      <c r="C2358" s="16" t="str">
        <f>VLOOKUP([1]Competence!$B80,[1]Competence!$B$12:$B$100,1,FALSE)</f>
        <v>Systems and software life cycle engineering</v>
      </c>
      <c r="D2358" s="13" t="str" cm="1">
        <f t="array" ref="D2358">_xlfn.XLOOKUP(B2358,[1]Baseline!$D$3:$AZ$3,_xlfn.XLOOKUP(C2358,[1]Baseline!$B$4:$B$91,[1]Baseline!$D$4:$AZ$91))</f>
        <v>No Knowledge</v>
      </c>
      <c r="E2358" s="16" t="s">
        <v>275</v>
      </c>
      <c r="F2358" s="16">
        <v>0</v>
      </c>
      <c r="G2358" s="16">
        <v>99</v>
      </c>
      <c r="H2358" s="16">
        <f t="shared" si="36"/>
        <v>99</v>
      </c>
      <c r="I2358" s="13">
        <v>99</v>
      </c>
    </row>
    <row r="2359" spans="1:9">
      <c r="A2359" s="16" t="s">
        <v>11</v>
      </c>
      <c r="B2359" s="16" t="s">
        <v>74</v>
      </c>
      <c r="C2359" s="16" t="str">
        <f>VLOOKUP([1]Competence!$B81,[1]Competence!$B$12:$B$100,1,FALSE)</f>
        <v>Systems design</v>
      </c>
      <c r="D2359" s="13" t="str" cm="1">
        <f t="array" ref="D2359">_xlfn.XLOOKUP(B2359,[1]Baseline!$D$3:$AZ$3,_xlfn.XLOOKUP(C2359,[1]Baseline!$B$4:$B$91,[1]Baseline!$D$4:$AZ$91))</f>
        <v>No Knowledge</v>
      </c>
      <c r="E2359" s="16" t="s">
        <v>281</v>
      </c>
      <c r="F2359" s="16">
        <v>2</v>
      </c>
      <c r="G2359" s="16">
        <v>99</v>
      </c>
      <c r="H2359" s="16">
        <f t="shared" si="36"/>
        <v>97</v>
      </c>
      <c r="I2359" s="13">
        <v>99</v>
      </c>
    </row>
    <row r="2360" spans="1:9">
      <c r="A2360" s="16" t="s">
        <v>11</v>
      </c>
      <c r="B2360" s="16" t="s">
        <v>74</v>
      </c>
      <c r="C2360" s="16" t="str">
        <f>VLOOKUP([1]Competence!$B82,[1]Competence!$B$12:$B$100,1,FALSE)</f>
        <v>Systems development management</v>
      </c>
      <c r="D2360" s="13" t="str" cm="1">
        <f t="array" ref="D2360">_xlfn.XLOOKUP(B2360,[1]Baseline!$D$3:$AZ$3,_xlfn.XLOOKUP(C2360,[1]Baseline!$B$4:$B$91,[1]Baseline!$D$4:$AZ$91))</f>
        <v>No Knowledge</v>
      </c>
      <c r="E2360" s="16" t="s">
        <v>284</v>
      </c>
      <c r="F2360" s="16">
        <v>0</v>
      </c>
      <c r="G2360" s="16">
        <v>99</v>
      </c>
      <c r="H2360" s="16">
        <f t="shared" si="36"/>
        <v>99</v>
      </c>
      <c r="I2360" s="13">
        <v>99</v>
      </c>
    </row>
    <row r="2361" spans="1:9">
      <c r="A2361" s="16" t="s">
        <v>11</v>
      </c>
      <c r="B2361" s="16" t="s">
        <v>74</v>
      </c>
      <c r="C2361" s="16" t="str">
        <f>VLOOKUP([1]Competence!$B83,[1]Competence!$B$12:$B$100,1,FALSE)</f>
        <v>Systems installation and removal</v>
      </c>
      <c r="D2361" s="13" t="str" cm="1">
        <f t="array" ref="D2361">_xlfn.XLOOKUP(B2361,[1]Baseline!$D$3:$AZ$3,_xlfn.XLOOKUP(C2361,[1]Baseline!$B$4:$B$91,[1]Baseline!$D$4:$AZ$91))</f>
        <v>Working</v>
      </c>
      <c r="E2361" s="16" t="s">
        <v>287</v>
      </c>
      <c r="F2361" s="16">
        <v>0</v>
      </c>
      <c r="G2361" s="16">
        <v>99</v>
      </c>
      <c r="H2361" s="16">
        <f t="shared" si="36"/>
        <v>99</v>
      </c>
      <c r="I2361" s="13">
        <v>99</v>
      </c>
    </row>
    <row r="2362" spans="1:9">
      <c r="A2362" s="16" t="s">
        <v>11</v>
      </c>
      <c r="B2362" s="16" t="s">
        <v>74</v>
      </c>
      <c r="C2362" s="16" t="str">
        <f>VLOOKUP([1]Competence!$B84,[1]Competence!$B$12:$B$100,1,FALSE)</f>
        <v>Testing</v>
      </c>
      <c r="D2362" s="13" t="str" cm="1">
        <f t="array" ref="D2362">_xlfn.XLOOKUP(B2362,[1]Baseline!$D$3:$AZ$3,_xlfn.XLOOKUP(C2362,[1]Baseline!$B$4:$B$91,[1]Baseline!$D$4:$AZ$91))</f>
        <v>Working</v>
      </c>
      <c r="E2362" s="16" t="s">
        <v>290</v>
      </c>
      <c r="F2362" s="16">
        <v>0</v>
      </c>
      <c r="G2362" s="16">
        <v>99</v>
      </c>
      <c r="H2362" s="16">
        <f t="shared" si="36"/>
        <v>99</v>
      </c>
      <c r="I2362" s="13">
        <v>99</v>
      </c>
    </row>
    <row r="2363" spans="1:9">
      <c r="A2363" s="16" t="s">
        <v>11</v>
      </c>
      <c r="B2363" s="16" t="s">
        <v>74</v>
      </c>
      <c r="C2363" s="16" t="str">
        <f>VLOOKUP([1]Competence!$B85,[1]Competence!$B$12:$B$100,1,FALSE)</f>
        <v>Innovation</v>
      </c>
      <c r="D2363" s="13" t="str" cm="1">
        <f t="array" ref="D2363">_xlfn.XLOOKUP(B2363,[1]Baseline!$D$3:$AZ$3,_xlfn.XLOOKUP(C2363,[1]Baseline!$B$4:$B$91,[1]Baseline!$D$4:$AZ$91))</f>
        <v>Practitioner</v>
      </c>
      <c r="E2363" s="16" t="s">
        <v>51</v>
      </c>
      <c r="F2363" s="16">
        <v>1</v>
      </c>
      <c r="G2363" s="16">
        <v>99</v>
      </c>
      <c r="H2363" s="16">
        <f t="shared" si="36"/>
        <v>98</v>
      </c>
      <c r="I2363" s="13">
        <v>99</v>
      </c>
    </row>
    <row r="2364" spans="1:9">
      <c r="A2364" s="16" t="s">
        <v>11</v>
      </c>
      <c r="B2364" s="16" t="s">
        <v>74</v>
      </c>
      <c r="C2364" s="16" t="str">
        <f>VLOOKUP([1]Competence!$B86,[1]Competence!$B$12:$B$100,1,FALSE)</f>
        <v>Specialist Advice</v>
      </c>
      <c r="D2364" s="13" t="str" cm="1">
        <f t="array" ref="D2364">_xlfn.XLOOKUP(B2364,[1]Baseline!$D$3:$AZ$3,_xlfn.XLOOKUP(C2364,[1]Baseline!$B$4:$B$91,[1]Baseline!$D$4:$AZ$91))</f>
        <v>Practitioner</v>
      </c>
      <c r="E2364" s="16" t="s">
        <v>293</v>
      </c>
      <c r="F2364" s="16">
        <v>0</v>
      </c>
      <c r="G2364" s="16">
        <v>99</v>
      </c>
      <c r="H2364" s="16">
        <f t="shared" si="36"/>
        <v>99</v>
      </c>
      <c r="I2364" s="13">
        <v>99</v>
      </c>
    </row>
    <row r="2365" spans="1:9">
      <c r="A2365" s="16" t="s">
        <v>11</v>
      </c>
      <c r="B2365" s="16" t="s">
        <v>74</v>
      </c>
      <c r="C2365" s="16" t="str">
        <f>VLOOKUP([1]Competence!$B87,[1]Competence!$B$12:$B$100,1,FALSE)</f>
        <v>Emerging technology monitoring</v>
      </c>
      <c r="D2365" s="13" t="str" cm="1">
        <f t="array" ref="D2365">_xlfn.XLOOKUP(B2365,[1]Baseline!$D$3:$AZ$3,_xlfn.XLOOKUP(C2365,[1]Baseline!$B$4:$B$91,[1]Baseline!$D$4:$AZ$91))</f>
        <v>Working</v>
      </c>
      <c r="E2365" s="16" t="s">
        <v>296</v>
      </c>
      <c r="F2365" s="16">
        <v>0</v>
      </c>
      <c r="G2365" s="16">
        <v>99</v>
      </c>
      <c r="H2365" s="16">
        <f t="shared" si="36"/>
        <v>99</v>
      </c>
      <c r="I2365" s="13">
        <v>99</v>
      </c>
    </row>
    <row r="2366" spans="1:9">
      <c r="A2366" s="16" t="s">
        <v>11</v>
      </c>
      <c r="B2366" s="16" t="s">
        <v>74</v>
      </c>
      <c r="C2366" s="16" t="str">
        <f>VLOOKUP([1]Competence!$B88,[1]Competence!$B$12:$B$100,1,FALSE)</f>
        <v>Systems integration and build</v>
      </c>
      <c r="D2366" s="13" t="str" cm="1">
        <f t="array" ref="D2366">_xlfn.XLOOKUP(B2366,[1]Baseline!$D$3:$AZ$3,_xlfn.XLOOKUP(C2366,[1]Baseline!$B$4:$B$91,[1]Baseline!$D$4:$AZ$91))</f>
        <v>Practitioner</v>
      </c>
      <c r="E2366" s="16" t="s">
        <v>299</v>
      </c>
      <c r="F2366" s="16">
        <v>0</v>
      </c>
      <c r="G2366" s="16">
        <v>99</v>
      </c>
      <c r="H2366" s="16">
        <f t="shared" si="36"/>
        <v>99</v>
      </c>
      <c r="I2366" s="13">
        <v>99</v>
      </c>
    </row>
    <row r="2367" spans="1:9">
      <c r="A2367" s="16" t="s">
        <v>11</v>
      </c>
      <c r="B2367" s="16" t="s">
        <v>74</v>
      </c>
      <c r="C2367" s="16" t="str">
        <f>VLOOKUP([1]Competence!$B89,[1]Competence!$B$12:$B$100,1,FALSE)</f>
        <v>Audio Visual</v>
      </c>
      <c r="D2367" s="13" t="str" cm="1">
        <f t="array" ref="D2367">_xlfn.XLOOKUP(B2367,[1]Baseline!$D$3:$AZ$3,_xlfn.XLOOKUP(C2367,[1]Baseline!$B$4:$B$91,[1]Baseline!$D$4:$AZ$91))</f>
        <v>Awareness</v>
      </c>
      <c r="E2367" s="16" t="s">
        <v>323</v>
      </c>
      <c r="F2367" s="16">
        <v>0</v>
      </c>
      <c r="G2367" s="16">
        <v>99</v>
      </c>
      <c r="H2367" s="16">
        <f t="shared" si="36"/>
        <v>99</v>
      </c>
      <c r="I2367" s="13">
        <v>99</v>
      </c>
    </row>
    <row r="2368" spans="1:9">
      <c r="A2368" s="16" t="s">
        <v>11</v>
      </c>
      <c r="B2368" s="16" t="s">
        <v>74</v>
      </c>
      <c r="C2368" s="16" t="str">
        <f>VLOOKUP([1]Competence!$B90,[1]Competence!$B$12:$B$100,1,FALSE)</f>
        <v>Augmented Reality</v>
      </c>
      <c r="D2368" s="13" t="str" cm="1">
        <f t="array" ref="D2368">_xlfn.XLOOKUP(B2368,[1]Baseline!$D$3:$AZ$3,_xlfn.XLOOKUP(C2368,[1]Baseline!$B$4:$B$91,[1]Baseline!$D$4:$AZ$91))</f>
        <v>No Knowledge</v>
      </c>
      <c r="E2368" s="16" t="s">
        <v>302</v>
      </c>
      <c r="F2368" s="16">
        <v>0</v>
      </c>
      <c r="G2368" s="16">
        <v>99</v>
      </c>
      <c r="H2368" s="16">
        <f t="shared" si="36"/>
        <v>99</v>
      </c>
      <c r="I2368" s="13">
        <v>99</v>
      </c>
    </row>
    <row r="2369" spans="1:9">
      <c r="A2369" s="16" t="s">
        <v>11</v>
      </c>
      <c r="B2369" s="16" t="s">
        <v>74</v>
      </c>
      <c r="C2369" s="16" t="str">
        <f>VLOOKUP([1]Competence!$B91,[1]Competence!$B$12:$B$100,1,FALSE)</f>
        <v>Benefits management</v>
      </c>
      <c r="D2369" s="13" t="str" cm="1">
        <f t="array" ref="D2369">_xlfn.XLOOKUP(B2369,[1]Baseline!$D$3:$AZ$3,_xlfn.XLOOKUP(C2369,[1]Baseline!$B$4:$B$91,[1]Baseline!$D$4:$AZ$91))</f>
        <v>Practitioner</v>
      </c>
      <c r="E2369" s="16" t="s">
        <v>305</v>
      </c>
      <c r="F2369" s="16">
        <v>0</v>
      </c>
      <c r="G2369" s="16">
        <v>99</v>
      </c>
      <c r="H2369" s="16">
        <f t="shared" si="36"/>
        <v>99</v>
      </c>
      <c r="I2369" s="13">
        <v>99</v>
      </c>
    </row>
    <row r="2370" spans="1:9">
      <c r="A2370" s="16" t="s">
        <v>11</v>
      </c>
      <c r="B2370" s="16" t="s">
        <v>74</v>
      </c>
      <c r="C2370" s="16" t="str">
        <f>VLOOKUP([1]Competence!$B92,[1]Competence!$B$12:$B$100,1,FALSE)</f>
        <v>Business administration</v>
      </c>
      <c r="D2370" s="13" t="str" cm="1">
        <f t="array" ref="D2370">_xlfn.XLOOKUP(B2370,[1]Baseline!$D$3:$AZ$3,_xlfn.XLOOKUP(C2370,[1]Baseline!$B$4:$B$91,[1]Baseline!$D$4:$AZ$91))</f>
        <v>Practitioner</v>
      </c>
      <c r="E2370" s="16" t="s">
        <v>308</v>
      </c>
      <c r="F2370" s="16">
        <v>0</v>
      </c>
      <c r="G2370" s="16">
        <v>99</v>
      </c>
      <c r="H2370" s="16">
        <f t="shared" ref="H2370:H2433" si="37">I2370-F2370</f>
        <v>99</v>
      </c>
      <c r="I2370" s="13">
        <v>99</v>
      </c>
    </row>
    <row r="2371" spans="1:9">
      <c r="A2371" s="16" t="s">
        <v>11</v>
      </c>
      <c r="B2371" s="16" t="s">
        <v>74</v>
      </c>
      <c r="C2371" s="16" t="str">
        <f>VLOOKUP([1]Competence!$B93,[1]Competence!$B$12:$B$100,1,FALSE)</f>
        <v>Business intelligence</v>
      </c>
      <c r="D2371" s="13" t="str" cm="1">
        <f t="array" ref="D2371">_xlfn.XLOOKUP(B2371,[1]Baseline!$D$3:$AZ$3,_xlfn.XLOOKUP(C2371,[1]Baseline!$B$4:$B$91,[1]Baseline!$D$4:$AZ$91))</f>
        <v>Practitioner</v>
      </c>
      <c r="E2371" s="16" t="s">
        <v>311</v>
      </c>
      <c r="F2371" s="16">
        <v>0</v>
      </c>
      <c r="G2371" s="16">
        <v>99</v>
      </c>
      <c r="H2371" s="16">
        <f t="shared" si="37"/>
        <v>99</v>
      </c>
      <c r="I2371" s="13">
        <v>99</v>
      </c>
    </row>
    <row r="2372" spans="1:9">
      <c r="A2372" s="16" t="s">
        <v>11</v>
      </c>
      <c r="B2372" s="16" t="s">
        <v>74</v>
      </c>
      <c r="C2372" s="16" t="str">
        <f>VLOOKUP([1]Competence!$B94,[1]Competence!$B$12:$B$100,1,FALSE)</f>
        <v>Business modelling</v>
      </c>
      <c r="D2372" s="13" t="str" cm="1">
        <f t="array" ref="D2372">_xlfn.XLOOKUP(B2372,[1]Baseline!$D$3:$AZ$3,_xlfn.XLOOKUP(C2372,[1]Baseline!$B$4:$B$91,[1]Baseline!$D$4:$AZ$91))</f>
        <v>Practitioner</v>
      </c>
      <c r="E2372" s="16" t="s">
        <v>314</v>
      </c>
      <c r="F2372" s="16">
        <v>2</v>
      </c>
      <c r="G2372" s="16">
        <v>99</v>
      </c>
      <c r="H2372" s="16">
        <f t="shared" si="37"/>
        <v>97</v>
      </c>
      <c r="I2372" s="13">
        <v>99</v>
      </c>
    </row>
    <row r="2373" spans="1:9">
      <c r="A2373" s="16" t="s">
        <v>11</v>
      </c>
      <c r="B2373" s="16" t="s">
        <v>74</v>
      </c>
      <c r="C2373" s="16" t="str">
        <f>VLOOKUP([1]Competence!$B95,[1]Competence!$B$12:$B$100,1,FALSE)</f>
        <v>Business process improvement</v>
      </c>
      <c r="D2373" s="13" t="str" cm="1">
        <f t="array" ref="D2373">_xlfn.XLOOKUP(B2373,[1]Baseline!$D$3:$AZ$3,_xlfn.XLOOKUP(C2373,[1]Baseline!$B$4:$B$91,[1]Baseline!$D$4:$AZ$91))</f>
        <v>Practitioner</v>
      </c>
      <c r="E2373" s="16" t="s">
        <v>328</v>
      </c>
      <c r="F2373" s="16">
        <v>2</v>
      </c>
      <c r="G2373" s="16">
        <v>99</v>
      </c>
      <c r="H2373" s="16">
        <f t="shared" si="37"/>
        <v>97</v>
      </c>
      <c r="I2373" s="13">
        <v>99</v>
      </c>
    </row>
    <row r="2374" spans="1:9">
      <c r="A2374" s="16" t="s">
        <v>11</v>
      </c>
      <c r="B2374" s="16" t="s">
        <v>74</v>
      </c>
      <c r="C2374" s="16" t="str">
        <f>VLOOKUP([1]Competence!$B96,[1]Competence!$B$12:$B$100,1,FALSE)</f>
        <v>Business situation analysis</v>
      </c>
      <c r="D2374" s="13" t="str" cm="1">
        <f t="array" ref="D2374">_xlfn.XLOOKUP(B2374,[1]Baseline!$D$3:$AZ$3,_xlfn.XLOOKUP(C2374,[1]Baseline!$B$4:$B$91,[1]Baseline!$D$4:$AZ$91))</f>
        <v>No Knowledge</v>
      </c>
      <c r="E2374" s="16" t="s">
        <v>317</v>
      </c>
      <c r="F2374" s="16">
        <v>2</v>
      </c>
      <c r="G2374" s="16">
        <v>99</v>
      </c>
      <c r="H2374" s="16">
        <f t="shared" si="37"/>
        <v>97</v>
      </c>
      <c r="I2374" s="13">
        <v>99</v>
      </c>
    </row>
    <row r="2375" spans="1:9">
      <c r="A2375" s="16" t="s">
        <v>11</v>
      </c>
      <c r="B2375" s="16" t="s">
        <v>74</v>
      </c>
      <c r="C2375" s="16" t="str">
        <f>VLOOKUP([1]Competence!$B97,[1]Competence!$B$12:$B$100,1,FALSE)</f>
        <v>Programme management</v>
      </c>
      <c r="D2375" s="13" t="str" cm="1">
        <f t="array" ref="D2375">_xlfn.XLOOKUP(B2375,[1]Baseline!$D$3:$AZ$3,_xlfn.XLOOKUP(C2375,[1]Baseline!$B$4:$B$91,[1]Baseline!$D$4:$AZ$91))</f>
        <v>Practitioner</v>
      </c>
      <c r="E2375" s="16" t="s">
        <v>352</v>
      </c>
      <c r="F2375" s="16">
        <v>0</v>
      </c>
      <c r="G2375" s="16">
        <v>99</v>
      </c>
      <c r="H2375" s="16">
        <f t="shared" si="37"/>
        <v>99</v>
      </c>
      <c r="I2375" s="13">
        <v>99</v>
      </c>
    </row>
    <row r="2376" spans="1:9">
      <c r="A2376" s="16" t="s">
        <v>11</v>
      </c>
      <c r="B2376" s="16" t="s">
        <v>74</v>
      </c>
      <c r="C2376" s="16" t="str">
        <f>VLOOKUP([1]Competence!$B98,[1]Competence!$B$12:$B$100,1,FALSE)</f>
        <v>Project management</v>
      </c>
      <c r="D2376" s="13" t="str" cm="1">
        <f t="array" ref="D2376">_xlfn.XLOOKUP(B2376,[1]Baseline!$D$3:$AZ$3,_xlfn.XLOOKUP(C2376,[1]Baseline!$B$4:$B$91,[1]Baseline!$D$4:$AZ$91))</f>
        <v>Practitioner</v>
      </c>
      <c r="E2376" s="16" t="s">
        <v>355</v>
      </c>
      <c r="F2376" s="16">
        <v>0</v>
      </c>
      <c r="G2376" s="16">
        <v>99</v>
      </c>
      <c r="H2376" s="16">
        <f t="shared" si="37"/>
        <v>99</v>
      </c>
      <c r="I2376" s="13">
        <v>99</v>
      </c>
    </row>
    <row r="2377" spans="1:9">
      <c r="A2377" s="16" t="s">
        <v>11</v>
      </c>
      <c r="B2377" s="16" t="s">
        <v>74</v>
      </c>
      <c r="C2377" s="16" t="str">
        <f>VLOOKUP([1]Competence!$B99,[1]Competence!$B$12:$B$100,1,FALSE)</f>
        <v>Quality assurance</v>
      </c>
      <c r="D2377" s="13" t="str" cm="1">
        <f t="array" ref="D2377">_xlfn.XLOOKUP(B2377,[1]Baseline!$D$3:$AZ$3,_xlfn.XLOOKUP(C2377,[1]Baseline!$B$4:$B$91,[1]Baseline!$D$4:$AZ$91))</f>
        <v>Practitioner</v>
      </c>
      <c r="E2377" s="16" t="s">
        <v>358</v>
      </c>
      <c r="F2377" s="16">
        <v>1</v>
      </c>
      <c r="G2377" s="16">
        <v>99</v>
      </c>
      <c r="H2377" s="16">
        <f t="shared" si="37"/>
        <v>98</v>
      </c>
      <c r="I2377" s="13">
        <v>99</v>
      </c>
    </row>
    <row r="2378" spans="1:9">
      <c r="A2378" s="16" t="s">
        <v>24</v>
      </c>
      <c r="B2378" s="16" t="s">
        <v>77</v>
      </c>
      <c r="C2378" s="16" t="str">
        <f>VLOOKUP([1]Competence!$B12,[1]Competence!$B$12:$B$100,1,FALSE)</f>
        <v>Asset Management</v>
      </c>
      <c r="D2378" s="13" t="str" cm="1">
        <f t="array" ref="D2378">_xlfn.XLOOKUP(B2378,[1]Baseline!$D$3:$AZ$3,_xlfn.XLOOKUP(C2378,[1]Baseline!$B$4:$B$91,[1]Baseline!$D$4:$AZ$91))</f>
        <v>Working</v>
      </c>
      <c r="E2378" s="16" t="s">
        <v>334</v>
      </c>
      <c r="F2378" s="16">
        <v>0</v>
      </c>
      <c r="G2378" s="16">
        <v>99</v>
      </c>
      <c r="H2378" s="16">
        <f t="shared" si="37"/>
        <v>99</v>
      </c>
      <c r="I2378" s="13">
        <v>99</v>
      </c>
    </row>
    <row r="2379" spans="1:9">
      <c r="A2379" s="16" t="s">
        <v>24</v>
      </c>
      <c r="B2379" s="16" t="s">
        <v>77</v>
      </c>
      <c r="C2379" s="16" t="str">
        <f>VLOOKUP([1]Competence!$B13,[1]Competence!$B$12:$B$100,1,FALSE)</f>
        <v>Change Control</v>
      </c>
      <c r="D2379" s="13" t="str" cm="1">
        <f t="array" ref="D2379">_xlfn.XLOOKUP(B2379,[1]Baseline!$D$3:$AZ$3,_xlfn.XLOOKUP(C2379,[1]Baseline!$B$4:$B$91,[1]Baseline!$D$4:$AZ$91))</f>
        <v>Working</v>
      </c>
      <c r="E2379" s="16" t="s">
        <v>337</v>
      </c>
      <c r="F2379" s="16">
        <v>0</v>
      </c>
      <c r="G2379" s="16">
        <v>99</v>
      </c>
      <c r="H2379" s="16">
        <f t="shared" si="37"/>
        <v>99</v>
      </c>
      <c r="I2379" s="13">
        <v>99</v>
      </c>
    </row>
    <row r="2380" spans="1:9">
      <c r="A2380" s="16" t="s">
        <v>24</v>
      </c>
      <c r="B2380" s="16" t="s">
        <v>77</v>
      </c>
      <c r="C2380" s="16" t="str">
        <f>VLOOKUP([1]Competence!$B14,[1]Competence!$B$12:$B$100,1,FALSE)</f>
        <v>Customer Service Support</v>
      </c>
      <c r="D2380" s="13" t="str" cm="1">
        <f t="array" ref="D2380">_xlfn.XLOOKUP(B2380,[1]Baseline!$D$3:$AZ$3,_xlfn.XLOOKUP(C2380,[1]Baseline!$B$4:$B$91,[1]Baseline!$D$4:$AZ$91))</f>
        <v>Practitioner</v>
      </c>
      <c r="E2380" s="16" t="s">
        <v>340</v>
      </c>
      <c r="F2380" s="16">
        <v>0</v>
      </c>
      <c r="G2380" s="16">
        <v>99</v>
      </c>
      <c r="H2380" s="16">
        <f t="shared" si="37"/>
        <v>99</v>
      </c>
      <c r="I2380" s="13">
        <v>99</v>
      </c>
    </row>
    <row r="2381" spans="1:9">
      <c r="A2381" s="16" t="s">
        <v>24</v>
      </c>
      <c r="B2381" s="16" t="s">
        <v>77</v>
      </c>
      <c r="C2381" s="16" t="str">
        <f>VLOOKUP([1]Competence!$B15,[1]Competence!$B$12:$B$100,1,FALSE)</f>
        <v>Incident management</v>
      </c>
      <c r="D2381" s="13" t="str" cm="1">
        <f t="array" ref="D2381">_xlfn.XLOOKUP(B2381,[1]Baseline!$D$3:$AZ$3,_xlfn.XLOOKUP(C2381,[1]Baseline!$B$4:$B$91,[1]Baseline!$D$4:$AZ$91))</f>
        <v>Working</v>
      </c>
      <c r="E2381" s="16" t="s">
        <v>343</v>
      </c>
      <c r="F2381" s="16">
        <v>0</v>
      </c>
      <c r="G2381" s="16">
        <v>99</v>
      </c>
      <c r="H2381" s="16">
        <f t="shared" si="37"/>
        <v>99</v>
      </c>
      <c r="I2381" s="13">
        <v>99</v>
      </c>
    </row>
    <row r="2382" spans="1:9">
      <c r="A2382" s="16" t="s">
        <v>24</v>
      </c>
      <c r="B2382" s="16" t="s">
        <v>77</v>
      </c>
      <c r="C2382" s="16" t="str">
        <f>VLOOKUP([1]Competence!$B16,[1]Competence!$B$12:$B$100,1,FALSE)</f>
        <v>Information security</v>
      </c>
      <c r="D2382" s="13" t="str" cm="1">
        <f t="array" ref="D2382">_xlfn.XLOOKUP(B2382,[1]Baseline!$D$3:$AZ$3,_xlfn.XLOOKUP(C2382,[1]Baseline!$B$4:$B$91,[1]Baseline!$D$4:$AZ$91))</f>
        <v>Practitioner</v>
      </c>
      <c r="E2382" s="16" t="s">
        <v>346</v>
      </c>
      <c r="F2382" s="16">
        <v>0</v>
      </c>
      <c r="G2382" s="16">
        <v>99</v>
      </c>
      <c r="H2382" s="16">
        <f t="shared" si="37"/>
        <v>99</v>
      </c>
      <c r="I2382" s="13">
        <v>99</v>
      </c>
    </row>
    <row r="2383" spans="1:9">
      <c r="A2383" s="16" t="s">
        <v>24</v>
      </c>
      <c r="B2383" s="16" t="s">
        <v>77</v>
      </c>
      <c r="C2383" s="16" t="str">
        <f>VLOOKUP([1]Competence!$B17,[1]Competence!$B$12:$B$100,1,FALSE)</f>
        <v>Personal data protection</v>
      </c>
      <c r="D2383" s="13" t="str" cm="1">
        <f t="array" ref="D2383">_xlfn.XLOOKUP(B2383,[1]Baseline!$D$3:$AZ$3,_xlfn.XLOOKUP(C2383,[1]Baseline!$B$4:$B$91,[1]Baseline!$D$4:$AZ$91))</f>
        <v>Practitioner</v>
      </c>
      <c r="E2383" s="16" t="s">
        <v>349</v>
      </c>
      <c r="F2383" s="16">
        <v>0</v>
      </c>
      <c r="G2383" s="16">
        <v>99</v>
      </c>
      <c r="H2383" s="16">
        <f t="shared" si="37"/>
        <v>99</v>
      </c>
      <c r="I2383" s="13">
        <v>99</v>
      </c>
    </row>
    <row r="2384" spans="1:9">
      <c r="A2384" s="16" t="s">
        <v>24</v>
      </c>
      <c r="B2384" s="16" t="s">
        <v>77</v>
      </c>
      <c r="C2384" s="16" t="str">
        <f>VLOOKUP([1]Competence!$B18,[1]Competence!$B$12:$B$100,1,FALSE)</f>
        <v>Problem management</v>
      </c>
      <c r="D2384" s="13" t="str" cm="1">
        <f t="array" ref="D2384">_xlfn.XLOOKUP(B2384,[1]Baseline!$D$3:$AZ$3,_xlfn.XLOOKUP(C2384,[1]Baseline!$B$4:$B$91,[1]Baseline!$D$4:$AZ$91))</f>
        <v>Practitioner</v>
      </c>
      <c r="E2384" s="16" t="s">
        <v>106</v>
      </c>
      <c r="F2384" s="16">
        <v>2</v>
      </c>
      <c r="G2384" s="16">
        <v>99</v>
      </c>
      <c r="H2384" s="16">
        <f t="shared" si="37"/>
        <v>97</v>
      </c>
      <c r="I2384" s="13">
        <v>99</v>
      </c>
    </row>
    <row r="2385" spans="1:9">
      <c r="A2385" s="16" t="s">
        <v>24</v>
      </c>
      <c r="B2385" s="16" t="s">
        <v>77</v>
      </c>
      <c r="C2385" s="16" t="str">
        <f>VLOOKUP([1]Competence!$B19,[1]Competence!$B$12:$B$100,1,FALSE)</f>
        <v>Service catalogue management</v>
      </c>
      <c r="D2385" s="13" t="str" cm="1">
        <f t="array" ref="D2385">_xlfn.XLOOKUP(B2385,[1]Baseline!$D$3:$AZ$3,_xlfn.XLOOKUP(C2385,[1]Baseline!$B$4:$B$91,[1]Baseline!$D$4:$AZ$91))</f>
        <v>Practitioner</v>
      </c>
      <c r="E2385" s="16" t="s">
        <v>109</v>
      </c>
      <c r="F2385" s="16">
        <v>2</v>
      </c>
      <c r="G2385" s="16">
        <v>99</v>
      </c>
      <c r="H2385" s="16">
        <f t="shared" si="37"/>
        <v>97</v>
      </c>
      <c r="I2385" s="13">
        <v>99</v>
      </c>
    </row>
    <row r="2386" spans="1:9">
      <c r="A2386" s="16" t="s">
        <v>24</v>
      </c>
      <c r="B2386" s="16" t="s">
        <v>77</v>
      </c>
      <c r="C2386" s="16" t="str">
        <f>VLOOKUP([1]Competence!$B20,[1]Competence!$B$12:$B$100,1,FALSE)</f>
        <v>Service level management</v>
      </c>
      <c r="D2386" s="13" t="str" cm="1">
        <f t="array" ref="D2386">_xlfn.XLOOKUP(B2386,[1]Baseline!$D$3:$AZ$3,_xlfn.XLOOKUP(C2386,[1]Baseline!$B$4:$B$91,[1]Baseline!$D$4:$AZ$91))</f>
        <v>Practitioner</v>
      </c>
      <c r="E2386" s="16" t="s">
        <v>112</v>
      </c>
      <c r="F2386" s="16">
        <v>3</v>
      </c>
      <c r="G2386" s="16">
        <v>99</v>
      </c>
      <c r="H2386" s="16">
        <f t="shared" si="37"/>
        <v>96</v>
      </c>
      <c r="I2386" s="13">
        <v>99</v>
      </c>
    </row>
    <row r="2387" spans="1:9">
      <c r="A2387" s="16" t="s">
        <v>24</v>
      </c>
      <c r="B2387" s="16" t="s">
        <v>77</v>
      </c>
      <c r="C2387" s="16" t="str">
        <f>VLOOKUP([1]Competence!$B21,[1]Competence!$B$12:$B$100,1,FALSE)</f>
        <v>Availability Management</v>
      </c>
      <c r="D2387" s="13" t="str" cm="1">
        <f t="array" ref="D2387">_xlfn.XLOOKUP(B2387,[1]Baseline!$D$3:$AZ$3,_xlfn.XLOOKUP(C2387,[1]Baseline!$B$4:$B$91,[1]Baseline!$D$4:$AZ$91))</f>
        <v>Practitioner</v>
      </c>
      <c r="E2387" s="16" t="s">
        <v>115</v>
      </c>
      <c r="F2387" s="16">
        <v>2</v>
      </c>
      <c r="G2387" s="16">
        <v>99</v>
      </c>
      <c r="H2387" s="16">
        <f t="shared" si="37"/>
        <v>97</v>
      </c>
      <c r="I2387" s="13">
        <v>99</v>
      </c>
    </row>
    <row r="2388" spans="1:9">
      <c r="A2388" s="16" t="s">
        <v>24</v>
      </c>
      <c r="B2388" s="16" t="s">
        <v>77</v>
      </c>
      <c r="C2388" s="16" t="str">
        <f>VLOOKUP([1]Competence!$B22,[1]Competence!$B$12:$B$100,1,FALSE)</f>
        <v>Capacity management</v>
      </c>
      <c r="D2388" s="13" t="str" cm="1">
        <f t="array" ref="D2388">_xlfn.XLOOKUP(B2388,[1]Baseline!$D$3:$AZ$3,_xlfn.XLOOKUP(C2388,[1]Baseline!$B$4:$B$91,[1]Baseline!$D$4:$AZ$91))</f>
        <v>Practitioner</v>
      </c>
      <c r="E2388" s="16" t="s">
        <v>118</v>
      </c>
      <c r="F2388" s="16">
        <v>2</v>
      </c>
      <c r="G2388" s="16">
        <v>99</v>
      </c>
      <c r="H2388" s="16">
        <f t="shared" si="37"/>
        <v>97</v>
      </c>
      <c r="I2388" s="13">
        <v>99</v>
      </c>
    </row>
    <row r="2389" spans="1:9">
      <c r="A2389" s="16" t="s">
        <v>24</v>
      </c>
      <c r="B2389" s="16" t="s">
        <v>77</v>
      </c>
      <c r="C2389" s="16" t="str">
        <f>VLOOKUP([1]Competence!$B23,[1]Competence!$B$12:$B$100,1,FALSE)</f>
        <v>Configuration Management</v>
      </c>
      <c r="D2389" s="13" t="str" cm="1">
        <f t="array" ref="D2389">_xlfn.XLOOKUP(B2389,[1]Baseline!$D$3:$AZ$3,_xlfn.XLOOKUP(C2389,[1]Baseline!$B$4:$B$91,[1]Baseline!$D$4:$AZ$91))</f>
        <v>Practitioner</v>
      </c>
      <c r="E2389" s="16" t="s">
        <v>121</v>
      </c>
      <c r="F2389" s="16">
        <v>3</v>
      </c>
      <c r="G2389" s="16">
        <v>99</v>
      </c>
      <c r="H2389" s="16">
        <f t="shared" si="37"/>
        <v>96</v>
      </c>
      <c r="I2389" s="13">
        <v>99</v>
      </c>
    </row>
    <row r="2390" spans="1:9">
      <c r="A2390" s="16" t="s">
        <v>24</v>
      </c>
      <c r="B2390" s="16" t="s">
        <v>77</v>
      </c>
      <c r="C2390" s="16" t="str">
        <f>VLOOKUP([1]Competence!$B24,[1]Competence!$B$12:$B$100,1,FALSE)</f>
        <v>Continuity Management</v>
      </c>
      <c r="D2390" s="13" t="str" cm="1">
        <f t="array" ref="D2390">_xlfn.XLOOKUP(B2390,[1]Baseline!$D$3:$AZ$3,_xlfn.XLOOKUP(C2390,[1]Baseline!$B$4:$B$91,[1]Baseline!$D$4:$AZ$91))</f>
        <v>Practitioner</v>
      </c>
      <c r="E2390" s="16" t="s">
        <v>124</v>
      </c>
      <c r="F2390" s="16">
        <v>2</v>
      </c>
      <c r="G2390" s="16">
        <v>99</v>
      </c>
      <c r="H2390" s="16">
        <f t="shared" si="37"/>
        <v>97</v>
      </c>
      <c r="I2390" s="13">
        <v>99</v>
      </c>
    </row>
    <row r="2391" spans="1:9">
      <c r="A2391" s="16" t="s">
        <v>24</v>
      </c>
      <c r="B2391" s="16" t="s">
        <v>77</v>
      </c>
      <c r="C2391" s="16" t="str">
        <f>VLOOKUP([1]Competence!$B25,[1]Competence!$B$12:$B$100,1,FALSE)</f>
        <v>Demand Management</v>
      </c>
      <c r="D2391" s="13" t="str" cm="1">
        <f t="array" ref="D2391">_xlfn.XLOOKUP(B2391,[1]Baseline!$D$3:$AZ$3,_xlfn.XLOOKUP(C2391,[1]Baseline!$B$4:$B$91,[1]Baseline!$D$4:$AZ$91))</f>
        <v>Practitioner</v>
      </c>
      <c r="E2391" s="16" t="s">
        <v>127</v>
      </c>
      <c r="F2391" s="16">
        <v>2</v>
      </c>
      <c r="G2391" s="16">
        <v>99</v>
      </c>
      <c r="H2391" s="16">
        <f t="shared" si="37"/>
        <v>97</v>
      </c>
      <c r="I2391" s="13">
        <v>99</v>
      </c>
    </row>
    <row r="2392" spans="1:9">
      <c r="A2392" s="16" t="s">
        <v>24</v>
      </c>
      <c r="B2392" s="16" t="s">
        <v>77</v>
      </c>
      <c r="C2392" s="16" t="str">
        <f>VLOOKUP([1]Competence!$B26,[1]Competence!$B$12:$B$100,1,FALSE)</f>
        <v>Knowledge management</v>
      </c>
      <c r="D2392" s="13" t="str" cm="1">
        <f t="array" ref="D2392">_xlfn.XLOOKUP(B2392,[1]Baseline!$D$3:$AZ$3,_xlfn.XLOOKUP(C2392,[1]Baseline!$B$4:$B$91,[1]Baseline!$D$4:$AZ$91))</f>
        <v>Practitioner</v>
      </c>
      <c r="E2392" s="16" t="s">
        <v>130</v>
      </c>
      <c r="F2392" s="16">
        <v>2</v>
      </c>
      <c r="G2392" s="16">
        <v>99</v>
      </c>
      <c r="H2392" s="16">
        <f t="shared" si="37"/>
        <v>97</v>
      </c>
      <c r="I2392" s="13">
        <v>99</v>
      </c>
    </row>
    <row r="2393" spans="1:9">
      <c r="A2393" s="16" t="s">
        <v>24</v>
      </c>
      <c r="B2393" s="16" t="s">
        <v>77</v>
      </c>
      <c r="C2393" s="16" t="str">
        <f>VLOOKUP([1]Competence!$B27,[1]Competence!$B$12:$B$100,1,FALSE)</f>
        <v>Methods and tools</v>
      </c>
      <c r="D2393" s="13" t="str" cm="1">
        <f t="array" ref="D2393">_xlfn.XLOOKUP(B2393,[1]Baseline!$D$3:$AZ$3,_xlfn.XLOOKUP(C2393,[1]Baseline!$B$4:$B$91,[1]Baseline!$D$4:$AZ$91))</f>
        <v>Practitioner</v>
      </c>
      <c r="E2393" s="16" t="s">
        <v>211</v>
      </c>
      <c r="F2393" s="16">
        <v>1</v>
      </c>
      <c r="G2393" s="16">
        <v>99</v>
      </c>
      <c r="H2393" s="16">
        <f t="shared" si="37"/>
        <v>98</v>
      </c>
      <c r="I2393" s="13">
        <v>99</v>
      </c>
    </row>
    <row r="2394" spans="1:9">
      <c r="A2394" s="16" t="s">
        <v>24</v>
      </c>
      <c r="B2394" s="16" t="s">
        <v>77</v>
      </c>
      <c r="C2394" s="16" t="str">
        <f>VLOOKUP([1]Competence!$B28,[1]Competence!$B$12:$B$100,1,FALSE)</f>
        <v>Release and deployment</v>
      </c>
      <c r="D2394" s="13" t="str" cm="1">
        <f t="array" ref="D2394">_xlfn.XLOOKUP(B2394,[1]Baseline!$D$3:$AZ$3,_xlfn.XLOOKUP(C2394,[1]Baseline!$B$4:$B$91,[1]Baseline!$D$4:$AZ$91))</f>
        <v>Practitioner</v>
      </c>
      <c r="E2394" s="16" t="s">
        <v>214</v>
      </c>
      <c r="F2394" s="16">
        <v>0</v>
      </c>
      <c r="G2394" s="16">
        <v>99</v>
      </c>
      <c r="H2394" s="16">
        <f t="shared" si="37"/>
        <v>99</v>
      </c>
      <c r="I2394" s="13">
        <v>99</v>
      </c>
    </row>
    <row r="2395" spans="1:9">
      <c r="A2395" s="16" t="s">
        <v>24</v>
      </c>
      <c r="B2395" s="16" t="s">
        <v>77</v>
      </c>
      <c r="C2395" s="16" t="str">
        <f>VLOOKUP([1]Competence!$B29,[1]Competence!$B$12:$B$100,1,FALSE)</f>
        <v>Service acceptance</v>
      </c>
      <c r="D2395" s="13" t="str" cm="1">
        <f t="array" ref="D2395">_xlfn.XLOOKUP(B2395,[1]Baseline!$D$3:$AZ$3,_xlfn.XLOOKUP(C2395,[1]Baseline!$B$4:$B$91,[1]Baseline!$D$4:$AZ$91))</f>
        <v>Practitioner</v>
      </c>
      <c r="E2395" s="16" t="s">
        <v>217</v>
      </c>
      <c r="F2395" s="16">
        <v>0</v>
      </c>
      <c r="G2395" s="16">
        <v>99</v>
      </c>
      <c r="H2395" s="16">
        <f t="shared" si="37"/>
        <v>99</v>
      </c>
      <c r="I2395" s="13">
        <v>99</v>
      </c>
    </row>
    <row r="2396" spans="1:9">
      <c r="A2396" s="16" t="s">
        <v>24</v>
      </c>
      <c r="B2396" s="16" t="s">
        <v>77</v>
      </c>
      <c r="C2396" s="16" t="str">
        <f>VLOOKUP([1]Competence!$B30,[1]Competence!$B$12:$B$100,1,FALSE)</f>
        <v>Stakeholder relationship management</v>
      </c>
      <c r="D2396" s="13" t="str" cm="1">
        <f t="array" ref="D2396">_xlfn.XLOOKUP(B2396,[1]Baseline!$D$3:$AZ$3,_xlfn.XLOOKUP(C2396,[1]Baseline!$B$4:$B$91,[1]Baseline!$D$4:$AZ$91))</f>
        <v>Practitioner</v>
      </c>
      <c r="E2396" s="16" t="s">
        <v>49</v>
      </c>
      <c r="F2396" s="16">
        <v>1</v>
      </c>
      <c r="G2396" s="16">
        <v>99</v>
      </c>
      <c r="H2396" s="16">
        <f t="shared" si="37"/>
        <v>98</v>
      </c>
      <c r="I2396" s="13">
        <v>99</v>
      </c>
    </row>
    <row r="2397" spans="1:9">
      <c r="A2397" s="16" t="s">
        <v>24</v>
      </c>
      <c r="B2397" s="16" t="s">
        <v>77</v>
      </c>
      <c r="C2397" s="16" t="str">
        <f>VLOOKUP([1]Competence!$B31,[1]Competence!$B$12:$B$100,1,FALSE)</f>
        <v>Storage management</v>
      </c>
      <c r="D2397" s="13" t="str" cm="1">
        <f t="array" ref="D2397">_xlfn.XLOOKUP(B2397,[1]Baseline!$D$3:$AZ$3,_xlfn.XLOOKUP(C2397,[1]Baseline!$B$4:$B$91,[1]Baseline!$D$4:$AZ$91))</f>
        <v>Practitioner</v>
      </c>
      <c r="E2397" s="16" t="s">
        <v>222</v>
      </c>
      <c r="F2397" s="16">
        <v>0</v>
      </c>
      <c r="G2397" s="16">
        <v>99</v>
      </c>
      <c r="H2397" s="16">
        <f t="shared" si="37"/>
        <v>99</v>
      </c>
      <c r="I2397" s="13">
        <v>99</v>
      </c>
    </row>
    <row r="2398" spans="1:9">
      <c r="A2398" s="16" t="s">
        <v>24</v>
      </c>
      <c r="B2398" s="16" t="s">
        <v>77</v>
      </c>
      <c r="C2398" s="16" t="str">
        <f>VLOOKUP([1]Competence!$B32,[1]Competence!$B$12:$B$100,1,FALSE)</f>
        <v>Digital Forensics</v>
      </c>
      <c r="D2398" s="13" t="str" cm="1">
        <f t="array" ref="D2398">_xlfn.XLOOKUP(B2398,[1]Baseline!$D$3:$AZ$3,_xlfn.XLOOKUP(C2398,[1]Baseline!$B$4:$B$91,[1]Baseline!$D$4:$AZ$91))</f>
        <v>Working</v>
      </c>
      <c r="E2398" s="16" t="s">
        <v>225</v>
      </c>
      <c r="F2398" s="16">
        <v>1</v>
      </c>
      <c r="G2398" s="16">
        <v>99</v>
      </c>
      <c r="H2398" s="16">
        <f t="shared" si="37"/>
        <v>98</v>
      </c>
      <c r="I2398" s="13">
        <v>99</v>
      </c>
    </row>
    <row r="2399" spans="1:9">
      <c r="A2399" s="16" t="s">
        <v>24</v>
      </c>
      <c r="B2399" s="16" t="s">
        <v>77</v>
      </c>
      <c r="C2399" s="16" t="str">
        <f>VLOOKUP([1]Competence!$B33,[1]Competence!$B$12:$B$100,1,FALSE)</f>
        <v>Penetration testing</v>
      </c>
      <c r="D2399" s="13" t="str" cm="1">
        <f t="array" ref="D2399">_xlfn.XLOOKUP(B2399,[1]Baseline!$D$3:$AZ$3,_xlfn.XLOOKUP(C2399,[1]Baseline!$B$4:$B$91,[1]Baseline!$D$4:$AZ$91))</f>
        <v>Working</v>
      </c>
      <c r="E2399" s="16" t="s">
        <v>228</v>
      </c>
      <c r="F2399" s="16">
        <v>1</v>
      </c>
      <c r="G2399" s="16">
        <v>99</v>
      </c>
      <c r="H2399" s="16">
        <f t="shared" si="37"/>
        <v>98</v>
      </c>
      <c r="I2399" s="13">
        <v>99</v>
      </c>
    </row>
    <row r="2400" spans="1:9">
      <c r="A2400" s="16" t="s">
        <v>24</v>
      </c>
      <c r="B2400" s="16" t="s">
        <v>77</v>
      </c>
      <c r="C2400" s="16" t="str">
        <f>VLOOKUP([1]Competence!$B34,[1]Competence!$B$12:$B$100,1,FALSE)</f>
        <v>Security Operations</v>
      </c>
      <c r="D2400" s="13" t="str" cm="1">
        <f t="array" ref="D2400">_xlfn.XLOOKUP(B2400,[1]Baseline!$D$3:$AZ$3,_xlfn.XLOOKUP(C2400,[1]Baseline!$B$4:$B$91,[1]Baseline!$D$4:$AZ$91))</f>
        <v>Practitioner</v>
      </c>
      <c r="E2400" s="16" t="s">
        <v>231</v>
      </c>
      <c r="F2400" s="16">
        <v>1</v>
      </c>
      <c r="G2400" s="16">
        <v>99</v>
      </c>
      <c r="H2400" s="16">
        <f t="shared" si="37"/>
        <v>98</v>
      </c>
      <c r="I2400" s="13">
        <v>99</v>
      </c>
    </row>
    <row r="2401" spans="1:9">
      <c r="A2401" s="16" t="s">
        <v>24</v>
      </c>
      <c r="B2401" s="16" t="s">
        <v>77</v>
      </c>
      <c r="C2401" s="16" t="str">
        <f>VLOOKUP([1]Competence!$B35,[1]Competence!$B$12:$B$100,1,FALSE)</f>
        <v>Threat Intelligence</v>
      </c>
      <c r="D2401" s="13" t="str" cm="1">
        <f t="array" ref="D2401">_xlfn.XLOOKUP(B2401,[1]Baseline!$D$3:$AZ$3,_xlfn.XLOOKUP(C2401,[1]Baseline!$B$4:$B$91,[1]Baseline!$D$4:$AZ$91))</f>
        <v>Working</v>
      </c>
      <c r="E2401" s="16" t="s">
        <v>185</v>
      </c>
      <c r="F2401" s="16">
        <v>1</v>
      </c>
      <c r="G2401" s="16">
        <v>99</v>
      </c>
      <c r="H2401" s="16">
        <f t="shared" si="37"/>
        <v>98</v>
      </c>
      <c r="I2401" s="13">
        <v>99</v>
      </c>
    </row>
    <row r="2402" spans="1:9">
      <c r="A2402" s="16" t="s">
        <v>24</v>
      </c>
      <c r="B2402" s="16" t="s">
        <v>77</v>
      </c>
      <c r="C2402" s="16" t="str">
        <f>VLOOKUP([1]Competence!$B36,[1]Competence!$B$12:$B$100,1,FALSE)</f>
        <v>Vulnerability assessment</v>
      </c>
      <c r="D2402" s="13" t="str" cm="1">
        <f t="array" ref="D2402">_xlfn.XLOOKUP(B2402,[1]Baseline!$D$3:$AZ$3,_xlfn.XLOOKUP(C2402,[1]Baseline!$B$4:$B$91,[1]Baseline!$D$4:$AZ$91))</f>
        <v>Working</v>
      </c>
      <c r="E2402" s="16" t="s">
        <v>188</v>
      </c>
      <c r="F2402" s="16">
        <v>1</v>
      </c>
      <c r="G2402" s="16">
        <v>99</v>
      </c>
      <c r="H2402" s="16">
        <f t="shared" si="37"/>
        <v>98</v>
      </c>
      <c r="I2402" s="13">
        <v>99</v>
      </c>
    </row>
    <row r="2403" spans="1:9">
      <c r="A2403" s="16" t="s">
        <v>24</v>
      </c>
      <c r="B2403" s="16" t="s">
        <v>77</v>
      </c>
      <c r="C2403" s="16" t="str">
        <f>VLOOKUP([1]Competence!$B37,[1]Competence!$B$12:$B$100,1,FALSE)</f>
        <v>Vulnerability Research</v>
      </c>
      <c r="D2403" s="13" t="str" cm="1">
        <f t="array" ref="D2403">_xlfn.XLOOKUP(B2403,[1]Baseline!$D$3:$AZ$3,_xlfn.XLOOKUP(C2403,[1]Baseline!$B$4:$B$91,[1]Baseline!$D$4:$AZ$91))</f>
        <v>Awareness</v>
      </c>
      <c r="E2403" s="16" t="s">
        <v>191</v>
      </c>
      <c r="F2403" s="16">
        <v>0</v>
      </c>
      <c r="G2403" s="16">
        <v>99</v>
      </c>
      <c r="H2403" s="16">
        <f t="shared" si="37"/>
        <v>99</v>
      </c>
      <c r="I2403" s="13">
        <v>99</v>
      </c>
    </row>
    <row r="2404" spans="1:9">
      <c r="A2404" s="16" t="s">
        <v>24</v>
      </c>
      <c r="B2404" s="16" t="s">
        <v>77</v>
      </c>
      <c r="C2404" s="16" t="str">
        <f>VLOOKUP([1]Competence!$B38,[1]Competence!$B$12:$B$100,1,FALSE)</f>
        <v>Competency assessment</v>
      </c>
      <c r="D2404" s="13" t="str" cm="1">
        <f t="array" ref="D2404">_xlfn.XLOOKUP(B2404,[1]Baseline!$D$3:$AZ$3,_xlfn.XLOOKUP(C2404,[1]Baseline!$B$4:$B$91,[1]Baseline!$D$4:$AZ$91))</f>
        <v>Awareness</v>
      </c>
      <c r="E2404" s="16" t="s">
        <v>194</v>
      </c>
      <c r="F2404" s="16">
        <v>0</v>
      </c>
      <c r="G2404" s="16">
        <v>99</v>
      </c>
      <c r="H2404" s="16">
        <f t="shared" si="37"/>
        <v>99</v>
      </c>
      <c r="I2404" s="13">
        <v>99</v>
      </c>
    </row>
    <row r="2405" spans="1:9">
      <c r="A2405" s="16" t="s">
        <v>24</v>
      </c>
      <c r="B2405" s="16" t="s">
        <v>77</v>
      </c>
      <c r="C2405" s="16" t="str">
        <f>VLOOKUP([1]Competence!$B39,[1]Competence!$B$12:$B$100,1,FALSE)</f>
        <v>Financial management</v>
      </c>
      <c r="D2405" s="13" t="str" cm="1">
        <f t="array" ref="D2405">_xlfn.XLOOKUP(B2405,[1]Baseline!$D$3:$AZ$3,_xlfn.XLOOKUP(C2405,[1]Baseline!$B$4:$B$91,[1]Baseline!$D$4:$AZ$91))</f>
        <v>No Knowledge</v>
      </c>
      <c r="E2405" s="16" t="s">
        <v>197</v>
      </c>
      <c r="F2405" s="16">
        <v>0</v>
      </c>
      <c r="G2405" s="16">
        <v>99</v>
      </c>
      <c r="H2405" s="16">
        <f t="shared" si="37"/>
        <v>99</v>
      </c>
      <c r="I2405" s="13">
        <v>99</v>
      </c>
    </row>
    <row r="2406" spans="1:9">
      <c r="A2406" s="16" t="s">
        <v>24</v>
      </c>
      <c r="B2406" s="16" t="s">
        <v>77</v>
      </c>
      <c r="C2406" s="16" t="str">
        <f>VLOOKUP([1]Competence!$B40,[1]Competence!$B$12:$B$100,1,FALSE)</f>
        <v>Organisation design and implementation</v>
      </c>
      <c r="D2406" s="13" t="str" cm="1">
        <f t="array" ref="D2406">_xlfn.XLOOKUP(B2406,[1]Baseline!$D$3:$AZ$3,_xlfn.XLOOKUP(C2406,[1]Baseline!$B$4:$B$91,[1]Baseline!$D$4:$AZ$91))</f>
        <v>No Knowledge</v>
      </c>
      <c r="E2406" s="16" t="s">
        <v>200</v>
      </c>
      <c r="F2406" s="16">
        <v>0</v>
      </c>
      <c r="G2406" s="16">
        <v>99</v>
      </c>
      <c r="H2406" s="16">
        <f t="shared" si="37"/>
        <v>99</v>
      </c>
      <c r="I2406" s="13">
        <v>99</v>
      </c>
    </row>
    <row r="2407" spans="1:9">
      <c r="A2407" s="16" t="s">
        <v>24</v>
      </c>
      <c r="B2407" s="16" t="s">
        <v>77</v>
      </c>
      <c r="C2407" s="16" t="str">
        <f>VLOOKUP([1]Competence!$B41,[1]Competence!$B$12:$B$100,1,FALSE)</f>
        <v>Organisational capability development</v>
      </c>
      <c r="D2407" s="13" t="str" cm="1">
        <f t="array" ref="D2407">_xlfn.XLOOKUP(B2407,[1]Baseline!$D$3:$AZ$3,_xlfn.XLOOKUP(C2407,[1]Baseline!$B$4:$B$91,[1]Baseline!$D$4:$AZ$91))</f>
        <v>No Knowledge</v>
      </c>
      <c r="E2407" s="16" t="s">
        <v>203</v>
      </c>
      <c r="F2407" s="16">
        <v>1</v>
      </c>
      <c r="G2407" s="16">
        <v>99</v>
      </c>
      <c r="H2407" s="16">
        <f t="shared" si="37"/>
        <v>98</v>
      </c>
      <c r="I2407" s="13">
        <v>99</v>
      </c>
    </row>
    <row r="2408" spans="1:9">
      <c r="A2408" s="16" t="s">
        <v>24</v>
      </c>
      <c r="B2408" s="16" t="s">
        <v>77</v>
      </c>
      <c r="C2408" s="16" t="str">
        <f>VLOOKUP([1]Competence!$B42,[1]Competence!$B$12:$B$100,1,FALSE)</f>
        <v>Organisational change management</v>
      </c>
      <c r="D2408" s="13" t="str" cm="1">
        <f t="array" ref="D2408">_xlfn.XLOOKUP(B2408,[1]Baseline!$D$3:$AZ$3,_xlfn.XLOOKUP(C2408,[1]Baseline!$B$4:$B$91,[1]Baseline!$D$4:$AZ$91))</f>
        <v>No Knowledge</v>
      </c>
      <c r="E2408" s="16" t="s">
        <v>206</v>
      </c>
      <c r="F2408" s="16">
        <v>0</v>
      </c>
      <c r="G2408" s="16">
        <v>99</v>
      </c>
      <c r="H2408" s="16">
        <f t="shared" si="37"/>
        <v>99</v>
      </c>
      <c r="I2408" s="13">
        <v>99</v>
      </c>
    </row>
    <row r="2409" spans="1:9">
      <c r="A2409" s="16" t="s">
        <v>24</v>
      </c>
      <c r="B2409" s="16" t="s">
        <v>77</v>
      </c>
      <c r="C2409" s="16" t="str">
        <f>VLOOKUP([1]Competence!$B43,[1]Competence!$B$12:$B$100,1,FALSE)</f>
        <v>Performance Management</v>
      </c>
      <c r="D2409" s="13" t="str" cm="1">
        <f t="array" ref="D2409">_xlfn.XLOOKUP(B2409,[1]Baseline!$D$3:$AZ$3,_xlfn.XLOOKUP(C2409,[1]Baseline!$B$4:$B$91,[1]Baseline!$D$4:$AZ$91))</f>
        <v>No Knowledge</v>
      </c>
      <c r="E2409" s="16" t="s">
        <v>208</v>
      </c>
      <c r="F2409" s="16">
        <v>0</v>
      </c>
      <c r="G2409" s="16">
        <v>99</v>
      </c>
      <c r="H2409" s="16">
        <f t="shared" si="37"/>
        <v>99</v>
      </c>
      <c r="I2409" s="13">
        <v>99</v>
      </c>
    </row>
    <row r="2410" spans="1:9">
      <c r="A2410" s="16" t="s">
        <v>24</v>
      </c>
      <c r="B2410" s="16" t="s">
        <v>77</v>
      </c>
      <c r="C2410" s="16" t="str">
        <f>VLOOKUP([1]Competence!$B44,[1]Competence!$B$12:$B$100,1,FALSE)</f>
        <v>Professional Development</v>
      </c>
      <c r="D2410" s="13" t="str" cm="1">
        <f t="array" ref="D2410">_xlfn.XLOOKUP(B2410,[1]Baseline!$D$3:$AZ$3,_xlfn.XLOOKUP(C2410,[1]Baseline!$B$4:$B$91,[1]Baseline!$D$4:$AZ$91))</f>
        <v>Awareness</v>
      </c>
      <c r="E2410" s="16" t="s">
        <v>167</v>
      </c>
      <c r="F2410" s="16">
        <v>0</v>
      </c>
      <c r="G2410" s="16">
        <v>99</v>
      </c>
      <c r="H2410" s="16">
        <f t="shared" si="37"/>
        <v>99</v>
      </c>
      <c r="I2410" s="13">
        <v>99</v>
      </c>
    </row>
    <row r="2411" spans="1:9">
      <c r="A2411" s="16" t="s">
        <v>24</v>
      </c>
      <c r="B2411" s="16" t="s">
        <v>77</v>
      </c>
      <c r="C2411" s="16" t="str">
        <f>VLOOKUP([1]Competence!$B45,[1]Competence!$B$12:$B$100,1,FALSE)</f>
        <v>Strategic Planning</v>
      </c>
      <c r="D2411" s="13" t="str" cm="1">
        <f t="array" ref="D2411">_xlfn.XLOOKUP(B2411,[1]Baseline!$D$3:$AZ$3,_xlfn.XLOOKUP(C2411,[1]Baseline!$B$4:$B$91,[1]Baseline!$D$4:$AZ$91))</f>
        <v>No Knowledge</v>
      </c>
      <c r="E2411" s="16" t="s">
        <v>170</v>
      </c>
      <c r="F2411" s="16">
        <v>0</v>
      </c>
      <c r="G2411" s="16">
        <v>99</v>
      </c>
      <c r="H2411" s="16">
        <f t="shared" si="37"/>
        <v>99</v>
      </c>
      <c r="I2411" s="13">
        <v>99</v>
      </c>
    </row>
    <row r="2412" spans="1:9">
      <c r="A2412" s="16" t="s">
        <v>24</v>
      </c>
      <c r="B2412" s="16" t="s">
        <v>77</v>
      </c>
      <c r="C2412" s="16" t="str">
        <f>VLOOKUP([1]Competence!$B46,[1]Competence!$B$12:$B$100,1,FALSE)</f>
        <v>Workforce Planning</v>
      </c>
      <c r="D2412" s="13" t="str" cm="1">
        <f t="array" ref="D2412">_xlfn.XLOOKUP(B2412,[1]Baseline!$D$3:$AZ$3,_xlfn.XLOOKUP(C2412,[1]Baseline!$B$4:$B$91,[1]Baseline!$D$4:$AZ$91))</f>
        <v>No Knowledge</v>
      </c>
      <c r="E2412" s="16" t="s">
        <v>173</v>
      </c>
      <c r="F2412" s="16">
        <v>2</v>
      </c>
      <c r="G2412" s="16">
        <v>99</v>
      </c>
      <c r="H2412" s="16">
        <f t="shared" si="37"/>
        <v>97</v>
      </c>
      <c r="I2412" s="13">
        <v>99</v>
      </c>
    </row>
    <row r="2413" spans="1:9">
      <c r="A2413" s="16" t="s">
        <v>24</v>
      </c>
      <c r="B2413" s="16" t="s">
        <v>77</v>
      </c>
      <c r="C2413" s="16" t="str">
        <f>VLOOKUP([1]Competence!$B47,[1]Competence!$B$12:$B$100,1,FALSE)</f>
        <v>Audit</v>
      </c>
      <c r="D2413" s="13" t="str" cm="1">
        <f t="array" ref="D2413">_xlfn.XLOOKUP(B2413,[1]Baseline!$D$3:$AZ$3,_xlfn.XLOOKUP(C2413,[1]Baseline!$B$4:$B$91,[1]Baseline!$D$4:$AZ$91))</f>
        <v>Working</v>
      </c>
      <c r="E2413" s="16" t="s">
        <v>176</v>
      </c>
      <c r="F2413" s="16">
        <v>0</v>
      </c>
      <c r="G2413" s="16">
        <v>99</v>
      </c>
      <c r="H2413" s="16">
        <f t="shared" si="37"/>
        <v>99</v>
      </c>
      <c r="I2413" s="13">
        <v>99</v>
      </c>
    </row>
    <row r="2414" spans="1:9">
      <c r="A2414" s="16" t="s">
        <v>24</v>
      </c>
      <c r="B2414" s="16" t="s">
        <v>77</v>
      </c>
      <c r="C2414" s="16" t="str">
        <f>VLOOKUP([1]Competence!$B48,[1]Competence!$B$12:$B$100,1,FALSE)</f>
        <v>Contract management</v>
      </c>
      <c r="D2414" s="13" t="str" cm="1">
        <f t="array" ref="D2414">_xlfn.XLOOKUP(B2414,[1]Baseline!$D$3:$AZ$3,_xlfn.XLOOKUP(C2414,[1]Baseline!$B$4:$B$91,[1]Baseline!$D$4:$AZ$91))</f>
        <v>Awareness</v>
      </c>
      <c r="E2414" s="16" t="s">
        <v>179</v>
      </c>
      <c r="F2414" s="16">
        <v>2</v>
      </c>
      <c r="G2414" s="16">
        <v>99</v>
      </c>
      <c r="H2414" s="16">
        <f t="shared" si="37"/>
        <v>97</v>
      </c>
      <c r="I2414" s="13">
        <v>99</v>
      </c>
    </row>
    <row r="2415" spans="1:9">
      <c r="A2415" s="16" t="s">
        <v>24</v>
      </c>
      <c r="B2415" s="16" t="s">
        <v>77</v>
      </c>
      <c r="C2415" s="16" t="str">
        <f>VLOOKUP([1]Competence!$B49,[1]Competence!$B$12:$B$100,1,FALSE)</f>
        <v>Feasibility assessment</v>
      </c>
      <c r="D2415" s="13" t="str" cm="1">
        <f t="array" ref="D2415">_xlfn.XLOOKUP(B2415,[1]Baseline!$D$3:$AZ$3,_xlfn.XLOOKUP(C2415,[1]Baseline!$B$4:$B$91,[1]Baseline!$D$4:$AZ$91))</f>
        <v>Awareness</v>
      </c>
      <c r="E2415" s="16" t="s">
        <v>182</v>
      </c>
      <c r="F2415" s="16">
        <v>0</v>
      </c>
      <c r="G2415" s="16">
        <v>99</v>
      </c>
      <c r="H2415" s="16">
        <f t="shared" si="37"/>
        <v>99</v>
      </c>
      <c r="I2415" s="13">
        <v>99</v>
      </c>
    </row>
    <row r="2416" spans="1:9">
      <c r="A2416" s="16" t="s">
        <v>24</v>
      </c>
      <c r="B2416" s="16" t="s">
        <v>77</v>
      </c>
      <c r="C2416" s="16" t="str">
        <f>VLOOKUP([1]Competence!$B50,[1]Competence!$B$12:$B$100,1,FALSE)</f>
        <v>Governance</v>
      </c>
      <c r="D2416" s="13" t="str" cm="1">
        <f t="array" ref="D2416">_xlfn.XLOOKUP(B2416,[1]Baseline!$D$3:$AZ$3,_xlfn.XLOOKUP(C2416,[1]Baseline!$B$4:$B$91,[1]Baseline!$D$4:$AZ$91))</f>
        <v>Awareness</v>
      </c>
      <c r="E2416" s="16" t="s">
        <v>133</v>
      </c>
      <c r="F2416" s="16">
        <v>1</v>
      </c>
      <c r="G2416" s="16">
        <v>99</v>
      </c>
      <c r="H2416" s="16">
        <f t="shared" si="37"/>
        <v>98</v>
      </c>
      <c r="I2416" s="13">
        <v>99</v>
      </c>
    </row>
    <row r="2417" spans="1:9">
      <c r="A2417" s="16" t="s">
        <v>24</v>
      </c>
      <c r="B2417" s="16" t="s">
        <v>77</v>
      </c>
      <c r="C2417" s="16" t="str">
        <f>VLOOKUP([1]Competence!$B51,[1]Competence!$B$12:$B$100,1,FALSE)</f>
        <v>Risk management</v>
      </c>
      <c r="D2417" s="13" t="str" cm="1">
        <f t="array" ref="D2417">_xlfn.XLOOKUP(B2417,[1]Baseline!$D$3:$AZ$3,_xlfn.XLOOKUP(C2417,[1]Baseline!$B$4:$B$91,[1]Baseline!$D$4:$AZ$91))</f>
        <v>No Knowledge</v>
      </c>
      <c r="E2417" s="16" t="s">
        <v>136</v>
      </c>
      <c r="F2417" s="16">
        <v>0</v>
      </c>
      <c r="G2417" s="16">
        <v>99</v>
      </c>
      <c r="H2417" s="16">
        <f t="shared" si="37"/>
        <v>99</v>
      </c>
      <c r="I2417" s="13">
        <v>99</v>
      </c>
    </row>
    <row r="2418" spans="1:9">
      <c r="A2418" s="16" t="s">
        <v>24</v>
      </c>
      <c r="B2418" s="16" t="s">
        <v>77</v>
      </c>
      <c r="C2418" s="16" t="str">
        <f>VLOOKUP([1]Competence!$B52,[1]Competence!$B$12:$B$100,1,FALSE)</f>
        <v>Sourcing</v>
      </c>
      <c r="D2418" s="13" t="str" cm="1">
        <f t="array" ref="D2418">_xlfn.XLOOKUP(B2418,[1]Baseline!$D$3:$AZ$3,_xlfn.XLOOKUP(C2418,[1]Baseline!$B$4:$B$91,[1]Baseline!$D$4:$AZ$91))</f>
        <v>Awareness</v>
      </c>
      <c r="E2418" s="16" t="s">
        <v>139</v>
      </c>
      <c r="F2418" s="16">
        <v>1</v>
      </c>
      <c r="G2418" s="16">
        <v>99</v>
      </c>
      <c r="H2418" s="16">
        <f t="shared" si="37"/>
        <v>98</v>
      </c>
      <c r="I2418" s="13">
        <v>99</v>
      </c>
    </row>
    <row r="2419" spans="1:9">
      <c r="A2419" s="16" t="s">
        <v>24</v>
      </c>
      <c r="B2419" s="16" t="s">
        <v>77</v>
      </c>
      <c r="C2419" s="16" t="str">
        <f>VLOOKUP([1]Competence!$B53,[1]Competence!$B$12:$B$100,1,FALSE)</f>
        <v>Supplier management</v>
      </c>
      <c r="D2419" s="13" t="str" cm="1">
        <f t="array" ref="D2419">_xlfn.XLOOKUP(B2419,[1]Baseline!$D$3:$AZ$3,_xlfn.XLOOKUP(C2419,[1]Baseline!$B$4:$B$91,[1]Baseline!$D$4:$AZ$91))</f>
        <v>Awareness</v>
      </c>
      <c r="E2419" s="16" t="s">
        <v>142</v>
      </c>
      <c r="F2419" s="16">
        <v>1</v>
      </c>
      <c r="G2419" s="16">
        <v>99</v>
      </c>
      <c r="H2419" s="16">
        <f t="shared" si="37"/>
        <v>98</v>
      </c>
      <c r="I2419" s="13">
        <v>99</v>
      </c>
    </row>
    <row r="2420" spans="1:9">
      <c r="A2420" s="16" t="s">
        <v>24</v>
      </c>
      <c r="B2420" s="16" t="s">
        <v>77</v>
      </c>
      <c r="C2420" s="16" t="str">
        <f>VLOOKUP([1]Competence!$B54,[1]Competence!$B$12:$B$100,1,FALSE)</f>
        <v>Sustainability</v>
      </c>
      <c r="D2420" s="13" t="str" cm="1">
        <f t="array" ref="D2420">_xlfn.XLOOKUP(B2420,[1]Baseline!$D$3:$AZ$3,_xlfn.XLOOKUP(C2420,[1]Baseline!$B$4:$B$91,[1]Baseline!$D$4:$AZ$91))</f>
        <v>Awareness</v>
      </c>
      <c r="E2420" s="16" t="s">
        <v>145</v>
      </c>
      <c r="F2420" s="16">
        <v>1</v>
      </c>
      <c r="G2420" s="16">
        <v>99</v>
      </c>
      <c r="H2420" s="16">
        <f t="shared" si="37"/>
        <v>98</v>
      </c>
      <c r="I2420" s="13">
        <v>99</v>
      </c>
    </row>
    <row r="2421" spans="1:9">
      <c r="A2421" s="16" t="s">
        <v>24</v>
      </c>
      <c r="B2421" s="16" t="s">
        <v>77</v>
      </c>
      <c r="C2421" s="16" t="str">
        <f>VLOOKUP([1]Competence!$B55,[1]Competence!$B$12:$B$100,1,FALSE)</f>
        <v>Acceptance testing</v>
      </c>
      <c r="D2421" s="13" t="str" cm="1">
        <f t="array" ref="D2421">_xlfn.XLOOKUP(B2421,[1]Baseline!$D$3:$AZ$3,_xlfn.XLOOKUP(C2421,[1]Baseline!$B$4:$B$91,[1]Baseline!$D$4:$AZ$91))</f>
        <v>Working</v>
      </c>
      <c r="E2421" s="16" t="s">
        <v>148</v>
      </c>
      <c r="F2421" s="16">
        <v>2</v>
      </c>
      <c r="G2421" s="16">
        <v>99</v>
      </c>
      <c r="H2421" s="16">
        <f t="shared" si="37"/>
        <v>97</v>
      </c>
      <c r="I2421" s="13">
        <v>99</v>
      </c>
    </row>
    <row r="2422" spans="1:9">
      <c r="A2422" s="16" t="s">
        <v>24</v>
      </c>
      <c r="B2422" s="16" t="s">
        <v>77</v>
      </c>
      <c r="C2422" s="16" t="str">
        <f>VLOOKUP([1]Competence!$B56,[1]Competence!$B$12:$B$100,1,FALSE)</f>
        <v>Application support</v>
      </c>
      <c r="D2422" s="13" t="str" cm="1">
        <f t="array" ref="D2422">_xlfn.XLOOKUP(B2422,[1]Baseline!$D$3:$AZ$3,_xlfn.XLOOKUP(C2422,[1]Baseline!$B$4:$B$91,[1]Baseline!$D$4:$AZ$91))</f>
        <v>Working</v>
      </c>
      <c r="E2422" s="16" t="s">
        <v>151</v>
      </c>
      <c r="F2422" s="16">
        <v>1</v>
      </c>
      <c r="G2422" s="16">
        <v>99</v>
      </c>
      <c r="H2422" s="16">
        <f t="shared" si="37"/>
        <v>98</v>
      </c>
      <c r="I2422" s="13">
        <v>99</v>
      </c>
    </row>
    <row r="2423" spans="1:9">
      <c r="A2423" s="16" t="s">
        <v>24</v>
      </c>
      <c r="B2423" s="16" t="s">
        <v>77</v>
      </c>
      <c r="C2423" s="16" t="str">
        <f>VLOOKUP([1]Competence!$B57,[1]Competence!$B$12:$B$100,1,FALSE)</f>
        <v>Data Engineering</v>
      </c>
      <c r="D2423" s="13" t="str" cm="1">
        <f t="array" ref="D2423">_xlfn.XLOOKUP(B2423,[1]Baseline!$D$3:$AZ$3,_xlfn.XLOOKUP(C2423,[1]Baseline!$B$4:$B$91,[1]Baseline!$D$4:$AZ$91))</f>
        <v>No Knowledge</v>
      </c>
      <c r="E2423" s="16" t="s">
        <v>154</v>
      </c>
      <c r="F2423" s="16">
        <v>0</v>
      </c>
      <c r="G2423" s="16">
        <v>99</v>
      </c>
      <c r="H2423" s="16">
        <f t="shared" si="37"/>
        <v>99</v>
      </c>
      <c r="I2423" s="13">
        <v>99</v>
      </c>
    </row>
    <row r="2424" spans="1:9">
      <c r="A2424" s="16" t="s">
        <v>24</v>
      </c>
      <c r="B2424" s="16" t="s">
        <v>77</v>
      </c>
      <c r="C2424" s="16" t="str">
        <f>VLOOKUP([1]Competence!$B58,[1]Competence!$B$12:$B$100,1,FALSE)</f>
        <v>Data Management</v>
      </c>
      <c r="D2424" s="13" t="str" cm="1">
        <f t="array" ref="D2424">_xlfn.XLOOKUP(B2424,[1]Baseline!$D$3:$AZ$3,_xlfn.XLOOKUP(C2424,[1]Baseline!$B$4:$B$91,[1]Baseline!$D$4:$AZ$91))</f>
        <v>No Knowledge</v>
      </c>
      <c r="E2424" s="16" t="s">
        <v>158</v>
      </c>
      <c r="F2424" s="16">
        <v>0</v>
      </c>
      <c r="G2424" s="16">
        <v>99</v>
      </c>
      <c r="H2424" s="16">
        <f t="shared" si="37"/>
        <v>99</v>
      </c>
      <c r="I2424" s="13">
        <v>99</v>
      </c>
    </row>
    <row r="2425" spans="1:9">
      <c r="A2425" s="16" t="s">
        <v>24</v>
      </c>
      <c r="B2425" s="16" t="s">
        <v>77</v>
      </c>
      <c r="C2425" s="16" t="str">
        <f>VLOOKUP([1]Competence!$B59,[1]Competence!$B$12:$B$100,1,FALSE)</f>
        <v>Data Modelling and Design</v>
      </c>
      <c r="D2425" s="13" t="str" cm="1">
        <f t="array" ref="D2425">_xlfn.XLOOKUP(B2425,[1]Baseline!$D$3:$AZ$3,_xlfn.XLOOKUP(C2425,[1]Baseline!$B$4:$B$91,[1]Baseline!$D$4:$AZ$91))</f>
        <v>No Knowledge</v>
      </c>
      <c r="E2425" s="16" t="s">
        <v>161</v>
      </c>
      <c r="F2425" s="16">
        <v>2</v>
      </c>
      <c r="G2425" s="16">
        <v>99</v>
      </c>
      <c r="H2425" s="16">
        <f t="shared" si="37"/>
        <v>97</v>
      </c>
      <c r="I2425" s="13">
        <v>99</v>
      </c>
    </row>
    <row r="2426" spans="1:9">
      <c r="A2426" s="16" t="s">
        <v>24</v>
      </c>
      <c r="B2426" s="16" t="s">
        <v>77</v>
      </c>
      <c r="C2426" s="16" t="str">
        <f>VLOOKUP([1]Competence!$B60,[1]Competence!$B$12:$B$100,1,FALSE)</f>
        <v>Data science</v>
      </c>
      <c r="D2426" s="13" t="str" cm="1">
        <f t="array" ref="D2426">_xlfn.XLOOKUP(B2426,[1]Baseline!$D$3:$AZ$3,_xlfn.XLOOKUP(C2426,[1]Baseline!$B$4:$B$91,[1]Baseline!$D$4:$AZ$91))</f>
        <v>No Knowledge</v>
      </c>
      <c r="E2426" s="16" t="s">
        <v>164</v>
      </c>
      <c r="F2426" s="16">
        <v>2</v>
      </c>
      <c r="G2426" s="16">
        <v>99</v>
      </c>
      <c r="H2426" s="16">
        <f t="shared" si="37"/>
        <v>97</v>
      </c>
      <c r="I2426" s="13">
        <v>99</v>
      </c>
    </row>
    <row r="2427" spans="1:9">
      <c r="A2427" s="16" t="s">
        <v>24</v>
      </c>
      <c r="B2427" s="16" t="s">
        <v>77</v>
      </c>
      <c r="C2427" s="16" t="str">
        <f>VLOOKUP([1]Competence!$B61,[1]Competence!$B$12:$B$100,1,FALSE)</f>
        <v>Data visualisation</v>
      </c>
      <c r="D2427" s="13" t="str" cm="1">
        <f t="array" ref="D2427">_xlfn.XLOOKUP(B2427,[1]Baseline!$D$3:$AZ$3,_xlfn.XLOOKUP(C2427,[1]Baseline!$B$4:$B$91,[1]Baseline!$D$4:$AZ$91))</f>
        <v>No Knowledge</v>
      </c>
      <c r="E2427" s="16" t="s">
        <v>234</v>
      </c>
      <c r="F2427" s="16">
        <v>1</v>
      </c>
      <c r="G2427" s="16">
        <v>99</v>
      </c>
      <c r="H2427" s="16">
        <f t="shared" si="37"/>
        <v>98</v>
      </c>
      <c r="I2427" s="13">
        <v>99</v>
      </c>
    </row>
    <row r="2428" spans="1:9">
      <c r="A2428" s="16" t="s">
        <v>24</v>
      </c>
      <c r="B2428" s="16" t="s">
        <v>77</v>
      </c>
      <c r="C2428" s="16" t="str">
        <f>VLOOKUP([1]Competence!$B62,[1]Competence!$B$12:$B$100,1,FALSE)</f>
        <v>Database Administration</v>
      </c>
      <c r="D2428" s="13" t="str" cm="1">
        <f t="array" ref="D2428">_xlfn.XLOOKUP(B2428,[1]Baseline!$D$3:$AZ$3,_xlfn.XLOOKUP(C2428,[1]Baseline!$B$4:$B$91,[1]Baseline!$D$4:$AZ$91))</f>
        <v>Working</v>
      </c>
      <c r="E2428" s="16" t="s">
        <v>237</v>
      </c>
      <c r="F2428" s="16">
        <v>2</v>
      </c>
      <c r="G2428" s="16">
        <v>99</v>
      </c>
      <c r="H2428" s="16">
        <f t="shared" si="37"/>
        <v>97</v>
      </c>
      <c r="I2428" s="13">
        <v>99</v>
      </c>
    </row>
    <row r="2429" spans="1:9">
      <c r="A2429" s="16" t="s">
        <v>24</v>
      </c>
      <c r="B2429" s="16" t="s">
        <v>77</v>
      </c>
      <c r="C2429" s="16" t="str">
        <f>VLOOKUP([1]Competence!$B63,[1]Competence!$B$12:$B$100,1,FALSE)</f>
        <v>Database Design</v>
      </c>
      <c r="D2429" s="13" t="str" cm="1">
        <f t="array" ref="D2429">_xlfn.XLOOKUP(B2429,[1]Baseline!$D$3:$AZ$3,_xlfn.XLOOKUP(C2429,[1]Baseline!$B$4:$B$91,[1]Baseline!$D$4:$AZ$91))</f>
        <v>Awareness</v>
      </c>
      <c r="E2429" s="16" t="s">
        <v>382</v>
      </c>
      <c r="F2429" s="16">
        <v>1</v>
      </c>
      <c r="G2429" s="16">
        <v>99</v>
      </c>
      <c r="H2429" s="16">
        <f t="shared" si="37"/>
        <v>98</v>
      </c>
      <c r="I2429" s="13">
        <v>99</v>
      </c>
    </row>
    <row r="2430" spans="1:9">
      <c r="A2430" s="16" t="s">
        <v>24</v>
      </c>
      <c r="B2430" s="16" t="s">
        <v>77</v>
      </c>
      <c r="C2430" s="16" t="str">
        <f>VLOOKUP([1]Competence!$B64,[1]Competence!$B$12:$B$100,1,FALSE)</f>
        <v>Hardware design</v>
      </c>
      <c r="D2430" s="13" t="str" cm="1">
        <f t="array" ref="D2430">_xlfn.XLOOKUP(B2430,[1]Baseline!$D$3:$AZ$3,_xlfn.XLOOKUP(C2430,[1]Baseline!$B$4:$B$91,[1]Baseline!$D$4:$AZ$91))</f>
        <v>Practitioner</v>
      </c>
      <c r="E2430" s="16" t="s">
        <v>383</v>
      </c>
      <c r="F2430" s="16">
        <v>0</v>
      </c>
      <c r="G2430" s="16">
        <v>99</v>
      </c>
      <c r="H2430" s="16">
        <f t="shared" si="37"/>
        <v>99</v>
      </c>
      <c r="I2430" s="13">
        <v>99</v>
      </c>
    </row>
    <row r="2431" spans="1:9">
      <c r="A2431" s="16" t="s">
        <v>24</v>
      </c>
      <c r="B2431" s="16" t="s">
        <v>77</v>
      </c>
      <c r="C2431" s="16" t="str">
        <f>VLOOKUP([1]Competence!$B65,[1]Competence!$B$12:$B$100,1,FALSE)</f>
        <v>High Performance Computing</v>
      </c>
      <c r="D2431" s="13" t="str" cm="1">
        <f t="array" ref="D2431">_xlfn.XLOOKUP(B2431,[1]Baseline!$D$3:$AZ$3,_xlfn.XLOOKUP(C2431,[1]Baseline!$B$4:$B$91,[1]Baseline!$D$4:$AZ$91))</f>
        <v>Expert</v>
      </c>
      <c r="E2431" s="16" t="s">
        <v>240</v>
      </c>
      <c r="F2431" s="16">
        <v>0</v>
      </c>
      <c r="G2431" s="16">
        <v>99</v>
      </c>
      <c r="H2431" s="16">
        <f t="shared" si="37"/>
        <v>99</v>
      </c>
      <c r="I2431" s="13">
        <v>99</v>
      </c>
    </row>
    <row r="2432" spans="1:9">
      <c r="A2432" s="16" t="s">
        <v>24</v>
      </c>
      <c r="B2432" s="16" t="s">
        <v>77</v>
      </c>
      <c r="C2432" s="16" t="str">
        <f>VLOOKUP([1]Competence!$B66,[1]Competence!$B$12:$B$100,1,FALSE)</f>
        <v>Research Computing</v>
      </c>
      <c r="D2432" s="13" t="str" cm="1">
        <f t="array" ref="D2432">_xlfn.XLOOKUP(B2432,[1]Baseline!$D$3:$AZ$3,_xlfn.XLOOKUP(C2432,[1]Baseline!$B$4:$B$91,[1]Baseline!$D$4:$AZ$91))</f>
        <v>Expert</v>
      </c>
      <c r="E2432" s="16" t="s">
        <v>243</v>
      </c>
      <c r="F2432" s="16">
        <v>0</v>
      </c>
      <c r="G2432" s="16">
        <v>99</v>
      </c>
      <c r="H2432" s="16">
        <f t="shared" si="37"/>
        <v>99</v>
      </c>
      <c r="I2432" s="13">
        <v>99</v>
      </c>
    </row>
    <row r="2433" spans="1:9">
      <c r="A2433" s="16" t="s">
        <v>24</v>
      </c>
      <c r="B2433" s="16" t="s">
        <v>77</v>
      </c>
      <c r="C2433" s="16" t="str">
        <f>VLOOKUP([1]Competence!$B67,[1]Competence!$B$12:$B$100,1,FALSE)</f>
        <v>Information assurance</v>
      </c>
      <c r="D2433" s="13" t="str" cm="1">
        <f t="array" ref="D2433">_xlfn.XLOOKUP(B2433,[1]Baseline!$D$3:$AZ$3,_xlfn.XLOOKUP(C2433,[1]Baseline!$B$4:$B$91,[1]Baseline!$D$4:$AZ$91))</f>
        <v>Practitioner</v>
      </c>
      <c r="E2433" s="16" t="s">
        <v>246</v>
      </c>
      <c r="F2433" s="16">
        <v>0</v>
      </c>
      <c r="G2433" s="16">
        <v>99</v>
      </c>
      <c r="H2433" s="16">
        <f t="shared" si="37"/>
        <v>99</v>
      </c>
      <c r="I2433" s="13">
        <v>99</v>
      </c>
    </row>
    <row r="2434" spans="1:9">
      <c r="A2434" s="16" t="s">
        <v>24</v>
      </c>
      <c r="B2434" s="16" t="s">
        <v>77</v>
      </c>
      <c r="C2434" s="16" t="str">
        <f>VLOOKUP([1]Competence!$B68,[1]Competence!$B$12:$B$100,1,FALSE)</f>
        <v>Information management</v>
      </c>
      <c r="D2434" s="13" t="str" cm="1">
        <f t="array" ref="D2434">_xlfn.XLOOKUP(B2434,[1]Baseline!$D$3:$AZ$3,_xlfn.XLOOKUP(C2434,[1]Baseline!$B$4:$B$91,[1]Baseline!$D$4:$AZ$91))</f>
        <v>Practitioner</v>
      </c>
      <c r="E2434" s="16" t="s">
        <v>249</v>
      </c>
      <c r="F2434" s="16">
        <v>0</v>
      </c>
      <c r="G2434" s="16">
        <v>99</v>
      </c>
      <c r="H2434" s="16">
        <f t="shared" ref="H2434:H2497" si="38">I2434-F2434</f>
        <v>99</v>
      </c>
      <c r="I2434" s="13">
        <v>99</v>
      </c>
    </row>
    <row r="2435" spans="1:9">
      <c r="A2435" s="16" t="s">
        <v>24</v>
      </c>
      <c r="B2435" s="16" t="s">
        <v>77</v>
      </c>
      <c r="C2435" s="16" t="str">
        <f>VLOOKUP([1]Competence!$B69,[1]Competence!$B$12:$B$100,1,FALSE)</f>
        <v>Infrastructure</v>
      </c>
      <c r="D2435" s="13" t="str" cm="1">
        <f t="array" ref="D2435">_xlfn.XLOOKUP(B2435,[1]Baseline!$D$3:$AZ$3,_xlfn.XLOOKUP(C2435,[1]Baseline!$B$4:$B$91,[1]Baseline!$D$4:$AZ$91))</f>
        <v>Expert</v>
      </c>
      <c r="E2435" s="16" t="s">
        <v>252</v>
      </c>
      <c r="F2435" s="16">
        <v>0</v>
      </c>
      <c r="G2435" s="16">
        <v>99</v>
      </c>
      <c r="H2435" s="16">
        <f t="shared" si="38"/>
        <v>99</v>
      </c>
      <c r="I2435" s="13">
        <v>99</v>
      </c>
    </row>
    <row r="2436" spans="1:9">
      <c r="A2436" s="16" t="s">
        <v>24</v>
      </c>
      <c r="B2436" s="16" t="s">
        <v>77</v>
      </c>
      <c r="C2436" s="16" t="str">
        <f>VLOOKUP([1]Competence!$B70,[1]Competence!$B$12:$B$100,1,FALSE)</f>
        <v>Network design</v>
      </c>
      <c r="D2436" s="13" t="str" cm="1">
        <f t="array" ref="D2436">_xlfn.XLOOKUP(B2436,[1]Baseline!$D$3:$AZ$3,_xlfn.XLOOKUP(C2436,[1]Baseline!$B$4:$B$91,[1]Baseline!$D$4:$AZ$91))</f>
        <v>Awareness</v>
      </c>
      <c r="E2436" s="16" t="s">
        <v>255</v>
      </c>
      <c r="F2436" s="16">
        <v>0</v>
      </c>
      <c r="G2436" s="16">
        <v>99</v>
      </c>
      <c r="H2436" s="16">
        <f t="shared" si="38"/>
        <v>99</v>
      </c>
      <c r="I2436" s="13">
        <v>99</v>
      </c>
    </row>
    <row r="2437" spans="1:9">
      <c r="A2437" s="16" t="s">
        <v>24</v>
      </c>
      <c r="B2437" s="16" t="s">
        <v>77</v>
      </c>
      <c r="C2437" s="16" t="str">
        <f>VLOOKUP([1]Competence!$B71,[1]Competence!$B$12:$B$100,1,FALSE)</f>
        <v>Network Analytics</v>
      </c>
      <c r="D2437" s="13" t="str" cm="1">
        <f t="array" ref="D2437">_xlfn.XLOOKUP(B2437,[1]Baseline!$D$3:$AZ$3,_xlfn.XLOOKUP(C2437,[1]Baseline!$B$4:$B$91,[1]Baseline!$D$4:$AZ$91))</f>
        <v>No Knowledge</v>
      </c>
      <c r="E2437" s="16" t="s">
        <v>258</v>
      </c>
      <c r="F2437" s="16">
        <v>0</v>
      </c>
      <c r="G2437" s="16">
        <v>99</v>
      </c>
      <c r="H2437" s="16">
        <f t="shared" si="38"/>
        <v>99</v>
      </c>
      <c r="I2437" s="13">
        <v>99</v>
      </c>
    </row>
    <row r="2438" spans="1:9">
      <c r="A2438" s="16" t="s">
        <v>24</v>
      </c>
      <c r="B2438" s="16" t="s">
        <v>77</v>
      </c>
      <c r="C2438" s="16" t="str">
        <f>VLOOKUP([1]Competence!$B72,[1]Competence!$B$12:$B$100,1,FALSE)</f>
        <v>Network support</v>
      </c>
      <c r="D2438" s="13" t="str" cm="1">
        <f t="array" ref="D2438">_xlfn.XLOOKUP(B2438,[1]Baseline!$D$3:$AZ$3,_xlfn.XLOOKUP(C2438,[1]Baseline!$B$4:$B$91,[1]Baseline!$D$4:$AZ$91))</f>
        <v>Awareness</v>
      </c>
      <c r="E2438" s="16" t="s">
        <v>326</v>
      </c>
      <c r="F2438" s="16">
        <v>0</v>
      </c>
      <c r="G2438" s="16">
        <v>99</v>
      </c>
      <c r="H2438" s="16">
        <f t="shared" si="38"/>
        <v>99</v>
      </c>
      <c r="I2438" s="13">
        <v>99</v>
      </c>
    </row>
    <row r="2439" spans="1:9">
      <c r="A2439" s="16" t="s">
        <v>24</v>
      </c>
      <c r="B2439" s="16" t="s">
        <v>77</v>
      </c>
      <c r="C2439" s="16" t="str">
        <f>VLOOKUP([1]Competence!$B73,[1]Competence!$B$12:$B$100,1,FALSE)</f>
        <v>Programming/software development</v>
      </c>
      <c r="D2439" s="13" t="str" cm="1">
        <f t="array" ref="D2439">_xlfn.XLOOKUP(B2439,[1]Baseline!$D$3:$AZ$3,_xlfn.XLOOKUP(C2439,[1]Baseline!$B$4:$B$91,[1]Baseline!$D$4:$AZ$91))</f>
        <v>Working</v>
      </c>
      <c r="E2439" s="16" t="s">
        <v>261</v>
      </c>
      <c r="F2439" s="16">
        <v>0</v>
      </c>
      <c r="G2439" s="16">
        <v>99</v>
      </c>
      <c r="H2439" s="16">
        <f t="shared" si="38"/>
        <v>99</v>
      </c>
      <c r="I2439" s="13">
        <v>99</v>
      </c>
    </row>
    <row r="2440" spans="1:9">
      <c r="A2440" s="16" t="s">
        <v>24</v>
      </c>
      <c r="B2440" s="16" t="s">
        <v>77</v>
      </c>
      <c r="C2440" s="16" t="str">
        <f>VLOOKUP([1]Competence!$B74,[1]Competence!$B$12:$B$100,1,FALSE)</f>
        <v>Real-time/embedded systems development</v>
      </c>
      <c r="D2440" s="13" t="str" cm="1">
        <f t="array" ref="D2440">_xlfn.XLOOKUP(B2440,[1]Baseline!$D$3:$AZ$3,_xlfn.XLOOKUP(C2440,[1]Baseline!$B$4:$B$91,[1]Baseline!$D$4:$AZ$91))</f>
        <v>No Knowledge</v>
      </c>
      <c r="E2440" s="16" t="s">
        <v>264</v>
      </c>
      <c r="F2440" s="16">
        <v>1</v>
      </c>
      <c r="G2440" s="16">
        <v>99</v>
      </c>
      <c r="H2440" s="16">
        <f t="shared" si="38"/>
        <v>98</v>
      </c>
      <c r="I2440" s="13">
        <v>99</v>
      </c>
    </row>
    <row r="2441" spans="1:9">
      <c r="A2441" s="16" t="s">
        <v>24</v>
      </c>
      <c r="B2441" s="16" t="s">
        <v>77</v>
      </c>
      <c r="C2441" s="16" t="str">
        <f>VLOOKUP([1]Competence!$B75,[1]Competence!$B$12:$B$100,1,FALSE)</f>
        <v>Requirements definition and management</v>
      </c>
      <c r="D2441" s="13" t="str" cm="1">
        <f t="array" ref="D2441">_xlfn.XLOOKUP(B2441,[1]Baseline!$D$3:$AZ$3,_xlfn.XLOOKUP(C2441,[1]Baseline!$B$4:$B$91,[1]Baseline!$D$4:$AZ$91))</f>
        <v>No Knowledge</v>
      </c>
      <c r="E2441" s="16" t="s">
        <v>267</v>
      </c>
      <c r="F2441" s="16">
        <v>2</v>
      </c>
      <c r="G2441" s="16">
        <v>99</v>
      </c>
      <c r="H2441" s="16">
        <f t="shared" si="38"/>
        <v>97</v>
      </c>
      <c r="I2441" s="13">
        <v>99</v>
      </c>
    </row>
    <row r="2442" spans="1:9">
      <c r="A2442" s="16" t="s">
        <v>24</v>
      </c>
      <c r="B2442" s="16" t="s">
        <v>77</v>
      </c>
      <c r="C2442" s="16" t="str">
        <f>VLOOKUP([1]Competence!$B76,[1]Competence!$B$12:$B$100,1,FALSE)</f>
        <v>Software configuration</v>
      </c>
      <c r="D2442" s="13" t="str" cm="1">
        <f t="array" ref="D2442">_xlfn.XLOOKUP(B2442,[1]Baseline!$D$3:$AZ$3,_xlfn.XLOOKUP(C2442,[1]Baseline!$B$4:$B$91,[1]Baseline!$D$4:$AZ$91))</f>
        <v>No Knowledge</v>
      </c>
      <c r="E2442" s="16" t="s">
        <v>270</v>
      </c>
      <c r="F2442" s="16">
        <v>1</v>
      </c>
      <c r="G2442" s="16">
        <v>99</v>
      </c>
      <c r="H2442" s="16">
        <f t="shared" si="38"/>
        <v>98</v>
      </c>
      <c r="I2442" s="13">
        <v>99</v>
      </c>
    </row>
    <row r="2443" spans="1:9">
      <c r="A2443" s="16" t="s">
        <v>24</v>
      </c>
      <c r="B2443" s="16" t="s">
        <v>77</v>
      </c>
      <c r="C2443" s="16" t="str">
        <f>VLOOKUP([1]Competence!$B77,[1]Competence!$B$12:$B$100,1,FALSE)</f>
        <v>Software design</v>
      </c>
      <c r="D2443" s="13" t="str" cm="1">
        <f t="array" ref="D2443">_xlfn.XLOOKUP(B2443,[1]Baseline!$D$3:$AZ$3,_xlfn.XLOOKUP(C2443,[1]Baseline!$B$4:$B$91,[1]Baseline!$D$4:$AZ$91))</f>
        <v>No Knowledge</v>
      </c>
      <c r="E2443" s="16" t="s">
        <v>50</v>
      </c>
      <c r="F2443" s="16">
        <v>1</v>
      </c>
      <c r="G2443" s="16">
        <v>99</v>
      </c>
      <c r="H2443" s="16">
        <f t="shared" si="38"/>
        <v>98</v>
      </c>
      <c r="I2443" s="13">
        <v>99</v>
      </c>
    </row>
    <row r="2444" spans="1:9">
      <c r="A2444" s="16" t="s">
        <v>24</v>
      </c>
      <c r="B2444" s="16" t="s">
        <v>77</v>
      </c>
      <c r="C2444" s="16" t="str">
        <f>VLOOKUP([1]Competence!$B78,[1]Competence!$B$12:$B$100,1,FALSE)</f>
        <v>Solution architecture</v>
      </c>
      <c r="D2444" s="13" t="str" cm="1">
        <f t="array" ref="D2444">_xlfn.XLOOKUP(B2444,[1]Baseline!$D$3:$AZ$3,_xlfn.XLOOKUP(C2444,[1]Baseline!$B$4:$B$91,[1]Baseline!$D$4:$AZ$91))</f>
        <v>Working</v>
      </c>
      <c r="E2444" s="16" t="s">
        <v>320</v>
      </c>
      <c r="F2444" s="16">
        <v>0</v>
      </c>
      <c r="G2444" s="16">
        <v>99</v>
      </c>
      <c r="H2444" s="16">
        <f t="shared" si="38"/>
        <v>99</v>
      </c>
      <c r="I2444" s="13">
        <v>99</v>
      </c>
    </row>
    <row r="2445" spans="1:9">
      <c r="A2445" s="16" t="s">
        <v>24</v>
      </c>
      <c r="B2445" s="16" t="s">
        <v>77</v>
      </c>
      <c r="C2445" s="16" t="str">
        <f>VLOOKUP([1]Competence!$B79,[1]Competence!$B$12:$B$100,1,FALSE)</f>
        <v>System software</v>
      </c>
      <c r="D2445" s="13" t="str" cm="1">
        <f t="array" ref="D2445">_xlfn.XLOOKUP(B2445,[1]Baseline!$D$3:$AZ$3,_xlfn.XLOOKUP(C2445,[1]Baseline!$B$4:$B$91,[1]Baseline!$D$4:$AZ$91))</f>
        <v>No Knowledge</v>
      </c>
      <c r="E2445" s="16" t="s">
        <v>278</v>
      </c>
      <c r="F2445" s="16">
        <v>0</v>
      </c>
      <c r="G2445" s="16">
        <v>99</v>
      </c>
      <c r="H2445" s="16">
        <f t="shared" si="38"/>
        <v>99</v>
      </c>
      <c r="I2445" s="13">
        <v>99</v>
      </c>
    </row>
    <row r="2446" spans="1:9">
      <c r="A2446" s="16" t="s">
        <v>24</v>
      </c>
      <c r="B2446" s="16" t="s">
        <v>77</v>
      </c>
      <c r="C2446" s="16" t="str">
        <f>VLOOKUP([1]Competence!$B80,[1]Competence!$B$12:$B$100,1,FALSE)</f>
        <v>Systems and software life cycle engineering</v>
      </c>
      <c r="D2446" s="13" t="str" cm="1">
        <f t="array" ref="D2446">_xlfn.XLOOKUP(B2446,[1]Baseline!$D$3:$AZ$3,_xlfn.XLOOKUP(C2446,[1]Baseline!$B$4:$B$91,[1]Baseline!$D$4:$AZ$91))</f>
        <v>Working</v>
      </c>
      <c r="E2446" s="16" t="s">
        <v>275</v>
      </c>
      <c r="F2446" s="16">
        <v>0</v>
      </c>
      <c r="G2446" s="16">
        <v>99</v>
      </c>
      <c r="H2446" s="16">
        <f t="shared" si="38"/>
        <v>99</v>
      </c>
      <c r="I2446" s="13">
        <v>99</v>
      </c>
    </row>
    <row r="2447" spans="1:9">
      <c r="A2447" s="16" t="s">
        <v>24</v>
      </c>
      <c r="B2447" s="16" t="s">
        <v>77</v>
      </c>
      <c r="C2447" s="16" t="str">
        <f>VLOOKUP([1]Competence!$B81,[1]Competence!$B$12:$B$100,1,FALSE)</f>
        <v>Systems design</v>
      </c>
      <c r="D2447" s="13" t="str" cm="1">
        <f t="array" ref="D2447">_xlfn.XLOOKUP(B2447,[1]Baseline!$D$3:$AZ$3,_xlfn.XLOOKUP(C2447,[1]Baseline!$B$4:$B$91,[1]Baseline!$D$4:$AZ$91))</f>
        <v>No Knowledge</v>
      </c>
      <c r="E2447" s="16" t="s">
        <v>281</v>
      </c>
      <c r="F2447" s="16">
        <v>2</v>
      </c>
      <c r="G2447" s="16">
        <v>99</v>
      </c>
      <c r="H2447" s="16">
        <f t="shared" si="38"/>
        <v>97</v>
      </c>
      <c r="I2447" s="13">
        <v>99</v>
      </c>
    </row>
    <row r="2448" spans="1:9">
      <c r="A2448" s="16" t="s">
        <v>24</v>
      </c>
      <c r="B2448" s="16" t="s">
        <v>77</v>
      </c>
      <c r="C2448" s="16" t="str">
        <f>VLOOKUP([1]Competence!$B82,[1]Competence!$B$12:$B$100,1,FALSE)</f>
        <v>Systems development management</v>
      </c>
      <c r="D2448" s="13" t="str" cm="1">
        <f t="array" ref="D2448">_xlfn.XLOOKUP(B2448,[1]Baseline!$D$3:$AZ$3,_xlfn.XLOOKUP(C2448,[1]Baseline!$B$4:$B$91,[1]Baseline!$D$4:$AZ$91))</f>
        <v>No Knowledge</v>
      </c>
      <c r="E2448" s="16" t="s">
        <v>284</v>
      </c>
      <c r="F2448" s="16">
        <v>0</v>
      </c>
      <c r="G2448" s="16">
        <v>99</v>
      </c>
      <c r="H2448" s="16">
        <f t="shared" si="38"/>
        <v>99</v>
      </c>
      <c r="I2448" s="13">
        <v>99</v>
      </c>
    </row>
    <row r="2449" spans="1:9">
      <c r="A2449" s="16" t="s">
        <v>24</v>
      </c>
      <c r="B2449" s="16" t="s">
        <v>77</v>
      </c>
      <c r="C2449" s="16" t="str">
        <f>VLOOKUP([1]Competence!$B83,[1]Competence!$B$12:$B$100,1,FALSE)</f>
        <v>Systems installation and removal</v>
      </c>
      <c r="D2449" s="13" t="str" cm="1">
        <f t="array" ref="D2449">_xlfn.XLOOKUP(B2449,[1]Baseline!$D$3:$AZ$3,_xlfn.XLOOKUP(C2449,[1]Baseline!$B$4:$B$91,[1]Baseline!$D$4:$AZ$91))</f>
        <v>Working</v>
      </c>
      <c r="E2449" s="16" t="s">
        <v>287</v>
      </c>
      <c r="F2449" s="16">
        <v>0</v>
      </c>
      <c r="G2449" s="16">
        <v>99</v>
      </c>
      <c r="H2449" s="16">
        <f t="shared" si="38"/>
        <v>99</v>
      </c>
      <c r="I2449" s="13">
        <v>99</v>
      </c>
    </row>
    <row r="2450" spans="1:9">
      <c r="A2450" s="16" t="s">
        <v>24</v>
      </c>
      <c r="B2450" s="16" t="s">
        <v>77</v>
      </c>
      <c r="C2450" s="16" t="str">
        <f>VLOOKUP([1]Competence!$B84,[1]Competence!$B$12:$B$100,1,FALSE)</f>
        <v>Testing</v>
      </c>
      <c r="D2450" s="13" t="str" cm="1">
        <f t="array" ref="D2450">_xlfn.XLOOKUP(B2450,[1]Baseline!$D$3:$AZ$3,_xlfn.XLOOKUP(C2450,[1]Baseline!$B$4:$B$91,[1]Baseline!$D$4:$AZ$91))</f>
        <v>Working</v>
      </c>
      <c r="E2450" s="16" t="s">
        <v>290</v>
      </c>
      <c r="F2450" s="16">
        <v>0</v>
      </c>
      <c r="G2450" s="16">
        <v>99</v>
      </c>
      <c r="H2450" s="16">
        <f t="shared" si="38"/>
        <v>99</v>
      </c>
      <c r="I2450" s="13">
        <v>99</v>
      </c>
    </row>
    <row r="2451" spans="1:9">
      <c r="A2451" s="16" t="s">
        <v>24</v>
      </c>
      <c r="B2451" s="16" t="s">
        <v>77</v>
      </c>
      <c r="C2451" s="16" t="str">
        <f>VLOOKUP([1]Competence!$B85,[1]Competence!$B$12:$B$100,1,FALSE)</f>
        <v>Innovation</v>
      </c>
      <c r="D2451" s="13" t="str" cm="1">
        <f t="array" ref="D2451">_xlfn.XLOOKUP(B2451,[1]Baseline!$D$3:$AZ$3,_xlfn.XLOOKUP(C2451,[1]Baseline!$B$4:$B$91,[1]Baseline!$D$4:$AZ$91))</f>
        <v>Working</v>
      </c>
      <c r="E2451" s="16" t="s">
        <v>51</v>
      </c>
      <c r="F2451" s="16">
        <v>1</v>
      </c>
      <c r="G2451" s="16">
        <v>99</v>
      </c>
      <c r="H2451" s="16">
        <f t="shared" si="38"/>
        <v>98</v>
      </c>
      <c r="I2451" s="13">
        <v>99</v>
      </c>
    </row>
    <row r="2452" spans="1:9">
      <c r="A2452" s="16" t="s">
        <v>24</v>
      </c>
      <c r="B2452" s="16" t="s">
        <v>77</v>
      </c>
      <c r="C2452" s="16" t="str">
        <f>VLOOKUP([1]Competence!$B86,[1]Competence!$B$12:$B$100,1,FALSE)</f>
        <v>Specialist Advice</v>
      </c>
      <c r="D2452" s="13" t="str" cm="1">
        <f t="array" ref="D2452">_xlfn.XLOOKUP(B2452,[1]Baseline!$D$3:$AZ$3,_xlfn.XLOOKUP(C2452,[1]Baseline!$B$4:$B$91,[1]Baseline!$D$4:$AZ$91))</f>
        <v>Practitioner</v>
      </c>
      <c r="E2452" s="16" t="s">
        <v>293</v>
      </c>
      <c r="F2452" s="16">
        <v>0</v>
      </c>
      <c r="G2452" s="16">
        <v>99</v>
      </c>
      <c r="H2452" s="16">
        <f t="shared" si="38"/>
        <v>99</v>
      </c>
      <c r="I2452" s="13">
        <v>99</v>
      </c>
    </row>
    <row r="2453" spans="1:9">
      <c r="A2453" s="16" t="s">
        <v>24</v>
      </c>
      <c r="B2453" s="16" t="s">
        <v>77</v>
      </c>
      <c r="C2453" s="16" t="str">
        <f>VLOOKUP([1]Competence!$B87,[1]Competence!$B$12:$B$100,1,FALSE)</f>
        <v>Emerging technology monitoring</v>
      </c>
      <c r="D2453" s="13" t="str" cm="1">
        <f t="array" ref="D2453">_xlfn.XLOOKUP(B2453,[1]Baseline!$D$3:$AZ$3,_xlfn.XLOOKUP(C2453,[1]Baseline!$B$4:$B$91,[1]Baseline!$D$4:$AZ$91))</f>
        <v>Working</v>
      </c>
      <c r="E2453" s="16" t="s">
        <v>296</v>
      </c>
      <c r="F2453" s="16">
        <v>0</v>
      </c>
      <c r="G2453" s="16">
        <v>99</v>
      </c>
      <c r="H2453" s="16">
        <f t="shared" si="38"/>
        <v>99</v>
      </c>
      <c r="I2453" s="13">
        <v>99</v>
      </c>
    </row>
    <row r="2454" spans="1:9">
      <c r="A2454" s="16" t="s">
        <v>24</v>
      </c>
      <c r="B2454" s="16" t="s">
        <v>77</v>
      </c>
      <c r="C2454" s="16" t="str">
        <f>VLOOKUP([1]Competence!$B88,[1]Competence!$B$12:$B$100,1,FALSE)</f>
        <v>Systems integration and build</v>
      </c>
      <c r="D2454" s="13" t="str" cm="1">
        <f t="array" ref="D2454">_xlfn.XLOOKUP(B2454,[1]Baseline!$D$3:$AZ$3,_xlfn.XLOOKUP(C2454,[1]Baseline!$B$4:$B$91,[1]Baseline!$D$4:$AZ$91))</f>
        <v>Practitioner</v>
      </c>
      <c r="E2454" s="16" t="s">
        <v>299</v>
      </c>
      <c r="F2454" s="16">
        <v>0</v>
      </c>
      <c r="G2454" s="16">
        <v>99</v>
      </c>
      <c r="H2454" s="16">
        <f t="shared" si="38"/>
        <v>99</v>
      </c>
      <c r="I2454" s="13">
        <v>99</v>
      </c>
    </row>
    <row r="2455" spans="1:9">
      <c r="A2455" s="16" t="s">
        <v>24</v>
      </c>
      <c r="B2455" s="16" t="s">
        <v>77</v>
      </c>
      <c r="C2455" s="16" t="str">
        <f>VLOOKUP([1]Competence!$B89,[1]Competence!$B$12:$B$100,1,FALSE)</f>
        <v>Audio Visual</v>
      </c>
      <c r="D2455" s="13" t="str" cm="1">
        <f t="array" ref="D2455">_xlfn.XLOOKUP(B2455,[1]Baseline!$D$3:$AZ$3,_xlfn.XLOOKUP(C2455,[1]Baseline!$B$4:$B$91,[1]Baseline!$D$4:$AZ$91))</f>
        <v>No Knowledge</v>
      </c>
      <c r="E2455" s="16" t="s">
        <v>323</v>
      </c>
      <c r="F2455" s="16">
        <v>0</v>
      </c>
      <c r="G2455" s="16">
        <v>99</v>
      </c>
      <c r="H2455" s="16">
        <f t="shared" si="38"/>
        <v>99</v>
      </c>
      <c r="I2455" s="13">
        <v>99</v>
      </c>
    </row>
    <row r="2456" spans="1:9">
      <c r="A2456" s="16" t="s">
        <v>24</v>
      </c>
      <c r="B2456" s="16" t="s">
        <v>77</v>
      </c>
      <c r="C2456" s="16" t="str">
        <f>VLOOKUP([1]Competence!$B90,[1]Competence!$B$12:$B$100,1,FALSE)</f>
        <v>Augmented Reality</v>
      </c>
      <c r="D2456" s="13" t="str" cm="1">
        <f t="array" ref="D2456">_xlfn.XLOOKUP(B2456,[1]Baseline!$D$3:$AZ$3,_xlfn.XLOOKUP(C2456,[1]Baseline!$B$4:$B$91,[1]Baseline!$D$4:$AZ$91))</f>
        <v>Practitioner</v>
      </c>
      <c r="E2456" s="16" t="s">
        <v>302</v>
      </c>
      <c r="F2456" s="16">
        <v>0</v>
      </c>
      <c r="G2456" s="16">
        <v>99</v>
      </c>
      <c r="H2456" s="16">
        <f t="shared" si="38"/>
        <v>99</v>
      </c>
      <c r="I2456" s="13">
        <v>99</v>
      </c>
    </row>
    <row r="2457" spans="1:9">
      <c r="A2457" s="16" t="s">
        <v>24</v>
      </c>
      <c r="B2457" s="16" t="s">
        <v>77</v>
      </c>
      <c r="C2457" s="16" t="str">
        <f>VLOOKUP([1]Competence!$B91,[1]Competence!$B$12:$B$100,1,FALSE)</f>
        <v>Benefits management</v>
      </c>
      <c r="D2457" s="13" t="str" cm="1">
        <f t="array" ref="D2457">_xlfn.XLOOKUP(B2457,[1]Baseline!$D$3:$AZ$3,_xlfn.XLOOKUP(C2457,[1]Baseline!$B$4:$B$91,[1]Baseline!$D$4:$AZ$91))</f>
        <v>Practitioner</v>
      </c>
      <c r="E2457" s="16" t="s">
        <v>305</v>
      </c>
      <c r="F2457" s="16">
        <v>0</v>
      </c>
      <c r="G2457" s="16">
        <v>99</v>
      </c>
      <c r="H2457" s="16">
        <f t="shared" si="38"/>
        <v>99</v>
      </c>
      <c r="I2457" s="13">
        <v>99</v>
      </c>
    </row>
    <row r="2458" spans="1:9">
      <c r="A2458" s="16" t="s">
        <v>24</v>
      </c>
      <c r="B2458" s="16" t="s">
        <v>77</v>
      </c>
      <c r="C2458" s="16" t="str">
        <f>VLOOKUP([1]Competence!$B92,[1]Competence!$B$12:$B$100,1,FALSE)</f>
        <v>Business administration</v>
      </c>
      <c r="D2458" s="13" t="str" cm="1">
        <f t="array" ref="D2458">_xlfn.XLOOKUP(B2458,[1]Baseline!$D$3:$AZ$3,_xlfn.XLOOKUP(C2458,[1]Baseline!$B$4:$B$91,[1]Baseline!$D$4:$AZ$91))</f>
        <v>Awareness</v>
      </c>
      <c r="E2458" s="16" t="s">
        <v>308</v>
      </c>
      <c r="F2458" s="16">
        <v>0</v>
      </c>
      <c r="G2458" s="16">
        <v>99</v>
      </c>
      <c r="H2458" s="16">
        <f t="shared" si="38"/>
        <v>99</v>
      </c>
      <c r="I2458" s="13">
        <v>99</v>
      </c>
    </row>
    <row r="2459" spans="1:9">
      <c r="A2459" s="16" t="s">
        <v>24</v>
      </c>
      <c r="B2459" s="16" t="s">
        <v>77</v>
      </c>
      <c r="C2459" s="16" t="str">
        <f>VLOOKUP([1]Competence!$B93,[1]Competence!$B$12:$B$100,1,FALSE)</f>
        <v>Business intelligence</v>
      </c>
      <c r="D2459" s="13" t="str" cm="1">
        <f t="array" ref="D2459">_xlfn.XLOOKUP(B2459,[1]Baseline!$D$3:$AZ$3,_xlfn.XLOOKUP(C2459,[1]Baseline!$B$4:$B$91,[1]Baseline!$D$4:$AZ$91))</f>
        <v>No Knowledge</v>
      </c>
      <c r="E2459" s="16" t="s">
        <v>311</v>
      </c>
      <c r="F2459" s="16">
        <v>0</v>
      </c>
      <c r="G2459" s="16">
        <v>99</v>
      </c>
      <c r="H2459" s="16">
        <f t="shared" si="38"/>
        <v>99</v>
      </c>
      <c r="I2459" s="13">
        <v>99</v>
      </c>
    </row>
    <row r="2460" spans="1:9">
      <c r="A2460" s="16" t="s">
        <v>24</v>
      </c>
      <c r="B2460" s="16" t="s">
        <v>77</v>
      </c>
      <c r="C2460" s="16" t="str">
        <f>VLOOKUP([1]Competence!$B94,[1]Competence!$B$12:$B$100,1,FALSE)</f>
        <v>Business modelling</v>
      </c>
      <c r="D2460" s="13" t="str" cm="1">
        <f t="array" ref="D2460">_xlfn.XLOOKUP(B2460,[1]Baseline!$D$3:$AZ$3,_xlfn.XLOOKUP(C2460,[1]Baseline!$B$4:$B$91,[1]Baseline!$D$4:$AZ$91))</f>
        <v>No Knowledge</v>
      </c>
      <c r="E2460" s="16" t="s">
        <v>314</v>
      </c>
      <c r="F2460" s="16">
        <v>2</v>
      </c>
      <c r="G2460" s="16">
        <v>99</v>
      </c>
      <c r="H2460" s="16">
        <f t="shared" si="38"/>
        <v>97</v>
      </c>
      <c r="I2460" s="13">
        <v>99</v>
      </c>
    </row>
    <row r="2461" spans="1:9">
      <c r="A2461" s="16" t="s">
        <v>24</v>
      </c>
      <c r="B2461" s="16" t="s">
        <v>77</v>
      </c>
      <c r="C2461" s="16" t="str">
        <f>VLOOKUP([1]Competence!$B95,[1]Competence!$B$12:$B$100,1,FALSE)</f>
        <v>Business process improvement</v>
      </c>
      <c r="D2461" s="13" t="str" cm="1">
        <f t="array" ref="D2461">_xlfn.XLOOKUP(B2461,[1]Baseline!$D$3:$AZ$3,_xlfn.XLOOKUP(C2461,[1]Baseline!$B$4:$B$91,[1]Baseline!$D$4:$AZ$91))</f>
        <v>Working</v>
      </c>
      <c r="E2461" s="16" t="s">
        <v>328</v>
      </c>
      <c r="F2461" s="16">
        <v>2</v>
      </c>
      <c r="G2461" s="16">
        <v>99</v>
      </c>
      <c r="H2461" s="16">
        <f t="shared" si="38"/>
        <v>97</v>
      </c>
      <c r="I2461" s="13">
        <v>99</v>
      </c>
    </row>
    <row r="2462" spans="1:9">
      <c r="A2462" s="16" t="s">
        <v>24</v>
      </c>
      <c r="B2462" s="16" t="s">
        <v>77</v>
      </c>
      <c r="C2462" s="16" t="str">
        <f>VLOOKUP([1]Competence!$B96,[1]Competence!$B$12:$B$100,1,FALSE)</f>
        <v>Business situation analysis</v>
      </c>
      <c r="D2462" s="13" t="str" cm="1">
        <f t="array" ref="D2462">_xlfn.XLOOKUP(B2462,[1]Baseline!$D$3:$AZ$3,_xlfn.XLOOKUP(C2462,[1]Baseline!$B$4:$B$91,[1]Baseline!$D$4:$AZ$91))</f>
        <v>Working</v>
      </c>
      <c r="E2462" s="16" t="s">
        <v>317</v>
      </c>
      <c r="F2462" s="16">
        <v>2</v>
      </c>
      <c r="G2462" s="16">
        <v>99</v>
      </c>
      <c r="H2462" s="16">
        <f t="shared" si="38"/>
        <v>97</v>
      </c>
      <c r="I2462" s="13">
        <v>99</v>
      </c>
    </row>
    <row r="2463" spans="1:9">
      <c r="A2463" s="16" t="s">
        <v>24</v>
      </c>
      <c r="B2463" s="16" t="s">
        <v>77</v>
      </c>
      <c r="C2463" s="16" t="str">
        <f>VLOOKUP([1]Competence!$B97,[1]Competence!$B$12:$B$100,1,FALSE)</f>
        <v>Programme management</v>
      </c>
      <c r="D2463" s="13" t="str" cm="1">
        <f t="array" ref="D2463">_xlfn.XLOOKUP(B2463,[1]Baseline!$D$3:$AZ$3,_xlfn.XLOOKUP(C2463,[1]Baseline!$B$4:$B$91,[1]Baseline!$D$4:$AZ$91))</f>
        <v>No Knowledge</v>
      </c>
      <c r="E2463" s="16" t="s">
        <v>352</v>
      </c>
      <c r="F2463" s="16">
        <v>0</v>
      </c>
      <c r="G2463" s="16">
        <v>99</v>
      </c>
      <c r="H2463" s="16">
        <f t="shared" si="38"/>
        <v>99</v>
      </c>
      <c r="I2463" s="13">
        <v>99</v>
      </c>
    </row>
    <row r="2464" spans="1:9">
      <c r="A2464" s="16" t="s">
        <v>24</v>
      </c>
      <c r="B2464" s="16" t="s">
        <v>77</v>
      </c>
      <c r="C2464" s="16" t="str">
        <f>VLOOKUP([1]Competence!$B98,[1]Competence!$B$12:$B$100,1,FALSE)</f>
        <v>Project management</v>
      </c>
      <c r="D2464" s="13" t="str" cm="1">
        <f t="array" ref="D2464">_xlfn.XLOOKUP(B2464,[1]Baseline!$D$3:$AZ$3,_xlfn.XLOOKUP(C2464,[1]Baseline!$B$4:$B$91,[1]Baseline!$D$4:$AZ$91))</f>
        <v>Working</v>
      </c>
      <c r="E2464" s="16" t="s">
        <v>355</v>
      </c>
      <c r="F2464" s="16">
        <v>0</v>
      </c>
      <c r="G2464" s="16">
        <v>99</v>
      </c>
      <c r="H2464" s="16">
        <f t="shared" si="38"/>
        <v>99</v>
      </c>
      <c r="I2464" s="13">
        <v>99</v>
      </c>
    </row>
    <row r="2465" spans="1:9">
      <c r="A2465" s="16" t="s">
        <v>24</v>
      </c>
      <c r="B2465" s="16" t="s">
        <v>77</v>
      </c>
      <c r="C2465" s="16" t="str">
        <f>VLOOKUP([1]Competence!$B99,[1]Competence!$B$12:$B$100,1,FALSE)</f>
        <v>Quality assurance</v>
      </c>
      <c r="D2465" s="13" t="str" cm="1">
        <f t="array" ref="D2465">_xlfn.XLOOKUP(B2465,[1]Baseline!$D$3:$AZ$3,_xlfn.XLOOKUP(C2465,[1]Baseline!$B$4:$B$91,[1]Baseline!$D$4:$AZ$91))</f>
        <v>Practitioner</v>
      </c>
      <c r="E2465" s="16" t="s">
        <v>358</v>
      </c>
      <c r="F2465" s="16">
        <v>1</v>
      </c>
      <c r="G2465" s="16">
        <v>99</v>
      </c>
      <c r="H2465" s="16">
        <f t="shared" si="38"/>
        <v>98</v>
      </c>
      <c r="I2465" s="13">
        <v>99</v>
      </c>
    </row>
    <row r="2466" spans="1:9">
      <c r="A2466" s="16" t="s">
        <v>25</v>
      </c>
      <c r="B2466" s="16" t="s">
        <v>77</v>
      </c>
      <c r="C2466" s="16" t="str">
        <f>VLOOKUP([1]Competence!$B12,[1]Competence!$B$12:$B$100,1,FALSE)</f>
        <v>Asset Management</v>
      </c>
      <c r="D2466" s="13" t="str" cm="1">
        <f t="array" ref="D2466">_xlfn.XLOOKUP(B2466,[1]Baseline!$D$3:$AZ$3,_xlfn.XLOOKUP(C2466,[1]Baseline!$B$4:$B$91,[1]Baseline!$D$4:$AZ$91))</f>
        <v>Working</v>
      </c>
      <c r="E2466" s="16" t="s">
        <v>334</v>
      </c>
      <c r="F2466" s="16">
        <v>0</v>
      </c>
      <c r="G2466" s="16">
        <v>99</v>
      </c>
      <c r="H2466" s="16">
        <f t="shared" si="38"/>
        <v>99</v>
      </c>
      <c r="I2466" s="13">
        <v>99</v>
      </c>
    </row>
    <row r="2467" spans="1:9">
      <c r="A2467" s="16" t="s">
        <v>25</v>
      </c>
      <c r="B2467" s="16" t="s">
        <v>77</v>
      </c>
      <c r="C2467" s="16" t="str">
        <f>VLOOKUP([1]Competence!$B13,[1]Competence!$B$12:$B$100,1,FALSE)</f>
        <v>Change Control</v>
      </c>
      <c r="D2467" s="13" t="str" cm="1">
        <f t="array" ref="D2467">_xlfn.XLOOKUP(B2467,[1]Baseline!$D$3:$AZ$3,_xlfn.XLOOKUP(C2467,[1]Baseline!$B$4:$B$91,[1]Baseline!$D$4:$AZ$91))</f>
        <v>Working</v>
      </c>
      <c r="E2467" s="16" t="s">
        <v>337</v>
      </c>
      <c r="F2467" s="16">
        <v>0</v>
      </c>
      <c r="G2467" s="16">
        <v>99</v>
      </c>
      <c r="H2467" s="16">
        <f t="shared" si="38"/>
        <v>99</v>
      </c>
      <c r="I2467" s="13">
        <v>99</v>
      </c>
    </row>
    <row r="2468" spans="1:9">
      <c r="A2468" s="16" t="s">
        <v>25</v>
      </c>
      <c r="B2468" s="16" t="s">
        <v>77</v>
      </c>
      <c r="C2468" s="16" t="str">
        <f>VLOOKUP([1]Competence!$B14,[1]Competence!$B$12:$B$100,1,FALSE)</f>
        <v>Customer Service Support</v>
      </c>
      <c r="D2468" s="13" t="str" cm="1">
        <f t="array" ref="D2468">_xlfn.XLOOKUP(B2468,[1]Baseline!$D$3:$AZ$3,_xlfn.XLOOKUP(C2468,[1]Baseline!$B$4:$B$91,[1]Baseline!$D$4:$AZ$91))</f>
        <v>Practitioner</v>
      </c>
      <c r="E2468" s="16" t="s">
        <v>340</v>
      </c>
      <c r="F2468" s="16">
        <v>0</v>
      </c>
      <c r="G2468" s="16">
        <v>99</v>
      </c>
      <c r="H2468" s="16">
        <f t="shared" si="38"/>
        <v>99</v>
      </c>
      <c r="I2468" s="13">
        <v>99</v>
      </c>
    </row>
    <row r="2469" spans="1:9">
      <c r="A2469" s="16" t="s">
        <v>25</v>
      </c>
      <c r="B2469" s="16" t="s">
        <v>77</v>
      </c>
      <c r="C2469" s="16" t="str">
        <f>VLOOKUP([1]Competence!$B15,[1]Competence!$B$12:$B$100,1,FALSE)</f>
        <v>Incident management</v>
      </c>
      <c r="D2469" s="13" t="str" cm="1">
        <f t="array" ref="D2469">_xlfn.XLOOKUP(B2469,[1]Baseline!$D$3:$AZ$3,_xlfn.XLOOKUP(C2469,[1]Baseline!$B$4:$B$91,[1]Baseline!$D$4:$AZ$91))</f>
        <v>Working</v>
      </c>
      <c r="E2469" s="16" t="s">
        <v>343</v>
      </c>
      <c r="F2469" s="16">
        <v>0</v>
      </c>
      <c r="G2469" s="16">
        <v>99</v>
      </c>
      <c r="H2469" s="16">
        <f t="shared" si="38"/>
        <v>99</v>
      </c>
      <c r="I2469" s="13">
        <v>99</v>
      </c>
    </row>
    <row r="2470" spans="1:9">
      <c r="A2470" s="16" t="s">
        <v>25</v>
      </c>
      <c r="B2470" s="16" t="s">
        <v>77</v>
      </c>
      <c r="C2470" s="16" t="str">
        <f>VLOOKUP([1]Competence!$B16,[1]Competence!$B$12:$B$100,1,FALSE)</f>
        <v>Information security</v>
      </c>
      <c r="D2470" s="13" t="str" cm="1">
        <f t="array" ref="D2470">_xlfn.XLOOKUP(B2470,[1]Baseline!$D$3:$AZ$3,_xlfn.XLOOKUP(C2470,[1]Baseline!$B$4:$B$91,[1]Baseline!$D$4:$AZ$91))</f>
        <v>Practitioner</v>
      </c>
      <c r="E2470" s="16" t="s">
        <v>346</v>
      </c>
      <c r="F2470" s="16">
        <v>0</v>
      </c>
      <c r="G2470" s="16">
        <v>99</v>
      </c>
      <c r="H2470" s="16">
        <f t="shared" si="38"/>
        <v>99</v>
      </c>
      <c r="I2470" s="13">
        <v>99</v>
      </c>
    </row>
    <row r="2471" spans="1:9">
      <c r="A2471" s="16" t="s">
        <v>25</v>
      </c>
      <c r="B2471" s="16" t="s">
        <v>77</v>
      </c>
      <c r="C2471" s="16" t="str">
        <f>VLOOKUP([1]Competence!$B17,[1]Competence!$B$12:$B$100,1,FALSE)</f>
        <v>Personal data protection</v>
      </c>
      <c r="D2471" s="13" t="str" cm="1">
        <f t="array" ref="D2471">_xlfn.XLOOKUP(B2471,[1]Baseline!$D$3:$AZ$3,_xlfn.XLOOKUP(C2471,[1]Baseline!$B$4:$B$91,[1]Baseline!$D$4:$AZ$91))</f>
        <v>Practitioner</v>
      </c>
      <c r="E2471" s="16" t="s">
        <v>349</v>
      </c>
      <c r="F2471" s="16">
        <v>0</v>
      </c>
      <c r="G2471" s="16">
        <v>99</v>
      </c>
      <c r="H2471" s="16">
        <f t="shared" si="38"/>
        <v>99</v>
      </c>
      <c r="I2471" s="13">
        <v>99</v>
      </c>
    </row>
    <row r="2472" spans="1:9">
      <c r="A2472" s="16" t="s">
        <v>25</v>
      </c>
      <c r="B2472" s="16" t="s">
        <v>77</v>
      </c>
      <c r="C2472" s="16" t="str">
        <f>VLOOKUP([1]Competence!$B18,[1]Competence!$B$12:$B$100,1,FALSE)</f>
        <v>Problem management</v>
      </c>
      <c r="D2472" s="13" t="str" cm="1">
        <f t="array" ref="D2472">_xlfn.XLOOKUP(B2472,[1]Baseline!$D$3:$AZ$3,_xlfn.XLOOKUP(C2472,[1]Baseline!$B$4:$B$91,[1]Baseline!$D$4:$AZ$91))</f>
        <v>Practitioner</v>
      </c>
      <c r="E2472" s="16" t="s">
        <v>106</v>
      </c>
      <c r="F2472" s="16">
        <v>2</v>
      </c>
      <c r="G2472" s="16">
        <v>99</v>
      </c>
      <c r="H2472" s="16">
        <f t="shared" si="38"/>
        <v>97</v>
      </c>
      <c r="I2472" s="13">
        <v>99</v>
      </c>
    </row>
    <row r="2473" spans="1:9">
      <c r="A2473" s="16" t="s">
        <v>25</v>
      </c>
      <c r="B2473" s="16" t="s">
        <v>77</v>
      </c>
      <c r="C2473" s="16" t="str">
        <f>VLOOKUP([1]Competence!$B19,[1]Competence!$B$12:$B$100,1,FALSE)</f>
        <v>Service catalogue management</v>
      </c>
      <c r="D2473" s="13" t="str" cm="1">
        <f t="array" ref="D2473">_xlfn.XLOOKUP(B2473,[1]Baseline!$D$3:$AZ$3,_xlfn.XLOOKUP(C2473,[1]Baseline!$B$4:$B$91,[1]Baseline!$D$4:$AZ$91))</f>
        <v>Practitioner</v>
      </c>
      <c r="E2473" s="16" t="s">
        <v>109</v>
      </c>
      <c r="F2473" s="16">
        <v>2</v>
      </c>
      <c r="G2473" s="16">
        <v>99</v>
      </c>
      <c r="H2473" s="16">
        <f t="shared" si="38"/>
        <v>97</v>
      </c>
      <c r="I2473" s="13">
        <v>99</v>
      </c>
    </row>
    <row r="2474" spans="1:9">
      <c r="A2474" s="16" t="s">
        <v>25</v>
      </c>
      <c r="B2474" s="16" t="s">
        <v>77</v>
      </c>
      <c r="C2474" s="16" t="str">
        <f>VLOOKUP([1]Competence!$B20,[1]Competence!$B$12:$B$100,1,FALSE)</f>
        <v>Service level management</v>
      </c>
      <c r="D2474" s="13" t="str" cm="1">
        <f t="array" ref="D2474">_xlfn.XLOOKUP(B2474,[1]Baseline!$D$3:$AZ$3,_xlfn.XLOOKUP(C2474,[1]Baseline!$B$4:$B$91,[1]Baseline!$D$4:$AZ$91))</f>
        <v>Practitioner</v>
      </c>
      <c r="E2474" s="16" t="s">
        <v>112</v>
      </c>
      <c r="F2474" s="16">
        <v>3</v>
      </c>
      <c r="G2474" s="16">
        <v>99</v>
      </c>
      <c r="H2474" s="16">
        <f t="shared" si="38"/>
        <v>96</v>
      </c>
      <c r="I2474" s="13">
        <v>99</v>
      </c>
    </row>
    <row r="2475" spans="1:9">
      <c r="A2475" s="16" t="s">
        <v>25</v>
      </c>
      <c r="B2475" s="16" t="s">
        <v>77</v>
      </c>
      <c r="C2475" s="16" t="str">
        <f>VLOOKUP([1]Competence!$B21,[1]Competence!$B$12:$B$100,1,FALSE)</f>
        <v>Availability Management</v>
      </c>
      <c r="D2475" s="13" t="str" cm="1">
        <f t="array" ref="D2475">_xlfn.XLOOKUP(B2475,[1]Baseline!$D$3:$AZ$3,_xlfn.XLOOKUP(C2475,[1]Baseline!$B$4:$B$91,[1]Baseline!$D$4:$AZ$91))</f>
        <v>Practitioner</v>
      </c>
      <c r="E2475" s="16" t="s">
        <v>115</v>
      </c>
      <c r="F2475" s="16">
        <v>2</v>
      </c>
      <c r="G2475" s="16">
        <v>99</v>
      </c>
      <c r="H2475" s="16">
        <f t="shared" si="38"/>
        <v>97</v>
      </c>
      <c r="I2475" s="13">
        <v>99</v>
      </c>
    </row>
    <row r="2476" spans="1:9">
      <c r="A2476" s="16" t="s">
        <v>25</v>
      </c>
      <c r="B2476" s="16" t="s">
        <v>77</v>
      </c>
      <c r="C2476" s="16" t="str">
        <f>VLOOKUP([1]Competence!$B22,[1]Competence!$B$12:$B$100,1,FALSE)</f>
        <v>Capacity management</v>
      </c>
      <c r="D2476" s="13" t="str" cm="1">
        <f t="array" ref="D2476">_xlfn.XLOOKUP(B2476,[1]Baseline!$D$3:$AZ$3,_xlfn.XLOOKUP(C2476,[1]Baseline!$B$4:$B$91,[1]Baseline!$D$4:$AZ$91))</f>
        <v>Practitioner</v>
      </c>
      <c r="E2476" s="16" t="s">
        <v>118</v>
      </c>
      <c r="F2476" s="16">
        <v>2</v>
      </c>
      <c r="G2476" s="16">
        <v>99</v>
      </c>
      <c r="H2476" s="16">
        <f t="shared" si="38"/>
        <v>97</v>
      </c>
      <c r="I2476" s="13">
        <v>99</v>
      </c>
    </row>
    <row r="2477" spans="1:9">
      <c r="A2477" s="16" t="s">
        <v>25</v>
      </c>
      <c r="B2477" s="16" t="s">
        <v>77</v>
      </c>
      <c r="C2477" s="16" t="str">
        <f>VLOOKUP([1]Competence!$B23,[1]Competence!$B$12:$B$100,1,FALSE)</f>
        <v>Configuration Management</v>
      </c>
      <c r="D2477" s="13" t="str" cm="1">
        <f t="array" ref="D2477">_xlfn.XLOOKUP(B2477,[1]Baseline!$D$3:$AZ$3,_xlfn.XLOOKUP(C2477,[1]Baseline!$B$4:$B$91,[1]Baseline!$D$4:$AZ$91))</f>
        <v>Practitioner</v>
      </c>
      <c r="E2477" s="16" t="s">
        <v>121</v>
      </c>
      <c r="F2477" s="16">
        <v>3</v>
      </c>
      <c r="G2477" s="16">
        <v>99</v>
      </c>
      <c r="H2477" s="16">
        <f t="shared" si="38"/>
        <v>96</v>
      </c>
      <c r="I2477" s="13">
        <v>99</v>
      </c>
    </row>
    <row r="2478" spans="1:9">
      <c r="A2478" s="16" t="s">
        <v>25</v>
      </c>
      <c r="B2478" s="16" t="s">
        <v>77</v>
      </c>
      <c r="C2478" s="16" t="str">
        <f>VLOOKUP([1]Competence!$B24,[1]Competence!$B$12:$B$100,1,FALSE)</f>
        <v>Continuity Management</v>
      </c>
      <c r="D2478" s="13" t="str" cm="1">
        <f t="array" ref="D2478">_xlfn.XLOOKUP(B2478,[1]Baseline!$D$3:$AZ$3,_xlfn.XLOOKUP(C2478,[1]Baseline!$B$4:$B$91,[1]Baseline!$D$4:$AZ$91))</f>
        <v>Practitioner</v>
      </c>
      <c r="E2478" s="16" t="s">
        <v>124</v>
      </c>
      <c r="F2478" s="16">
        <v>2</v>
      </c>
      <c r="G2478" s="16">
        <v>99</v>
      </c>
      <c r="H2478" s="16">
        <f t="shared" si="38"/>
        <v>97</v>
      </c>
      <c r="I2478" s="13">
        <v>99</v>
      </c>
    </row>
    <row r="2479" spans="1:9">
      <c r="A2479" s="16" t="s">
        <v>25</v>
      </c>
      <c r="B2479" s="16" t="s">
        <v>77</v>
      </c>
      <c r="C2479" s="16" t="str">
        <f>VLOOKUP([1]Competence!$B25,[1]Competence!$B$12:$B$100,1,FALSE)</f>
        <v>Demand Management</v>
      </c>
      <c r="D2479" s="13" t="str" cm="1">
        <f t="array" ref="D2479">_xlfn.XLOOKUP(B2479,[1]Baseline!$D$3:$AZ$3,_xlfn.XLOOKUP(C2479,[1]Baseline!$B$4:$B$91,[1]Baseline!$D$4:$AZ$91))</f>
        <v>Practitioner</v>
      </c>
      <c r="E2479" s="16" t="s">
        <v>127</v>
      </c>
      <c r="F2479" s="16">
        <v>2</v>
      </c>
      <c r="G2479" s="16">
        <v>99</v>
      </c>
      <c r="H2479" s="16">
        <f t="shared" si="38"/>
        <v>97</v>
      </c>
      <c r="I2479" s="13">
        <v>99</v>
      </c>
    </row>
    <row r="2480" spans="1:9">
      <c r="A2480" s="16" t="s">
        <v>25</v>
      </c>
      <c r="B2480" s="16" t="s">
        <v>77</v>
      </c>
      <c r="C2480" s="16" t="str">
        <f>VLOOKUP([1]Competence!$B26,[1]Competence!$B$12:$B$100,1,FALSE)</f>
        <v>Knowledge management</v>
      </c>
      <c r="D2480" s="13" t="str" cm="1">
        <f t="array" ref="D2480">_xlfn.XLOOKUP(B2480,[1]Baseline!$D$3:$AZ$3,_xlfn.XLOOKUP(C2480,[1]Baseline!$B$4:$B$91,[1]Baseline!$D$4:$AZ$91))</f>
        <v>Practitioner</v>
      </c>
      <c r="E2480" s="16" t="s">
        <v>130</v>
      </c>
      <c r="F2480" s="16">
        <v>2</v>
      </c>
      <c r="G2480" s="16">
        <v>99</v>
      </c>
      <c r="H2480" s="16">
        <f t="shared" si="38"/>
        <v>97</v>
      </c>
      <c r="I2480" s="13">
        <v>99</v>
      </c>
    </row>
    <row r="2481" spans="1:9">
      <c r="A2481" s="16" t="s">
        <v>25</v>
      </c>
      <c r="B2481" s="16" t="s">
        <v>77</v>
      </c>
      <c r="C2481" s="16" t="str">
        <f>VLOOKUP([1]Competence!$B27,[1]Competence!$B$12:$B$100,1,FALSE)</f>
        <v>Methods and tools</v>
      </c>
      <c r="D2481" s="13" t="str" cm="1">
        <f t="array" ref="D2481">_xlfn.XLOOKUP(B2481,[1]Baseline!$D$3:$AZ$3,_xlfn.XLOOKUP(C2481,[1]Baseline!$B$4:$B$91,[1]Baseline!$D$4:$AZ$91))</f>
        <v>Practitioner</v>
      </c>
      <c r="E2481" s="16" t="s">
        <v>211</v>
      </c>
      <c r="F2481" s="16">
        <v>1</v>
      </c>
      <c r="G2481" s="16">
        <v>99</v>
      </c>
      <c r="H2481" s="16">
        <f t="shared" si="38"/>
        <v>98</v>
      </c>
      <c r="I2481" s="13">
        <v>99</v>
      </c>
    </row>
    <row r="2482" spans="1:9">
      <c r="A2482" s="16" t="s">
        <v>25</v>
      </c>
      <c r="B2482" s="16" t="s">
        <v>77</v>
      </c>
      <c r="C2482" s="16" t="str">
        <f>VLOOKUP([1]Competence!$B28,[1]Competence!$B$12:$B$100,1,FALSE)</f>
        <v>Release and deployment</v>
      </c>
      <c r="D2482" s="13" t="str" cm="1">
        <f t="array" ref="D2482">_xlfn.XLOOKUP(B2482,[1]Baseline!$D$3:$AZ$3,_xlfn.XLOOKUP(C2482,[1]Baseline!$B$4:$B$91,[1]Baseline!$D$4:$AZ$91))</f>
        <v>Practitioner</v>
      </c>
      <c r="E2482" s="16" t="s">
        <v>214</v>
      </c>
      <c r="F2482" s="16">
        <v>0</v>
      </c>
      <c r="G2482" s="16">
        <v>99</v>
      </c>
      <c r="H2482" s="16">
        <f t="shared" si="38"/>
        <v>99</v>
      </c>
      <c r="I2482" s="13">
        <v>99</v>
      </c>
    </row>
    <row r="2483" spans="1:9">
      <c r="A2483" s="16" t="s">
        <v>25</v>
      </c>
      <c r="B2483" s="16" t="s">
        <v>77</v>
      </c>
      <c r="C2483" s="16" t="str">
        <f>VLOOKUP([1]Competence!$B29,[1]Competence!$B$12:$B$100,1,FALSE)</f>
        <v>Service acceptance</v>
      </c>
      <c r="D2483" s="13" t="str" cm="1">
        <f t="array" ref="D2483">_xlfn.XLOOKUP(B2483,[1]Baseline!$D$3:$AZ$3,_xlfn.XLOOKUP(C2483,[1]Baseline!$B$4:$B$91,[1]Baseline!$D$4:$AZ$91))</f>
        <v>Practitioner</v>
      </c>
      <c r="E2483" s="16" t="s">
        <v>217</v>
      </c>
      <c r="F2483" s="16">
        <v>0</v>
      </c>
      <c r="G2483" s="16">
        <v>99</v>
      </c>
      <c r="H2483" s="16">
        <f t="shared" si="38"/>
        <v>99</v>
      </c>
      <c r="I2483" s="13">
        <v>99</v>
      </c>
    </row>
    <row r="2484" spans="1:9">
      <c r="A2484" s="16" t="s">
        <v>25</v>
      </c>
      <c r="B2484" s="16" t="s">
        <v>77</v>
      </c>
      <c r="C2484" s="16" t="str">
        <f>VLOOKUP([1]Competence!$B30,[1]Competence!$B$12:$B$100,1,FALSE)</f>
        <v>Stakeholder relationship management</v>
      </c>
      <c r="D2484" s="13" t="str" cm="1">
        <f t="array" ref="D2484">_xlfn.XLOOKUP(B2484,[1]Baseline!$D$3:$AZ$3,_xlfn.XLOOKUP(C2484,[1]Baseline!$B$4:$B$91,[1]Baseline!$D$4:$AZ$91))</f>
        <v>Practitioner</v>
      </c>
      <c r="E2484" s="16" t="s">
        <v>49</v>
      </c>
      <c r="F2484" s="16">
        <v>1</v>
      </c>
      <c r="G2484" s="16">
        <v>99</v>
      </c>
      <c r="H2484" s="16">
        <f t="shared" si="38"/>
        <v>98</v>
      </c>
      <c r="I2484" s="13">
        <v>99</v>
      </c>
    </row>
    <row r="2485" spans="1:9">
      <c r="A2485" s="16" t="s">
        <v>25</v>
      </c>
      <c r="B2485" s="16" t="s">
        <v>77</v>
      </c>
      <c r="C2485" s="16" t="str">
        <f>VLOOKUP([1]Competence!$B31,[1]Competence!$B$12:$B$100,1,FALSE)</f>
        <v>Storage management</v>
      </c>
      <c r="D2485" s="13" t="str" cm="1">
        <f t="array" ref="D2485">_xlfn.XLOOKUP(B2485,[1]Baseline!$D$3:$AZ$3,_xlfn.XLOOKUP(C2485,[1]Baseline!$B$4:$B$91,[1]Baseline!$D$4:$AZ$91))</f>
        <v>Practitioner</v>
      </c>
      <c r="E2485" s="16" t="s">
        <v>222</v>
      </c>
      <c r="F2485" s="16">
        <v>0</v>
      </c>
      <c r="G2485" s="16">
        <v>99</v>
      </c>
      <c r="H2485" s="16">
        <f t="shared" si="38"/>
        <v>99</v>
      </c>
      <c r="I2485" s="13">
        <v>99</v>
      </c>
    </row>
    <row r="2486" spans="1:9">
      <c r="A2486" s="16" t="s">
        <v>25</v>
      </c>
      <c r="B2486" s="16" t="s">
        <v>77</v>
      </c>
      <c r="C2486" s="16" t="str">
        <f>VLOOKUP([1]Competence!$B32,[1]Competence!$B$12:$B$100,1,FALSE)</f>
        <v>Digital Forensics</v>
      </c>
      <c r="D2486" s="13" t="str" cm="1">
        <f t="array" ref="D2486">_xlfn.XLOOKUP(B2486,[1]Baseline!$D$3:$AZ$3,_xlfn.XLOOKUP(C2486,[1]Baseline!$B$4:$B$91,[1]Baseline!$D$4:$AZ$91))</f>
        <v>Working</v>
      </c>
      <c r="E2486" s="16" t="s">
        <v>225</v>
      </c>
      <c r="F2486" s="16">
        <v>1</v>
      </c>
      <c r="G2486" s="16">
        <v>99</v>
      </c>
      <c r="H2486" s="16">
        <f t="shared" si="38"/>
        <v>98</v>
      </c>
      <c r="I2486" s="13">
        <v>99</v>
      </c>
    </row>
    <row r="2487" spans="1:9">
      <c r="A2487" s="16" t="s">
        <v>25</v>
      </c>
      <c r="B2487" s="16" t="s">
        <v>77</v>
      </c>
      <c r="C2487" s="16" t="str">
        <f>VLOOKUP([1]Competence!$B33,[1]Competence!$B$12:$B$100,1,FALSE)</f>
        <v>Penetration testing</v>
      </c>
      <c r="D2487" s="13" t="str" cm="1">
        <f t="array" ref="D2487">_xlfn.XLOOKUP(B2487,[1]Baseline!$D$3:$AZ$3,_xlfn.XLOOKUP(C2487,[1]Baseline!$B$4:$B$91,[1]Baseline!$D$4:$AZ$91))</f>
        <v>Working</v>
      </c>
      <c r="E2487" s="16" t="s">
        <v>228</v>
      </c>
      <c r="F2487" s="16">
        <v>1</v>
      </c>
      <c r="G2487" s="16">
        <v>99</v>
      </c>
      <c r="H2487" s="16">
        <f t="shared" si="38"/>
        <v>98</v>
      </c>
      <c r="I2487" s="13">
        <v>99</v>
      </c>
    </row>
    <row r="2488" spans="1:9">
      <c r="A2488" s="16" t="s">
        <v>25</v>
      </c>
      <c r="B2488" s="16" t="s">
        <v>77</v>
      </c>
      <c r="C2488" s="16" t="str">
        <f>VLOOKUP([1]Competence!$B34,[1]Competence!$B$12:$B$100,1,FALSE)</f>
        <v>Security Operations</v>
      </c>
      <c r="D2488" s="13" t="str" cm="1">
        <f t="array" ref="D2488">_xlfn.XLOOKUP(B2488,[1]Baseline!$D$3:$AZ$3,_xlfn.XLOOKUP(C2488,[1]Baseline!$B$4:$B$91,[1]Baseline!$D$4:$AZ$91))</f>
        <v>Practitioner</v>
      </c>
      <c r="E2488" s="16" t="s">
        <v>231</v>
      </c>
      <c r="F2488" s="16">
        <v>1</v>
      </c>
      <c r="G2488" s="16">
        <v>99</v>
      </c>
      <c r="H2488" s="16">
        <f t="shared" si="38"/>
        <v>98</v>
      </c>
      <c r="I2488" s="13">
        <v>99</v>
      </c>
    </row>
    <row r="2489" spans="1:9">
      <c r="A2489" s="16" t="s">
        <v>25</v>
      </c>
      <c r="B2489" s="16" t="s">
        <v>77</v>
      </c>
      <c r="C2489" s="16" t="str">
        <f>VLOOKUP([1]Competence!$B35,[1]Competence!$B$12:$B$100,1,FALSE)</f>
        <v>Threat Intelligence</v>
      </c>
      <c r="D2489" s="13" t="str" cm="1">
        <f t="array" ref="D2489">_xlfn.XLOOKUP(B2489,[1]Baseline!$D$3:$AZ$3,_xlfn.XLOOKUP(C2489,[1]Baseline!$B$4:$B$91,[1]Baseline!$D$4:$AZ$91))</f>
        <v>Working</v>
      </c>
      <c r="E2489" s="16" t="s">
        <v>185</v>
      </c>
      <c r="F2489" s="16">
        <v>1</v>
      </c>
      <c r="G2489" s="16">
        <v>99</v>
      </c>
      <c r="H2489" s="16">
        <f t="shared" si="38"/>
        <v>98</v>
      </c>
      <c r="I2489" s="13">
        <v>99</v>
      </c>
    </row>
    <row r="2490" spans="1:9">
      <c r="A2490" s="16" t="s">
        <v>25</v>
      </c>
      <c r="B2490" s="16" t="s">
        <v>77</v>
      </c>
      <c r="C2490" s="16" t="str">
        <f>VLOOKUP([1]Competence!$B36,[1]Competence!$B$12:$B$100,1,FALSE)</f>
        <v>Vulnerability assessment</v>
      </c>
      <c r="D2490" s="13" t="str" cm="1">
        <f t="array" ref="D2490">_xlfn.XLOOKUP(B2490,[1]Baseline!$D$3:$AZ$3,_xlfn.XLOOKUP(C2490,[1]Baseline!$B$4:$B$91,[1]Baseline!$D$4:$AZ$91))</f>
        <v>Working</v>
      </c>
      <c r="E2490" s="16" t="s">
        <v>188</v>
      </c>
      <c r="F2490" s="16">
        <v>1</v>
      </c>
      <c r="G2490" s="16">
        <v>99</v>
      </c>
      <c r="H2490" s="16">
        <f t="shared" si="38"/>
        <v>98</v>
      </c>
      <c r="I2490" s="13">
        <v>99</v>
      </c>
    </row>
    <row r="2491" spans="1:9">
      <c r="A2491" s="16" t="s">
        <v>25</v>
      </c>
      <c r="B2491" s="16" t="s">
        <v>77</v>
      </c>
      <c r="C2491" s="16" t="str">
        <f>VLOOKUP([1]Competence!$B37,[1]Competence!$B$12:$B$100,1,FALSE)</f>
        <v>Vulnerability Research</v>
      </c>
      <c r="D2491" s="13" t="str" cm="1">
        <f t="array" ref="D2491">_xlfn.XLOOKUP(B2491,[1]Baseline!$D$3:$AZ$3,_xlfn.XLOOKUP(C2491,[1]Baseline!$B$4:$B$91,[1]Baseline!$D$4:$AZ$91))</f>
        <v>Awareness</v>
      </c>
      <c r="E2491" s="16" t="s">
        <v>191</v>
      </c>
      <c r="F2491" s="16">
        <v>0</v>
      </c>
      <c r="G2491" s="16">
        <v>99</v>
      </c>
      <c r="H2491" s="16">
        <f t="shared" si="38"/>
        <v>99</v>
      </c>
      <c r="I2491" s="13">
        <v>99</v>
      </c>
    </row>
    <row r="2492" spans="1:9">
      <c r="A2492" s="16" t="s">
        <v>25</v>
      </c>
      <c r="B2492" s="16" t="s">
        <v>77</v>
      </c>
      <c r="C2492" s="16" t="str">
        <f>VLOOKUP([1]Competence!$B38,[1]Competence!$B$12:$B$100,1,FALSE)</f>
        <v>Competency assessment</v>
      </c>
      <c r="D2492" s="13" t="str" cm="1">
        <f t="array" ref="D2492">_xlfn.XLOOKUP(B2492,[1]Baseline!$D$3:$AZ$3,_xlfn.XLOOKUP(C2492,[1]Baseline!$B$4:$B$91,[1]Baseline!$D$4:$AZ$91))</f>
        <v>Awareness</v>
      </c>
      <c r="E2492" s="16" t="s">
        <v>194</v>
      </c>
      <c r="F2492" s="16">
        <v>0</v>
      </c>
      <c r="G2492" s="16">
        <v>99</v>
      </c>
      <c r="H2492" s="16">
        <f t="shared" si="38"/>
        <v>99</v>
      </c>
      <c r="I2492" s="13">
        <v>99</v>
      </c>
    </row>
    <row r="2493" spans="1:9">
      <c r="A2493" s="16" t="s">
        <v>25</v>
      </c>
      <c r="B2493" s="16" t="s">
        <v>77</v>
      </c>
      <c r="C2493" s="16" t="str">
        <f>VLOOKUP([1]Competence!$B39,[1]Competence!$B$12:$B$100,1,FALSE)</f>
        <v>Financial management</v>
      </c>
      <c r="D2493" s="13" t="str" cm="1">
        <f t="array" ref="D2493">_xlfn.XLOOKUP(B2493,[1]Baseline!$D$3:$AZ$3,_xlfn.XLOOKUP(C2493,[1]Baseline!$B$4:$B$91,[1]Baseline!$D$4:$AZ$91))</f>
        <v>No Knowledge</v>
      </c>
      <c r="E2493" s="16" t="s">
        <v>197</v>
      </c>
      <c r="F2493" s="16">
        <v>0</v>
      </c>
      <c r="G2493" s="16">
        <v>99</v>
      </c>
      <c r="H2493" s="16">
        <f t="shared" si="38"/>
        <v>99</v>
      </c>
      <c r="I2493" s="13">
        <v>99</v>
      </c>
    </row>
    <row r="2494" spans="1:9">
      <c r="A2494" s="16" t="s">
        <v>25</v>
      </c>
      <c r="B2494" s="16" t="s">
        <v>77</v>
      </c>
      <c r="C2494" s="16" t="str">
        <f>VLOOKUP([1]Competence!$B40,[1]Competence!$B$12:$B$100,1,FALSE)</f>
        <v>Organisation design and implementation</v>
      </c>
      <c r="D2494" s="13" t="str" cm="1">
        <f t="array" ref="D2494">_xlfn.XLOOKUP(B2494,[1]Baseline!$D$3:$AZ$3,_xlfn.XLOOKUP(C2494,[1]Baseline!$B$4:$B$91,[1]Baseline!$D$4:$AZ$91))</f>
        <v>No Knowledge</v>
      </c>
      <c r="E2494" s="16" t="s">
        <v>200</v>
      </c>
      <c r="F2494" s="16">
        <v>0</v>
      </c>
      <c r="G2494" s="16">
        <v>99</v>
      </c>
      <c r="H2494" s="16">
        <f t="shared" si="38"/>
        <v>99</v>
      </c>
      <c r="I2494" s="13">
        <v>99</v>
      </c>
    </row>
    <row r="2495" spans="1:9">
      <c r="A2495" s="16" t="s">
        <v>25</v>
      </c>
      <c r="B2495" s="16" t="s">
        <v>77</v>
      </c>
      <c r="C2495" s="16" t="str">
        <f>VLOOKUP([1]Competence!$B41,[1]Competence!$B$12:$B$100,1,FALSE)</f>
        <v>Organisational capability development</v>
      </c>
      <c r="D2495" s="13" t="str" cm="1">
        <f t="array" ref="D2495">_xlfn.XLOOKUP(B2495,[1]Baseline!$D$3:$AZ$3,_xlfn.XLOOKUP(C2495,[1]Baseline!$B$4:$B$91,[1]Baseline!$D$4:$AZ$91))</f>
        <v>No Knowledge</v>
      </c>
      <c r="E2495" s="16" t="s">
        <v>203</v>
      </c>
      <c r="F2495" s="16">
        <v>1</v>
      </c>
      <c r="G2495" s="16">
        <v>99</v>
      </c>
      <c r="H2495" s="16">
        <f t="shared" si="38"/>
        <v>98</v>
      </c>
      <c r="I2495" s="13">
        <v>99</v>
      </c>
    </row>
    <row r="2496" spans="1:9">
      <c r="A2496" s="16" t="s">
        <v>25</v>
      </c>
      <c r="B2496" s="16" t="s">
        <v>77</v>
      </c>
      <c r="C2496" s="16" t="str">
        <f>VLOOKUP([1]Competence!$B42,[1]Competence!$B$12:$B$100,1,FALSE)</f>
        <v>Organisational change management</v>
      </c>
      <c r="D2496" s="13" t="str" cm="1">
        <f t="array" ref="D2496">_xlfn.XLOOKUP(B2496,[1]Baseline!$D$3:$AZ$3,_xlfn.XLOOKUP(C2496,[1]Baseline!$B$4:$B$91,[1]Baseline!$D$4:$AZ$91))</f>
        <v>No Knowledge</v>
      </c>
      <c r="E2496" s="16" t="s">
        <v>206</v>
      </c>
      <c r="F2496" s="16">
        <v>0</v>
      </c>
      <c r="G2496" s="16">
        <v>99</v>
      </c>
      <c r="H2496" s="16">
        <f t="shared" si="38"/>
        <v>99</v>
      </c>
      <c r="I2496" s="13">
        <v>99</v>
      </c>
    </row>
    <row r="2497" spans="1:9">
      <c r="A2497" s="16" t="s">
        <v>25</v>
      </c>
      <c r="B2497" s="16" t="s">
        <v>77</v>
      </c>
      <c r="C2497" s="16" t="str">
        <f>VLOOKUP([1]Competence!$B43,[1]Competence!$B$12:$B$100,1,FALSE)</f>
        <v>Performance Management</v>
      </c>
      <c r="D2497" s="13" t="str" cm="1">
        <f t="array" ref="D2497">_xlfn.XLOOKUP(B2497,[1]Baseline!$D$3:$AZ$3,_xlfn.XLOOKUP(C2497,[1]Baseline!$B$4:$B$91,[1]Baseline!$D$4:$AZ$91))</f>
        <v>No Knowledge</v>
      </c>
      <c r="E2497" s="16" t="s">
        <v>208</v>
      </c>
      <c r="F2497" s="16">
        <v>0</v>
      </c>
      <c r="G2497" s="16">
        <v>99</v>
      </c>
      <c r="H2497" s="16">
        <f t="shared" si="38"/>
        <v>99</v>
      </c>
      <c r="I2497" s="13">
        <v>99</v>
      </c>
    </row>
    <row r="2498" spans="1:9">
      <c r="A2498" s="16" t="s">
        <v>25</v>
      </c>
      <c r="B2498" s="16" t="s">
        <v>77</v>
      </c>
      <c r="C2498" s="16" t="str">
        <f>VLOOKUP([1]Competence!$B44,[1]Competence!$B$12:$B$100,1,FALSE)</f>
        <v>Professional Development</v>
      </c>
      <c r="D2498" s="13" t="str" cm="1">
        <f t="array" ref="D2498">_xlfn.XLOOKUP(B2498,[1]Baseline!$D$3:$AZ$3,_xlfn.XLOOKUP(C2498,[1]Baseline!$B$4:$B$91,[1]Baseline!$D$4:$AZ$91))</f>
        <v>Awareness</v>
      </c>
      <c r="E2498" s="16" t="s">
        <v>167</v>
      </c>
      <c r="F2498" s="16">
        <v>0</v>
      </c>
      <c r="G2498" s="16">
        <v>99</v>
      </c>
      <c r="H2498" s="16">
        <f t="shared" ref="H2498:H2561" si="39">I2498-F2498</f>
        <v>99</v>
      </c>
      <c r="I2498" s="13">
        <v>99</v>
      </c>
    </row>
    <row r="2499" spans="1:9">
      <c r="A2499" s="16" t="s">
        <v>25</v>
      </c>
      <c r="B2499" s="16" t="s">
        <v>77</v>
      </c>
      <c r="C2499" s="16" t="str">
        <f>VLOOKUP([1]Competence!$B45,[1]Competence!$B$12:$B$100,1,FALSE)</f>
        <v>Strategic Planning</v>
      </c>
      <c r="D2499" s="13" t="str" cm="1">
        <f t="array" ref="D2499">_xlfn.XLOOKUP(B2499,[1]Baseline!$D$3:$AZ$3,_xlfn.XLOOKUP(C2499,[1]Baseline!$B$4:$B$91,[1]Baseline!$D$4:$AZ$91))</f>
        <v>No Knowledge</v>
      </c>
      <c r="E2499" s="16" t="s">
        <v>170</v>
      </c>
      <c r="F2499" s="16">
        <v>0</v>
      </c>
      <c r="G2499" s="16">
        <v>99</v>
      </c>
      <c r="H2499" s="16">
        <f t="shared" si="39"/>
        <v>99</v>
      </c>
      <c r="I2499" s="13">
        <v>99</v>
      </c>
    </row>
    <row r="2500" spans="1:9">
      <c r="A2500" s="16" t="s">
        <v>25</v>
      </c>
      <c r="B2500" s="16" t="s">
        <v>77</v>
      </c>
      <c r="C2500" s="16" t="str">
        <f>VLOOKUP([1]Competence!$B46,[1]Competence!$B$12:$B$100,1,FALSE)</f>
        <v>Workforce Planning</v>
      </c>
      <c r="D2500" s="13" t="str" cm="1">
        <f t="array" ref="D2500">_xlfn.XLOOKUP(B2500,[1]Baseline!$D$3:$AZ$3,_xlfn.XLOOKUP(C2500,[1]Baseline!$B$4:$B$91,[1]Baseline!$D$4:$AZ$91))</f>
        <v>No Knowledge</v>
      </c>
      <c r="E2500" s="16" t="s">
        <v>173</v>
      </c>
      <c r="F2500" s="16">
        <v>2</v>
      </c>
      <c r="G2500" s="16">
        <v>99</v>
      </c>
      <c r="H2500" s="16">
        <f t="shared" si="39"/>
        <v>97</v>
      </c>
      <c r="I2500" s="13">
        <v>99</v>
      </c>
    </row>
    <row r="2501" spans="1:9">
      <c r="A2501" s="16" t="s">
        <v>25</v>
      </c>
      <c r="B2501" s="16" t="s">
        <v>77</v>
      </c>
      <c r="C2501" s="16" t="str">
        <f>VLOOKUP([1]Competence!$B47,[1]Competence!$B$12:$B$100,1,FALSE)</f>
        <v>Audit</v>
      </c>
      <c r="D2501" s="13" t="str" cm="1">
        <f t="array" ref="D2501">_xlfn.XLOOKUP(B2501,[1]Baseline!$D$3:$AZ$3,_xlfn.XLOOKUP(C2501,[1]Baseline!$B$4:$B$91,[1]Baseline!$D$4:$AZ$91))</f>
        <v>Working</v>
      </c>
      <c r="E2501" s="16" t="s">
        <v>176</v>
      </c>
      <c r="F2501" s="16">
        <v>0</v>
      </c>
      <c r="G2501" s="16">
        <v>99</v>
      </c>
      <c r="H2501" s="16">
        <f t="shared" si="39"/>
        <v>99</v>
      </c>
      <c r="I2501" s="13">
        <v>99</v>
      </c>
    </row>
    <row r="2502" spans="1:9">
      <c r="A2502" s="16" t="s">
        <v>25</v>
      </c>
      <c r="B2502" s="16" t="s">
        <v>77</v>
      </c>
      <c r="C2502" s="16" t="str">
        <f>VLOOKUP([1]Competence!$B48,[1]Competence!$B$12:$B$100,1,FALSE)</f>
        <v>Contract management</v>
      </c>
      <c r="D2502" s="13" t="str" cm="1">
        <f t="array" ref="D2502">_xlfn.XLOOKUP(B2502,[1]Baseline!$D$3:$AZ$3,_xlfn.XLOOKUP(C2502,[1]Baseline!$B$4:$B$91,[1]Baseline!$D$4:$AZ$91))</f>
        <v>Awareness</v>
      </c>
      <c r="E2502" s="16" t="s">
        <v>179</v>
      </c>
      <c r="F2502" s="16">
        <v>2</v>
      </c>
      <c r="G2502" s="16">
        <v>99</v>
      </c>
      <c r="H2502" s="16">
        <f t="shared" si="39"/>
        <v>97</v>
      </c>
      <c r="I2502" s="13">
        <v>99</v>
      </c>
    </row>
    <row r="2503" spans="1:9">
      <c r="A2503" s="16" t="s">
        <v>25</v>
      </c>
      <c r="B2503" s="16" t="s">
        <v>77</v>
      </c>
      <c r="C2503" s="16" t="str">
        <f>VLOOKUP([1]Competence!$B49,[1]Competence!$B$12:$B$100,1,FALSE)</f>
        <v>Feasibility assessment</v>
      </c>
      <c r="D2503" s="13" t="str" cm="1">
        <f t="array" ref="D2503">_xlfn.XLOOKUP(B2503,[1]Baseline!$D$3:$AZ$3,_xlfn.XLOOKUP(C2503,[1]Baseline!$B$4:$B$91,[1]Baseline!$D$4:$AZ$91))</f>
        <v>Awareness</v>
      </c>
      <c r="E2503" s="16" t="s">
        <v>182</v>
      </c>
      <c r="F2503" s="16">
        <v>0</v>
      </c>
      <c r="G2503" s="16">
        <v>99</v>
      </c>
      <c r="H2503" s="16">
        <f t="shared" si="39"/>
        <v>99</v>
      </c>
      <c r="I2503" s="13">
        <v>99</v>
      </c>
    </row>
    <row r="2504" spans="1:9">
      <c r="A2504" s="16" t="s">
        <v>25</v>
      </c>
      <c r="B2504" s="16" t="s">
        <v>77</v>
      </c>
      <c r="C2504" s="16" t="str">
        <f>VLOOKUP([1]Competence!$B50,[1]Competence!$B$12:$B$100,1,FALSE)</f>
        <v>Governance</v>
      </c>
      <c r="D2504" s="13" t="str" cm="1">
        <f t="array" ref="D2504">_xlfn.XLOOKUP(B2504,[1]Baseline!$D$3:$AZ$3,_xlfn.XLOOKUP(C2504,[1]Baseline!$B$4:$B$91,[1]Baseline!$D$4:$AZ$91))</f>
        <v>Awareness</v>
      </c>
      <c r="E2504" s="16" t="s">
        <v>133</v>
      </c>
      <c r="F2504" s="16">
        <v>1</v>
      </c>
      <c r="G2504" s="16">
        <v>99</v>
      </c>
      <c r="H2504" s="16">
        <f t="shared" si="39"/>
        <v>98</v>
      </c>
      <c r="I2504" s="13">
        <v>99</v>
      </c>
    </row>
    <row r="2505" spans="1:9">
      <c r="A2505" s="16" t="s">
        <v>25</v>
      </c>
      <c r="B2505" s="16" t="s">
        <v>77</v>
      </c>
      <c r="C2505" s="16" t="str">
        <f>VLOOKUP([1]Competence!$B51,[1]Competence!$B$12:$B$100,1,FALSE)</f>
        <v>Risk management</v>
      </c>
      <c r="D2505" s="13" t="str" cm="1">
        <f t="array" ref="D2505">_xlfn.XLOOKUP(B2505,[1]Baseline!$D$3:$AZ$3,_xlfn.XLOOKUP(C2505,[1]Baseline!$B$4:$B$91,[1]Baseline!$D$4:$AZ$91))</f>
        <v>No Knowledge</v>
      </c>
      <c r="E2505" s="16" t="s">
        <v>136</v>
      </c>
      <c r="F2505" s="16">
        <v>0</v>
      </c>
      <c r="G2505" s="16">
        <v>99</v>
      </c>
      <c r="H2505" s="16">
        <f t="shared" si="39"/>
        <v>99</v>
      </c>
      <c r="I2505" s="13">
        <v>99</v>
      </c>
    </row>
    <row r="2506" spans="1:9">
      <c r="A2506" s="16" t="s">
        <v>25</v>
      </c>
      <c r="B2506" s="16" t="s">
        <v>77</v>
      </c>
      <c r="C2506" s="16" t="str">
        <f>VLOOKUP([1]Competence!$B52,[1]Competence!$B$12:$B$100,1,FALSE)</f>
        <v>Sourcing</v>
      </c>
      <c r="D2506" s="13" t="str" cm="1">
        <f t="array" ref="D2506">_xlfn.XLOOKUP(B2506,[1]Baseline!$D$3:$AZ$3,_xlfn.XLOOKUP(C2506,[1]Baseline!$B$4:$B$91,[1]Baseline!$D$4:$AZ$91))</f>
        <v>Awareness</v>
      </c>
      <c r="E2506" s="16" t="s">
        <v>139</v>
      </c>
      <c r="F2506" s="16">
        <v>1</v>
      </c>
      <c r="G2506" s="16">
        <v>99</v>
      </c>
      <c r="H2506" s="16">
        <f t="shared" si="39"/>
        <v>98</v>
      </c>
      <c r="I2506" s="13">
        <v>99</v>
      </c>
    </row>
    <row r="2507" spans="1:9">
      <c r="A2507" s="16" t="s">
        <v>25</v>
      </c>
      <c r="B2507" s="16" t="s">
        <v>77</v>
      </c>
      <c r="C2507" s="16" t="str">
        <f>VLOOKUP([1]Competence!$B53,[1]Competence!$B$12:$B$100,1,FALSE)</f>
        <v>Supplier management</v>
      </c>
      <c r="D2507" s="13" t="str" cm="1">
        <f t="array" ref="D2507">_xlfn.XLOOKUP(B2507,[1]Baseline!$D$3:$AZ$3,_xlfn.XLOOKUP(C2507,[1]Baseline!$B$4:$B$91,[1]Baseline!$D$4:$AZ$91))</f>
        <v>Awareness</v>
      </c>
      <c r="E2507" s="16" t="s">
        <v>142</v>
      </c>
      <c r="F2507" s="16">
        <v>1</v>
      </c>
      <c r="G2507" s="16">
        <v>99</v>
      </c>
      <c r="H2507" s="16">
        <f t="shared" si="39"/>
        <v>98</v>
      </c>
      <c r="I2507" s="13">
        <v>99</v>
      </c>
    </row>
    <row r="2508" spans="1:9">
      <c r="A2508" s="16" t="s">
        <v>25</v>
      </c>
      <c r="B2508" s="16" t="s">
        <v>77</v>
      </c>
      <c r="C2508" s="16" t="str">
        <f>VLOOKUP([1]Competence!$B54,[1]Competence!$B$12:$B$100,1,FALSE)</f>
        <v>Sustainability</v>
      </c>
      <c r="D2508" s="13" t="str" cm="1">
        <f t="array" ref="D2508">_xlfn.XLOOKUP(B2508,[1]Baseline!$D$3:$AZ$3,_xlfn.XLOOKUP(C2508,[1]Baseline!$B$4:$B$91,[1]Baseline!$D$4:$AZ$91))</f>
        <v>Awareness</v>
      </c>
      <c r="E2508" s="16" t="s">
        <v>145</v>
      </c>
      <c r="F2508" s="16">
        <v>1</v>
      </c>
      <c r="G2508" s="16">
        <v>99</v>
      </c>
      <c r="H2508" s="16">
        <f t="shared" si="39"/>
        <v>98</v>
      </c>
      <c r="I2508" s="13">
        <v>99</v>
      </c>
    </row>
    <row r="2509" spans="1:9">
      <c r="A2509" s="16" t="s">
        <v>25</v>
      </c>
      <c r="B2509" s="16" t="s">
        <v>77</v>
      </c>
      <c r="C2509" s="16" t="str">
        <f>VLOOKUP([1]Competence!$B55,[1]Competence!$B$12:$B$100,1,FALSE)</f>
        <v>Acceptance testing</v>
      </c>
      <c r="D2509" s="13" t="str" cm="1">
        <f t="array" ref="D2509">_xlfn.XLOOKUP(B2509,[1]Baseline!$D$3:$AZ$3,_xlfn.XLOOKUP(C2509,[1]Baseline!$B$4:$B$91,[1]Baseline!$D$4:$AZ$91))</f>
        <v>Working</v>
      </c>
      <c r="E2509" s="16" t="s">
        <v>148</v>
      </c>
      <c r="F2509" s="16">
        <v>2</v>
      </c>
      <c r="G2509" s="16">
        <v>99</v>
      </c>
      <c r="H2509" s="16">
        <f t="shared" si="39"/>
        <v>97</v>
      </c>
      <c r="I2509" s="13">
        <v>99</v>
      </c>
    </row>
    <row r="2510" spans="1:9">
      <c r="A2510" s="16" t="s">
        <v>25</v>
      </c>
      <c r="B2510" s="16" t="s">
        <v>77</v>
      </c>
      <c r="C2510" s="16" t="str">
        <f>VLOOKUP([1]Competence!$B56,[1]Competence!$B$12:$B$100,1,FALSE)</f>
        <v>Application support</v>
      </c>
      <c r="D2510" s="13" t="str" cm="1">
        <f t="array" ref="D2510">_xlfn.XLOOKUP(B2510,[1]Baseline!$D$3:$AZ$3,_xlfn.XLOOKUP(C2510,[1]Baseline!$B$4:$B$91,[1]Baseline!$D$4:$AZ$91))</f>
        <v>Working</v>
      </c>
      <c r="E2510" s="16" t="s">
        <v>151</v>
      </c>
      <c r="F2510" s="16">
        <v>1</v>
      </c>
      <c r="G2510" s="16">
        <v>99</v>
      </c>
      <c r="H2510" s="16">
        <f t="shared" si="39"/>
        <v>98</v>
      </c>
      <c r="I2510" s="13">
        <v>99</v>
      </c>
    </row>
    <row r="2511" spans="1:9">
      <c r="A2511" s="16" t="s">
        <v>25</v>
      </c>
      <c r="B2511" s="16" t="s">
        <v>77</v>
      </c>
      <c r="C2511" s="16" t="str">
        <f>VLOOKUP([1]Competence!$B57,[1]Competence!$B$12:$B$100,1,FALSE)</f>
        <v>Data Engineering</v>
      </c>
      <c r="D2511" s="13" t="str" cm="1">
        <f t="array" ref="D2511">_xlfn.XLOOKUP(B2511,[1]Baseline!$D$3:$AZ$3,_xlfn.XLOOKUP(C2511,[1]Baseline!$B$4:$B$91,[1]Baseline!$D$4:$AZ$91))</f>
        <v>No Knowledge</v>
      </c>
      <c r="E2511" s="16" t="s">
        <v>154</v>
      </c>
      <c r="F2511" s="16">
        <v>0</v>
      </c>
      <c r="G2511" s="16">
        <v>99</v>
      </c>
      <c r="H2511" s="16">
        <f t="shared" si="39"/>
        <v>99</v>
      </c>
      <c r="I2511" s="13">
        <v>99</v>
      </c>
    </row>
    <row r="2512" spans="1:9">
      <c r="A2512" s="16" t="s">
        <v>25</v>
      </c>
      <c r="B2512" s="16" t="s">
        <v>77</v>
      </c>
      <c r="C2512" s="16" t="str">
        <f>VLOOKUP([1]Competence!$B58,[1]Competence!$B$12:$B$100,1,FALSE)</f>
        <v>Data Management</v>
      </c>
      <c r="D2512" s="13" t="str" cm="1">
        <f t="array" ref="D2512">_xlfn.XLOOKUP(B2512,[1]Baseline!$D$3:$AZ$3,_xlfn.XLOOKUP(C2512,[1]Baseline!$B$4:$B$91,[1]Baseline!$D$4:$AZ$91))</f>
        <v>No Knowledge</v>
      </c>
      <c r="E2512" s="16" t="s">
        <v>158</v>
      </c>
      <c r="F2512" s="16">
        <v>0</v>
      </c>
      <c r="G2512" s="16">
        <v>99</v>
      </c>
      <c r="H2512" s="16">
        <f t="shared" si="39"/>
        <v>99</v>
      </c>
      <c r="I2512" s="13">
        <v>99</v>
      </c>
    </row>
    <row r="2513" spans="1:9">
      <c r="A2513" s="16" t="s">
        <v>25</v>
      </c>
      <c r="B2513" s="16" t="s">
        <v>77</v>
      </c>
      <c r="C2513" s="16" t="str">
        <f>VLOOKUP([1]Competence!$B59,[1]Competence!$B$12:$B$100,1,FALSE)</f>
        <v>Data Modelling and Design</v>
      </c>
      <c r="D2513" s="13" t="str" cm="1">
        <f t="array" ref="D2513">_xlfn.XLOOKUP(B2513,[1]Baseline!$D$3:$AZ$3,_xlfn.XLOOKUP(C2513,[1]Baseline!$B$4:$B$91,[1]Baseline!$D$4:$AZ$91))</f>
        <v>No Knowledge</v>
      </c>
      <c r="E2513" s="16" t="s">
        <v>161</v>
      </c>
      <c r="F2513" s="16">
        <v>2</v>
      </c>
      <c r="G2513" s="16">
        <v>99</v>
      </c>
      <c r="H2513" s="16">
        <f t="shared" si="39"/>
        <v>97</v>
      </c>
      <c r="I2513" s="13">
        <v>99</v>
      </c>
    </row>
    <row r="2514" spans="1:9">
      <c r="A2514" s="16" t="s">
        <v>25</v>
      </c>
      <c r="B2514" s="16" t="s">
        <v>77</v>
      </c>
      <c r="C2514" s="16" t="str">
        <f>VLOOKUP([1]Competence!$B60,[1]Competence!$B$12:$B$100,1,FALSE)</f>
        <v>Data science</v>
      </c>
      <c r="D2514" s="13" t="str" cm="1">
        <f t="array" ref="D2514">_xlfn.XLOOKUP(B2514,[1]Baseline!$D$3:$AZ$3,_xlfn.XLOOKUP(C2514,[1]Baseline!$B$4:$B$91,[1]Baseline!$D$4:$AZ$91))</f>
        <v>No Knowledge</v>
      </c>
      <c r="E2514" s="16" t="s">
        <v>164</v>
      </c>
      <c r="F2514" s="16">
        <v>2</v>
      </c>
      <c r="G2514" s="16">
        <v>99</v>
      </c>
      <c r="H2514" s="16">
        <f t="shared" si="39"/>
        <v>97</v>
      </c>
      <c r="I2514" s="13">
        <v>99</v>
      </c>
    </row>
    <row r="2515" spans="1:9">
      <c r="A2515" s="16" t="s">
        <v>25</v>
      </c>
      <c r="B2515" s="16" t="s">
        <v>77</v>
      </c>
      <c r="C2515" s="16" t="str">
        <f>VLOOKUP([1]Competence!$B61,[1]Competence!$B$12:$B$100,1,FALSE)</f>
        <v>Data visualisation</v>
      </c>
      <c r="D2515" s="13" t="str" cm="1">
        <f t="array" ref="D2515">_xlfn.XLOOKUP(B2515,[1]Baseline!$D$3:$AZ$3,_xlfn.XLOOKUP(C2515,[1]Baseline!$B$4:$B$91,[1]Baseline!$D$4:$AZ$91))</f>
        <v>No Knowledge</v>
      </c>
      <c r="E2515" s="16" t="s">
        <v>234</v>
      </c>
      <c r="F2515" s="16">
        <v>1</v>
      </c>
      <c r="G2515" s="16">
        <v>99</v>
      </c>
      <c r="H2515" s="16">
        <f t="shared" si="39"/>
        <v>98</v>
      </c>
      <c r="I2515" s="13">
        <v>99</v>
      </c>
    </row>
    <row r="2516" spans="1:9">
      <c r="A2516" s="16" t="s">
        <v>25</v>
      </c>
      <c r="B2516" s="16" t="s">
        <v>77</v>
      </c>
      <c r="C2516" s="16" t="str">
        <f>VLOOKUP([1]Competence!$B62,[1]Competence!$B$12:$B$100,1,FALSE)</f>
        <v>Database Administration</v>
      </c>
      <c r="D2516" s="13" t="str" cm="1">
        <f t="array" ref="D2516">_xlfn.XLOOKUP(B2516,[1]Baseline!$D$3:$AZ$3,_xlfn.XLOOKUP(C2516,[1]Baseline!$B$4:$B$91,[1]Baseline!$D$4:$AZ$91))</f>
        <v>Working</v>
      </c>
      <c r="E2516" s="16" t="s">
        <v>237</v>
      </c>
      <c r="F2516" s="16">
        <v>2</v>
      </c>
      <c r="G2516" s="16">
        <v>99</v>
      </c>
      <c r="H2516" s="16">
        <f t="shared" si="39"/>
        <v>97</v>
      </c>
      <c r="I2516" s="13">
        <v>99</v>
      </c>
    </row>
    <row r="2517" spans="1:9">
      <c r="A2517" s="16" t="s">
        <v>25</v>
      </c>
      <c r="B2517" s="16" t="s">
        <v>77</v>
      </c>
      <c r="C2517" s="16" t="str">
        <f>VLOOKUP([1]Competence!$B63,[1]Competence!$B$12:$B$100,1,FALSE)</f>
        <v>Database Design</v>
      </c>
      <c r="D2517" s="13" t="str" cm="1">
        <f t="array" ref="D2517">_xlfn.XLOOKUP(B2517,[1]Baseline!$D$3:$AZ$3,_xlfn.XLOOKUP(C2517,[1]Baseline!$B$4:$B$91,[1]Baseline!$D$4:$AZ$91))</f>
        <v>Awareness</v>
      </c>
      <c r="E2517" s="16" t="s">
        <v>382</v>
      </c>
      <c r="F2517" s="16">
        <v>1</v>
      </c>
      <c r="G2517" s="16">
        <v>99</v>
      </c>
      <c r="H2517" s="16">
        <f t="shared" si="39"/>
        <v>98</v>
      </c>
      <c r="I2517" s="13">
        <v>99</v>
      </c>
    </row>
    <row r="2518" spans="1:9">
      <c r="A2518" s="16" t="s">
        <v>25</v>
      </c>
      <c r="B2518" s="16" t="s">
        <v>77</v>
      </c>
      <c r="C2518" s="16" t="str">
        <f>VLOOKUP([1]Competence!$B64,[1]Competence!$B$12:$B$100,1,FALSE)</f>
        <v>Hardware design</v>
      </c>
      <c r="D2518" s="13" t="str" cm="1">
        <f t="array" ref="D2518">_xlfn.XLOOKUP(B2518,[1]Baseline!$D$3:$AZ$3,_xlfn.XLOOKUP(C2518,[1]Baseline!$B$4:$B$91,[1]Baseline!$D$4:$AZ$91))</f>
        <v>Practitioner</v>
      </c>
      <c r="E2518" s="16" t="s">
        <v>383</v>
      </c>
      <c r="F2518" s="16">
        <v>0</v>
      </c>
      <c r="G2518" s="16">
        <v>99</v>
      </c>
      <c r="H2518" s="16">
        <f t="shared" si="39"/>
        <v>99</v>
      </c>
      <c r="I2518" s="13">
        <v>99</v>
      </c>
    </row>
    <row r="2519" spans="1:9">
      <c r="A2519" s="16" t="s">
        <v>25</v>
      </c>
      <c r="B2519" s="16" t="s">
        <v>77</v>
      </c>
      <c r="C2519" s="16" t="str">
        <f>VLOOKUP([1]Competence!$B65,[1]Competence!$B$12:$B$100,1,FALSE)</f>
        <v>High Performance Computing</v>
      </c>
      <c r="D2519" s="13" t="str" cm="1">
        <f t="array" ref="D2519">_xlfn.XLOOKUP(B2519,[1]Baseline!$D$3:$AZ$3,_xlfn.XLOOKUP(C2519,[1]Baseline!$B$4:$B$91,[1]Baseline!$D$4:$AZ$91))</f>
        <v>Expert</v>
      </c>
      <c r="E2519" s="16" t="s">
        <v>240</v>
      </c>
      <c r="F2519" s="16">
        <v>0</v>
      </c>
      <c r="G2519" s="16">
        <v>99</v>
      </c>
      <c r="H2519" s="16">
        <f t="shared" si="39"/>
        <v>99</v>
      </c>
      <c r="I2519" s="13">
        <v>99</v>
      </c>
    </row>
    <row r="2520" spans="1:9">
      <c r="A2520" s="16" t="s">
        <v>25</v>
      </c>
      <c r="B2520" s="16" t="s">
        <v>77</v>
      </c>
      <c r="C2520" s="16" t="str">
        <f>VLOOKUP([1]Competence!$B66,[1]Competence!$B$12:$B$100,1,FALSE)</f>
        <v>Research Computing</v>
      </c>
      <c r="D2520" s="13" t="str" cm="1">
        <f t="array" ref="D2520">_xlfn.XLOOKUP(B2520,[1]Baseline!$D$3:$AZ$3,_xlfn.XLOOKUP(C2520,[1]Baseline!$B$4:$B$91,[1]Baseline!$D$4:$AZ$91))</f>
        <v>Expert</v>
      </c>
      <c r="E2520" s="16" t="s">
        <v>243</v>
      </c>
      <c r="F2520" s="16">
        <v>0</v>
      </c>
      <c r="G2520" s="16">
        <v>99</v>
      </c>
      <c r="H2520" s="16">
        <f t="shared" si="39"/>
        <v>99</v>
      </c>
      <c r="I2520" s="13">
        <v>99</v>
      </c>
    </row>
    <row r="2521" spans="1:9">
      <c r="A2521" s="16" t="s">
        <v>25</v>
      </c>
      <c r="B2521" s="16" t="s">
        <v>77</v>
      </c>
      <c r="C2521" s="16" t="str">
        <f>VLOOKUP([1]Competence!$B67,[1]Competence!$B$12:$B$100,1,FALSE)</f>
        <v>Information assurance</v>
      </c>
      <c r="D2521" s="13" t="str" cm="1">
        <f t="array" ref="D2521">_xlfn.XLOOKUP(B2521,[1]Baseline!$D$3:$AZ$3,_xlfn.XLOOKUP(C2521,[1]Baseline!$B$4:$B$91,[1]Baseline!$D$4:$AZ$91))</f>
        <v>Practitioner</v>
      </c>
      <c r="E2521" s="16" t="s">
        <v>246</v>
      </c>
      <c r="F2521" s="16">
        <v>0</v>
      </c>
      <c r="G2521" s="16">
        <v>99</v>
      </c>
      <c r="H2521" s="16">
        <f t="shared" si="39"/>
        <v>99</v>
      </c>
      <c r="I2521" s="13">
        <v>99</v>
      </c>
    </row>
    <row r="2522" spans="1:9">
      <c r="A2522" s="16" t="s">
        <v>25</v>
      </c>
      <c r="B2522" s="16" t="s">
        <v>77</v>
      </c>
      <c r="C2522" s="16" t="str">
        <f>VLOOKUP([1]Competence!$B68,[1]Competence!$B$12:$B$100,1,FALSE)</f>
        <v>Information management</v>
      </c>
      <c r="D2522" s="13" t="str" cm="1">
        <f t="array" ref="D2522">_xlfn.XLOOKUP(B2522,[1]Baseline!$D$3:$AZ$3,_xlfn.XLOOKUP(C2522,[1]Baseline!$B$4:$B$91,[1]Baseline!$D$4:$AZ$91))</f>
        <v>Practitioner</v>
      </c>
      <c r="E2522" s="16" t="s">
        <v>249</v>
      </c>
      <c r="F2522" s="16">
        <v>0</v>
      </c>
      <c r="G2522" s="16">
        <v>99</v>
      </c>
      <c r="H2522" s="16">
        <f t="shared" si="39"/>
        <v>99</v>
      </c>
      <c r="I2522" s="13">
        <v>99</v>
      </c>
    </row>
    <row r="2523" spans="1:9">
      <c r="A2523" s="16" t="s">
        <v>25</v>
      </c>
      <c r="B2523" s="16" t="s">
        <v>77</v>
      </c>
      <c r="C2523" s="16" t="str">
        <f>VLOOKUP([1]Competence!$B69,[1]Competence!$B$12:$B$100,1,FALSE)</f>
        <v>Infrastructure</v>
      </c>
      <c r="D2523" s="13" t="str" cm="1">
        <f t="array" ref="D2523">_xlfn.XLOOKUP(B2523,[1]Baseline!$D$3:$AZ$3,_xlfn.XLOOKUP(C2523,[1]Baseline!$B$4:$B$91,[1]Baseline!$D$4:$AZ$91))</f>
        <v>Expert</v>
      </c>
      <c r="E2523" s="16" t="s">
        <v>252</v>
      </c>
      <c r="F2523" s="16">
        <v>0</v>
      </c>
      <c r="G2523" s="16">
        <v>99</v>
      </c>
      <c r="H2523" s="16">
        <f t="shared" si="39"/>
        <v>99</v>
      </c>
      <c r="I2523" s="13">
        <v>99</v>
      </c>
    </row>
    <row r="2524" spans="1:9">
      <c r="A2524" s="16" t="s">
        <v>25</v>
      </c>
      <c r="B2524" s="16" t="s">
        <v>77</v>
      </c>
      <c r="C2524" s="16" t="str">
        <f>VLOOKUP([1]Competence!$B70,[1]Competence!$B$12:$B$100,1,FALSE)</f>
        <v>Network design</v>
      </c>
      <c r="D2524" s="13" t="str" cm="1">
        <f t="array" ref="D2524">_xlfn.XLOOKUP(B2524,[1]Baseline!$D$3:$AZ$3,_xlfn.XLOOKUP(C2524,[1]Baseline!$B$4:$B$91,[1]Baseline!$D$4:$AZ$91))</f>
        <v>Awareness</v>
      </c>
      <c r="E2524" s="16" t="s">
        <v>255</v>
      </c>
      <c r="F2524" s="16">
        <v>0</v>
      </c>
      <c r="G2524" s="16">
        <v>99</v>
      </c>
      <c r="H2524" s="16">
        <f t="shared" si="39"/>
        <v>99</v>
      </c>
      <c r="I2524" s="13">
        <v>99</v>
      </c>
    </row>
    <row r="2525" spans="1:9">
      <c r="A2525" s="16" t="s">
        <v>25</v>
      </c>
      <c r="B2525" s="16" t="s">
        <v>77</v>
      </c>
      <c r="C2525" s="16" t="str">
        <f>VLOOKUP([1]Competence!$B71,[1]Competence!$B$12:$B$100,1,FALSE)</f>
        <v>Network Analytics</v>
      </c>
      <c r="D2525" s="13" t="str" cm="1">
        <f t="array" ref="D2525">_xlfn.XLOOKUP(B2525,[1]Baseline!$D$3:$AZ$3,_xlfn.XLOOKUP(C2525,[1]Baseline!$B$4:$B$91,[1]Baseline!$D$4:$AZ$91))</f>
        <v>No Knowledge</v>
      </c>
      <c r="E2525" s="16" t="s">
        <v>258</v>
      </c>
      <c r="F2525" s="16">
        <v>0</v>
      </c>
      <c r="G2525" s="16">
        <v>99</v>
      </c>
      <c r="H2525" s="16">
        <f t="shared" si="39"/>
        <v>99</v>
      </c>
      <c r="I2525" s="13">
        <v>99</v>
      </c>
    </row>
    <row r="2526" spans="1:9">
      <c r="A2526" s="16" t="s">
        <v>25</v>
      </c>
      <c r="B2526" s="16" t="s">
        <v>77</v>
      </c>
      <c r="C2526" s="16" t="str">
        <f>VLOOKUP([1]Competence!$B72,[1]Competence!$B$12:$B$100,1,FALSE)</f>
        <v>Network support</v>
      </c>
      <c r="D2526" s="13" t="str" cm="1">
        <f t="array" ref="D2526">_xlfn.XLOOKUP(B2526,[1]Baseline!$D$3:$AZ$3,_xlfn.XLOOKUP(C2526,[1]Baseline!$B$4:$B$91,[1]Baseline!$D$4:$AZ$91))</f>
        <v>Awareness</v>
      </c>
      <c r="E2526" s="16" t="s">
        <v>326</v>
      </c>
      <c r="F2526" s="16">
        <v>0</v>
      </c>
      <c r="G2526" s="16">
        <v>99</v>
      </c>
      <c r="H2526" s="16">
        <f t="shared" si="39"/>
        <v>99</v>
      </c>
      <c r="I2526" s="13">
        <v>99</v>
      </c>
    </row>
    <row r="2527" spans="1:9">
      <c r="A2527" s="16" t="s">
        <v>25</v>
      </c>
      <c r="B2527" s="16" t="s">
        <v>77</v>
      </c>
      <c r="C2527" s="16" t="str">
        <f>VLOOKUP([1]Competence!$B73,[1]Competence!$B$12:$B$100,1,FALSE)</f>
        <v>Programming/software development</v>
      </c>
      <c r="D2527" s="13" t="str" cm="1">
        <f t="array" ref="D2527">_xlfn.XLOOKUP(B2527,[1]Baseline!$D$3:$AZ$3,_xlfn.XLOOKUP(C2527,[1]Baseline!$B$4:$B$91,[1]Baseline!$D$4:$AZ$91))</f>
        <v>Working</v>
      </c>
      <c r="E2527" s="16" t="s">
        <v>261</v>
      </c>
      <c r="F2527" s="16">
        <v>0</v>
      </c>
      <c r="G2527" s="16">
        <v>99</v>
      </c>
      <c r="H2527" s="16">
        <f t="shared" si="39"/>
        <v>99</v>
      </c>
      <c r="I2527" s="13">
        <v>99</v>
      </c>
    </row>
    <row r="2528" spans="1:9">
      <c r="A2528" s="16" t="s">
        <v>25</v>
      </c>
      <c r="B2528" s="16" t="s">
        <v>77</v>
      </c>
      <c r="C2528" s="16" t="str">
        <f>VLOOKUP([1]Competence!$B74,[1]Competence!$B$12:$B$100,1,FALSE)</f>
        <v>Real-time/embedded systems development</v>
      </c>
      <c r="D2528" s="13" t="str" cm="1">
        <f t="array" ref="D2528">_xlfn.XLOOKUP(B2528,[1]Baseline!$D$3:$AZ$3,_xlfn.XLOOKUP(C2528,[1]Baseline!$B$4:$B$91,[1]Baseline!$D$4:$AZ$91))</f>
        <v>No Knowledge</v>
      </c>
      <c r="E2528" s="16" t="s">
        <v>264</v>
      </c>
      <c r="F2528" s="16">
        <v>1</v>
      </c>
      <c r="G2528" s="16">
        <v>99</v>
      </c>
      <c r="H2528" s="16">
        <f t="shared" si="39"/>
        <v>98</v>
      </c>
      <c r="I2528" s="13">
        <v>99</v>
      </c>
    </row>
    <row r="2529" spans="1:9">
      <c r="A2529" s="16" t="s">
        <v>25</v>
      </c>
      <c r="B2529" s="16" t="s">
        <v>77</v>
      </c>
      <c r="C2529" s="16" t="str">
        <f>VLOOKUP([1]Competence!$B75,[1]Competence!$B$12:$B$100,1,FALSE)</f>
        <v>Requirements definition and management</v>
      </c>
      <c r="D2529" s="13" t="str" cm="1">
        <f t="array" ref="D2529">_xlfn.XLOOKUP(B2529,[1]Baseline!$D$3:$AZ$3,_xlfn.XLOOKUP(C2529,[1]Baseline!$B$4:$B$91,[1]Baseline!$D$4:$AZ$91))</f>
        <v>No Knowledge</v>
      </c>
      <c r="E2529" s="16" t="s">
        <v>267</v>
      </c>
      <c r="F2529" s="16">
        <v>2</v>
      </c>
      <c r="G2529" s="16">
        <v>99</v>
      </c>
      <c r="H2529" s="16">
        <f t="shared" si="39"/>
        <v>97</v>
      </c>
      <c r="I2529" s="13">
        <v>99</v>
      </c>
    </row>
    <row r="2530" spans="1:9">
      <c r="A2530" s="16" t="s">
        <v>25</v>
      </c>
      <c r="B2530" s="16" t="s">
        <v>77</v>
      </c>
      <c r="C2530" s="16" t="str">
        <f>VLOOKUP([1]Competence!$B76,[1]Competence!$B$12:$B$100,1,FALSE)</f>
        <v>Software configuration</v>
      </c>
      <c r="D2530" s="13" t="str" cm="1">
        <f t="array" ref="D2530">_xlfn.XLOOKUP(B2530,[1]Baseline!$D$3:$AZ$3,_xlfn.XLOOKUP(C2530,[1]Baseline!$B$4:$B$91,[1]Baseline!$D$4:$AZ$91))</f>
        <v>No Knowledge</v>
      </c>
      <c r="E2530" s="16" t="s">
        <v>270</v>
      </c>
      <c r="F2530" s="16">
        <v>1</v>
      </c>
      <c r="G2530" s="16">
        <v>99</v>
      </c>
      <c r="H2530" s="16">
        <f t="shared" si="39"/>
        <v>98</v>
      </c>
      <c r="I2530" s="13">
        <v>99</v>
      </c>
    </row>
    <row r="2531" spans="1:9">
      <c r="A2531" s="16" t="s">
        <v>25</v>
      </c>
      <c r="B2531" s="16" t="s">
        <v>77</v>
      </c>
      <c r="C2531" s="16" t="str">
        <f>VLOOKUP([1]Competence!$B77,[1]Competence!$B$12:$B$100,1,FALSE)</f>
        <v>Software design</v>
      </c>
      <c r="D2531" s="13" t="str" cm="1">
        <f t="array" ref="D2531">_xlfn.XLOOKUP(B2531,[1]Baseline!$D$3:$AZ$3,_xlfn.XLOOKUP(C2531,[1]Baseline!$B$4:$B$91,[1]Baseline!$D$4:$AZ$91))</f>
        <v>No Knowledge</v>
      </c>
      <c r="E2531" s="16" t="s">
        <v>50</v>
      </c>
      <c r="F2531" s="16">
        <v>1</v>
      </c>
      <c r="G2531" s="16">
        <v>99</v>
      </c>
      <c r="H2531" s="16">
        <f t="shared" si="39"/>
        <v>98</v>
      </c>
      <c r="I2531" s="13">
        <v>99</v>
      </c>
    </row>
    <row r="2532" spans="1:9">
      <c r="A2532" s="16" t="s">
        <v>25</v>
      </c>
      <c r="B2532" s="16" t="s">
        <v>77</v>
      </c>
      <c r="C2532" s="16" t="str">
        <f>VLOOKUP([1]Competence!$B78,[1]Competence!$B$12:$B$100,1,FALSE)</f>
        <v>Solution architecture</v>
      </c>
      <c r="D2532" s="13" t="str" cm="1">
        <f t="array" ref="D2532">_xlfn.XLOOKUP(B2532,[1]Baseline!$D$3:$AZ$3,_xlfn.XLOOKUP(C2532,[1]Baseline!$B$4:$B$91,[1]Baseline!$D$4:$AZ$91))</f>
        <v>Working</v>
      </c>
      <c r="E2532" s="16" t="s">
        <v>320</v>
      </c>
      <c r="F2532" s="16">
        <v>0</v>
      </c>
      <c r="G2532" s="16">
        <v>99</v>
      </c>
      <c r="H2532" s="16">
        <f t="shared" si="39"/>
        <v>99</v>
      </c>
      <c r="I2532" s="13">
        <v>99</v>
      </c>
    </row>
    <row r="2533" spans="1:9">
      <c r="A2533" s="16" t="s">
        <v>25</v>
      </c>
      <c r="B2533" s="16" t="s">
        <v>77</v>
      </c>
      <c r="C2533" s="16" t="str">
        <f>VLOOKUP([1]Competence!$B79,[1]Competence!$B$12:$B$100,1,FALSE)</f>
        <v>System software</v>
      </c>
      <c r="D2533" s="13" t="str" cm="1">
        <f t="array" ref="D2533">_xlfn.XLOOKUP(B2533,[1]Baseline!$D$3:$AZ$3,_xlfn.XLOOKUP(C2533,[1]Baseline!$B$4:$B$91,[1]Baseline!$D$4:$AZ$91))</f>
        <v>No Knowledge</v>
      </c>
      <c r="E2533" s="16" t="s">
        <v>278</v>
      </c>
      <c r="F2533" s="16">
        <v>0</v>
      </c>
      <c r="G2533" s="16">
        <v>99</v>
      </c>
      <c r="H2533" s="16">
        <f t="shared" si="39"/>
        <v>99</v>
      </c>
      <c r="I2533" s="13">
        <v>99</v>
      </c>
    </row>
    <row r="2534" spans="1:9">
      <c r="A2534" s="16" t="s">
        <v>25</v>
      </c>
      <c r="B2534" s="16" t="s">
        <v>77</v>
      </c>
      <c r="C2534" s="16" t="str">
        <f>VLOOKUP([1]Competence!$B80,[1]Competence!$B$12:$B$100,1,FALSE)</f>
        <v>Systems and software life cycle engineering</v>
      </c>
      <c r="D2534" s="13" t="str" cm="1">
        <f t="array" ref="D2534">_xlfn.XLOOKUP(B2534,[1]Baseline!$D$3:$AZ$3,_xlfn.XLOOKUP(C2534,[1]Baseline!$B$4:$B$91,[1]Baseline!$D$4:$AZ$91))</f>
        <v>Working</v>
      </c>
      <c r="E2534" s="16" t="s">
        <v>275</v>
      </c>
      <c r="F2534" s="16">
        <v>0</v>
      </c>
      <c r="G2534" s="16">
        <v>99</v>
      </c>
      <c r="H2534" s="16">
        <f t="shared" si="39"/>
        <v>99</v>
      </c>
      <c r="I2534" s="13">
        <v>99</v>
      </c>
    </row>
    <row r="2535" spans="1:9">
      <c r="A2535" s="16" t="s">
        <v>25</v>
      </c>
      <c r="B2535" s="16" t="s">
        <v>77</v>
      </c>
      <c r="C2535" s="16" t="str">
        <f>VLOOKUP([1]Competence!$B81,[1]Competence!$B$12:$B$100,1,FALSE)</f>
        <v>Systems design</v>
      </c>
      <c r="D2535" s="13" t="str" cm="1">
        <f t="array" ref="D2535">_xlfn.XLOOKUP(B2535,[1]Baseline!$D$3:$AZ$3,_xlfn.XLOOKUP(C2535,[1]Baseline!$B$4:$B$91,[1]Baseline!$D$4:$AZ$91))</f>
        <v>No Knowledge</v>
      </c>
      <c r="E2535" s="16" t="s">
        <v>281</v>
      </c>
      <c r="F2535" s="16">
        <v>2</v>
      </c>
      <c r="G2535" s="16">
        <v>99</v>
      </c>
      <c r="H2535" s="16">
        <f t="shared" si="39"/>
        <v>97</v>
      </c>
      <c r="I2535" s="13">
        <v>99</v>
      </c>
    </row>
    <row r="2536" spans="1:9">
      <c r="A2536" s="16" t="s">
        <v>25</v>
      </c>
      <c r="B2536" s="16" t="s">
        <v>77</v>
      </c>
      <c r="C2536" s="16" t="str">
        <f>VLOOKUP([1]Competence!$B82,[1]Competence!$B$12:$B$100,1,FALSE)</f>
        <v>Systems development management</v>
      </c>
      <c r="D2536" s="13" t="str" cm="1">
        <f t="array" ref="D2536">_xlfn.XLOOKUP(B2536,[1]Baseline!$D$3:$AZ$3,_xlfn.XLOOKUP(C2536,[1]Baseline!$B$4:$B$91,[1]Baseline!$D$4:$AZ$91))</f>
        <v>No Knowledge</v>
      </c>
      <c r="E2536" s="16" t="s">
        <v>284</v>
      </c>
      <c r="F2536" s="16">
        <v>0</v>
      </c>
      <c r="G2536" s="16">
        <v>99</v>
      </c>
      <c r="H2536" s="16">
        <f t="shared" si="39"/>
        <v>99</v>
      </c>
      <c r="I2536" s="13">
        <v>99</v>
      </c>
    </row>
    <row r="2537" spans="1:9">
      <c r="A2537" s="16" t="s">
        <v>25</v>
      </c>
      <c r="B2537" s="16" t="s">
        <v>77</v>
      </c>
      <c r="C2537" s="16" t="str">
        <f>VLOOKUP([1]Competence!$B83,[1]Competence!$B$12:$B$100,1,FALSE)</f>
        <v>Systems installation and removal</v>
      </c>
      <c r="D2537" s="13" t="str" cm="1">
        <f t="array" ref="D2537">_xlfn.XLOOKUP(B2537,[1]Baseline!$D$3:$AZ$3,_xlfn.XLOOKUP(C2537,[1]Baseline!$B$4:$B$91,[1]Baseline!$D$4:$AZ$91))</f>
        <v>Working</v>
      </c>
      <c r="E2537" s="16" t="s">
        <v>287</v>
      </c>
      <c r="F2537" s="16">
        <v>0</v>
      </c>
      <c r="G2537" s="16">
        <v>99</v>
      </c>
      <c r="H2537" s="16">
        <f t="shared" si="39"/>
        <v>99</v>
      </c>
      <c r="I2537" s="13">
        <v>99</v>
      </c>
    </row>
    <row r="2538" spans="1:9">
      <c r="A2538" s="16" t="s">
        <v>25</v>
      </c>
      <c r="B2538" s="16" t="s">
        <v>77</v>
      </c>
      <c r="C2538" s="16" t="str">
        <f>VLOOKUP([1]Competence!$B84,[1]Competence!$B$12:$B$100,1,FALSE)</f>
        <v>Testing</v>
      </c>
      <c r="D2538" s="13" t="str" cm="1">
        <f t="array" ref="D2538">_xlfn.XLOOKUP(B2538,[1]Baseline!$D$3:$AZ$3,_xlfn.XLOOKUP(C2538,[1]Baseline!$B$4:$B$91,[1]Baseline!$D$4:$AZ$91))</f>
        <v>Working</v>
      </c>
      <c r="E2538" s="16" t="s">
        <v>290</v>
      </c>
      <c r="F2538" s="16">
        <v>0</v>
      </c>
      <c r="G2538" s="16">
        <v>99</v>
      </c>
      <c r="H2538" s="16">
        <f t="shared" si="39"/>
        <v>99</v>
      </c>
      <c r="I2538" s="13">
        <v>99</v>
      </c>
    </row>
    <row r="2539" spans="1:9">
      <c r="A2539" s="16" t="s">
        <v>25</v>
      </c>
      <c r="B2539" s="16" t="s">
        <v>77</v>
      </c>
      <c r="C2539" s="16" t="str">
        <f>VLOOKUP([1]Competence!$B85,[1]Competence!$B$12:$B$100,1,FALSE)</f>
        <v>Innovation</v>
      </c>
      <c r="D2539" s="13" t="str" cm="1">
        <f t="array" ref="D2539">_xlfn.XLOOKUP(B2539,[1]Baseline!$D$3:$AZ$3,_xlfn.XLOOKUP(C2539,[1]Baseline!$B$4:$B$91,[1]Baseline!$D$4:$AZ$91))</f>
        <v>Working</v>
      </c>
      <c r="E2539" s="16" t="s">
        <v>51</v>
      </c>
      <c r="F2539" s="16">
        <v>1</v>
      </c>
      <c r="G2539" s="16">
        <v>99</v>
      </c>
      <c r="H2539" s="16">
        <f t="shared" si="39"/>
        <v>98</v>
      </c>
      <c r="I2539" s="13">
        <v>99</v>
      </c>
    </row>
    <row r="2540" spans="1:9">
      <c r="A2540" s="16" t="s">
        <v>25</v>
      </c>
      <c r="B2540" s="16" t="s">
        <v>77</v>
      </c>
      <c r="C2540" s="16" t="str">
        <f>VLOOKUP([1]Competence!$B86,[1]Competence!$B$12:$B$100,1,FALSE)</f>
        <v>Specialist Advice</v>
      </c>
      <c r="D2540" s="13" t="str" cm="1">
        <f t="array" ref="D2540">_xlfn.XLOOKUP(B2540,[1]Baseline!$D$3:$AZ$3,_xlfn.XLOOKUP(C2540,[1]Baseline!$B$4:$B$91,[1]Baseline!$D$4:$AZ$91))</f>
        <v>Practitioner</v>
      </c>
      <c r="E2540" s="16" t="s">
        <v>293</v>
      </c>
      <c r="F2540" s="16">
        <v>0</v>
      </c>
      <c r="G2540" s="16">
        <v>99</v>
      </c>
      <c r="H2540" s="16">
        <f t="shared" si="39"/>
        <v>99</v>
      </c>
      <c r="I2540" s="13">
        <v>99</v>
      </c>
    </row>
    <row r="2541" spans="1:9">
      <c r="A2541" s="16" t="s">
        <v>25</v>
      </c>
      <c r="B2541" s="16" t="s">
        <v>77</v>
      </c>
      <c r="C2541" s="16" t="str">
        <f>VLOOKUP([1]Competence!$B87,[1]Competence!$B$12:$B$100,1,FALSE)</f>
        <v>Emerging technology monitoring</v>
      </c>
      <c r="D2541" s="13" t="str" cm="1">
        <f t="array" ref="D2541">_xlfn.XLOOKUP(B2541,[1]Baseline!$D$3:$AZ$3,_xlfn.XLOOKUP(C2541,[1]Baseline!$B$4:$B$91,[1]Baseline!$D$4:$AZ$91))</f>
        <v>Working</v>
      </c>
      <c r="E2541" s="16" t="s">
        <v>296</v>
      </c>
      <c r="F2541" s="16">
        <v>0</v>
      </c>
      <c r="G2541" s="16">
        <v>99</v>
      </c>
      <c r="H2541" s="16">
        <f t="shared" si="39"/>
        <v>99</v>
      </c>
      <c r="I2541" s="13">
        <v>99</v>
      </c>
    </row>
    <row r="2542" spans="1:9">
      <c r="A2542" s="16" t="s">
        <v>25</v>
      </c>
      <c r="B2542" s="16" t="s">
        <v>77</v>
      </c>
      <c r="C2542" s="16" t="str">
        <f>VLOOKUP([1]Competence!$B88,[1]Competence!$B$12:$B$100,1,FALSE)</f>
        <v>Systems integration and build</v>
      </c>
      <c r="D2542" s="13" t="str" cm="1">
        <f t="array" ref="D2542">_xlfn.XLOOKUP(B2542,[1]Baseline!$D$3:$AZ$3,_xlfn.XLOOKUP(C2542,[1]Baseline!$B$4:$B$91,[1]Baseline!$D$4:$AZ$91))</f>
        <v>Practitioner</v>
      </c>
      <c r="E2542" s="16" t="s">
        <v>299</v>
      </c>
      <c r="F2542" s="16">
        <v>0</v>
      </c>
      <c r="G2542" s="16">
        <v>99</v>
      </c>
      <c r="H2542" s="16">
        <f t="shared" si="39"/>
        <v>99</v>
      </c>
      <c r="I2542" s="13">
        <v>99</v>
      </c>
    </row>
    <row r="2543" spans="1:9">
      <c r="A2543" s="16" t="s">
        <v>25</v>
      </c>
      <c r="B2543" s="16" t="s">
        <v>77</v>
      </c>
      <c r="C2543" s="16" t="str">
        <f>VLOOKUP([1]Competence!$B89,[1]Competence!$B$12:$B$100,1,FALSE)</f>
        <v>Audio Visual</v>
      </c>
      <c r="D2543" s="13" t="str" cm="1">
        <f t="array" ref="D2543">_xlfn.XLOOKUP(B2543,[1]Baseline!$D$3:$AZ$3,_xlfn.XLOOKUP(C2543,[1]Baseline!$B$4:$B$91,[1]Baseline!$D$4:$AZ$91))</f>
        <v>No Knowledge</v>
      </c>
      <c r="E2543" s="16" t="s">
        <v>323</v>
      </c>
      <c r="F2543" s="16">
        <v>0</v>
      </c>
      <c r="G2543" s="16">
        <v>99</v>
      </c>
      <c r="H2543" s="16">
        <f t="shared" si="39"/>
        <v>99</v>
      </c>
      <c r="I2543" s="13">
        <v>99</v>
      </c>
    </row>
    <row r="2544" spans="1:9">
      <c r="A2544" s="16" t="s">
        <v>25</v>
      </c>
      <c r="B2544" s="16" t="s">
        <v>77</v>
      </c>
      <c r="C2544" s="16" t="str">
        <f>VLOOKUP([1]Competence!$B90,[1]Competence!$B$12:$B$100,1,FALSE)</f>
        <v>Augmented Reality</v>
      </c>
      <c r="D2544" s="13" t="str" cm="1">
        <f t="array" ref="D2544">_xlfn.XLOOKUP(B2544,[1]Baseline!$D$3:$AZ$3,_xlfn.XLOOKUP(C2544,[1]Baseline!$B$4:$B$91,[1]Baseline!$D$4:$AZ$91))</f>
        <v>Practitioner</v>
      </c>
      <c r="E2544" s="16" t="s">
        <v>302</v>
      </c>
      <c r="F2544" s="16">
        <v>0</v>
      </c>
      <c r="G2544" s="16">
        <v>99</v>
      </c>
      <c r="H2544" s="16">
        <f t="shared" si="39"/>
        <v>99</v>
      </c>
      <c r="I2544" s="13">
        <v>99</v>
      </c>
    </row>
    <row r="2545" spans="1:9">
      <c r="A2545" s="16" t="s">
        <v>25</v>
      </c>
      <c r="B2545" s="16" t="s">
        <v>77</v>
      </c>
      <c r="C2545" s="16" t="str">
        <f>VLOOKUP([1]Competence!$B91,[1]Competence!$B$12:$B$100,1,FALSE)</f>
        <v>Benefits management</v>
      </c>
      <c r="D2545" s="13" t="str" cm="1">
        <f t="array" ref="D2545">_xlfn.XLOOKUP(B2545,[1]Baseline!$D$3:$AZ$3,_xlfn.XLOOKUP(C2545,[1]Baseline!$B$4:$B$91,[1]Baseline!$D$4:$AZ$91))</f>
        <v>Practitioner</v>
      </c>
      <c r="E2545" s="16" t="s">
        <v>305</v>
      </c>
      <c r="F2545" s="16">
        <v>0</v>
      </c>
      <c r="G2545" s="16">
        <v>99</v>
      </c>
      <c r="H2545" s="16">
        <f t="shared" si="39"/>
        <v>99</v>
      </c>
      <c r="I2545" s="13">
        <v>99</v>
      </c>
    </row>
    <row r="2546" spans="1:9">
      <c r="A2546" s="16" t="s">
        <v>25</v>
      </c>
      <c r="B2546" s="16" t="s">
        <v>77</v>
      </c>
      <c r="C2546" s="16" t="str">
        <f>VLOOKUP([1]Competence!$B92,[1]Competence!$B$12:$B$100,1,FALSE)</f>
        <v>Business administration</v>
      </c>
      <c r="D2546" s="13" t="str" cm="1">
        <f t="array" ref="D2546">_xlfn.XLOOKUP(B2546,[1]Baseline!$D$3:$AZ$3,_xlfn.XLOOKUP(C2546,[1]Baseline!$B$4:$B$91,[1]Baseline!$D$4:$AZ$91))</f>
        <v>Awareness</v>
      </c>
      <c r="E2546" s="16" t="s">
        <v>308</v>
      </c>
      <c r="F2546" s="16">
        <v>0</v>
      </c>
      <c r="G2546" s="16">
        <v>99</v>
      </c>
      <c r="H2546" s="16">
        <f t="shared" si="39"/>
        <v>99</v>
      </c>
      <c r="I2546" s="13">
        <v>99</v>
      </c>
    </row>
    <row r="2547" spans="1:9">
      <c r="A2547" s="16" t="s">
        <v>25</v>
      </c>
      <c r="B2547" s="16" t="s">
        <v>77</v>
      </c>
      <c r="C2547" s="16" t="str">
        <f>VLOOKUP([1]Competence!$B93,[1]Competence!$B$12:$B$100,1,FALSE)</f>
        <v>Business intelligence</v>
      </c>
      <c r="D2547" s="13" t="str" cm="1">
        <f t="array" ref="D2547">_xlfn.XLOOKUP(B2547,[1]Baseline!$D$3:$AZ$3,_xlfn.XLOOKUP(C2547,[1]Baseline!$B$4:$B$91,[1]Baseline!$D$4:$AZ$91))</f>
        <v>No Knowledge</v>
      </c>
      <c r="E2547" s="16" t="s">
        <v>311</v>
      </c>
      <c r="F2547" s="16">
        <v>0</v>
      </c>
      <c r="G2547" s="16">
        <v>99</v>
      </c>
      <c r="H2547" s="16">
        <f t="shared" si="39"/>
        <v>99</v>
      </c>
      <c r="I2547" s="13">
        <v>99</v>
      </c>
    </row>
    <row r="2548" spans="1:9">
      <c r="A2548" s="16" t="s">
        <v>25</v>
      </c>
      <c r="B2548" s="16" t="s">
        <v>77</v>
      </c>
      <c r="C2548" s="16" t="str">
        <f>VLOOKUP([1]Competence!$B94,[1]Competence!$B$12:$B$100,1,FALSE)</f>
        <v>Business modelling</v>
      </c>
      <c r="D2548" s="13" t="str" cm="1">
        <f t="array" ref="D2548">_xlfn.XLOOKUP(B2548,[1]Baseline!$D$3:$AZ$3,_xlfn.XLOOKUP(C2548,[1]Baseline!$B$4:$B$91,[1]Baseline!$D$4:$AZ$91))</f>
        <v>No Knowledge</v>
      </c>
      <c r="E2548" s="16" t="s">
        <v>314</v>
      </c>
      <c r="F2548" s="16">
        <v>2</v>
      </c>
      <c r="G2548" s="16">
        <v>99</v>
      </c>
      <c r="H2548" s="16">
        <f t="shared" si="39"/>
        <v>97</v>
      </c>
      <c r="I2548" s="13">
        <v>99</v>
      </c>
    </row>
    <row r="2549" spans="1:9">
      <c r="A2549" s="16" t="s">
        <v>25</v>
      </c>
      <c r="B2549" s="16" t="s">
        <v>77</v>
      </c>
      <c r="C2549" s="16" t="str">
        <f>VLOOKUP([1]Competence!$B95,[1]Competence!$B$12:$B$100,1,FALSE)</f>
        <v>Business process improvement</v>
      </c>
      <c r="D2549" s="13" t="str" cm="1">
        <f t="array" ref="D2549">_xlfn.XLOOKUP(B2549,[1]Baseline!$D$3:$AZ$3,_xlfn.XLOOKUP(C2549,[1]Baseline!$B$4:$B$91,[1]Baseline!$D$4:$AZ$91))</f>
        <v>Working</v>
      </c>
      <c r="E2549" s="16" t="s">
        <v>328</v>
      </c>
      <c r="F2549" s="16">
        <v>2</v>
      </c>
      <c r="G2549" s="16">
        <v>99</v>
      </c>
      <c r="H2549" s="16">
        <f t="shared" si="39"/>
        <v>97</v>
      </c>
      <c r="I2549" s="13">
        <v>99</v>
      </c>
    </row>
    <row r="2550" spans="1:9">
      <c r="A2550" s="16" t="s">
        <v>25</v>
      </c>
      <c r="B2550" s="16" t="s">
        <v>77</v>
      </c>
      <c r="C2550" s="16" t="str">
        <f>VLOOKUP([1]Competence!$B96,[1]Competence!$B$12:$B$100,1,FALSE)</f>
        <v>Business situation analysis</v>
      </c>
      <c r="D2550" s="13" t="str" cm="1">
        <f t="array" ref="D2550">_xlfn.XLOOKUP(B2550,[1]Baseline!$D$3:$AZ$3,_xlfn.XLOOKUP(C2550,[1]Baseline!$B$4:$B$91,[1]Baseline!$D$4:$AZ$91))</f>
        <v>Working</v>
      </c>
      <c r="E2550" s="16" t="s">
        <v>317</v>
      </c>
      <c r="F2550" s="16">
        <v>2</v>
      </c>
      <c r="G2550" s="16">
        <v>99</v>
      </c>
      <c r="H2550" s="16">
        <f t="shared" si="39"/>
        <v>97</v>
      </c>
      <c r="I2550" s="13">
        <v>99</v>
      </c>
    </row>
    <row r="2551" spans="1:9">
      <c r="A2551" s="16" t="s">
        <v>25</v>
      </c>
      <c r="B2551" s="16" t="s">
        <v>77</v>
      </c>
      <c r="C2551" s="16" t="str">
        <f>VLOOKUP([1]Competence!$B97,[1]Competence!$B$12:$B$100,1,FALSE)</f>
        <v>Programme management</v>
      </c>
      <c r="D2551" s="13" t="str" cm="1">
        <f t="array" ref="D2551">_xlfn.XLOOKUP(B2551,[1]Baseline!$D$3:$AZ$3,_xlfn.XLOOKUP(C2551,[1]Baseline!$B$4:$B$91,[1]Baseline!$D$4:$AZ$91))</f>
        <v>No Knowledge</v>
      </c>
      <c r="E2551" s="16" t="s">
        <v>352</v>
      </c>
      <c r="F2551" s="16">
        <v>0</v>
      </c>
      <c r="G2551" s="16">
        <v>99</v>
      </c>
      <c r="H2551" s="16">
        <f t="shared" si="39"/>
        <v>99</v>
      </c>
      <c r="I2551" s="13">
        <v>99</v>
      </c>
    </row>
    <row r="2552" spans="1:9">
      <c r="A2552" s="16" t="s">
        <v>25</v>
      </c>
      <c r="B2552" s="16" t="s">
        <v>77</v>
      </c>
      <c r="C2552" s="16" t="str">
        <f>VLOOKUP([1]Competence!$B98,[1]Competence!$B$12:$B$100,1,FALSE)</f>
        <v>Project management</v>
      </c>
      <c r="D2552" s="13" t="str" cm="1">
        <f t="array" ref="D2552">_xlfn.XLOOKUP(B2552,[1]Baseline!$D$3:$AZ$3,_xlfn.XLOOKUP(C2552,[1]Baseline!$B$4:$B$91,[1]Baseline!$D$4:$AZ$91))</f>
        <v>Working</v>
      </c>
      <c r="E2552" s="16" t="s">
        <v>355</v>
      </c>
      <c r="F2552" s="16">
        <v>0</v>
      </c>
      <c r="G2552" s="16">
        <v>99</v>
      </c>
      <c r="H2552" s="16">
        <f t="shared" si="39"/>
        <v>99</v>
      </c>
      <c r="I2552" s="13">
        <v>99</v>
      </c>
    </row>
    <row r="2553" spans="1:9">
      <c r="A2553" s="16" t="s">
        <v>25</v>
      </c>
      <c r="B2553" s="16" t="s">
        <v>77</v>
      </c>
      <c r="C2553" s="16" t="str">
        <f>VLOOKUP([1]Competence!$B99,[1]Competence!$B$12:$B$100,1,FALSE)</f>
        <v>Quality assurance</v>
      </c>
      <c r="D2553" s="13" t="str" cm="1">
        <f t="array" ref="D2553">_xlfn.XLOOKUP(B2553,[1]Baseline!$D$3:$AZ$3,_xlfn.XLOOKUP(C2553,[1]Baseline!$B$4:$B$91,[1]Baseline!$D$4:$AZ$91))</f>
        <v>Practitioner</v>
      </c>
      <c r="E2553" s="16" t="s">
        <v>358</v>
      </c>
      <c r="F2553" s="16">
        <v>1</v>
      </c>
      <c r="G2553" s="16">
        <v>99</v>
      </c>
      <c r="H2553" s="16">
        <f t="shared" si="39"/>
        <v>98</v>
      </c>
      <c r="I2553" s="13">
        <v>99</v>
      </c>
    </row>
    <row r="2554" spans="1:9">
      <c r="A2554" s="16" t="s">
        <v>28</v>
      </c>
      <c r="B2554" s="16" t="s">
        <v>88</v>
      </c>
      <c r="C2554" s="16" t="s">
        <v>334</v>
      </c>
      <c r="D2554" s="13" t="str" cm="1">
        <f t="array" ref="D2554">_xlfn.XLOOKUP(B2554,[1]Baseline!$D$3:$AZ$3,_xlfn.XLOOKUP(C2554,[1]Baseline!$B$4:$B$91,[1]Baseline!$D$4:$AZ$91))</f>
        <v>No Knowledge</v>
      </c>
      <c r="E2554" s="16" t="s">
        <v>334</v>
      </c>
      <c r="F2554" s="16">
        <v>0</v>
      </c>
      <c r="G2554" s="16">
        <v>99</v>
      </c>
      <c r="H2554" s="16">
        <f t="shared" si="39"/>
        <v>99</v>
      </c>
      <c r="I2554" s="13">
        <v>99</v>
      </c>
    </row>
    <row r="2555" spans="1:9">
      <c r="A2555" s="16" t="s">
        <v>28</v>
      </c>
      <c r="B2555" s="16" t="s">
        <v>88</v>
      </c>
      <c r="C2555" s="16" t="s">
        <v>337</v>
      </c>
      <c r="D2555" s="13" t="str" cm="1">
        <f t="array" ref="D2555">_xlfn.XLOOKUP(B2555,[1]Baseline!$D$3:$AZ$3,_xlfn.XLOOKUP(C2555,[1]Baseline!$B$4:$B$91,[1]Baseline!$D$4:$AZ$91))</f>
        <v>No Knowledge</v>
      </c>
      <c r="E2555" s="16" t="s">
        <v>337</v>
      </c>
      <c r="F2555" s="16">
        <v>0</v>
      </c>
      <c r="G2555" s="16">
        <v>99</v>
      </c>
      <c r="H2555" s="16">
        <f t="shared" si="39"/>
        <v>99</v>
      </c>
      <c r="I2555" s="13">
        <v>99</v>
      </c>
    </row>
    <row r="2556" spans="1:9">
      <c r="A2556" s="16" t="s">
        <v>28</v>
      </c>
      <c r="B2556" s="16" t="s">
        <v>88</v>
      </c>
      <c r="C2556" s="16" t="s">
        <v>340</v>
      </c>
      <c r="D2556" s="13" t="str" cm="1">
        <f t="array" ref="D2556">_xlfn.XLOOKUP(B2556,[1]Baseline!$D$3:$AZ$3,_xlfn.XLOOKUP(C2556,[1]Baseline!$B$4:$B$91,[1]Baseline!$D$4:$AZ$91))</f>
        <v>No Knowledge</v>
      </c>
      <c r="E2556" s="16" t="s">
        <v>340</v>
      </c>
      <c r="F2556" s="16">
        <v>0</v>
      </c>
      <c r="G2556" s="16">
        <v>99</v>
      </c>
      <c r="H2556" s="16">
        <f t="shared" si="39"/>
        <v>99</v>
      </c>
      <c r="I2556" s="13">
        <v>99</v>
      </c>
    </row>
    <row r="2557" spans="1:9">
      <c r="A2557" s="16" t="s">
        <v>28</v>
      </c>
      <c r="B2557" s="16" t="s">
        <v>88</v>
      </c>
      <c r="C2557" s="16" t="s">
        <v>343</v>
      </c>
      <c r="D2557" s="13" t="str" cm="1">
        <f t="array" ref="D2557">_xlfn.XLOOKUP(B2557,[1]Baseline!$D$3:$AZ$3,_xlfn.XLOOKUP(C2557,[1]Baseline!$B$4:$B$91,[1]Baseline!$D$4:$AZ$91))</f>
        <v>No Knowledge</v>
      </c>
      <c r="E2557" s="16" t="s">
        <v>343</v>
      </c>
      <c r="F2557" s="16">
        <v>0</v>
      </c>
      <c r="G2557" s="16">
        <v>99</v>
      </c>
      <c r="H2557" s="16">
        <f t="shared" si="39"/>
        <v>99</v>
      </c>
      <c r="I2557" s="13">
        <v>99</v>
      </c>
    </row>
    <row r="2558" spans="1:9">
      <c r="A2558" s="16" t="s">
        <v>28</v>
      </c>
      <c r="B2558" s="16" t="s">
        <v>88</v>
      </c>
      <c r="C2558" s="16" t="s">
        <v>346</v>
      </c>
      <c r="D2558" s="13" t="str" cm="1">
        <f t="array" ref="D2558">_xlfn.XLOOKUP(B2558,[1]Baseline!$D$3:$AZ$3,_xlfn.XLOOKUP(C2558,[1]Baseline!$B$4:$B$91,[1]Baseline!$D$4:$AZ$91))</f>
        <v>No Knowledge</v>
      </c>
      <c r="E2558" s="16" t="s">
        <v>346</v>
      </c>
      <c r="F2558" s="16">
        <v>0</v>
      </c>
      <c r="G2558" s="16">
        <v>99</v>
      </c>
      <c r="H2558" s="16">
        <f t="shared" si="39"/>
        <v>99</v>
      </c>
      <c r="I2558" s="13">
        <v>99</v>
      </c>
    </row>
    <row r="2559" spans="1:9">
      <c r="A2559" s="16" t="s">
        <v>28</v>
      </c>
      <c r="B2559" s="16" t="s">
        <v>88</v>
      </c>
      <c r="C2559" s="16" t="s">
        <v>349</v>
      </c>
      <c r="D2559" s="13" t="str" cm="1">
        <f t="array" ref="D2559">_xlfn.XLOOKUP(B2559,[1]Baseline!$D$3:$AZ$3,_xlfn.XLOOKUP(C2559,[1]Baseline!$B$4:$B$91,[1]Baseline!$D$4:$AZ$91))</f>
        <v>No Knowledge</v>
      </c>
      <c r="E2559" s="16" t="s">
        <v>349</v>
      </c>
      <c r="F2559" s="16">
        <v>0</v>
      </c>
      <c r="G2559" s="16">
        <v>99</v>
      </c>
      <c r="H2559" s="16">
        <f t="shared" si="39"/>
        <v>99</v>
      </c>
      <c r="I2559" s="13">
        <v>99</v>
      </c>
    </row>
    <row r="2560" spans="1:9">
      <c r="A2560" s="16" t="s">
        <v>28</v>
      </c>
      <c r="B2560" s="16" t="s">
        <v>88</v>
      </c>
      <c r="C2560" s="16" t="s">
        <v>106</v>
      </c>
      <c r="D2560" s="13" t="str" cm="1">
        <f t="array" ref="D2560">_xlfn.XLOOKUP(B2560,[1]Baseline!$D$3:$AZ$3,_xlfn.XLOOKUP(C2560,[1]Baseline!$B$4:$B$91,[1]Baseline!$D$4:$AZ$91))</f>
        <v>Practitioner</v>
      </c>
      <c r="E2560" s="16" t="s">
        <v>106</v>
      </c>
      <c r="F2560" s="16">
        <v>2</v>
      </c>
      <c r="G2560" s="16">
        <v>99</v>
      </c>
      <c r="H2560" s="16">
        <f t="shared" si="39"/>
        <v>97</v>
      </c>
      <c r="I2560" s="13">
        <v>99</v>
      </c>
    </row>
    <row r="2561" spans="1:9">
      <c r="A2561" s="16" t="s">
        <v>28</v>
      </c>
      <c r="B2561" s="16" t="s">
        <v>88</v>
      </c>
      <c r="C2561" s="16" t="s">
        <v>109</v>
      </c>
      <c r="D2561" s="13" t="str" cm="1">
        <f t="array" ref="D2561">_xlfn.XLOOKUP(B2561,[1]Baseline!$D$3:$AZ$3,_xlfn.XLOOKUP(C2561,[1]Baseline!$B$4:$B$91,[1]Baseline!$D$4:$AZ$91))</f>
        <v>Working</v>
      </c>
      <c r="E2561" s="16" t="s">
        <v>109</v>
      </c>
      <c r="F2561" s="16">
        <v>2</v>
      </c>
      <c r="G2561" s="16">
        <v>99</v>
      </c>
      <c r="H2561" s="16">
        <f t="shared" si="39"/>
        <v>97</v>
      </c>
      <c r="I2561" s="13">
        <v>99</v>
      </c>
    </row>
    <row r="2562" spans="1:9">
      <c r="A2562" s="16" t="s">
        <v>28</v>
      </c>
      <c r="B2562" s="16" t="s">
        <v>88</v>
      </c>
      <c r="C2562" s="16" t="s">
        <v>112</v>
      </c>
      <c r="D2562" s="13" t="str" cm="1">
        <f t="array" ref="D2562">_xlfn.XLOOKUP(B2562,[1]Baseline!$D$3:$AZ$3,_xlfn.XLOOKUP(C2562,[1]Baseline!$B$4:$B$91,[1]Baseline!$D$4:$AZ$91))</f>
        <v>Practitioner</v>
      </c>
      <c r="E2562" s="16" t="s">
        <v>112</v>
      </c>
      <c r="F2562" s="16">
        <v>3</v>
      </c>
      <c r="G2562" s="16">
        <v>99</v>
      </c>
      <c r="H2562" s="16">
        <f t="shared" ref="H2562:H2625" si="40">I2562-F2562</f>
        <v>96</v>
      </c>
      <c r="I2562" s="13">
        <v>99</v>
      </c>
    </row>
    <row r="2563" spans="1:9">
      <c r="A2563" s="16" t="s">
        <v>28</v>
      </c>
      <c r="B2563" s="16" t="s">
        <v>88</v>
      </c>
      <c r="C2563" s="16" t="s">
        <v>115</v>
      </c>
      <c r="D2563" s="13" t="str" cm="1">
        <f t="array" ref="D2563">_xlfn.XLOOKUP(B2563,[1]Baseline!$D$3:$AZ$3,_xlfn.XLOOKUP(C2563,[1]Baseline!$B$4:$B$91,[1]Baseline!$D$4:$AZ$91))</f>
        <v>Practitioner</v>
      </c>
      <c r="E2563" s="16" t="s">
        <v>115</v>
      </c>
      <c r="F2563" s="16">
        <v>2</v>
      </c>
      <c r="G2563" s="16">
        <v>99</v>
      </c>
      <c r="H2563" s="16">
        <f t="shared" si="40"/>
        <v>97</v>
      </c>
      <c r="I2563" s="13">
        <v>99</v>
      </c>
    </row>
    <row r="2564" spans="1:9">
      <c r="A2564" s="16" t="s">
        <v>28</v>
      </c>
      <c r="B2564" s="16" t="s">
        <v>88</v>
      </c>
      <c r="C2564" s="16" t="s">
        <v>118</v>
      </c>
      <c r="D2564" s="13" t="str" cm="1">
        <f t="array" ref="D2564">_xlfn.XLOOKUP(B2564,[1]Baseline!$D$3:$AZ$3,_xlfn.XLOOKUP(C2564,[1]Baseline!$B$4:$B$91,[1]Baseline!$D$4:$AZ$91))</f>
        <v>Working</v>
      </c>
      <c r="E2564" s="16" t="s">
        <v>118</v>
      </c>
      <c r="F2564" s="16">
        <v>2</v>
      </c>
      <c r="G2564" s="16">
        <v>99</v>
      </c>
      <c r="H2564" s="16">
        <f t="shared" si="40"/>
        <v>97</v>
      </c>
      <c r="I2564" s="13">
        <v>99</v>
      </c>
    </row>
    <row r="2565" spans="1:9">
      <c r="A2565" s="16" t="s">
        <v>28</v>
      </c>
      <c r="B2565" s="16" t="s">
        <v>88</v>
      </c>
      <c r="C2565" s="16" t="s">
        <v>121</v>
      </c>
      <c r="D2565" s="13" t="str" cm="1">
        <f t="array" ref="D2565">_xlfn.XLOOKUP(B2565,[1]Baseline!$D$3:$AZ$3,_xlfn.XLOOKUP(C2565,[1]Baseline!$B$4:$B$91,[1]Baseline!$D$4:$AZ$91))</f>
        <v>Practitioner</v>
      </c>
      <c r="E2565" s="16" t="s">
        <v>121</v>
      </c>
      <c r="F2565" s="16">
        <v>3</v>
      </c>
      <c r="G2565" s="16">
        <v>99</v>
      </c>
      <c r="H2565" s="16">
        <f t="shared" si="40"/>
        <v>96</v>
      </c>
      <c r="I2565" s="13">
        <v>99</v>
      </c>
    </row>
    <row r="2566" spans="1:9">
      <c r="A2566" s="16" t="s">
        <v>28</v>
      </c>
      <c r="B2566" s="16" t="s">
        <v>88</v>
      </c>
      <c r="C2566" s="16" t="s">
        <v>124</v>
      </c>
      <c r="D2566" s="13" t="str" cm="1">
        <f t="array" ref="D2566">_xlfn.XLOOKUP(B2566,[1]Baseline!$D$3:$AZ$3,_xlfn.XLOOKUP(C2566,[1]Baseline!$B$4:$B$91,[1]Baseline!$D$4:$AZ$91))</f>
        <v>Working</v>
      </c>
      <c r="E2566" s="16" t="s">
        <v>124</v>
      </c>
      <c r="F2566" s="16">
        <v>2</v>
      </c>
      <c r="G2566" s="16">
        <v>99</v>
      </c>
      <c r="H2566" s="16">
        <f t="shared" si="40"/>
        <v>97</v>
      </c>
      <c r="I2566" s="13">
        <v>99</v>
      </c>
    </row>
    <row r="2567" spans="1:9">
      <c r="A2567" s="16" t="s">
        <v>28</v>
      </c>
      <c r="B2567" s="16" t="s">
        <v>88</v>
      </c>
      <c r="C2567" s="16" t="s">
        <v>127</v>
      </c>
      <c r="D2567" s="13" t="str" cm="1">
        <f t="array" ref="D2567">_xlfn.XLOOKUP(B2567,[1]Baseline!$D$3:$AZ$3,_xlfn.XLOOKUP(C2567,[1]Baseline!$B$4:$B$91,[1]Baseline!$D$4:$AZ$91))</f>
        <v>Working</v>
      </c>
      <c r="E2567" s="16" t="s">
        <v>127</v>
      </c>
      <c r="F2567" s="16">
        <v>2</v>
      </c>
      <c r="G2567" s="16">
        <v>99</v>
      </c>
      <c r="H2567" s="16">
        <f t="shared" si="40"/>
        <v>97</v>
      </c>
      <c r="I2567" s="13">
        <v>99</v>
      </c>
    </row>
    <row r="2568" spans="1:9">
      <c r="A2568" s="16" t="s">
        <v>28</v>
      </c>
      <c r="B2568" s="16" t="s">
        <v>88</v>
      </c>
      <c r="C2568" s="16" t="s">
        <v>130</v>
      </c>
      <c r="D2568" s="13" t="str" cm="1">
        <f t="array" ref="D2568">_xlfn.XLOOKUP(B2568,[1]Baseline!$D$3:$AZ$3,_xlfn.XLOOKUP(C2568,[1]Baseline!$B$4:$B$91,[1]Baseline!$D$4:$AZ$91))</f>
        <v>Working</v>
      </c>
      <c r="E2568" s="16" t="s">
        <v>130</v>
      </c>
      <c r="F2568" s="16">
        <v>2</v>
      </c>
      <c r="G2568" s="16">
        <v>99</v>
      </c>
      <c r="H2568" s="16">
        <f t="shared" si="40"/>
        <v>97</v>
      </c>
      <c r="I2568" s="13">
        <v>99</v>
      </c>
    </row>
    <row r="2569" spans="1:9">
      <c r="A2569" s="16" t="s">
        <v>28</v>
      </c>
      <c r="B2569" s="16" t="s">
        <v>88</v>
      </c>
      <c r="C2569" s="16" t="s">
        <v>211</v>
      </c>
      <c r="D2569" s="13" t="str" cm="1">
        <f t="array" ref="D2569">_xlfn.XLOOKUP(B2569,[1]Baseline!$D$3:$AZ$3,_xlfn.XLOOKUP(C2569,[1]Baseline!$B$4:$B$91,[1]Baseline!$D$4:$AZ$91))</f>
        <v>Working</v>
      </c>
      <c r="E2569" s="16" t="s">
        <v>211</v>
      </c>
      <c r="F2569" s="16">
        <v>1</v>
      </c>
      <c r="G2569" s="16">
        <v>99</v>
      </c>
      <c r="H2569" s="16">
        <f t="shared" si="40"/>
        <v>98</v>
      </c>
      <c r="I2569" s="13">
        <v>99</v>
      </c>
    </row>
    <row r="2570" spans="1:9">
      <c r="A2570" s="16" t="s">
        <v>28</v>
      </c>
      <c r="B2570" s="16" t="s">
        <v>88</v>
      </c>
      <c r="C2570" s="16" t="s">
        <v>214</v>
      </c>
      <c r="D2570" s="13" t="str" cm="1">
        <f t="array" ref="D2570">_xlfn.XLOOKUP(B2570,[1]Baseline!$D$3:$AZ$3,_xlfn.XLOOKUP(C2570,[1]Baseline!$B$4:$B$91,[1]Baseline!$D$4:$AZ$91))</f>
        <v>Working</v>
      </c>
      <c r="E2570" s="16" t="s">
        <v>214</v>
      </c>
      <c r="F2570" s="16">
        <v>0</v>
      </c>
      <c r="G2570" s="16">
        <v>99</v>
      </c>
      <c r="H2570" s="16">
        <f t="shared" si="40"/>
        <v>99</v>
      </c>
      <c r="I2570" s="13">
        <v>99</v>
      </c>
    </row>
    <row r="2571" spans="1:9">
      <c r="A2571" s="16" t="s">
        <v>28</v>
      </c>
      <c r="B2571" s="16" t="s">
        <v>88</v>
      </c>
      <c r="C2571" s="16" t="s">
        <v>217</v>
      </c>
      <c r="D2571" s="13" t="str" cm="1">
        <f t="array" ref="D2571">_xlfn.XLOOKUP(B2571,[1]Baseline!$D$3:$AZ$3,_xlfn.XLOOKUP(C2571,[1]Baseline!$B$4:$B$91,[1]Baseline!$D$4:$AZ$91))</f>
        <v>No Knowledge</v>
      </c>
      <c r="E2571" s="16" t="s">
        <v>217</v>
      </c>
      <c r="F2571" s="16">
        <v>0</v>
      </c>
      <c r="G2571" s="16">
        <v>99</v>
      </c>
      <c r="H2571" s="16">
        <f t="shared" si="40"/>
        <v>99</v>
      </c>
      <c r="I2571" s="13">
        <v>99</v>
      </c>
    </row>
    <row r="2572" spans="1:9">
      <c r="A2572" s="16" t="s">
        <v>28</v>
      </c>
      <c r="B2572" s="16" t="s">
        <v>88</v>
      </c>
      <c r="C2572" s="16" t="s">
        <v>49</v>
      </c>
      <c r="D2572" s="13" t="str" cm="1">
        <f t="array" ref="D2572">_xlfn.XLOOKUP(B2572,[1]Baseline!$D$3:$AZ$3,_xlfn.XLOOKUP(C2572,[1]Baseline!$B$4:$B$91,[1]Baseline!$D$4:$AZ$91))</f>
        <v>Practitioner</v>
      </c>
      <c r="E2572" s="16" t="s">
        <v>49</v>
      </c>
      <c r="F2572" s="16">
        <v>1</v>
      </c>
      <c r="G2572" s="16">
        <v>99</v>
      </c>
      <c r="H2572" s="16">
        <f t="shared" si="40"/>
        <v>98</v>
      </c>
      <c r="I2572" s="13">
        <v>99</v>
      </c>
    </row>
    <row r="2573" spans="1:9">
      <c r="A2573" s="16" t="s">
        <v>28</v>
      </c>
      <c r="B2573" s="16" t="s">
        <v>88</v>
      </c>
      <c r="C2573" s="16" t="s">
        <v>222</v>
      </c>
      <c r="D2573" s="13" t="str" cm="1">
        <f t="array" ref="D2573">_xlfn.XLOOKUP(B2573,[1]Baseline!$D$3:$AZ$3,_xlfn.XLOOKUP(C2573,[1]Baseline!$B$4:$B$91,[1]Baseline!$D$4:$AZ$91))</f>
        <v>Working</v>
      </c>
      <c r="E2573" s="16" t="s">
        <v>222</v>
      </c>
      <c r="F2573" s="16">
        <v>0</v>
      </c>
      <c r="G2573" s="16">
        <v>99</v>
      </c>
      <c r="H2573" s="16">
        <f t="shared" si="40"/>
        <v>99</v>
      </c>
      <c r="I2573" s="13">
        <v>99</v>
      </c>
    </row>
    <row r="2574" spans="1:9">
      <c r="A2574" s="16" t="s">
        <v>28</v>
      </c>
      <c r="B2574" s="16" t="s">
        <v>88</v>
      </c>
      <c r="C2574" s="16" t="s">
        <v>225</v>
      </c>
      <c r="D2574" s="13" t="str" cm="1">
        <f t="array" ref="D2574">_xlfn.XLOOKUP(B2574,[1]Baseline!$D$3:$AZ$3,_xlfn.XLOOKUP(C2574,[1]Baseline!$B$4:$B$91,[1]Baseline!$D$4:$AZ$91))</f>
        <v>Working</v>
      </c>
      <c r="E2574" s="16" t="s">
        <v>225</v>
      </c>
      <c r="F2574" s="16">
        <v>1</v>
      </c>
      <c r="G2574" s="16">
        <v>99</v>
      </c>
      <c r="H2574" s="16">
        <f t="shared" si="40"/>
        <v>98</v>
      </c>
      <c r="I2574" s="13">
        <v>99</v>
      </c>
    </row>
    <row r="2575" spans="1:9">
      <c r="A2575" s="16" t="s">
        <v>28</v>
      </c>
      <c r="B2575" s="16" t="s">
        <v>88</v>
      </c>
      <c r="C2575" s="16" t="s">
        <v>228</v>
      </c>
      <c r="D2575" s="13" t="str" cm="1">
        <f t="array" ref="D2575">_xlfn.XLOOKUP(B2575,[1]Baseline!$D$3:$AZ$3,_xlfn.XLOOKUP(C2575,[1]Baseline!$B$4:$B$91,[1]Baseline!$D$4:$AZ$91))</f>
        <v>Practitioner</v>
      </c>
      <c r="E2575" s="16" t="s">
        <v>228</v>
      </c>
      <c r="F2575" s="16">
        <v>1</v>
      </c>
      <c r="G2575" s="16">
        <v>99</v>
      </c>
      <c r="H2575" s="16">
        <f t="shared" si="40"/>
        <v>98</v>
      </c>
      <c r="I2575" s="13">
        <v>99</v>
      </c>
    </row>
    <row r="2576" spans="1:9">
      <c r="A2576" s="16" t="s">
        <v>28</v>
      </c>
      <c r="B2576" s="16" t="s">
        <v>88</v>
      </c>
      <c r="C2576" s="16" t="s">
        <v>231</v>
      </c>
      <c r="D2576" s="13" t="str" cm="1">
        <f t="array" ref="D2576">_xlfn.XLOOKUP(B2576,[1]Baseline!$D$3:$AZ$3,_xlfn.XLOOKUP(C2576,[1]Baseline!$B$4:$B$91,[1]Baseline!$D$4:$AZ$91))</f>
        <v>Awareness</v>
      </c>
      <c r="E2576" s="16" t="s">
        <v>231</v>
      </c>
      <c r="F2576" s="16">
        <v>1</v>
      </c>
      <c r="G2576" s="16">
        <v>99</v>
      </c>
      <c r="H2576" s="16">
        <f t="shared" si="40"/>
        <v>98</v>
      </c>
      <c r="I2576" s="13">
        <v>99</v>
      </c>
    </row>
    <row r="2577" spans="1:9">
      <c r="A2577" s="16" t="s">
        <v>28</v>
      </c>
      <c r="B2577" s="16" t="s">
        <v>88</v>
      </c>
      <c r="C2577" s="16" t="s">
        <v>185</v>
      </c>
      <c r="D2577" s="13" t="str" cm="1">
        <f t="array" ref="D2577">_xlfn.XLOOKUP(B2577,[1]Baseline!$D$3:$AZ$3,_xlfn.XLOOKUP(C2577,[1]Baseline!$B$4:$B$91,[1]Baseline!$D$4:$AZ$91))</f>
        <v>Awareness</v>
      </c>
      <c r="E2577" s="16" t="s">
        <v>185</v>
      </c>
      <c r="F2577" s="16">
        <v>1</v>
      </c>
      <c r="G2577" s="16">
        <v>99</v>
      </c>
      <c r="H2577" s="16">
        <f t="shared" si="40"/>
        <v>98</v>
      </c>
      <c r="I2577" s="13">
        <v>99</v>
      </c>
    </row>
    <row r="2578" spans="1:9">
      <c r="A2578" s="16" t="s">
        <v>28</v>
      </c>
      <c r="B2578" s="16" t="s">
        <v>88</v>
      </c>
      <c r="C2578" s="16" t="s">
        <v>188</v>
      </c>
      <c r="D2578" s="13" t="str" cm="1">
        <f t="array" ref="D2578">_xlfn.XLOOKUP(B2578,[1]Baseline!$D$3:$AZ$3,_xlfn.XLOOKUP(C2578,[1]Baseline!$B$4:$B$91,[1]Baseline!$D$4:$AZ$91))</f>
        <v>Working</v>
      </c>
      <c r="E2578" s="16" t="s">
        <v>188</v>
      </c>
      <c r="F2578" s="16">
        <v>1</v>
      </c>
      <c r="G2578" s="16">
        <v>99</v>
      </c>
      <c r="H2578" s="16">
        <f t="shared" si="40"/>
        <v>98</v>
      </c>
      <c r="I2578" s="13">
        <v>99</v>
      </c>
    </row>
    <row r="2579" spans="1:9">
      <c r="A2579" s="16" t="s">
        <v>28</v>
      </c>
      <c r="B2579" s="16" t="s">
        <v>88</v>
      </c>
      <c r="C2579" s="16" t="s">
        <v>191</v>
      </c>
      <c r="D2579" s="13" t="str" cm="1">
        <f t="array" ref="D2579">_xlfn.XLOOKUP(B2579,[1]Baseline!$D$3:$AZ$3,_xlfn.XLOOKUP(C2579,[1]Baseline!$B$4:$B$91,[1]Baseline!$D$4:$AZ$91))</f>
        <v>No Knowledge</v>
      </c>
      <c r="E2579" s="16" t="s">
        <v>191</v>
      </c>
      <c r="F2579" s="16">
        <v>0</v>
      </c>
      <c r="G2579" s="16">
        <v>99</v>
      </c>
      <c r="H2579" s="16">
        <f t="shared" si="40"/>
        <v>99</v>
      </c>
      <c r="I2579" s="13">
        <v>99</v>
      </c>
    </row>
    <row r="2580" spans="1:9">
      <c r="A2580" s="16" t="s">
        <v>28</v>
      </c>
      <c r="B2580" s="16" t="s">
        <v>88</v>
      </c>
      <c r="C2580" s="16" t="s">
        <v>194</v>
      </c>
      <c r="D2580" s="13" t="str" cm="1">
        <f t="array" ref="D2580">_xlfn.XLOOKUP(B2580,[1]Baseline!$D$3:$AZ$3,_xlfn.XLOOKUP(C2580,[1]Baseline!$B$4:$B$91,[1]Baseline!$D$4:$AZ$91))</f>
        <v>No Knowledge</v>
      </c>
      <c r="E2580" s="16" t="s">
        <v>194</v>
      </c>
      <c r="F2580" s="16">
        <v>0</v>
      </c>
      <c r="G2580" s="16">
        <v>99</v>
      </c>
      <c r="H2580" s="16">
        <f t="shared" si="40"/>
        <v>99</v>
      </c>
      <c r="I2580" s="13">
        <v>99</v>
      </c>
    </row>
    <row r="2581" spans="1:9">
      <c r="A2581" s="16" t="s">
        <v>28</v>
      </c>
      <c r="B2581" s="16" t="s">
        <v>88</v>
      </c>
      <c r="C2581" s="16" t="s">
        <v>197</v>
      </c>
      <c r="D2581" s="13" t="str" cm="1">
        <f t="array" ref="D2581">_xlfn.XLOOKUP(B2581,[1]Baseline!$D$3:$AZ$3,_xlfn.XLOOKUP(C2581,[1]Baseline!$B$4:$B$91,[1]Baseline!$D$4:$AZ$91))</f>
        <v>No Knowledge</v>
      </c>
      <c r="E2581" s="16" t="s">
        <v>197</v>
      </c>
      <c r="F2581" s="16">
        <v>0</v>
      </c>
      <c r="G2581" s="16">
        <v>99</v>
      </c>
      <c r="H2581" s="16">
        <f t="shared" si="40"/>
        <v>99</v>
      </c>
      <c r="I2581" s="13">
        <v>99</v>
      </c>
    </row>
    <row r="2582" spans="1:9">
      <c r="A2582" s="16" t="s">
        <v>28</v>
      </c>
      <c r="B2582" s="16" t="s">
        <v>88</v>
      </c>
      <c r="C2582" s="16" t="s">
        <v>200</v>
      </c>
      <c r="D2582" s="13" t="str" cm="1">
        <f t="array" ref="D2582">_xlfn.XLOOKUP(B2582,[1]Baseline!$D$3:$AZ$3,_xlfn.XLOOKUP(C2582,[1]Baseline!$B$4:$B$91,[1]Baseline!$D$4:$AZ$91))</f>
        <v>No Knowledge</v>
      </c>
      <c r="E2582" s="16" t="s">
        <v>200</v>
      </c>
      <c r="F2582" s="16">
        <v>0</v>
      </c>
      <c r="G2582" s="16">
        <v>99</v>
      </c>
      <c r="H2582" s="16">
        <f t="shared" si="40"/>
        <v>99</v>
      </c>
      <c r="I2582" s="13">
        <v>99</v>
      </c>
    </row>
    <row r="2583" spans="1:9">
      <c r="A2583" s="16" t="s">
        <v>28</v>
      </c>
      <c r="B2583" s="16" t="s">
        <v>88</v>
      </c>
      <c r="C2583" s="16" t="s">
        <v>203</v>
      </c>
      <c r="D2583" s="13" t="str" cm="1">
        <f t="array" ref="D2583">_xlfn.XLOOKUP(B2583,[1]Baseline!$D$3:$AZ$3,_xlfn.XLOOKUP(C2583,[1]Baseline!$B$4:$B$91,[1]Baseline!$D$4:$AZ$91))</f>
        <v>Awareness</v>
      </c>
      <c r="E2583" s="16" t="s">
        <v>203</v>
      </c>
      <c r="F2583" s="16">
        <v>1</v>
      </c>
      <c r="G2583" s="16">
        <v>99</v>
      </c>
      <c r="H2583" s="16">
        <f t="shared" si="40"/>
        <v>98</v>
      </c>
      <c r="I2583" s="13">
        <v>99</v>
      </c>
    </row>
    <row r="2584" spans="1:9">
      <c r="A2584" s="16" t="s">
        <v>28</v>
      </c>
      <c r="B2584" s="16" t="s">
        <v>88</v>
      </c>
      <c r="C2584" s="16" t="s">
        <v>206</v>
      </c>
      <c r="D2584" s="13" t="str" cm="1">
        <f t="array" ref="D2584">_xlfn.XLOOKUP(B2584,[1]Baseline!$D$3:$AZ$3,_xlfn.XLOOKUP(C2584,[1]Baseline!$B$4:$B$91,[1]Baseline!$D$4:$AZ$91))</f>
        <v>No Knowledge</v>
      </c>
      <c r="E2584" s="16" t="s">
        <v>206</v>
      </c>
      <c r="F2584" s="16">
        <v>0</v>
      </c>
      <c r="G2584" s="16">
        <v>99</v>
      </c>
      <c r="H2584" s="16">
        <f t="shared" si="40"/>
        <v>99</v>
      </c>
      <c r="I2584" s="13">
        <v>99</v>
      </c>
    </row>
    <row r="2585" spans="1:9">
      <c r="A2585" s="16" t="s">
        <v>28</v>
      </c>
      <c r="B2585" s="16" t="s">
        <v>88</v>
      </c>
      <c r="C2585" s="16" t="s">
        <v>208</v>
      </c>
      <c r="D2585" s="13" t="str" cm="1">
        <f t="array" ref="D2585">_xlfn.XLOOKUP(B2585,[1]Baseline!$D$3:$AZ$3,_xlfn.XLOOKUP(C2585,[1]Baseline!$B$4:$B$91,[1]Baseline!$D$4:$AZ$91))</f>
        <v>No Knowledge</v>
      </c>
      <c r="E2585" s="16" t="s">
        <v>208</v>
      </c>
      <c r="F2585" s="16">
        <v>0</v>
      </c>
      <c r="G2585" s="16">
        <v>99</v>
      </c>
      <c r="H2585" s="16">
        <f t="shared" si="40"/>
        <v>99</v>
      </c>
      <c r="I2585" s="13">
        <v>99</v>
      </c>
    </row>
    <row r="2586" spans="1:9">
      <c r="A2586" s="16" t="s">
        <v>28</v>
      </c>
      <c r="B2586" s="16" t="s">
        <v>88</v>
      </c>
      <c r="C2586" s="16" t="s">
        <v>167</v>
      </c>
      <c r="D2586" s="13" t="str" cm="1">
        <f t="array" ref="D2586">_xlfn.XLOOKUP(B2586,[1]Baseline!$D$3:$AZ$3,_xlfn.XLOOKUP(C2586,[1]Baseline!$B$4:$B$91,[1]Baseline!$D$4:$AZ$91))</f>
        <v>No Knowledge</v>
      </c>
      <c r="E2586" s="16" t="s">
        <v>167</v>
      </c>
      <c r="F2586" s="16">
        <v>0</v>
      </c>
      <c r="G2586" s="16">
        <v>99</v>
      </c>
      <c r="H2586" s="16">
        <f t="shared" si="40"/>
        <v>99</v>
      </c>
      <c r="I2586" s="13">
        <v>99</v>
      </c>
    </row>
    <row r="2587" spans="1:9">
      <c r="A2587" s="16" t="s">
        <v>28</v>
      </c>
      <c r="B2587" s="16" t="s">
        <v>88</v>
      </c>
      <c r="C2587" s="16" t="s">
        <v>170</v>
      </c>
      <c r="D2587" s="13" t="str" cm="1">
        <f t="array" ref="D2587">_xlfn.XLOOKUP(B2587,[1]Baseline!$D$3:$AZ$3,_xlfn.XLOOKUP(C2587,[1]Baseline!$B$4:$B$91,[1]Baseline!$D$4:$AZ$91))</f>
        <v>No Knowledge</v>
      </c>
      <c r="E2587" s="16" t="s">
        <v>170</v>
      </c>
      <c r="F2587" s="16">
        <v>0</v>
      </c>
      <c r="G2587" s="16">
        <v>99</v>
      </c>
      <c r="H2587" s="16">
        <f t="shared" si="40"/>
        <v>99</v>
      </c>
      <c r="I2587" s="13">
        <v>99</v>
      </c>
    </row>
    <row r="2588" spans="1:9">
      <c r="A2588" s="16" t="s">
        <v>28</v>
      </c>
      <c r="B2588" s="16" t="s">
        <v>88</v>
      </c>
      <c r="C2588" s="16" t="s">
        <v>173</v>
      </c>
      <c r="D2588" s="13" t="str" cm="1">
        <f t="array" ref="D2588">_xlfn.XLOOKUP(B2588,[1]Baseline!$D$3:$AZ$3,_xlfn.XLOOKUP(C2588,[1]Baseline!$B$4:$B$91,[1]Baseline!$D$4:$AZ$91))</f>
        <v>Working</v>
      </c>
      <c r="E2588" s="16" t="s">
        <v>173</v>
      </c>
      <c r="F2588" s="16">
        <v>2</v>
      </c>
      <c r="G2588" s="16">
        <v>99</v>
      </c>
      <c r="H2588" s="16">
        <f t="shared" si="40"/>
        <v>97</v>
      </c>
      <c r="I2588" s="13">
        <v>99</v>
      </c>
    </row>
    <row r="2589" spans="1:9">
      <c r="A2589" s="16" t="s">
        <v>28</v>
      </c>
      <c r="B2589" s="16" t="s">
        <v>88</v>
      </c>
      <c r="C2589" s="16" t="s">
        <v>176</v>
      </c>
      <c r="D2589" s="13" t="str" cm="1">
        <f t="array" ref="D2589">_xlfn.XLOOKUP(B2589,[1]Baseline!$D$3:$AZ$3,_xlfn.XLOOKUP(C2589,[1]Baseline!$B$4:$B$91,[1]Baseline!$D$4:$AZ$91))</f>
        <v>No Knowledge</v>
      </c>
      <c r="E2589" s="16" t="s">
        <v>176</v>
      </c>
      <c r="F2589" s="16">
        <v>0</v>
      </c>
      <c r="G2589" s="16">
        <v>99</v>
      </c>
      <c r="H2589" s="16">
        <f t="shared" si="40"/>
        <v>99</v>
      </c>
      <c r="I2589" s="13">
        <v>99</v>
      </c>
    </row>
    <row r="2590" spans="1:9">
      <c r="A2590" s="16" t="s">
        <v>28</v>
      </c>
      <c r="B2590" s="16" t="s">
        <v>88</v>
      </c>
      <c r="C2590" s="16" t="s">
        <v>179</v>
      </c>
      <c r="D2590" s="13" t="str" cm="1">
        <f t="array" ref="D2590">_xlfn.XLOOKUP(B2590,[1]Baseline!$D$3:$AZ$3,_xlfn.XLOOKUP(C2590,[1]Baseline!$B$4:$B$91,[1]Baseline!$D$4:$AZ$91))</f>
        <v>Working</v>
      </c>
      <c r="E2590" s="16" t="s">
        <v>179</v>
      </c>
      <c r="F2590" s="16">
        <v>2</v>
      </c>
      <c r="G2590" s="16">
        <v>99</v>
      </c>
      <c r="H2590" s="16">
        <f t="shared" si="40"/>
        <v>97</v>
      </c>
      <c r="I2590" s="13">
        <v>99</v>
      </c>
    </row>
    <row r="2591" spans="1:9">
      <c r="A2591" s="16" t="s">
        <v>28</v>
      </c>
      <c r="B2591" s="16" t="s">
        <v>88</v>
      </c>
      <c r="C2591" s="16" t="s">
        <v>182</v>
      </c>
      <c r="D2591" s="13" t="str" cm="1">
        <f t="array" ref="D2591">_xlfn.XLOOKUP(B2591,[1]Baseline!$D$3:$AZ$3,_xlfn.XLOOKUP(C2591,[1]Baseline!$B$4:$B$91,[1]Baseline!$D$4:$AZ$91))</f>
        <v>No Knowledge</v>
      </c>
      <c r="E2591" s="16" t="s">
        <v>182</v>
      </c>
      <c r="F2591" s="16">
        <v>0</v>
      </c>
      <c r="G2591" s="16">
        <v>99</v>
      </c>
      <c r="H2591" s="16">
        <f t="shared" si="40"/>
        <v>99</v>
      </c>
      <c r="I2591" s="13">
        <v>99</v>
      </c>
    </row>
    <row r="2592" spans="1:9">
      <c r="A2592" s="16" t="s">
        <v>28</v>
      </c>
      <c r="B2592" s="16" t="s">
        <v>88</v>
      </c>
      <c r="C2592" s="16" t="s">
        <v>133</v>
      </c>
      <c r="D2592" s="13" t="str" cm="1">
        <f t="array" ref="D2592">_xlfn.XLOOKUP(B2592,[1]Baseline!$D$3:$AZ$3,_xlfn.XLOOKUP(C2592,[1]Baseline!$B$4:$B$91,[1]Baseline!$D$4:$AZ$91))</f>
        <v>Awareness</v>
      </c>
      <c r="E2592" s="16" t="s">
        <v>133</v>
      </c>
      <c r="F2592" s="16">
        <v>1</v>
      </c>
      <c r="G2592" s="16">
        <v>99</v>
      </c>
      <c r="H2592" s="16">
        <f t="shared" si="40"/>
        <v>98</v>
      </c>
      <c r="I2592" s="13">
        <v>99</v>
      </c>
    </row>
    <row r="2593" spans="1:9">
      <c r="A2593" s="16" t="s">
        <v>28</v>
      </c>
      <c r="B2593" s="16" t="s">
        <v>88</v>
      </c>
      <c r="C2593" s="16" t="s">
        <v>136</v>
      </c>
      <c r="D2593" s="13" t="str" cm="1">
        <f t="array" ref="D2593">_xlfn.XLOOKUP(B2593,[1]Baseline!$D$3:$AZ$3,_xlfn.XLOOKUP(C2593,[1]Baseline!$B$4:$B$91,[1]Baseline!$D$4:$AZ$91))</f>
        <v>No Knowledge</v>
      </c>
      <c r="E2593" s="16" t="s">
        <v>136</v>
      </c>
      <c r="F2593" s="16">
        <v>0</v>
      </c>
      <c r="G2593" s="16">
        <v>99</v>
      </c>
      <c r="H2593" s="16">
        <f t="shared" si="40"/>
        <v>99</v>
      </c>
      <c r="I2593" s="13">
        <v>99</v>
      </c>
    </row>
    <row r="2594" spans="1:9">
      <c r="A2594" s="16" t="s">
        <v>28</v>
      </c>
      <c r="B2594" s="16" t="s">
        <v>88</v>
      </c>
      <c r="C2594" s="16" t="s">
        <v>139</v>
      </c>
      <c r="D2594" s="13" t="str" cm="1">
        <f t="array" ref="D2594">_xlfn.XLOOKUP(B2594,[1]Baseline!$D$3:$AZ$3,_xlfn.XLOOKUP(C2594,[1]Baseline!$B$4:$B$91,[1]Baseline!$D$4:$AZ$91))</f>
        <v>No Knowledge</v>
      </c>
      <c r="E2594" s="16" t="s">
        <v>139</v>
      </c>
      <c r="F2594" s="16">
        <v>1</v>
      </c>
      <c r="G2594" s="16">
        <v>99</v>
      </c>
      <c r="H2594" s="16">
        <f t="shared" si="40"/>
        <v>98</v>
      </c>
      <c r="I2594" s="13">
        <v>99</v>
      </c>
    </row>
    <row r="2595" spans="1:9">
      <c r="A2595" s="16" t="s">
        <v>28</v>
      </c>
      <c r="B2595" s="16" t="s">
        <v>88</v>
      </c>
      <c r="C2595" s="16" t="s">
        <v>142</v>
      </c>
      <c r="D2595" s="13" t="str" cm="1">
        <f t="array" ref="D2595">_xlfn.XLOOKUP(B2595,[1]Baseline!$D$3:$AZ$3,_xlfn.XLOOKUP(C2595,[1]Baseline!$B$4:$B$91,[1]Baseline!$D$4:$AZ$91))</f>
        <v>Awareness</v>
      </c>
      <c r="E2595" s="16" t="s">
        <v>142</v>
      </c>
      <c r="F2595" s="16">
        <v>1</v>
      </c>
      <c r="G2595" s="16">
        <v>99</v>
      </c>
      <c r="H2595" s="16">
        <f t="shared" si="40"/>
        <v>98</v>
      </c>
      <c r="I2595" s="13">
        <v>99</v>
      </c>
    </row>
    <row r="2596" spans="1:9">
      <c r="A2596" s="16" t="s">
        <v>28</v>
      </c>
      <c r="B2596" s="16" t="s">
        <v>88</v>
      </c>
      <c r="C2596" s="16" t="s">
        <v>145</v>
      </c>
      <c r="D2596" s="13" t="str" cm="1">
        <f t="array" ref="D2596">_xlfn.XLOOKUP(B2596,[1]Baseline!$D$3:$AZ$3,_xlfn.XLOOKUP(C2596,[1]Baseline!$B$4:$B$91,[1]Baseline!$D$4:$AZ$91))</f>
        <v>Working</v>
      </c>
      <c r="E2596" s="16" t="s">
        <v>145</v>
      </c>
      <c r="F2596" s="16">
        <v>1</v>
      </c>
      <c r="G2596" s="16">
        <v>99</v>
      </c>
      <c r="H2596" s="16">
        <f t="shared" si="40"/>
        <v>98</v>
      </c>
      <c r="I2596" s="13">
        <v>99</v>
      </c>
    </row>
    <row r="2597" spans="1:9">
      <c r="A2597" s="16" t="s">
        <v>28</v>
      </c>
      <c r="B2597" s="16" t="s">
        <v>88</v>
      </c>
      <c r="C2597" s="16" t="s">
        <v>148</v>
      </c>
      <c r="D2597" s="13" t="str" cm="1">
        <f t="array" ref="D2597">_xlfn.XLOOKUP(B2597,[1]Baseline!$D$3:$AZ$3,_xlfn.XLOOKUP(C2597,[1]Baseline!$B$4:$B$91,[1]Baseline!$D$4:$AZ$91))</f>
        <v>Working</v>
      </c>
      <c r="E2597" s="16" t="s">
        <v>148</v>
      </c>
      <c r="F2597" s="16">
        <v>2</v>
      </c>
      <c r="G2597" s="16">
        <v>99</v>
      </c>
      <c r="H2597" s="16">
        <f t="shared" si="40"/>
        <v>97</v>
      </c>
      <c r="I2597" s="13">
        <v>99</v>
      </c>
    </row>
    <row r="2598" spans="1:9">
      <c r="A2598" s="16" t="s">
        <v>28</v>
      </c>
      <c r="B2598" s="16" t="s">
        <v>88</v>
      </c>
      <c r="C2598" s="16" t="s">
        <v>151</v>
      </c>
      <c r="D2598" s="13" t="str" cm="1">
        <f t="array" ref="D2598">_xlfn.XLOOKUP(B2598,[1]Baseline!$D$3:$AZ$3,_xlfn.XLOOKUP(C2598,[1]Baseline!$B$4:$B$91,[1]Baseline!$D$4:$AZ$91))</f>
        <v>Awareness</v>
      </c>
      <c r="E2598" s="16" t="s">
        <v>151</v>
      </c>
      <c r="F2598" s="16">
        <v>1</v>
      </c>
      <c r="G2598" s="16">
        <v>99</v>
      </c>
      <c r="H2598" s="16">
        <f t="shared" si="40"/>
        <v>98</v>
      </c>
      <c r="I2598" s="13">
        <v>99</v>
      </c>
    </row>
    <row r="2599" spans="1:9">
      <c r="A2599" s="16" t="s">
        <v>28</v>
      </c>
      <c r="B2599" s="16" t="s">
        <v>88</v>
      </c>
      <c r="C2599" s="16" t="s">
        <v>154</v>
      </c>
      <c r="D2599" s="13" t="str" cm="1">
        <f t="array" ref="D2599">_xlfn.XLOOKUP(B2599,[1]Baseline!$D$3:$AZ$3,_xlfn.XLOOKUP(C2599,[1]Baseline!$B$4:$B$91,[1]Baseline!$D$4:$AZ$91))</f>
        <v>No Knowledge</v>
      </c>
      <c r="E2599" s="16" t="s">
        <v>154</v>
      </c>
      <c r="F2599" s="16">
        <v>0</v>
      </c>
      <c r="G2599" s="16">
        <v>99</v>
      </c>
      <c r="H2599" s="16">
        <f t="shared" si="40"/>
        <v>99</v>
      </c>
      <c r="I2599" s="13">
        <v>99</v>
      </c>
    </row>
    <row r="2600" spans="1:9">
      <c r="A2600" s="16" t="s">
        <v>28</v>
      </c>
      <c r="B2600" s="16" t="s">
        <v>88</v>
      </c>
      <c r="C2600" s="16" t="s">
        <v>158</v>
      </c>
      <c r="D2600" s="13" t="str" cm="1">
        <f t="array" ref="D2600">_xlfn.XLOOKUP(B2600,[1]Baseline!$D$3:$AZ$3,_xlfn.XLOOKUP(C2600,[1]Baseline!$B$4:$B$91,[1]Baseline!$D$4:$AZ$91))</f>
        <v>No Knowledge</v>
      </c>
      <c r="E2600" s="16" t="s">
        <v>158</v>
      </c>
      <c r="F2600" s="16">
        <v>0</v>
      </c>
      <c r="G2600" s="16">
        <v>99</v>
      </c>
      <c r="H2600" s="16">
        <f t="shared" si="40"/>
        <v>99</v>
      </c>
      <c r="I2600" s="13">
        <v>99</v>
      </c>
    </row>
    <row r="2601" spans="1:9">
      <c r="A2601" s="16" t="s">
        <v>28</v>
      </c>
      <c r="B2601" s="16" t="s">
        <v>88</v>
      </c>
      <c r="C2601" s="16" t="s">
        <v>161</v>
      </c>
      <c r="D2601" s="13" t="str" cm="1">
        <f t="array" ref="D2601">_xlfn.XLOOKUP(B2601,[1]Baseline!$D$3:$AZ$3,_xlfn.XLOOKUP(C2601,[1]Baseline!$B$4:$B$91,[1]Baseline!$D$4:$AZ$91))</f>
        <v>Working</v>
      </c>
      <c r="E2601" s="16" t="s">
        <v>161</v>
      </c>
      <c r="F2601" s="16">
        <v>2</v>
      </c>
      <c r="G2601" s="16">
        <v>99</v>
      </c>
      <c r="H2601" s="16">
        <f t="shared" si="40"/>
        <v>97</v>
      </c>
      <c r="I2601" s="13">
        <v>99</v>
      </c>
    </row>
    <row r="2602" spans="1:9">
      <c r="A2602" s="16" t="s">
        <v>28</v>
      </c>
      <c r="B2602" s="16" t="s">
        <v>88</v>
      </c>
      <c r="C2602" s="16" t="s">
        <v>164</v>
      </c>
      <c r="D2602" s="13" t="str" cm="1">
        <f t="array" ref="D2602">_xlfn.XLOOKUP(B2602,[1]Baseline!$D$3:$AZ$3,_xlfn.XLOOKUP(C2602,[1]Baseline!$B$4:$B$91,[1]Baseline!$D$4:$AZ$91))</f>
        <v>Working</v>
      </c>
      <c r="E2602" s="16" t="s">
        <v>164</v>
      </c>
      <c r="F2602" s="16">
        <v>2</v>
      </c>
      <c r="G2602" s="16">
        <v>99</v>
      </c>
      <c r="H2602" s="16">
        <f t="shared" si="40"/>
        <v>97</v>
      </c>
      <c r="I2602" s="13">
        <v>99</v>
      </c>
    </row>
    <row r="2603" spans="1:9">
      <c r="A2603" s="16" t="s">
        <v>28</v>
      </c>
      <c r="B2603" s="16" t="s">
        <v>88</v>
      </c>
      <c r="C2603" s="16" t="s">
        <v>234</v>
      </c>
      <c r="D2603" s="13" t="str" cm="1">
        <f t="array" ref="D2603">_xlfn.XLOOKUP(B2603,[1]Baseline!$D$3:$AZ$3,_xlfn.XLOOKUP(C2603,[1]Baseline!$B$4:$B$91,[1]Baseline!$D$4:$AZ$91))</f>
        <v>No Knowledge</v>
      </c>
      <c r="E2603" s="16" t="s">
        <v>234</v>
      </c>
      <c r="F2603" s="16">
        <v>1</v>
      </c>
      <c r="G2603" s="16">
        <v>99</v>
      </c>
      <c r="H2603" s="16">
        <f t="shared" si="40"/>
        <v>98</v>
      </c>
      <c r="I2603" s="13">
        <v>99</v>
      </c>
    </row>
    <row r="2604" spans="1:9">
      <c r="A2604" s="16" t="s">
        <v>28</v>
      </c>
      <c r="B2604" s="16" t="s">
        <v>88</v>
      </c>
      <c r="C2604" s="16" t="s">
        <v>237</v>
      </c>
      <c r="D2604" s="13" t="str" cm="1">
        <f t="array" ref="D2604">_xlfn.XLOOKUP(B2604,[1]Baseline!$D$3:$AZ$3,_xlfn.XLOOKUP(C2604,[1]Baseline!$B$4:$B$91,[1]Baseline!$D$4:$AZ$91))</f>
        <v>No Knowledge</v>
      </c>
      <c r="E2604" s="16" t="s">
        <v>237</v>
      </c>
      <c r="F2604" s="16">
        <v>2</v>
      </c>
      <c r="G2604" s="16">
        <v>99</v>
      </c>
      <c r="H2604" s="16">
        <f t="shared" si="40"/>
        <v>97</v>
      </c>
      <c r="I2604" s="13">
        <v>99</v>
      </c>
    </row>
    <row r="2605" spans="1:9">
      <c r="A2605" s="16" t="s">
        <v>28</v>
      </c>
      <c r="B2605" s="16" t="s">
        <v>88</v>
      </c>
      <c r="C2605" s="16" t="s">
        <v>330</v>
      </c>
      <c r="D2605" s="13" t="str" cm="1">
        <f t="array" ref="D2605">_xlfn.XLOOKUP(B2605,[1]Baseline!$D$3:$AZ$3,_xlfn.XLOOKUP(C2605,[1]Baseline!$B$4:$B$91,[1]Baseline!$D$4:$AZ$91))</f>
        <v>Awareness</v>
      </c>
      <c r="E2605" s="16" t="s">
        <v>382</v>
      </c>
      <c r="F2605" s="16">
        <v>1</v>
      </c>
      <c r="G2605" s="16">
        <v>99</v>
      </c>
      <c r="H2605" s="16">
        <f t="shared" si="40"/>
        <v>98</v>
      </c>
      <c r="I2605" s="13">
        <v>99</v>
      </c>
    </row>
    <row r="2606" spans="1:9">
      <c r="A2606" s="16" t="s">
        <v>28</v>
      </c>
      <c r="B2606" s="16" t="s">
        <v>88</v>
      </c>
      <c r="C2606" s="16" t="s">
        <v>332</v>
      </c>
      <c r="D2606" s="13" t="str" cm="1">
        <f t="array" ref="D2606">_xlfn.XLOOKUP(B2606,[1]Baseline!$D$3:$AZ$3,_xlfn.XLOOKUP(C2606,[1]Baseline!$B$4:$B$91,[1]Baseline!$D$4:$AZ$91))</f>
        <v>Awareness</v>
      </c>
      <c r="E2606" s="16" t="s">
        <v>383</v>
      </c>
      <c r="F2606" s="16">
        <v>0</v>
      </c>
      <c r="G2606" s="16">
        <v>99</v>
      </c>
      <c r="H2606" s="16">
        <f t="shared" si="40"/>
        <v>99</v>
      </c>
      <c r="I2606" s="13">
        <v>99</v>
      </c>
    </row>
    <row r="2607" spans="1:9">
      <c r="A2607" s="16" t="s">
        <v>28</v>
      </c>
      <c r="B2607" s="16" t="s">
        <v>88</v>
      </c>
      <c r="C2607" s="16" t="s">
        <v>240</v>
      </c>
      <c r="D2607" s="13" t="str" cm="1">
        <f t="array" ref="D2607">_xlfn.XLOOKUP(B2607,[1]Baseline!$D$3:$AZ$3,_xlfn.XLOOKUP(C2607,[1]Baseline!$B$4:$B$91,[1]Baseline!$D$4:$AZ$91))</f>
        <v>No Knowledge</v>
      </c>
      <c r="E2607" s="16" t="s">
        <v>240</v>
      </c>
      <c r="F2607" s="16">
        <v>0</v>
      </c>
      <c r="G2607" s="16">
        <v>99</v>
      </c>
      <c r="H2607" s="16">
        <f t="shared" si="40"/>
        <v>99</v>
      </c>
      <c r="I2607" s="13">
        <v>99</v>
      </c>
    </row>
    <row r="2608" spans="1:9">
      <c r="A2608" s="16" t="s">
        <v>28</v>
      </c>
      <c r="B2608" s="16" t="s">
        <v>88</v>
      </c>
      <c r="C2608" s="16" t="s">
        <v>243</v>
      </c>
      <c r="D2608" s="13" t="str" cm="1">
        <f t="array" ref="D2608">_xlfn.XLOOKUP(B2608,[1]Baseline!$D$3:$AZ$3,_xlfn.XLOOKUP(C2608,[1]Baseline!$B$4:$B$91,[1]Baseline!$D$4:$AZ$91))</f>
        <v>No Knowledge</v>
      </c>
      <c r="E2608" s="16" t="s">
        <v>243</v>
      </c>
      <c r="F2608" s="16">
        <v>0</v>
      </c>
      <c r="G2608" s="16">
        <v>99</v>
      </c>
      <c r="H2608" s="16">
        <f t="shared" si="40"/>
        <v>99</v>
      </c>
      <c r="I2608" s="13">
        <v>99</v>
      </c>
    </row>
    <row r="2609" spans="1:9">
      <c r="A2609" s="16" t="s">
        <v>28</v>
      </c>
      <c r="B2609" s="16" t="s">
        <v>88</v>
      </c>
      <c r="C2609" s="16" t="s">
        <v>246</v>
      </c>
      <c r="D2609" s="13" t="str" cm="1">
        <f t="array" ref="D2609">_xlfn.XLOOKUP(B2609,[1]Baseline!$D$3:$AZ$3,_xlfn.XLOOKUP(C2609,[1]Baseline!$B$4:$B$91,[1]Baseline!$D$4:$AZ$91))</f>
        <v>No Knowledge</v>
      </c>
      <c r="E2609" s="16" t="s">
        <v>246</v>
      </c>
      <c r="F2609" s="16">
        <v>0</v>
      </c>
      <c r="G2609" s="16">
        <v>99</v>
      </c>
      <c r="H2609" s="16">
        <f t="shared" si="40"/>
        <v>99</v>
      </c>
      <c r="I2609" s="13">
        <v>99</v>
      </c>
    </row>
    <row r="2610" spans="1:9">
      <c r="A2610" s="16" t="s">
        <v>28</v>
      </c>
      <c r="B2610" s="16" t="s">
        <v>88</v>
      </c>
      <c r="C2610" s="16" t="s">
        <v>249</v>
      </c>
      <c r="D2610" s="13" t="str" cm="1">
        <f t="array" ref="D2610">_xlfn.XLOOKUP(B2610,[1]Baseline!$D$3:$AZ$3,_xlfn.XLOOKUP(C2610,[1]Baseline!$B$4:$B$91,[1]Baseline!$D$4:$AZ$91))</f>
        <v>No Knowledge</v>
      </c>
      <c r="E2610" s="16" t="s">
        <v>249</v>
      </c>
      <c r="F2610" s="16">
        <v>0</v>
      </c>
      <c r="G2610" s="16">
        <v>99</v>
      </c>
      <c r="H2610" s="16">
        <f t="shared" si="40"/>
        <v>99</v>
      </c>
      <c r="I2610" s="13">
        <v>99</v>
      </c>
    </row>
    <row r="2611" spans="1:9">
      <c r="A2611" s="16" t="s">
        <v>28</v>
      </c>
      <c r="B2611" s="16" t="s">
        <v>88</v>
      </c>
      <c r="C2611" s="16" t="s">
        <v>252</v>
      </c>
      <c r="D2611" s="13" t="str" cm="1">
        <f t="array" ref="D2611">_xlfn.XLOOKUP(B2611,[1]Baseline!$D$3:$AZ$3,_xlfn.XLOOKUP(C2611,[1]Baseline!$B$4:$B$91,[1]Baseline!$D$4:$AZ$91))</f>
        <v>No Knowledge</v>
      </c>
      <c r="E2611" s="16" t="s">
        <v>252</v>
      </c>
      <c r="F2611" s="16">
        <v>0</v>
      </c>
      <c r="G2611" s="16">
        <v>99</v>
      </c>
      <c r="H2611" s="16">
        <f t="shared" si="40"/>
        <v>99</v>
      </c>
      <c r="I2611" s="13">
        <v>99</v>
      </c>
    </row>
    <row r="2612" spans="1:9">
      <c r="A2612" s="16" t="s">
        <v>28</v>
      </c>
      <c r="B2612" s="16" t="s">
        <v>88</v>
      </c>
      <c r="C2612" s="16" t="s">
        <v>255</v>
      </c>
      <c r="D2612" s="13" t="str" cm="1">
        <f t="array" ref="D2612">_xlfn.XLOOKUP(B2612,[1]Baseline!$D$3:$AZ$3,_xlfn.XLOOKUP(C2612,[1]Baseline!$B$4:$B$91,[1]Baseline!$D$4:$AZ$91))</f>
        <v>No Knowledge</v>
      </c>
      <c r="E2612" s="16" t="s">
        <v>255</v>
      </c>
      <c r="F2612" s="16">
        <v>0</v>
      </c>
      <c r="G2612" s="16">
        <v>99</v>
      </c>
      <c r="H2612" s="16">
        <f t="shared" si="40"/>
        <v>99</v>
      </c>
      <c r="I2612" s="13">
        <v>99</v>
      </c>
    </row>
    <row r="2613" spans="1:9">
      <c r="A2613" s="16" t="s">
        <v>28</v>
      </c>
      <c r="B2613" s="16" t="s">
        <v>88</v>
      </c>
      <c r="C2613" s="16" t="s">
        <v>258</v>
      </c>
      <c r="D2613" s="13" t="str" cm="1">
        <f t="array" ref="D2613">_xlfn.XLOOKUP(B2613,[1]Baseline!$D$3:$AZ$3,_xlfn.XLOOKUP(C2613,[1]Baseline!$B$4:$B$91,[1]Baseline!$D$4:$AZ$91))</f>
        <v>No Knowledge</v>
      </c>
      <c r="E2613" s="16" t="s">
        <v>258</v>
      </c>
      <c r="F2613" s="16">
        <v>0</v>
      </c>
      <c r="G2613" s="16">
        <v>99</v>
      </c>
      <c r="H2613" s="16">
        <f t="shared" si="40"/>
        <v>99</v>
      </c>
      <c r="I2613" s="13">
        <v>99</v>
      </c>
    </row>
    <row r="2614" spans="1:9">
      <c r="A2614" s="16" t="s">
        <v>28</v>
      </c>
      <c r="B2614" s="16" t="s">
        <v>88</v>
      </c>
      <c r="C2614" s="16" t="s">
        <v>326</v>
      </c>
      <c r="D2614" s="13" t="str" cm="1">
        <f t="array" ref="D2614">_xlfn.XLOOKUP(B2614,[1]Baseline!$D$3:$AZ$3,_xlfn.XLOOKUP(C2614,[1]Baseline!$B$4:$B$91,[1]Baseline!$D$4:$AZ$91))</f>
        <v>No Knowledge</v>
      </c>
      <c r="E2614" s="16" t="s">
        <v>326</v>
      </c>
      <c r="F2614" s="16">
        <v>0</v>
      </c>
      <c r="G2614" s="16">
        <v>99</v>
      </c>
      <c r="H2614" s="16">
        <f t="shared" si="40"/>
        <v>99</v>
      </c>
      <c r="I2614" s="13">
        <v>99</v>
      </c>
    </row>
    <row r="2615" spans="1:9">
      <c r="A2615" s="16" t="s">
        <v>28</v>
      </c>
      <c r="B2615" s="16" t="s">
        <v>88</v>
      </c>
      <c r="C2615" s="16" t="s">
        <v>261</v>
      </c>
      <c r="D2615" s="13" t="str" cm="1">
        <f t="array" ref="D2615">_xlfn.XLOOKUP(B2615,[1]Baseline!$D$3:$AZ$3,_xlfn.XLOOKUP(C2615,[1]Baseline!$B$4:$B$91,[1]Baseline!$D$4:$AZ$91))</f>
        <v>No Knowledge</v>
      </c>
      <c r="E2615" s="16" t="s">
        <v>261</v>
      </c>
      <c r="F2615" s="16">
        <v>0</v>
      </c>
      <c r="G2615" s="16">
        <v>99</v>
      </c>
      <c r="H2615" s="16">
        <f t="shared" si="40"/>
        <v>99</v>
      </c>
      <c r="I2615" s="13">
        <v>99</v>
      </c>
    </row>
    <row r="2616" spans="1:9">
      <c r="A2616" s="16" t="s">
        <v>28</v>
      </c>
      <c r="B2616" s="16" t="s">
        <v>88</v>
      </c>
      <c r="C2616" s="16" t="s">
        <v>264</v>
      </c>
      <c r="D2616" s="13" t="str" cm="1">
        <f t="array" ref="D2616">_xlfn.XLOOKUP(B2616,[1]Baseline!$D$3:$AZ$3,_xlfn.XLOOKUP(C2616,[1]Baseline!$B$4:$B$91,[1]Baseline!$D$4:$AZ$91))</f>
        <v>Awareness</v>
      </c>
      <c r="E2616" s="16" t="s">
        <v>264</v>
      </c>
      <c r="F2616" s="16">
        <v>1</v>
      </c>
      <c r="G2616" s="16">
        <v>99</v>
      </c>
      <c r="H2616" s="16">
        <f t="shared" si="40"/>
        <v>98</v>
      </c>
      <c r="I2616" s="13">
        <v>99</v>
      </c>
    </row>
    <row r="2617" spans="1:9">
      <c r="A2617" s="16" t="s">
        <v>28</v>
      </c>
      <c r="B2617" s="16" t="s">
        <v>88</v>
      </c>
      <c r="C2617" s="16" t="s">
        <v>267</v>
      </c>
      <c r="D2617" s="13" t="str" cm="1">
        <f t="array" ref="D2617">_xlfn.XLOOKUP(B2617,[1]Baseline!$D$3:$AZ$3,_xlfn.XLOOKUP(C2617,[1]Baseline!$B$4:$B$91,[1]Baseline!$D$4:$AZ$91))</f>
        <v>Working</v>
      </c>
      <c r="E2617" s="16" t="s">
        <v>267</v>
      </c>
      <c r="F2617" s="16">
        <v>2</v>
      </c>
      <c r="G2617" s="16">
        <v>99</v>
      </c>
      <c r="H2617" s="16">
        <f t="shared" si="40"/>
        <v>97</v>
      </c>
      <c r="I2617" s="13">
        <v>99</v>
      </c>
    </row>
    <row r="2618" spans="1:9">
      <c r="A2618" s="16" t="s">
        <v>28</v>
      </c>
      <c r="B2618" s="16" t="s">
        <v>88</v>
      </c>
      <c r="C2618" s="16" t="s">
        <v>270</v>
      </c>
      <c r="D2618" s="13" t="str" cm="1">
        <f t="array" ref="D2618">_xlfn.XLOOKUP(B2618,[1]Baseline!$D$3:$AZ$3,_xlfn.XLOOKUP(C2618,[1]Baseline!$B$4:$B$91,[1]Baseline!$D$4:$AZ$91))</f>
        <v>Awareness</v>
      </c>
      <c r="E2618" s="16" t="s">
        <v>270</v>
      </c>
      <c r="F2618" s="16">
        <v>1</v>
      </c>
      <c r="G2618" s="16">
        <v>99</v>
      </c>
      <c r="H2618" s="16">
        <f t="shared" si="40"/>
        <v>98</v>
      </c>
      <c r="I2618" s="13">
        <v>99</v>
      </c>
    </row>
    <row r="2619" spans="1:9">
      <c r="A2619" s="16" t="s">
        <v>28</v>
      </c>
      <c r="B2619" s="16" t="s">
        <v>88</v>
      </c>
      <c r="C2619" s="16" t="s">
        <v>50</v>
      </c>
      <c r="D2619" s="13" t="str" cm="1">
        <f t="array" ref="D2619">_xlfn.XLOOKUP(B2619,[1]Baseline!$D$3:$AZ$3,_xlfn.XLOOKUP(C2619,[1]Baseline!$B$4:$B$91,[1]Baseline!$D$4:$AZ$91))</f>
        <v>Awareness</v>
      </c>
      <c r="E2619" s="16" t="s">
        <v>50</v>
      </c>
      <c r="F2619" s="16">
        <v>1</v>
      </c>
      <c r="G2619" s="16">
        <v>99</v>
      </c>
      <c r="H2619" s="16">
        <f t="shared" si="40"/>
        <v>98</v>
      </c>
      <c r="I2619" s="13">
        <v>99</v>
      </c>
    </row>
    <row r="2620" spans="1:9">
      <c r="A2620" s="16" t="s">
        <v>28</v>
      </c>
      <c r="B2620" s="16" t="s">
        <v>88</v>
      </c>
      <c r="C2620" s="16" t="s">
        <v>320</v>
      </c>
      <c r="D2620" s="13" t="str" cm="1">
        <f t="array" ref="D2620">_xlfn.XLOOKUP(B2620,[1]Baseline!$D$3:$AZ$3,_xlfn.XLOOKUP(C2620,[1]Baseline!$B$4:$B$91,[1]Baseline!$D$4:$AZ$91))</f>
        <v>No Knowledge</v>
      </c>
      <c r="E2620" s="16" t="s">
        <v>320</v>
      </c>
      <c r="F2620" s="16">
        <v>0</v>
      </c>
      <c r="G2620" s="16">
        <v>99</v>
      </c>
      <c r="H2620" s="16">
        <f t="shared" si="40"/>
        <v>99</v>
      </c>
      <c r="I2620" s="13">
        <v>99</v>
      </c>
    </row>
    <row r="2621" spans="1:9">
      <c r="A2621" s="16" t="s">
        <v>28</v>
      </c>
      <c r="B2621" s="16" t="s">
        <v>88</v>
      </c>
      <c r="C2621" s="16" t="s">
        <v>278</v>
      </c>
      <c r="D2621" s="13" t="str" cm="1">
        <f t="array" ref="D2621">_xlfn.XLOOKUP(B2621,[1]Baseline!$D$3:$AZ$3,_xlfn.XLOOKUP(C2621,[1]Baseline!$B$4:$B$91,[1]Baseline!$D$4:$AZ$91))</f>
        <v>No Knowledge</v>
      </c>
      <c r="E2621" s="16" t="s">
        <v>278</v>
      </c>
      <c r="F2621" s="16">
        <v>0</v>
      </c>
      <c r="G2621" s="16">
        <v>99</v>
      </c>
      <c r="H2621" s="16">
        <f t="shared" si="40"/>
        <v>99</v>
      </c>
      <c r="I2621" s="13">
        <v>99</v>
      </c>
    </row>
    <row r="2622" spans="1:9">
      <c r="A2622" s="16" t="s">
        <v>28</v>
      </c>
      <c r="B2622" s="16" t="s">
        <v>88</v>
      </c>
      <c r="C2622" s="16" t="s">
        <v>275</v>
      </c>
      <c r="D2622" s="13" t="str" cm="1">
        <f t="array" ref="D2622">_xlfn.XLOOKUP(B2622,[1]Baseline!$D$3:$AZ$3,_xlfn.XLOOKUP(C2622,[1]Baseline!$B$4:$B$91,[1]Baseline!$D$4:$AZ$91))</f>
        <v>No Knowledge</v>
      </c>
      <c r="E2622" s="16" t="s">
        <v>275</v>
      </c>
      <c r="F2622" s="16">
        <v>0</v>
      </c>
      <c r="G2622" s="16">
        <v>99</v>
      </c>
      <c r="H2622" s="16">
        <f t="shared" si="40"/>
        <v>99</v>
      </c>
      <c r="I2622" s="13">
        <v>99</v>
      </c>
    </row>
    <row r="2623" spans="1:9">
      <c r="A2623" s="16" t="s">
        <v>28</v>
      </c>
      <c r="B2623" s="16" t="s">
        <v>88</v>
      </c>
      <c r="C2623" s="16" t="s">
        <v>281</v>
      </c>
      <c r="D2623" s="13" t="str" cm="1">
        <f t="array" ref="D2623">_xlfn.XLOOKUP(B2623,[1]Baseline!$D$3:$AZ$3,_xlfn.XLOOKUP(C2623,[1]Baseline!$B$4:$B$91,[1]Baseline!$D$4:$AZ$91))</f>
        <v>Awareness</v>
      </c>
      <c r="E2623" s="16" t="s">
        <v>281</v>
      </c>
      <c r="F2623" s="16">
        <v>2</v>
      </c>
      <c r="G2623" s="16">
        <v>99</v>
      </c>
      <c r="H2623" s="16">
        <f t="shared" si="40"/>
        <v>97</v>
      </c>
      <c r="I2623" s="13">
        <v>99</v>
      </c>
    </row>
    <row r="2624" spans="1:9">
      <c r="A2624" s="16" t="s">
        <v>28</v>
      </c>
      <c r="B2624" s="16" t="s">
        <v>88</v>
      </c>
      <c r="C2624" s="16" t="s">
        <v>284</v>
      </c>
      <c r="D2624" s="13" t="str" cm="1">
        <f t="array" ref="D2624">_xlfn.XLOOKUP(B2624,[1]Baseline!$D$3:$AZ$3,_xlfn.XLOOKUP(C2624,[1]Baseline!$B$4:$B$91,[1]Baseline!$D$4:$AZ$91))</f>
        <v>No Knowledge</v>
      </c>
      <c r="E2624" s="16" t="s">
        <v>284</v>
      </c>
      <c r="F2624" s="16">
        <v>0</v>
      </c>
      <c r="G2624" s="16">
        <v>99</v>
      </c>
      <c r="H2624" s="16">
        <f t="shared" si="40"/>
        <v>99</v>
      </c>
      <c r="I2624" s="13">
        <v>99</v>
      </c>
    </row>
    <row r="2625" spans="1:9">
      <c r="A2625" s="16" t="s">
        <v>28</v>
      </c>
      <c r="B2625" s="16" t="s">
        <v>88</v>
      </c>
      <c r="C2625" s="16" t="s">
        <v>287</v>
      </c>
      <c r="D2625" s="13" t="str" cm="1">
        <f t="array" ref="D2625">_xlfn.XLOOKUP(B2625,[1]Baseline!$D$3:$AZ$3,_xlfn.XLOOKUP(C2625,[1]Baseline!$B$4:$B$91,[1]Baseline!$D$4:$AZ$91))</f>
        <v>No Knowledge</v>
      </c>
      <c r="E2625" s="16" t="s">
        <v>287</v>
      </c>
      <c r="F2625" s="16">
        <v>0</v>
      </c>
      <c r="G2625" s="16">
        <v>99</v>
      </c>
      <c r="H2625" s="16">
        <f t="shared" si="40"/>
        <v>99</v>
      </c>
      <c r="I2625" s="13">
        <v>99</v>
      </c>
    </row>
    <row r="2626" spans="1:9">
      <c r="A2626" s="16" t="s">
        <v>28</v>
      </c>
      <c r="B2626" s="16" t="s">
        <v>88</v>
      </c>
      <c r="C2626" s="16" t="s">
        <v>290</v>
      </c>
      <c r="D2626" s="13" t="str" cm="1">
        <f t="array" ref="D2626">_xlfn.XLOOKUP(B2626,[1]Baseline!$D$3:$AZ$3,_xlfn.XLOOKUP(C2626,[1]Baseline!$B$4:$B$91,[1]Baseline!$D$4:$AZ$91))</f>
        <v>No Knowledge</v>
      </c>
      <c r="E2626" s="16" t="s">
        <v>290</v>
      </c>
      <c r="F2626" s="16">
        <v>0</v>
      </c>
      <c r="G2626" s="16">
        <v>99</v>
      </c>
      <c r="H2626" s="16">
        <f t="shared" ref="H2626:H2689" si="41">I2626-F2626</f>
        <v>99</v>
      </c>
      <c r="I2626" s="13">
        <v>99</v>
      </c>
    </row>
    <row r="2627" spans="1:9">
      <c r="A2627" s="16" t="s">
        <v>28</v>
      </c>
      <c r="B2627" s="16" t="s">
        <v>88</v>
      </c>
      <c r="C2627" s="16" t="s">
        <v>51</v>
      </c>
      <c r="D2627" s="13" t="str" cm="1">
        <f t="array" ref="D2627">_xlfn.XLOOKUP(B2627,[1]Baseline!$D$3:$AZ$3,_xlfn.XLOOKUP(C2627,[1]Baseline!$B$4:$B$91,[1]Baseline!$D$4:$AZ$91))</f>
        <v>Awareness</v>
      </c>
      <c r="E2627" s="16" t="s">
        <v>51</v>
      </c>
      <c r="F2627" s="16">
        <v>1</v>
      </c>
      <c r="G2627" s="16">
        <v>99</v>
      </c>
      <c r="H2627" s="16">
        <f t="shared" si="41"/>
        <v>98</v>
      </c>
      <c r="I2627" s="13">
        <v>99</v>
      </c>
    </row>
    <row r="2628" spans="1:9">
      <c r="A2628" s="16" t="s">
        <v>28</v>
      </c>
      <c r="B2628" s="16" t="s">
        <v>88</v>
      </c>
      <c r="C2628" s="16" t="s">
        <v>293</v>
      </c>
      <c r="D2628" s="13" t="str" cm="1">
        <f t="array" ref="D2628">_xlfn.XLOOKUP(B2628,[1]Baseline!$D$3:$AZ$3,_xlfn.XLOOKUP(C2628,[1]Baseline!$B$4:$B$91,[1]Baseline!$D$4:$AZ$91))</f>
        <v>No Knowledge</v>
      </c>
      <c r="E2628" s="16" t="s">
        <v>293</v>
      </c>
      <c r="F2628" s="16">
        <v>0</v>
      </c>
      <c r="G2628" s="16">
        <v>99</v>
      </c>
      <c r="H2628" s="16">
        <f t="shared" si="41"/>
        <v>99</v>
      </c>
      <c r="I2628" s="13">
        <v>99</v>
      </c>
    </row>
    <row r="2629" spans="1:9">
      <c r="A2629" s="16" t="s">
        <v>28</v>
      </c>
      <c r="B2629" s="16" t="s">
        <v>88</v>
      </c>
      <c r="C2629" s="16" t="s">
        <v>296</v>
      </c>
      <c r="D2629" s="13" t="str" cm="1">
        <f t="array" ref="D2629">_xlfn.XLOOKUP(B2629,[1]Baseline!$D$3:$AZ$3,_xlfn.XLOOKUP(C2629,[1]Baseline!$B$4:$B$91,[1]Baseline!$D$4:$AZ$91))</f>
        <v>No Knowledge</v>
      </c>
      <c r="E2629" s="16" t="s">
        <v>296</v>
      </c>
      <c r="F2629" s="16">
        <v>0</v>
      </c>
      <c r="G2629" s="16">
        <v>99</v>
      </c>
      <c r="H2629" s="16">
        <f t="shared" si="41"/>
        <v>99</v>
      </c>
      <c r="I2629" s="13">
        <v>99</v>
      </c>
    </row>
    <row r="2630" spans="1:9">
      <c r="A2630" s="16" t="s">
        <v>28</v>
      </c>
      <c r="B2630" s="16" t="s">
        <v>88</v>
      </c>
      <c r="C2630" s="16" t="s">
        <v>299</v>
      </c>
      <c r="D2630" s="13" t="str" cm="1">
        <f t="array" ref="D2630">_xlfn.XLOOKUP(B2630,[1]Baseline!$D$3:$AZ$3,_xlfn.XLOOKUP(C2630,[1]Baseline!$B$4:$B$91,[1]Baseline!$D$4:$AZ$91))</f>
        <v>No Knowledge</v>
      </c>
      <c r="E2630" s="16" t="s">
        <v>299</v>
      </c>
      <c r="F2630" s="16">
        <v>0</v>
      </c>
      <c r="G2630" s="16">
        <v>99</v>
      </c>
      <c r="H2630" s="16">
        <f t="shared" si="41"/>
        <v>99</v>
      </c>
      <c r="I2630" s="13">
        <v>99</v>
      </c>
    </row>
    <row r="2631" spans="1:9">
      <c r="A2631" s="16" t="s">
        <v>28</v>
      </c>
      <c r="B2631" s="16" t="s">
        <v>88</v>
      </c>
      <c r="C2631" s="16" t="s">
        <v>323</v>
      </c>
      <c r="D2631" s="13" t="str" cm="1">
        <f t="array" ref="D2631">_xlfn.XLOOKUP(B2631,[1]Baseline!$D$3:$AZ$3,_xlfn.XLOOKUP(C2631,[1]Baseline!$B$4:$B$91,[1]Baseline!$D$4:$AZ$91))</f>
        <v>No Knowledge</v>
      </c>
      <c r="E2631" s="16" t="s">
        <v>323</v>
      </c>
      <c r="F2631" s="16">
        <v>0</v>
      </c>
      <c r="G2631" s="16">
        <v>99</v>
      </c>
      <c r="H2631" s="16">
        <f t="shared" si="41"/>
        <v>99</v>
      </c>
      <c r="I2631" s="13">
        <v>99</v>
      </c>
    </row>
    <row r="2632" spans="1:9">
      <c r="A2632" s="16" t="s">
        <v>28</v>
      </c>
      <c r="B2632" s="16" t="s">
        <v>88</v>
      </c>
      <c r="C2632" s="16" t="s">
        <v>302</v>
      </c>
      <c r="D2632" s="13" t="str" cm="1">
        <f t="array" ref="D2632">_xlfn.XLOOKUP(B2632,[1]Baseline!$D$3:$AZ$3,_xlfn.XLOOKUP(C2632,[1]Baseline!$B$4:$B$91,[1]Baseline!$D$4:$AZ$91))</f>
        <v>No Knowledge</v>
      </c>
      <c r="E2632" s="16" t="s">
        <v>302</v>
      </c>
      <c r="F2632" s="16">
        <v>0</v>
      </c>
      <c r="G2632" s="16">
        <v>99</v>
      </c>
      <c r="H2632" s="16">
        <f t="shared" si="41"/>
        <v>99</v>
      </c>
      <c r="I2632" s="13">
        <v>99</v>
      </c>
    </row>
    <row r="2633" spans="1:9">
      <c r="A2633" s="16" t="s">
        <v>28</v>
      </c>
      <c r="B2633" s="16" t="s">
        <v>88</v>
      </c>
      <c r="C2633" s="16" t="s">
        <v>305</v>
      </c>
      <c r="D2633" s="13" t="str" cm="1">
        <f t="array" ref="D2633">_xlfn.XLOOKUP(B2633,[1]Baseline!$D$3:$AZ$3,_xlfn.XLOOKUP(C2633,[1]Baseline!$B$4:$B$91,[1]Baseline!$D$4:$AZ$91))</f>
        <v>No Knowledge</v>
      </c>
      <c r="E2633" s="16" t="s">
        <v>305</v>
      </c>
      <c r="F2633" s="16">
        <v>0</v>
      </c>
      <c r="G2633" s="16">
        <v>99</v>
      </c>
      <c r="H2633" s="16">
        <f t="shared" si="41"/>
        <v>99</v>
      </c>
      <c r="I2633" s="13">
        <v>99</v>
      </c>
    </row>
    <row r="2634" spans="1:9">
      <c r="A2634" s="16" t="s">
        <v>28</v>
      </c>
      <c r="B2634" s="16" t="s">
        <v>88</v>
      </c>
      <c r="C2634" s="16" t="s">
        <v>308</v>
      </c>
      <c r="D2634" s="13" t="str" cm="1">
        <f t="array" ref="D2634">_xlfn.XLOOKUP(B2634,[1]Baseline!$D$3:$AZ$3,_xlfn.XLOOKUP(C2634,[1]Baseline!$B$4:$B$91,[1]Baseline!$D$4:$AZ$91))</f>
        <v>No Knowledge</v>
      </c>
      <c r="E2634" s="16" t="s">
        <v>308</v>
      </c>
      <c r="F2634" s="16">
        <v>0</v>
      </c>
      <c r="G2634" s="16">
        <v>99</v>
      </c>
      <c r="H2634" s="16">
        <f t="shared" si="41"/>
        <v>99</v>
      </c>
      <c r="I2634" s="13">
        <v>99</v>
      </c>
    </row>
    <row r="2635" spans="1:9">
      <c r="A2635" s="16" t="s">
        <v>28</v>
      </c>
      <c r="B2635" s="16" t="s">
        <v>88</v>
      </c>
      <c r="C2635" s="16" t="s">
        <v>311</v>
      </c>
      <c r="D2635" s="13" t="str" cm="1">
        <f t="array" ref="D2635">_xlfn.XLOOKUP(B2635,[1]Baseline!$D$3:$AZ$3,_xlfn.XLOOKUP(C2635,[1]Baseline!$B$4:$B$91,[1]Baseline!$D$4:$AZ$91))</f>
        <v>No Knowledge</v>
      </c>
      <c r="E2635" s="16" t="s">
        <v>311</v>
      </c>
      <c r="F2635" s="16">
        <v>0</v>
      </c>
      <c r="G2635" s="16">
        <v>99</v>
      </c>
      <c r="H2635" s="16">
        <f t="shared" si="41"/>
        <v>99</v>
      </c>
      <c r="I2635" s="13">
        <v>99</v>
      </c>
    </row>
    <row r="2636" spans="1:9">
      <c r="A2636" s="16" t="s">
        <v>28</v>
      </c>
      <c r="B2636" s="16" t="s">
        <v>88</v>
      </c>
      <c r="C2636" s="16" t="s">
        <v>314</v>
      </c>
      <c r="D2636" s="13" t="str" cm="1">
        <f t="array" ref="D2636">_xlfn.XLOOKUP(B2636,[1]Baseline!$D$3:$AZ$3,_xlfn.XLOOKUP(C2636,[1]Baseline!$B$4:$B$91,[1]Baseline!$D$4:$AZ$91))</f>
        <v>Awareness</v>
      </c>
      <c r="E2636" s="16" t="s">
        <v>314</v>
      </c>
      <c r="F2636" s="16">
        <v>2</v>
      </c>
      <c r="G2636" s="16">
        <v>99</v>
      </c>
      <c r="H2636" s="16">
        <f t="shared" si="41"/>
        <v>97</v>
      </c>
      <c r="I2636" s="13">
        <v>99</v>
      </c>
    </row>
    <row r="2637" spans="1:9">
      <c r="A2637" s="16" t="s">
        <v>28</v>
      </c>
      <c r="B2637" s="16" t="s">
        <v>88</v>
      </c>
      <c r="C2637" s="16" t="s">
        <v>328</v>
      </c>
      <c r="D2637" s="13" t="str" cm="1">
        <f t="array" ref="D2637">_xlfn.XLOOKUP(B2637,[1]Baseline!$D$3:$AZ$3,_xlfn.XLOOKUP(C2637,[1]Baseline!$B$4:$B$91,[1]Baseline!$D$4:$AZ$91))</f>
        <v>Awareness</v>
      </c>
      <c r="E2637" s="16" t="s">
        <v>328</v>
      </c>
      <c r="F2637" s="16">
        <v>2</v>
      </c>
      <c r="G2637" s="16">
        <v>99</v>
      </c>
      <c r="H2637" s="16">
        <f t="shared" si="41"/>
        <v>97</v>
      </c>
      <c r="I2637" s="13">
        <v>99</v>
      </c>
    </row>
    <row r="2638" spans="1:9">
      <c r="A2638" s="16" t="s">
        <v>28</v>
      </c>
      <c r="B2638" s="16" t="s">
        <v>88</v>
      </c>
      <c r="C2638" s="16" t="s">
        <v>317</v>
      </c>
      <c r="D2638" s="13" t="str" cm="1">
        <f t="array" ref="D2638">_xlfn.XLOOKUP(B2638,[1]Baseline!$D$3:$AZ$3,_xlfn.XLOOKUP(C2638,[1]Baseline!$B$4:$B$91,[1]Baseline!$D$4:$AZ$91))</f>
        <v>Working</v>
      </c>
      <c r="E2638" s="16" t="s">
        <v>317</v>
      </c>
      <c r="F2638" s="16">
        <v>2</v>
      </c>
      <c r="G2638" s="16">
        <v>99</v>
      </c>
      <c r="H2638" s="16">
        <f t="shared" si="41"/>
        <v>97</v>
      </c>
      <c r="I2638" s="13">
        <v>99</v>
      </c>
    </row>
    <row r="2639" spans="1:9">
      <c r="A2639" s="16" t="s">
        <v>28</v>
      </c>
      <c r="B2639" s="16" t="s">
        <v>88</v>
      </c>
      <c r="C2639" s="16" t="s">
        <v>352</v>
      </c>
      <c r="D2639" s="13" t="str" cm="1">
        <f t="array" ref="D2639">_xlfn.XLOOKUP(B2639,[1]Baseline!$D$3:$AZ$3,_xlfn.XLOOKUP(C2639,[1]Baseline!$B$4:$B$91,[1]Baseline!$D$4:$AZ$91))</f>
        <v>No Knowledge</v>
      </c>
      <c r="E2639" s="16" t="s">
        <v>352</v>
      </c>
      <c r="F2639" s="16">
        <v>0</v>
      </c>
      <c r="G2639" s="16">
        <v>99</v>
      </c>
      <c r="H2639" s="16">
        <f t="shared" si="41"/>
        <v>99</v>
      </c>
      <c r="I2639" s="13">
        <v>99</v>
      </c>
    </row>
    <row r="2640" spans="1:9">
      <c r="A2640" s="16" t="s">
        <v>28</v>
      </c>
      <c r="B2640" s="16" t="s">
        <v>88</v>
      </c>
      <c r="C2640" s="16" t="s">
        <v>355</v>
      </c>
      <c r="D2640" s="13" t="str" cm="1">
        <f t="array" ref="D2640">_xlfn.XLOOKUP(B2640,[1]Baseline!$D$3:$AZ$3,_xlfn.XLOOKUP(C2640,[1]Baseline!$B$4:$B$91,[1]Baseline!$D$4:$AZ$91))</f>
        <v>No Knowledge</v>
      </c>
      <c r="E2640" s="16" t="s">
        <v>355</v>
      </c>
      <c r="F2640" s="16">
        <v>0</v>
      </c>
      <c r="G2640" s="16">
        <v>99</v>
      </c>
      <c r="H2640" s="16">
        <f t="shared" si="41"/>
        <v>99</v>
      </c>
      <c r="I2640" s="13">
        <v>99</v>
      </c>
    </row>
    <row r="2641" spans="1:9">
      <c r="A2641" s="16" t="s">
        <v>28</v>
      </c>
      <c r="B2641" s="16" t="s">
        <v>88</v>
      </c>
      <c r="C2641" s="16" t="s">
        <v>358</v>
      </c>
      <c r="D2641" s="13" t="str" cm="1">
        <f t="array" ref="D2641">_xlfn.XLOOKUP(B2641,[1]Baseline!$D$3:$AZ$3,_xlfn.XLOOKUP(C2641,[1]Baseline!$B$4:$B$91,[1]Baseline!$D$4:$AZ$91))</f>
        <v>Awareness</v>
      </c>
      <c r="E2641" s="16" t="s">
        <v>358</v>
      </c>
      <c r="F2641" s="16">
        <v>1</v>
      </c>
      <c r="G2641" s="16">
        <v>99</v>
      </c>
      <c r="H2641" s="16">
        <f t="shared" si="41"/>
        <v>98</v>
      </c>
      <c r="I2641" s="13">
        <v>99</v>
      </c>
    </row>
    <row r="2642" spans="1:9">
      <c r="A2642" s="16" t="s">
        <v>29</v>
      </c>
      <c r="B2642" s="16" t="s">
        <v>89</v>
      </c>
      <c r="C2642" s="16" t="str">
        <f>VLOOKUP([1]Competence!$B12,[1]Competence!$B$12:$B$100,1,FALSE)</f>
        <v>Asset Management</v>
      </c>
      <c r="D2642" s="13" t="str" cm="1">
        <f t="array" ref="D2642">_xlfn.XLOOKUP(B2642,[1]Baseline!$D$3:$AZ$3,_xlfn.XLOOKUP(C2642,[1]Baseline!$B$4:$B$91,[1]Baseline!$D$4:$AZ$91))</f>
        <v>Expert</v>
      </c>
      <c r="E2642" s="16" t="s">
        <v>334</v>
      </c>
      <c r="F2642" s="16">
        <v>0</v>
      </c>
      <c r="G2642" s="16">
        <v>99</v>
      </c>
      <c r="H2642" s="16">
        <f t="shared" si="41"/>
        <v>99</v>
      </c>
      <c r="I2642" s="13">
        <v>99</v>
      </c>
    </row>
    <row r="2643" spans="1:9">
      <c r="A2643" s="16" t="s">
        <v>29</v>
      </c>
      <c r="B2643" s="16" t="s">
        <v>89</v>
      </c>
      <c r="C2643" s="16" t="str">
        <f>VLOOKUP([1]Competence!$B13,[1]Competence!$B$12:$B$100,1,FALSE)</f>
        <v>Change Control</v>
      </c>
      <c r="D2643" s="13" t="str" cm="1">
        <f t="array" ref="D2643">_xlfn.XLOOKUP(B2643,[1]Baseline!$D$3:$AZ$3,_xlfn.XLOOKUP(C2643,[1]Baseline!$B$4:$B$91,[1]Baseline!$D$4:$AZ$91))</f>
        <v>Working</v>
      </c>
      <c r="E2643" s="16" t="s">
        <v>337</v>
      </c>
      <c r="F2643" s="16">
        <v>0</v>
      </c>
      <c r="G2643" s="16">
        <v>99</v>
      </c>
      <c r="H2643" s="16">
        <f t="shared" si="41"/>
        <v>99</v>
      </c>
      <c r="I2643" s="13">
        <v>99</v>
      </c>
    </row>
    <row r="2644" spans="1:9">
      <c r="A2644" s="16" t="s">
        <v>29</v>
      </c>
      <c r="B2644" s="16" t="s">
        <v>89</v>
      </c>
      <c r="C2644" s="16" t="str">
        <f>VLOOKUP([1]Competence!$B14,[1]Competence!$B$12:$B$100,1,FALSE)</f>
        <v>Customer Service Support</v>
      </c>
      <c r="D2644" s="13" t="str" cm="1">
        <f t="array" ref="D2644">_xlfn.XLOOKUP(B2644,[1]Baseline!$D$3:$AZ$3,_xlfn.XLOOKUP(C2644,[1]Baseline!$B$4:$B$91,[1]Baseline!$D$4:$AZ$91))</f>
        <v>Practitioner</v>
      </c>
      <c r="E2644" s="16" t="s">
        <v>340</v>
      </c>
      <c r="F2644" s="16">
        <v>0</v>
      </c>
      <c r="G2644" s="16">
        <v>99</v>
      </c>
      <c r="H2644" s="16">
        <f t="shared" si="41"/>
        <v>99</v>
      </c>
      <c r="I2644" s="13">
        <v>99</v>
      </c>
    </row>
    <row r="2645" spans="1:9">
      <c r="A2645" s="16" t="s">
        <v>29</v>
      </c>
      <c r="B2645" s="16" t="s">
        <v>89</v>
      </c>
      <c r="C2645" s="16" t="str">
        <f>VLOOKUP([1]Competence!$B15,[1]Competence!$B$12:$B$100,1,FALSE)</f>
        <v>Incident management</v>
      </c>
      <c r="D2645" s="13" t="str" cm="1">
        <f t="array" ref="D2645">_xlfn.XLOOKUP(B2645,[1]Baseline!$D$3:$AZ$3,_xlfn.XLOOKUP(C2645,[1]Baseline!$B$4:$B$91,[1]Baseline!$D$4:$AZ$91))</f>
        <v>Practitioner</v>
      </c>
      <c r="E2645" s="16" t="s">
        <v>343</v>
      </c>
      <c r="F2645" s="16">
        <v>0</v>
      </c>
      <c r="G2645" s="16">
        <v>99</v>
      </c>
      <c r="H2645" s="16">
        <f t="shared" si="41"/>
        <v>99</v>
      </c>
      <c r="I2645" s="13">
        <v>99</v>
      </c>
    </row>
    <row r="2646" spans="1:9">
      <c r="A2646" s="16" t="s">
        <v>29</v>
      </c>
      <c r="B2646" s="16" t="s">
        <v>89</v>
      </c>
      <c r="C2646" s="16" t="str">
        <f>VLOOKUP([1]Competence!$B16,[1]Competence!$B$12:$B$100,1,FALSE)</f>
        <v>Information security</v>
      </c>
      <c r="D2646" s="13" t="str" cm="1">
        <f t="array" ref="D2646">_xlfn.XLOOKUP(B2646,[1]Baseline!$D$3:$AZ$3,_xlfn.XLOOKUP(C2646,[1]Baseline!$B$4:$B$91,[1]Baseline!$D$4:$AZ$91))</f>
        <v>Practitioner</v>
      </c>
      <c r="E2646" s="16" t="s">
        <v>346</v>
      </c>
      <c r="F2646" s="16">
        <v>0</v>
      </c>
      <c r="G2646" s="16">
        <v>99</v>
      </c>
      <c r="H2646" s="16">
        <f t="shared" si="41"/>
        <v>99</v>
      </c>
      <c r="I2646" s="13">
        <v>99</v>
      </c>
    </row>
    <row r="2647" spans="1:9">
      <c r="A2647" s="16" t="s">
        <v>29</v>
      </c>
      <c r="B2647" s="16" t="s">
        <v>89</v>
      </c>
      <c r="C2647" s="16" t="str">
        <f>VLOOKUP([1]Competence!$B17,[1]Competence!$B$12:$B$100,1,FALSE)</f>
        <v>Personal data protection</v>
      </c>
      <c r="D2647" s="13" t="str" cm="1">
        <f t="array" ref="D2647">_xlfn.XLOOKUP(B2647,[1]Baseline!$D$3:$AZ$3,_xlfn.XLOOKUP(C2647,[1]Baseline!$B$4:$B$91,[1]Baseline!$D$4:$AZ$91))</f>
        <v>Practitioner</v>
      </c>
      <c r="E2647" s="16" t="s">
        <v>349</v>
      </c>
      <c r="F2647" s="16">
        <v>0</v>
      </c>
      <c r="G2647" s="16">
        <v>99</v>
      </c>
      <c r="H2647" s="16">
        <f t="shared" si="41"/>
        <v>99</v>
      </c>
      <c r="I2647" s="13">
        <v>99</v>
      </c>
    </row>
    <row r="2648" spans="1:9">
      <c r="A2648" s="16" t="s">
        <v>29</v>
      </c>
      <c r="B2648" s="16" t="s">
        <v>89</v>
      </c>
      <c r="C2648" s="16" t="str">
        <f>VLOOKUP([1]Competence!$B18,[1]Competence!$B$12:$B$100,1,FALSE)</f>
        <v>Problem management</v>
      </c>
      <c r="D2648" s="13" t="str" cm="1">
        <f t="array" ref="D2648">_xlfn.XLOOKUP(B2648,[1]Baseline!$D$3:$AZ$3,_xlfn.XLOOKUP(C2648,[1]Baseline!$B$4:$B$91,[1]Baseline!$D$4:$AZ$91))</f>
        <v>Working</v>
      </c>
      <c r="E2648" s="16" t="s">
        <v>106</v>
      </c>
      <c r="F2648" s="16">
        <v>2</v>
      </c>
      <c r="G2648" s="16">
        <v>99</v>
      </c>
      <c r="H2648" s="16">
        <f t="shared" si="41"/>
        <v>97</v>
      </c>
      <c r="I2648" s="13">
        <v>99</v>
      </c>
    </row>
    <row r="2649" spans="1:9">
      <c r="A2649" s="16" t="s">
        <v>29</v>
      </c>
      <c r="B2649" s="16" t="s">
        <v>89</v>
      </c>
      <c r="C2649" s="16" t="str">
        <f>VLOOKUP([1]Competence!$B19,[1]Competence!$B$12:$B$100,1,FALSE)</f>
        <v>Service catalogue management</v>
      </c>
      <c r="D2649" s="13" t="str" cm="1">
        <f t="array" ref="D2649">_xlfn.XLOOKUP(B2649,[1]Baseline!$D$3:$AZ$3,_xlfn.XLOOKUP(C2649,[1]Baseline!$B$4:$B$91,[1]Baseline!$D$4:$AZ$91))</f>
        <v>Working</v>
      </c>
      <c r="E2649" s="16" t="s">
        <v>109</v>
      </c>
      <c r="F2649" s="16">
        <v>2</v>
      </c>
      <c r="G2649" s="16">
        <v>99</v>
      </c>
      <c r="H2649" s="16">
        <f t="shared" si="41"/>
        <v>97</v>
      </c>
      <c r="I2649" s="13">
        <v>99</v>
      </c>
    </row>
    <row r="2650" spans="1:9">
      <c r="A2650" s="16" t="s">
        <v>29</v>
      </c>
      <c r="B2650" s="16" t="s">
        <v>89</v>
      </c>
      <c r="C2650" s="16" t="str">
        <f>VLOOKUP([1]Competence!$B20,[1]Competence!$B$12:$B$100,1,FALSE)</f>
        <v>Service level management</v>
      </c>
      <c r="D2650" s="13" t="str" cm="1">
        <f t="array" ref="D2650">_xlfn.XLOOKUP(B2650,[1]Baseline!$D$3:$AZ$3,_xlfn.XLOOKUP(C2650,[1]Baseline!$B$4:$B$91,[1]Baseline!$D$4:$AZ$91))</f>
        <v>Working</v>
      </c>
      <c r="E2650" s="16" t="s">
        <v>112</v>
      </c>
      <c r="F2650" s="16">
        <v>3</v>
      </c>
      <c r="G2650" s="16">
        <v>99</v>
      </c>
      <c r="H2650" s="16">
        <f t="shared" si="41"/>
        <v>96</v>
      </c>
      <c r="I2650" s="13">
        <v>99</v>
      </c>
    </row>
    <row r="2651" spans="1:9">
      <c r="A2651" s="16" t="s">
        <v>29</v>
      </c>
      <c r="B2651" s="16" t="s">
        <v>89</v>
      </c>
      <c r="C2651" s="16" t="str">
        <f>VLOOKUP([1]Competence!$B21,[1]Competence!$B$12:$B$100,1,FALSE)</f>
        <v>Availability Management</v>
      </c>
      <c r="D2651" s="13" t="str" cm="1">
        <f t="array" ref="D2651">_xlfn.XLOOKUP(B2651,[1]Baseline!$D$3:$AZ$3,_xlfn.XLOOKUP(C2651,[1]Baseline!$B$4:$B$91,[1]Baseline!$D$4:$AZ$91))</f>
        <v>Awareness</v>
      </c>
      <c r="E2651" s="16" t="s">
        <v>115</v>
      </c>
      <c r="F2651" s="16">
        <v>2</v>
      </c>
      <c r="G2651" s="16">
        <v>99</v>
      </c>
      <c r="H2651" s="16">
        <f t="shared" si="41"/>
        <v>97</v>
      </c>
      <c r="I2651" s="13">
        <v>99</v>
      </c>
    </row>
    <row r="2652" spans="1:9">
      <c r="A2652" s="16" t="s">
        <v>29</v>
      </c>
      <c r="B2652" s="16" t="s">
        <v>89</v>
      </c>
      <c r="C2652" s="16" t="str">
        <f>VLOOKUP([1]Competence!$B22,[1]Competence!$B$12:$B$100,1,FALSE)</f>
        <v>Capacity management</v>
      </c>
      <c r="D2652" s="13" t="str" cm="1">
        <f t="array" ref="D2652">_xlfn.XLOOKUP(B2652,[1]Baseline!$D$3:$AZ$3,_xlfn.XLOOKUP(C2652,[1]Baseline!$B$4:$B$91,[1]Baseline!$D$4:$AZ$91))</f>
        <v>No Knowledge</v>
      </c>
      <c r="E2652" s="16" t="s">
        <v>118</v>
      </c>
      <c r="F2652" s="16">
        <v>2</v>
      </c>
      <c r="G2652" s="16">
        <v>99</v>
      </c>
      <c r="H2652" s="16">
        <f t="shared" si="41"/>
        <v>97</v>
      </c>
      <c r="I2652" s="13">
        <v>99</v>
      </c>
    </row>
    <row r="2653" spans="1:9">
      <c r="A2653" s="16" t="s">
        <v>29</v>
      </c>
      <c r="B2653" s="16" t="s">
        <v>89</v>
      </c>
      <c r="C2653" s="16" t="str">
        <f>VLOOKUP([1]Competence!$B23,[1]Competence!$B$12:$B$100,1,FALSE)</f>
        <v>Configuration Management</v>
      </c>
      <c r="D2653" s="13" t="str" cm="1">
        <f t="array" ref="D2653">_xlfn.XLOOKUP(B2653,[1]Baseline!$D$3:$AZ$3,_xlfn.XLOOKUP(C2653,[1]Baseline!$B$4:$B$91,[1]Baseline!$D$4:$AZ$91))</f>
        <v>No Knowledge</v>
      </c>
      <c r="E2653" s="16" t="s">
        <v>121</v>
      </c>
      <c r="F2653" s="16">
        <v>3</v>
      </c>
      <c r="G2653" s="16">
        <v>99</v>
      </c>
      <c r="H2653" s="16">
        <f t="shared" si="41"/>
        <v>96</v>
      </c>
      <c r="I2653" s="13">
        <v>99</v>
      </c>
    </row>
    <row r="2654" spans="1:9">
      <c r="A2654" s="16" t="s">
        <v>29</v>
      </c>
      <c r="B2654" s="16" t="s">
        <v>89</v>
      </c>
      <c r="C2654" s="16" t="str">
        <f>VLOOKUP([1]Competence!$B24,[1]Competence!$B$12:$B$100,1,FALSE)</f>
        <v>Continuity Management</v>
      </c>
      <c r="D2654" s="13" t="str" cm="1">
        <f t="array" ref="D2654">_xlfn.XLOOKUP(B2654,[1]Baseline!$D$3:$AZ$3,_xlfn.XLOOKUP(C2654,[1]Baseline!$B$4:$B$91,[1]Baseline!$D$4:$AZ$91))</f>
        <v>Awareness</v>
      </c>
      <c r="E2654" s="16" t="s">
        <v>124</v>
      </c>
      <c r="F2654" s="16">
        <v>2</v>
      </c>
      <c r="G2654" s="16">
        <v>99</v>
      </c>
      <c r="H2654" s="16">
        <f t="shared" si="41"/>
        <v>97</v>
      </c>
      <c r="I2654" s="13">
        <v>99</v>
      </c>
    </row>
    <row r="2655" spans="1:9">
      <c r="A2655" s="16" t="s">
        <v>29</v>
      </c>
      <c r="B2655" s="16" t="s">
        <v>89</v>
      </c>
      <c r="C2655" s="16" t="str">
        <f>VLOOKUP([1]Competence!$B25,[1]Competence!$B$12:$B$100,1,FALSE)</f>
        <v>Demand Management</v>
      </c>
      <c r="D2655" s="13" t="str" cm="1">
        <f t="array" ref="D2655">_xlfn.XLOOKUP(B2655,[1]Baseline!$D$3:$AZ$3,_xlfn.XLOOKUP(C2655,[1]Baseline!$B$4:$B$91,[1]Baseline!$D$4:$AZ$91))</f>
        <v>Working</v>
      </c>
      <c r="E2655" s="16" t="s">
        <v>127</v>
      </c>
      <c r="F2655" s="16">
        <v>2</v>
      </c>
      <c r="G2655" s="16">
        <v>99</v>
      </c>
      <c r="H2655" s="16">
        <f t="shared" si="41"/>
        <v>97</v>
      </c>
      <c r="I2655" s="13">
        <v>99</v>
      </c>
    </row>
    <row r="2656" spans="1:9">
      <c r="A2656" s="16" t="s">
        <v>29</v>
      </c>
      <c r="B2656" s="16" t="s">
        <v>89</v>
      </c>
      <c r="C2656" s="16" t="str">
        <f>VLOOKUP([1]Competence!$B26,[1]Competence!$B$12:$B$100,1,FALSE)</f>
        <v>Knowledge management</v>
      </c>
      <c r="D2656" s="13" t="str" cm="1">
        <f t="array" ref="D2656">_xlfn.XLOOKUP(B2656,[1]Baseline!$D$3:$AZ$3,_xlfn.XLOOKUP(C2656,[1]Baseline!$B$4:$B$91,[1]Baseline!$D$4:$AZ$91))</f>
        <v>Working</v>
      </c>
      <c r="E2656" s="16" t="s">
        <v>130</v>
      </c>
      <c r="F2656" s="16">
        <v>2</v>
      </c>
      <c r="G2656" s="16">
        <v>99</v>
      </c>
      <c r="H2656" s="16">
        <f t="shared" si="41"/>
        <v>97</v>
      </c>
      <c r="I2656" s="13">
        <v>99</v>
      </c>
    </row>
    <row r="2657" spans="1:9">
      <c r="A2657" s="16" t="s">
        <v>29</v>
      </c>
      <c r="B2657" s="16" t="s">
        <v>89</v>
      </c>
      <c r="C2657" s="16" t="str">
        <f>VLOOKUP([1]Competence!$B27,[1]Competence!$B$12:$B$100,1,FALSE)</f>
        <v>Methods and tools</v>
      </c>
      <c r="D2657" s="13" t="str" cm="1">
        <f t="array" ref="D2657">_xlfn.XLOOKUP(B2657,[1]Baseline!$D$3:$AZ$3,_xlfn.XLOOKUP(C2657,[1]Baseline!$B$4:$B$91,[1]Baseline!$D$4:$AZ$91))</f>
        <v>Awareness</v>
      </c>
      <c r="E2657" s="16" t="s">
        <v>211</v>
      </c>
      <c r="F2657" s="16">
        <v>1</v>
      </c>
      <c r="G2657" s="16">
        <v>99</v>
      </c>
      <c r="H2657" s="16">
        <f t="shared" si="41"/>
        <v>98</v>
      </c>
      <c r="I2657" s="13">
        <v>99</v>
      </c>
    </row>
    <row r="2658" spans="1:9">
      <c r="A2658" s="16" t="s">
        <v>29</v>
      </c>
      <c r="B2658" s="16" t="s">
        <v>89</v>
      </c>
      <c r="C2658" s="16" t="str">
        <f>VLOOKUP([1]Competence!$B28,[1]Competence!$B$12:$B$100,1,FALSE)</f>
        <v>Release and deployment</v>
      </c>
      <c r="D2658" s="13" t="str" cm="1">
        <f t="array" ref="D2658">_xlfn.XLOOKUP(B2658,[1]Baseline!$D$3:$AZ$3,_xlfn.XLOOKUP(C2658,[1]Baseline!$B$4:$B$91,[1]Baseline!$D$4:$AZ$91))</f>
        <v>No Knowledge</v>
      </c>
      <c r="E2658" s="16" t="s">
        <v>214</v>
      </c>
      <c r="F2658" s="16">
        <v>0</v>
      </c>
      <c r="G2658" s="16">
        <v>99</v>
      </c>
      <c r="H2658" s="16">
        <f t="shared" si="41"/>
        <v>99</v>
      </c>
      <c r="I2658" s="13">
        <v>99</v>
      </c>
    </row>
    <row r="2659" spans="1:9">
      <c r="A2659" s="16" t="s">
        <v>29</v>
      </c>
      <c r="B2659" s="16" t="s">
        <v>89</v>
      </c>
      <c r="C2659" s="16" t="str">
        <f>VLOOKUP([1]Competence!$B29,[1]Competence!$B$12:$B$100,1,FALSE)</f>
        <v>Service acceptance</v>
      </c>
      <c r="D2659" s="13" t="str" cm="1">
        <f t="array" ref="D2659">_xlfn.XLOOKUP(B2659,[1]Baseline!$D$3:$AZ$3,_xlfn.XLOOKUP(C2659,[1]Baseline!$B$4:$B$91,[1]Baseline!$D$4:$AZ$91))</f>
        <v>No Knowledge</v>
      </c>
      <c r="E2659" s="16" t="s">
        <v>217</v>
      </c>
      <c r="F2659" s="16">
        <v>0</v>
      </c>
      <c r="G2659" s="16">
        <v>99</v>
      </c>
      <c r="H2659" s="16">
        <f t="shared" si="41"/>
        <v>99</v>
      </c>
      <c r="I2659" s="13">
        <v>99</v>
      </c>
    </row>
    <row r="2660" spans="1:9">
      <c r="A2660" s="16" t="s">
        <v>29</v>
      </c>
      <c r="B2660" s="16" t="s">
        <v>89</v>
      </c>
      <c r="C2660" s="16" t="str">
        <f>VLOOKUP([1]Competence!$B30,[1]Competence!$B$12:$B$100,1,FALSE)</f>
        <v>Stakeholder relationship management</v>
      </c>
      <c r="D2660" s="13" t="str" cm="1">
        <f t="array" ref="D2660">_xlfn.XLOOKUP(B2660,[1]Baseline!$D$3:$AZ$3,_xlfn.XLOOKUP(C2660,[1]Baseline!$B$4:$B$91,[1]Baseline!$D$4:$AZ$91))</f>
        <v>Working</v>
      </c>
      <c r="E2660" s="16" t="s">
        <v>49</v>
      </c>
      <c r="F2660" s="16">
        <v>1</v>
      </c>
      <c r="G2660" s="16">
        <v>99</v>
      </c>
      <c r="H2660" s="16">
        <f t="shared" si="41"/>
        <v>98</v>
      </c>
      <c r="I2660" s="13">
        <v>99</v>
      </c>
    </row>
    <row r="2661" spans="1:9">
      <c r="A2661" s="16" t="s">
        <v>29</v>
      </c>
      <c r="B2661" s="16" t="s">
        <v>89</v>
      </c>
      <c r="C2661" s="16" t="str">
        <f>VLOOKUP([1]Competence!$B31,[1]Competence!$B$12:$B$100,1,FALSE)</f>
        <v>Storage management</v>
      </c>
      <c r="D2661" s="13" t="str" cm="1">
        <f t="array" ref="D2661">_xlfn.XLOOKUP(B2661,[1]Baseline!$D$3:$AZ$3,_xlfn.XLOOKUP(C2661,[1]Baseline!$B$4:$B$91,[1]Baseline!$D$4:$AZ$91))</f>
        <v>Working</v>
      </c>
      <c r="E2661" s="16" t="s">
        <v>222</v>
      </c>
      <c r="F2661" s="16">
        <v>0</v>
      </c>
      <c r="G2661" s="16">
        <v>99</v>
      </c>
      <c r="H2661" s="16">
        <f t="shared" si="41"/>
        <v>99</v>
      </c>
      <c r="I2661" s="13">
        <v>99</v>
      </c>
    </row>
    <row r="2662" spans="1:9">
      <c r="A2662" s="16" t="s">
        <v>29</v>
      </c>
      <c r="B2662" s="16" t="s">
        <v>89</v>
      </c>
      <c r="C2662" s="16" t="str">
        <f>VLOOKUP([1]Competence!$B32,[1]Competence!$B$12:$B$100,1,FALSE)</f>
        <v>Digital Forensics</v>
      </c>
      <c r="D2662" s="13" t="str" cm="1">
        <f t="array" ref="D2662">_xlfn.XLOOKUP(B2662,[1]Baseline!$D$3:$AZ$3,_xlfn.XLOOKUP(C2662,[1]Baseline!$B$4:$B$91,[1]Baseline!$D$4:$AZ$91))</f>
        <v>No Knowledge</v>
      </c>
      <c r="E2662" s="16" t="s">
        <v>225</v>
      </c>
      <c r="F2662" s="16">
        <v>1</v>
      </c>
      <c r="G2662" s="16">
        <v>99</v>
      </c>
      <c r="H2662" s="16">
        <f t="shared" si="41"/>
        <v>98</v>
      </c>
      <c r="I2662" s="13">
        <v>99</v>
      </c>
    </row>
    <row r="2663" spans="1:9">
      <c r="A2663" s="16" t="s">
        <v>29</v>
      </c>
      <c r="B2663" s="16" t="s">
        <v>89</v>
      </c>
      <c r="C2663" s="16" t="str">
        <f>VLOOKUP([1]Competence!$B33,[1]Competence!$B$12:$B$100,1,FALSE)</f>
        <v>Penetration testing</v>
      </c>
      <c r="D2663" s="13" t="str" cm="1">
        <f t="array" ref="D2663">_xlfn.XLOOKUP(B2663,[1]Baseline!$D$3:$AZ$3,_xlfn.XLOOKUP(C2663,[1]Baseline!$B$4:$B$91,[1]Baseline!$D$4:$AZ$91))</f>
        <v>No Knowledge</v>
      </c>
      <c r="E2663" s="16" t="s">
        <v>228</v>
      </c>
      <c r="F2663" s="16">
        <v>1</v>
      </c>
      <c r="G2663" s="16">
        <v>99</v>
      </c>
      <c r="H2663" s="16">
        <f t="shared" si="41"/>
        <v>98</v>
      </c>
      <c r="I2663" s="13">
        <v>99</v>
      </c>
    </row>
    <row r="2664" spans="1:9">
      <c r="A2664" s="16" t="s">
        <v>29</v>
      </c>
      <c r="B2664" s="16" t="s">
        <v>89</v>
      </c>
      <c r="C2664" s="16" t="str">
        <f>VLOOKUP([1]Competence!$B34,[1]Competence!$B$12:$B$100,1,FALSE)</f>
        <v>Security Operations</v>
      </c>
      <c r="D2664" s="13" t="str" cm="1">
        <f t="array" ref="D2664">_xlfn.XLOOKUP(B2664,[1]Baseline!$D$3:$AZ$3,_xlfn.XLOOKUP(C2664,[1]Baseline!$B$4:$B$91,[1]Baseline!$D$4:$AZ$91))</f>
        <v>Practitioner</v>
      </c>
      <c r="E2664" s="16" t="s">
        <v>231</v>
      </c>
      <c r="F2664" s="16">
        <v>1</v>
      </c>
      <c r="G2664" s="16">
        <v>99</v>
      </c>
      <c r="H2664" s="16">
        <f t="shared" si="41"/>
        <v>98</v>
      </c>
      <c r="I2664" s="13">
        <v>99</v>
      </c>
    </row>
    <row r="2665" spans="1:9">
      <c r="A2665" s="16" t="s">
        <v>29</v>
      </c>
      <c r="B2665" s="16" t="s">
        <v>89</v>
      </c>
      <c r="C2665" s="16" t="str">
        <f>VLOOKUP([1]Competence!$B35,[1]Competence!$B$12:$B$100,1,FALSE)</f>
        <v>Threat Intelligence</v>
      </c>
      <c r="D2665" s="13" t="str" cm="1">
        <f t="array" ref="D2665">_xlfn.XLOOKUP(B2665,[1]Baseline!$D$3:$AZ$3,_xlfn.XLOOKUP(C2665,[1]Baseline!$B$4:$B$91,[1]Baseline!$D$4:$AZ$91))</f>
        <v>No Knowledge</v>
      </c>
      <c r="E2665" s="16" t="s">
        <v>185</v>
      </c>
      <c r="F2665" s="16">
        <v>1</v>
      </c>
      <c r="G2665" s="16">
        <v>99</v>
      </c>
      <c r="H2665" s="16">
        <f t="shared" si="41"/>
        <v>98</v>
      </c>
      <c r="I2665" s="13">
        <v>99</v>
      </c>
    </row>
    <row r="2666" spans="1:9">
      <c r="A2666" s="16" t="s">
        <v>29</v>
      </c>
      <c r="B2666" s="16" t="s">
        <v>89</v>
      </c>
      <c r="C2666" s="16" t="str">
        <f>VLOOKUP([1]Competence!$B36,[1]Competence!$B$12:$B$100,1,FALSE)</f>
        <v>Vulnerability assessment</v>
      </c>
      <c r="D2666" s="13" t="str" cm="1">
        <f t="array" ref="D2666">_xlfn.XLOOKUP(B2666,[1]Baseline!$D$3:$AZ$3,_xlfn.XLOOKUP(C2666,[1]Baseline!$B$4:$B$91,[1]Baseline!$D$4:$AZ$91))</f>
        <v>Working</v>
      </c>
      <c r="E2666" s="16" t="s">
        <v>188</v>
      </c>
      <c r="F2666" s="16">
        <v>1</v>
      </c>
      <c r="G2666" s="16">
        <v>99</v>
      </c>
      <c r="H2666" s="16">
        <f t="shared" si="41"/>
        <v>98</v>
      </c>
      <c r="I2666" s="13">
        <v>99</v>
      </c>
    </row>
    <row r="2667" spans="1:9">
      <c r="A2667" s="16" t="s">
        <v>29</v>
      </c>
      <c r="B2667" s="16" t="s">
        <v>89</v>
      </c>
      <c r="C2667" s="16" t="str">
        <f>VLOOKUP([1]Competence!$B37,[1]Competence!$B$12:$B$100,1,FALSE)</f>
        <v>Vulnerability Research</v>
      </c>
      <c r="D2667" s="13" t="str" cm="1">
        <f t="array" ref="D2667">_xlfn.XLOOKUP(B2667,[1]Baseline!$D$3:$AZ$3,_xlfn.XLOOKUP(C2667,[1]Baseline!$B$4:$B$91,[1]Baseline!$D$4:$AZ$91))</f>
        <v>No Knowledge</v>
      </c>
      <c r="E2667" s="16" t="s">
        <v>191</v>
      </c>
      <c r="F2667" s="16">
        <v>0</v>
      </c>
      <c r="G2667" s="16">
        <v>99</v>
      </c>
      <c r="H2667" s="16">
        <f t="shared" si="41"/>
        <v>99</v>
      </c>
      <c r="I2667" s="13">
        <v>99</v>
      </c>
    </row>
    <row r="2668" spans="1:9">
      <c r="A2668" s="16" t="s">
        <v>29</v>
      </c>
      <c r="B2668" s="16" t="s">
        <v>89</v>
      </c>
      <c r="C2668" s="16" t="str">
        <f>VLOOKUP([1]Competence!$B38,[1]Competence!$B$12:$B$100,1,FALSE)</f>
        <v>Competency assessment</v>
      </c>
      <c r="D2668" s="13" t="str" cm="1">
        <f t="array" ref="D2668">_xlfn.XLOOKUP(B2668,[1]Baseline!$D$3:$AZ$3,_xlfn.XLOOKUP(C2668,[1]Baseline!$B$4:$B$91,[1]Baseline!$D$4:$AZ$91))</f>
        <v>Working</v>
      </c>
      <c r="E2668" s="16" t="s">
        <v>194</v>
      </c>
      <c r="F2668" s="16">
        <v>0</v>
      </c>
      <c r="G2668" s="16">
        <v>99</v>
      </c>
      <c r="H2668" s="16">
        <f t="shared" si="41"/>
        <v>99</v>
      </c>
      <c r="I2668" s="13">
        <v>99</v>
      </c>
    </row>
    <row r="2669" spans="1:9">
      <c r="A2669" s="16" t="s">
        <v>29</v>
      </c>
      <c r="B2669" s="16" t="s">
        <v>89</v>
      </c>
      <c r="C2669" s="16" t="str">
        <f>VLOOKUP([1]Competence!$B39,[1]Competence!$B$12:$B$100,1,FALSE)</f>
        <v>Financial management</v>
      </c>
      <c r="D2669" s="13" t="str" cm="1">
        <f t="array" ref="D2669">_xlfn.XLOOKUP(B2669,[1]Baseline!$D$3:$AZ$3,_xlfn.XLOOKUP(C2669,[1]Baseline!$B$4:$B$91,[1]Baseline!$D$4:$AZ$91))</f>
        <v>Working</v>
      </c>
      <c r="E2669" s="16" t="s">
        <v>197</v>
      </c>
      <c r="F2669" s="16">
        <v>0</v>
      </c>
      <c r="G2669" s="16">
        <v>99</v>
      </c>
      <c r="H2669" s="16">
        <f t="shared" si="41"/>
        <v>99</v>
      </c>
      <c r="I2669" s="13">
        <v>99</v>
      </c>
    </row>
    <row r="2670" spans="1:9">
      <c r="A2670" s="16" t="s">
        <v>29</v>
      </c>
      <c r="B2670" s="16" t="s">
        <v>89</v>
      </c>
      <c r="C2670" s="16" t="str">
        <f>VLOOKUP([1]Competence!$B40,[1]Competence!$B$12:$B$100,1,FALSE)</f>
        <v>Organisation design and implementation</v>
      </c>
      <c r="D2670" s="13" t="str" cm="1">
        <f t="array" ref="D2670">_xlfn.XLOOKUP(B2670,[1]Baseline!$D$3:$AZ$3,_xlfn.XLOOKUP(C2670,[1]Baseline!$B$4:$B$91,[1]Baseline!$D$4:$AZ$91))</f>
        <v>No Knowledge</v>
      </c>
      <c r="E2670" s="16" t="s">
        <v>200</v>
      </c>
      <c r="F2670" s="16">
        <v>0</v>
      </c>
      <c r="G2670" s="16">
        <v>99</v>
      </c>
      <c r="H2670" s="16">
        <f t="shared" si="41"/>
        <v>99</v>
      </c>
      <c r="I2670" s="13">
        <v>99</v>
      </c>
    </row>
    <row r="2671" spans="1:9">
      <c r="A2671" s="16" t="s">
        <v>29</v>
      </c>
      <c r="B2671" s="16" t="s">
        <v>89</v>
      </c>
      <c r="C2671" s="16" t="str">
        <f>VLOOKUP([1]Competence!$B41,[1]Competence!$B$12:$B$100,1,FALSE)</f>
        <v>Organisational capability development</v>
      </c>
      <c r="D2671" s="13" t="str" cm="1">
        <f t="array" ref="D2671">_xlfn.XLOOKUP(B2671,[1]Baseline!$D$3:$AZ$3,_xlfn.XLOOKUP(C2671,[1]Baseline!$B$4:$B$91,[1]Baseline!$D$4:$AZ$91))</f>
        <v>No Knowledge</v>
      </c>
      <c r="E2671" s="16" t="s">
        <v>203</v>
      </c>
      <c r="F2671" s="16">
        <v>1</v>
      </c>
      <c r="G2671" s="16">
        <v>99</v>
      </c>
      <c r="H2671" s="16">
        <f t="shared" si="41"/>
        <v>98</v>
      </c>
      <c r="I2671" s="13">
        <v>99</v>
      </c>
    </row>
    <row r="2672" spans="1:9">
      <c r="A2672" s="16" t="s">
        <v>29</v>
      </c>
      <c r="B2672" s="16" t="s">
        <v>89</v>
      </c>
      <c r="C2672" s="16" t="str">
        <f>VLOOKUP([1]Competence!$B42,[1]Competence!$B$12:$B$100,1,FALSE)</f>
        <v>Organisational change management</v>
      </c>
      <c r="D2672" s="13" t="str" cm="1">
        <f t="array" ref="D2672">_xlfn.XLOOKUP(B2672,[1]Baseline!$D$3:$AZ$3,_xlfn.XLOOKUP(C2672,[1]Baseline!$B$4:$B$91,[1]Baseline!$D$4:$AZ$91))</f>
        <v>No Knowledge</v>
      </c>
      <c r="E2672" s="16" t="s">
        <v>206</v>
      </c>
      <c r="F2672" s="16">
        <v>0</v>
      </c>
      <c r="G2672" s="16">
        <v>99</v>
      </c>
      <c r="H2672" s="16">
        <f t="shared" si="41"/>
        <v>99</v>
      </c>
      <c r="I2672" s="13">
        <v>99</v>
      </c>
    </row>
    <row r="2673" spans="1:9">
      <c r="A2673" s="16" t="s">
        <v>29</v>
      </c>
      <c r="B2673" s="16" t="s">
        <v>89</v>
      </c>
      <c r="C2673" s="16" t="str">
        <f>VLOOKUP([1]Competence!$B43,[1]Competence!$B$12:$B$100,1,FALSE)</f>
        <v>Performance Management</v>
      </c>
      <c r="D2673" s="13" t="str" cm="1">
        <f t="array" ref="D2673">_xlfn.XLOOKUP(B2673,[1]Baseline!$D$3:$AZ$3,_xlfn.XLOOKUP(C2673,[1]Baseline!$B$4:$B$91,[1]Baseline!$D$4:$AZ$91))</f>
        <v>Working</v>
      </c>
      <c r="E2673" s="16" t="s">
        <v>208</v>
      </c>
      <c r="F2673" s="16">
        <v>0</v>
      </c>
      <c r="G2673" s="16">
        <v>99</v>
      </c>
      <c r="H2673" s="16">
        <f t="shared" si="41"/>
        <v>99</v>
      </c>
      <c r="I2673" s="13">
        <v>99</v>
      </c>
    </row>
    <row r="2674" spans="1:9">
      <c r="A2674" s="16" t="s">
        <v>29</v>
      </c>
      <c r="B2674" s="16" t="s">
        <v>89</v>
      </c>
      <c r="C2674" s="16" t="str">
        <f>VLOOKUP([1]Competence!$B44,[1]Competence!$B$12:$B$100,1,FALSE)</f>
        <v>Professional Development</v>
      </c>
      <c r="D2674" s="13" t="str" cm="1">
        <f t="array" ref="D2674">_xlfn.XLOOKUP(B2674,[1]Baseline!$D$3:$AZ$3,_xlfn.XLOOKUP(C2674,[1]Baseline!$B$4:$B$91,[1]Baseline!$D$4:$AZ$91))</f>
        <v>Awareness</v>
      </c>
      <c r="E2674" s="16" t="s">
        <v>167</v>
      </c>
      <c r="F2674" s="16">
        <v>0</v>
      </c>
      <c r="G2674" s="16">
        <v>99</v>
      </c>
      <c r="H2674" s="16">
        <f t="shared" si="41"/>
        <v>99</v>
      </c>
      <c r="I2674" s="13">
        <v>99</v>
      </c>
    </row>
    <row r="2675" spans="1:9">
      <c r="A2675" s="16" t="s">
        <v>29</v>
      </c>
      <c r="B2675" s="16" t="s">
        <v>89</v>
      </c>
      <c r="C2675" s="16" t="str">
        <f>VLOOKUP([1]Competence!$B45,[1]Competence!$B$12:$B$100,1,FALSE)</f>
        <v>Strategic Planning</v>
      </c>
      <c r="D2675" s="13" t="str" cm="1">
        <f t="array" ref="D2675">_xlfn.XLOOKUP(B2675,[1]Baseline!$D$3:$AZ$3,_xlfn.XLOOKUP(C2675,[1]Baseline!$B$4:$B$91,[1]Baseline!$D$4:$AZ$91))</f>
        <v>No Knowledge</v>
      </c>
      <c r="E2675" s="16" t="s">
        <v>170</v>
      </c>
      <c r="F2675" s="16">
        <v>0</v>
      </c>
      <c r="G2675" s="16">
        <v>99</v>
      </c>
      <c r="H2675" s="16">
        <f t="shared" si="41"/>
        <v>99</v>
      </c>
      <c r="I2675" s="13">
        <v>99</v>
      </c>
    </row>
    <row r="2676" spans="1:9">
      <c r="A2676" s="16" t="s">
        <v>29</v>
      </c>
      <c r="B2676" s="16" t="s">
        <v>89</v>
      </c>
      <c r="C2676" s="16" t="str">
        <f>VLOOKUP([1]Competence!$B46,[1]Competence!$B$12:$B$100,1,FALSE)</f>
        <v>Workforce Planning</v>
      </c>
      <c r="D2676" s="13" t="str" cm="1">
        <f t="array" ref="D2676">_xlfn.XLOOKUP(B2676,[1]Baseline!$D$3:$AZ$3,_xlfn.XLOOKUP(C2676,[1]Baseline!$B$4:$B$91,[1]Baseline!$D$4:$AZ$91))</f>
        <v>Working</v>
      </c>
      <c r="E2676" s="16" t="s">
        <v>173</v>
      </c>
      <c r="F2676" s="16">
        <v>2</v>
      </c>
      <c r="G2676" s="16">
        <v>99</v>
      </c>
      <c r="H2676" s="16">
        <f t="shared" si="41"/>
        <v>97</v>
      </c>
      <c r="I2676" s="13">
        <v>99</v>
      </c>
    </row>
    <row r="2677" spans="1:9">
      <c r="A2677" s="16" t="s">
        <v>29</v>
      </c>
      <c r="B2677" s="16" t="s">
        <v>89</v>
      </c>
      <c r="C2677" s="16" t="str">
        <f>VLOOKUP([1]Competence!$B47,[1]Competence!$B$12:$B$100,1,FALSE)</f>
        <v>Audit</v>
      </c>
      <c r="D2677" s="13" t="str" cm="1">
        <f t="array" ref="D2677">_xlfn.XLOOKUP(B2677,[1]Baseline!$D$3:$AZ$3,_xlfn.XLOOKUP(C2677,[1]Baseline!$B$4:$B$91,[1]Baseline!$D$4:$AZ$91))</f>
        <v>Working</v>
      </c>
      <c r="E2677" s="16" t="s">
        <v>176</v>
      </c>
      <c r="F2677" s="16">
        <v>0</v>
      </c>
      <c r="G2677" s="16">
        <v>99</v>
      </c>
      <c r="H2677" s="16">
        <f t="shared" si="41"/>
        <v>99</v>
      </c>
      <c r="I2677" s="13">
        <v>99</v>
      </c>
    </row>
    <row r="2678" spans="1:9">
      <c r="A2678" s="16" t="s">
        <v>29</v>
      </c>
      <c r="B2678" s="16" t="s">
        <v>89</v>
      </c>
      <c r="C2678" s="16" t="str">
        <f>VLOOKUP([1]Competence!$B48,[1]Competence!$B$12:$B$100,1,FALSE)</f>
        <v>Contract management</v>
      </c>
      <c r="D2678" s="13" t="str" cm="1">
        <f t="array" ref="D2678">_xlfn.XLOOKUP(B2678,[1]Baseline!$D$3:$AZ$3,_xlfn.XLOOKUP(C2678,[1]Baseline!$B$4:$B$91,[1]Baseline!$D$4:$AZ$91))</f>
        <v>Practitioner</v>
      </c>
      <c r="E2678" s="16" t="s">
        <v>179</v>
      </c>
      <c r="F2678" s="16">
        <v>2</v>
      </c>
      <c r="G2678" s="16">
        <v>99</v>
      </c>
      <c r="H2678" s="16">
        <f t="shared" si="41"/>
        <v>97</v>
      </c>
      <c r="I2678" s="13">
        <v>99</v>
      </c>
    </row>
    <row r="2679" spans="1:9">
      <c r="A2679" s="16" t="s">
        <v>29</v>
      </c>
      <c r="B2679" s="16" t="s">
        <v>89</v>
      </c>
      <c r="C2679" s="16" t="str">
        <f>VLOOKUP([1]Competence!$B49,[1]Competence!$B$12:$B$100,1,FALSE)</f>
        <v>Feasibility assessment</v>
      </c>
      <c r="D2679" s="13" t="str" cm="1">
        <f t="array" ref="D2679">_xlfn.XLOOKUP(B2679,[1]Baseline!$D$3:$AZ$3,_xlfn.XLOOKUP(C2679,[1]Baseline!$B$4:$B$91,[1]Baseline!$D$4:$AZ$91))</f>
        <v>No Knowledge</v>
      </c>
      <c r="E2679" s="16" t="s">
        <v>182</v>
      </c>
      <c r="F2679" s="16">
        <v>0</v>
      </c>
      <c r="G2679" s="16">
        <v>99</v>
      </c>
      <c r="H2679" s="16">
        <f t="shared" si="41"/>
        <v>99</v>
      </c>
      <c r="I2679" s="13">
        <v>99</v>
      </c>
    </row>
    <row r="2680" spans="1:9">
      <c r="A2680" s="16" t="s">
        <v>29</v>
      </c>
      <c r="B2680" s="16" t="s">
        <v>89</v>
      </c>
      <c r="C2680" s="16" t="str">
        <f>VLOOKUP([1]Competence!$B50,[1]Competence!$B$12:$B$100,1,FALSE)</f>
        <v>Governance</v>
      </c>
      <c r="D2680" s="13" t="str" cm="1">
        <f t="array" ref="D2680">_xlfn.XLOOKUP(B2680,[1]Baseline!$D$3:$AZ$3,_xlfn.XLOOKUP(C2680,[1]Baseline!$B$4:$B$91,[1]Baseline!$D$4:$AZ$91))</f>
        <v>Expert</v>
      </c>
      <c r="E2680" s="16" t="s">
        <v>133</v>
      </c>
      <c r="F2680" s="16">
        <v>1</v>
      </c>
      <c r="G2680" s="16">
        <v>99</v>
      </c>
      <c r="H2680" s="16">
        <f t="shared" si="41"/>
        <v>98</v>
      </c>
      <c r="I2680" s="13">
        <v>99</v>
      </c>
    </row>
    <row r="2681" spans="1:9">
      <c r="A2681" s="16" t="s">
        <v>29</v>
      </c>
      <c r="B2681" s="16" t="s">
        <v>89</v>
      </c>
      <c r="C2681" s="16" t="str">
        <f>VLOOKUP([1]Competence!$B51,[1]Competence!$B$12:$B$100,1,FALSE)</f>
        <v>Risk management</v>
      </c>
      <c r="D2681" s="13" t="str" cm="1">
        <f t="array" ref="D2681">_xlfn.XLOOKUP(B2681,[1]Baseline!$D$3:$AZ$3,_xlfn.XLOOKUP(C2681,[1]Baseline!$B$4:$B$91,[1]Baseline!$D$4:$AZ$91))</f>
        <v>Working</v>
      </c>
      <c r="E2681" s="16" t="s">
        <v>136</v>
      </c>
      <c r="F2681" s="16">
        <v>0</v>
      </c>
      <c r="G2681" s="16">
        <v>99</v>
      </c>
      <c r="H2681" s="16">
        <f t="shared" si="41"/>
        <v>99</v>
      </c>
      <c r="I2681" s="13">
        <v>99</v>
      </c>
    </row>
    <row r="2682" spans="1:9">
      <c r="A2682" s="16" t="s">
        <v>29</v>
      </c>
      <c r="B2682" s="16" t="s">
        <v>89</v>
      </c>
      <c r="C2682" s="16" t="str">
        <f>VLOOKUP([1]Competence!$B52,[1]Competence!$B$12:$B$100,1,FALSE)</f>
        <v>Sourcing</v>
      </c>
      <c r="D2682" s="13" t="str" cm="1">
        <f t="array" ref="D2682">_xlfn.XLOOKUP(B2682,[1]Baseline!$D$3:$AZ$3,_xlfn.XLOOKUP(C2682,[1]Baseline!$B$4:$B$91,[1]Baseline!$D$4:$AZ$91))</f>
        <v>Working</v>
      </c>
      <c r="E2682" s="16" t="s">
        <v>139</v>
      </c>
      <c r="F2682" s="16">
        <v>1</v>
      </c>
      <c r="G2682" s="16">
        <v>99</v>
      </c>
      <c r="H2682" s="16">
        <f t="shared" si="41"/>
        <v>98</v>
      </c>
      <c r="I2682" s="13">
        <v>99</v>
      </c>
    </row>
    <row r="2683" spans="1:9">
      <c r="A2683" s="16" t="s">
        <v>29</v>
      </c>
      <c r="B2683" s="16" t="s">
        <v>89</v>
      </c>
      <c r="C2683" s="16" t="str">
        <f>VLOOKUP([1]Competence!$B53,[1]Competence!$B$12:$B$100,1,FALSE)</f>
        <v>Supplier management</v>
      </c>
      <c r="D2683" s="13" t="str" cm="1">
        <f t="array" ref="D2683">_xlfn.XLOOKUP(B2683,[1]Baseline!$D$3:$AZ$3,_xlfn.XLOOKUP(C2683,[1]Baseline!$B$4:$B$91,[1]Baseline!$D$4:$AZ$91))</f>
        <v>Practitioner</v>
      </c>
      <c r="E2683" s="16" t="s">
        <v>142</v>
      </c>
      <c r="F2683" s="16">
        <v>1</v>
      </c>
      <c r="G2683" s="16">
        <v>99</v>
      </c>
      <c r="H2683" s="16">
        <f t="shared" si="41"/>
        <v>98</v>
      </c>
      <c r="I2683" s="13">
        <v>99</v>
      </c>
    </row>
    <row r="2684" spans="1:9">
      <c r="A2684" s="16" t="s">
        <v>29</v>
      </c>
      <c r="B2684" s="16" t="s">
        <v>89</v>
      </c>
      <c r="C2684" s="16" t="str">
        <f>VLOOKUP([1]Competence!$B54,[1]Competence!$B$12:$B$100,1,FALSE)</f>
        <v>Sustainability</v>
      </c>
      <c r="D2684" s="13" t="str" cm="1">
        <f t="array" ref="D2684">_xlfn.XLOOKUP(B2684,[1]Baseline!$D$3:$AZ$3,_xlfn.XLOOKUP(C2684,[1]Baseline!$B$4:$B$91,[1]Baseline!$D$4:$AZ$91))</f>
        <v>Awareness</v>
      </c>
      <c r="E2684" s="16" t="s">
        <v>145</v>
      </c>
      <c r="F2684" s="16">
        <v>1</v>
      </c>
      <c r="G2684" s="16">
        <v>99</v>
      </c>
      <c r="H2684" s="16">
        <f t="shared" si="41"/>
        <v>98</v>
      </c>
      <c r="I2684" s="13">
        <v>99</v>
      </c>
    </row>
    <row r="2685" spans="1:9">
      <c r="A2685" s="16" t="s">
        <v>29</v>
      </c>
      <c r="B2685" s="16" t="s">
        <v>89</v>
      </c>
      <c r="C2685" s="16" t="str">
        <f>VLOOKUP([1]Competence!$B55,[1]Competence!$B$12:$B$100,1,FALSE)</f>
        <v>Acceptance testing</v>
      </c>
      <c r="D2685" s="13" t="str" cm="1">
        <f t="array" ref="D2685">_xlfn.XLOOKUP(B2685,[1]Baseline!$D$3:$AZ$3,_xlfn.XLOOKUP(C2685,[1]Baseline!$B$4:$B$91,[1]Baseline!$D$4:$AZ$91))</f>
        <v>No Knowledge</v>
      </c>
      <c r="E2685" s="16" t="s">
        <v>148</v>
      </c>
      <c r="F2685" s="16">
        <v>2</v>
      </c>
      <c r="G2685" s="16">
        <v>99</v>
      </c>
      <c r="H2685" s="16">
        <f t="shared" si="41"/>
        <v>97</v>
      </c>
      <c r="I2685" s="13">
        <v>99</v>
      </c>
    </row>
    <row r="2686" spans="1:9">
      <c r="A2686" s="16" t="s">
        <v>29</v>
      </c>
      <c r="B2686" s="16" t="s">
        <v>89</v>
      </c>
      <c r="C2686" s="16" t="str">
        <f>VLOOKUP([1]Competence!$B56,[1]Competence!$B$12:$B$100,1,FALSE)</f>
        <v>Application support</v>
      </c>
      <c r="D2686" s="13" t="str" cm="1">
        <f t="array" ref="D2686">_xlfn.XLOOKUP(B2686,[1]Baseline!$D$3:$AZ$3,_xlfn.XLOOKUP(C2686,[1]Baseline!$B$4:$B$91,[1]Baseline!$D$4:$AZ$91))</f>
        <v>No Knowledge</v>
      </c>
      <c r="E2686" s="16" t="s">
        <v>151</v>
      </c>
      <c r="F2686" s="16">
        <v>1</v>
      </c>
      <c r="G2686" s="16">
        <v>99</v>
      </c>
      <c r="H2686" s="16">
        <f t="shared" si="41"/>
        <v>98</v>
      </c>
      <c r="I2686" s="13">
        <v>99</v>
      </c>
    </row>
    <row r="2687" spans="1:9">
      <c r="A2687" s="16" t="s">
        <v>29</v>
      </c>
      <c r="B2687" s="16" t="s">
        <v>89</v>
      </c>
      <c r="C2687" s="16" t="str">
        <f>VLOOKUP([1]Competence!$B57,[1]Competence!$B$12:$B$100,1,FALSE)</f>
        <v>Data Engineering</v>
      </c>
      <c r="D2687" s="13" t="str" cm="1">
        <f t="array" ref="D2687">_xlfn.XLOOKUP(B2687,[1]Baseline!$D$3:$AZ$3,_xlfn.XLOOKUP(C2687,[1]Baseline!$B$4:$B$91,[1]Baseline!$D$4:$AZ$91))</f>
        <v>No Knowledge</v>
      </c>
      <c r="E2687" s="16" t="s">
        <v>154</v>
      </c>
      <c r="F2687" s="16">
        <v>0</v>
      </c>
      <c r="G2687" s="16">
        <v>99</v>
      </c>
      <c r="H2687" s="16">
        <f t="shared" si="41"/>
        <v>99</v>
      </c>
      <c r="I2687" s="13">
        <v>99</v>
      </c>
    </row>
    <row r="2688" spans="1:9">
      <c r="A2688" s="16" t="s">
        <v>29</v>
      </c>
      <c r="B2688" s="16" t="s">
        <v>89</v>
      </c>
      <c r="C2688" s="16" t="str">
        <f>VLOOKUP([1]Competence!$B58,[1]Competence!$B$12:$B$100,1,FALSE)</f>
        <v>Data Management</v>
      </c>
      <c r="D2688" s="13" t="str" cm="1">
        <f t="array" ref="D2688">_xlfn.XLOOKUP(B2688,[1]Baseline!$D$3:$AZ$3,_xlfn.XLOOKUP(C2688,[1]Baseline!$B$4:$B$91,[1]Baseline!$D$4:$AZ$91))</f>
        <v>No Knowledge</v>
      </c>
      <c r="E2688" s="16" t="s">
        <v>158</v>
      </c>
      <c r="F2688" s="16">
        <v>0</v>
      </c>
      <c r="G2688" s="16">
        <v>99</v>
      </c>
      <c r="H2688" s="16">
        <f t="shared" si="41"/>
        <v>99</v>
      </c>
      <c r="I2688" s="13">
        <v>99</v>
      </c>
    </row>
    <row r="2689" spans="1:9">
      <c r="A2689" s="16" t="s">
        <v>29</v>
      </c>
      <c r="B2689" s="16" t="s">
        <v>89</v>
      </c>
      <c r="C2689" s="16" t="str">
        <f>VLOOKUP([1]Competence!$B59,[1]Competence!$B$12:$B$100,1,FALSE)</f>
        <v>Data Modelling and Design</v>
      </c>
      <c r="D2689" s="13" t="str" cm="1">
        <f t="array" ref="D2689">_xlfn.XLOOKUP(B2689,[1]Baseline!$D$3:$AZ$3,_xlfn.XLOOKUP(C2689,[1]Baseline!$B$4:$B$91,[1]Baseline!$D$4:$AZ$91))</f>
        <v>No Knowledge</v>
      </c>
      <c r="E2689" s="16" t="s">
        <v>161</v>
      </c>
      <c r="F2689" s="16">
        <v>2</v>
      </c>
      <c r="G2689" s="16">
        <v>99</v>
      </c>
      <c r="H2689" s="16">
        <f t="shared" si="41"/>
        <v>97</v>
      </c>
      <c r="I2689" s="13">
        <v>99</v>
      </c>
    </row>
    <row r="2690" spans="1:9">
      <c r="A2690" s="16" t="s">
        <v>29</v>
      </c>
      <c r="B2690" s="16" t="s">
        <v>89</v>
      </c>
      <c r="C2690" s="16" t="str">
        <f>VLOOKUP([1]Competence!$B60,[1]Competence!$B$12:$B$100,1,FALSE)</f>
        <v>Data science</v>
      </c>
      <c r="D2690" s="13" t="str" cm="1">
        <f t="array" ref="D2690">_xlfn.XLOOKUP(B2690,[1]Baseline!$D$3:$AZ$3,_xlfn.XLOOKUP(C2690,[1]Baseline!$B$4:$B$91,[1]Baseline!$D$4:$AZ$91))</f>
        <v>No Knowledge</v>
      </c>
      <c r="E2690" s="16" t="s">
        <v>164</v>
      </c>
      <c r="F2690" s="16">
        <v>2</v>
      </c>
      <c r="G2690" s="16">
        <v>99</v>
      </c>
      <c r="H2690" s="16">
        <f t="shared" ref="H2690:H2753" si="42">I2690-F2690</f>
        <v>97</v>
      </c>
      <c r="I2690" s="13">
        <v>99</v>
      </c>
    </row>
    <row r="2691" spans="1:9">
      <c r="A2691" s="16" t="s">
        <v>29</v>
      </c>
      <c r="B2691" s="16" t="s">
        <v>89</v>
      </c>
      <c r="C2691" s="16" t="str">
        <f>VLOOKUP([1]Competence!$B61,[1]Competence!$B$12:$B$100,1,FALSE)</f>
        <v>Data visualisation</v>
      </c>
      <c r="D2691" s="13" t="str" cm="1">
        <f t="array" ref="D2691">_xlfn.XLOOKUP(B2691,[1]Baseline!$D$3:$AZ$3,_xlfn.XLOOKUP(C2691,[1]Baseline!$B$4:$B$91,[1]Baseline!$D$4:$AZ$91))</f>
        <v>No Knowledge</v>
      </c>
      <c r="E2691" s="16" t="s">
        <v>234</v>
      </c>
      <c r="F2691" s="16">
        <v>1</v>
      </c>
      <c r="G2691" s="16">
        <v>99</v>
      </c>
      <c r="H2691" s="16">
        <f t="shared" si="42"/>
        <v>98</v>
      </c>
      <c r="I2691" s="13">
        <v>99</v>
      </c>
    </row>
    <row r="2692" spans="1:9">
      <c r="A2692" s="16" t="s">
        <v>29</v>
      </c>
      <c r="B2692" s="16" t="s">
        <v>89</v>
      </c>
      <c r="C2692" s="16" t="str">
        <f>VLOOKUP([1]Competence!$B62,[1]Competence!$B$12:$B$100,1,FALSE)</f>
        <v>Database Administration</v>
      </c>
      <c r="D2692" s="13" t="str" cm="1">
        <f t="array" ref="D2692">_xlfn.XLOOKUP(B2692,[1]Baseline!$D$3:$AZ$3,_xlfn.XLOOKUP(C2692,[1]Baseline!$B$4:$B$91,[1]Baseline!$D$4:$AZ$91))</f>
        <v>No Knowledge</v>
      </c>
      <c r="E2692" s="16" t="s">
        <v>237</v>
      </c>
      <c r="F2692" s="16">
        <v>2</v>
      </c>
      <c r="G2692" s="16">
        <v>99</v>
      </c>
      <c r="H2692" s="16">
        <f t="shared" si="42"/>
        <v>97</v>
      </c>
      <c r="I2692" s="13">
        <v>99</v>
      </c>
    </row>
    <row r="2693" spans="1:9">
      <c r="A2693" s="16" t="s">
        <v>29</v>
      </c>
      <c r="B2693" s="16" t="s">
        <v>89</v>
      </c>
      <c r="C2693" s="16" t="str">
        <f>VLOOKUP([1]Competence!$B63,[1]Competence!$B$12:$B$100,1,FALSE)</f>
        <v>Database Design</v>
      </c>
      <c r="D2693" s="13" t="str" cm="1">
        <f t="array" ref="D2693">_xlfn.XLOOKUP(B2693,[1]Baseline!$D$3:$AZ$3,_xlfn.XLOOKUP(C2693,[1]Baseline!$B$4:$B$91,[1]Baseline!$D$4:$AZ$91))</f>
        <v>No Knowledge</v>
      </c>
      <c r="E2693" s="16" t="s">
        <v>382</v>
      </c>
      <c r="F2693" s="16">
        <v>1</v>
      </c>
      <c r="G2693" s="16">
        <v>99</v>
      </c>
      <c r="H2693" s="16">
        <f t="shared" si="42"/>
        <v>98</v>
      </c>
      <c r="I2693" s="13">
        <v>99</v>
      </c>
    </row>
    <row r="2694" spans="1:9">
      <c r="A2694" s="16" t="s">
        <v>29</v>
      </c>
      <c r="B2694" s="16" t="s">
        <v>89</v>
      </c>
      <c r="C2694" s="16" t="str">
        <f>VLOOKUP([1]Competence!$B64,[1]Competence!$B$12:$B$100,1,FALSE)</f>
        <v>Hardware design</v>
      </c>
      <c r="D2694" s="13" t="str" cm="1">
        <f t="array" ref="D2694">_xlfn.XLOOKUP(B2694,[1]Baseline!$D$3:$AZ$3,_xlfn.XLOOKUP(C2694,[1]Baseline!$B$4:$B$91,[1]Baseline!$D$4:$AZ$91))</f>
        <v>No Knowledge</v>
      </c>
      <c r="E2694" s="16" t="s">
        <v>383</v>
      </c>
      <c r="F2694" s="16">
        <v>0</v>
      </c>
      <c r="G2694" s="16">
        <v>99</v>
      </c>
      <c r="H2694" s="16">
        <f t="shared" si="42"/>
        <v>99</v>
      </c>
      <c r="I2694" s="13">
        <v>99</v>
      </c>
    </row>
    <row r="2695" spans="1:9">
      <c r="A2695" s="16" t="s">
        <v>29</v>
      </c>
      <c r="B2695" s="16" t="s">
        <v>89</v>
      </c>
      <c r="C2695" s="16" t="str">
        <f>VLOOKUP([1]Competence!$B65,[1]Competence!$B$12:$B$100,1,FALSE)</f>
        <v>High Performance Computing</v>
      </c>
      <c r="D2695" s="13" t="str" cm="1">
        <f t="array" ref="D2695">_xlfn.XLOOKUP(B2695,[1]Baseline!$D$3:$AZ$3,_xlfn.XLOOKUP(C2695,[1]Baseline!$B$4:$B$91,[1]Baseline!$D$4:$AZ$91))</f>
        <v>Awareness</v>
      </c>
      <c r="E2695" s="16" t="s">
        <v>240</v>
      </c>
      <c r="F2695" s="16">
        <v>0</v>
      </c>
      <c r="G2695" s="16">
        <v>99</v>
      </c>
      <c r="H2695" s="16">
        <f t="shared" si="42"/>
        <v>99</v>
      </c>
      <c r="I2695" s="13">
        <v>99</v>
      </c>
    </row>
    <row r="2696" spans="1:9">
      <c r="A2696" s="16" t="s">
        <v>29</v>
      </c>
      <c r="B2696" s="16" t="s">
        <v>89</v>
      </c>
      <c r="C2696" s="16" t="str">
        <f>VLOOKUP([1]Competence!$B66,[1]Competence!$B$12:$B$100,1,FALSE)</f>
        <v>Research Computing</v>
      </c>
      <c r="D2696" s="13" t="str" cm="1">
        <f t="array" ref="D2696">_xlfn.XLOOKUP(B2696,[1]Baseline!$D$3:$AZ$3,_xlfn.XLOOKUP(C2696,[1]Baseline!$B$4:$B$91,[1]Baseline!$D$4:$AZ$91))</f>
        <v>Awareness</v>
      </c>
      <c r="E2696" s="16" t="s">
        <v>243</v>
      </c>
      <c r="F2696" s="16">
        <v>0</v>
      </c>
      <c r="G2696" s="16">
        <v>99</v>
      </c>
      <c r="H2696" s="16">
        <f t="shared" si="42"/>
        <v>99</v>
      </c>
      <c r="I2696" s="13">
        <v>99</v>
      </c>
    </row>
    <row r="2697" spans="1:9">
      <c r="A2697" s="16" t="s">
        <v>29</v>
      </c>
      <c r="B2697" s="16" t="s">
        <v>89</v>
      </c>
      <c r="C2697" s="16" t="str">
        <f>VLOOKUP([1]Competence!$B67,[1]Competence!$B$12:$B$100,1,FALSE)</f>
        <v>Information assurance</v>
      </c>
      <c r="D2697" s="13" t="str" cm="1">
        <f t="array" ref="D2697">_xlfn.XLOOKUP(B2697,[1]Baseline!$D$3:$AZ$3,_xlfn.XLOOKUP(C2697,[1]Baseline!$B$4:$B$91,[1]Baseline!$D$4:$AZ$91))</f>
        <v>Practitioner</v>
      </c>
      <c r="E2697" s="16" t="s">
        <v>246</v>
      </c>
      <c r="F2697" s="16">
        <v>0</v>
      </c>
      <c r="G2697" s="16">
        <v>99</v>
      </c>
      <c r="H2697" s="16">
        <f t="shared" si="42"/>
        <v>99</v>
      </c>
      <c r="I2697" s="13">
        <v>99</v>
      </c>
    </row>
    <row r="2698" spans="1:9">
      <c r="A2698" s="16" t="s">
        <v>29</v>
      </c>
      <c r="B2698" s="16" t="s">
        <v>89</v>
      </c>
      <c r="C2698" s="16" t="str">
        <f>VLOOKUP([1]Competence!$B68,[1]Competence!$B$12:$B$100,1,FALSE)</f>
        <v>Information management</v>
      </c>
      <c r="D2698" s="13" t="str" cm="1">
        <f t="array" ref="D2698">_xlfn.XLOOKUP(B2698,[1]Baseline!$D$3:$AZ$3,_xlfn.XLOOKUP(C2698,[1]Baseline!$B$4:$B$91,[1]Baseline!$D$4:$AZ$91))</f>
        <v>Awareness</v>
      </c>
      <c r="E2698" s="16" t="s">
        <v>249</v>
      </c>
      <c r="F2698" s="16">
        <v>0</v>
      </c>
      <c r="G2698" s="16">
        <v>99</v>
      </c>
      <c r="H2698" s="16">
        <f t="shared" si="42"/>
        <v>99</v>
      </c>
      <c r="I2698" s="13">
        <v>99</v>
      </c>
    </row>
    <row r="2699" spans="1:9">
      <c r="A2699" s="16" t="s">
        <v>29</v>
      </c>
      <c r="B2699" s="16" t="s">
        <v>89</v>
      </c>
      <c r="C2699" s="16" t="str">
        <f>VLOOKUP([1]Competence!$B69,[1]Competence!$B$12:$B$100,1,FALSE)</f>
        <v>Infrastructure</v>
      </c>
      <c r="D2699" s="13" t="str" cm="1">
        <f t="array" ref="D2699">_xlfn.XLOOKUP(B2699,[1]Baseline!$D$3:$AZ$3,_xlfn.XLOOKUP(C2699,[1]Baseline!$B$4:$B$91,[1]Baseline!$D$4:$AZ$91))</f>
        <v>Working</v>
      </c>
      <c r="E2699" s="16" t="s">
        <v>252</v>
      </c>
      <c r="F2699" s="16">
        <v>0</v>
      </c>
      <c r="G2699" s="16">
        <v>99</v>
      </c>
      <c r="H2699" s="16">
        <f t="shared" si="42"/>
        <v>99</v>
      </c>
      <c r="I2699" s="13">
        <v>99</v>
      </c>
    </row>
    <row r="2700" spans="1:9">
      <c r="A2700" s="16" t="s">
        <v>29</v>
      </c>
      <c r="B2700" s="16" t="s">
        <v>89</v>
      </c>
      <c r="C2700" s="16" t="str">
        <f>VLOOKUP([1]Competence!$B70,[1]Competence!$B$12:$B$100,1,FALSE)</f>
        <v>Network design</v>
      </c>
      <c r="D2700" s="13" t="str" cm="1">
        <f t="array" ref="D2700">_xlfn.XLOOKUP(B2700,[1]Baseline!$D$3:$AZ$3,_xlfn.XLOOKUP(C2700,[1]Baseline!$B$4:$B$91,[1]Baseline!$D$4:$AZ$91))</f>
        <v>No Knowledge</v>
      </c>
      <c r="E2700" s="16" t="s">
        <v>255</v>
      </c>
      <c r="F2700" s="16">
        <v>0</v>
      </c>
      <c r="G2700" s="16">
        <v>99</v>
      </c>
      <c r="H2700" s="16">
        <f t="shared" si="42"/>
        <v>99</v>
      </c>
      <c r="I2700" s="13">
        <v>99</v>
      </c>
    </row>
    <row r="2701" spans="1:9">
      <c r="A2701" s="16" t="s">
        <v>29</v>
      </c>
      <c r="B2701" s="16" t="s">
        <v>89</v>
      </c>
      <c r="C2701" s="16" t="str">
        <f>VLOOKUP([1]Competence!$B71,[1]Competence!$B$12:$B$100,1,FALSE)</f>
        <v>Network Analytics</v>
      </c>
      <c r="D2701" s="13" t="str" cm="1">
        <f t="array" ref="D2701">_xlfn.XLOOKUP(B2701,[1]Baseline!$D$3:$AZ$3,_xlfn.XLOOKUP(C2701,[1]Baseline!$B$4:$B$91,[1]Baseline!$D$4:$AZ$91))</f>
        <v>No Knowledge</v>
      </c>
      <c r="E2701" s="16" t="s">
        <v>258</v>
      </c>
      <c r="F2701" s="16">
        <v>0</v>
      </c>
      <c r="G2701" s="16">
        <v>99</v>
      </c>
      <c r="H2701" s="16">
        <f t="shared" si="42"/>
        <v>99</v>
      </c>
      <c r="I2701" s="13">
        <v>99</v>
      </c>
    </row>
    <row r="2702" spans="1:9">
      <c r="A2702" s="16" t="s">
        <v>29</v>
      </c>
      <c r="B2702" s="16" t="s">
        <v>89</v>
      </c>
      <c r="C2702" s="16" t="str">
        <f>VLOOKUP([1]Competence!$B72,[1]Competence!$B$12:$B$100,1,FALSE)</f>
        <v>Network support</v>
      </c>
      <c r="D2702" s="13" t="str" cm="1">
        <f t="array" ref="D2702">_xlfn.XLOOKUP(B2702,[1]Baseline!$D$3:$AZ$3,_xlfn.XLOOKUP(C2702,[1]Baseline!$B$4:$B$91,[1]Baseline!$D$4:$AZ$91))</f>
        <v>Awareness</v>
      </c>
      <c r="E2702" s="16" t="s">
        <v>326</v>
      </c>
      <c r="F2702" s="16">
        <v>0</v>
      </c>
      <c r="G2702" s="16">
        <v>99</v>
      </c>
      <c r="H2702" s="16">
        <f t="shared" si="42"/>
        <v>99</v>
      </c>
      <c r="I2702" s="13">
        <v>99</v>
      </c>
    </row>
    <row r="2703" spans="1:9">
      <c r="A2703" s="16" t="s">
        <v>29</v>
      </c>
      <c r="B2703" s="16" t="s">
        <v>89</v>
      </c>
      <c r="C2703" s="16" t="str">
        <f>VLOOKUP([1]Competence!$B73,[1]Competence!$B$12:$B$100,1,FALSE)</f>
        <v>Programming/software development</v>
      </c>
      <c r="D2703" s="13" t="str" cm="1">
        <f t="array" ref="D2703">_xlfn.XLOOKUP(B2703,[1]Baseline!$D$3:$AZ$3,_xlfn.XLOOKUP(C2703,[1]Baseline!$B$4:$B$91,[1]Baseline!$D$4:$AZ$91))</f>
        <v>No Knowledge</v>
      </c>
      <c r="E2703" s="16" t="s">
        <v>261</v>
      </c>
      <c r="F2703" s="16">
        <v>0</v>
      </c>
      <c r="G2703" s="16">
        <v>99</v>
      </c>
      <c r="H2703" s="16">
        <f t="shared" si="42"/>
        <v>99</v>
      </c>
      <c r="I2703" s="13">
        <v>99</v>
      </c>
    </row>
    <row r="2704" spans="1:9">
      <c r="A2704" s="16" t="s">
        <v>29</v>
      </c>
      <c r="B2704" s="16" t="s">
        <v>89</v>
      </c>
      <c r="C2704" s="16" t="str">
        <f>VLOOKUP([1]Competence!$B74,[1]Competence!$B$12:$B$100,1,FALSE)</f>
        <v>Real-time/embedded systems development</v>
      </c>
      <c r="D2704" s="13" t="str" cm="1">
        <f t="array" ref="D2704">_xlfn.XLOOKUP(B2704,[1]Baseline!$D$3:$AZ$3,_xlfn.XLOOKUP(C2704,[1]Baseline!$B$4:$B$91,[1]Baseline!$D$4:$AZ$91))</f>
        <v>No Knowledge</v>
      </c>
      <c r="E2704" s="16" t="s">
        <v>264</v>
      </c>
      <c r="F2704" s="16">
        <v>1</v>
      </c>
      <c r="G2704" s="16">
        <v>99</v>
      </c>
      <c r="H2704" s="16">
        <f t="shared" si="42"/>
        <v>98</v>
      </c>
      <c r="I2704" s="13">
        <v>99</v>
      </c>
    </row>
    <row r="2705" spans="1:9">
      <c r="A2705" s="16" t="s">
        <v>29</v>
      </c>
      <c r="B2705" s="16" t="s">
        <v>89</v>
      </c>
      <c r="C2705" s="16" t="str">
        <f>VLOOKUP([1]Competence!$B75,[1]Competence!$B$12:$B$100,1,FALSE)</f>
        <v>Requirements definition and management</v>
      </c>
      <c r="D2705" s="13" t="str" cm="1">
        <f t="array" ref="D2705">_xlfn.XLOOKUP(B2705,[1]Baseline!$D$3:$AZ$3,_xlfn.XLOOKUP(C2705,[1]Baseline!$B$4:$B$91,[1]Baseline!$D$4:$AZ$91))</f>
        <v>No Knowledge</v>
      </c>
      <c r="E2705" s="16" t="s">
        <v>267</v>
      </c>
      <c r="F2705" s="16">
        <v>2</v>
      </c>
      <c r="G2705" s="16">
        <v>99</v>
      </c>
      <c r="H2705" s="16">
        <f t="shared" si="42"/>
        <v>97</v>
      </c>
      <c r="I2705" s="13">
        <v>99</v>
      </c>
    </row>
    <row r="2706" spans="1:9">
      <c r="A2706" s="16" t="s">
        <v>29</v>
      </c>
      <c r="B2706" s="16" t="s">
        <v>89</v>
      </c>
      <c r="C2706" s="16" t="str">
        <f>VLOOKUP([1]Competence!$B76,[1]Competence!$B$12:$B$100,1,FALSE)</f>
        <v>Software configuration</v>
      </c>
      <c r="D2706" s="13" t="str" cm="1">
        <f t="array" ref="D2706">_xlfn.XLOOKUP(B2706,[1]Baseline!$D$3:$AZ$3,_xlfn.XLOOKUP(C2706,[1]Baseline!$B$4:$B$91,[1]Baseline!$D$4:$AZ$91))</f>
        <v>No Knowledge</v>
      </c>
      <c r="E2706" s="16" t="s">
        <v>270</v>
      </c>
      <c r="F2706" s="16">
        <v>1</v>
      </c>
      <c r="G2706" s="16">
        <v>99</v>
      </c>
      <c r="H2706" s="16">
        <f t="shared" si="42"/>
        <v>98</v>
      </c>
      <c r="I2706" s="13">
        <v>99</v>
      </c>
    </row>
    <row r="2707" spans="1:9">
      <c r="A2707" s="16" t="s">
        <v>29</v>
      </c>
      <c r="B2707" s="16" t="s">
        <v>89</v>
      </c>
      <c r="C2707" s="16" t="str">
        <f>VLOOKUP([1]Competence!$B77,[1]Competence!$B$12:$B$100,1,FALSE)</f>
        <v>Software design</v>
      </c>
      <c r="D2707" s="13" t="str" cm="1">
        <f t="array" ref="D2707">_xlfn.XLOOKUP(B2707,[1]Baseline!$D$3:$AZ$3,_xlfn.XLOOKUP(C2707,[1]Baseline!$B$4:$B$91,[1]Baseline!$D$4:$AZ$91))</f>
        <v>No Knowledge</v>
      </c>
      <c r="E2707" s="16" t="s">
        <v>50</v>
      </c>
      <c r="F2707" s="16">
        <v>1</v>
      </c>
      <c r="G2707" s="16">
        <v>99</v>
      </c>
      <c r="H2707" s="16">
        <f t="shared" si="42"/>
        <v>98</v>
      </c>
      <c r="I2707" s="13">
        <v>99</v>
      </c>
    </row>
    <row r="2708" spans="1:9">
      <c r="A2708" s="16" t="s">
        <v>29</v>
      </c>
      <c r="B2708" s="16" t="s">
        <v>89</v>
      </c>
      <c r="C2708" s="16" t="str">
        <f>VLOOKUP([1]Competence!$B78,[1]Competence!$B$12:$B$100,1,FALSE)</f>
        <v>Solution architecture</v>
      </c>
      <c r="D2708" s="13" t="str" cm="1">
        <f t="array" ref="D2708">_xlfn.XLOOKUP(B2708,[1]Baseline!$D$3:$AZ$3,_xlfn.XLOOKUP(C2708,[1]Baseline!$B$4:$B$91,[1]Baseline!$D$4:$AZ$91))</f>
        <v>No Knowledge</v>
      </c>
      <c r="E2708" s="16" t="s">
        <v>320</v>
      </c>
      <c r="F2708" s="16">
        <v>0</v>
      </c>
      <c r="G2708" s="16">
        <v>99</v>
      </c>
      <c r="H2708" s="16">
        <f t="shared" si="42"/>
        <v>99</v>
      </c>
      <c r="I2708" s="13">
        <v>99</v>
      </c>
    </row>
    <row r="2709" spans="1:9">
      <c r="A2709" s="16" t="s">
        <v>29</v>
      </c>
      <c r="B2709" s="16" t="s">
        <v>89</v>
      </c>
      <c r="C2709" s="16" t="str">
        <f>VLOOKUP([1]Competence!$B79,[1]Competence!$B$12:$B$100,1,FALSE)</f>
        <v>System software</v>
      </c>
      <c r="D2709" s="13" t="str" cm="1">
        <f t="array" ref="D2709">_xlfn.XLOOKUP(B2709,[1]Baseline!$D$3:$AZ$3,_xlfn.XLOOKUP(C2709,[1]Baseline!$B$4:$B$91,[1]Baseline!$D$4:$AZ$91))</f>
        <v>No Knowledge</v>
      </c>
      <c r="E2709" s="16" t="s">
        <v>278</v>
      </c>
      <c r="F2709" s="16">
        <v>0</v>
      </c>
      <c r="G2709" s="16">
        <v>99</v>
      </c>
      <c r="H2709" s="16">
        <f t="shared" si="42"/>
        <v>99</v>
      </c>
      <c r="I2709" s="13">
        <v>99</v>
      </c>
    </row>
    <row r="2710" spans="1:9">
      <c r="A2710" s="16" t="s">
        <v>29</v>
      </c>
      <c r="B2710" s="16" t="s">
        <v>89</v>
      </c>
      <c r="C2710" s="16" t="str">
        <f>VLOOKUP([1]Competence!$B80,[1]Competence!$B$12:$B$100,1,FALSE)</f>
        <v>Systems and software life cycle engineering</v>
      </c>
      <c r="D2710" s="13" t="str" cm="1">
        <f t="array" ref="D2710">_xlfn.XLOOKUP(B2710,[1]Baseline!$D$3:$AZ$3,_xlfn.XLOOKUP(C2710,[1]Baseline!$B$4:$B$91,[1]Baseline!$D$4:$AZ$91))</f>
        <v>No Knowledge</v>
      </c>
      <c r="E2710" s="16" t="s">
        <v>275</v>
      </c>
      <c r="F2710" s="16">
        <v>0</v>
      </c>
      <c r="G2710" s="16">
        <v>99</v>
      </c>
      <c r="H2710" s="16">
        <f t="shared" si="42"/>
        <v>99</v>
      </c>
      <c r="I2710" s="13">
        <v>99</v>
      </c>
    </row>
    <row r="2711" spans="1:9">
      <c r="A2711" s="16" t="s">
        <v>29</v>
      </c>
      <c r="B2711" s="16" t="s">
        <v>89</v>
      </c>
      <c r="C2711" s="16" t="str">
        <f>VLOOKUP([1]Competence!$B81,[1]Competence!$B$12:$B$100,1,FALSE)</f>
        <v>Systems design</v>
      </c>
      <c r="D2711" s="13" t="str" cm="1">
        <f t="array" ref="D2711">_xlfn.XLOOKUP(B2711,[1]Baseline!$D$3:$AZ$3,_xlfn.XLOOKUP(C2711,[1]Baseline!$B$4:$B$91,[1]Baseline!$D$4:$AZ$91))</f>
        <v>No Knowledge</v>
      </c>
      <c r="E2711" s="16" t="s">
        <v>281</v>
      </c>
      <c r="F2711" s="16">
        <v>2</v>
      </c>
      <c r="G2711" s="16">
        <v>99</v>
      </c>
      <c r="H2711" s="16">
        <f t="shared" si="42"/>
        <v>97</v>
      </c>
      <c r="I2711" s="13">
        <v>99</v>
      </c>
    </row>
    <row r="2712" spans="1:9">
      <c r="A2712" s="16" t="s">
        <v>29</v>
      </c>
      <c r="B2712" s="16" t="s">
        <v>89</v>
      </c>
      <c r="C2712" s="16" t="str">
        <f>VLOOKUP([1]Competence!$B82,[1]Competence!$B$12:$B$100,1,FALSE)</f>
        <v>Systems development management</v>
      </c>
      <c r="D2712" s="13" t="str" cm="1">
        <f t="array" ref="D2712">_xlfn.XLOOKUP(B2712,[1]Baseline!$D$3:$AZ$3,_xlfn.XLOOKUP(C2712,[1]Baseline!$B$4:$B$91,[1]Baseline!$D$4:$AZ$91))</f>
        <v>No Knowledge</v>
      </c>
      <c r="E2712" s="16" t="s">
        <v>284</v>
      </c>
      <c r="F2712" s="16">
        <v>0</v>
      </c>
      <c r="G2712" s="16">
        <v>99</v>
      </c>
      <c r="H2712" s="16">
        <f t="shared" si="42"/>
        <v>99</v>
      </c>
      <c r="I2712" s="13">
        <v>99</v>
      </c>
    </row>
    <row r="2713" spans="1:9">
      <c r="A2713" s="16" t="s">
        <v>29</v>
      </c>
      <c r="B2713" s="16" t="s">
        <v>89</v>
      </c>
      <c r="C2713" s="16" t="str">
        <f>VLOOKUP([1]Competence!$B83,[1]Competence!$B$12:$B$100,1,FALSE)</f>
        <v>Systems installation and removal</v>
      </c>
      <c r="D2713" s="13" t="str" cm="1">
        <f t="array" ref="D2713">_xlfn.XLOOKUP(B2713,[1]Baseline!$D$3:$AZ$3,_xlfn.XLOOKUP(C2713,[1]Baseline!$B$4:$B$91,[1]Baseline!$D$4:$AZ$91))</f>
        <v>Awareness</v>
      </c>
      <c r="E2713" s="16" t="s">
        <v>287</v>
      </c>
      <c r="F2713" s="16">
        <v>0</v>
      </c>
      <c r="G2713" s="16">
        <v>99</v>
      </c>
      <c r="H2713" s="16">
        <f t="shared" si="42"/>
        <v>99</v>
      </c>
      <c r="I2713" s="13">
        <v>99</v>
      </c>
    </row>
    <row r="2714" spans="1:9">
      <c r="A2714" s="16" t="s">
        <v>29</v>
      </c>
      <c r="B2714" s="16" t="s">
        <v>89</v>
      </c>
      <c r="C2714" s="16" t="str">
        <f>VLOOKUP([1]Competence!$B84,[1]Competence!$B$12:$B$100,1,FALSE)</f>
        <v>Testing</v>
      </c>
      <c r="D2714" s="13" t="str" cm="1">
        <f t="array" ref="D2714">_xlfn.XLOOKUP(B2714,[1]Baseline!$D$3:$AZ$3,_xlfn.XLOOKUP(C2714,[1]Baseline!$B$4:$B$91,[1]Baseline!$D$4:$AZ$91))</f>
        <v>Working</v>
      </c>
      <c r="E2714" s="16" t="s">
        <v>290</v>
      </c>
      <c r="F2714" s="16">
        <v>0</v>
      </c>
      <c r="G2714" s="16">
        <v>99</v>
      </c>
      <c r="H2714" s="16">
        <f t="shared" si="42"/>
        <v>99</v>
      </c>
      <c r="I2714" s="13">
        <v>99</v>
      </c>
    </row>
    <row r="2715" spans="1:9">
      <c r="A2715" s="16" t="s">
        <v>29</v>
      </c>
      <c r="B2715" s="16" t="s">
        <v>89</v>
      </c>
      <c r="C2715" s="16" t="str">
        <f>VLOOKUP([1]Competence!$B85,[1]Competence!$B$12:$B$100,1,FALSE)</f>
        <v>Innovation</v>
      </c>
      <c r="D2715" s="13" t="str" cm="1">
        <f t="array" ref="D2715">_xlfn.XLOOKUP(B2715,[1]Baseline!$D$3:$AZ$3,_xlfn.XLOOKUP(C2715,[1]Baseline!$B$4:$B$91,[1]Baseline!$D$4:$AZ$91))</f>
        <v>No Knowledge</v>
      </c>
      <c r="E2715" s="16" t="s">
        <v>51</v>
      </c>
      <c r="F2715" s="16">
        <v>1</v>
      </c>
      <c r="G2715" s="16">
        <v>99</v>
      </c>
      <c r="H2715" s="16">
        <f t="shared" si="42"/>
        <v>98</v>
      </c>
      <c r="I2715" s="13">
        <v>99</v>
      </c>
    </row>
    <row r="2716" spans="1:9">
      <c r="A2716" s="16" t="s">
        <v>29</v>
      </c>
      <c r="B2716" s="16" t="s">
        <v>89</v>
      </c>
      <c r="C2716" s="16" t="str">
        <f>VLOOKUP([1]Competence!$B86,[1]Competence!$B$12:$B$100,1,FALSE)</f>
        <v>Specialist Advice</v>
      </c>
      <c r="D2716" s="13" t="str" cm="1">
        <f t="array" ref="D2716">_xlfn.XLOOKUP(B2716,[1]Baseline!$D$3:$AZ$3,_xlfn.XLOOKUP(C2716,[1]Baseline!$B$4:$B$91,[1]Baseline!$D$4:$AZ$91))</f>
        <v>No Knowledge</v>
      </c>
      <c r="E2716" s="16" t="s">
        <v>293</v>
      </c>
      <c r="F2716" s="16">
        <v>0</v>
      </c>
      <c r="G2716" s="16">
        <v>99</v>
      </c>
      <c r="H2716" s="16">
        <f t="shared" si="42"/>
        <v>99</v>
      </c>
      <c r="I2716" s="13">
        <v>99</v>
      </c>
    </row>
    <row r="2717" spans="1:9">
      <c r="A2717" s="16" t="s">
        <v>29</v>
      </c>
      <c r="B2717" s="16" t="s">
        <v>89</v>
      </c>
      <c r="C2717" s="16" t="str">
        <f>VLOOKUP([1]Competence!$B87,[1]Competence!$B$12:$B$100,1,FALSE)</f>
        <v>Emerging technology monitoring</v>
      </c>
      <c r="D2717" s="13" t="str" cm="1">
        <f t="array" ref="D2717">_xlfn.XLOOKUP(B2717,[1]Baseline!$D$3:$AZ$3,_xlfn.XLOOKUP(C2717,[1]Baseline!$B$4:$B$91,[1]Baseline!$D$4:$AZ$91))</f>
        <v>No Knowledge</v>
      </c>
      <c r="E2717" s="16" t="s">
        <v>296</v>
      </c>
      <c r="F2717" s="16">
        <v>0</v>
      </c>
      <c r="G2717" s="16">
        <v>99</v>
      </c>
      <c r="H2717" s="16">
        <f t="shared" si="42"/>
        <v>99</v>
      </c>
      <c r="I2717" s="13">
        <v>99</v>
      </c>
    </row>
    <row r="2718" spans="1:9">
      <c r="A2718" s="16" t="s">
        <v>29</v>
      </c>
      <c r="B2718" s="16" t="s">
        <v>89</v>
      </c>
      <c r="C2718" s="16" t="str">
        <f>VLOOKUP([1]Competence!$B88,[1]Competence!$B$12:$B$100,1,FALSE)</f>
        <v>Systems integration and build</v>
      </c>
      <c r="D2718" s="13" t="str" cm="1">
        <f t="array" ref="D2718">_xlfn.XLOOKUP(B2718,[1]Baseline!$D$3:$AZ$3,_xlfn.XLOOKUP(C2718,[1]Baseline!$B$4:$B$91,[1]Baseline!$D$4:$AZ$91))</f>
        <v>Awareness</v>
      </c>
      <c r="E2718" s="16" t="s">
        <v>299</v>
      </c>
      <c r="F2718" s="16">
        <v>0</v>
      </c>
      <c r="G2718" s="16">
        <v>99</v>
      </c>
      <c r="H2718" s="16">
        <f t="shared" si="42"/>
        <v>99</v>
      </c>
      <c r="I2718" s="13">
        <v>99</v>
      </c>
    </row>
    <row r="2719" spans="1:9">
      <c r="A2719" s="16" t="s">
        <v>29</v>
      </c>
      <c r="B2719" s="16" t="s">
        <v>89</v>
      </c>
      <c r="C2719" s="16" t="str">
        <f>VLOOKUP([1]Competence!$B89,[1]Competence!$B$12:$B$100,1,FALSE)</f>
        <v>Audio Visual</v>
      </c>
      <c r="D2719" s="13" t="str" cm="1">
        <f t="array" ref="D2719">_xlfn.XLOOKUP(B2719,[1]Baseline!$D$3:$AZ$3,_xlfn.XLOOKUP(C2719,[1]Baseline!$B$4:$B$91,[1]Baseline!$D$4:$AZ$91))</f>
        <v>Awareness</v>
      </c>
      <c r="E2719" s="16" t="s">
        <v>323</v>
      </c>
      <c r="F2719" s="16">
        <v>0</v>
      </c>
      <c r="G2719" s="16">
        <v>99</v>
      </c>
      <c r="H2719" s="16">
        <f t="shared" si="42"/>
        <v>99</v>
      </c>
      <c r="I2719" s="13">
        <v>99</v>
      </c>
    </row>
    <row r="2720" spans="1:9">
      <c r="A2720" s="16" t="s">
        <v>29</v>
      </c>
      <c r="B2720" s="16" t="s">
        <v>89</v>
      </c>
      <c r="C2720" s="16" t="str">
        <f>VLOOKUP([1]Competence!$B90,[1]Competence!$B$12:$B$100,1,FALSE)</f>
        <v>Augmented Reality</v>
      </c>
      <c r="D2720" s="13" t="str" cm="1">
        <f t="array" ref="D2720">_xlfn.XLOOKUP(B2720,[1]Baseline!$D$3:$AZ$3,_xlfn.XLOOKUP(C2720,[1]Baseline!$B$4:$B$91,[1]Baseline!$D$4:$AZ$91))</f>
        <v>Awareness</v>
      </c>
      <c r="E2720" s="16" t="s">
        <v>302</v>
      </c>
      <c r="F2720" s="16">
        <v>0</v>
      </c>
      <c r="G2720" s="16">
        <v>99</v>
      </c>
      <c r="H2720" s="16">
        <f t="shared" si="42"/>
        <v>99</v>
      </c>
      <c r="I2720" s="13">
        <v>99</v>
      </c>
    </row>
    <row r="2721" spans="1:9">
      <c r="A2721" s="16" t="s">
        <v>29</v>
      </c>
      <c r="B2721" s="16" t="s">
        <v>89</v>
      </c>
      <c r="C2721" s="16" t="str">
        <f>VLOOKUP([1]Competence!$B91,[1]Competence!$B$12:$B$100,1,FALSE)</f>
        <v>Benefits management</v>
      </c>
      <c r="D2721" s="13" t="str" cm="1">
        <f t="array" ref="D2721">_xlfn.XLOOKUP(B2721,[1]Baseline!$D$3:$AZ$3,_xlfn.XLOOKUP(C2721,[1]Baseline!$B$4:$B$91,[1]Baseline!$D$4:$AZ$91))</f>
        <v>No Knowledge</v>
      </c>
      <c r="E2721" s="16" t="s">
        <v>305</v>
      </c>
      <c r="F2721" s="16">
        <v>0</v>
      </c>
      <c r="G2721" s="16">
        <v>99</v>
      </c>
      <c r="H2721" s="16">
        <f t="shared" si="42"/>
        <v>99</v>
      </c>
      <c r="I2721" s="13">
        <v>99</v>
      </c>
    </row>
    <row r="2722" spans="1:9">
      <c r="A2722" s="16" t="s">
        <v>29</v>
      </c>
      <c r="B2722" s="16" t="s">
        <v>89</v>
      </c>
      <c r="C2722" s="16" t="str">
        <f>VLOOKUP([1]Competence!$B92,[1]Competence!$B$12:$B$100,1,FALSE)</f>
        <v>Business administration</v>
      </c>
      <c r="D2722" s="13" t="str" cm="1">
        <f t="array" ref="D2722">_xlfn.XLOOKUP(B2722,[1]Baseline!$D$3:$AZ$3,_xlfn.XLOOKUP(C2722,[1]Baseline!$B$4:$B$91,[1]Baseline!$D$4:$AZ$91))</f>
        <v>No Knowledge</v>
      </c>
      <c r="E2722" s="16" t="s">
        <v>308</v>
      </c>
      <c r="F2722" s="16">
        <v>0</v>
      </c>
      <c r="G2722" s="16">
        <v>99</v>
      </c>
      <c r="H2722" s="16">
        <f t="shared" si="42"/>
        <v>99</v>
      </c>
      <c r="I2722" s="13">
        <v>99</v>
      </c>
    </row>
    <row r="2723" spans="1:9">
      <c r="A2723" s="16" t="s">
        <v>29</v>
      </c>
      <c r="B2723" s="16" t="s">
        <v>89</v>
      </c>
      <c r="C2723" s="16" t="str">
        <f>VLOOKUP([1]Competence!$B93,[1]Competence!$B$12:$B$100,1,FALSE)</f>
        <v>Business intelligence</v>
      </c>
      <c r="D2723" s="13" t="str" cm="1">
        <f t="array" ref="D2723">_xlfn.XLOOKUP(B2723,[1]Baseline!$D$3:$AZ$3,_xlfn.XLOOKUP(C2723,[1]Baseline!$B$4:$B$91,[1]Baseline!$D$4:$AZ$91))</f>
        <v>No Knowledge</v>
      </c>
      <c r="E2723" s="16" t="s">
        <v>311</v>
      </c>
      <c r="F2723" s="16">
        <v>0</v>
      </c>
      <c r="G2723" s="16">
        <v>99</v>
      </c>
      <c r="H2723" s="16">
        <f t="shared" si="42"/>
        <v>99</v>
      </c>
      <c r="I2723" s="13">
        <v>99</v>
      </c>
    </row>
    <row r="2724" spans="1:9">
      <c r="A2724" s="16" t="s">
        <v>29</v>
      </c>
      <c r="B2724" s="16" t="s">
        <v>89</v>
      </c>
      <c r="C2724" s="16" t="str">
        <f>VLOOKUP([1]Competence!$B94,[1]Competence!$B$12:$B$100,1,FALSE)</f>
        <v>Business modelling</v>
      </c>
      <c r="D2724" s="13" t="str" cm="1">
        <f t="array" ref="D2724">_xlfn.XLOOKUP(B2724,[1]Baseline!$D$3:$AZ$3,_xlfn.XLOOKUP(C2724,[1]Baseline!$B$4:$B$91,[1]Baseline!$D$4:$AZ$91))</f>
        <v>No Knowledge</v>
      </c>
      <c r="E2724" s="16" t="s">
        <v>314</v>
      </c>
      <c r="F2724" s="16">
        <v>2</v>
      </c>
      <c r="G2724" s="16">
        <v>99</v>
      </c>
      <c r="H2724" s="16">
        <f t="shared" si="42"/>
        <v>97</v>
      </c>
      <c r="I2724" s="13">
        <v>99</v>
      </c>
    </row>
    <row r="2725" spans="1:9">
      <c r="A2725" s="16" t="s">
        <v>29</v>
      </c>
      <c r="B2725" s="16" t="s">
        <v>89</v>
      </c>
      <c r="C2725" s="16" t="str">
        <f>VLOOKUP([1]Competence!$B95,[1]Competence!$B$12:$B$100,1,FALSE)</f>
        <v>Business process improvement</v>
      </c>
      <c r="D2725" s="13" t="str" cm="1">
        <f t="array" ref="D2725">_xlfn.XLOOKUP(B2725,[1]Baseline!$D$3:$AZ$3,_xlfn.XLOOKUP(C2725,[1]Baseline!$B$4:$B$91,[1]Baseline!$D$4:$AZ$91))</f>
        <v>No Knowledge</v>
      </c>
      <c r="E2725" s="16" t="s">
        <v>328</v>
      </c>
      <c r="F2725" s="16">
        <v>2</v>
      </c>
      <c r="G2725" s="16">
        <v>99</v>
      </c>
      <c r="H2725" s="16">
        <f t="shared" si="42"/>
        <v>97</v>
      </c>
      <c r="I2725" s="13">
        <v>99</v>
      </c>
    </row>
    <row r="2726" spans="1:9">
      <c r="A2726" s="16" t="s">
        <v>29</v>
      </c>
      <c r="B2726" s="16" t="s">
        <v>89</v>
      </c>
      <c r="C2726" s="16" t="str">
        <f>VLOOKUP([1]Competence!$B96,[1]Competence!$B$12:$B$100,1,FALSE)</f>
        <v>Business situation analysis</v>
      </c>
      <c r="D2726" s="13" t="str" cm="1">
        <f t="array" ref="D2726">_xlfn.XLOOKUP(B2726,[1]Baseline!$D$3:$AZ$3,_xlfn.XLOOKUP(C2726,[1]Baseline!$B$4:$B$91,[1]Baseline!$D$4:$AZ$91))</f>
        <v>No Knowledge</v>
      </c>
      <c r="E2726" s="16" t="s">
        <v>317</v>
      </c>
      <c r="F2726" s="16">
        <v>2</v>
      </c>
      <c r="G2726" s="16">
        <v>99</v>
      </c>
      <c r="H2726" s="16">
        <f t="shared" si="42"/>
        <v>97</v>
      </c>
      <c r="I2726" s="13">
        <v>99</v>
      </c>
    </row>
    <row r="2727" spans="1:9">
      <c r="A2727" s="16" t="s">
        <v>29</v>
      </c>
      <c r="B2727" s="16" t="s">
        <v>89</v>
      </c>
      <c r="C2727" s="16" t="str">
        <f>VLOOKUP([1]Competence!$B97,[1]Competence!$B$12:$B$100,1,FALSE)</f>
        <v>Programme management</v>
      </c>
      <c r="D2727" s="13" t="str" cm="1">
        <f t="array" ref="D2727">_xlfn.XLOOKUP(B2727,[1]Baseline!$D$3:$AZ$3,_xlfn.XLOOKUP(C2727,[1]Baseline!$B$4:$B$91,[1]Baseline!$D$4:$AZ$91))</f>
        <v>No Knowledge</v>
      </c>
      <c r="E2727" s="16" t="s">
        <v>352</v>
      </c>
      <c r="F2727" s="16">
        <v>0</v>
      </c>
      <c r="G2727" s="16">
        <v>99</v>
      </c>
      <c r="H2727" s="16">
        <f t="shared" si="42"/>
        <v>99</v>
      </c>
      <c r="I2727" s="13">
        <v>99</v>
      </c>
    </row>
    <row r="2728" spans="1:9">
      <c r="A2728" s="16" t="s">
        <v>29</v>
      </c>
      <c r="B2728" s="16" t="s">
        <v>89</v>
      </c>
      <c r="C2728" s="16" t="str">
        <f>VLOOKUP([1]Competence!$B98,[1]Competence!$B$12:$B$100,1,FALSE)</f>
        <v>Project management</v>
      </c>
      <c r="D2728" s="13" t="str" cm="1">
        <f t="array" ref="D2728">_xlfn.XLOOKUP(B2728,[1]Baseline!$D$3:$AZ$3,_xlfn.XLOOKUP(C2728,[1]Baseline!$B$4:$B$91,[1]Baseline!$D$4:$AZ$91))</f>
        <v>No Knowledge</v>
      </c>
      <c r="E2728" s="16" t="s">
        <v>355</v>
      </c>
      <c r="F2728" s="16">
        <v>0</v>
      </c>
      <c r="G2728" s="16">
        <v>99</v>
      </c>
      <c r="H2728" s="16">
        <f t="shared" si="42"/>
        <v>99</v>
      </c>
      <c r="I2728" s="13">
        <v>99</v>
      </c>
    </row>
    <row r="2729" spans="1:9">
      <c r="A2729" s="16" t="s">
        <v>29</v>
      </c>
      <c r="B2729" s="16" t="s">
        <v>89</v>
      </c>
      <c r="C2729" s="16" t="str">
        <f>VLOOKUP([1]Competence!$B99,[1]Competence!$B$12:$B$100,1,FALSE)</f>
        <v>Quality assurance</v>
      </c>
      <c r="D2729" s="13" t="str" cm="1">
        <f t="array" ref="D2729">_xlfn.XLOOKUP(B2729,[1]Baseline!$D$3:$AZ$3,_xlfn.XLOOKUP(C2729,[1]Baseline!$B$4:$B$91,[1]Baseline!$D$4:$AZ$91))</f>
        <v>Working</v>
      </c>
      <c r="E2729" s="16" t="s">
        <v>358</v>
      </c>
      <c r="F2729" s="16">
        <v>1</v>
      </c>
      <c r="G2729" s="16">
        <v>99</v>
      </c>
      <c r="H2729" s="16">
        <f t="shared" si="42"/>
        <v>98</v>
      </c>
      <c r="I2729" s="13">
        <v>99</v>
      </c>
    </row>
    <row r="2730" spans="1:9">
      <c r="A2730" s="16" t="s">
        <v>30</v>
      </c>
      <c r="B2730" s="16" t="s">
        <v>89</v>
      </c>
      <c r="C2730" s="16" t="s">
        <v>334</v>
      </c>
      <c r="D2730" s="13" t="str" cm="1">
        <f t="array" ref="D2730">_xlfn.XLOOKUP(B2730,[1]Baseline!$D$3:$AZ$3,_xlfn.XLOOKUP(C2730,[1]Baseline!$B$4:$B$91,[1]Baseline!$D$4:$AZ$91))</f>
        <v>No Knowledge</v>
      </c>
      <c r="E2730" s="16" t="s">
        <v>334</v>
      </c>
      <c r="F2730" s="16">
        <v>0</v>
      </c>
      <c r="G2730" s="16">
        <v>99</v>
      </c>
      <c r="H2730" s="16">
        <f t="shared" si="42"/>
        <v>99</v>
      </c>
      <c r="I2730" s="13">
        <v>99</v>
      </c>
    </row>
    <row r="2731" spans="1:9">
      <c r="A2731" s="16" t="s">
        <v>30</v>
      </c>
      <c r="B2731" s="16" t="s">
        <v>89</v>
      </c>
      <c r="C2731" s="16" t="s">
        <v>337</v>
      </c>
      <c r="D2731" s="13" t="str" cm="1">
        <f t="array" ref="D2731">_xlfn.XLOOKUP(B2731,[1]Baseline!$D$3:$AZ$3,_xlfn.XLOOKUP(C2731,[1]Baseline!$B$4:$B$91,[1]Baseline!$D$4:$AZ$91))</f>
        <v>No Knowledge</v>
      </c>
      <c r="E2731" s="16" t="s">
        <v>337</v>
      </c>
      <c r="F2731" s="16">
        <v>0</v>
      </c>
      <c r="G2731" s="16">
        <v>99</v>
      </c>
      <c r="H2731" s="16">
        <f t="shared" si="42"/>
        <v>99</v>
      </c>
      <c r="I2731" s="13">
        <v>99</v>
      </c>
    </row>
    <row r="2732" spans="1:9">
      <c r="A2732" s="16" t="s">
        <v>30</v>
      </c>
      <c r="B2732" s="16" t="s">
        <v>89</v>
      </c>
      <c r="C2732" s="16" t="s">
        <v>340</v>
      </c>
      <c r="D2732" s="13" t="str" cm="1">
        <f t="array" ref="D2732">_xlfn.XLOOKUP(B2732,[1]Baseline!$D$3:$AZ$3,_xlfn.XLOOKUP(C2732,[1]Baseline!$B$4:$B$91,[1]Baseline!$D$4:$AZ$91))</f>
        <v>No Knowledge</v>
      </c>
      <c r="E2732" s="16" t="s">
        <v>340</v>
      </c>
      <c r="F2732" s="16">
        <v>0</v>
      </c>
      <c r="G2732" s="16">
        <v>99</v>
      </c>
      <c r="H2732" s="16">
        <f t="shared" si="42"/>
        <v>99</v>
      </c>
      <c r="I2732" s="13">
        <v>99</v>
      </c>
    </row>
    <row r="2733" spans="1:9">
      <c r="A2733" s="16" t="s">
        <v>30</v>
      </c>
      <c r="B2733" s="16" t="s">
        <v>89</v>
      </c>
      <c r="C2733" s="16" t="s">
        <v>343</v>
      </c>
      <c r="D2733" s="13" t="str" cm="1">
        <f t="array" ref="D2733">_xlfn.XLOOKUP(B2733,[1]Baseline!$D$3:$AZ$3,_xlfn.XLOOKUP(C2733,[1]Baseline!$B$4:$B$91,[1]Baseline!$D$4:$AZ$91))</f>
        <v>No Knowledge</v>
      </c>
      <c r="E2733" s="16" t="s">
        <v>343</v>
      </c>
      <c r="F2733" s="16">
        <v>0</v>
      </c>
      <c r="G2733" s="16">
        <v>99</v>
      </c>
      <c r="H2733" s="16">
        <f t="shared" si="42"/>
        <v>99</v>
      </c>
      <c r="I2733" s="13">
        <v>99</v>
      </c>
    </row>
    <row r="2734" spans="1:9">
      <c r="A2734" s="16" t="s">
        <v>30</v>
      </c>
      <c r="B2734" s="16" t="s">
        <v>89</v>
      </c>
      <c r="C2734" s="16" t="s">
        <v>346</v>
      </c>
      <c r="D2734" s="13" t="str" cm="1">
        <f t="array" ref="D2734">_xlfn.XLOOKUP(B2734,[1]Baseline!$D$3:$AZ$3,_xlfn.XLOOKUP(C2734,[1]Baseline!$B$4:$B$91,[1]Baseline!$D$4:$AZ$91))</f>
        <v>No Knowledge</v>
      </c>
      <c r="E2734" s="16" t="s">
        <v>346</v>
      </c>
      <c r="F2734" s="16">
        <v>0</v>
      </c>
      <c r="G2734" s="16">
        <v>99</v>
      </c>
      <c r="H2734" s="16">
        <f t="shared" si="42"/>
        <v>99</v>
      </c>
      <c r="I2734" s="13">
        <v>99</v>
      </c>
    </row>
    <row r="2735" spans="1:9">
      <c r="A2735" s="16" t="s">
        <v>30</v>
      </c>
      <c r="B2735" s="16" t="s">
        <v>89</v>
      </c>
      <c r="C2735" s="16" t="s">
        <v>349</v>
      </c>
      <c r="D2735" s="13" t="str" cm="1">
        <f t="array" ref="D2735">_xlfn.XLOOKUP(B2735,[1]Baseline!$D$3:$AZ$3,_xlfn.XLOOKUP(C2735,[1]Baseline!$B$4:$B$91,[1]Baseline!$D$4:$AZ$91))</f>
        <v>No Knowledge</v>
      </c>
      <c r="E2735" s="16" t="s">
        <v>349</v>
      </c>
      <c r="F2735" s="16">
        <v>0</v>
      </c>
      <c r="G2735" s="16">
        <v>99</v>
      </c>
      <c r="H2735" s="16">
        <f t="shared" si="42"/>
        <v>99</v>
      </c>
      <c r="I2735" s="13">
        <v>99</v>
      </c>
    </row>
    <row r="2736" spans="1:9">
      <c r="A2736" s="16" t="s">
        <v>30</v>
      </c>
      <c r="B2736" s="16" t="s">
        <v>89</v>
      </c>
      <c r="C2736" s="16" t="s">
        <v>106</v>
      </c>
      <c r="D2736" s="13" t="str" cm="1">
        <f t="array" ref="D2736">_xlfn.XLOOKUP(B2736,[1]Baseline!$D$3:$AZ$3,_xlfn.XLOOKUP(C2736,[1]Baseline!$B$4:$B$91,[1]Baseline!$D$4:$AZ$91))</f>
        <v>Expert</v>
      </c>
      <c r="E2736" s="16" t="s">
        <v>106</v>
      </c>
      <c r="F2736" s="16">
        <v>2</v>
      </c>
      <c r="G2736" s="16">
        <v>99</v>
      </c>
      <c r="H2736" s="16">
        <f t="shared" si="42"/>
        <v>97</v>
      </c>
      <c r="I2736" s="13">
        <v>99</v>
      </c>
    </row>
    <row r="2737" spans="1:9">
      <c r="A2737" s="16" t="s">
        <v>30</v>
      </c>
      <c r="B2737" s="16" t="s">
        <v>89</v>
      </c>
      <c r="C2737" s="16" t="s">
        <v>109</v>
      </c>
      <c r="D2737" s="13" t="str" cm="1">
        <f t="array" ref="D2737">_xlfn.XLOOKUP(B2737,[1]Baseline!$D$3:$AZ$3,_xlfn.XLOOKUP(C2737,[1]Baseline!$B$4:$B$91,[1]Baseline!$D$4:$AZ$91))</f>
        <v>Working</v>
      </c>
      <c r="E2737" s="16" t="s">
        <v>109</v>
      </c>
      <c r="F2737" s="16">
        <v>2</v>
      </c>
      <c r="G2737" s="16">
        <v>99</v>
      </c>
      <c r="H2737" s="16">
        <f t="shared" si="42"/>
        <v>97</v>
      </c>
      <c r="I2737" s="13">
        <v>99</v>
      </c>
    </row>
    <row r="2738" spans="1:9">
      <c r="A2738" s="16" t="s">
        <v>30</v>
      </c>
      <c r="B2738" s="16" t="s">
        <v>89</v>
      </c>
      <c r="C2738" s="16" t="s">
        <v>112</v>
      </c>
      <c r="D2738" s="13" t="str" cm="1">
        <f t="array" ref="D2738">_xlfn.XLOOKUP(B2738,[1]Baseline!$D$3:$AZ$3,_xlfn.XLOOKUP(C2738,[1]Baseline!$B$4:$B$91,[1]Baseline!$D$4:$AZ$91))</f>
        <v>Practitioner</v>
      </c>
      <c r="E2738" s="16" t="s">
        <v>112</v>
      </c>
      <c r="F2738" s="16">
        <v>3</v>
      </c>
      <c r="G2738" s="16">
        <v>99</v>
      </c>
      <c r="H2738" s="16">
        <f t="shared" si="42"/>
        <v>96</v>
      </c>
      <c r="I2738" s="13">
        <v>99</v>
      </c>
    </row>
    <row r="2739" spans="1:9">
      <c r="A2739" s="16" t="s">
        <v>30</v>
      </c>
      <c r="B2739" s="16" t="s">
        <v>89</v>
      </c>
      <c r="C2739" s="16" t="s">
        <v>115</v>
      </c>
      <c r="D2739" s="13" t="str" cm="1">
        <f t="array" ref="D2739">_xlfn.XLOOKUP(B2739,[1]Baseline!$D$3:$AZ$3,_xlfn.XLOOKUP(C2739,[1]Baseline!$B$4:$B$91,[1]Baseline!$D$4:$AZ$91))</f>
        <v>Practitioner</v>
      </c>
      <c r="E2739" s="16" t="s">
        <v>115</v>
      </c>
      <c r="F2739" s="16">
        <v>2</v>
      </c>
      <c r="G2739" s="16">
        <v>99</v>
      </c>
      <c r="H2739" s="16">
        <f t="shared" si="42"/>
        <v>97</v>
      </c>
      <c r="I2739" s="13">
        <v>99</v>
      </c>
    </row>
    <row r="2740" spans="1:9">
      <c r="A2740" s="16" t="s">
        <v>30</v>
      </c>
      <c r="B2740" s="16" t="s">
        <v>89</v>
      </c>
      <c r="C2740" s="16" t="s">
        <v>118</v>
      </c>
      <c r="D2740" s="13" t="str" cm="1">
        <f t="array" ref="D2740">_xlfn.XLOOKUP(B2740,[1]Baseline!$D$3:$AZ$3,_xlfn.XLOOKUP(C2740,[1]Baseline!$B$4:$B$91,[1]Baseline!$D$4:$AZ$91))</f>
        <v>Practitioner</v>
      </c>
      <c r="E2740" s="16" t="s">
        <v>118</v>
      </c>
      <c r="F2740" s="16">
        <v>2</v>
      </c>
      <c r="G2740" s="16">
        <v>99</v>
      </c>
      <c r="H2740" s="16">
        <f t="shared" si="42"/>
        <v>97</v>
      </c>
      <c r="I2740" s="13">
        <v>99</v>
      </c>
    </row>
    <row r="2741" spans="1:9">
      <c r="A2741" s="16" t="s">
        <v>30</v>
      </c>
      <c r="B2741" s="16" t="s">
        <v>89</v>
      </c>
      <c r="C2741" s="16" t="s">
        <v>121</v>
      </c>
      <c r="D2741" s="13" t="str" cm="1">
        <f t="array" ref="D2741">_xlfn.XLOOKUP(B2741,[1]Baseline!$D$3:$AZ$3,_xlfn.XLOOKUP(C2741,[1]Baseline!$B$4:$B$91,[1]Baseline!$D$4:$AZ$91))</f>
        <v>Practitioner</v>
      </c>
      <c r="E2741" s="16" t="s">
        <v>121</v>
      </c>
      <c r="F2741" s="16">
        <v>3</v>
      </c>
      <c r="G2741" s="16">
        <v>99</v>
      </c>
      <c r="H2741" s="16">
        <f t="shared" si="42"/>
        <v>96</v>
      </c>
      <c r="I2741" s="13">
        <v>99</v>
      </c>
    </row>
    <row r="2742" spans="1:9">
      <c r="A2742" s="16" t="s">
        <v>30</v>
      </c>
      <c r="B2742" s="16" t="s">
        <v>89</v>
      </c>
      <c r="C2742" s="16" t="s">
        <v>124</v>
      </c>
      <c r="D2742" s="13" t="str" cm="1">
        <f t="array" ref="D2742">_xlfn.XLOOKUP(B2742,[1]Baseline!$D$3:$AZ$3,_xlfn.XLOOKUP(C2742,[1]Baseline!$B$4:$B$91,[1]Baseline!$D$4:$AZ$91))</f>
        <v>Working</v>
      </c>
      <c r="E2742" s="16" t="s">
        <v>124</v>
      </c>
      <c r="F2742" s="16">
        <v>2</v>
      </c>
      <c r="G2742" s="16">
        <v>99</v>
      </c>
      <c r="H2742" s="16">
        <f t="shared" si="42"/>
        <v>97</v>
      </c>
      <c r="I2742" s="13">
        <v>99</v>
      </c>
    </row>
    <row r="2743" spans="1:9">
      <c r="A2743" s="16" t="s">
        <v>30</v>
      </c>
      <c r="B2743" s="16" t="s">
        <v>89</v>
      </c>
      <c r="C2743" s="16" t="s">
        <v>127</v>
      </c>
      <c r="D2743" s="13" t="str" cm="1">
        <f t="array" ref="D2743">_xlfn.XLOOKUP(B2743,[1]Baseline!$D$3:$AZ$3,_xlfn.XLOOKUP(C2743,[1]Baseline!$B$4:$B$91,[1]Baseline!$D$4:$AZ$91))</f>
        <v>Working</v>
      </c>
      <c r="E2743" s="16" t="s">
        <v>127</v>
      </c>
      <c r="F2743" s="16">
        <v>2</v>
      </c>
      <c r="G2743" s="16">
        <v>99</v>
      </c>
      <c r="H2743" s="16">
        <f t="shared" si="42"/>
        <v>97</v>
      </c>
      <c r="I2743" s="13">
        <v>99</v>
      </c>
    </row>
    <row r="2744" spans="1:9">
      <c r="A2744" s="16" t="s">
        <v>30</v>
      </c>
      <c r="B2744" s="16" t="s">
        <v>89</v>
      </c>
      <c r="C2744" s="16" t="s">
        <v>130</v>
      </c>
      <c r="D2744" s="13" t="str" cm="1">
        <f t="array" ref="D2744">_xlfn.XLOOKUP(B2744,[1]Baseline!$D$3:$AZ$3,_xlfn.XLOOKUP(C2744,[1]Baseline!$B$4:$B$91,[1]Baseline!$D$4:$AZ$91))</f>
        <v>Working</v>
      </c>
      <c r="E2744" s="16" t="s">
        <v>130</v>
      </c>
      <c r="F2744" s="16">
        <v>2</v>
      </c>
      <c r="G2744" s="16">
        <v>99</v>
      </c>
      <c r="H2744" s="16">
        <f t="shared" si="42"/>
        <v>97</v>
      </c>
      <c r="I2744" s="13">
        <v>99</v>
      </c>
    </row>
    <row r="2745" spans="1:9">
      <c r="A2745" s="16" t="s">
        <v>30</v>
      </c>
      <c r="B2745" s="16" t="s">
        <v>89</v>
      </c>
      <c r="C2745" s="16" t="s">
        <v>211</v>
      </c>
      <c r="D2745" s="13" t="str" cm="1">
        <f t="array" ref="D2745">_xlfn.XLOOKUP(B2745,[1]Baseline!$D$3:$AZ$3,_xlfn.XLOOKUP(C2745,[1]Baseline!$B$4:$B$91,[1]Baseline!$D$4:$AZ$91))</f>
        <v>Working</v>
      </c>
      <c r="E2745" s="16" t="s">
        <v>211</v>
      </c>
      <c r="F2745" s="16">
        <v>1</v>
      </c>
      <c r="G2745" s="16">
        <v>99</v>
      </c>
      <c r="H2745" s="16">
        <f t="shared" si="42"/>
        <v>98</v>
      </c>
      <c r="I2745" s="13">
        <v>99</v>
      </c>
    </row>
    <row r="2746" spans="1:9">
      <c r="A2746" s="16" t="s">
        <v>30</v>
      </c>
      <c r="B2746" s="16" t="s">
        <v>89</v>
      </c>
      <c r="C2746" s="16" t="s">
        <v>214</v>
      </c>
      <c r="D2746" s="13" t="str" cm="1">
        <f t="array" ref="D2746">_xlfn.XLOOKUP(B2746,[1]Baseline!$D$3:$AZ$3,_xlfn.XLOOKUP(C2746,[1]Baseline!$B$4:$B$91,[1]Baseline!$D$4:$AZ$91))</f>
        <v>Practitioner</v>
      </c>
      <c r="E2746" s="16" t="s">
        <v>214</v>
      </c>
      <c r="F2746" s="16">
        <v>0</v>
      </c>
      <c r="G2746" s="16">
        <v>99</v>
      </c>
      <c r="H2746" s="16">
        <f t="shared" si="42"/>
        <v>99</v>
      </c>
      <c r="I2746" s="13">
        <v>99</v>
      </c>
    </row>
    <row r="2747" spans="1:9">
      <c r="A2747" s="16" t="s">
        <v>30</v>
      </c>
      <c r="B2747" s="16" t="s">
        <v>89</v>
      </c>
      <c r="C2747" s="16" t="s">
        <v>217</v>
      </c>
      <c r="D2747" s="13" t="str" cm="1">
        <f t="array" ref="D2747">_xlfn.XLOOKUP(B2747,[1]Baseline!$D$3:$AZ$3,_xlfn.XLOOKUP(C2747,[1]Baseline!$B$4:$B$91,[1]Baseline!$D$4:$AZ$91))</f>
        <v>No Knowledge</v>
      </c>
      <c r="E2747" s="16" t="s">
        <v>217</v>
      </c>
      <c r="F2747" s="16">
        <v>0</v>
      </c>
      <c r="G2747" s="16">
        <v>99</v>
      </c>
      <c r="H2747" s="16">
        <f t="shared" si="42"/>
        <v>99</v>
      </c>
      <c r="I2747" s="13">
        <v>99</v>
      </c>
    </row>
    <row r="2748" spans="1:9">
      <c r="A2748" s="16" t="s">
        <v>30</v>
      </c>
      <c r="B2748" s="16" t="s">
        <v>89</v>
      </c>
      <c r="C2748" s="16" t="s">
        <v>49</v>
      </c>
      <c r="D2748" s="13" t="str" cm="1">
        <f t="array" ref="D2748">_xlfn.XLOOKUP(B2748,[1]Baseline!$D$3:$AZ$3,_xlfn.XLOOKUP(C2748,[1]Baseline!$B$4:$B$91,[1]Baseline!$D$4:$AZ$91))</f>
        <v>Expert</v>
      </c>
      <c r="E2748" s="16" t="s">
        <v>49</v>
      </c>
      <c r="F2748" s="16">
        <v>1</v>
      </c>
      <c r="G2748" s="16">
        <v>99</v>
      </c>
      <c r="H2748" s="16">
        <f t="shared" si="42"/>
        <v>98</v>
      </c>
      <c r="I2748" s="13">
        <v>99</v>
      </c>
    </row>
    <row r="2749" spans="1:9">
      <c r="A2749" s="16" t="s">
        <v>30</v>
      </c>
      <c r="B2749" s="16" t="s">
        <v>89</v>
      </c>
      <c r="C2749" s="16" t="s">
        <v>222</v>
      </c>
      <c r="D2749" s="13" t="str" cm="1">
        <f t="array" ref="D2749">_xlfn.XLOOKUP(B2749,[1]Baseline!$D$3:$AZ$3,_xlfn.XLOOKUP(C2749,[1]Baseline!$B$4:$B$91,[1]Baseline!$D$4:$AZ$91))</f>
        <v>Working</v>
      </c>
      <c r="E2749" s="16" t="s">
        <v>222</v>
      </c>
      <c r="F2749" s="16">
        <v>0</v>
      </c>
      <c r="G2749" s="16">
        <v>99</v>
      </c>
      <c r="H2749" s="16">
        <f t="shared" si="42"/>
        <v>99</v>
      </c>
      <c r="I2749" s="13">
        <v>99</v>
      </c>
    </row>
    <row r="2750" spans="1:9">
      <c r="A2750" s="16" t="s">
        <v>30</v>
      </c>
      <c r="B2750" s="16" t="s">
        <v>89</v>
      </c>
      <c r="C2750" s="16" t="s">
        <v>225</v>
      </c>
      <c r="D2750" s="13" t="str" cm="1">
        <f t="array" ref="D2750">_xlfn.XLOOKUP(B2750,[1]Baseline!$D$3:$AZ$3,_xlfn.XLOOKUP(C2750,[1]Baseline!$B$4:$B$91,[1]Baseline!$D$4:$AZ$91))</f>
        <v>Working</v>
      </c>
      <c r="E2750" s="16" t="s">
        <v>225</v>
      </c>
      <c r="F2750" s="16">
        <v>1</v>
      </c>
      <c r="G2750" s="16">
        <v>99</v>
      </c>
      <c r="H2750" s="16">
        <f t="shared" si="42"/>
        <v>98</v>
      </c>
      <c r="I2750" s="13">
        <v>99</v>
      </c>
    </row>
    <row r="2751" spans="1:9">
      <c r="A2751" s="16" t="s">
        <v>30</v>
      </c>
      <c r="B2751" s="16" t="s">
        <v>89</v>
      </c>
      <c r="C2751" s="16" t="s">
        <v>228</v>
      </c>
      <c r="D2751" s="13" t="str" cm="1">
        <f t="array" ref="D2751">_xlfn.XLOOKUP(B2751,[1]Baseline!$D$3:$AZ$3,_xlfn.XLOOKUP(C2751,[1]Baseline!$B$4:$B$91,[1]Baseline!$D$4:$AZ$91))</f>
        <v>Practitioner</v>
      </c>
      <c r="E2751" s="16" t="s">
        <v>228</v>
      </c>
      <c r="F2751" s="16">
        <v>1</v>
      </c>
      <c r="G2751" s="16">
        <v>99</v>
      </c>
      <c r="H2751" s="16">
        <f t="shared" si="42"/>
        <v>98</v>
      </c>
      <c r="I2751" s="13">
        <v>99</v>
      </c>
    </row>
    <row r="2752" spans="1:9">
      <c r="A2752" s="16" t="s">
        <v>30</v>
      </c>
      <c r="B2752" s="16" t="s">
        <v>89</v>
      </c>
      <c r="C2752" s="16" t="s">
        <v>231</v>
      </c>
      <c r="D2752" s="13" t="str" cm="1">
        <f t="array" ref="D2752">_xlfn.XLOOKUP(B2752,[1]Baseline!$D$3:$AZ$3,_xlfn.XLOOKUP(C2752,[1]Baseline!$B$4:$B$91,[1]Baseline!$D$4:$AZ$91))</f>
        <v>Awareness</v>
      </c>
      <c r="E2752" s="16" t="s">
        <v>231</v>
      </c>
      <c r="F2752" s="16">
        <v>1</v>
      </c>
      <c r="G2752" s="16">
        <v>99</v>
      </c>
      <c r="H2752" s="16">
        <f t="shared" si="42"/>
        <v>98</v>
      </c>
      <c r="I2752" s="13">
        <v>99</v>
      </c>
    </row>
    <row r="2753" spans="1:9">
      <c r="A2753" s="16" t="s">
        <v>30</v>
      </c>
      <c r="B2753" s="16" t="s">
        <v>89</v>
      </c>
      <c r="C2753" s="16" t="s">
        <v>185</v>
      </c>
      <c r="D2753" s="13" t="str" cm="1">
        <f t="array" ref="D2753">_xlfn.XLOOKUP(B2753,[1]Baseline!$D$3:$AZ$3,_xlfn.XLOOKUP(C2753,[1]Baseline!$B$4:$B$91,[1]Baseline!$D$4:$AZ$91))</f>
        <v>Working</v>
      </c>
      <c r="E2753" s="16" t="s">
        <v>185</v>
      </c>
      <c r="F2753" s="16">
        <v>1</v>
      </c>
      <c r="G2753" s="16">
        <v>99</v>
      </c>
      <c r="H2753" s="16">
        <f t="shared" si="42"/>
        <v>98</v>
      </c>
      <c r="I2753" s="13">
        <v>99</v>
      </c>
    </row>
    <row r="2754" spans="1:9">
      <c r="A2754" s="16" t="s">
        <v>30</v>
      </c>
      <c r="B2754" s="16" t="s">
        <v>89</v>
      </c>
      <c r="C2754" s="16" t="s">
        <v>188</v>
      </c>
      <c r="D2754" s="13" t="str" cm="1">
        <f t="array" ref="D2754">_xlfn.XLOOKUP(B2754,[1]Baseline!$D$3:$AZ$3,_xlfn.XLOOKUP(C2754,[1]Baseline!$B$4:$B$91,[1]Baseline!$D$4:$AZ$91))</f>
        <v>Working</v>
      </c>
      <c r="E2754" s="16" t="s">
        <v>188</v>
      </c>
      <c r="F2754" s="16">
        <v>1</v>
      </c>
      <c r="G2754" s="16">
        <v>99</v>
      </c>
      <c r="H2754" s="16">
        <f t="shared" ref="H2754:H2817" si="43">I2754-F2754</f>
        <v>98</v>
      </c>
      <c r="I2754" s="13">
        <v>99</v>
      </c>
    </row>
    <row r="2755" spans="1:9">
      <c r="A2755" s="16" t="s">
        <v>30</v>
      </c>
      <c r="B2755" s="16" t="s">
        <v>89</v>
      </c>
      <c r="C2755" s="16" t="s">
        <v>191</v>
      </c>
      <c r="D2755" s="13" t="str" cm="1">
        <f t="array" ref="D2755">_xlfn.XLOOKUP(B2755,[1]Baseline!$D$3:$AZ$3,_xlfn.XLOOKUP(C2755,[1]Baseline!$B$4:$B$91,[1]Baseline!$D$4:$AZ$91))</f>
        <v>No Knowledge</v>
      </c>
      <c r="E2755" s="16" t="s">
        <v>191</v>
      </c>
      <c r="F2755" s="16">
        <v>0</v>
      </c>
      <c r="G2755" s="16">
        <v>99</v>
      </c>
      <c r="H2755" s="16">
        <f t="shared" si="43"/>
        <v>99</v>
      </c>
      <c r="I2755" s="13">
        <v>99</v>
      </c>
    </row>
    <row r="2756" spans="1:9">
      <c r="A2756" s="16" t="s">
        <v>30</v>
      </c>
      <c r="B2756" s="16" t="s">
        <v>89</v>
      </c>
      <c r="C2756" s="16" t="s">
        <v>194</v>
      </c>
      <c r="D2756" s="13" t="str" cm="1">
        <f t="array" ref="D2756">_xlfn.XLOOKUP(B2756,[1]Baseline!$D$3:$AZ$3,_xlfn.XLOOKUP(C2756,[1]Baseline!$B$4:$B$91,[1]Baseline!$D$4:$AZ$91))</f>
        <v>No Knowledge</v>
      </c>
      <c r="E2756" s="16" t="s">
        <v>194</v>
      </c>
      <c r="F2756" s="16">
        <v>0</v>
      </c>
      <c r="G2756" s="16">
        <v>99</v>
      </c>
      <c r="H2756" s="16">
        <f t="shared" si="43"/>
        <v>99</v>
      </c>
      <c r="I2756" s="13">
        <v>99</v>
      </c>
    </row>
    <row r="2757" spans="1:9">
      <c r="A2757" s="16" t="s">
        <v>30</v>
      </c>
      <c r="B2757" s="16" t="s">
        <v>89</v>
      </c>
      <c r="C2757" s="16" t="s">
        <v>197</v>
      </c>
      <c r="D2757" s="13" t="str" cm="1">
        <f t="array" ref="D2757">_xlfn.XLOOKUP(B2757,[1]Baseline!$D$3:$AZ$3,_xlfn.XLOOKUP(C2757,[1]Baseline!$B$4:$B$91,[1]Baseline!$D$4:$AZ$91))</f>
        <v>No Knowledge</v>
      </c>
      <c r="E2757" s="16" t="s">
        <v>197</v>
      </c>
      <c r="F2757" s="16">
        <v>0</v>
      </c>
      <c r="G2757" s="16">
        <v>99</v>
      </c>
      <c r="H2757" s="16">
        <f t="shared" si="43"/>
        <v>99</v>
      </c>
      <c r="I2757" s="13">
        <v>99</v>
      </c>
    </row>
    <row r="2758" spans="1:9">
      <c r="A2758" s="16" t="s">
        <v>30</v>
      </c>
      <c r="B2758" s="16" t="s">
        <v>89</v>
      </c>
      <c r="C2758" s="16" t="s">
        <v>200</v>
      </c>
      <c r="D2758" s="13" t="str" cm="1">
        <f t="array" ref="D2758">_xlfn.XLOOKUP(B2758,[1]Baseline!$D$3:$AZ$3,_xlfn.XLOOKUP(C2758,[1]Baseline!$B$4:$B$91,[1]Baseline!$D$4:$AZ$91))</f>
        <v>Working</v>
      </c>
      <c r="E2758" s="16" t="s">
        <v>200</v>
      </c>
      <c r="F2758" s="16">
        <v>0</v>
      </c>
      <c r="G2758" s="16">
        <v>99</v>
      </c>
      <c r="H2758" s="16">
        <f t="shared" si="43"/>
        <v>99</v>
      </c>
      <c r="I2758" s="13">
        <v>99</v>
      </c>
    </row>
    <row r="2759" spans="1:9">
      <c r="A2759" s="16" t="s">
        <v>30</v>
      </c>
      <c r="B2759" s="16" t="s">
        <v>89</v>
      </c>
      <c r="C2759" s="16" t="s">
        <v>203</v>
      </c>
      <c r="D2759" s="13" t="str" cm="1">
        <f t="array" ref="D2759">_xlfn.XLOOKUP(B2759,[1]Baseline!$D$3:$AZ$3,_xlfn.XLOOKUP(C2759,[1]Baseline!$B$4:$B$91,[1]Baseline!$D$4:$AZ$91))</f>
        <v>Awareness</v>
      </c>
      <c r="E2759" s="16" t="s">
        <v>203</v>
      </c>
      <c r="F2759" s="16">
        <v>1</v>
      </c>
      <c r="G2759" s="16">
        <v>99</v>
      </c>
      <c r="H2759" s="16">
        <f t="shared" si="43"/>
        <v>98</v>
      </c>
      <c r="I2759" s="13">
        <v>99</v>
      </c>
    </row>
    <row r="2760" spans="1:9">
      <c r="A2760" s="16" t="s">
        <v>30</v>
      </c>
      <c r="B2760" s="16" t="s">
        <v>89</v>
      </c>
      <c r="C2760" s="16" t="s">
        <v>206</v>
      </c>
      <c r="D2760" s="13" t="str" cm="1">
        <f t="array" ref="D2760">_xlfn.XLOOKUP(B2760,[1]Baseline!$D$3:$AZ$3,_xlfn.XLOOKUP(C2760,[1]Baseline!$B$4:$B$91,[1]Baseline!$D$4:$AZ$91))</f>
        <v>No Knowledge</v>
      </c>
      <c r="E2760" s="16" t="s">
        <v>206</v>
      </c>
      <c r="F2760" s="16">
        <v>0</v>
      </c>
      <c r="G2760" s="16">
        <v>99</v>
      </c>
      <c r="H2760" s="16">
        <f t="shared" si="43"/>
        <v>99</v>
      </c>
      <c r="I2760" s="13">
        <v>99</v>
      </c>
    </row>
    <row r="2761" spans="1:9">
      <c r="A2761" s="16" t="s">
        <v>30</v>
      </c>
      <c r="B2761" s="16" t="s">
        <v>89</v>
      </c>
      <c r="C2761" s="16" t="s">
        <v>208</v>
      </c>
      <c r="D2761" s="13" t="str" cm="1">
        <f t="array" ref="D2761">_xlfn.XLOOKUP(B2761,[1]Baseline!$D$3:$AZ$3,_xlfn.XLOOKUP(C2761,[1]Baseline!$B$4:$B$91,[1]Baseline!$D$4:$AZ$91))</f>
        <v>Working</v>
      </c>
      <c r="E2761" s="16" t="s">
        <v>208</v>
      </c>
      <c r="F2761" s="16">
        <v>0</v>
      </c>
      <c r="G2761" s="16">
        <v>99</v>
      </c>
      <c r="H2761" s="16">
        <f t="shared" si="43"/>
        <v>99</v>
      </c>
      <c r="I2761" s="13">
        <v>99</v>
      </c>
    </row>
    <row r="2762" spans="1:9">
      <c r="A2762" s="16" t="s">
        <v>30</v>
      </c>
      <c r="B2762" s="16" t="s">
        <v>89</v>
      </c>
      <c r="C2762" s="16" t="s">
        <v>167</v>
      </c>
      <c r="D2762" s="13" t="str" cm="1">
        <f t="array" ref="D2762">_xlfn.XLOOKUP(B2762,[1]Baseline!$D$3:$AZ$3,_xlfn.XLOOKUP(C2762,[1]Baseline!$B$4:$B$91,[1]Baseline!$D$4:$AZ$91))</f>
        <v>No Knowledge</v>
      </c>
      <c r="E2762" s="16" t="s">
        <v>167</v>
      </c>
      <c r="F2762" s="16">
        <v>0</v>
      </c>
      <c r="G2762" s="16">
        <v>99</v>
      </c>
      <c r="H2762" s="16">
        <f t="shared" si="43"/>
        <v>99</v>
      </c>
      <c r="I2762" s="13">
        <v>99</v>
      </c>
    </row>
    <row r="2763" spans="1:9">
      <c r="A2763" s="16" t="s">
        <v>30</v>
      </c>
      <c r="B2763" s="16" t="s">
        <v>89</v>
      </c>
      <c r="C2763" s="16" t="s">
        <v>170</v>
      </c>
      <c r="D2763" s="13" t="str" cm="1">
        <f t="array" ref="D2763">_xlfn.XLOOKUP(B2763,[1]Baseline!$D$3:$AZ$3,_xlfn.XLOOKUP(C2763,[1]Baseline!$B$4:$B$91,[1]Baseline!$D$4:$AZ$91))</f>
        <v>No Knowledge</v>
      </c>
      <c r="E2763" s="16" t="s">
        <v>170</v>
      </c>
      <c r="F2763" s="16">
        <v>0</v>
      </c>
      <c r="G2763" s="16">
        <v>99</v>
      </c>
      <c r="H2763" s="16">
        <f t="shared" si="43"/>
        <v>99</v>
      </c>
      <c r="I2763" s="13">
        <v>99</v>
      </c>
    </row>
    <row r="2764" spans="1:9">
      <c r="A2764" s="16" t="s">
        <v>30</v>
      </c>
      <c r="B2764" s="16" t="s">
        <v>89</v>
      </c>
      <c r="C2764" s="16" t="s">
        <v>173</v>
      </c>
      <c r="D2764" s="13" t="str" cm="1">
        <f t="array" ref="D2764">_xlfn.XLOOKUP(B2764,[1]Baseline!$D$3:$AZ$3,_xlfn.XLOOKUP(C2764,[1]Baseline!$B$4:$B$91,[1]Baseline!$D$4:$AZ$91))</f>
        <v>Practitioner</v>
      </c>
      <c r="E2764" s="16" t="s">
        <v>173</v>
      </c>
      <c r="F2764" s="16">
        <v>2</v>
      </c>
      <c r="G2764" s="16">
        <v>99</v>
      </c>
      <c r="H2764" s="16">
        <f t="shared" si="43"/>
        <v>97</v>
      </c>
      <c r="I2764" s="13">
        <v>99</v>
      </c>
    </row>
    <row r="2765" spans="1:9">
      <c r="A2765" s="16" t="s">
        <v>30</v>
      </c>
      <c r="B2765" s="16" t="s">
        <v>89</v>
      </c>
      <c r="C2765" s="16" t="s">
        <v>176</v>
      </c>
      <c r="D2765" s="13" t="str" cm="1">
        <f t="array" ref="D2765">_xlfn.XLOOKUP(B2765,[1]Baseline!$D$3:$AZ$3,_xlfn.XLOOKUP(C2765,[1]Baseline!$B$4:$B$91,[1]Baseline!$D$4:$AZ$91))</f>
        <v>No Knowledge</v>
      </c>
      <c r="E2765" s="16" t="s">
        <v>176</v>
      </c>
      <c r="F2765" s="16">
        <v>0</v>
      </c>
      <c r="G2765" s="16">
        <v>99</v>
      </c>
      <c r="H2765" s="16">
        <f t="shared" si="43"/>
        <v>99</v>
      </c>
      <c r="I2765" s="13">
        <v>99</v>
      </c>
    </row>
    <row r="2766" spans="1:9">
      <c r="A2766" s="16" t="s">
        <v>30</v>
      </c>
      <c r="B2766" s="16" t="s">
        <v>89</v>
      </c>
      <c r="C2766" s="16" t="s">
        <v>179</v>
      </c>
      <c r="D2766" s="13" t="str" cm="1">
        <f t="array" ref="D2766">_xlfn.XLOOKUP(B2766,[1]Baseline!$D$3:$AZ$3,_xlfn.XLOOKUP(C2766,[1]Baseline!$B$4:$B$91,[1]Baseline!$D$4:$AZ$91))</f>
        <v>Working</v>
      </c>
      <c r="E2766" s="16" t="s">
        <v>179</v>
      </c>
      <c r="F2766" s="16">
        <v>2</v>
      </c>
      <c r="G2766" s="16">
        <v>99</v>
      </c>
      <c r="H2766" s="16">
        <f t="shared" si="43"/>
        <v>97</v>
      </c>
      <c r="I2766" s="13">
        <v>99</v>
      </c>
    </row>
    <row r="2767" spans="1:9">
      <c r="A2767" s="16" t="s">
        <v>30</v>
      </c>
      <c r="B2767" s="16" t="s">
        <v>89</v>
      </c>
      <c r="C2767" s="16" t="s">
        <v>182</v>
      </c>
      <c r="D2767" s="13" t="str" cm="1">
        <f t="array" ref="D2767">_xlfn.XLOOKUP(B2767,[1]Baseline!$D$3:$AZ$3,_xlfn.XLOOKUP(C2767,[1]Baseline!$B$4:$B$91,[1]Baseline!$D$4:$AZ$91))</f>
        <v>No Knowledge</v>
      </c>
      <c r="E2767" s="16" t="s">
        <v>182</v>
      </c>
      <c r="F2767" s="16">
        <v>0</v>
      </c>
      <c r="G2767" s="16">
        <v>99</v>
      </c>
      <c r="H2767" s="16">
        <f t="shared" si="43"/>
        <v>99</v>
      </c>
      <c r="I2767" s="13">
        <v>99</v>
      </c>
    </row>
    <row r="2768" spans="1:9">
      <c r="A2768" s="16" t="s">
        <v>30</v>
      </c>
      <c r="B2768" s="16" t="s">
        <v>89</v>
      </c>
      <c r="C2768" s="16" t="s">
        <v>133</v>
      </c>
      <c r="D2768" s="13" t="str" cm="1">
        <f t="array" ref="D2768">_xlfn.XLOOKUP(B2768,[1]Baseline!$D$3:$AZ$3,_xlfn.XLOOKUP(C2768,[1]Baseline!$B$4:$B$91,[1]Baseline!$D$4:$AZ$91))</f>
        <v>Awareness</v>
      </c>
      <c r="E2768" s="16" t="s">
        <v>133</v>
      </c>
      <c r="F2768" s="16">
        <v>1</v>
      </c>
      <c r="G2768" s="16">
        <v>99</v>
      </c>
      <c r="H2768" s="16">
        <f t="shared" si="43"/>
        <v>98</v>
      </c>
      <c r="I2768" s="13">
        <v>99</v>
      </c>
    </row>
    <row r="2769" spans="1:9">
      <c r="A2769" s="16" t="s">
        <v>30</v>
      </c>
      <c r="B2769" s="16" t="s">
        <v>89</v>
      </c>
      <c r="C2769" s="16" t="s">
        <v>136</v>
      </c>
      <c r="D2769" s="13" t="str" cm="1">
        <f t="array" ref="D2769">_xlfn.XLOOKUP(B2769,[1]Baseline!$D$3:$AZ$3,_xlfn.XLOOKUP(C2769,[1]Baseline!$B$4:$B$91,[1]Baseline!$D$4:$AZ$91))</f>
        <v>No Knowledge</v>
      </c>
      <c r="E2769" s="16" t="s">
        <v>136</v>
      </c>
      <c r="F2769" s="16">
        <v>0</v>
      </c>
      <c r="G2769" s="16">
        <v>99</v>
      </c>
      <c r="H2769" s="16">
        <f t="shared" si="43"/>
        <v>99</v>
      </c>
      <c r="I2769" s="13">
        <v>99</v>
      </c>
    </row>
    <row r="2770" spans="1:9">
      <c r="A2770" s="16" t="s">
        <v>30</v>
      </c>
      <c r="B2770" s="16" t="s">
        <v>89</v>
      </c>
      <c r="C2770" s="16" t="s">
        <v>139</v>
      </c>
      <c r="D2770" s="13" t="str" cm="1">
        <f t="array" ref="D2770">_xlfn.XLOOKUP(B2770,[1]Baseline!$D$3:$AZ$3,_xlfn.XLOOKUP(C2770,[1]Baseline!$B$4:$B$91,[1]Baseline!$D$4:$AZ$91))</f>
        <v>No Knowledge</v>
      </c>
      <c r="E2770" s="16" t="s">
        <v>139</v>
      </c>
      <c r="F2770" s="16">
        <v>1</v>
      </c>
      <c r="G2770" s="16">
        <v>99</v>
      </c>
      <c r="H2770" s="16">
        <f t="shared" si="43"/>
        <v>98</v>
      </c>
      <c r="I2770" s="13">
        <v>99</v>
      </c>
    </row>
    <row r="2771" spans="1:9">
      <c r="A2771" s="16" t="s">
        <v>30</v>
      </c>
      <c r="B2771" s="16" t="s">
        <v>89</v>
      </c>
      <c r="C2771" s="16" t="s">
        <v>142</v>
      </c>
      <c r="D2771" s="13" t="str" cm="1">
        <f t="array" ref="D2771">_xlfn.XLOOKUP(B2771,[1]Baseline!$D$3:$AZ$3,_xlfn.XLOOKUP(C2771,[1]Baseline!$B$4:$B$91,[1]Baseline!$D$4:$AZ$91))</f>
        <v>Awareness</v>
      </c>
      <c r="E2771" s="16" t="s">
        <v>142</v>
      </c>
      <c r="F2771" s="16">
        <v>1</v>
      </c>
      <c r="G2771" s="16">
        <v>99</v>
      </c>
      <c r="H2771" s="16">
        <f t="shared" si="43"/>
        <v>98</v>
      </c>
      <c r="I2771" s="13">
        <v>99</v>
      </c>
    </row>
    <row r="2772" spans="1:9">
      <c r="A2772" s="16" t="s">
        <v>30</v>
      </c>
      <c r="B2772" s="16" t="s">
        <v>89</v>
      </c>
      <c r="C2772" s="16" t="s">
        <v>145</v>
      </c>
      <c r="D2772" s="13" t="str" cm="1">
        <f t="array" ref="D2772">_xlfn.XLOOKUP(B2772,[1]Baseline!$D$3:$AZ$3,_xlfn.XLOOKUP(C2772,[1]Baseline!$B$4:$B$91,[1]Baseline!$D$4:$AZ$91))</f>
        <v>Working</v>
      </c>
      <c r="E2772" s="16" t="s">
        <v>145</v>
      </c>
      <c r="F2772" s="16">
        <v>1</v>
      </c>
      <c r="G2772" s="16">
        <v>99</v>
      </c>
      <c r="H2772" s="16">
        <f t="shared" si="43"/>
        <v>98</v>
      </c>
      <c r="I2772" s="13">
        <v>99</v>
      </c>
    </row>
    <row r="2773" spans="1:9">
      <c r="A2773" s="16" t="s">
        <v>30</v>
      </c>
      <c r="B2773" s="16" t="s">
        <v>89</v>
      </c>
      <c r="C2773" s="16" t="s">
        <v>148</v>
      </c>
      <c r="D2773" s="13" t="str" cm="1">
        <f t="array" ref="D2773">_xlfn.XLOOKUP(B2773,[1]Baseline!$D$3:$AZ$3,_xlfn.XLOOKUP(C2773,[1]Baseline!$B$4:$B$91,[1]Baseline!$D$4:$AZ$91))</f>
        <v>Working</v>
      </c>
      <c r="E2773" s="16" t="s">
        <v>148</v>
      </c>
      <c r="F2773" s="16">
        <v>2</v>
      </c>
      <c r="G2773" s="16">
        <v>99</v>
      </c>
      <c r="H2773" s="16">
        <f t="shared" si="43"/>
        <v>97</v>
      </c>
      <c r="I2773" s="13">
        <v>99</v>
      </c>
    </row>
    <row r="2774" spans="1:9">
      <c r="A2774" s="16" t="s">
        <v>30</v>
      </c>
      <c r="B2774" s="16" t="s">
        <v>89</v>
      </c>
      <c r="C2774" s="16" t="s">
        <v>151</v>
      </c>
      <c r="D2774" s="13" t="str" cm="1">
        <f t="array" ref="D2774">_xlfn.XLOOKUP(B2774,[1]Baseline!$D$3:$AZ$3,_xlfn.XLOOKUP(C2774,[1]Baseline!$B$4:$B$91,[1]Baseline!$D$4:$AZ$91))</f>
        <v>Awareness</v>
      </c>
      <c r="E2774" s="16" t="s">
        <v>151</v>
      </c>
      <c r="F2774" s="16">
        <v>1</v>
      </c>
      <c r="G2774" s="16">
        <v>99</v>
      </c>
      <c r="H2774" s="16">
        <f t="shared" si="43"/>
        <v>98</v>
      </c>
      <c r="I2774" s="13">
        <v>99</v>
      </c>
    </row>
    <row r="2775" spans="1:9">
      <c r="A2775" s="16" t="s">
        <v>30</v>
      </c>
      <c r="B2775" s="16" t="s">
        <v>89</v>
      </c>
      <c r="C2775" s="16" t="s">
        <v>154</v>
      </c>
      <c r="D2775" s="13" t="str" cm="1">
        <f t="array" ref="D2775">_xlfn.XLOOKUP(B2775,[1]Baseline!$D$3:$AZ$3,_xlfn.XLOOKUP(C2775,[1]Baseline!$B$4:$B$91,[1]Baseline!$D$4:$AZ$91))</f>
        <v>No Knowledge</v>
      </c>
      <c r="E2775" s="16" t="s">
        <v>154</v>
      </c>
      <c r="F2775" s="16">
        <v>0</v>
      </c>
      <c r="G2775" s="16">
        <v>99</v>
      </c>
      <c r="H2775" s="16">
        <f t="shared" si="43"/>
        <v>99</v>
      </c>
      <c r="I2775" s="13">
        <v>99</v>
      </c>
    </row>
    <row r="2776" spans="1:9">
      <c r="A2776" s="16" t="s">
        <v>30</v>
      </c>
      <c r="B2776" s="16" t="s">
        <v>89</v>
      </c>
      <c r="C2776" s="16" t="s">
        <v>158</v>
      </c>
      <c r="D2776" s="13" t="str" cm="1">
        <f t="array" ref="D2776">_xlfn.XLOOKUP(B2776,[1]Baseline!$D$3:$AZ$3,_xlfn.XLOOKUP(C2776,[1]Baseline!$B$4:$B$91,[1]Baseline!$D$4:$AZ$91))</f>
        <v>No Knowledge</v>
      </c>
      <c r="E2776" s="16" t="s">
        <v>158</v>
      </c>
      <c r="F2776" s="16">
        <v>0</v>
      </c>
      <c r="G2776" s="16">
        <v>99</v>
      </c>
      <c r="H2776" s="16">
        <f t="shared" si="43"/>
        <v>99</v>
      </c>
      <c r="I2776" s="13">
        <v>99</v>
      </c>
    </row>
    <row r="2777" spans="1:9">
      <c r="A2777" s="16" t="s">
        <v>30</v>
      </c>
      <c r="B2777" s="16" t="s">
        <v>89</v>
      </c>
      <c r="C2777" s="16" t="s">
        <v>161</v>
      </c>
      <c r="D2777" s="13" t="str" cm="1">
        <f t="array" ref="D2777">_xlfn.XLOOKUP(B2777,[1]Baseline!$D$3:$AZ$3,_xlfn.XLOOKUP(C2777,[1]Baseline!$B$4:$B$91,[1]Baseline!$D$4:$AZ$91))</f>
        <v>Working</v>
      </c>
      <c r="E2777" s="16" t="s">
        <v>161</v>
      </c>
      <c r="F2777" s="16">
        <v>2</v>
      </c>
      <c r="G2777" s="16">
        <v>99</v>
      </c>
      <c r="H2777" s="16">
        <f t="shared" si="43"/>
        <v>97</v>
      </c>
      <c r="I2777" s="13">
        <v>99</v>
      </c>
    </row>
    <row r="2778" spans="1:9">
      <c r="A2778" s="16" t="s">
        <v>30</v>
      </c>
      <c r="B2778" s="16" t="s">
        <v>89</v>
      </c>
      <c r="C2778" s="16" t="s">
        <v>164</v>
      </c>
      <c r="D2778" s="13" t="str" cm="1">
        <f t="array" ref="D2778">_xlfn.XLOOKUP(B2778,[1]Baseline!$D$3:$AZ$3,_xlfn.XLOOKUP(C2778,[1]Baseline!$B$4:$B$91,[1]Baseline!$D$4:$AZ$91))</f>
        <v>Working</v>
      </c>
      <c r="E2778" s="16" t="s">
        <v>164</v>
      </c>
      <c r="F2778" s="16">
        <v>2</v>
      </c>
      <c r="G2778" s="16">
        <v>99</v>
      </c>
      <c r="H2778" s="16">
        <f t="shared" si="43"/>
        <v>97</v>
      </c>
      <c r="I2778" s="13">
        <v>99</v>
      </c>
    </row>
    <row r="2779" spans="1:9">
      <c r="A2779" s="16" t="s">
        <v>30</v>
      </c>
      <c r="B2779" s="16" t="s">
        <v>89</v>
      </c>
      <c r="C2779" s="16" t="s">
        <v>234</v>
      </c>
      <c r="D2779" s="13" t="str" cm="1">
        <f t="array" ref="D2779">_xlfn.XLOOKUP(B2779,[1]Baseline!$D$3:$AZ$3,_xlfn.XLOOKUP(C2779,[1]Baseline!$B$4:$B$91,[1]Baseline!$D$4:$AZ$91))</f>
        <v>No Knowledge</v>
      </c>
      <c r="E2779" s="16" t="s">
        <v>234</v>
      </c>
      <c r="F2779" s="16">
        <v>1</v>
      </c>
      <c r="G2779" s="16">
        <v>99</v>
      </c>
      <c r="H2779" s="16">
        <f t="shared" si="43"/>
        <v>98</v>
      </c>
      <c r="I2779" s="13">
        <v>99</v>
      </c>
    </row>
    <row r="2780" spans="1:9">
      <c r="A2780" s="16" t="s">
        <v>30</v>
      </c>
      <c r="B2780" s="16" t="s">
        <v>89</v>
      </c>
      <c r="C2780" s="16" t="s">
        <v>237</v>
      </c>
      <c r="D2780" s="13" t="str" cm="1">
        <f t="array" ref="D2780">_xlfn.XLOOKUP(B2780,[1]Baseline!$D$3:$AZ$3,_xlfn.XLOOKUP(C2780,[1]Baseline!$B$4:$B$91,[1]Baseline!$D$4:$AZ$91))</f>
        <v>No Knowledge</v>
      </c>
      <c r="E2780" s="16" t="s">
        <v>237</v>
      </c>
      <c r="F2780" s="16">
        <v>2</v>
      </c>
      <c r="G2780" s="16">
        <v>99</v>
      </c>
      <c r="H2780" s="16">
        <f t="shared" si="43"/>
        <v>97</v>
      </c>
      <c r="I2780" s="13">
        <v>99</v>
      </c>
    </row>
    <row r="2781" spans="1:9">
      <c r="A2781" s="16" t="s">
        <v>30</v>
      </c>
      <c r="B2781" s="16" t="s">
        <v>89</v>
      </c>
      <c r="C2781" s="16" t="s">
        <v>330</v>
      </c>
      <c r="D2781" s="13" t="str" cm="1">
        <f t="array" ref="D2781">_xlfn.XLOOKUP(B2781,[1]Baseline!$D$3:$AZ$3,_xlfn.XLOOKUP(C2781,[1]Baseline!$B$4:$B$91,[1]Baseline!$D$4:$AZ$91))</f>
        <v>Awareness</v>
      </c>
      <c r="E2781" s="16" t="s">
        <v>382</v>
      </c>
      <c r="F2781" s="16">
        <v>1</v>
      </c>
      <c r="G2781" s="16">
        <v>99</v>
      </c>
      <c r="H2781" s="16">
        <f t="shared" si="43"/>
        <v>98</v>
      </c>
      <c r="I2781" s="13">
        <v>99</v>
      </c>
    </row>
    <row r="2782" spans="1:9">
      <c r="A2782" s="16" t="s">
        <v>30</v>
      </c>
      <c r="B2782" s="16" t="s">
        <v>89</v>
      </c>
      <c r="C2782" s="16" t="s">
        <v>332</v>
      </c>
      <c r="D2782" s="13" t="str" cm="1">
        <f t="array" ref="D2782">_xlfn.XLOOKUP(B2782,[1]Baseline!$D$3:$AZ$3,_xlfn.XLOOKUP(C2782,[1]Baseline!$B$4:$B$91,[1]Baseline!$D$4:$AZ$91))</f>
        <v>Awareness</v>
      </c>
      <c r="E2782" s="16" t="s">
        <v>383</v>
      </c>
      <c r="F2782" s="16">
        <v>0</v>
      </c>
      <c r="G2782" s="16">
        <v>99</v>
      </c>
      <c r="H2782" s="16">
        <f t="shared" si="43"/>
        <v>99</v>
      </c>
      <c r="I2782" s="13">
        <v>99</v>
      </c>
    </row>
    <row r="2783" spans="1:9">
      <c r="A2783" s="16" t="s">
        <v>30</v>
      </c>
      <c r="B2783" s="16" t="s">
        <v>89</v>
      </c>
      <c r="C2783" s="16" t="s">
        <v>240</v>
      </c>
      <c r="D2783" s="13" t="str" cm="1">
        <f t="array" ref="D2783">_xlfn.XLOOKUP(B2783,[1]Baseline!$D$3:$AZ$3,_xlfn.XLOOKUP(C2783,[1]Baseline!$B$4:$B$91,[1]Baseline!$D$4:$AZ$91))</f>
        <v>No Knowledge</v>
      </c>
      <c r="E2783" s="16" t="s">
        <v>240</v>
      </c>
      <c r="F2783" s="16">
        <v>0</v>
      </c>
      <c r="G2783" s="16">
        <v>99</v>
      </c>
      <c r="H2783" s="16">
        <f t="shared" si="43"/>
        <v>99</v>
      </c>
      <c r="I2783" s="13">
        <v>99</v>
      </c>
    </row>
    <row r="2784" spans="1:9">
      <c r="A2784" s="16" t="s">
        <v>30</v>
      </c>
      <c r="B2784" s="16" t="s">
        <v>89</v>
      </c>
      <c r="C2784" s="16" t="s">
        <v>243</v>
      </c>
      <c r="D2784" s="13" t="str" cm="1">
        <f t="array" ref="D2784">_xlfn.XLOOKUP(B2784,[1]Baseline!$D$3:$AZ$3,_xlfn.XLOOKUP(C2784,[1]Baseline!$B$4:$B$91,[1]Baseline!$D$4:$AZ$91))</f>
        <v>No Knowledge</v>
      </c>
      <c r="E2784" s="16" t="s">
        <v>243</v>
      </c>
      <c r="F2784" s="16">
        <v>0</v>
      </c>
      <c r="G2784" s="16">
        <v>99</v>
      </c>
      <c r="H2784" s="16">
        <f t="shared" si="43"/>
        <v>99</v>
      </c>
      <c r="I2784" s="13">
        <v>99</v>
      </c>
    </row>
    <row r="2785" spans="1:9">
      <c r="A2785" s="16" t="s">
        <v>30</v>
      </c>
      <c r="B2785" s="16" t="s">
        <v>89</v>
      </c>
      <c r="C2785" s="16" t="s">
        <v>246</v>
      </c>
      <c r="D2785" s="13" t="str" cm="1">
        <f t="array" ref="D2785">_xlfn.XLOOKUP(B2785,[1]Baseline!$D$3:$AZ$3,_xlfn.XLOOKUP(C2785,[1]Baseline!$B$4:$B$91,[1]Baseline!$D$4:$AZ$91))</f>
        <v>No Knowledge</v>
      </c>
      <c r="E2785" s="16" t="s">
        <v>246</v>
      </c>
      <c r="F2785" s="16">
        <v>0</v>
      </c>
      <c r="G2785" s="16">
        <v>99</v>
      </c>
      <c r="H2785" s="16">
        <f t="shared" si="43"/>
        <v>99</v>
      </c>
      <c r="I2785" s="13">
        <v>99</v>
      </c>
    </row>
    <row r="2786" spans="1:9">
      <c r="A2786" s="16" t="s">
        <v>30</v>
      </c>
      <c r="B2786" s="16" t="s">
        <v>89</v>
      </c>
      <c r="C2786" s="16" t="s">
        <v>249</v>
      </c>
      <c r="D2786" s="13" t="str" cm="1">
        <f t="array" ref="D2786">_xlfn.XLOOKUP(B2786,[1]Baseline!$D$3:$AZ$3,_xlfn.XLOOKUP(C2786,[1]Baseline!$B$4:$B$91,[1]Baseline!$D$4:$AZ$91))</f>
        <v>No Knowledge</v>
      </c>
      <c r="E2786" s="16" t="s">
        <v>249</v>
      </c>
      <c r="F2786" s="16">
        <v>0</v>
      </c>
      <c r="G2786" s="16">
        <v>99</v>
      </c>
      <c r="H2786" s="16">
        <f t="shared" si="43"/>
        <v>99</v>
      </c>
      <c r="I2786" s="13">
        <v>99</v>
      </c>
    </row>
    <row r="2787" spans="1:9">
      <c r="A2787" s="16" t="s">
        <v>30</v>
      </c>
      <c r="B2787" s="16" t="s">
        <v>89</v>
      </c>
      <c r="C2787" s="16" t="s">
        <v>252</v>
      </c>
      <c r="D2787" s="13" t="str" cm="1">
        <f t="array" ref="D2787">_xlfn.XLOOKUP(B2787,[1]Baseline!$D$3:$AZ$3,_xlfn.XLOOKUP(C2787,[1]Baseline!$B$4:$B$91,[1]Baseline!$D$4:$AZ$91))</f>
        <v>No Knowledge</v>
      </c>
      <c r="E2787" s="16" t="s">
        <v>252</v>
      </c>
      <c r="F2787" s="16">
        <v>0</v>
      </c>
      <c r="G2787" s="16">
        <v>99</v>
      </c>
      <c r="H2787" s="16">
        <f t="shared" si="43"/>
        <v>99</v>
      </c>
      <c r="I2787" s="13">
        <v>99</v>
      </c>
    </row>
    <row r="2788" spans="1:9">
      <c r="A2788" s="16" t="s">
        <v>30</v>
      </c>
      <c r="B2788" s="16" t="s">
        <v>89</v>
      </c>
      <c r="C2788" s="16" t="s">
        <v>255</v>
      </c>
      <c r="D2788" s="13" t="str" cm="1">
        <f t="array" ref="D2788">_xlfn.XLOOKUP(B2788,[1]Baseline!$D$3:$AZ$3,_xlfn.XLOOKUP(C2788,[1]Baseline!$B$4:$B$91,[1]Baseline!$D$4:$AZ$91))</f>
        <v>No Knowledge</v>
      </c>
      <c r="E2788" s="16" t="s">
        <v>255</v>
      </c>
      <c r="F2788" s="16">
        <v>0</v>
      </c>
      <c r="G2788" s="16">
        <v>99</v>
      </c>
      <c r="H2788" s="16">
        <f t="shared" si="43"/>
        <v>99</v>
      </c>
      <c r="I2788" s="13">
        <v>99</v>
      </c>
    </row>
    <row r="2789" spans="1:9">
      <c r="A2789" s="16" t="s">
        <v>30</v>
      </c>
      <c r="B2789" s="16" t="s">
        <v>89</v>
      </c>
      <c r="C2789" s="16" t="s">
        <v>258</v>
      </c>
      <c r="D2789" s="13" t="str" cm="1">
        <f t="array" ref="D2789">_xlfn.XLOOKUP(B2789,[1]Baseline!$D$3:$AZ$3,_xlfn.XLOOKUP(C2789,[1]Baseline!$B$4:$B$91,[1]Baseline!$D$4:$AZ$91))</f>
        <v>No Knowledge</v>
      </c>
      <c r="E2789" s="16" t="s">
        <v>258</v>
      </c>
      <c r="F2789" s="16">
        <v>0</v>
      </c>
      <c r="G2789" s="16">
        <v>99</v>
      </c>
      <c r="H2789" s="16">
        <f t="shared" si="43"/>
        <v>99</v>
      </c>
      <c r="I2789" s="13">
        <v>99</v>
      </c>
    </row>
    <row r="2790" spans="1:9">
      <c r="A2790" s="16" t="s">
        <v>30</v>
      </c>
      <c r="B2790" s="16" t="s">
        <v>89</v>
      </c>
      <c r="C2790" s="16" t="s">
        <v>326</v>
      </c>
      <c r="D2790" s="13" t="str" cm="1">
        <f t="array" ref="D2790">_xlfn.XLOOKUP(B2790,[1]Baseline!$D$3:$AZ$3,_xlfn.XLOOKUP(C2790,[1]Baseline!$B$4:$B$91,[1]Baseline!$D$4:$AZ$91))</f>
        <v>No Knowledge</v>
      </c>
      <c r="E2790" s="16" t="s">
        <v>326</v>
      </c>
      <c r="F2790" s="16">
        <v>0</v>
      </c>
      <c r="G2790" s="16">
        <v>99</v>
      </c>
      <c r="H2790" s="16">
        <f t="shared" si="43"/>
        <v>99</v>
      </c>
      <c r="I2790" s="13">
        <v>99</v>
      </c>
    </row>
    <row r="2791" spans="1:9">
      <c r="A2791" s="16" t="s">
        <v>30</v>
      </c>
      <c r="B2791" s="16" t="s">
        <v>89</v>
      </c>
      <c r="C2791" s="16" t="s">
        <v>261</v>
      </c>
      <c r="D2791" s="13" t="str" cm="1">
        <f t="array" ref="D2791">_xlfn.XLOOKUP(B2791,[1]Baseline!$D$3:$AZ$3,_xlfn.XLOOKUP(C2791,[1]Baseline!$B$4:$B$91,[1]Baseline!$D$4:$AZ$91))</f>
        <v>No Knowledge</v>
      </c>
      <c r="E2791" s="16" t="s">
        <v>261</v>
      </c>
      <c r="F2791" s="16">
        <v>0</v>
      </c>
      <c r="G2791" s="16">
        <v>99</v>
      </c>
      <c r="H2791" s="16">
        <f t="shared" si="43"/>
        <v>99</v>
      </c>
      <c r="I2791" s="13">
        <v>99</v>
      </c>
    </row>
    <row r="2792" spans="1:9">
      <c r="A2792" s="16" t="s">
        <v>30</v>
      </c>
      <c r="B2792" s="16" t="s">
        <v>89</v>
      </c>
      <c r="C2792" s="16" t="s">
        <v>264</v>
      </c>
      <c r="D2792" s="13" t="str" cm="1">
        <f t="array" ref="D2792">_xlfn.XLOOKUP(B2792,[1]Baseline!$D$3:$AZ$3,_xlfn.XLOOKUP(C2792,[1]Baseline!$B$4:$B$91,[1]Baseline!$D$4:$AZ$91))</f>
        <v>Awareness</v>
      </c>
      <c r="E2792" s="16" t="s">
        <v>264</v>
      </c>
      <c r="F2792" s="16">
        <v>1</v>
      </c>
      <c r="G2792" s="16">
        <v>99</v>
      </c>
      <c r="H2792" s="16">
        <f t="shared" si="43"/>
        <v>98</v>
      </c>
      <c r="I2792" s="13">
        <v>99</v>
      </c>
    </row>
    <row r="2793" spans="1:9">
      <c r="A2793" s="16" t="s">
        <v>30</v>
      </c>
      <c r="B2793" s="16" t="s">
        <v>89</v>
      </c>
      <c r="C2793" s="16" t="s">
        <v>267</v>
      </c>
      <c r="D2793" s="13" t="str" cm="1">
        <f t="array" ref="D2793">_xlfn.XLOOKUP(B2793,[1]Baseline!$D$3:$AZ$3,_xlfn.XLOOKUP(C2793,[1]Baseline!$B$4:$B$91,[1]Baseline!$D$4:$AZ$91))</f>
        <v>Practitioner</v>
      </c>
      <c r="E2793" s="16" t="s">
        <v>267</v>
      </c>
      <c r="F2793" s="16">
        <v>2</v>
      </c>
      <c r="G2793" s="16">
        <v>99</v>
      </c>
      <c r="H2793" s="16">
        <f t="shared" si="43"/>
        <v>97</v>
      </c>
      <c r="I2793" s="13">
        <v>99</v>
      </c>
    </row>
    <row r="2794" spans="1:9">
      <c r="A2794" s="16" t="s">
        <v>30</v>
      </c>
      <c r="B2794" s="16" t="s">
        <v>89</v>
      </c>
      <c r="C2794" s="16" t="s">
        <v>270</v>
      </c>
      <c r="D2794" s="13" t="str" cm="1">
        <f t="array" ref="D2794">_xlfn.XLOOKUP(B2794,[1]Baseline!$D$3:$AZ$3,_xlfn.XLOOKUP(C2794,[1]Baseline!$B$4:$B$91,[1]Baseline!$D$4:$AZ$91))</f>
        <v>Awareness</v>
      </c>
      <c r="E2794" s="16" t="s">
        <v>270</v>
      </c>
      <c r="F2794" s="16">
        <v>1</v>
      </c>
      <c r="G2794" s="16">
        <v>99</v>
      </c>
      <c r="H2794" s="16">
        <f t="shared" si="43"/>
        <v>98</v>
      </c>
      <c r="I2794" s="13">
        <v>99</v>
      </c>
    </row>
    <row r="2795" spans="1:9">
      <c r="A2795" s="16" t="s">
        <v>30</v>
      </c>
      <c r="B2795" s="16" t="s">
        <v>89</v>
      </c>
      <c r="C2795" s="16" t="s">
        <v>50</v>
      </c>
      <c r="D2795" s="13" t="str" cm="1">
        <f t="array" ref="D2795">_xlfn.XLOOKUP(B2795,[1]Baseline!$D$3:$AZ$3,_xlfn.XLOOKUP(C2795,[1]Baseline!$B$4:$B$91,[1]Baseline!$D$4:$AZ$91))</f>
        <v>Working</v>
      </c>
      <c r="E2795" s="16" t="s">
        <v>50</v>
      </c>
      <c r="F2795" s="16">
        <v>1</v>
      </c>
      <c r="G2795" s="16">
        <v>99</v>
      </c>
      <c r="H2795" s="16">
        <f t="shared" si="43"/>
        <v>98</v>
      </c>
      <c r="I2795" s="13">
        <v>99</v>
      </c>
    </row>
    <row r="2796" spans="1:9">
      <c r="A2796" s="16" t="s">
        <v>30</v>
      </c>
      <c r="B2796" s="16" t="s">
        <v>89</v>
      </c>
      <c r="C2796" s="16" t="s">
        <v>320</v>
      </c>
      <c r="D2796" s="13" t="str" cm="1">
        <f t="array" ref="D2796">_xlfn.XLOOKUP(B2796,[1]Baseline!$D$3:$AZ$3,_xlfn.XLOOKUP(C2796,[1]Baseline!$B$4:$B$91,[1]Baseline!$D$4:$AZ$91))</f>
        <v>No Knowledge</v>
      </c>
      <c r="E2796" s="16" t="s">
        <v>320</v>
      </c>
      <c r="F2796" s="16">
        <v>0</v>
      </c>
      <c r="G2796" s="16">
        <v>99</v>
      </c>
      <c r="H2796" s="16">
        <f t="shared" si="43"/>
        <v>99</v>
      </c>
      <c r="I2796" s="13">
        <v>99</v>
      </c>
    </row>
    <row r="2797" spans="1:9">
      <c r="A2797" s="16" t="s">
        <v>30</v>
      </c>
      <c r="B2797" s="16" t="s">
        <v>89</v>
      </c>
      <c r="C2797" s="16" t="s">
        <v>278</v>
      </c>
      <c r="D2797" s="13" t="str" cm="1">
        <f t="array" ref="D2797">_xlfn.XLOOKUP(B2797,[1]Baseline!$D$3:$AZ$3,_xlfn.XLOOKUP(C2797,[1]Baseline!$B$4:$B$91,[1]Baseline!$D$4:$AZ$91))</f>
        <v>No Knowledge</v>
      </c>
      <c r="E2797" s="16" t="s">
        <v>278</v>
      </c>
      <c r="F2797" s="16">
        <v>0</v>
      </c>
      <c r="G2797" s="16">
        <v>99</v>
      </c>
      <c r="H2797" s="16">
        <f t="shared" si="43"/>
        <v>99</v>
      </c>
      <c r="I2797" s="13">
        <v>99</v>
      </c>
    </row>
    <row r="2798" spans="1:9">
      <c r="A2798" s="16" t="s">
        <v>30</v>
      </c>
      <c r="B2798" s="16" t="s">
        <v>89</v>
      </c>
      <c r="C2798" s="16" t="s">
        <v>275</v>
      </c>
      <c r="D2798" s="13" t="str" cm="1">
        <f t="array" ref="D2798">_xlfn.XLOOKUP(B2798,[1]Baseline!$D$3:$AZ$3,_xlfn.XLOOKUP(C2798,[1]Baseline!$B$4:$B$91,[1]Baseline!$D$4:$AZ$91))</f>
        <v>No Knowledge</v>
      </c>
      <c r="E2798" s="16" t="s">
        <v>275</v>
      </c>
      <c r="F2798" s="16">
        <v>0</v>
      </c>
      <c r="G2798" s="16">
        <v>99</v>
      </c>
      <c r="H2798" s="16">
        <f t="shared" si="43"/>
        <v>99</v>
      </c>
      <c r="I2798" s="13">
        <v>99</v>
      </c>
    </row>
    <row r="2799" spans="1:9">
      <c r="A2799" s="16" t="s">
        <v>30</v>
      </c>
      <c r="B2799" s="16" t="s">
        <v>89</v>
      </c>
      <c r="C2799" s="16" t="s">
        <v>281</v>
      </c>
      <c r="D2799" s="13" t="str" cm="1">
        <f t="array" ref="D2799">_xlfn.XLOOKUP(B2799,[1]Baseline!$D$3:$AZ$3,_xlfn.XLOOKUP(C2799,[1]Baseline!$B$4:$B$91,[1]Baseline!$D$4:$AZ$91))</f>
        <v>Awareness</v>
      </c>
      <c r="E2799" s="16" t="s">
        <v>281</v>
      </c>
      <c r="F2799" s="16">
        <v>2</v>
      </c>
      <c r="G2799" s="16">
        <v>99</v>
      </c>
      <c r="H2799" s="16">
        <f t="shared" si="43"/>
        <v>97</v>
      </c>
      <c r="I2799" s="13">
        <v>99</v>
      </c>
    </row>
    <row r="2800" spans="1:9">
      <c r="A2800" s="16" t="s">
        <v>30</v>
      </c>
      <c r="B2800" s="16" t="s">
        <v>89</v>
      </c>
      <c r="C2800" s="16" t="s">
        <v>284</v>
      </c>
      <c r="D2800" s="13" t="str" cm="1">
        <f t="array" ref="D2800">_xlfn.XLOOKUP(B2800,[1]Baseline!$D$3:$AZ$3,_xlfn.XLOOKUP(C2800,[1]Baseline!$B$4:$B$91,[1]Baseline!$D$4:$AZ$91))</f>
        <v>No Knowledge</v>
      </c>
      <c r="E2800" s="16" t="s">
        <v>284</v>
      </c>
      <c r="F2800" s="16">
        <v>0</v>
      </c>
      <c r="G2800" s="16">
        <v>99</v>
      </c>
      <c r="H2800" s="16">
        <f t="shared" si="43"/>
        <v>99</v>
      </c>
      <c r="I2800" s="13">
        <v>99</v>
      </c>
    </row>
    <row r="2801" spans="1:9">
      <c r="A2801" s="16" t="s">
        <v>30</v>
      </c>
      <c r="B2801" s="16" t="s">
        <v>89</v>
      </c>
      <c r="C2801" s="16" t="s">
        <v>287</v>
      </c>
      <c r="D2801" s="13" t="str" cm="1">
        <f t="array" ref="D2801">_xlfn.XLOOKUP(B2801,[1]Baseline!$D$3:$AZ$3,_xlfn.XLOOKUP(C2801,[1]Baseline!$B$4:$B$91,[1]Baseline!$D$4:$AZ$91))</f>
        <v>No Knowledge</v>
      </c>
      <c r="E2801" s="16" t="s">
        <v>287</v>
      </c>
      <c r="F2801" s="16">
        <v>0</v>
      </c>
      <c r="G2801" s="16">
        <v>99</v>
      </c>
      <c r="H2801" s="16">
        <f t="shared" si="43"/>
        <v>99</v>
      </c>
      <c r="I2801" s="13">
        <v>99</v>
      </c>
    </row>
    <row r="2802" spans="1:9">
      <c r="A2802" s="16" t="s">
        <v>30</v>
      </c>
      <c r="B2802" s="16" t="s">
        <v>89</v>
      </c>
      <c r="C2802" s="16" t="s">
        <v>290</v>
      </c>
      <c r="D2802" s="13" t="str" cm="1">
        <f t="array" ref="D2802">_xlfn.XLOOKUP(B2802,[1]Baseline!$D$3:$AZ$3,_xlfn.XLOOKUP(C2802,[1]Baseline!$B$4:$B$91,[1]Baseline!$D$4:$AZ$91))</f>
        <v>No Knowledge</v>
      </c>
      <c r="E2802" s="16" t="s">
        <v>290</v>
      </c>
      <c r="F2802" s="16">
        <v>0</v>
      </c>
      <c r="G2802" s="16">
        <v>99</v>
      </c>
      <c r="H2802" s="16">
        <f t="shared" si="43"/>
        <v>99</v>
      </c>
      <c r="I2802" s="13">
        <v>99</v>
      </c>
    </row>
    <row r="2803" spans="1:9">
      <c r="A2803" s="16" t="s">
        <v>30</v>
      </c>
      <c r="B2803" s="16" t="s">
        <v>89</v>
      </c>
      <c r="C2803" s="16" t="s">
        <v>51</v>
      </c>
      <c r="D2803" s="13" t="str" cm="1">
        <f t="array" ref="D2803">_xlfn.XLOOKUP(B2803,[1]Baseline!$D$3:$AZ$3,_xlfn.XLOOKUP(C2803,[1]Baseline!$B$4:$B$91,[1]Baseline!$D$4:$AZ$91))</f>
        <v>Awareness</v>
      </c>
      <c r="E2803" s="16" t="s">
        <v>51</v>
      </c>
      <c r="F2803" s="16">
        <v>1</v>
      </c>
      <c r="G2803" s="16">
        <v>99</v>
      </c>
      <c r="H2803" s="16">
        <f t="shared" si="43"/>
        <v>98</v>
      </c>
      <c r="I2803" s="13">
        <v>99</v>
      </c>
    </row>
    <row r="2804" spans="1:9">
      <c r="A2804" s="16" t="s">
        <v>30</v>
      </c>
      <c r="B2804" s="16" t="s">
        <v>89</v>
      </c>
      <c r="C2804" s="16" t="s">
        <v>293</v>
      </c>
      <c r="D2804" s="13" t="str" cm="1">
        <f t="array" ref="D2804">_xlfn.XLOOKUP(B2804,[1]Baseline!$D$3:$AZ$3,_xlfn.XLOOKUP(C2804,[1]Baseline!$B$4:$B$91,[1]Baseline!$D$4:$AZ$91))</f>
        <v>No Knowledge</v>
      </c>
      <c r="E2804" s="16" t="s">
        <v>293</v>
      </c>
      <c r="F2804" s="16">
        <v>0</v>
      </c>
      <c r="G2804" s="16">
        <v>99</v>
      </c>
      <c r="H2804" s="16">
        <f t="shared" si="43"/>
        <v>99</v>
      </c>
      <c r="I2804" s="13">
        <v>99</v>
      </c>
    </row>
    <row r="2805" spans="1:9">
      <c r="A2805" s="16" t="s">
        <v>30</v>
      </c>
      <c r="B2805" s="16" t="s">
        <v>89</v>
      </c>
      <c r="C2805" s="16" t="s">
        <v>296</v>
      </c>
      <c r="D2805" s="13" t="str" cm="1">
        <f t="array" ref="D2805">_xlfn.XLOOKUP(B2805,[1]Baseline!$D$3:$AZ$3,_xlfn.XLOOKUP(C2805,[1]Baseline!$B$4:$B$91,[1]Baseline!$D$4:$AZ$91))</f>
        <v>No Knowledge</v>
      </c>
      <c r="E2805" s="16" t="s">
        <v>296</v>
      </c>
      <c r="F2805" s="16">
        <v>0</v>
      </c>
      <c r="G2805" s="16">
        <v>99</v>
      </c>
      <c r="H2805" s="16">
        <f t="shared" si="43"/>
        <v>99</v>
      </c>
      <c r="I2805" s="13">
        <v>99</v>
      </c>
    </row>
    <row r="2806" spans="1:9">
      <c r="A2806" s="16" t="s">
        <v>30</v>
      </c>
      <c r="B2806" s="16" t="s">
        <v>89</v>
      </c>
      <c r="C2806" s="16" t="s">
        <v>299</v>
      </c>
      <c r="D2806" s="13" t="str" cm="1">
        <f t="array" ref="D2806">_xlfn.XLOOKUP(B2806,[1]Baseline!$D$3:$AZ$3,_xlfn.XLOOKUP(C2806,[1]Baseline!$B$4:$B$91,[1]Baseline!$D$4:$AZ$91))</f>
        <v>No Knowledge</v>
      </c>
      <c r="E2806" s="16" t="s">
        <v>299</v>
      </c>
      <c r="F2806" s="16">
        <v>0</v>
      </c>
      <c r="G2806" s="16">
        <v>99</v>
      </c>
      <c r="H2806" s="16">
        <f t="shared" si="43"/>
        <v>99</v>
      </c>
      <c r="I2806" s="13">
        <v>99</v>
      </c>
    </row>
    <row r="2807" spans="1:9">
      <c r="A2807" s="16" t="s">
        <v>30</v>
      </c>
      <c r="B2807" s="16" t="s">
        <v>89</v>
      </c>
      <c r="C2807" s="16" t="s">
        <v>323</v>
      </c>
      <c r="D2807" s="13" t="str" cm="1">
        <f t="array" ref="D2807">_xlfn.XLOOKUP(B2807,[1]Baseline!$D$3:$AZ$3,_xlfn.XLOOKUP(C2807,[1]Baseline!$B$4:$B$91,[1]Baseline!$D$4:$AZ$91))</f>
        <v>No Knowledge</v>
      </c>
      <c r="E2807" s="16" t="s">
        <v>323</v>
      </c>
      <c r="F2807" s="16">
        <v>0</v>
      </c>
      <c r="G2807" s="16">
        <v>99</v>
      </c>
      <c r="H2807" s="16">
        <f t="shared" si="43"/>
        <v>99</v>
      </c>
      <c r="I2807" s="13">
        <v>99</v>
      </c>
    </row>
    <row r="2808" spans="1:9">
      <c r="A2808" s="16" t="s">
        <v>30</v>
      </c>
      <c r="B2808" s="16" t="s">
        <v>89</v>
      </c>
      <c r="C2808" s="16" t="s">
        <v>302</v>
      </c>
      <c r="D2808" s="13" t="str" cm="1">
        <f t="array" ref="D2808">_xlfn.XLOOKUP(B2808,[1]Baseline!$D$3:$AZ$3,_xlfn.XLOOKUP(C2808,[1]Baseline!$B$4:$B$91,[1]Baseline!$D$4:$AZ$91))</f>
        <v>No Knowledge</v>
      </c>
      <c r="E2808" s="16" t="s">
        <v>302</v>
      </c>
      <c r="F2808" s="16">
        <v>0</v>
      </c>
      <c r="G2808" s="16">
        <v>99</v>
      </c>
      <c r="H2808" s="16">
        <f t="shared" si="43"/>
        <v>99</v>
      </c>
      <c r="I2808" s="13">
        <v>99</v>
      </c>
    </row>
    <row r="2809" spans="1:9">
      <c r="A2809" s="16" t="s">
        <v>30</v>
      </c>
      <c r="B2809" s="16" t="s">
        <v>89</v>
      </c>
      <c r="C2809" s="16" t="s">
        <v>305</v>
      </c>
      <c r="D2809" s="13" t="str" cm="1">
        <f t="array" ref="D2809">_xlfn.XLOOKUP(B2809,[1]Baseline!$D$3:$AZ$3,_xlfn.XLOOKUP(C2809,[1]Baseline!$B$4:$B$91,[1]Baseline!$D$4:$AZ$91))</f>
        <v>No Knowledge</v>
      </c>
      <c r="E2809" s="16" t="s">
        <v>305</v>
      </c>
      <c r="F2809" s="16">
        <v>0</v>
      </c>
      <c r="G2809" s="16">
        <v>99</v>
      </c>
      <c r="H2809" s="16">
        <f t="shared" si="43"/>
        <v>99</v>
      </c>
      <c r="I2809" s="13">
        <v>99</v>
      </c>
    </row>
    <row r="2810" spans="1:9">
      <c r="A2810" s="16" t="s">
        <v>30</v>
      </c>
      <c r="B2810" s="16" t="s">
        <v>89</v>
      </c>
      <c r="C2810" s="16" t="s">
        <v>308</v>
      </c>
      <c r="D2810" s="13" t="str" cm="1">
        <f t="array" ref="D2810">_xlfn.XLOOKUP(B2810,[1]Baseline!$D$3:$AZ$3,_xlfn.XLOOKUP(C2810,[1]Baseline!$B$4:$B$91,[1]Baseline!$D$4:$AZ$91))</f>
        <v>No Knowledge</v>
      </c>
      <c r="E2810" s="16" t="s">
        <v>308</v>
      </c>
      <c r="F2810" s="16">
        <v>0</v>
      </c>
      <c r="G2810" s="16">
        <v>99</v>
      </c>
      <c r="H2810" s="16">
        <f t="shared" si="43"/>
        <v>99</v>
      </c>
      <c r="I2810" s="13">
        <v>99</v>
      </c>
    </row>
    <row r="2811" spans="1:9">
      <c r="A2811" s="16" t="s">
        <v>30</v>
      </c>
      <c r="B2811" s="16" t="s">
        <v>89</v>
      </c>
      <c r="C2811" s="16" t="s">
        <v>311</v>
      </c>
      <c r="D2811" s="13" t="str" cm="1">
        <f t="array" ref="D2811">_xlfn.XLOOKUP(B2811,[1]Baseline!$D$3:$AZ$3,_xlfn.XLOOKUP(C2811,[1]Baseline!$B$4:$B$91,[1]Baseline!$D$4:$AZ$91))</f>
        <v>No Knowledge</v>
      </c>
      <c r="E2811" s="16" t="s">
        <v>311</v>
      </c>
      <c r="F2811" s="16">
        <v>0</v>
      </c>
      <c r="G2811" s="16">
        <v>99</v>
      </c>
      <c r="H2811" s="16">
        <f t="shared" si="43"/>
        <v>99</v>
      </c>
      <c r="I2811" s="13">
        <v>99</v>
      </c>
    </row>
    <row r="2812" spans="1:9">
      <c r="A2812" s="16" t="s">
        <v>30</v>
      </c>
      <c r="B2812" s="16" t="s">
        <v>89</v>
      </c>
      <c r="C2812" s="16" t="s">
        <v>314</v>
      </c>
      <c r="D2812" s="13" t="str" cm="1">
        <f t="array" ref="D2812">_xlfn.XLOOKUP(B2812,[1]Baseline!$D$3:$AZ$3,_xlfn.XLOOKUP(C2812,[1]Baseline!$B$4:$B$91,[1]Baseline!$D$4:$AZ$91))</f>
        <v>Awareness</v>
      </c>
      <c r="E2812" s="16" t="s">
        <v>314</v>
      </c>
      <c r="F2812" s="16">
        <v>2</v>
      </c>
      <c r="G2812" s="16">
        <v>99</v>
      </c>
      <c r="H2812" s="16">
        <f t="shared" si="43"/>
        <v>97</v>
      </c>
      <c r="I2812" s="13">
        <v>99</v>
      </c>
    </row>
    <row r="2813" spans="1:9">
      <c r="A2813" s="16" t="s">
        <v>30</v>
      </c>
      <c r="B2813" s="16" t="s">
        <v>89</v>
      </c>
      <c r="C2813" s="16" t="s">
        <v>328</v>
      </c>
      <c r="D2813" s="13" t="str" cm="1">
        <f t="array" ref="D2813">_xlfn.XLOOKUP(B2813,[1]Baseline!$D$3:$AZ$3,_xlfn.XLOOKUP(C2813,[1]Baseline!$B$4:$B$91,[1]Baseline!$D$4:$AZ$91))</f>
        <v>Awareness</v>
      </c>
      <c r="E2813" s="16" t="s">
        <v>328</v>
      </c>
      <c r="F2813" s="16">
        <v>2</v>
      </c>
      <c r="G2813" s="16">
        <v>99</v>
      </c>
      <c r="H2813" s="16">
        <f t="shared" si="43"/>
        <v>97</v>
      </c>
      <c r="I2813" s="13">
        <v>99</v>
      </c>
    </row>
    <row r="2814" spans="1:9">
      <c r="A2814" s="16" t="s">
        <v>30</v>
      </c>
      <c r="B2814" s="16" t="s">
        <v>89</v>
      </c>
      <c r="C2814" s="16" t="s">
        <v>317</v>
      </c>
      <c r="D2814" s="13" t="str" cm="1">
        <f t="array" ref="D2814">_xlfn.XLOOKUP(B2814,[1]Baseline!$D$3:$AZ$3,_xlfn.XLOOKUP(C2814,[1]Baseline!$B$4:$B$91,[1]Baseline!$D$4:$AZ$91))</f>
        <v>Working</v>
      </c>
      <c r="E2814" s="16" t="s">
        <v>317</v>
      </c>
      <c r="F2814" s="16">
        <v>2</v>
      </c>
      <c r="G2814" s="16">
        <v>99</v>
      </c>
      <c r="H2814" s="16">
        <f t="shared" si="43"/>
        <v>97</v>
      </c>
      <c r="I2814" s="13">
        <v>99</v>
      </c>
    </row>
    <row r="2815" spans="1:9">
      <c r="A2815" s="16" t="s">
        <v>30</v>
      </c>
      <c r="B2815" s="16" t="s">
        <v>89</v>
      </c>
      <c r="C2815" s="16" t="s">
        <v>352</v>
      </c>
      <c r="D2815" s="13" t="str" cm="1">
        <f t="array" ref="D2815">_xlfn.XLOOKUP(B2815,[1]Baseline!$D$3:$AZ$3,_xlfn.XLOOKUP(C2815,[1]Baseline!$B$4:$B$91,[1]Baseline!$D$4:$AZ$91))</f>
        <v>No Knowledge</v>
      </c>
      <c r="E2815" s="16" t="s">
        <v>352</v>
      </c>
      <c r="F2815" s="16">
        <v>0</v>
      </c>
      <c r="G2815" s="16">
        <v>99</v>
      </c>
      <c r="H2815" s="16">
        <f t="shared" si="43"/>
        <v>99</v>
      </c>
      <c r="I2815" s="13">
        <v>99</v>
      </c>
    </row>
    <row r="2816" spans="1:9">
      <c r="A2816" s="16" t="s">
        <v>30</v>
      </c>
      <c r="B2816" s="16" t="s">
        <v>89</v>
      </c>
      <c r="C2816" s="16" t="s">
        <v>355</v>
      </c>
      <c r="D2816" s="13" t="str" cm="1">
        <f t="array" ref="D2816">_xlfn.XLOOKUP(B2816,[1]Baseline!$D$3:$AZ$3,_xlfn.XLOOKUP(C2816,[1]Baseline!$B$4:$B$91,[1]Baseline!$D$4:$AZ$91))</f>
        <v>No Knowledge</v>
      </c>
      <c r="E2816" s="16" t="s">
        <v>355</v>
      </c>
      <c r="F2816" s="16">
        <v>0</v>
      </c>
      <c r="G2816" s="16">
        <v>99</v>
      </c>
      <c r="H2816" s="16">
        <f t="shared" si="43"/>
        <v>99</v>
      </c>
      <c r="I2816" s="13">
        <v>99</v>
      </c>
    </row>
    <row r="2817" spans="1:9">
      <c r="A2817" s="16" t="s">
        <v>30</v>
      </c>
      <c r="B2817" s="16" t="s">
        <v>89</v>
      </c>
      <c r="C2817" s="16" t="s">
        <v>358</v>
      </c>
      <c r="D2817" s="13" t="str" cm="1">
        <f t="array" ref="D2817">_xlfn.XLOOKUP(B2817,[1]Baseline!$D$3:$AZ$3,_xlfn.XLOOKUP(C2817,[1]Baseline!$B$4:$B$91,[1]Baseline!$D$4:$AZ$91))</f>
        <v>Working</v>
      </c>
      <c r="E2817" s="16" t="s">
        <v>358</v>
      </c>
      <c r="F2817" s="16">
        <v>1</v>
      </c>
      <c r="G2817" s="16">
        <v>99</v>
      </c>
      <c r="H2817" s="16">
        <f t="shared" si="43"/>
        <v>98</v>
      </c>
      <c r="I2817" s="13">
        <v>99</v>
      </c>
    </row>
    <row r="2818" spans="1:9">
      <c r="A2818" s="16" t="s">
        <v>31</v>
      </c>
      <c r="B2818" s="16" t="s">
        <v>90</v>
      </c>
      <c r="C2818" s="16" t="str">
        <f>VLOOKUP([1]Competence!$B12,[1]Competence!$B$12:$B$100,1,FALSE)</f>
        <v>Asset Management</v>
      </c>
      <c r="D2818" s="13" t="str" cm="1">
        <f t="array" ref="D2818">_xlfn.XLOOKUP(B2818,[1]Baseline!$D$3:$AZ$3,_xlfn.XLOOKUP(C2818,[1]Baseline!$B$4:$B$91,[1]Baseline!$D$4:$AZ$91))</f>
        <v>Working</v>
      </c>
      <c r="E2818" s="16" t="s">
        <v>334</v>
      </c>
      <c r="F2818" s="16">
        <v>0</v>
      </c>
      <c r="G2818" s="16">
        <v>99</v>
      </c>
      <c r="H2818" s="16">
        <f t="shared" ref="H2818:H2881" si="44">I2818-F2818</f>
        <v>99</v>
      </c>
      <c r="I2818" s="13">
        <v>99</v>
      </c>
    </row>
    <row r="2819" spans="1:9">
      <c r="A2819" s="16" t="s">
        <v>31</v>
      </c>
      <c r="B2819" s="16" t="s">
        <v>90</v>
      </c>
      <c r="C2819" s="16" t="str">
        <f>VLOOKUP([1]Competence!$B13,[1]Competence!$B$12:$B$100,1,FALSE)</f>
        <v>Change Control</v>
      </c>
      <c r="D2819" s="13" t="str" cm="1">
        <f t="array" ref="D2819">_xlfn.XLOOKUP(B2819,[1]Baseline!$D$3:$AZ$3,_xlfn.XLOOKUP(C2819,[1]Baseline!$B$4:$B$91,[1]Baseline!$D$4:$AZ$91))</f>
        <v>Working</v>
      </c>
      <c r="E2819" s="16" t="s">
        <v>337</v>
      </c>
      <c r="F2819" s="16">
        <v>0</v>
      </c>
      <c r="G2819" s="16">
        <v>99</v>
      </c>
      <c r="H2819" s="16">
        <f t="shared" si="44"/>
        <v>99</v>
      </c>
      <c r="I2819" s="13">
        <v>99</v>
      </c>
    </row>
    <row r="2820" spans="1:9">
      <c r="A2820" s="16" t="s">
        <v>31</v>
      </c>
      <c r="B2820" s="16" t="s">
        <v>90</v>
      </c>
      <c r="C2820" s="16" t="str">
        <f>VLOOKUP([1]Competence!$B14,[1]Competence!$B$12:$B$100,1,FALSE)</f>
        <v>Customer Service Support</v>
      </c>
      <c r="D2820" s="13" t="str" cm="1">
        <f t="array" ref="D2820">_xlfn.XLOOKUP(B2820,[1]Baseline!$D$3:$AZ$3,_xlfn.XLOOKUP(C2820,[1]Baseline!$B$4:$B$91,[1]Baseline!$D$4:$AZ$91))</f>
        <v>Practitioner</v>
      </c>
      <c r="E2820" s="16" t="s">
        <v>340</v>
      </c>
      <c r="F2820" s="16">
        <v>0</v>
      </c>
      <c r="G2820" s="16">
        <v>99</v>
      </c>
      <c r="H2820" s="16">
        <f t="shared" si="44"/>
        <v>99</v>
      </c>
      <c r="I2820" s="13">
        <v>99</v>
      </c>
    </row>
    <row r="2821" spans="1:9">
      <c r="A2821" s="16" t="s">
        <v>31</v>
      </c>
      <c r="B2821" s="16" t="s">
        <v>90</v>
      </c>
      <c r="C2821" s="16" t="str">
        <f>VLOOKUP([1]Competence!$B15,[1]Competence!$B$12:$B$100,1,FALSE)</f>
        <v>Incident management</v>
      </c>
      <c r="D2821" s="13" t="str" cm="1">
        <f t="array" ref="D2821">_xlfn.XLOOKUP(B2821,[1]Baseline!$D$3:$AZ$3,_xlfn.XLOOKUP(C2821,[1]Baseline!$B$4:$B$91,[1]Baseline!$D$4:$AZ$91))</f>
        <v>Working</v>
      </c>
      <c r="E2821" s="16" t="s">
        <v>343</v>
      </c>
      <c r="F2821" s="16">
        <v>0</v>
      </c>
      <c r="G2821" s="16">
        <v>99</v>
      </c>
      <c r="H2821" s="16">
        <f t="shared" si="44"/>
        <v>99</v>
      </c>
      <c r="I2821" s="13">
        <v>99</v>
      </c>
    </row>
    <row r="2822" spans="1:9">
      <c r="A2822" s="16" t="s">
        <v>31</v>
      </c>
      <c r="B2822" s="16" t="s">
        <v>90</v>
      </c>
      <c r="C2822" s="16" t="str">
        <f>VLOOKUP([1]Competence!$B16,[1]Competence!$B$12:$B$100,1,FALSE)</f>
        <v>Information security</v>
      </c>
      <c r="D2822" s="13" t="str" cm="1">
        <f t="array" ref="D2822">_xlfn.XLOOKUP(B2822,[1]Baseline!$D$3:$AZ$3,_xlfn.XLOOKUP(C2822,[1]Baseline!$B$4:$B$91,[1]Baseline!$D$4:$AZ$91))</f>
        <v>Practitioner</v>
      </c>
      <c r="E2822" s="16" t="s">
        <v>346</v>
      </c>
      <c r="F2822" s="16">
        <v>0</v>
      </c>
      <c r="G2822" s="16">
        <v>99</v>
      </c>
      <c r="H2822" s="16">
        <f t="shared" si="44"/>
        <v>99</v>
      </c>
      <c r="I2822" s="13">
        <v>99</v>
      </c>
    </row>
    <row r="2823" spans="1:9">
      <c r="A2823" s="16" t="s">
        <v>31</v>
      </c>
      <c r="B2823" s="16" t="s">
        <v>90</v>
      </c>
      <c r="C2823" s="16" t="str">
        <f>VLOOKUP([1]Competence!$B17,[1]Competence!$B$12:$B$100,1,FALSE)</f>
        <v>Personal data protection</v>
      </c>
      <c r="D2823" s="13" t="str" cm="1">
        <f t="array" ref="D2823">_xlfn.XLOOKUP(B2823,[1]Baseline!$D$3:$AZ$3,_xlfn.XLOOKUP(C2823,[1]Baseline!$B$4:$B$91,[1]Baseline!$D$4:$AZ$91))</f>
        <v>Practitioner</v>
      </c>
      <c r="E2823" s="16" t="s">
        <v>349</v>
      </c>
      <c r="F2823" s="16">
        <v>0</v>
      </c>
      <c r="G2823" s="16">
        <v>99</v>
      </c>
      <c r="H2823" s="16">
        <f t="shared" si="44"/>
        <v>99</v>
      </c>
      <c r="I2823" s="13">
        <v>99</v>
      </c>
    </row>
    <row r="2824" spans="1:9">
      <c r="A2824" s="16" t="s">
        <v>31</v>
      </c>
      <c r="B2824" s="16" t="s">
        <v>90</v>
      </c>
      <c r="C2824" s="16" t="str">
        <f>VLOOKUP([1]Competence!$B18,[1]Competence!$B$12:$B$100,1,FALSE)</f>
        <v>Problem management</v>
      </c>
      <c r="D2824" s="13" t="str" cm="1">
        <f t="array" ref="D2824">_xlfn.XLOOKUP(B2824,[1]Baseline!$D$3:$AZ$3,_xlfn.XLOOKUP(C2824,[1]Baseline!$B$4:$B$91,[1]Baseline!$D$4:$AZ$91))</f>
        <v>Working</v>
      </c>
      <c r="E2824" s="16" t="s">
        <v>106</v>
      </c>
      <c r="F2824" s="16">
        <v>2</v>
      </c>
      <c r="G2824" s="16">
        <v>99</v>
      </c>
      <c r="H2824" s="16">
        <f t="shared" si="44"/>
        <v>97</v>
      </c>
      <c r="I2824" s="13">
        <v>99</v>
      </c>
    </row>
    <row r="2825" spans="1:9">
      <c r="A2825" s="16" t="s">
        <v>31</v>
      </c>
      <c r="B2825" s="16" t="s">
        <v>90</v>
      </c>
      <c r="C2825" s="16" t="str">
        <f>VLOOKUP([1]Competence!$B19,[1]Competence!$B$12:$B$100,1,FALSE)</f>
        <v>Service catalogue management</v>
      </c>
      <c r="D2825" s="13" t="str" cm="1">
        <f t="array" ref="D2825">_xlfn.XLOOKUP(B2825,[1]Baseline!$D$3:$AZ$3,_xlfn.XLOOKUP(C2825,[1]Baseline!$B$4:$B$91,[1]Baseline!$D$4:$AZ$91))</f>
        <v>Working</v>
      </c>
      <c r="E2825" s="16" t="s">
        <v>109</v>
      </c>
      <c r="F2825" s="16">
        <v>2</v>
      </c>
      <c r="G2825" s="16">
        <v>99</v>
      </c>
      <c r="H2825" s="16">
        <f t="shared" si="44"/>
        <v>97</v>
      </c>
      <c r="I2825" s="13">
        <v>99</v>
      </c>
    </row>
    <row r="2826" spans="1:9">
      <c r="A2826" s="16" t="s">
        <v>31</v>
      </c>
      <c r="B2826" s="16" t="s">
        <v>90</v>
      </c>
      <c r="C2826" s="16" t="str">
        <f>VLOOKUP([1]Competence!$B20,[1]Competence!$B$12:$B$100,1,FALSE)</f>
        <v>Service level management</v>
      </c>
      <c r="D2826" s="13" t="str" cm="1">
        <f t="array" ref="D2826">_xlfn.XLOOKUP(B2826,[1]Baseline!$D$3:$AZ$3,_xlfn.XLOOKUP(C2826,[1]Baseline!$B$4:$B$91,[1]Baseline!$D$4:$AZ$91))</f>
        <v>Working</v>
      </c>
      <c r="E2826" s="16" t="s">
        <v>112</v>
      </c>
      <c r="F2826" s="16">
        <v>3</v>
      </c>
      <c r="G2826" s="16">
        <v>99</v>
      </c>
      <c r="H2826" s="16">
        <f t="shared" si="44"/>
        <v>96</v>
      </c>
      <c r="I2826" s="13">
        <v>99</v>
      </c>
    </row>
    <row r="2827" spans="1:9">
      <c r="A2827" s="16" t="s">
        <v>31</v>
      </c>
      <c r="B2827" s="16" t="s">
        <v>90</v>
      </c>
      <c r="C2827" s="16" t="str">
        <f>VLOOKUP([1]Competence!$B21,[1]Competence!$B$12:$B$100,1,FALSE)</f>
        <v>Availability Management</v>
      </c>
      <c r="D2827" s="13" t="str" cm="1">
        <f t="array" ref="D2827">_xlfn.XLOOKUP(B2827,[1]Baseline!$D$3:$AZ$3,_xlfn.XLOOKUP(C2827,[1]Baseline!$B$4:$B$91,[1]Baseline!$D$4:$AZ$91))</f>
        <v>Working</v>
      </c>
      <c r="E2827" s="16" t="s">
        <v>115</v>
      </c>
      <c r="F2827" s="16">
        <v>2</v>
      </c>
      <c r="G2827" s="16">
        <v>99</v>
      </c>
      <c r="H2827" s="16">
        <f t="shared" si="44"/>
        <v>97</v>
      </c>
      <c r="I2827" s="13">
        <v>99</v>
      </c>
    </row>
    <row r="2828" spans="1:9">
      <c r="A2828" s="16" t="s">
        <v>31</v>
      </c>
      <c r="B2828" s="16" t="s">
        <v>90</v>
      </c>
      <c r="C2828" s="16" t="str">
        <f>VLOOKUP([1]Competence!$B22,[1]Competence!$B$12:$B$100,1,FALSE)</f>
        <v>Capacity management</v>
      </c>
      <c r="D2828" s="13" t="str" cm="1">
        <f t="array" ref="D2828">_xlfn.XLOOKUP(B2828,[1]Baseline!$D$3:$AZ$3,_xlfn.XLOOKUP(C2828,[1]Baseline!$B$4:$B$91,[1]Baseline!$D$4:$AZ$91))</f>
        <v>No Knowledge</v>
      </c>
      <c r="E2828" s="16" t="s">
        <v>118</v>
      </c>
      <c r="F2828" s="16">
        <v>2</v>
      </c>
      <c r="G2828" s="16">
        <v>99</v>
      </c>
      <c r="H2828" s="16">
        <f t="shared" si="44"/>
        <v>97</v>
      </c>
      <c r="I2828" s="13">
        <v>99</v>
      </c>
    </row>
    <row r="2829" spans="1:9">
      <c r="A2829" s="16" t="s">
        <v>31</v>
      </c>
      <c r="B2829" s="16" t="s">
        <v>90</v>
      </c>
      <c r="C2829" s="16" t="str">
        <f>VLOOKUP([1]Competence!$B23,[1]Competence!$B$12:$B$100,1,FALSE)</f>
        <v>Configuration Management</v>
      </c>
      <c r="D2829" s="13" t="str" cm="1">
        <f t="array" ref="D2829">_xlfn.XLOOKUP(B2829,[1]Baseline!$D$3:$AZ$3,_xlfn.XLOOKUP(C2829,[1]Baseline!$B$4:$B$91,[1]Baseline!$D$4:$AZ$91))</f>
        <v>Working</v>
      </c>
      <c r="E2829" s="16" t="s">
        <v>121</v>
      </c>
      <c r="F2829" s="16">
        <v>3</v>
      </c>
      <c r="G2829" s="16">
        <v>99</v>
      </c>
      <c r="H2829" s="16">
        <f t="shared" si="44"/>
        <v>96</v>
      </c>
      <c r="I2829" s="13">
        <v>99</v>
      </c>
    </row>
    <row r="2830" spans="1:9">
      <c r="A2830" s="16" t="s">
        <v>31</v>
      </c>
      <c r="B2830" s="16" t="s">
        <v>90</v>
      </c>
      <c r="C2830" s="16" t="str">
        <f>VLOOKUP([1]Competence!$B24,[1]Competence!$B$12:$B$100,1,FALSE)</f>
        <v>Continuity Management</v>
      </c>
      <c r="D2830" s="13" t="str" cm="1">
        <f t="array" ref="D2830">_xlfn.XLOOKUP(B2830,[1]Baseline!$D$3:$AZ$3,_xlfn.XLOOKUP(C2830,[1]Baseline!$B$4:$B$91,[1]Baseline!$D$4:$AZ$91))</f>
        <v>Working</v>
      </c>
      <c r="E2830" s="16" t="s">
        <v>124</v>
      </c>
      <c r="F2830" s="16">
        <v>2</v>
      </c>
      <c r="G2830" s="16">
        <v>99</v>
      </c>
      <c r="H2830" s="16">
        <f t="shared" si="44"/>
        <v>97</v>
      </c>
      <c r="I2830" s="13">
        <v>99</v>
      </c>
    </row>
    <row r="2831" spans="1:9">
      <c r="A2831" s="16" t="s">
        <v>31</v>
      </c>
      <c r="B2831" s="16" t="s">
        <v>90</v>
      </c>
      <c r="C2831" s="16" t="str">
        <f>VLOOKUP([1]Competence!$B25,[1]Competence!$B$12:$B$100,1,FALSE)</f>
        <v>Demand Management</v>
      </c>
      <c r="D2831" s="13" t="str" cm="1">
        <f t="array" ref="D2831">_xlfn.XLOOKUP(B2831,[1]Baseline!$D$3:$AZ$3,_xlfn.XLOOKUP(C2831,[1]Baseline!$B$4:$B$91,[1]Baseline!$D$4:$AZ$91))</f>
        <v>Practitioner</v>
      </c>
      <c r="E2831" s="16" t="s">
        <v>127</v>
      </c>
      <c r="F2831" s="16">
        <v>2</v>
      </c>
      <c r="G2831" s="16">
        <v>99</v>
      </c>
      <c r="H2831" s="16">
        <f t="shared" si="44"/>
        <v>97</v>
      </c>
      <c r="I2831" s="13">
        <v>99</v>
      </c>
    </row>
    <row r="2832" spans="1:9">
      <c r="A2832" s="16" t="s">
        <v>31</v>
      </c>
      <c r="B2832" s="16" t="s">
        <v>90</v>
      </c>
      <c r="C2832" s="16" t="str">
        <f>VLOOKUP([1]Competence!$B26,[1]Competence!$B$12:$B$100,1,FALSE)</f>
        <v>Knowledge management</v>
      </c>
      <c r="D2832" s="13" t="str" cm="1">
        <f t="array" ref="D2832">_xlfn.XLOOKUP(B2832,[1]Baseline!$D$3:$AZ$3,_xlfn.XLOOKUP(C2832,[1]Baseline!$B$4:$B$91,[1]Baseline!$D$4:$AZ$91))</f>
        <v>Working</v>
      </c>
      <c r="E2832" s="16" t="s">
        <v>130</v>
      </c>
      <c r="F2832" s="16">
        <v>2</v>
      </c>
      <c r="G2832" s="16">
        <v>99</v>
      </c>
      <c r="H2832" s="16">
        <f t="shared" si="44"/>
        <v>97</v>
      </c>
      <c r="I2832" s="13">
        <v>99</v>
      </c>
    </row>
    <row r="2833" spans="1:9">
      <c r="A2833" s="16" t="s">
        <v>31</v>
      </c>
      <c r="B2833" s="16" t="s">
        <v>90</v>
      </c>
      <c r="C2833" s="16" t="str">
        <f>VLOOKUP([1]Competence!$B27,[1]Competence!$B$12:$B$100,1,FALSE)</f>
        <v>Methods and tools</v>
      </c>
      <c r="D2833" s="13" t="str" cm="1">
        <f t="array" ref="D2833">_xlfn.XLOOKUP(B2833,[1]Baseline!$D$3:$AZ$3,_xlfn.XLOOKUP(C2833,[1]Baseline!$B$4:$B$91,[1]Baseline!$D$4:$AZ$91))</f>
        <v>Practitioner</v>
      </c>
      <c r="E2833" s="16" t="s">
        <v>211</v>
      </c>
      <c r="F2833" s="16">
        <v>1</v>
      </c>
      <c r="G2833" s="16">
        <v>99</v>
      </c>
      <c r="H2833" s="16">
        <f t="shared" si="44"/>
        <v>98</v>
      </c>
      <c r="I2833" s="13">
        <v>99</v>
      </c>
    </row>
    <row r="2834" spans="1:9">
      <c r="A2834" s="16" t="s">
        <v>31</v>
      </c>
      <c r="B2834" s="16" t="s">
        <v>90</v>
      </c>
      <c r="C2834" s="16" t="str">
        <f>VLOOKUP([1]Competence!$B28,[1]Competence!$B$12:$B$100,1,FALSE)</f>
        <v>Release and deployment</v>
      </c>
      <c r="D2834" s="13" t="str" cm="1">
        <f t="array" ref="D2834">_xlfn.XLOOKUP(B2834,[1]Baseline!$D$3:$AZ$3,_xlfn.XLOOKUP(C2834,[1]Baseline!$B$4:$B$91,[1]Baseline!$D$4:$AZ$91))</f>
        <v>Practitioner</v>
      </c>
      <c r="E2834" s="16" t="s">
        <v>214</v>
      </c>
      <c r="F2834" s="16">
        <v>0</v>
      </c>
      <c r="G2834" s="16">
        <v>99</v>
      </c>
      <c r="H2834" s="16">
        <f t="shared" si="44"/>
        <v>99</v>
      </c>
      <c r="I2834" s="13">
        <v>99</v>
      </c>
    </row>
    <row r="2835" spans="1:9">
      <c r="A2835" s="16" t="s">
        <v>31</v>
      </c>
      <c r="B2835" s="16" t="s">
        <v>90</v>
      </c>
      <c r="C2835" s="16" t="str">
        <f>VLOOKUP([1]Competence!$B29,[1]Competence!$B$12:$B$100,1,FALSE)</f>
        <v>Service acceptance</v>
      </c>
      <c r="D2835" s="13" t="str" cm="1">
        <f t="array" ref="D2835">_xlfn.XLOOKUP(B2835,[1]Baseline!$D$3:$AZ$3,_xlfn.XLOOKUP(C2835,[1]Baseline!$B$4:$B$91,[1]Baseline!$D$4:$AZ$91))</f>
        <v>Practitioner</v>
      </c>
      <c r="E2835" s="16" t="s">
        <v>217</v>
      </c>
      <c r="F2835" s="16">
        <v>0</v>
      </c>
      <c r="G2835" s="16">
        <v>99</v>
      </c>
      <c r="H2835" s="16">
        <f t="shared" si="44"/>
        <v>99</v>
      </c>
      <c r="I2835" s="13">
        <v>99</v>
      </c>
    </row>
    <row r="2836" spans="1:9">
      <c r="A2836" s="16" t="s">
        <v>31</v>
      </c>
      <c r="B2836" s="16" t="s">
        <v>90</v>
      </c>
      <c r="C2836" s="16" t="str">
        <f>VLOOKUP([1]Competence!$B30,[1]Competence!$B$12:$B$100,1,FALSE)</f>
        <v>Stakeholder relationship management</v>
      </c>
      <c r="D2836" s="13" t="str" cm="1">
        <f t="array" ref="D2836">_xlfn.XLOOKUP(B2836,[1]Baseline!$D$3:$AZ$3,_xlfn.XLOOKUP(C2836,[1]Baseline!$B$4:$B$91,[1]Baseline!$D$4:$AZ$91))</f>
        <v>Working</v>
      </c>
      <c r="E2836" s="16" t="s">
        <v>49</v>
      </c>
      <c r="F2836" s="16">
        <v>1</v>
      </c>
      <c r="G2836" s="16">
        <v>99</v>
      </c>
      <c r="H2836" s="16">
        <f t="shared" si="44"/>
        <v>98</v>
      </c>
      <c r="I2836" s="13">
        <v>99</v>
      </c>
    </row>
    <row r="2837" spans="1:9">
      <c r="A2837" s="16" t="s">
        <v>31</v>
      </c>
      <c r="B2837" s="16" t="s">
        <v>90</v>
      </c>
      <c r="C2837" s="16" t="str">
        <f>VLOOKUP([1]Competence!$B31,[1]Competence!$B$12:$B$100,1,FALSE)</f>
        <v>Storage management</v>
      </c>
      <c r="D2837" s="13" t="str" cm="1">
        <f t="array" ref="D2837">_xlfn.XLOOKUP(B2837,[1]Baseline!$D$3:$AZ$3,_xlfn.XLOOKUP(C2837,[1]Baseline!$B$4:$B$91,[1]Baseline!$D$4:$AZ$91))</f>
        <v>Awareness</v>
      </c>
      <c r="E2837" s="16" t="s">
        <v>222</v>
      </c>
      <c r="F2837" s="16">
        <v>0</v>
      </c>
      <c r="G2837" s="16">
        <v>99</v>
      </c>
      <c r="H2837" s="16">
        <f t="shared" si="44"/>
        <v>99</v>
      </c>
      <c r="I2837" s="13">
        <v>99</v>
      </c>
    </row>
    <row r="2838" spans="1:9">
      <c r="A2838" s="16" t="s">
        <v>31</v>
      </c>
      <c r="B2838" s="16" t="s">
        <v>90</v>
      </c>
      <c r="C2838" s="16" t="str">
        <f>VLOOKUP([1]Competence!$B32,[1]Competence!$B$12:$B$100,1,FALSE)</f>
        <v>Digital Forensics</v>
      </c>
      <c r="D2838" s="13" t="str" cm="1">
        <f t="array" ref="D2838">_xlfn.XLOOKUP(B2838,[1]Baseline!$D$3:$AZ$3,_xlfn.XLOOKUP(C2838,[1]Baseline!$B$4:$B$91,[1]Baseline!$D$4:$AZ$91))</f>
        <v>Working</v>
      </c>
      <c r="E2838" s="16" t="s">
        <v>225</v>
      </c>
      <c r="F2838" s="16">
        <v>1</v>
      </c>
      <c r="G2838" s="16">
        <v>99</v>
      </c>
      <c r="H2838" s="16">
        <f t="shared" si="44"/>
        <v>98</v>
      </c>
      <c r="I2838" s="13">
        <v>99</v>
      </c>
    </row>
    <row r="2839" spans="1:9">
      <c r="A2839" s="16" t="s">
        <v>31</v>
      </c>
      <c r="B2839" s="16" t="s">
        <v>90</v>
      </c>
      <c r="C2839" s="16" t="str">
        <f>VLOOKUP([1]Competence!$B33,[1]Competence!$B$12:$B$100,1,FALSE)</f>
        <v>Penetration testing</v>
      </c>
      <c r="D2839" s="13" t="str" cm="1">
        <f t="array" ref="D2839">_xlfn.XLOOKUP(B2839,[1]Baseline!$D$3:$AZ$3,_xlfn.XLOOKUP(C2839,[1]Baseline!$B$4:$B$91,[1]Baseline!$D$4:$AZ$91))</f>
        <v>Practitioner</v>
      </c>
      <c r="E2839" s="16" t="s">
        <v>228</v>
      </c>
      <c r="F2839" s="16">
        <v>1</v>
      </c>
      <c r="G2839" s="16">
        <v>99</v>
      </c>
      <c r="H2839" s="16">
        <f t="shared" si="44"/>
        <v>98</v>
      </c>
      <c r="I2839" s="13">
        <v>99</v>
      </c>
    </row>
    <row r="2840" spans="1:9">
      <c r="A2840" s="16" t="s">
        <v>31</v>
      </c>
      <c r="B2840" s="16" t="s">
        <v>90</v>
      </c>
      <c r="C2840" s="16" t="str">
        <f>VLOOKUP([1]Competence!$B34,[1]Competence!$B$12:$B$100,1,FALSE)</f>
        <v>Security Operations</v>
      </c>
      <c r="D2840" s="13" t="str" cm="1">
        <f t="array" ref="D2840">_xlfn.XLOOKUP(B2840,[1]Baseline!$D$3:$AZ$3,_xlfn.XLOOKUP(C2840,[1]Baseline!$B$4:$B$91,[1]Baseline!$D$4:$AZ$91))</f>
        <v>Practitioner</v>
      </c>
      <c r="E2840" s="16" t="s">
        <v>231</v>
      </c>
      <c r="F2840" s="16">
        <v>1</v>
      </c>
      <c r="G2840" s="16">
        <v>99</v>
      </c>
      <c r="H2840" s="16">
        <f t="shared" si="44"/>
        <v>98</v>
      </c>
      <c r="I2840" s="13">
        <v>99</v>
      </c>
    </row>
    <row r="2841" spans="1:9">
      <c r="A2841" s="16" t="s">
        <v>31</v>
      </c>
      <c r="B2841" s="16" t="s">
        <v>90</v>
      </c>
      <c r="C2841" s="16" t="str">
        <f>VLOOKUP([1]Competence!$B35,[1]Competence!$B$12:$B$100,1,FALSE)</f>
        <v>Threat Intelligence</v>
      </c>
      <c r="D2841" s="13" t="str" cm="1">
        <f t="array" ref="D2841">_xlfn.XLOOKUP(B2841,[1]Baseline!$D$3:$AZ$3,_xlfn.XLOOKUP(C2841,[1]Baseline!$B$4:$B$91,[1]Baseline!$D$4:$AZ$91))</f>
        <v>Practitioner</v>
      </c>
      <c r="E2841" s="16" t="s">
        <v>185</v>
      </c>
      <c r="F2841" s="16">
        <v>1</v>
      </c>
      <c r="G2841" s="16">
        <v>99</v>
      </c>
      <c r="H2841" s="16">
        <f t="shared" si="44"/>
        <v>98</v>
      </c>
      <c r="I2841" s="13">
        <v>99</v>
      </c>
    </row>
    <row r="2842" spans="1:9">
      <c r="A2842" s="16" t="s">
        <v>31</v>
      </c>
      <c r="B2842" s="16" t="s">
        <v>90</v>
      </c>
      <c r="C2842" s="16" t="str">
        <f>VLOOKUP([1]Competence!$B36,[1]Competence!$B$12:$B$100,1,FALSE)</f>
        <v>Vulnerability assessment</v>
      </c>
      <c r="D2842" s="13" t="str" cm="1">
        <f t="array" ref="D2842">_xlfn.XLOOKUP(B2842,[1]Baseline!$D$3:$AZ$3,_xlfn.XLOOKUP(C2842,[1]Baseline!$B$4:$B$91,[1]Baseline!$D$4:$AZ$91))</f>
        <v>Practitioner</v>
      </c>
      <c r="E2842" s="16" t="s">
        <v>188</v>
      </c>
      <c r="F2842" s="16">
        <v>1</v>
      </c>
      <c r="G2842" s="16">
        <v>99</v>
      </c>
      <c r="H2842" s="16">
        <f t="shared" si="44"/>
        <v>98</v>
      </c>
      <c r="I2842" s="13">
        <v>99</v>
      </c>
    </row>
    <row r="2843" spans="1:9">
      <c r="A2843" s="16" t="s">
        <v>31</v>
      </c>
      <c r="B2843" s="16" t="s">
        <v>90</v>
      </c>
      <c r="C2843" s="16" t="str">
        <f>VLOOKUP([1]Competence!$B37,[1]Competence!$B$12:$B$100,1,FALSE)</f>
        <v>Vulnerability Research</v>
      </c>
      <c r="D2843" s="13" t="str" cm="1">
        <f t="array" ref="D2843">_xlfn.XLOOKUP(B2843,[1]Baseline!$D$3:$AZ$3,_xlfn.XLOOKUP(C2843,[1]Baseline!$B$4:$B$91,[1]Baseline!$D$4:$AZ$91))</f>
        <v>No Knowledge</v>
      </c>
      <c r="E2843" s="16" t="s">
        <v>191</v>
      </c>
      <c r="F2843" s="16">
        <v>0</v>
      </c>
      <c r="G2843" s="16">
        <v>99</v>
      </c>
      <c r="H2843" s="16">
        <f t="shared" si="44"/>
        <v>99</v>
      </c>
      <c r="I2843" s="13">
        <v>99</v>
      </c>
    </row>
    <row r="2844" spans="1:9">
      <c r="A2844" s="16" t="s">
        <v>31</v>
      </c>
      <c r="B2844" s="16" t="s">
        <v>90</v>
      </c>
      <c r="C2844" s="16" t="str">
        <f>VLOOKUP([1]Competence!$B38,[1]Competence!$B$12:$B$100,1,FALSE)</f>
        <v>Competency assessment</v>
      </c>
      <c r="D2844" s="13" t="str" cm="1">
        <f t="array" ref="D2844">_xlfn.XLOOKUP(B2844,[1]Baseline!$D$3:$AZ$3,_xlfn.XLOOKUP(C2844,[1]Baseline!$B$4:$B$91,[1]Baseline!$D$4:$AZ$91))</f>
        <v>Awareness</v>
      </c>
      <c r="E2844" s="16" t="s">
        <v>194</v>
      </c>
      <c r="F2844" s="16">
        <v>0</v>
      </c>
      <c r="G2844" s="16">
        <v>99</v>
      </c>
      <c r="H2844" s="16">
        <f t="shared" si="44"/>
        <v>99</v>
      </c>
      <c r="I2844" s="13">
        <v>99</v>
      </c>
    </row>
    <row r="2845" spans="1:9">
      <c r="A2845" s="16" t="s">
        <v>31</v>
      </c>
      <c r="B2845" s="16" t="s">
        <v>90</v>
      </c>
      <c r="C2845" s="16" t="str">
        <f>VLOOKUP([1]Competence!$B39,[1]Competence!$B$12:$B$100,1,FALSE)</f>
        <v>Financial management</v>
      </c>
      <c r="D2845" s="13" t="str" cm="1">
        <f t="array" ref="D2845">_xlfn.XLOOKUP(B2845,[1]Baseline!$D$3:$AZ$3,_xlfn.XLOOKUP(C2845,[1]Baseline!$B$4:$B$91,[1]Baseline!$D$4:$AZ$91))</f>
        <v>No Knowledge</v>
      </c>
      <c r="E2845" s="16" t="s">
        <v>197</v>
      </c>
      <c r="F2845" s="16">
        <v>0</v>
      </c>
      <c r="G2845" s="16">
        <v>99</v>
      </c>
      <c r="H2845" s="16">
        <f t="shared" si="44"/>
        <v>99</v>
      </c>
      <c r="I2845" s="13">
        <v>99</v>
      </c>
    </row>
    <row r="2846" spans="1:9">
      <c r="A2846" s="16" t="s">
        <v>31</v>
      </c>
      <c r="B2846" s="16" t="s">
        <v>90</v>
      </c>
      <c r="C2846" s="16" t="str">
        <f>VLOOKUP([1]Competence!$B40,[1]Competence!$B$12:$B$100,1,FALSE)</f>
        <v>Organisation design and implementation</v>
      </c>
      <c r="D2846" s="13" t="str" cm="1">
        <f t="array" ref="D2846">_xlfn.XLOOKUP(B2846,[1]Baseline!$D$3:$AZ$3,_xlfn.XLOOKUP(C2846,[1]Baseline!$B$4:$B$91,[1]Baseline!$D$4:$AZ$91))</f>
        <v>No Knowledge</v>
      </c>
      <c r="E2846" s="16" t="s">
        <v>200</v>
      </c>
      <c r="F2846" s="16">
        <v>0</v>
      </c>
      <c r="G2846" s="16">
        <v>99</v>
      </c>
      <c r="H2846" s="16">
        <f t="shared" si="44"/>
        <v>99</v>
      </c>
      <c r="I2846" s="13">
        <v>99</v>
      </c>
    </row>
    <row r="2847" spans="1:9">
      <c r="A2847" s="16" t="s">
        <v>31</v>
      </c>
      <c r="B2847" s="16" t="s">
        <v>90</v>
      </c>
      <c r="C2847" s="16" t="str">
        <f>VLOOKUP([1]Competence!$B41,[1]Competence!$B$12:$B$100,1,FALSE)</f>
        <v>Organisational capability development</v>
      </c>
      <c r="D2847" s="13" t="str" cm="1">
        <f t="array" ref="D2847">_xlfn.XLOOKUP(B2847,[1]Baseline!$D$3:$AZ$3,_xlfn.XLOOKUP(C2847,[1]Baseline!$B$4:$B$91,[1]Baseline!$D$4:$AZ$91))</f>
        <v>No Knowledge</v>
      </c>
      <c r="E2847" s="16" t="s">
        <v>203</v>
      </c>
      <c r="F2847" s="16">
        <v>1</v>
      </c>
      <c r="G2847" s="16">
        <v>99</v>
      </c>
      <c r="H2847" s="16">
        <f t="shared" si="44"/>
        <v>98</v>
      </c>
      <c r="I2847" s="13">
        <v>99</v>
      </c>
    </row>
    <row r="2848" spans="1:9">
      <c r="A2848" s="16" t="s">
        <v>31</v>
      </c>
      <c r="B2848" s="16" t="s">
        <v>90</v>
      </c>
      <c r="C2848" s="16" t="str">
        <f>VLOOKUP([1]Competence!$B42,[1]Competence!$B$12:$B$100,1,FALSE)</f>
        <v>Organisational change management</v>
      </c>
      <c r="D2848" s="13" t="str" cm="1">
        <f t="array" ref="D2848">_xlfn.XLOOKUP(B2848,[1]Baseline!$D$3:$AZ$3,_xlfn.XLOOKUP(C2848,[1]Baseline!$B$4:$B$91,[1]Baseline!$D$4:$AZ$91))</f>
        <v>No Knowledge</v>
      </c>
      <c r="E2848" s="16" t="s">
        <v>206</v>
      </c>
      <c r="F2848" s="16">
        <v>0</v>
      </c>
      <c r="G2848" s="16">
        <v>99</v>
      </c>
      <c r="H2848" s="16">
        <f t="shared" si="44"/>
        <v>99</v>
      </c>
      <c r="I2848" s="13">
        <v>99</v>
      </c>
    </row>
    <row r="2849" spans="1:9">
      <c r="A2849" s="16" t="s">
        <v>31</v>
      </c>
      <c r="B2849" s="16" t="s">
        <v>90</v>
      </c>
      <c r="C2849" s="16" t="str">
        <f>VLOOKUP([1]Competence!$B43,[1]Competence!$B$12:$B$100,1,FALSE)</f>
        <v>Performance Management</v>
      </c>
      <c r="D2849" s="13" t="str" cm="1">
        <f t="array" ref="D2849">_xlfn.XLOOKUP(B2849,[1]Baseline!$D$3:$AZ$3,_xlfn.XLOOKUP(C2849,[1]Baseline!$B$4:$B$91,[1]Baseline!$D$4:$AZ$91))</f>
        <v>No Knowledge</v>
      </c>
      <c r="E2849" s="16" t="s">
        <v>208</v>
      </c>
      <c r="F2849" s="16">
        <v>0</v>
      </c>
      <c r="G2849" s="16">
        <v>99</v>
      </c>
      <c r="H2849" s="16">
        <f t="shared" si="44"/>
        <v>99</v>
      </c>
      <c r="I2849" s="13">
        <v>99</v>
      </c>
    </row>
    <row r="2850" spans="1:9">
      <c r="A2850" s="16" t="s">
        <v>31</v>
      </c>
      <c r="B2850" s="16" t="s">
        <v>90</v>
      </c>
      <c r="C2850" s="16" t="str">
        <f>VLOOKUP([1]Competence!$B44,[1]Competence!$B$12:$B$100,1,FALSE)</f>
        <v>Professional Development</v>
      </c>
      <c r="D2850" s="13" t="str" cm="1">
        <f t="array" ref="D2850">_xlfn.XLOOKUP(B2850,[1]Baseline!$D$3:$AZ$3,_xlfn.XLOOKUP(C2850,[1]Baseline!$B$4:$B$91,[1]Baseline!$D$4:$AZ$91))</f>
        <v>Awareness</v>
      </c>
      <c r="E2850" s="16" t="s">
        <v>167</v>
      </c>
      <c r="F2850" s="16">
        <v>0</v>
      </c>
      <c r="G2850" s="16">
        <v>99</v>
      </c>
      <c r="H2850" s="16">
        <f t="shared" si="44"/>
        <v>99</v>
      </c>
      <c r="I2850" s="13">
        <v>99</v>
      </c>
    </row>
    <row r="2851" spans="1:9">
      <c r="A2851" s="16" t="s">
        <v>31</v>
      </c>
      <c r="B2851" s="16" t="s">
        <v>90</v>
      </c>
      <c r="C2851" s="16" t="str">
        <f>VLOOKUP([1]Competence!$B45,[1]Competence!$B$12:$B$100,1,FALSE)</f>
        <v>Strategic Planning</v>
      </c>
      <c r="D2851" s="13" t="str" cm="1">
        <f t="array" ref="D2851">_xlfn.XLOOKUP(B2851,[1]Baseline!$D$3:$AZ$3,_xlfn.XLOOKUP(C2851,[1]Baseline!$B$4:$B$91,[1]Baseline!$D$4:$AZ$91))</f>
        <v>No Knowledge</v>
      </c>
      <c r="E2851" s="16" t="s">
        <v>170</v>
      </c>
      <c r="F2851" s="16">
        <v>0</v>
      </c>
      <c r="G2851" s="16">
        <v>99</v>
      </c>
      <c r="H2851" s="16">
        <f t="shared" si="44"/>
        <v>99</v>
      </c>
      <c r="I2851" s="13">
        <v>99</v>
      </c>
    </row>
    <row r="2852" spans="1:9">
      <c r="A2852" s="16" t="s">
        <v>31</v>
      </c>
      <c r="B2852" s="16" t="s">
        <v>90</v>
      </c>
      <c r="C2852" s="16" t="str">
        <f>VLOOKUP([1]Competence!$B46,[1]Competence!$B$12:$B$100,1,FALSE)</f>
        <v>Workforce Planning</v>
      </c>
      <c r="D2852" s="13" t="str" cm="1">
        <f t="array" ref="D2852">_xlfn.XLOOKUP(B2852,[1]Baseline!$D$3:$AZ$3,_xlfn.XLOOKUP(C2852,[1]Baseline!$B$4:$B$91,[1]Baseline!$D$4:$AZ$91))</f>
        <v>No Knowledge</v>
      </c>
      <c r="E2852" s="16" t="s">
        <v>173</v>
      </c>
      <c r="F2852" s="16">
        <v>2</v>
      </c>
      <c r="G2852" s="16">
        <v>99</v>
      </c>
      <c r="H2852" s="16">
        <f t="shared" si="44"/>
        <v>97</v>
      </c>
      <c r="I2852" s="13">
        <v>99</v>
      </c>
    </row>
    <row r="2853" spans="1:9">
      <c r="A2853" s="16" t="s">
        <v>31</v>
      </c>
      <c r="B2853" s="16" t="s">
        <v>90</v>
      </c>
      <c r="C2853" s="16" t="str">
        <f>VLOOKUP([1]Competence!$B47,[1]Competence!$B$12:$B$100,1,FALSE)</f>
        <v>Audit</v>
      </c>
      <c r="D2853" s="13" t="str" cm="1">
        <f t="array" ref="D2853">_xlfn.XLOOKUP(B2853,[1]Baseline!$D$3:$AZ$3,_xlfn.XLOOKUP(C2853,[1]Baseline!$B$4:$B$91,[1]Baseline!$D$4:$AZ$91))</f>
        <v>Working</v>
      </c>
      <c r="E2853" s="16" t="s">
        <v>176</v>
      </c>
      <c r="F2853" s="16">
        <v>0</v>
      </c>
      <c r="G2853" s="16">
        <v>99</v>
      </c>
      <c r="H2853" s="16">
        <f t="shared" si="44"/>
        <v>99</v>
      </c>
      <c r="I2853" s="13">
        <v>99</v>
      </c>
    </row>
    <row r="2854" spans="1:9">
      <c r="A2854" s="16" t="s">
        <v>31</v>
      </c>
      <c r="B2854" s="16" t="s">
        <v>90</v>
      </c>
      <c r="C2854" s="16" t="str">
        <f>VLOOKUP([1]Competence!$B48,[1]Competence!$B$12:$B$100,1,FALSE)</f>
        <v>Contract management</v>
      </c>
      <c r="D2854" s="13" t="str" cm="1">
        <f t="array" ref="D2854">_xlfn.XLOOKUP(B2854,[1]Baseline!$D$3:$AZ$3,_xlfn.XLOOKUP(C2854,[1]Baseline!$B$4:$B$91,[1]Baseline!$D$4:$AZ$91))</f>
        <v>Working</v>
      </c>
      <c r="E2854" s="16" t="s">
        <v>179</v>
      </c>
      <c r="F2854" s="16">
        <v>2</v>
      </c>
      <c r="G2854" s="16">
        <v>99</v>
      </c>
      <c r="H2854" s="16">
        <f t="shared" si="44"/>
        <v>97</v>
      </c>
      <c r="I2854" s="13">
        <v>99</v>
      </c>
    </row>
    <row r="2855" spans="1:9">
      <c r="A2855" s="16" t="s">
        <v>31</v>
      </c>
      <c r="B2855" s="16" t="s">
        <v>90</v>
      </c>
      <c r="C2855" s="16" t="str">
        <f>VLOOKUP([1]Competence!$B49,[1]Competence!$B$12:$B$100,1,FALSE)</f>
        <v>Feasibility assessment</v>
      </c>
      <c r="D2855" s="13" t="str" cm="1">
        <f t="array" ref="D2855">_xlfn.XLOOKUP(B2855,[1]Baseline!$D$3:$AZ$3,_xlfn.XLOOKUP(C2855,[1]Baseline!$B$4:$B$91,[1]Baseline!$D$4:$AZ$91))</f>
        <v>Working</v>
      </c>
      <c r="E2855" s="16" t="s">
        <v>182</v>
      </c>
      <c r="F2855" s="16">
        <v>0</v>
      </c>
      <c r="G2855" s="16">
        <v>99</v>
      </c>
      <c r="H2855" s="16">
        <f t="shared" si="44"/>
        <v>99</v>
      </c>
      <c r="I2855" s="13">
        <v>99</v>
      </c>
    </row>
    <row r="2856" spans="1:9">
      <c r="A2856" s="16" t="s">
        <v>31</v>
      </c>
      <c r="B2856" s="16" t="s">
        <v>90</v>
      </c>
      <c r="C2856" s="16" t="str">
        <f>VLOOKUP([1]Competence!$B50,[1]Competence!$B$12:$B$100,1,FALSE)</f>
        <v>Governance</v>
      </c>
      <c r="D2856" s="13" t="str" cm="1">
        <f t="array" ref="D2856">_xlfn.XLOOKUP(B2856,[1]Baseline!$D$3:$AZ$3,_xlfn.XLOOKUP(C2856,[1]Baseline!$B$4:$B$91,[1]Baseline!$D$4:$AZ$91))</f>
        <v>Working</v>
      </c>
      <c r="E2856" s="16" t="s">
        <v>133</v>
      </c>
      <c r="F2856" s="16">
        <v>1</v>
      </c>
      <c r="G2856" s="16">
        <v>99</v>
      </c>
      <c r="H2856" s="16">
        <f t="shared" si="44"/>
        <v>98</v>
      </c>
      <c r="I2856" s="13">
        <v>99</v>
      </c>
    </row>
    <row r="2857" spans="1:9">
      <c r="A2857" s="16" t="s">
        <v>31</v>
      </c>
      <c r="B2857" s="16" t="s">
        <v>90</v>
      </c>
      <c r="C2857" s="16" t="str">
        <f>VLOOKUP([1]Competence!$B51,[1]Competence!$B$12:$B$100,1,FALSE)</f>
        <v>Risk management</v>
      </c>
      <c r="D2857" s="13" t="str" cm="1">
        <f t="array" ref="D2857">_xlfn.XLOOKUP(B2857,[1]Baseline!$D$3:$AZ$3,_xlfn.XLOOKUP(C2857,[1]Baseline!$B$4:$B$91,[1]Baseline!$D$4:$AZ$91))</f>
        <v>Working</v>
      </c>
      <c r="E2857" s="16" t="s">
        <v>136</v>
      </c>
      <c r="F2857" s="16">
        <v>0</v>
      </c>
      <c r="G2857" s="16">
        <v>99</v>
      </c>
      <c r="H2857" s="16">
        <f t="shared" si="44"/>
        <v>99</v>
      </c>
      <c r="I2857" s="13">
        <v>99</v>
      </c>
    </row>
    <row r="2858" spans="1:9">
      <c r="A2858" s="16" t="s">
        <v>31</v>
      </c>
      <c r="B2858" s="16" t="s">
        <v>90</v>
      </c>
      <c r="C2858" s="16" t="str">
        <f>VLOOKUP([1]Competence!$B52,[1]Competence!$B$12:$B$100,1,FALSE)</f>
        <v>Sourcing</v>
      </c>
      <c r="D2858" s="13" t="str" cm="1">
        <f t="array" ref="D2858">_xlfn.XLOOKUP(B2858,[1]Baseline!$D$3:$AZ$3,_xlfn.XLOOKUP(C2858,[1]Baseline!$B$4:$B$91,[1]Baseline!$D$4:$AZ$91))</f>
        <v>Working</v>
      </c>
      <c r="E2858" s="16" t="s">
        <v>139</v>
      </c>
      <c r="F2858" s="16">
        <v>1</v>
      </c>
      <c r="G2858" s="16">
        <v>99</v>
      </c>
      <c r="H2858" s="16">
        <f t="shared" si="44"/>
        <v>98</v>
      </c>
      <c r="I2858" s="13">
        <v>99</v>
      </c>
    </row>
    <row r="2859" spans="1:9">
      <c r="A2859" s="16" t="s">
        <v>31</v>
      </c>
      <c r="B2859" s="16" t="s">
        <v>90</v>
      </c>
      <c r="C2859" s="16" t="str">
        <f>VLOOKUP([1]Competence!$B53,[1]Competence!$B$12:$B$100,1,FALSE)</f>
        <v>Supplier management</v>
      </c>
      <c r="D2859" s="13" t="str" cm="1">
        <f t="array" ref="D2859">_xlfn.XLOOKUP(B2859,[1]Baseline!$D$3:$AZ$3,_xlfn.XLOOKUP(C2859,[1]Baseline!$B$4:$B$91,[1]Baseline!$D$4:$AZ$91))</f>
        <v>Working</v>
      </c>
      <c r="E2859" s="16" t="s">
        <v>142</v>
      </c>
      <c r="F2859" s="16">
        <v>1</v>
      </c>
      <c r="G2859" s="16">
        <v>99</v>
      </c>
      <c r="H2859" s="16">
        <f t="shared" si="44"/>
        <v>98</v>
      </c>
      <c r="I2859" s="13">
        <v>99</v>
      </c>
    </row>
    <row r="2860" spans="1:9">
      <c r="A2860" s="16" t="s">
        <v>31</v>
      </c>
      <c r="B2860" s="16" t="s">
        <v>90</v>
      </c>
      <c r="C2860" s="16" t="str">
        <f>VLOOKUP([1]Competence!$B54,[1]Competence!$B$12:$B$100,1,FALSE)</f>
        <v>Sustainability</v>
      </c>
      <c r="D2860" s="13" t="str" cm="1">
        <f t="array" ref="D2860">_xlfn.XLOOKUP(B2860,[1]Baseline!$D$3:$AZ$3,_xlfn.XLOOKUP(C2860,[1]Baseline!$B$4:$B$91,[1]Baseline!$D$4:$AZ$91))</f>
        <v>Awareness</v>
      </c>
      <c r="E2860" s="16" t="s">
        <v>145</v>
      </c>
      <c r="F2860" s="16">
        <v>1</v>
      </c>
      <c r="G2860" s="16">
        <v>99</v>
      </c>
      <c r="H2860" s="16">
        <f t="shared" si="44"/>
        <v>98</v>
      </c>
      <c r="I2860" s="13">
        <v>99</v>
      </c>
    </row>
    <row r="2861" spans="1:9">
      <c r="A2861" s="16" t="s">
        <v>31</v>
      </c>
      <c r="B2861" s="16" t="s">
        <v>90</v>
      </c>
      <c r="C2861" s="16" t="str">
        <f>VLOOKUP([1]Competence!$B55,[1]Competence!$B$12:$B$100,1,FALSE)</f>
        <v>Acceptance testing</v>
      </c>
      <c r="D2861" s="13" t="str" cm="1">
        <f t="array" ref="D2861">_xlfn.XLOOKUP(B2861,[1]Baseline!$D$3:$AZ$3,_xlfn.XLOOKUP(C2861,[1]Baseline!$B$4:$B$91,[1]Baseline!$D$4:$AZ$91))</f>
        <v>Working</v>
      </c>
      <c r="E2861" s="16" t="s">
        <v>148</v>
      </c>
      <c r="F2861" s="16">
        <v>2</v>
      </c>
      <c r="G2861" s="16">
        <v>99</v>
      </c>
      <c r="H2861" s="16">
        <f t="shared" si="44"/>
        <v>97</v>
      </c>
      <c r="I2861" s="13">
        <v>99</v>
      </c>
    </row>
    <row r="2862" spans="1:9">
      <c r="A2862" s="16" t="s">
        <v>31</v>
      </c>
      <c r="B2862" s="16" t="s">
        <v>90</v>
      </c>
      <c r="C2862" s="16" t="str">
        <f>VLOOKUP([1]Competence!$B56,[1]Competence!$B$12:$B$100,1,FALSE)</f>
        <v>Application support</v>
      </c>
      <c r="D2862" s="13" t="str" cm="1">
        <f t="array" ref="D2862">_xlfn.XLOOKUP(B2862,[1]Baseline!$D$3:$AZ$3,_xlfn.XLOOKUP(C2862,[1]Baseline!$B$4:$B$91,[1]Baseline!$D$4:$AZ$91))</f>
        <v>Practitioner</v>
      </c>
      <c r="E2862" s="16" t="s">
        <v>151</v>
      </c>
      <c r="F2862" s="16">
        <v>1</v>
      </c>
      <c r="G2862" s="16">
        <v>99</v>
      </c>
      <c r="H2862" s="16">
        <f t="shared" si="44"/>
        <v>98</v>
      </c>
      <c r="I2862" s="13">
        <v>99</v>
      </c>
    </row>
    <row r="2863" spans="1:9">
      <c r="A2863" s="16" t="s">
        <v>31</v>
      </c>
      <c r="B2863" s="16" t="s">
        <v>90</v>
      </c>
      <c r="C2863" s="16" t="str">
        <f>VLOOKUP([1]Competence!$B57,[1]Competence!$B$12:$B$100,1,FALSE)</f>
        <v>Data Engineering</v>
      </c>
      <c r="D2863" s="13" t="str" cm="1">
        <f t="array" ref="D2863">_xlfn.XLOOKUP(B2863,[1]Baseline!$D$3:$AZ$3,_xlfn.XLOOKUP(C2863,[1]Baseline!$B$4:$B$91,[1]Baseline!$D$4:$AZ$91))</f>
        <v>Working</v>
      </c>
      <c r="E2863" s="16" t="s">
        <v>154</v>
      </c>
      <c r="F2863" s="16">
        <v>0</v>
      </c>
      <c r="G2863" s="16">
        <v>99</v>
      </c>
      <c r="H2863" s="16">
        <f t="shared" si="44"/>
        <v>99</v>
      </c>
      <c r="I2863" s="13">
        <v>99</v>
      </c>
    </row>
    <row r="2864" spans="1:9">
      <c r="A2864" s="16" t="s">
        <v>31</v>
      </c>
      <c r="B2864" s="16" t="s">
        <v>90</v>
      </c>
      <c r="C2864" s="16" t="str">
        <f>VLOOKUP([1]Competence!$B58,[1]Competence!$B$12:$B$100,1,FALSE)</f>
        <v>Data Management</v>
      </c>
      <c r="D2864" s="13" t="str" cm="1">
        <f t="array" ref="D2864">_xlfn.XLOOKUP(B2864,[1]Baseline!$D$3:$AZ$3,_xlfn.XLOOKUP(C2864,[1]Baseline!$B$4:$B$91,[1]Baseline!$D$4:$AZ$91))</f>
        <v>No Knowledge</v>
      </c>
      <c r="E2864" s="16" t="s">
        <v>158</v>
      </c>
      <c r="F2864" s="16">
        <v>0</v>
      </c>
      <c r="G2864" s="16">
        <v>99</v>
      </c>
      <c r="H2864" s="16">
        <f t="shared" si="44"/>
        <v>99</v>
      </c>
      <c r="I2864" s="13">
        <v>99</v>
      </c>
    </row>
    <row r="2865" spans="1:9">
      <c r="A2865" s="16" t="s">
        <v>31</v>
      </c>
      <c r="B2865" s="16" t="s">
        <v>90</v>
      </c>
      <c r="C2865" s="16" t="str">
        <f>VLOOKUP([1]Competence!$B59,[1]Competence!$B$12:$B$100,1,FALSE)</f>
        <v>Data Modelling and Design</v>
      </c>
      <c r="D2865" s="13" t="str" cm="1">
        <f t="array" ref="D2865">_xlfn.XLOOKUP(B2865,[1]Baseline!$D$3:$AZ$3,_xlfn.XLOOKUP(C2865,[1]Baseline!$B$4:$B$91,[1]Baseline!$D$4:$AZ$91))</f>
        <v>No Knowledge</v>
      </c>
      <c r="E2865" s="16" t="s">
        <v>161</v>
      </c>
      <c r="F2865" s="16">
        <v>2</v>
      </c>
      <c r="G2865" s="16">
        <v>99</v>
      </c>
      <c r="H2865" s="16">
        <f t="shared" si="44"/>
        <v>97</v>
      </c>
      <c r="I2865" s="13">
        <v>99</v>
      </c>
    </row>
    <row r="2866" spans="1:9">
      <c r="A2866" s="16" t="s">
        <v>31</v>
      </c>
      <c r="B2866" s="16" t="s">
        <v>90</v>
      </c>
      <c r="C2866" s="16" t="str">
        <f>VLOOKUP([1]Competence!$B60,[1]Competence!$B$12:$B$100,1,FALSE)</f>
        <v>Data science</v>
      </c>
      <c r="D2866" s="13" t="str" cm="1">
        <f t="array" ref="D2866">_xlfn.XLOOKUP(B2866,[1]Baseline!$D$3:$AZ$3,_xlfn.XLOOKUP(C2866,[1]Baseline!$B$4:$B$91,[1]Baseline!$D$4:$AZ$91))</f>
        <v>No Knowledge</v>
      </c>
      <c r="E2866" s="16" t="s">
        <v>164</v>
      </c>
      <c r="F2866" s="16">
        <v>2</v>
      </c>
      <c r="G2866" s="16">
        <v>99</v>
      </c>
      <c r="H2866" s="16">
        <f t="shared" si="44"/>
        <v>97</v>
      </c>
      <c r="I2866" s="13">
        <v>99</v>
      </c>
    </row>
    <row r="2867" spans="1:9">
      <c r="A2867" s="16" t="s">
        <v>31</v>
      </c>
      <c r="B2867" s="16" t="s">
        <v>90</v>
      </c>
      <c r="C2867" s="16" t="str">
        <f>VLOOKUP([1]Competence!$B61,[1]Competence!$B$12:$B$100,1,FALSE)</f>
        <v>Data visualisation</v>
      </c>
      <c r="D2867" s="13" t="str" cm="1">
        <f t="array" ref="D2867">_xlfn.XLOOKUP(B2867,[1]Baseline!$D$3:$AZ$3,_xlfn.XLOOKUP(C2867,[1]Baseline!$B$4:$B$91,[1]Baseline!$D$4:$AZ$91))</f>
        <v>No Knowledge</v>
      </c>
      <c r="E2867" s="16" t="s">
        <v>234</v>
      </c>
      <c r="F2867" s="16">
        <v>1</v>
      </c>
      <c r="G2867" s="16">
        <v>99</v>
      </c>
      <c r="H2867" s="16">
        <f t="shared" si="44"/>
        <v>98</v>
      </c>
      <c r="I2867" s="13">
        <v>99</v>
      </c>
    </row>
    <row r="2868" spans="1:9">
      <c r="A2868" s="16" t="s">
        <v>31</v>
      </c>
      <c r="B2868" s="16" t="s">
        <v>90</v>
      </c>
      <c r="C2868" s="16" t="str">
        <f>VLOOKUP([1]Competence!$B62,[1]Competence!$B$12:$B$100,1,FALSE)</f>
        <v>Database Administration</v>
      </c>
      <c r="D2868" s="13" t="str" cm="1">
        <f t="array" ref="D2868">_xlfn.XLOOKUP(B2868,[1]Baseline!$D$3:$AZ$3,_xlfn.XLOOKUP(C2868,[1]Baseline!$B$4:$B$91,[1]Baseline!$D$4:$AZ$91))</f>
        <v>Working</v>
      </c>
      <c r="E2868" s="16" t="s">
        <v>237</v>
      </c>
      <c r="F2868" s="16">
        <v>2</v>
      </c>
      <c r="G2868" s="16">
        <v>99</v>
      </c>
      <c r="H2868" s="16">
        <f t="shared" si="44"/>
        <v>97</v>
      </c>
      <c r="I2868" s="13">
        <v>99</v>
      </c>
    </row>
    <row r="2869" spans="1:9">
      <c r="A2869" s="16" t="s">
        <v>31</v>
      </c>
      <c r="B2869" s="16" t="s">
        <v>90</v>
      </c>
      <c r="C2869" s="16" t="str">
        <f>VLOOKUP([1]Competence!$B63,[1]Competence!$B$12:$B$100,1,FALSE)</f>
        <v>Database Design</v>
      </c>
      <c r="D2869" s="13" t="str" cm="1">
        <f t="array" ref="D2869">_xlfn.XLOOKUP(B2869,[1]Baseline!$D$3:$AZ$3,_xlfn.XLOOKUP(C2869,[1]Baseline!$B$4:$B$91,[1]Baseline!$D$4:$AZ$91))</f>
        <v>No Knowledge</v>
      </c>
      <c r="E2869" s="16" t="s">
        <v>382</v>
      </c>
      <c r="F2869" s="16">
        <v>1</v>
      </c>
      <c r="G2869" s="16">
        <v>99</v>
      </c>
      <c r="H2869" s="16">
        <f t="shared" si="44"/>
        <v>98</v>
      </c>
      <c r="I2869" s="13">
        <v>99</v>
      </c>
    </row>
    <row r="2870" spans="1:9">
      <c r="A2870" s="16" t="s">
        <v>31</v>
      </c>
      <c r="B2870" s="16" t="s">
        <v>90</v>
      </c>
      <c r="C2870" s="16" t="str">
        <f>VLOOKUP([1]Competence!$B64,[1]Competence!$B$12:$B$100,1,FALSE)</f>
        <v>Hardware design</v>
      </c>
      <c r="D2870" s="13" t="str" cm="1">
        <f t="array" ref="D2870">_xlfn.XLOOKUP(B2870,[1]Baseline!$D$3:$AZ$3,_xlfn.XLOOKUP(C2870,[1]Baseline!$B$4:$B$91,[1]Baseline!$D$4:$AZ$91))</f>
        <v>No Knowledge</v>
      </c>
      <c r="E2870" s="16" t="s">
        <v>383</v>
      </c>
      <c r="F2870" s="16">
        <v>0</v>
      </c>
      <c r="G2870" s="16">
        <v>99</v>
      </c>
      <c r="H2870" s="16">
        <f t="shared" si="44"/>
        <v>99</v>
      </c>
      <c r="I2870" s="13">
        <v>99</v>
      </c>
    </row>
    <row r="2871" spans="1:9">
      <c r="A2871" s="16" t="s">
        <v>31</v>
      </c>
      <c r="B2871" s="16" t="s">
        <v>90</v>
      </c>
      <c r="C2871" s="16" t="str">
        <f>VLOOKUP([1]Competence!$B65,[1]Competence!$B$12:$B$100,1,FALSE)</f>
        <v>High Performance Computing</v>
      </c>
      <c r="D2871" s="13" t="str" cm="1">
        <f t="array" ref="D2871">_xlfn.XLOOKUP(B2871,[1]Baseline!$D$3:$AZ$3,_xlfn.XLOOKUP(C2871,[1]Baseline!$B$4:$B$91,[1]Baseline!$D$4:$AZ$91))</f>
        <v>No Knowledge</v>
      </c>
      <c r="E2871" s="16" t="s">
        <v>240</v>
      </c>
      <c r="F2871" s="16">
        <v>0</v>
      </c>
      <c r="G2871" s="16">
        <v>99</v>
      </c>
      <c r="H2871" s="16">
        <f t="shared" si="44"/>
        <v>99</v>
      </c>
      <c r="I2871" s="13">
        <v>99</v>
      </c>
    </row>
    <row r="2872" spans="1:9">
      <c r="A2872" s="16" t="s">
        <v>31</v>
      </c>
      <c r="B2872" s="16" t="s">
        <v>90</v>
      </c>
      <c r="C2872" s="16" t="str">
        <f>VLOOKUP([1]Competence!$B66,[1]Competence!$B$12:$B$100,1,FALSE)</f>
        <v>Research Computing</v>
      </c>
      <c r="D2872" s="13" t="str" cm="1">
        <f t="array" ref="D2872">_xlfn.XLOOKUP(B2872,[1]Baseline!$D$3:$AZ$3,_xlfn.XLOOKUP(C2872,[1]Baseline!$B$4:$B$91,[1]Baseline!$D$4:$AZ$91))</f>
        <v>No Knowledge</v>
      </c>
      <c r="E2872" s="16" t="s">
        <v>243</v>
      </c>
      <c r="F2872" s="16">
        <v>0</v>
      </c>
      <c r="G2872" s="16">
        <v>99</v>
      </c>
      <c r="H2872" s="16">
        <f t="shared" si="44"/>
        <v>99</v>
      </c>
      <c r="I2872" s="13">
        <v>99</v>
      </c>
    </row>
    <row r="2873" spans="1:9">
      <c r="A2873" s="16" t="s">
        <v>31</v>
      </c>
      <c r="B2873" s="16" t="s">
        <v>90</v>
      </c>
      <c r="C2873" s="16" t="str">
        <f>VLOOKUP([1]Competence!$B67,[1]Competence!$B$12:$B$100,1,FALSE)</f>
        <v>Information assurance</v>
      </c>
      <c r="D2873" s="13" t="str" cm="1">
        <f t="array" ref="D2873">_xlfn.XLOOKUP(B2873,[1]Baseline!$D$3:$AZ$3,_xlfn.XLOOKUP(C2873,[1]Baseline!$B$4:$B$91,[1]Baseline!$D$4:$AZ$91))</f>
        <v>Practitioner</v>
      </c>
      <c r="E2873" s="16" t="s">
        <v>246</v>
      </c>
      <c r="F2873" s="16">
        <v>0</v>
      </c>
      <c r="G2873" s="16">
        <v>99</v>
      </c>
      <c r="H2873" s="16">
        <f t="shared" si="44"/>
        <v>99</v>
      </c>
      <c r="I2873" s="13">
        <v>99</v>
      </c>
    </row>
    <row r="2874" spans="1:9">
      <c r="A2874" s="16" t="s">
        <v>31</v>
      </c>
      <c r="B2874" s="16" t="s">
        <v>90</v>
      </c>
      <c r="C2874" s="16" t="str">
        <f>VLOOKUP([1]Competence!$B68,[1]Competence!$B$12:$B$100,1,FALSE)</f>
        <v>Information management</v>
      </c>
      <c r="D2874" s="13" t="str" cm="1">
        <f t="array" ref="D2874">_xlfn.XLOOKUP(B2874,[1]Baseline!$D$3:$AZ$3,_xlfn.XLOOKUP(C2874,[1]Baseline!$B$4:$B$91,[1]Baseline!$D$4:$AZ$91))</f>
        <v>Practitioner</v>
      </c>
      <c r="E2874" s="16" t="s">
        <v>249</v>
      </c>
      <c r="F2874" s="16">
        <v>0</v>
      </c>
      <c r="G2874" s="16">
        <v>99</v>
      </c>
      <c r="H2874" s="16">
        <f t="shared" si="44"/>
        <v>99</v>
      </c>
      <c r="I2874" s="13">
        <v>99</v>
      </c>
    </row>
    <row r="2875" spans="1:9">
      <c r="A2875" s="16" t="s">
        <v>31</v>
      </c>
      <c r="B2875" s="16" t="s">
        <v>90</v>
      </c>
      <c r="C2875" s="16" t="str">
        <f>VLOOKUP([1]Competence!$B69,[1]Competence!$B$12:$B$100,1,FALSE)</f>
        <v>Infrastructure</v>
      </c>
      <c r="D2875" s="13" t="str" cm="1">
        <f t="array" ref="D2875">_xlfn.XLOOKUP(B2875,[1]Baseline!$D$3:$AZ$3,_xlfn.XLOOKUP(C2875,[1]Baseline!$B$4:$B$91,[1]Baseline!$D$4:$AZ$91))</f>
        <v>Working</v>
      </c>
      <c r="E2875" s="16" t="s">
        <v>252</v>
      </c>
      <c r="F2875" s="16">
        <v>0</v>
      </c>
      <c r="G2875" s="16">
        <v>99</v>
      </c>
      <c r="H2875" s="16">
        <f t="shared" si="44"/>
        <v>99</v>
      </c>
      <c r="I2875" s="13">
        <v>99</v>
      </c>
    </row>
    <row r="2876" spans="1:9">
      <c r="A2876" s="16" t="s">
        <v>31</v>
      </c>
      <c r="B2876" s="16" t="s">
        <v>90</v>
      </c>
      <c r="C2876" s="16" t="str">
        <f>VLOOKUP([1]Competence!$B70,[1]Competence!$B$12:$B$100,1,FALSE)</f>
        <v>Network design</v>
      </c>
      <c r="D2876" s="13" t="str" cm="1">
        <f t="array" ref="D2876">_xlfn.XLOOKUP(B2876,[1]Baseline!$D$3:$AZ$3,_xlfn.XLOOKUP(C2876,[1]Baseline!$B$4:$B$91,[1]Baseline!$D$4:$AZ$91))</f>
        <v>Awareness</v>
      </c>
      <c r="E2876" s="16" t="s">
        <v>255</v>
      </c>
      <c r="F2876" s="16">
        <v>0</v>
      </c>
      <c r="G2876" s="16">
        <v>99</v>
      </c>
      <c r="H2876" s="16">
        <f t="shared" si="44"/>
        <v>99</v>
      </c>
      <c r="I2876" s="13">
        <v>99</v>
      </c>
    </row>
    <row r="2877" spans="1:9">
      <c r="A2877" s="16" t="s">
        <v>31</v>
      </c>
      <c r="B2877" s="16" t="s">
        <v>90</v>
      </c>
      <c r="C2877" s="16" t="str">
        <f>VLOOKUP([1]Competence!$B71,[1]Competence!$B$12:$B$100,1,FALSE)</f>
        <v>Network Analytics</v>
      </c>
      <c r="D2877" s="13" t="str" cm="1">
        <f t="array" ref="D2877">_xlfn.XLOOKUP(B2877,[1]Baseline!$D$3:$AZ$3,_xlfn.XLOOKUP(C2877,[1]Baseline!$B$4:$B$91,[1]Baseline!$D$4:$AZ$91))</f>
        <v>No Knowledge</v>
      </c>
      <c r="E2877" s="16" t="s">
        <v>258</v>
      </c>
      <c r="F2877" s="16">
        <v>0</v>
      </c>
      <c r="G2877" s="16">
        <v>99</v>
      </c>
      <c r="H2877" s="16">
        <f t="shared" si="44"/>
        <v>99</v>
      </c>
      <c r="I2877" s="13">
        <v>99</v>
      </c>
    </row>
    <row r="2878" spans="1:9">
      <c r="A2878" s="16" t="s">
        <v>31</v>
      </c>
      <c r="B2878" s="16" t="s">
        <v>90</v>
      </c>
      <c r="C2878" s="16" t="str">
        <f>VLOOKUP([1]Competence!$B72,[1]Competence!$B$12:$B$100,1,FALSE)</f>
        <v>Network support</v>
      </c>
      <c r="D2878" s="13" t="str" cm="1">
        <f t="array" ref="D2878">_xlfn.XLOOKUP(B2878,[1]Baseline!$D$3:$AZ$3,_xlfn.XLOOKUP(C2878,[1]Baseline!$B$4:$B$91,[1]Baseline!$D$4:$AZ$91))</f>
        <v>No Knowledge</v>
      </c>
      <c r="E2878" s="16" t="s">
        <v>326</v>
      </c>
      <c r="F2878" s="16">
        <v>0</v>
      </c>
      <c r="G2878" s="16">
        <v>99</v>
      </c>
      <c r="H2878" s="16">
        <f t="shared" si="44"/>
        <v>99</v>
      </c>
      <c r="I2878" s="13">
        <v>99</v>
      </c>
    </row>
    <row r="2879" spans="1:9">
      <c r="A2879" s="16" t="s">
        <v>31</v>
      </c>
      <c r="B2879" s="16" t="s">
        <v>90</v>
      </c>
      <c r="C2879" s="16" t="str">
        <f>VLOOKUP([1]Competence!$B73,[1]Competence!$B$12:$B$100,1,FALSE)</f>
        <v>Programming/software development</v>
      </c>
      <c r="D2879" s="13" t="str" cm="1">
        <f t="array" ref="D2879">_xlfn.XLOOKUP(B2879,[1]Baseline!$D$3:$AZ$3,_xlfn.XLOOKUP(C2879,[1]Baseline!$B$4:$B$91,[1]Baseline!$D$4:$AZ$91))</f>
        <v>Practitioner</v>
      </c>
      <c r="E2879" s="16" t="s">
        <v>261</v>
      </c>
      <c r="F2879" s="16">
        <v>0</v>
      </c>
      <c r="G2879" s="16">
        <v>99</v>
      </c>
      <c r="H2879" s="16">
        <f t="shared" si="44"/>
        <v>99</v>
      </c>
      <c r="I2879" s="13">
        <v>99</v>
      </c>
    </row>
    <row r="2880" spans="1:9">
      <c r="A2880" s="16" t="s">
        <v>31</v>
      </c>
      <c r="B2880" s="16" t="s">
        <v>90</v>
      </c>
      <c r="C2880" s="16" t="str">
        <f>VLOOKUP([1]Competence!$B74,[1]Competence!$B$12:$B$100,1,FALSE)</f>
        <v>Real-time/embedded systems development</v>
      </c>
      <c r="D2880" s="13" t="str" cm="1">
        <f t="array" ref="D2880">_xlfn.XLOOKUP(B2880,[1]Baseline!$D$3:$AZ$3,_xlfn.XLOOKUP(C2880,[1]Baseline!$B$4:$B$91,[1]Baseline!$D$4:$AZ$91))</f>
        <v>Practitioner</v>
      </c>
      <c r="E2880" s="16" t="s">
        <v>264</v>
      </c>
      <c r="F2880" s="16">
        <v>1</v>
      </c>
      <c r="G2880" s="16">
        <v>99</v>
      </c>
      <c r="H2880" s="16">
        <f t="shared" si="44"/>
        <v>98</v>
      </c>
      <c r="I2880" s="13">
        <v>99</v>
      </c>
    </row>
    <row r="2881" spans="1:9">
      <c r="A2881" s="16" t="s">
        <v>31</v>
      </c>
      <c r="B2881" s="16" t="s">
        <v>90</v>
      </c>
      <c r="C2881" s="16" t="str">
        <f>VLOOKUP([1]Competence!$B75,[1]Competence!$B$12:$B$100,1,FALSE)</f>
        <v>Requirements definition and management</v>
      </c>
      <c r="D2881" s="13" t="str" cm="1">
        <f t="array" ref="D2881">_xlfn.XLOOKUP(B2881,[1]Baseline!$D$3:$AZ$3,_xlfn.XLOOKUP(C2881,[1]Baseline!$B$4:$B$91,[1]Baseline!$D$4:$AZ$91))</f>
        <v>Practitioner</v>
      </c>
      <c r="E2881" s="16" t="s">
        <v>267</v>
      </c>
      <c r="F2881" s="16">
        <v>2</v>
      </c>
      <c r="G2881" s="16">
        <v>99</v>
      </c>
      <c r="H2881" s="16">
        <f t="shared" si="44"/>
        <v>97</v>
      </c>
      <c r="I2881" s="13">
        <v>99</v>
      </c>
    </row>
    <row r="2882" spans="1:9">
      <c r="A2882" s="16" t="s">
        <v>31</v>
      </c>
      <c r="B2882" s="16" t="s">
        <v>90</v>
      </c>
      <c r="C2882" s="16" t="str">
        <f>VLOOKUP([1]Competence!$B76,[1]Competence!$B$12:$B$100,1,FALSE)</f>
        <v>Software configuration</v>
      </c>
      <c r="D2882" s="13" t="str" cm="1">
        <f t="array" ref="D2882">_xlfn.XLOOKUP(B2882,[1]Baseline!$D$3:$AZ$3,_xlfn.XLOOKUP(C2882,[1]Baseline!$B$4:$B$91,[1]Baseline!$D$4:$AZ$91))</f>
        <v>Practitioner</v>
      </c>
      <c r="E2882" s="16" t="s">
        <v>270</v>
      </c>
      <c r="F2882" s="16">
        <v>1</v>
      </c>
      <c r="G2882" s="16">
        <v>99</v>
      </c>
      <c r="H2882" s="16">
        <f t="shared" ref="H2882:H2945" si="45">I2882-F2882</f>
        <v>98</v>
      </c>
      <c r="I2882" s="13">
        <v>99</v>
      </c>
    </row>
    <row r="2883" spans="1:9">
      <c r="A2883" s="16" t="s">
        <v>31</v>
      </c>
      <c r="B2883" s="16" t="s">
        <v>90</v>
      </c>
      <c r="C2883" s="16" t="str">
        <f>VLOOKUP([1]Competence!$B77,[1]Competence!$B$12:$B$100,1,FALSE)</f>
        <v>Software design</v>
      </c>
      <c r="D2883" s="13" t="str" cm="1">
        <f t="array" ref="D2883">_xlfn.XLOOKUP(B2883,[1]Baseline!$D$3:$AZ$3,_xlfn.XLOOKUP(C2883,[1]Baseline!$B$4:$B$91,[1]Baseline!$D$4:$AZ$91))</f>
        <v>Practitioner</v>
      </c>
      <c r="E2883" s="16" t="s">
        <v>50</v>
      </c>
      <c r="F2883" s="16">
        <v>1</v>
      </c>
      <c r="G2883" s="16">
        <v>99</v>
      </c>
      <c r="H2883" s="16">
        <f t="shared" si="45"/>
        <v>98</v>
      </c>
      <c r="I2883" s="13">
        <v>99</v>
      </c>
    </row>
    <row r="2884" spans="1:9">
      <c r="A2884" s="16" t="s">
        <v>31</v>
      </c>
      <c r="B2884" s="16" t="s">
        <v>90</v>
      </c>
      <c r="C2884" s="16" t="str">
        <f>VLOOKUP([1]Competence!$B78,[1]Competence!$B$12:$B$100,1,FALSE)</f>
        <v>Solution architecture</v>
      </c>
      <c r="D2884" s="13" t="str" cm="1">
        <f t="array" ref="D2884">_xlfn.XLOOKUP(B2884,[1]Baseline!$D$3:$AZ$3,_xlfn.XLOOKUP(C2884,[1]Baseline!$B$4:$B$91,[1]Baseline!$D$4:$AZ$91))</f>
        <v>Working</v>
      </c>
      <c r="E2884" s="16" t="s">
        <v>320</v>
      </c>
      <c r="F2884" s="16">
        <v>0</v>
      </c>
      <c r="G2884" s="16">
        <v>99</v>
      </c>
      <c r="H2884" s="16">
        <f t="shared" si="45"/>
        <v>99</v>
      </c>
      <c r="I2884" s="13">
        <v>99</v>
      </c>
    </row>
    <row r="2885" spans="1:9">
      <c r="A2885" s="16" t="s">
        <v>31</v>
      </c>
      <c r="B2885" s="16" t="s">
        <v>90</v>
      </c>
      <c r="C2885" s="16" t="str">
        <f>VLOOKUP([1]Competence!$B79,[1]Competence!$B$12:$B$100,1,FALSE)</f>
        <v>System software</v>
      </c>
      <c r="D2885" s="13" t="str" cm="1">
        <f t="array" ref="D2885">_xlfn.XLOOKUP(B2885,[1]Baseline!$D$3:$AZ$3,_xlfn.XLOOKUP(C2885,[1]Baseline!$B$4:$B$91,[1]Baseline!$D$4:$AZ$91))</f>
        <v>Practitioner</v>
      </c>
      <c r="E2885" s="16" t="s">
        <v>278</v>
      </c>
      <c r="F2885" s="16">
        <v>0</v>
      </c>
      <c r="G2885" s="16">
        <v>99</v>
      </c>
      <c r="H2885" s="16">
        <f t="shared" si="45"/>
        <v>99</v>
      </c>
      <c r="I2885" s="13">
        <v>99</v>
      </c>
    </row>
    <row r="2886" spans="1:9">
      <c r="A2886" s="16" t="s">
        <v>31</v>
      </c>
      <c r="B2886" s="16" t="s">
        <v>90</v>
      </c>
      <c r="C2886" s="16" t="str">
        <f>VLOOKUP([1]Competence!$B80,[1]Competence!$B$12:$B$100,1,FALSE)</f>
        <v>Systems and software life cycle engineering</v>
      </c>
      <c r="D2886" s="13" t="str" cm="1">
        <f t="array" ref="D2886">_xlfn.XLOOKUP(B2886,[1]Baseline!$D$3:$AZ$3,_xlfn.XLOOKUP(C2886,[1]Baseline!$B$4:$B$91,[1]Baseline!$D$4:$AZ$91))</f>
        <v>Practitioner</v>
      </c>
      <c r="E2886" s="16" t="s">
        <v>275</v>
      </c>
      <c r="F2886" s="16">
        <v>0</v>
      </c>
      <c r="G2886" s="16">
        <v>99</v>
      </c>
      <c r="H2886" s="16">
        <f t="shared" si="45"/>
        <v>99</v>
      </c>
      <c r="I2886" s="13">
        <v>99</v>
      </c>
    </row>
    <row r="2887" spans="1:9">
      <c r="A2887" s="16" t="s">
        <v>31</v>
      </c>
      <c r="B2887" s="16" t="s">
        <v>90</v>
      </c>
      <c r="C2887" s="16" t="str">
        <f>VLOOKUP([1]Competence!$B81,[1]Competence!$B$12:$B$100,1,FALSE)</f>
        <v>Systems design</v>
      </c>
      <c r="D2887" s="13" t="str" cm="1">
        <f t="array" ref="D2887">_xlfn.XLOOKUP(B2887,[1]Baseline!$D$3:$AZ$3,_xlfn.XLOOKUP(C2887,[1]Baseline!$B$4:$B$91,[1]Baseline!$D$4:$AZ$91))</f>
        <v>Awareness</v>
      </c>
      <c r="E2887" s="16" t="s">
        <v>281</v>
      </c>
      <c r="F2887" s="16">
        <v>2</v>
      </c>
      <c r="G2887" s="16">
        <v>99</v>
      </c>
      <c r="H2887" s="16">
        <f t="shared" si="45"/>
        <v>97</v>
      </c>
      <c r="I2887" s="13">
        <v>99</v>
      </c>
    </row>
    <row r="2888" spans="1:9">
      <c r="A2888" s="16" t="s">
        <v>31</v>
      </c>
      <c r="B2888" s="16" t="s">
        <v>90</v>
      </c>
      <c r="C2888" s="16" t="str">
        <f>VLOOKUP([1]Competence!$B82,[1]Competence!$B$12:$B$100,1,FALSE)</f>
        <v>Systems development management</v>
      </c>
      <c r="D2888" s="13" t="str" cm="1">
        <f t="array" ref="D2888">_xlfn.XLOOKUP(B2888,[1]Baseline!$D$3:$AZ$3,_xlfn.XLOOKUP(C2888,[1]Baseline!$B$4:$B$91,[1]Baseline!$D$4:$AZ$91))</f>
        <v>Awareness</v>
      </c>
      <c r="E2888" s="16" t="s">
        <v>284</v>
      </c>
      <c r="F2888" s="16">
        <v>0</v>
      </c>
      <c r="G2888" s="16">
        <v>99</v>
      </c>
      <c r="H2888" s="16">
        <f t="shared" si="45"/>
        <v>99</v>
      </c>
      <c r="I2888" s="13">
        <v>99</v>
      </c>
    </row>
    <row r="2889" spans="1:9">
      <c r="A2889" s="16" t="s">
        <v>31</v>
      </c>
      <c r="B2889" s="16" t="s">
        <v>90</v>
      </c>
      <c r="C2889" s="16" t="str">
        <f>VLOOKUP([1]Competence!$B83,[1]Competence!$B$12:$B$100,1,FALSE)</f>
        <v>Systems installation and removal</v>
      </c>
      <c r="D2889" s="13" t="str" cm="1">
        <f t="array" ref="D2889">_xlfn.XLOOKUP(B2889,[1]Baseline!$D$3:$AZ$3,_xlfn.XLOOKUP(C2889,[1]Baseline!$B$4:$B$91,[1]Baseline!$D$4:$AZ$91))</f>
        <v>Awareness</v>
      </c>
      <c r="E2889" s="16" t="s">
        <v>287</v>
      </c>
      <c r="F2889" s="16">
        <v>0</v>
      </c>
      <c r="G2889" s="16">
        <v>99</v>
      </c>
      <c r="H2889" s="16">
        <f t="shared" si="45"/>
        <v>99</v>
      </c>
      <c r="I2889" s="13">
        <v>99</v>
      </c>
    </row>
    <row r="2890" spans="1:9">
      <c r="A2890" s="16" t="s">
        <v>31</v>
      </c>
      <c r="B2890" s="16" t="s">
        <v>90</v>
      </c>
      <c r="C2890" s="16" t="str">
        <f>VLOOKUP([1]Competence!$B84,[1]Competence!$B$12:$B$100,1,FALSE)</f>
        <v>Testing</v>
      </c>
      <c r="D2890" s="13" t="str" cm="1">
        <f t="array" ref="D2890">_xlfn.XLOOKUP(B2890,[1]Baseline!$D$3:$AZ$3,_xlfn.XLOOKUP(C2890,[1]Baseline!$B$4:$B$91,[1]Baseline!$D$4:$AZ$91))</f>
        <v>Practitioner</v>
      </c>
      <c r="E2890" s="16" t="s">
        <v>290</v>
      </c>
      <c r="F2890" s="16">
        <v>0</v>
      </c>
      <c r="G2890" s="16">
        <v>99</v>
      </c>
      <c r="H2890" s="16">
        <f t="shared" si="45"/>
        <v>99</v>
      </c>
      <c r="I2890" s="13">
        <v>99</v>
      </c>
    </row>
    <row r="2891" spans="1:9">
      <c r="A2891" s="16" t="s">
        <v>31</v>
      </c>
      <c r="B2891" s="16" t="s">
        <v>90</v>
      </c>
      <c r="C2891" s="16" t="str">
        <f>VLOOKUP([1]Competence!$B85,[1]Competence!$B$12:$B$100,1,FALSE)</f>
        <v>Innovation</v>
      </c>
      <c r="D2891" s="13" t="str" cm="1">
        <f t="array" ref="D2891">_xlfn.XLOOKUP(B2891,[1]Baseline!$D$3:$AZ$3,_xlfn.XLOOKUP(C2891,[1]Baseline!$B$4:$B$91,[1]Baseline!$D$4:$AZ$91))</f>
        <v>Working</v>
      </c>
      <c r="E2891" s="16" t="s">
        <v>51</v>
      </c>
      <c r="F2891" s="16">
        <v>1</v>
      </c>
      <c r="G2891" s="16">
        <v>99</v>
      </c>
      <c r="H2891" s="16">
        <f t="shared" si="45"/>
        <v>98</v>
      </c>
      <c r="I2891" s="13">
        <v>99</v>
      </c>
    </row>
    <row r="2892" spans="1:9">
      <c r="A2892" s="16" t="s">
        <v>31</v>
      </c>
      <c r="B2892" s="16" t="s">
        <v>90</v>
      </c>
      <c r="C2892" s="16" t="str">
        <f>VLOOKUP([1]Competence!$B86,[1]Competence!$B$12:$B$100,1,FALSE)</f>
        <v>Specialist Advice</v>
      </c>
      <c r="D2892" s="13" t="str" cm="1">
        <f t="array" ref="D2892">_xlfn.XLOOKUP(B2892,[1]Baseline!$D$3:$AZ$3,_xlfn.XLOOKUP(C2892,[1]Baseline!$B$4:$B$91,[1]Baseline!$D$4:$AZ$91))</f>
        <v>Working</v>
      </c>
      <c r="E2892" s="16" t="s">
        <v>293</v>
      </c>
      <c r="F2892" s="16">
        <v>0</v>
      </c>
      <c r="G2892" s="16">
        <v>99</v>
      </c>
      <c r="H2892" s="16">
        <f t="shared" si="45"/>
        <v>99</v>
      </c>
      <c r="I2892" s="13">
        <v>99</v>
      </c>
    </row>
    <row r="2893" spans="1:9">
      <c r="A2893" s="16" t="s">
        <v>31</v>
      </c>
      <c r="B2893" s="16" t="s">
        <v>90</v>
      </c>
      <c r="C2893" s="16" t="str">
        <f>VLOOKUP([1]Competence!$B87,[1]Competence!$B$12:$B$100,1,FALSE)</f>
        <v>Emerging technology monitoring</v>
      </c>
      <c r="D2893" s="13" t="str" cm="1">
        <f t="array" ref="D2893">_xlfn.XLOOKUP(B2893,[1]Baseline!$D$3:$AZ$3,_xlfn.XLOOKUP(C2893,[1]Baseline!$B$4:$B$91,[1]Baseline!$D$4:$AZ$91))</f>
        <v>Awareness</v>
      </c>
      <c r="E2893" s="16" t="s">
        <v>296</v>
      </c>
      <c r="F2893" s="16">
        <v>0</v>
      </c>
      <c r="G2893" s="16">
        <v>99</v>
      </c>
      <c r="H2893" s="16">
        <f t="shared" si="45"/>
        <v>99</v>
      </c>
      <c r="I2893" s="13">
        <v>99</v>
      </c>
    </row>
    <row r="2894" spans="1:9">
      <c r="A2894" s="16" t="s">
        <v>31</v>
      </c>
      <c r="B2894" s="16" t="s">
        <v>90</v>
      </c>
      <c r="C2894" s="16" t="str">
        <f>VLOOKUP([1]Competence!$B88,[1]Competence!$B$12:$B$100,1,FALSE)</f>
        <v>Systems integration and build</v>
      </c>
      <c r="D2894" s="13" t="str" cm="1">
        <f t="array" ref="D2894">_xlfn.XLOOKUP(B2894,[1]Baseline!$D$3:$AZ$3,_xlfn.XLOOKUP(C2894,[1]Baseline!$B$4:$B$91,[1]Baseline!$D$4:$AZ$91))</f>
        <v>No Knowledge</v>
      </c>
      <c r="E2894" s="16" t="s">
        <v>299</v>
      </c>
      <c r="F2894" s="16">
        <v>0</v>
      </c>
      <c r="G2894" s="16">
        <v>99</v>
      </c>
      <c r="H2894" s="16">
        <f t="shared" si="45"/>
        <v>99</v>
      </c>
      <c r="I2894" s="13">
        <v>99</v>
      </c>
    </row>
    <row r="2895" spans="1:9">
      <c r="A2895" s="16" t="s">
        <v>31</v>
      </c>
      <c r="B2895" s="16" t="s">
        <v>90</v>
      </c>
      <c r="C2895" s="16" t="str">
        <f>VLOOKUP([1]Competence!$B89,[1]Competence!$B$12:$B$100,1,FALSE)</f>
        <v>Audio Visual</v>
      </c>
      <c r="D2895" s="13" t="str" cm="1">
        <f t="array" ref="D2895">_xlfn.XLOOKUP(B2895,[1]Baseline!$D$3:$AZ$3,_xlfn.XLOOKUP(C2895,[1]Baseline!$B$4:$B$91,[1]Baseline!$D$4:$AZ$91))</f>
        <v>No Knowledge</v>
      </c>
      <c r="E2895" s="16" t="s">
        <v>323</v>
      </c>
      <c r="F2895" s="16">
        <v>0</v>
      </c>
      <c r="G2895" s="16">
        <v>99</v>
      </c>
      <c r="H2895" s="16">
        <f t="shared" si="45"/>
        <v>99</v>
      </c>
      <c r="I2895" s="13">
        <v>99</v>
      </c>
    </row>
    <row r="2896" spans="1:9">
      <c r="A2896" s="16" t="s">
        <v>31</v>
      </c>
      <c r="B2896" s="16" t="s">
        <v>90</v>
      </c>
      <c r="C2896" s="16" t="str">
        <f>VLOOKUP([1]Competence!$B90,[1]Competence!$B$12:$B$100,1,FALSE)</f>
        <v>Augmented Reality</v>
      </c>
      <c r="D2896" s="13" t="str" cm="1">
        <f t="array" ref="D2896">_xlfn.XLOOKUP(B2896,[1]Baseline!$D$3:$AZ$3,_xlfn.XLOOKUP(C2896,[1]Baseline!$B$4:$B$91,[1]Baseline!$D$4:$AZ$91))</f>
        <v>No Knowledge</v>
      </c>
      <c r="E2896" s="16" t="s">
        <v>302</v>
      </c>
      <c r="F2896" s="16">
        <v>0</v>
      </c>
      <c r="G2896" s="16">
        <v>99</v>
      </c>
      <c r="H2896" s="16">
        <f t="shared" si="45"/>
        <v>99</v>
      </c>
      <c r="I2896" s="13">
        <v>99</v>
      </c>
    </row>
    <row r="2897" spans="1:9">
      <c r="A2897" s="16" t="s">
        <v>31</v>
      </c>
      <c r="B2897" s="16" t="s">
        <v>90</v>
      </c>
      <c r="C2897" s="16" t="str">
        <f>VLOOKUP([1]Competence!$B91,[1]Competence!$B$12:$B$100,1,FALSE)</f>
        <v>Benefits management</v>
      </c>
      <c r="D2897" s="13" t="str" cm="1">
        <f t="array" ref="D2897">_xlfn.XLOOKUP(B2897,[1]Baseline!$D$3:$AZ$3,_xlfn.XLOOKUP(C2897,[1]Baseline!$B$4:$B$91,[1]Baseline!$D$4:$AZ$91))</f>
        <v>No Knowledge</v>
      </c>
      <c r="E2897" s="16" t="s">
        <v>305</v>
      </c>
      <c r="F2897" s="16">
        <v>0</v>
      </c>
      <c r="G2897" s="16">
        <v>99</v>
      </c>
      <c r="H2897" s="16">
        <f t="shared" si="45"/>
        <v>99</v>
      </c>
      <c r="I2897" s="13">
        <v>99</v>
      </c>
    </row>
    <row r="2898" spans="1:9">
      <c r="A2898" s="16" t="s">
        <v>31</v>
      </c>
      <c r="B2898" s="16" t="s">
        <v>90</v>
      </c>
      <c r="C2898" s="16" t="str">
        <f>VLOOKUP([1]Competence!$B92,[1]Competence!$B$12:$B$100,1,FALSE)</f>
        <v>Business administration</v>
      </c>
      <c r="D2898" s="13" t="str" cm="1">
        <f t="array" ref="D2898">_xlfn.XLOOKUP(B2898,[1]Baseline!$D$3:$AZ$3,_xlfn.XLOOKUP(C2898,[1]Baseline!$B$4:$B$91,[1]Baseline!$D$4:$AZ$91))</f>
        <v>No Knowledge</v>
      </c>
      <c r="E2898" s="16" t="s">
        <v>308</v>
      </c>
      <c r="F2898" s="16">
        <v>0</v>
      </c>
      <c r="G2898" s="16">
        <v>99</v>
      </c>
      <c r="H2898" s="16">
        <f t="shared" si="45"/>
        <v>99</v>
      </c>
      <c r="I2898" s="13">
        <v>99</v>
      </c>
    </row>
    <row r="2899" spans="1:9">
      <c r="A2899" s="16" t="s">
        <v>31</v>
      </c>
      <c r="B2899" s="16" t="s">
        <v>90</v>
      </c>
      <c r="C2899" s="16" t="str">
        <f>VLOOKUP([1]Competence!$B93,[1]Competence!$B$12:$B$100,1,FALSE)</f>
        <v>Business intelligence</v>
      </c>
      <c r="D2899" s="13" t="str" cm="1">
        <f t="array" ref="D2899">_xlfn.XLOOKUP(B2899,[1]Baseline!$D$3:$AZ$3,_xlfn.XLOOKUP(C2899,[1]Baseline!$B$4:$B$91,[1]Baseline!$D$4:$AZ$91))</f>
        <v>No Knowledge</v>
      </c>
      <c r="E2899" s="16" t="s">
        <v>311</v>
      </c>
      <c r="F2899" s="16">
        <v>0</v>
      </c>
      <c r="G2899" s="16">
        <v>99</v>
      </c>
      <c r="H2899" s="16">
        <f t="shared" si="45"/>
        <v>99</v>
      </c>
      <c r="I2899" s="13">
        <v>99</v>
      </c>
    </row>
    <row r="2900" spans="1:9">
      <c r="A2900" s="16" t="s">
        <v>31</v>
      </c>
      <c r="B2900" s="16" t="s">
        <v>90</v>
      </c>
      <c r="C2900" s="16" t="str">
        <f>VLOOKUP([1]Competence!$B94,[1]Competence!$B$12:$B$100,1,FALSE)</f>
        <v>Business modelling</v>
      </c>
      <c r="D2900" s="13" t="str" cm="1">
        <f t="array" ref="D2900">_xlfn.XLOOKUP(B2900,[1]Baseline!$D$3:$AZ$3,_xlfn.XLOOKUP(C2900,[1]Baseline!$B$4:$B$91,[1]Baseline!$D$4:$AZ$91))</f>
        <v>No Knowledge</v>
      </c>
      <c r="E2900" s="16" t="s">
        <v>314</v>
      </c>
      <c r="F2900" s="16">
        <v>2</v>
      </c>
      <c r="G2900" s="16">
        <v>99</v>
      </c>
      <c r="H2900" s="16">
        <f t="shared" si="45"/>
        <v>97</v>
      </c>
      <c r="I2900" s="13">
        <v>99</v>
      </c>
    </row>
    <row r="2901" spans="1:9">
      <c r="A2901" s="16" t="s">
        <v>31</v>
      </c>
      <c r="B2901" s="16" t="s">
        <v>90</v>
      </c>
      <c r="C2901" s="16" t="str">
        <f>VLOOKUP([1]Competence!$B95,[1]Competence!$B$12:$B$100,1,FALSE)</f>
        <v>Business process improvement</v>
      </c>
      <c r="D2901" s="13" t="str" cm="1">
        <f t="array" ref="D2901">_xlfn.XLOOKUP(B2901,[1]Baseline!$D$3:$AZ$3,_xlfn.XLOOKUP(C2901,[1]Baseline!$B$4:$B$91,[1]Baseline!$D$4:$AZ$91))</f>
        <v>No Knowledge</v>
      </c>
      <c r="E2901" s="16" t="s">
        <v>328</v>
      </c>
      <c r="F2901" s="16">
        <v>2</v>
      </c>
      <c r="G2901" s="16">
        <v>99</v>
      </c>
      <c r="H2901" s="16">
        <f t="shared" si="45"/>
        <v>97</v>
      </c>
      <c r="I2901" s="13">
        <v>99</v>
      </c>
    </row>
    <row r="2902" spans="1:9">
      <c r="A2902" s="16" t="s">
        <v>31</v>
      </c>
      <c r="B2902" s="16" t="s">
        <v>90</v>
      </c>
      <c r="C2902" s="16" t="str">
        <f>VLOOKUP([1]Competence!$B96,[1]Competence!$B$12:$B$100,1,FALSE)</f>
        <v>Business situation analysis</v>
      </c>
      <c r="D2902" s="13" t="str" cm="1">
        <f t="array" ref="D2902">_xlfn.XLOOKUP(B2902,[1]Baseline!$D$3:$AZ$3,_xlfn.XLOOKUP(C2902,[1]Baseline!$B$4:$B$91,[1]Baseline!$D$4:$AZ$91))</f>
        <v>No Knowledge</v>
      </c>
      <c r="E2902" s="16" t="s">
        <v>317</v>
      </c>
      <c r="F2902" s="16">
        <v>2</v>
      </c>
      <c r="G2902" s="16">
        <v>99</v>
      </c>
      <c r="H2902" s="16">
        <f t="shared" si="45"/>
        <v>97</v>
      </c>
      <c r="I2902" s="13">
        <v>99</v>
      </c>
    </row>
    <row r="2903" spans="1:9">
      <c r="A2903" s="16" t="s">
        <v>31</v>
      </c>
      <c r="B2903" s="16" t="s">
        <v>90</v>
      </c>
      <c r="C2903" s="16" t="str">
        <f>VLOOKUP([1]Competence!$B97,[1]Competence!$B$12:$B$100,1,FALSE)</f>
        <v>Programme management</v>
      </c>
      <c r="D2903" s="13" t="str" cm="1">
        <f t="array" ref="D2903">_xlfn.XLOOKUP(B2903,[1]Baseline!$D$3:$AZ$3,_xlfn.XLOOKUP(C2903,[1]Baseline!$B$4:$B$91,[1]Baseline!$D$4:$AZ$91))</f>
        <v>No Knowledge</v>
      </c>
      <c r="E2903" s="16" t="s">
        <v>352</v>
      </c>
      <c r="F2903" s="16">
        <v>0</v>
      </c>
      <c r="G2903" s="16">
        <v>99</v>
      </c>
      <c r="H2903" s="16">
        <f t="shared" si="45"/>
        <v>99</v>
      </c>
      <c r="I2903" s="13">
        <v>99</v>
      </c>
    </row>
    <row r="2904" spans="1:9">
      <c r="A2904" s="16" t="s">
        <v>31</v>
      </c>
      <c r="B2904" s="16" t="s">
        <v>90</v>
      </c>
      <c r="C2904" s="16" t="str">
        <f>VLOOKUP([1]Competence!$B98,[1]Competence!$B$12:$B$100,1,FALSE)</f>
        <v>Project management</v>
      </c>
      <c r="D2904" s="13" t="str" cm="1">
        <f t="array" ref="D2904">_xlfn.XLOOKUP(B2904,[1]Baseline!$D$3:$AZ$3,_xlfn.XLOOKUP(C2904,[1]Baseline!$B$4:$B$91,[1]Baseline!$D$4:$AZ$91))</f>
        <v>No Knowledge</v>
      </c>
      <c r="E2904" s="16" t="s">
        <v>355</v>
      </c>
      <c r="F2904" s="16">
        <v>0</v>
      </c>
      <c r="G2904" s="16">
        <v>99</v>
      </c>
      <c r="H2904" s="16">
        <f t="shared" si="45"/>
        <v>99</v>
      </c>
      <c r="I2904" s="13">
        <v>99</v>
      </c>
    </row>
    <row r="2905" spans="1:9">
      <c r="A2905" s="16" t="s">
        <v>31</v>
      </c>
      <c r="B2905" s="16" t="s">
        <v>90</v>
      </c>
      <c r="C2905" s="16" t="str">
        <f>VLOOKUP([1]Competence!$B99,[1]Competence!$B$12:$B$100,1,FALSE)</f>
        <v>Quality assurance</v>
      </c>
      <c r="D2905" s="13" t="str" cm="1">
        <f t="array" ref="D2905">_xlfn.XLOOKUP(B2905,[1]Baseline!$D$3:$AZ$3,_xlfn.XLOOKUP(C2905,[1]Baseline!$B$4:$B$91,[1]Baseline!$D$4:$AZ$91))</f>
        <v>No Knowledge</v>
      </c>
      <c r="E2905" s="16" t="s">
        <v>358</v>
      </c>
      <c r="F2905" s="16">
        <v>1</v>
      </c>
      <c r="G2905" s="16">
        <v>99</v>
      </c>
      <c r="H2905" s="16">
        <f t="shared" si="45"/>
        <v>98</v>
      </c>
      <c r="I2905" s="13">
        <v>99</v>
      </c>
    </row>
    <row r="2906" spans="1:9">
      <c r="A2906" s="16" t="s">
        <v>20</v>
      </c>
      <c r="B2906" s="16" t="s">
        <v>72</v>
      </c>
      <c r="C2906" s="16" t="str">
        <f>VLOOKUP([1]Competence!$B12,[1]Competence!$B$12:$B$100,1,FALSE)</f>
        <v>Asset Management</v>
      </c>
      <c r="D2906" s="13" t="str" cm="1">
        <f t="array" ref="D2906">_xlfn.XLOOKUP(B2906,[1]Baseline!$D$3:$AZ$3,_xlfn.XLOOKUP(C2906,[1]Baseline!$B$4:$B$91,[1]Baseline!$D$4:$AZ$91))</f>
        <v>Working</v>
      </c>
      <c r="E2906" s="16" t="s">
        <v>334</v>
      </c>
      <c r="F2906" s="16">
        <v>0</v>
      </c>
      <c r="G2906" s="16">
        <v>99</v>
      </c>
      <c r="H2906" s="16">
        <f t="shared" si="45"/>
        <v>99</v>
      </c>
      <c r="I2906" s="13">
        <v>99</v>
      </c>
    </row>
    <row r="2907" spans="1:9">
      <c r="A2907" s="16" t="s">
        <v>20</v>
      </c>
      <c r="B2907" s="16" t="s">
        <v>72</v>
      </c>
      <c r="C2907" s="16" t="str">
        <f>VLOOKUP([1]Competence!$B13,[1]Competence!$B$12:$B$100,1,FALSE)</f>
        <v>Change Control</v>
      </c>
      <c r="D2907" s="13" t="str" cm="1">
        <f t="array" ref="D2907">_xlfn.XLOOKUP(B2907,[1]Baseline!$D$3:$AZ$3,_xlfn.XLOOKUP(C2907,[1]Baseline!$B$4:$B$91,[1]Baseline!$D$4:$AZ$91))</f>
        <v>Practitioner</v>
      </c>
      <c r="E2907" s="16" t="s">
        <v>337</v>
      </c>
      <c r="F2907" s="16">
        <v>0</v>
      </c>
      <c r="G2907" s="16">
        <v>99</v>
      </c>
      <c r="H2907" s="16">
        <f t="shared" si="45"/>
        <v>99</v>
      </c>
      <c r="I2907" s="13">
        <v>99</v>
      </c>
    </row>
    <row r="2908" spans="1:9">
      <c r="A2908" s="16" t="s">
        <v>20</v>
      </c>
      <c r="B2908" s="16" t="s">
        <v>72</v>
      </c>
      <c r="C2908" s="16" t="str">
        <f>VLOOKUP([1]Competence!$B14,[1]Competence!$B$12:$B$100,1,FALSE)</f>
        <v>Customer Service Support</v>
      </c>
      <c r="D2908" s="13" t="str" cm="1">
        <f t="array" ref="D2908">_xlfn.XLOOKUP(B2908,[1]Baseline!$D$3:$AZ$3,_xlfn.XLOOKUP(C2908,[1]Baseline!$B$4:$B$91,[1]Baseline!$D$4:$AZ$91))</f>
        <v>Practitioner</v>
      </c>
      <c r="E2908" s="16" t="s">
        <v>340</v>
      </c>
      <c r="F2908" s="16">
        <v>0</v>
      </c>
      <c r="G2908" s="16">
        <v>99</v>
      </c>
      <c r="H2908" s="16">
        <f t="shared" si="45"/>
        <v>99</v>
      </c>
      <c r="I2908" s="13">
        <v>99</v>
      </c>
    </row>
    <row r="2909" spans="1:9">
      <c r="A2909" s="16" t="s">
        <v>20</v>
      </c>
      <c r="B2909" s="16" t="s">
        <v>72</v>
      </c>
      <c r="C2909" s="16" t="str">
        <f>VLOOKUP([1]Competence!$B15,[1]Competence!$B$12:$B$100,1,FALSE)</f>
        <v>Incident management</v>
      </c>
      <c r="D2909" s="13" t="str" cm="1">
        <f t="array" ref="D2909">_xlfn.XLOOKUP(B2909,[1]Baseline!$D$3:$AZ$3,_xlfn.XLOOKUP(C2909,[1]Baseline!$B$4:$B$91,[1]Baseline!$D$4:$AZ$91))</f>
        <v>Working</v>
      </c>
      <c r="E2909" s="16" t="s">
        <v>343</v>
      </c>
      <c r="F2909" s="16">
        <v>0</v>
      </c>
      <c r="G2909" s="16">
        <v>99</v>
      </c>
      <c r="H2909" s="16">
        <f t="shared" si="45"/>
        <v>99</v>
      </c>
      <c r="I2909" s="13">
        <v>99</v>
      </c>
    </row>
    <row r="2910" spans="1:9">
      <c r="A2910" s="16" t="s">
        <v>20</v>
      </c>
      <c r="B2910" s="16" t="s">
        <v>72</v>
      </c>
      <c r="C2910" s="16" t="str">
        <f>VLOOKUP([1]Competence!$B16,[1]Competence!$B$12:$B$100,1,FALSE)</f>
        <v>Information security</v>
      </c>
      <c r="D2910" s="13" t="str" cm="1">
        <f t="array" ref="D2910">_xlfn.XLOOKUP(B2910,[1]Baseline!$D$3:$AZ$3,_xlfn.XLOOKUP(C2910,[1]Baseline!$B$4:$B$91,[1]Baseline!$D$4:$AZ$91))</f>
        <v>Practitioner</v>
      </c>
      <c r="E2910" s="16" t="s">
        <v>346</v>
      </c>
      <c r="F2910" s="16">
        <v>0</v>
      </c>
      <c r="G2910" s="16">
        <v>99</v>
      </c>
      <c r="H2910" s="16">
        <f t="shared" si="45"/>
        <v>99</v>
      </c>
      <c r="I2910" s="13">
        <v>99</v>
      </c>
    </row>
    <row r="2911" spans="1:9">
      <c r="A2911" s="16" t="s">
        <v>20</v>
      </c>
      <c r="B2911" s="16" t="s">
        <v>72</v>
      </c>
      <c r="C2911" s="16" t="str">
        <f>VLOOKUP([1]Competence!$B17,[1]Competence!$B$12:$B$100,1,FALSE)</f>
        <v>Personal data protection</v>
      </c>
      <c r="D2911" s="13" t="str" cm="1">
        <f t="array" ref="D2911">_xlfn.XLOOKUP(B2911,[1]Baseline!$D$3:$AZ$3,_xlfn.XLOOKUP(C2911,[1]Baseline!$B$4:$B$91,[1]Baseline!$D$4:$AZ$91))</f>
        <v>Practitioner</v>
      </c>
      <c r="E2911" s="16" t="s">
        <v>349</v>
      </c>
      <c r="F2911" s="16">
        <v>0</v>
      </c>
      <c r="G2911" s="16">
        <v>99</v>
      </c>
      <c r="H2911" s="16">
        <f t="shared" si="45"/>
        <v>99</v>
      </c>
      <c r="I2911" s="13">
        <v>99</v>
      </c>
    </row>
    <row r="2912" spans="1:9">
      <c r="A2912" s="16" t="s">
        <v>20</v>
      </c>
      <c r="B2912" s="16" t="s">
        <v>72</v>
      </c>
      <c r="C2912" s="16" t="str">
        <f>VLOOKUP([1]Competence!$B18,[1]Competence!$B$12:$B$100,1,FALSE)</f>
        <v>Problem management</v>
      </c>
      <c r="D2912" s="13" t="str" cm="1">
        <f t="array" ref="D2912">_xlfn.XLOOKUP(B2912,[1]Baseline!$D$3:$AZ$3,_xlfn.XLOOKUP(C2912,[1]Baseline!$B$4:$B$91,[1]Baseline!$D$4:$AZ$91))</f>
        <v>Practitioner</v>
      </c>
      <c r="E2912" s="16" t="s">
        <v>106</v>
      </c>
      <c r="F2912" s="16">
        <v>2</v>
      </c>
      <c r="G2912" s="16">
        <v>99</v>
      </c>
      <c r="H2912" s="16">
        <f t="shared" si="45"/>
        <v>97</v>
      </c>
      <c r="I2912" s="13">
        <v>99</v>
      </c>
    </row>
    <row r="2913" spans="1:9">
      <c r="A2913" s="16" t="s">
        <v>20</v>
      </c>
      <c r="B2913" s="16" t="s">
        <v>72</v>
      </c>
      <c r="C2913" s="16" t="str">
        <f>VLOOKUP([1]Competence!$B19,[1]Competence!$B$12:$B$100,1,FALSE)</f>
        <v>Service catalogue management</v>
      </c>
      <c r="D2913" s="13" t="str" cm="1">
        <f t="array" ref="D2913">_xlfn.XLOOKUP(B2913,[1]Baseline!$D$3:$AZ$3,_xlfn.XLOOKUP(C2913,[1]Baseline!$B$4:$B$91,[1]Baseline!$D$4:$AZ$91))</f>
        <v>Practitioner</v>
      </c>
      <c r="E2913" s="16" t="s">
        <v>109</v>
      </c>
      <c r="F2913" s="16">
        <v>2</v>
      </c>
      <c r="G2913" s="16">
        <v>99</v>
      </c>
      <c r="H2913" s="16">
        <f t="shared" si="45"/>
        <v>97</v>
      </c>
      <c r="I2913" s="13">
        <v>99</v>
      </c>
    </row>
    <row r="2914" spans="1:9">
      <c r="A2914" s="16" t="s">
        <v>20</v>
      </c>
      <c r="B2914" s="16" t="s">
        <v>72</v>
      </c>
      <c r="C2914" s="16" t="str">
        <f>VLOOKUP([1]Competence!$B20,[1]Competence!$B$12:$B$100,1,FALSE)</f>
        <v>Service level management</v>
      </c>
      <c r="D2914" s="13" t="str" cm="1">
        <f t="array" ref="D2914">_xlfn.XLOOKUP(B2914,[1]Baseline!$D$3:$AZ$3,_xlfn.XLOOKUP(C2914,[1]Baseline!$B$4:$B$91,[1]Baseline!$D$4:$AZ$91))</f>
        <v>Practitioner</v>
      </c>
      <c r="E2914" s="16" t="s">
        <v>112</v>
      </c>
      <c r="F2914" s="16">
        <v>3</v>
      </c>
      <c r="G2914" s="16">
        <v>99</v>
      </c>
      <c r="H2914" s="16">
        <f t="shared" si="45"/>
        <v>96</v>
      </c>
      <c r="I2914" s="13">
        <v>99</v>
      </c>
    </row>
    <row r="2915" spans="1:9">
      <c r="A2915" s="16" t="s">
        <v>20</v>
      </c>
      <c r="B2915" s="16" t="s">
        <v>72</v>
      </c>
      <c r="C2915" s="16" t="str">
        <f>VLOOKUP([1]Competence!$B21,[1]Competence!$B$12:$B$100,1,FALSE)</f>
        <v>Availability Management</v>
      </c>
      <c r="D2915" s="13" t="str" cm="1">
        <f t="array" ref="D2915">_xlfn.XLOOKUP(B2915,[1]Baseline!$D$3:$AZ$3,_xlfn.XLOOKUP(C2915,[1]Baseline!$B$4:$B$91,[1]Baseline!$D$4:$AZ$91))</f>
        <v>Practitioner</v>
      </c>
      <c r="E2915" s="16" t="s">
        <v>115</v>
      </c>
      <c r="F2915" s="16">
        <v>2</v>
      </c>
      <c r="G2915" s="16">
        <v>99</v>
      </c>
      <c r="H2915" s="16">
        <f t="shared" si="45"/>
        <v>97</v>
      </c>
      <c r="I2915" s="13">
        <v>99</v>
      </c>
    </row>
    <row r="2916" spans="1:9">
      <c r="A2916" s="16" t="s">
        <v>20</v>
      </c>
      <c r="B2916" s="16" t="s">
        <v>72</v>
      </c>
      <c r="C2916" s="16" t="str">
        <f>VLOOKUP([1]Competence!$B22,[1]Competence!$B$12:$B$100,1,FALSE)</f>
        <v>Capacity management</v>
      </c>
      <c r="D2916" s="13" t="str" cm="1">
        <f t="array" ref="D2916">_xlfn.XLOOKUP(B2916,[1]Baseline!$D$3:$AZ$3,_xlfn.XLOOKUP(C2916,[1]Baseline!$B$4:$B$91,[1]Baseline!$D$4:$AZ$91))</f>
        <v>Practitioner</v>
      </c>
      <c r="E2916" s="16" t="s">
        <v>118</v>
      </c>
      <c r="F2916" s="16">
        <v>2</v>
      </c>
      <c r="G2916" s="16">
        <v>99</v>
      </c>
      <c r="H2916" s="16">
        <f t="shared" si="45"/>
        <v>97</v>
      </c>
      <c r="I2916" s="13">
        <v>99</v>
      </c>
    </row>
    <row r="2917" spans="1:9">
      <c r="A2917" s="16" t="s">
        <v>20</v>
      </c>
      <c r="B2917" s="16" t="s">
        <v>72</v>
      </c>
      <c r="C2917" s="16" t="str">
        <f>VLOOKUP([1]Competence!$B23,[1]Competence!$B$12:$B$100,1,FALSE)</f>
        <v>Configuration Management</v>
      </c>
      <c r="D2917" s="13" t="str" cm="1">
        <f t="array" ref="D2917">_xlfn.XLOOKUP(B2917,[1]Baseline!$D$3:$AZ$3,_xlfn.XLOOKUP(C2917,[1]Baseline!$B$4:$B$91,[1]Baseline!$D$4:$AZ$91))</f>
        <v>Practitioner</v>
      </c>
      <c r="E2917" s="16" t="s">
        <v>121</v>
      </c>
      <c r="F2917" s="16">
        <v>3</v>
      </c>
      <c r="G2917" s="16">
        <v>99</v>
      </c>
      <c r="H2917" s="16">
        <f t="shared" si="45"/>
        <v>96</v>
      </c>
      <c r="I2917" s="13">
        <v>99</v>
      </c>
    </row>
    <row r="2918" spans="1:9">
      <c r="A2918" s="16" t="s">
        <v>20</v>
      </c>
      <c r="B2918" s="16" t="s">
        <v>72</v>
      </c>
      <c r="C2918" s="16" t="str">
        <f>VLOOKUP([1]Competence!$B24,[1]Competence!$B$12:$B$100,1,FALSE)</f>
        <v>Continuity Management</v>
      </c>
      <c r="D2918" s="13" t="str" cm="1">
        <f t="array" ref="D2918">_xlfn.XLOOKUP(B2918,[1]Baseline!$D$3:$AZ$3,_xlfn.XLOOKUP(C2918,[1]Baseline!$B$4:$B$91,[1]Baseline!$D$4:$AZ$91))</f>
        <v>Practitioner</v>
      </c>
      <c r="E2918" s="16" t="s">
        <v>124</v>
      </c>
      <c r="F2918" s="16">
        <v>2</v>
      </c>
      <c r="G2918" s="16">
        <v>99</v>
      </c>
      <c r="H2918" s="16">
        <f t="shared" si="45"/>
        <v>97</v>
      </c>
      <c r="I2918" s="13">
        <v>99</v>
      </c>
    </row>
    <row r="2919" spans="1:9">
      <c r="A2919" s="16" t="s">
        <v>20</v>
      </c>
      <c r="B2919" s="16" t="s">
        <v>72</v>
      </c>
      <c r="C2919" s="16" t="str">
        <f>VLOOKUP([1]Competence!$B25,[1]Competence!$B$12:$B$100,1,FALSE)</f>
        <v>Demand Management</v>
      </c>
      <c r="D2919" s="13" t="str" cm="1">
        <f t="array" ref="D2919">_xlfn.XLOOKUP(B2919,[1]Baseline!$D$3:$AZ$3,_xlfn.XLOOKUP(C2919,[1]Baseline!$B$4:$B$91,[1]Baseline!$D$4:$AZ$91))</f>
        <v>Practitioner</v>
      </c>
      <c r="E2919" s="16" t="s">
        <v>127</v>
      </c>
      <c r="F2919" s="16">
        <v>2</v>
      </c>
      <c r="G2919" s="16">
        <v>99</v>
      </c>
      <c r="H2919" s="16">
        <f t="shared" si="45"/>
        <v>97</v>
      </c>
      <c r="I2919" s="13">
        <v>99</v>
      </c>
    </row>
    <row r="2920" spans="1:9">
      <c r="A2920" s="16" t="s">
        <v>20</v>
      </c>
      <c r="B2920" s="16" t="s">
        <v>72</v>
      </c>
      <c r="C2920" s="16" t="str">
        <f>VLOOKUP([1]Competence!$B26,[1]Competence!$B$12:$B$100,1,FALSE)</f>
        <v>Knowledge management</v>
      </c>
      <c r="D2920" s="13" t="str" cm="1">
        <f t="array" ref="D2920">_xlfn.XLOOKUP(B2920,[1]Baseline!$D$3:$AZ$3,_xlfn.XLOOKUP(C2920,[1]Baseline!$B$4:$B$91,[1]Baseline!$D$4:$AZ$91))</f>
        <v>Practitioner</v>
      </c>
      <c r="E2920" s="16" t="s">
        <v>130</v>
      </c>
      <c r="F2920" s="16">
        <v>2</v>
      </c>
      <c r="G2920" s="16">
        <v>99</v>
      </c>
      <c r="H2920" s="16">
        <f t="shared" si="45"/>
        <v>97</v>
      </c>
      <c r="I2920" s="13">
        <v>99</v>
      </c>
    </row>
    <row r="2921" spans="1:9">
      <c r="A2921" s="16" t="s">
        <v>20</v>
      </c>
      <c r="B2921" s="16" t="s">
        <v>72</v>
      </c>
      <c r="C2921" s="16" t="str">
        <f>VLOOKUP([1]Competence!$B27,[1]Competence!$B$12:$B$100,1,FALSE)</f>
        <v>Methods and tools</v>
      </c>
      <c r="D2921" s="13" t="str" cm="1">
        <f t="array" ref="D2921">_xlfn.XLOOKUP(B2921,[1]Baseline!$D$3:$AZ$3,_xlfn.XLOOKUP(C2921,[1]Baseline!$B$4:$B$91,[1]Baseline!$D$4:$AZ$91))</f>
        <v>Practitioner</v>
      </c>
      <c r="E2921" s="16" t="s">
        <v>211</v>
      </c>
      <c r="F2921" s="16">
        <v>1</v>
      </c>
      <c r="G2921" s="16">
        <v>99</v>
      </c>
      <c r="H2921" s="16">
        <f t="shared" si="45"/>
        <v>98</v>
      </c>
      <c r="I2921" s="13">
        <v>99</v>
      </c>
    </row>
    <row r="2922" spans="1:9">
      <c r="A2922" s="16" t="s">
        <v>20</v>
      </c>
      <c r="B2922" s="16" t="s">
        <v>72</v>
      </c>
      <c r="C2922" s="16" t="str">
        <f>VLOOKUP([1]Competence!$B28,[1]Competence!$B$12:$B$100,1,FALSE)</f>
        <v>Release and deployment</v>
      </c>
      <c r="D2922" s="13" t="str" cm="1">
        <f t="array" ref="D2922">_xlfn.XLOOKUP(B2922,[1]Baseline!$D$3:$AZ$3,_xlfn.XLOOKUP(C2922,[1]Baseline!$B$4:$B$91,[1]Baseline!$D$4:$AZ$91))</f>
        <v>Practitioner</v>
      </c>
      <c r="E2922" s="16" t="s">
        <v>214</v>
      </c>
      <c r="F2922" s="16">
        <v>0</v>
      </c>
      <c r="G2922" s="16">
        <v>99</v>
      </c>
      <c r="H2922" s="16">
        <f t="shared" si="45"/>
        <v>99</v>
      </c>
      <c r="I2922" s="13">
        <v>99</v>
      </c>
    </row>
    <row r="2923" spans="1:9">
      <c r="A2923" s="16" t="s">
        <v>20</v>
      </c>
      <c r="B2923" s="16" t="s">
        <v>72</v>
      </c>
      <c r="C2923" s="16" t="str">
        <f>VLOOKUP([1]Competence!$B29,[1]Competence!$B$12:$B$100,1,FALSE)</f>
        <v>Service acceptance</v>
      </c>
      <c r="D2923" s="13" t="str" cm="1">
        <f t="array" ref="D2923">_xlfn.XLOOKUP(B2923,[1]Baseline!$D$3:$AZ$3,_xlfn.XLOOKUP(C2923,[1]Baseline!$B$4:$B$91,[1]Baseline!$D$4:$AZ$91))</f>
        <v>Practitioner</v>
      </c>
      <c r="E2923" s="16" t="s">
        <v>217</v>
      </c>
      <c r="F2923" s="16">
        <v>0</v>
      </c>
      <c r="G2923" s="16">
        <v>99</v>
      </c>
      <c r="H2923" s="16">
        <f t="shared" si="45"/>
        <v>99</v>
      </c>
      <c r="I2923" s="13">
        <v>99</v>
      </c>
    </row>
    <row r="2924" spans="1:9">
      <c r="A2924" s="16" t="s">
        <v>20</v>
      </c>
      <c r="B2924" s="16" t="s">
        <v>72</v>
      </c>
      <c r="C2924" s="16" t="str">
        <f>VLOOKUP([1]Competence!$B30,[1]Competence!$B$12:$B$100,1,FALSE)</f>
        <v>Stakeholder relationship management</v>
      </c>
      <c r="D2924" s="13" t="str" cm="1">
        <f t="array" ref="D2924">_xlfn.XLOOKUP(B2924,[1]Baseline!$D$3:$AZ$3,_xlfn.XLOOKUP(C2924,[1]Baseline!$B$4:$B$91,[1]Baseline!$D$4:$AZ$91))</f>
        <v>Practitioner</v>
      </c>
      <c r="E2924" s="16" t="s">
        <v>49</v>
      </c>
      <c r="F2924" s="16">
        <v>1</v>
      </c>
      <c r="G2924" s="16">
        <v>99</v>
      </c>
      <c r="H2924" s="16">
        <f t="shared" si="45"/>
        <v>98</v>
      </c>
      <c r="I2924" s="13">
        <v>99</v>
      </c>
    </row>
    <row r="2925" spans="1:9">
      <c r="A2925" s="16" t="s">
        <v>20</v>
      </c>
      <c r="B2925" s="16" t="s">
        <v>72</v>
      </c>
      <c r="C2925" s="16" t="str">
        <f>VLOOKUP([1]Competence!$B31,[1]Competence!$B$12:$B$100,1,FALSE)</f>
        <v>Storage management</v>
      </c>
      <c r="D2925" s="13" t="str" cm="1">
        <f t="array" ref="D2925">_xlfn.XLOOKUP(B2925,[1]Baseline!$D$3:$AZ$3,_xlfn.XLOOKUP(C2925,[1]Baseline!$B$4:$B$91,[1]Baseline!$D$4:$AZ$91))</f>
        <v>Practitioner</v>
      </c>
      <c r="E2925" s="16" t="s">
        <v>222</v>
      </c>
      <c r="F2925" s="16">
        <v>0</v>
      </c>
      <c r="G2925" s="16">
        <v>99</v>
      </c>
      <c r="H2925" s="16">
        <f t="shared" si="45"/>
        <v>99</v>
      </c>
      <c r="I2925" s="13">
        <v>99</v>
      </c>
    </row>
    <row r="2926" spans="1:9">
      <c r="A2926" s="16" t="s">
        <v>20</v>
      </c>
      <c r="B2926" s="16" t="s">
        <v>72</v>
      </c>
      <c r="C2926" s="16" t="str">
        <f>VLOOKUP([1]Competence!$B32,[1]Competence!$B$12:$B$100,1,FALSE)</f>
        <v>Digital Forensics</v>
      </c>
      <c r="D2926" s="13" t="str" cm="1">
        <f t="array" ref="D2926">_xlfn.XLOOKUP(B2926,[1]Baseline!$D$3:$AZ$3,_xlfn.XLOOKUP(C2926,[1]Baseline!$B$4:$B$91,[1]Baseline!$D$4:$AZ$91))</f>
        <v>No Knowledge</v>
      </c>
      <c r="E2926" s="16" t="s">
        <v>225</v>
      </c>
      <c r="F2926" s="16">
        <v>1</v>
      </c>
      <c r="G2926" s="16">
        <v>99</v>
      </c>
      <c r="H2926" s="16">
        <f t="shared" si="45"/>
        <v>98</v>
      </c>
      <c r="I2926" s="13">
        <v>99</v>
      </c>
    </row>
    <row r="2927" spans="1:9">
      <c r="A2927" s="16" t="s">
        <v>20</v>
      </c>
      <c r="B2927" s="16" t="s">
        <v>72</v>
      </c>
      <c r="C2927" s="16" t="str">
        <f>VLOOKUP([1]Competence!$B33,[1]Competence!$B$12:$B$100,1,FALSE)</f>
        <v>Penetration testing</v>
      </c>
      <c r="D2927" s="13" t="str" cm="1">
        <f t="array" ref="D2927">_xlfn.XLOOKUP(B2927,[1]Baseline!$D$3:$AZ$3,_xlfn.XLOOKUP(C2927,[1]Baseline!$B$4:$B$91,[1]Baseline!$D$4:$AZ$91))</f>
        <v>Working</v>
      </c>
      <c r="E2927" s="16" t="s">
        <v>228</v>
      </c>
      <c r="F2927" s="16">
        <v>1</v>
      </c>
      <c r="G2927" s="16">
        <v>99</v>
      </c>
      <c r="H2927" s="16">
        <f t="shared" si="45"/>
        <v>98</v>
      </c>
      <c r="I2927" s="13">
        <v>99</v>
      </c>
    </row>
    <row r="2928" spans="1:9">
      <c r="A2928" s="16" t="s">
        <v>20</v>
      </c>
      <c r="B2928" s="16" t="s">
        <v>72</v>
      </c>
      <c r="C2928" s="16" t="str">
        <f>VLOOKUP([1]Competence!$B34,[1]Competence!$B$12:$B$100,1,FALSE)</f>
        <v>Security Operations</v>
      </c>
      <c r="D2928" s="13" t="str" cm="1">
        <f t="array" ref="D2928">_xlfn.XLOOKUP(B2928,[1]Baseline!$D$3:$AZ$3,_xlfn.XLOOKUP(C2928,[1]Baseline!$B$4:$B$91,[1]Baseline!$D$4:$AZ$91))</f>
        <v>Practitioner</v>
      </c>
      <c r="E2928" s="16" t="s">
        <v>231</v>
      </c>
      <c r="F2928" s="16">
        <v>1</v>
      </c>
      <c r="G2928" s="16">
        <v>99</v>
      </c>
      <c r="H2928" s="16">
        <f t="shared" si="45"/>
        <v>98</v>
      </c>
      <c r="I2928" s="13">
        <v>99</v>
      </c>
    </row>
    <row r="2929" spans="1:9">
      <c r="A2929" s="16" t="s">
        <v>20</v>
      </c>
      <c r="B2929" s="16" t="s">
        <v>72</v>
      </c>
      <c r="C2929" s="16" t="str">
        <f>VLOOKUP([1]Competence!$B35,[1]Competence!$B$12:$B$100,1,FALSE)</f>
        <v>Threat Intelligence</v>
      </c>
      <c r="D2929" s="13" t="str" cm="1">
        <f t="array" ref="D2929">_xlfn.XLOOKUP(B2929,[1]Baseline!$D$3:$AZ$3,_xlfn.XLOOKUP(C2929,[1]Baseline!$B$4:$B$91,[1]Baseline!$D$4:$AZ$91))</f>
        <v>Awareness</v>
      </c>
      <c r="E2929" s="16" t="s">
        <v>185</v>
      </c>
      <c r="F2929" s="16">
        <v>1</v>
      </c>
      <c r="G2929" s="16">
        <v>99</v>
      </c>
      <c r="H2929" s="16">
        <f t="shared" si="45"/>
        <v>98</v>
      </c>
      <c r="I2929" s="13">
        <v>99</v>
      </c>
    </row>
    <row r="2930" spans="1:9">
      <c r="A2930" s="16" t="s">
        <v>20</v>
      </c>
      <c r="B2930" s="16" t="s">
        <v>72</v>
      </c>
      <c r="C2930" s="16" t="str">
        <f>VLOOKUP([1]Competence!$B36,[1]Competence!$B$12:$B$100,1,FALSE)</f>
        <v>Vulnerability assessment</v>
      </c>
      <c r="D2930" s="13" t="str" cm="1">
        <f t="array" ref="D2930">_xlfn.XLOOKUP(B2930,[1]Baseline!$D$3:$AZ$3,_xlfn.XLOOKUP(C2930,[1]Baseline!$B$4:$B$91,[1]Baseline!$D$4:$AZ$91))</f>
        <v>Practitioner</v>
      </c>
      <c r="E2930" s="16" t="s">
        <v>188</v>
      </c>
      <c r="F2930" s="16">
        <v>1</v>
      </c>
      <c r="G2930" s="16">
        <v>99</v>
      </c>
      <c r="H2930" s="16">
        <f t="shared" si="45"/>
        <v>98</v>
      </c>
      <c r="I2930" s="13">
        <v>99</v>
      </c>
    </row>
    <row r="2931" spans="1:9">
      <c r="A2931" s="16" t="s">
        <v>20</v>
      </c>
      <c r="B2931" s="16" t="s">
        <v>72</v>
      </c>
      <c r="C2931" s="16" t="str">
        <f>VLOOKUP([1]Competence!$B37,[1]Competence!$B$12:$B$100,1,FALSE)</f>
        <v>Vulnerability Research</v>
      </c>
      <c r="D2931" s="13" t="str" cm="1">
        <f t="array" ref="D2931">_xlfn.XLOOKUP(B2931,[1]Baseline!$D$3:$AZ$3,_xlfn.XLOOKUP(C2931,[1]Baseline!$B$4:$B$91,[1]Baseline!$D$4:$AZ$91))</f>
        <v>Awareness</v>
      </c>
      <c r="E2931" s="16" t="s">
        <v>191</v>
      </c>
      <c r="F2931" s="16">
        <v>0</v>
      </c>
      <c r="G2931" s="16">
        <v>99</v>
      </c>
      <c r="H2931" s="16">
        <f t="shared" si="45"/>
        <v>99</v>
      </c>
      <c r="I2931" s="13">
        <v>99</v>
      </c>
    </row>
    <row r="2932" spans="1:9">
      <c r="A2932" s="16" t="s">
        <v>20</v>
      </c>
      <c r="B2932" s="16" t="s">
        <v>72</v>
      </c>
      <c r="C2932" s="16" t="str">
        <f>VLOOKUP([1]Competence!$B38,[1]Competence!$B$12:$B$100,1,FALSE)</f>
        <v>Competency assessment</v>
      </c>
      <c r="D2932" s="13" t="str" cm="1">
        <f t="array" ref="D2932">_xlfn.XLOOKUP(B2932,[1]Baseline!$D$3:$AZ$3,_xlfn.XLOOKUP(C2932,[1]Baseline!$B$4:$B$91,[1]Baseline!$D$4:$AZ$91))</f>
        <v>Awareness</v>
      </c>
      <c r="E2932" s="16" t="s">
        <v>194</v>
      </c>
      <c r="F2932" s="16">
        <v>0</v>
      </c>
      <c r="G2932" s="16">
        <v>99</v>
      </c>
      <c r="H2932" s="16">
        <f t="shared" si="45"/>
        <v>99</v>
      </c>
      <c r="I2932" s="13">
        <v>99</v>
      </c>
    </row>
    <row r="2933" spans="1:9">
      <c r="A2933" s="16" t="s">
        <v>20</v>
      </c>
      <c r="B2933" s="16" t="s">
        <v>72</v>
      </c>
      <c r="C2933" s="16" t="str">
        <f>VLOOKUP([1]Competence!$B39,[1]Competence!$B$12:$B$100,1,FALSE)</f>
        <v>Financial management</v>
      </c>
      <c r="D2933" s="13" t="str" cm="1">
        <f t="array" ref="D2933">_xlfn.XLOOKUP(B2933,[1]Baseline!$D$3:$AZ$3,_xlfn.XLOOKUP(C2933,[1]Baseline!$B$4:$B$91,[1]Baseline!$D$4:$AZ$91))</f>
        <v>Awareness</v>
      </c>
      <c r="E2933" s="16" t="s">
        <v>197</v>
      </c>
      <c r="F2933" s="16">
        <v>0</v>
      </c>
      <c r="G2933" s="16">
        <v>99</v>
      </c>
      <c r="H2933" s="16">
        <f t="shared" si="45"/>
        <v>99</v>
      </c>
      <c r="I2933" s="13">
        <v>99</v>
      </c>
    </row>
    <row r="2934" spans="1:9">
      <c r="A2934" s="16" t="s">
        <v>20</v>
      </c>
      <c r="B2934" s="16" t="s">
        <v>72</v>
      </c>
      <c r="C2934" s="16" t="str">
        <f>VLOOKUP([1]Competence!$B40,[1]Competence!$B$12:$B$100,1,FALSE)</f>
        <v>Organisation design and implementation</v>
      </c>
      <c r="D2934" s="13" t="str" cm="1">
        <f t="array" ref="D2934">_xlfn.XLOOKUP(B2934,[1]Baseline!$D$3:$AZ$3,_xlfn.XLOOKUP(C2934,[1]Baseline!$B$4:$B$91,[1]Baseline!$D$4:$AZ$91))</f>
        <v>No Knowledge</v>
      </c>
      <c r="E2934" s="16" t="s">
        <v>200</v>
      </c>
      <c r="F2934" s="16">
        <v>0</v>
      </c>
      <c r="G2934" s="16">
        <v>99</v>
      </c>
      <c r="H2934" s="16">
        <f t="shared" si="45"/>
        <v>99</v>
      </c>
      <c r="I2934" s="13">
        <v>99</v>
      </c>
    </row>
    <row r="2935" spans="1:9">
      <c r="A2935" s="16" t="s">
        <v>20</v>
      </c>
      <c r="B2935" s="16" t="s">
        <v>72</v>
      </c>
      <c r="C2935" s="16" t="str">
        <f>VLOOKUP([1]Competence!$B41,[1]Competence!$B$12:$B$100,1,FALSE)</f>
        <v>Organisational capability development</v>
      </c>
      <c r="D2935" s="13" t="str" cm="1">
        <f t="array" ref="D2935">_xlfn.XLOOKUP(B2935,[1]Baseline!$D$3:$AZ$3,_xlfn.XLOOKUP(C2935,[1]Baseline!$B$4:$B$91,[1]Baseline!$D$4:$AZ$91))</f>
        <v>No Knowledge</v>
      </c>
      <c r="E2935" s="16" t="s">
        <v>203</v>
      </c>
      <c r="F2935" s="16">
        <v>1</v>
      </c>
      <c r="G2935" s="16">
        <v>99</v>
      </c>
      <c r="H2935" s="16">
        <f t="shared" si="45"/>
        <v>98</v>
      </c>
      <c r="I2935" s="13">
        <v>99</v>
      </c>
    </row>
    <row r="2936" spans="1:9">
      <c r="A2936" s="16" t="s">
        <v>20</v>
      </c>
      <c r="B2936" s="16" t="s">
        <v>72</v>
      </c>
      <c r="C2936" s="16" t="str">
        <f>VLOOKUP([1]Competence!$B42,[1]Competence!$B$12:$B$100,1,FALSE)</f>
        <v>Organisational change management</v>
      </c>
      <c r="D2936" s="13" t="str" cm="1">
        <f t="array" ref="D2936">_xlfn.XLOOKUP(B2936,[1]Baseline!$D$3:$AZ$3,_xlfn.XLOOKUP(C2936,[1]Baseline!$B$4:$B$91,[1]Baseline!$D$4:$AZ$91))</f>
        <v>No Knowledge</v>
      </c>
      <c r="E2936" s="16" t="s">
        <v>206</v>
      </c>
      <c r="F2936" s="16">
        <v>0</v>
      </c>
      <c r="G2936" s="16">
        <v>99</v>
      </c>
      <c r="H2936" s="16">
        <f t="shared" si="45"/>
        <v>99</v>
      </c>
      <c r="I2936" s="13">
        <v>99</v>
      </c>
    </row>
    <row r="2937" spans="1:9">
      <c r="A2937" s="16" t="s">
        <v>20</v>
      </c>
      <c r="B2937" s="16" t="s">
        <v>72</v>
      </c>
      <c r="C2937" s="16" t="str">
        <f>VLOOKUP([1]Competence!$B43,[1]Competence!$B$12:$B$100,1,FALSE)</f>
        <v>Performance Management</v>
      </c>
      <c r="D2937" s="13" t="str" cm="1">
        <f t="array" ref="D2937">_xlfn.XLOOKUP(B2937,[1]Baseline!$D$3:$AZ$3,_xlfn.XLOOKUP(C2937,[1]Baseline!$B$4:$B$91,[1]Baseline!$D$4:$AZ$91))</f>
        <v>No Knowledge</v>
      </c>
      <c r="E2937" s="16" t="s">
        <v>208</v>
      </c>
      <c r="F2937" s="16">
        <v>0</v>
      </c>
      <c r="G2937" s="16">
        <v>99</v>
      </c>
      <c r="H2937" s="16">
        <f t="shared" si="45"/>
        <v>99</v>
      </c>
      <c r="I2937" s="13">
        <v>99</v>
      </c>
    </row>
    <row r="2938" spans="1:9">
      <c r="A2938" s="16" t="s">
        <v>20</v>
      </c>
      <c r="B2938" s="16" t="s">
        <v>72</v>
      </c>
      <c r="C2938" s="16" t="str">
        <f>VLOOKUP([1]Competence!$B44,[1]Competence!$B$12:$B$100,1,FALSE)</f>
        <v>Professional Development</v>
      </c>
      <c r="D2938" s="13" t="str" cm="1">
        <f t="array" ref="D2938">_xlfn.XLOOKUP(B2938,[1]Baseline!$D$3:$AZ$3,_xlfn.XLOOKUP(C2938,[1]Baseline!$B$4:$B$91,[1]Baseline!$D$4:$AZ$91))</f>
        <v>Awareness</v>
      </c>
      <c r="E2938" s="16" t="s">
        <v>167</v>
      </c>
      <c r="F2938" s="16">
        <v>0</v>
      </c>
      <c r="G2938" s="16">
        <v>99</v>
      </c>
      <c r="H2938" s="16">
        <f t="shared" si="45"/>
        <v>99</v>
      </c>
      <c r="I2938" s="13">
        <v>99</v>
      </c>
    </row>
    <row r="2939" spans="1:9">
      <c r="A2939" s="16" t="s">
        <v>20</v>
      </c>
      <c r="B2939" s="16" t="s">
        <v>72</v>
      </c>
      <c r="C2939" s="16" t="str">
        <f>VLOOKUP([1]Competence!$B45,[1]Competence!$B$12:$B$100,1,FALSE)</f>
        <v>Strategic Planning</v>
      </c>
      <c r="D2939" s="13" t="str" cm="1">
        <f t="array" ref="D2939">_xlfn.XLOOKUP(B2939,[1]Baseline!$D$3:$AZ$3,_xlfn.XLOOKUP(C2939,[1]Baseline!$B$4:$B$91,[1]Baseline!$D$4:$AZ$91))</f>
        <v>No Knowledge</v>
      </c>
      <c r="E2939" s="16" t="s">
        <v>170</v>
      </c>
      <c r="F2939" s="16">
        <v>0</v>
      </c>
      <c r="G2939" s="16">
        <v>99</v>
      </c>
      <c r="H2939" s="16">
        <f t="shared" si="45"/>
        <v>99</v>
      </c>
      <c r="I2939" s="13">
        <v>99</v>
      </c>
    </row>
    <row r="2940" spans="1:9">
      <c r="A2940" s="16" t="s">
        <v>20</v>
      </c>
      <c r="B2940" s="16" t="s">
        <v>72</v>
      </c>
      <c r="C2940" s="16" t="str">
        <f>VLOOKUP([1]Competence!$B46,[1]Competence!$B$12:$B$100,1,FALSE)</f>
        <v>Workforce Planning</v>
      </c>
      <c r="D2940" s="13" t="str" cm="1">
        <f t="array" ref="D2940">_xlfn.XLOOKUP(B2940,[1]Baseline!$D$3:$AZ$3,_xlfn.XLOOKUP(C2940,[1]Baseline!$B$4:$B$91,[1]Baseline!$D$4:$AZ$91))</f>
        <v>No Knowledge</v>
      </c>
      <c r="E2940" s="16" t="s">
        <v>173</v>
      </c>
      <c r="F2940" s="16">
        <v>2</v>
      </c>
      <c r="G2940" s="16">
        <v>99</v>
      </c>
      <c r="H2940" s="16">
        <f t="shared" si="45"/>
        <v>97</v>
      </c>
      <c r="I2940" s="13">
        <v>99</v>
      </c>
    </row>
    <row r="2941" spans="1:9">
      <c r="A2941" s="16" t="s">
        <v>20</v>
      </c>
      <c r="B2941" s="16" t="s">
        <v>72</v>
      </c>
      <c r="C2941" s="16" t="str">
        <f>VLOOKUP([1]Competence!$B47,[1]Competence!$B$12:$B$100,1,FALSE)</f>
        <v>Audit</v>
      </c>
      <c r="D2941" s="13" t="str" cm="1">
        <f t="array" ref="D2941">_xlfn.XLOOKUP(B2941,[1]Baseline!$D$3:$AZ$3,_xlfn.XLOOKUP(C2941,[1]Baseline!$B$4:$B$91,[1]Baseline!$D$4:$AZ$91))</f>
        <v>Working</v>
      </c>
      <c r="E2941" s="16" t="s">
        <v>176</v>
      </c>
      <c r="F2941" s="16">
        <v>0</v>
      </c>
      <c r="G2941" s="16">
        <v>99</v>
      </c>
      <c r="H2941" s="16">
        <f t="shared" si="45"/>
        <v>99</v>
      </c>
      <c r="I2941" s="13">
        <v>99</v>
      </c>
    </row>
    <row r="2942" spans="1:9">
      <c r="A2942" s="16" t="s">
        <v>20</v>
      </c>
      <c r="B2942" s="16" t="s">
        <v>72</v>
      </c>
      <c r="C2942" s="16" t="str">
        <f>VLOOKUP([1]Competence!$B48,[1]Competence!$B$12:$B$100,1,FALSE)</f>
        <v>Contract management</v>
      </c>
      <c r="D2942" s="13" t="str" cm="1">
        <f t="array" ref="D2942">_xlfn.XLOOKUP(B2942,[1]Baseline!$D$3:$AZ$3,_xlfn.XLOOKUP(C2942,[1]Baseline!$B$4:$B$91,[1]Baseline!$D$4:$AZ$91))</f>
        <v>Working</v>
      </c>
      <c r="E2942" s="16" t="s">
        <v>179</v>
      </c>
      <c r="F2942" s="16">
        <v>2</v>
      </c>
      <c r="G2942" s="16">
        <v>99</v>
      </c>
      <c r="H2942" s="16">
        <f t="shared" si="45"/>
        <v>97</v>
      </c>
      <c r="I2942" s="13">
        <v>99</v>
      </c>
    </row>
    <row r="2943" spans="1:9">
      <c r="A2943" s="16" t="s">
        <v>20</v>
      </c>
      <c r="B2943" s="16" t="s">
        <v>72</v>
      </c>
      <c r="C2943" s="16" t="str">
        <f>VLOOKUP([1]Competence!$B49,[1]Competence!$B$12:$B$100,1,FALSE)</f>
        <v>Feasibility assessment</v>
      </c>
      <c r="D2943" s="13" t="str" cm="1">
        <f t="array" ref="D2943">_xlfn.XLOOKUP(B2943,[1]Baseline!$D$3:$AZ$3,_xlfn.XLOOKUP(C2943,[1]Baseline!$B$4:$B$91,[1]Baseline!$D$4:$AZ$91))</f>
        <v>Working</v>
      </c>
      <c r="E2943" s="16" t="s">
        <v>182</v>
      </c>
      <c r="F2943" s="16">
        <v>0</v>
      </c>
      <c r="G2943" s="16">
        <v>99</v>
      </c>
      <c r="H2943" s="16">
        <f t="shared" si="45"/>
        <v>99</v>
      </c>
      <c r="I2943" s="13">
        <v>99</v>
      </c>
    </row>
    <row r="2944" spans="1:9">
      <c r="A2944" s="16" t="s">
        <v>20</v>
      </c>
      <c r="B2944" s="16" t="s">
        <v>72</v>
      </c>
      <c r="C2944" s="16" t="str">
        <f>VLOOKUP([1]Competence!$B50,[1]Competence!$B$12:$B$100,1,FALSE)</f>
        <v>Governance</v>
      </c>
      <c r="D2944" s="13" t="str" cm="1">
        <f t="array" ref="D2944">_xlfn.XLOOKUP(B2944,[1]Baseline!$D$3:$AZ$3,_xlfn.XLOOKUP(C2944,[1]Baseline!$B$4:$B$91,[1]Baseline!$D$4:$AZ$91))</f>
        <v>Awareness</v>
      </c>
      <c r="E2944" s="16" t="s">
        <v>133</v>
      </c>
      <c r="F2944" s="16">
        <v>1</v>
      </c>
      <c r="G2944" s="16">
        <v>99</v>
      </c>
      <c r="H2944" s="16">
        <f t="shared" si="45"/>
        <v>98</v>
      </c>
      <c r="I2944" s="13">
        <v>99</v>
      </c>
    </row>
    <row r="2945" spans="1:9">
      <c r="A2945" s="16" t="s">
        <v>20</v>
      </c>
      <c r="B2945" s="16" t="s">
        <v>72</v>
      </c>
      <c r="C2945" s="16" t="str">
        <f>VLOOKUP([1]Competence!$B51,[1]Competence!$B$12:$B$100,1,FALSE)</f>
        <v>Risk management</v>
      </c>
      <c r="D2945" s="13" t="str" cm="1">
        <f t="array" ref="D2945">_xlfn.XLOOKUP(B2945,[1]Baseline!$D$3:$AZ$3,_xlfn.XLOOKUP(C2945,[1]Baseline!$B$4:$B$91,[1]Baseline!$D$4:$AZ$91))</f>
        <v>Awareness</v>
      </c>
      <c r="E2945" s="16" t="s">
        <v>136</v>
      </c>
      <c r="F2945" s="16">
        <v>0</v>
      </c>
      <c r="G2945" s="16">
        <v>99</v>
      </c>
      <c r="H2945" s="16">
        <f t="shared" si="45"/>
        <v>99</v>
      </c>
      <c r="I2945" s="13">
        <v>99</v>
      </c>
    </row>
    <row r="2946" spans="1:9">
      <c r="A2946" s="16" t="s">
        <v>20</v>
      </c>
      <c r="B2946" s="16" t="s">
        <v>72</v>
      </c>
      <c r="C2946" s="16" t="str">
        <f>VLOOKUP([1]Competence!$B52,[1]Competence!$B$12:$B$100,1,FALSE)</f>
        <v>Sourcing</v>
      </c>
      <c r="D2946" s="13" t="str" cm="1">
        <f t="array" ref="D2946">_xlfn.XLOOKUP(B2946,[1]Baseline!$D$3:$AZ$3,_xlfn.XLOOKUP(C2946,[1]Baseline!$B$4:$B$91,[1]Baseline!$D$4:$AZ$91))</f>
        <v>Awareness</v>
      </c>
      <c r="E2946" s="16" t="s">
        <v>139</v>
      </c>
      <c r="F2946" s="16">
        <v>1</v>
      </c>
      <c r="G2946" s="16">
        <v>99</v>
      </c>
      <c r="H2946" s="16">
        <f t="shared" ref="H2946:H2993" si="46">I2946-F2946</f>
        <v>98</v>
      </c>
      <c r="I2946" s="13">
        <v>99</v>
      </c>
    </row>
    <row r="2947" spans="1:9">
      <c r="A2947" s="16" t="s">
        <v>20</v>
      </c>
      <c r="B2947" s="16" t="s">
        <v>72</v>
      </c>
      <c r="C2947" s="16" t="str">
        <f>VLOOKUP([1]Competence!$B53,[1]Competence!$B$12:$B$100,1,FALSE)</f>
        <v>Supplier management</v>
      </c>
      <c r="D2947" s="13" t="str" cm="1">
        <f t="array" ref="D2947">_xlfn.XLOOKUP(B2947,[1]Baseline!$D$3:$AZ$3,_xlfn.XLOOKUP(C2947,[1]Baseline!$B$4:$B$91,[1]Baseline!$D$4:$AZ$91))</f>
        <v>Working</v>
      </c>
      <c r="E2947" s="16" t="s">
        <v>142</v>
      </c>
      <c r="F2947" s="16">
        <v>1</v>
      </c>
      <c r="G2947" s="16">
        <v>99</v>
      </c>
      <c r="H2947" s="16">
        <f t="shared" si="46"/>
        <v>98</v>
      </c>
      <c r="I2947" s="13">
        <v>99</v>
      </c>
    </row>
    <row r="2948" spans="1:9">
      <c r="A2948" s="16" t="s">
        <v>20</v>
      </c>
      <c r="B2948" s="16" t="s">
        <v>72</v>
      </c>
      <c r="C2948" s="16" t="str">
        <f>VLOOKUP([1]Competence!$B54,[1]Competence!$B$12:$B$100,1,FALSE)</f>
        <v>Sustainability</v>
      </c>
      <c r="D2948" s="13" t="str" cm="1">
        <f t="array" ref="D2948">_xlfn.XLOOKUP(B2948,[1]Baseline!$D$3:$AZ$3,_xlfn.XLOOKUP(C2948,[1]Baseline!$B$4:$B$91,[1]Baseline!$D$4:$AZ$91))</f>
        <v>Awareness</v>
      </c>
      <c r="E2948" s="16" t="s">
        <v>145</v>
      </c>
      <c r="F2948" s="16">
        <v>1</v>
      </c>
      <c r="G2948" s="16">
        <v>99</v>
      </c>
      <c r="H2948" s="16">
        <f t="shared" si="46"/>
        <v>98</v>
      </c>
      <c r="I2948" s="13">
        <v>99</v>
      </c>
    </row>
    <row r="2949" spans="1:9">
      <c r="A2949" s="16" t="s">
        <v>20</v>
      </c>
      <c r="B2949" s="16" t="s">
        <v>72</v>
      </c>
      <c r="C2949" s="16" t="str">
        <f>VLOOKUP([1]Competence!$B55,[1]Competence!$B$12:$B$100,1,FALSE)</f>
        <v>Acceptance testing</v>
      </c>
      <c r="D2949" s="13" t="str" cm="1">
        <f t="array" ref="D2949">_xlfn.XLOOKUP(B2949,[1]Baseline!$D$3:$AZ$3,_xlfn.XLOOKUP(C2949,[1]Baseline!$B$4:$B$91,[1]Baseline!$D$4:$AZ$91))</f>
        <v>Working</v>
      </c>
      <c r="E2949" s="16" t="s">
        <v>148</v>
      </c>
      <c r="F2949" s="16">
        <v>2</v>
      </c>
      <c r="G2949" s="16">
        <v>99</v>
      </c>
      <c r="H2949" s="16">
        <f t="shared" si="46"/>
        <v>97</v>
      </c>
      <c r="I2949" s="13">
        <v>99</v>
      </c>
    </row>
    <row r="2950" spans="1:9">
      <c r="A2950" s="16" t="s">
        <v>20</v>
      </c>
      <c r="B2950" s="16" t="s">
        <v>72</v>
      </c>
      <c r="C2950" s="16" t="str">
        <f>VLOOKUP([1]Competence!$B56,[1]Competence!$B$12:$B$100,1,FALSE)</f>
        <v>Application support</v>
      </c>
      <c r="D2950" s="13" t="str" cm="1">
        <f t="array" ref="D2950">_xlfn.XLOOKUP(B2950,[1]Baseline!$D$3:$AZ$3,_xlfn.XLOOKUP(C2950,[1]Baseline!$B$4:$B$91,[1]Baseline!$D$4:$AZ$91))</f>
        <v>Awareness</v>
      </c>
      <c r="E2950" s="16" t="s">
        <v>151</v>
      </c>
      <c r="F2950" s="16">
        <v>1</v>
      </c>
      <c r="G2950" s="16">
        <v>99</v>
      </c>
      <c r="H2950" s="16">
        <f t="shared" si="46"/>
        <v>98</v>
      </c>
      <c r="I2950" s="13">
        <v>99</v>
      </c>
    </row>
    <row r="2951" spans="1:9">
      <c r="A2951" s="16" t="s">
        <v>20</v>
      </c>
      <c r="B2951" s="16" t="s">
        <v>72</v>
      </c>
      <c r="C2951" s="16" t="str">
        <f>VLOOKUP([1]Competence!$B57,[1]Competence!$B$12:$B$100,1,FALSE)</f>
        <v>Data Engineering</v>
      </c>
      <c r="D2951" s="13" t="str" cm="1">
        <f t="array" ref="D2951">_xlfn.XLOOKUP(B2951,[1]Baseline!$D$3:$AZ$3,_xlfn.XLOOKUP(C2951,[1]Baseline!$B$4:$B$91,[1]Baseline!$D$4:$AZ$91))</f>
        <v>No Knowledge</v>
      </c>
      <c r="E2951" s="16" t="s">
        <v>154</v>
      </c>
      <c r="F2951" s="16">
        <v>0</v>
      </c>
      <c r="G2951" s="16">
        <v>99</v>
      </c>
      <c r="H2951" s="16">
        <f t="shared" si="46"/>
        <v>99</v>
      </c>
      <c r="I2951" s="13">
        <v>99</v>
      </c>
    </row>
    <row r="2952" spans="1:9">
      <c r="A2952" s="16" t="s">
        <v>20</v>
      </c>
      <c r="B2952" s="16" t="s">
        <v>72</v>
      </c>
      <c r="C2952" s="16" t="str">
        <f>VLOOKUP([1]Competence!$B58,[1]Competence!$B$12:$B$100,1,FALSE)</f>
        <v>Data Management</v>
      </c>
      <c r="D2952" s="13" t="str" cm="1">
        <f t="array" ref="D2952">_xlfn.XLOOKUP(B2952,[1]Baseline!$D$3:$AZ$3,_xlfn.XLOOKUP(C2952,[1]Baseline!$B$4:$B$91,[1]Baseline!$D$4:$AZ$91))</f>
        <v>No Knowledge</v>
      </c>
      <c r="E2952" s="16" t="s">
        <v>158</v>
      </c>
      <c r="F2952" s="16">
        <v>0</v>
      </c>
      <c r="G2952" s="16">
        <v>99</v>
      </c>
      <c r="H2952" s="16">
        <f t="shared" si="46"/>
        <v>99</v>
      </c>
      <c r="I2952" s="13">
        <v>99</v>
      </c>
    </row>
    <row r="2953" spans="1:9">
      <c r="A2953" s="16" t="s">
        <v>20</v>
      </c>
      <c r="B2953" s="16" t="s">
        <v>72</v>
      </c>
      <c r="C2953" s="16" t="str">
        <f>VLOOKUP([1]Competence!$B59,[1]Competence!$B$12:$B$100,1,FALSE)</f>
        <v>Data Modelling and Design</v>
      </c>
      <c r="D2953" s="13" t="str" cm="1">
        <f t="array" ref="D2953">_xlfn.XLOOKUP(B2953,[1]Baseline!$D$3:$AZ$3,_xlfn.XLOOKUP(C2953,[1]Baseline!$B$4:$B$91,[1]Baseline!$D$4:$AZ$91))</f>
        <v>No Knowledge</v>
      </c>
      <c r="E2953" s="16" t="s">
        <v>161</v>
      </c>
      <c r="F2953" s="16">
        <v>2</v>
      </c>
      <c r="G2953" s="16">
        <v>99</v>
      </c>
      <c r="H2953" s="16">
        <f t="shared" si="46"/>
        <v>97</v>
      </c>
      <c r="I2953" s="13">
        <v>99</v>
      </c>
    </row>
    <row r="2954" spans="1:9">
      <c r="A2954" s="16" t="s">
        <v>20</v>
      </c>
      <c r="B2954" s="16" t="s">
        <v>72</v>
      </c>
      <c r="C2954" s="16" t="str">
        <f>VLOOKUP([1]Competence!$B60,[1]Competence!$B$12:$B$100,1,FALSE)</f>
        <v>Data science</v>
      </c>
      <c r="D2954" s="13" t="str" cm="1">
        <f t="array" ref="D2954">_xlfn.XLOOKUP(B2954,[1]Baseline!$D$3:$AZ$3,_xlfn.XLOOKUP(C2954,[1]Baseline!$B$4:$B$91,[1]Baseline!$D$4:$AZ$91))</f>
        <v>No Knowledge</v>
      </c>
      <c r="E2954" s="16" t="s">
        <v>164</v>
      </c>
      <c r="F2954" s="16">
        <v>2</v>
      </c>
      <c r="G2954" s="16">
        <v>99</v>
      </c>
      <c r="H2954" s="16">
        <f t="shared" si="46"/>
        <v>97</v>
      </c>
      <c r="I2954" s="13">
        <v>99</v>
      </c>
    </row>
    <row r="2955" spans="1:9">
      <c r="A2955" s="16" t="s">
        <v>20</v>
      </c>
      <c r="B2955" s="16" t="s">
        <v>72</v>
      </c>
      <c r="C2955" s="16" t="str">
        <f>VLOOKUP([1]Competence!$B61,[1]Competence!$B$12:$B$100,1,FALSE)</f>
        <v>Data visualisation</v>
      </c>
      <c r="D2955" s="13" t="str" cm="1">
        <f t="array" ref="D2955">_xlfn.XLOOKUP(B2955,[1]Baseline!$D$3:$AZ$3,_xlfn.XLOOKUP(C2955,[1]Baseline!$B$4:$B$91,[1]Baseline!$D$4:$AZ$91))</f>
        <v>No Knowledge</v>
      </c>
      <c r="E2955" s="16" t="s">
        <v>234</v>
      </c>
      <c r="F2955" s="16">
        <v>1</v>
      </c>
      <c r="G2955" s="16">
        <v>99</v>
      </c>
      <c r="H2955" s="16">
        <f t="shared" si="46"/>
        <v>98</v>
      </c>
      <c r="I2955" s="13">
        <v>99</v>
      </c>
    </row>
    <row r="2956" spans="1:9">
      <c r="A2956" s="16" t="s">
        <v>20</v>
      </c>
      <c r="B2956" s="16" t="s">
        <v>72</v>
      </c>
      <c r="C2956" s="16" t="str">
        <f>VLOOKUP([1]Competence!$B62,[1]Competence!$B$12:$B$100,1,FALSE)</f>
        <v>Database Administration</v>
      </c>
      <c r="D2956" s="13" t="str" cm="1">
        <f t="array" ref="D2956">_xlfn.XLOOKUP(B2956,[1]Baseline!$D$3:$AZ$3,_xlfn.XLOOKUP(C2956,[1]Baseline!$B$4:$B$91,[1]Baseline!$D$4:$AZ$91))</f>
        <v>Working</v>
      </c>
      <c r="E2956" s="16" t="s">
        <v>237</v>
      </c>
      <c r="F2956" s="16">
        <v>2</v>
      </c>
      <c r="G2956" s="16">
        <v>99</v>
      </c>
      <c r="H2956" s="16">
        <f t="shared" si="46"/>
        <v>97</v>
      </c>
      <c r="I2956" s="13">
        <v>99</v>
      </c>
    </row>
    <row r="2957" spans="1:9">
      <c r="A2957" s="16" t="s">
        <v>20</v>
      </c>
      <c r="B2957" s="16" t="s">
        <v>72</v>
      </c>
      <c r="C2957" s="16" t="str">
        <f>VLOOKUP([1]Competence!$B63,[1]Competence!$B$12:$B$100,1,FALSE)</f>
        <v>Database Design</v>
      </c>
      <c r="D2957" s="13" t="str" cm="1">
        <f t="array" ref="D2957">_xlfn.XLOOKUP(B2957,[1]Baseline!$D$3:$AZ$3,_xlfn.XLOOKUP(C2957,[1]Baseline!$B$4:$B$91,[1]Baseline!$D$4:$AZ$91))</f>
        <v>No Knowledge</v>
      </c>
      <c r="E2957" s="16" t="s">
        <v>382</v>
      </c>
      <c r="F2957" s="16">
        <v>1</v>
      </c>
      <c r="G2957" s="16">
        <v>99</v>
      </c>
      <c r="H2957" s="16">
        <f t="shared" si="46"/>
        <v>98</v>
      </c>
      <c r="I2957" s="13">
        <v>99</v>
      </c>
    </row>
    <row r="2958" spans="1:9">
      <c r="A2958" s="16" t="s">
        <v>20</v>
      </c>
      <c r="B2958" s="16" t="s">
        <v>72</v>
      </c>
      <c r="C2958" s="16" t="str">
        <f>VLOOKUP([1]Competence!$B64,[1]Competence!$B$12:$B$100,1,FALSE)</f>
        <v>Hardware design</v>
      </c>
      <c r="D2958" s="13" t="str" cm="1">
        <f t="array" ref="D2958">_xlfn.XLOOKUP(B2958,[1]Baseline!$D$3:$AZ$3,_xlfn.XLOOKUP(C2958,[1]Baseline!$B$4:$B$91,[1]Baseline!$D$4:$AZ$91))</f>
        <v>Working</v>
      </c>
      <c r="E2958" s="16" t="s">
        <v>383</v>
      </c>
      <c r="F2958" s="16">
        <v>0</v>
      </c>
      <c r="G2958" s="16">
        <v>99</v>
      </c>
      <c r="H2958" s="16">
        <f t="shared" si="46"/>
        <v>99</v>
      </c>
      <c r="I2958" s="13">
        <v>99</v>
      </c>
    </row>
    <row r="2959" spans="1:9">
      <c r="A2959" s="16" t="s">
        <v>20</v>
      </c>
      <c r="B2959" s="16" t="s">
        <v>72</v>
      </c>
      <c r="C2959" s="16" t="str">
        <f>VLOOKUP([1]Competence!$B65,[1]Competence!$B$12:$B$100,1,FALSE)</f>
        <v>High Performance Computing</v>
      </c>
      <c r="D2959" s="13" t="str" cm="1">
        <f t="array" ref="D2959">_xlfn.XLOOKUP(B2959,[1]Baseline!$D$3:$AZ$3,_xlfn.XLOOKUP(C2959,[1]Baseline!$B$4:$B$91,[1]Baseline!$D$4:$AZ$91))</f>
        <v>Awareness</v>
      </c>
      <c r="E2959" s="16" t="s">
        <v>240</v>
      </c>
      <c r="F2959" s="16">
        <v>0</v>
      </c>
      <c r="G2959" s="16">
        <v>99</v>
      </c>
      <c r="H2959" s="16">
        <f t="shared" si="46"/>
        <v>99</v>
      </c>
      <c r="I2959" s="13">
        <v>99</v>
      </c>
    </row>
    <row r="2960" spans="1:9">
      <c r="A2960" s="16" t="s">
        <v>20</v>
      </c>
      <c r="B2960" s="16" t="s">
        <v>72</v>
      </c>
      <c r="C2960" s="16" t="str">
        <f>VLOOKUP([1]Competence!$B66,[1]Competence!$B$12:$B$100,1,FALSE)</f>
        <v>Research Computing</v>
      </c>
      <c r="D2960" s="13" t="str" cm="1">
        <f t="array" ref="D2960">_xlfn.XLOOKUP(B2960,[1]Baseline!$D$3:$AZ$3,_xlfn.XLOOKUP(C2960,[1]Baseline!$B$4:$B$91,[1]Baseline!$D$4:$AZ$91))</f>
        <v>Awareness</v>
      </c>
      <c r="E2960" s="16" t="s">
        <v>243</v>
      </c>
      <c r="F2960" s="16">
        <v>0</v>
      </c>
      <c r="G2960" s="16">
        <v>99</v>
      </c>
      <c r="H2960" s="16">
        <f t="shared" si="46"/>
        <v>99</v>
      </c>
      <c r="I2960" s="13">
        <v>99</v>
      </c>
    </row>
    <row r="2961" spans="1:9">
      <c r="A2961" s="16" t="s">
        <v>20</v>
      </c>
      <c r="B2961" s="16" t="s">
        <v>72</v>
      </c>
      <c r="C2961" s="16" t="str">
        <f>VLOOKUP([1]Competence!$B67,[1]Competence!$B$12:$B$100,1,FALSE)</f>
        <v>Information assurance</v>
      </c>
      <c r="D2961" s="13" t="str" cm="1">
        <f t="array" ref="D2961">_xlfn.XLOOKUP(B2961,[1]Baseline!$D$3:$AZ$3,_xlfn.XLOOKUP(C2961,[1]Baseline!$B$4:$B$91,[1]Baseline!$D$4:$AZ$91))</f>
        <v>Working</v>
      </c>
      <c r="E2961" s="16" t="s">
        <v>246</v>
      </c>
      <c r="F2961" s="16">
        <v>0</v>
      </c>
      <c r="G2961" s="16">
        <v>99</v>
      </c>
      <c r="H2961" s="16">
        <f t="shared" si="46"/>
        <v>99</v>
      </c>
      <c r="I2961" s="13">
        <v>99</v>
      </c>
    </row>
    <row r="2962" spans="1:9">
      <c r="A2962" s="16" t="s">
        <v>20</v>
      </c>
      <c r="B2962" s="16" t="s">
        <v>72</v>
      </c>
      <c r="C2962" s="16" t="str">
        <f>VLOOKUP([1]Competence!$B68,[1]Competence!$B$12:$B$100,1,FALSE)</f>
        <v>Information management</v>
      </c>
      <c r="D2962" s="13" t="str" cm="1">
        <f t="array" ref="D2962">_xlfn.XLOOKUP(B2962,[1]Baseline!$D$3:$AZ$3,_xlfn.XLOOKUP(C2962,[1]Baseline!$B$4:$B$91,[1]Baseline!$D$4:$AZ$91))</f>
        <v>Working</v>
      </c>
      <c r="E2962" s="16" t="s">
        <v>249</v>
      </c>
      <c r="F2962" s="16">
        <v>0</v>
      </c>
      <c r="G2962" s="16">
        <v>99</v>
      </c>
      <c r="H2962" s="16">
        <f t="shared" si="46"/>
        <v>99</v>
      </c>
      <c r="I2962" s="13">
        <v>99</v>
      </c>
    </row>
    <row r="2963" spans="1:9">
      <c r="A2963" s="16" t="s">
        <v>20</v>
      </c>
      <c r="B2963" s="16" t="s">
        <v>72</v>
      </c>
      <c r="C2963" s="16" t="str">
        <f>VLOOKUP([1]Competence!$B69,[1]Competence!$B$12:$B$100,1,FALSE)</f>
        <v>Infrastructure</v>
      </c>
      <c r="D2963" s="13" t="str" cm="1">
        <f t="array" ref="D2963">_xlfn.XLOOKUP(B2963,[1]Baseline!$D$3:$AZ$3,_xlfn.XLOOKUP(C2963,[1]Baseline!$B$4:$B$91,[1]Baseline!$D$4:$AZ$91))</f>
        <v>Working</v>
      </c>
      <c r="E2963" s="16" t="s">
        <v>252</v>
      </c>
      <c r="F2963" s="16">
        <v>0</v>
      </c>
      <c r="G2963" s="16">
        <v>99</v>
      </c>
      <c r="H2963" s="16">
        <f t="shared" si="46"/>
        <v>99</v>
      </c>
      <c r="I2963" s="13">
        <v>99</v>
      </c>
    </row>
    <row r="2964" spans="1:9">
      <c r="A2964" s="16" t="s">
        <v>20</v>
      </c>
      <c r="B2964" s="16" t="s">
        <v>72</v>
      </c>
      <c r="C2964" s="16" t="str">
        <f>VLOOKUP([1]Competence!$B70,[1]Competence!$B$12:$B$100,1,FALSE)</f>
        <v>Network design</v>
      </c>
      <c r="D2964" s="13" t="str" cm="1">
        <f t="array" ref="D2964">_xlfn.XLOOKUP(B2964,[1]Baseline!$D$3:$AZ$3,_xlfn.XLOOKUP(C2964,[1]Baseline!$B$4:$B$91,[1]Baseline!$D$4:$AZ$91))</f>
        <v>Expert</v>
      </c>
      <c r="E2964" s="16" t="s">
        <v>255</v>
      </c>
      <c r="F2964" s="16">
        <v>0</v>
      </c>
      <c r="G2964" s="16">
        <v>99</v>
      </c>
      <c r="H2964" s="16">
        <f t="shared" si="46"/>
        <v>99</v>
      </c>
      <c r="I2964" s="13">
        <v>99</v>
      </c>
    </row>
    <row r="2965" spans="1:9">
      <c r="A2965" s="16" t="s">
        <v>20</v>
      </c>
      <c r="B2965" s="16" t="s">
        <v>72</v>
      </c>
      <c r="C2965" s="16" t="str">
        <f>VLOOKUP([1]Competence!$B71,[1]Competence!$B$12:$B$100,1,FALSE)</f>
        <v>Network Analytics</v>
      </c>
      <c r="D2965" s="13" t="str" cm="1">
        <f t="array" ref="D2965">_xlfn.XLOOKUP(B2965,[1]Baseline!$D$3:$AZ$3,_xlfn.XLOOKUP(C2965,[1]Baseline!$B$4:$B$91,[1]Baseline!$D$4:$AZ$91))</f>
        <v>Expert</v>
      </c>
      <c r="E2965" s="16" t="s">
        <v>258</v>
      </c>
      <c r="F2965" s="16">
        <v>0</v>
      </c>
      <c r="G2965" s="16">
        <v>99</v>
      </c>
      <c r="H2965" s="16">
        <f t="shared" si="46"/>
        <v>99</v>
      </c>
      <c r="I2965" s="13">
        <v>99</v>
      </c>
    </row>
    <row r="2966" spans="1:9">
      <c r="A2966" s="16" t="s">
        <v>20</v>
      </c>
      <c r="B2966" s="16" t="s">
        <v>72</v>
      </c>
      <c r="C2966" s="16" t="str">
        <f>VLOOKUP([1]Competence!$B72,[1]Competence!$B$12:$B$100,1,FALSE)</f>
        <v>Network support</v>
      </c>
      <c r="D2966" s="13" t="str" cm="1">
        <f t="array" ref="D2966">_xlfn.XLOOKUP(B2966,[1]Baseline!$D$3:$AZ$3,_xlfn.XLOOKUP(C2966,[1]Baseline!$B$4:$B$91,[1]Baseline!$D$4:$AZ$91))</f>
        <v>Expert</v>
      </c>
      <c r="E2966" s="16" t="s">
        <v>326</v>
      </c>
      <c r="F2966" s="16">
        <v>0</v>
      </c>
      <c r="G2966" s="16">
        <v>99</v>
      </c>
      <c r="H2966" s="16">
        <f t="shared" si="46"/>
        <v>99</v>
      </c>
      <c r="I2966" s="13">
        <v>99</v>
      </c>
    </row>
    <row r="2967" spans="1:9">
      <c r="A2967" s="16" t="s">
        <v>20</v>
      </c>
      <c r="B2967" s="16" t="s">
        <v>72</v>
      </c>
      <c r="C2967" s="16" t="str">
        <f>VLOOKUP([1]Competence!$B73,[1]Competence!$B$12:$B$100,1,FALSE)</f>
        <v>Programming/software development</v>
      </c>
      <c r="D2967" s="13" t="str" cm="1">
        <f t="array" ref="D2967">_xlfn.XLOOKUP(B2967,[1]Baseline!$D$3:$AZ$3,_xlfn.XLOOKUP(C2967,[1]Baseline!$B$4:$B$91,[1]Baseline!$D$4:$AZ$91))</f>
        <v>No Knowledge</v>
      </c>
      <c r="E2967" s="16" t="s">
        <v>261</v>
      </c>
      <c r="F2967" s="16">
        <v>0</v>
      </c>
      <c r="G2967" s="16">
        <v>99</v>
      </c>
      <c r="H2967" s="16">
        <f t="shared" si="46"/>
        <v>99</v>
      </c>
      <c r="I2967" s="13">
        <v>99</v>
      </c>
    </row>
    <row r="2968" spans="1:9">
      <c r="A2968" s="16" t="s">
        <v>20</v>
      </c>
      <c r="B2968" s="16" t="s">
        <v>72</v>
      </c>
      <c r="C2968" s="16" t="str">
        <f>VLOOKUP([1]Competence!$B74,[1]Competence!$B$12:$B$100,1,FALSE)</f>
        <v>Real-time/embedded systems development</v>
      </c>
      <c r="D2968" s="13" t="str" cm="1">
        <f t="array" ref="D2968">_xlfn.XLOOKUP(B2968,[1]Baseline!$D$3:$AZ$3,_xlfn.XLOOKUP(C2968,[1]Baseline!$B$4:$B$91,[1]Baseline!$D$4:$AZ$91))</f>
        <v>No Knowledge</v>
      </c>
      <c r="E2968" s="16" t="s">
        <v>264</v>
      </c>
      <c r="F2968" s="16">
        <v>1</v>
      </c>
      <c r="G2968" s="16">
        <v>99</v>
      </c>
      <c r="H2968" s="16">
        <f t="shared" si="46"/>
        <v>98</v>
      </c>
      <c r="I2968" s="13">
        <v>99</v>
      </c>
    </row>
    <row r="2969" spans="1:9">
      <c r="A2969" s="16" t="s">
        <v>20</v>
      </c>
      <c r="B2969" s="16" t="s">
        <v>72</v>
      </c>
      <c r="C2969" s="16" t="str">
        <f>VLOOKUP([1]Competence!$B75,[1]Competence!$B$12:$B$100,1,FALSE)</f>
        <v>Requirements definition and management</v>
      </c>
      <c r="D2969" s="13" t="str" cm="1">
        <f t="array" ref="D2969">_xlfn.XLOOKUP(B2969,[1]Baseline!$D$3:$AZ$3,_xlfn.XLOOKUP(C2969,[1]Baseline!$B$4:$B$91,[1]Baseline!$D$4:$AZ$91))</f>
        <v>No Knowledge</v>
      </c>
      <c r="E2969" s="16" t="s">
        <v>267</v>
      </c>
      <c r="F2969" s="16">
        <v>2</v>
      </c>
      <c r="G2969" s="16">
        <v>99</v>
      </c>
      <c r="H2969" s="16">
        <f t="shared" si="46"/>
        <v>97</v>
      </c>
      <c r="I2969" s="13">
        <v>99</v>
      </c>
    </row>
    <row r="2970" spans="1:9">
      <c r="A2970" s="16" t="s">
        <v>20</v>
      </c>
      <c r="B2970" s="16" t="s">
        <v>72</v>
      </c>
      <c r="C2970" s="16" t="str">
        <f>VLOOKUP([1]Competence!$B76,[1]Competence!$B$12:$B$100,1,FALSE)</f>
        <v>Software configuration</v>
      </c>
      <c r="D2970" s="13" t="str" cm="1">
        <f t="array" ref="D2970">_xlfn.XLOOKUP(B2970,[1]Baseline!$D$3:$AZ$3,_xlfn.XLOOKUP(C2970,[1]Baseline!$B$4:$B$91,[1]Baseline!$D$4:$AZ$91))</f>
        <v>No Knowledge</v>
      </c>
      <c r="E2970" s="16" t="s">
        <v>270</v>
      </c>
      <c r="F2970" s="16">
        <v>1</v>
      </c>
      <c r="G2970" s="16">
        <v>99</v>
      </c>
      <c r="H2970" s="16">
        <f t="shared" si="46"/>
        <v>98</v>
      </c>
      <c r="I2970" s="13">
        <v>99</v>
      </c>
    </row>
    <row r="2971" spans="1:9">
      <c r="A2971" s="16" t="s">
        <v>20</v>
      </c>
      <c r="B2971" s="16" t="s">
        <v>72</v>
      </c>
      <c r="C2971" s="16" t="str">
        <f>VLOOKUP([1]Competence!$B77,[1]Competence!$B$12:$B$100,1,FALSE)</f>
        <v>Software design</v>
      </c>
      <c r="D2971" s="13" t="str" cm="1">
        <f t="array" ref="D2971">_xlfn.XLOOKUP(B2971,[1]Baseline!$D$3:$AZ$3,_xlfn.XLOOKUP(C2971,[1]Baseline!$B$4:$B$91,[1]Baseline!$D$4:$AZ$91))</f>
        <v>No Knowledge</v>
      </c>
      <c r="E2971" s="16" t="s">
        <v>50</v>
      </c>
      <c r="F2971" s="16">
        <v>1</v>
      </c>
      <c r="G2971" s="16">
        <v>99</v>
      </c>
      <c r="H2971" s="16">
        <f t="shared" si="46"/>
        <v>98</v>
      </c>
      <c r="I2971" s="13">
        <v>99</v>
      </c>
    </row>
    <row r="2972" spans="1:9">
      <c r="A2972" s="16" t="s">
        <v>20</v>
      </c>
      <c r="B2972" s="16" t="s">
        <v>72</v>
      </c>
      <c r="C2972" s="16" t="str">
        <f>VLOOKUP([1]Competence!$B78,[1]Competence!$B$12:$B$100,1,FALSE)</f>
        <v>Solution architecture</v>
      </c>
      <c r="D2972" s="13" t="str" cm="1">
        <f t="array" ref="D2972">_xlfn.XLOOKUP(B2972,[1]Baseline!$D$3:$AZ$3,_xlfn.XLOOKUP(C2972,[1]Baseline!$B$4:$B$91,[1]Baseline!$D$4:$AZ$91))</f>
        <v>Working</v>
      </c>
      <c r="E2972" s="16" t="s">
        <v>320</v>
      </c>
      <c r="F2972" s="16">
        <v>0</v>
      </c>
      <c r="G2972" s="16">
        <v>99</v>
      </c>
      <c r="H2972" s="16">
        <f t="shared" si="46"/>
        <v>99</v>
      </c>
      <c r="I2972" s="13">
        <v>99</v>
      </c>
    </row>
    <row r="2973" spans="1:9">
      <c r="A2973" s="16" t="s">
        <v>20</v>
      </c>
      <c r="B2973" s="16" t="s">
        <v>72</v>
      </c>
      <c r="C2973" s="16" t="str">
        <f>VLOOKUP([1]Competence!$B79,[1]Competence!$B$12:$B$100,1,FALSE)</f>
        <v>System software</v>
      </c>
      <c r="D2973" s="13" t="str" cm="1">
        <f t="array" ref="D2973">_xlfn.XLOOKUP(B2973,[1]Baseline!$D$3:$AZ$3,_xlfn.XLOOKUP(C2973,[1]Baseline!$B$4:$B$91,[1]Baseline!$D$4:$AZ$91))</f>
        <v>No Knowledge</v>
      </c>
      <c r="E2973" s="16" t="s">
        <v>278</v>
      </c>
      <c r="F2973" s="16">
        <v>0</v>
      </c>
      <c r="G2973" s="16">
        <v>99</v>
      </c>
      <c r="H2973" s="16">
        <f t="shared" si="46"/>
        <v>99</v>
      </c>
      <c r="I2973" s="13">
        <v>99</v>
      </c>
    </row>
    <row r="2974" spans="1:9">
      <c r="A2974" s="16" t="s">
        <v>20</v>
      </c>
      <c r="B2974" s="16" t="s">
        <v>72</v>
      </c>
      <c r="C2974" s="16" t="str">
        <f>VLOOKUP([1]Competence!$B80,[1]Competence!$B$12:$B$100,1,FALSE)</f>
        <v>Systems and software life cycle engineering</v>
      </c>
      <c r="D2974" s="13" t="str" cm="1">
        <f t="array" ref="D2974">_xlfn.XLOOKUP(B2974,[1]Baseline!$D$3:$AZ$3,_xlfn.XLOOKUP(C2974,[1]Baseline!$B$4:$B$91,[1]Baseline!$D$4:$AZ$91))</f>
        <v>No Knowledge</v>
      </c>
      <c r="E2974" s="16" t="s">
        <v>275</v>
      </c>
      <c r="F2974" s="16">
        <v>0</v>
      </c>
      <c r="G2974" s="16">
        <v>99</v>
      </c>
      <c r="H2974" s="16">
        <f t="shared" si="46"/>
        <v>99</v>
      </c>
      <c r="I2974" s="13">
        <v>99</v>
      </c>
    </row>
    <row r="2975" spans="1:9">
      <c r="A2975" s="16" t="s">
        <v>20</v>
      </c>
      <c r="B2975" s="16" t="s">
        <v>72</v>
      </c>
      <c r="C2975" s="16" t="str">
        <f>VLOOKUP([1]Competence!$B81,[1]Competence!$B$12:$B$100,1,FALSE)</f>
        <v>Systems design</v>
      </c>
      <c r="D2975" s="13" t="str" cm="1">
        <f t="array" ref="D2975">_xlfn.XLOOKUP(B2975,[1]Baseline!$D$3:$AZ$3,_xlfn.XLOOKUP(C2975,[1]Baseline!$B$4:$B$91,[1]Baseline!$D$4:$AZ$91))</f>
        <v>No Knowledge</v>
      </c>
      <c r="E2975" s="16" t="s">
        <v>281</v>
      </c>
      <c r="F2975" s="16">
        <v>2</v>
      </c>
      <c r="G2975" s="16">
        <v>99</v>
      </c>
      <c r="H2975" s="16">
        <f t="shared" si="46"/>
        <v>97</v>
      </c>
      <c r="I2975" s="13">
        <v>99</v>
      </c>
    </row>
    <row r="2976" spans="1:9">
      <c r="A2976" s="16" t="s">
        <v>20</v>
      </c>
      <c r="B2976" s="16" t="s">
        <v>72</v>
      </c>
      <c r="C2976" s="16" t="str">
        <f>VLOOKUP([1]Competence!$B82,[1]Competence!$B$12:$B$100,1,FALSE)</f>
        <v>Systems development management</v>
      </c>
      <c r="D2976" s="13" t="str" cm="1">
        <f t="array" ref="D2976">_xlfn.XLOOKUP(B2976,[1]Baseline!$D$3:$AZ$3,_xlfn.XLOOKUP(C2976,[1]Baseline!$B$4:$B$91,[1]Baseline!$D$4:$AZ$91))</f>
        <v>No Knowledge</v>
      </c>
      <c r="E2976" s="16" t="s">
        <v>284</v>
      </c>
      <c r="F2976" s="16">
        <v>0</v>
      </c>
      <c r="G2976" s="16">
        <v>99</v>
      </c>
      <c r="H2976" s="16">
        <f t="shared" si="46"/>
        <v>99</v>
      </c>
      <c r="I2976" s="13">
        <v>99</v>
      </c>
    </row>
    <row r="2977" spans="1:9">
      <c r="A2977" s="16" t="s">
        <v>20</v>
      </c>
      <c r="B2977" s="16" t="s">
        <v>72</v>
      </c>
      <c r="C2977" s="16" t="str">
        <f>VLOOKUP([1]Competence!$B83,[1]Competence!$B$12:$B$100,1,FALSE)</f>
        <v>Systems installation and removal</v>
      </c>
      <c r="D2977" s="13" t="str" cm="1">
        <f t="array" ref="D2977">_xlfn.XLOOKUP(B2977,[1]Baseline!$D$3:$AZ$3,_xlfn.XLOOKUP(C2977,[1]Baseline!$B$4:$B$91,[1]Baseline!$D$4:$AZ$91))</f>
        <v>Working</v>
      </c>
      <c r="E2977" s="16" t="s">
        <v>287</v>
      </c>
      <c r="F2977" s="16">
        <v>0</v>
      </c>
      <c r="G2977" s="16">
        <v>99</v>
      </c>
      <c r="H2977" s="16">
        <f t="shared" si="46"/>
        <v>99</v>
      </c>
      <c r="I2977" s="13">
        <v>99</v>
      </c>
    </row>
    <row r="2978" spans="1:9">
      <c r="A2978" s="16" t="s">
        <v>20</v>
      </c>
      <c r="B2978" s="16" t="s">
        <v>72</v>
      </c>
      <c r="C2978" s="16" t="str">
        <f>VLOOKUP([1]Competence!$B84,[1]Competence!$B$12:$B$100,1,FALSE)</f>
        <v>Testing</v>
      </c>
      <c r="D2978" s="13" t="str" cm="1">
        <f t="array" ref="D2978">_xlfn.XLOOKUP(B2978,[1]Baseline!$D$3:$AZ$3,_xlfn.XLOOKUP(C2978,[1]Baseline!$B$4:$B$91,[1]Baseline!$D$4:$AZ$91))</f>
        <v>Working</v>
      </c>
      <c r="E2978" s="16" t="s">
        <v>290</v>
      </c>
      <c r="F2978" s="16">
        <v>0</v>
      </c>
      <c r="G2978" s="16">
        <v>99</v>
      </c>
      <c r="H2978" s="16">
        <f t="shared" si="46"/>
        <v>99</v>
      </c>
      <c r="I2978" s="13">
        <v>99</v>
      </c>
    </row>
    <row r="2979" spans="1:9">
      <c r="A2979" s="16" t="s">
        <v>20</v>
      </c>
      <c r="B2979" s="16" t="s">
        <v>72</v>
      </c>
      <c r="C2979" s="16" t="str">
        <f>VLOOKUP([1]Competence!$B85,[1]Competence!$B$12:$B$100,1,FALSE)</f>
        <v>Innovation</v>
      </c>
      <c r="D2979" s="13" t="str" cm="1">
        <f t="array" ref="D2979">_xlfn.XLOOKUP(B2979,[1]Baseline!$D$3:$AZ$3,_xlfn.XLOOKUP(C2979,[1]Baseline!$B$4:$B$91,[1]Baseline!$D$4:$AZ$91))</f>
        <v>Practitioner</v>
      </c>
      <c r="E2979" s="16" t="s">
        <v>51</v>
      </c>
      <c r="F2979" s="16">
        <v>1</v>
      </c>
      <c r="G2979" s="16">
        <v>99</v>
      </c>
      <c r="H2979" s="16">
        <f t="shared" si="46"/>
        <v>98</v>
      </c>
      <c r="I2979" s="13">
        <v>99</v>
      </c>
    </row>
    <row r="2980" spans="1:9">
      <c r="A2980" s="16" t="s">
        <v>20</v>
      </c>
      <c r="B2980" s="16" t="s">
        <v>72</v>
      </c>
      <c r="C2980" s="16" t="str">
        <f>VLOOKUP([1]Competence!$B86,[1]Competence!$B$12:$B$100,1,FALSE)</f>
        <v>Specialist Advice</v>
      </c>
      <c r="D2980" s="13" t="str" cm="1">
        <f t="array" ref="D2980">_xlfn.XLOOKUP(B2980,[1]Baseline!$D$3:$AZ$3,_xlfn.XLOOKUP(C2980,[1]Baseline!$B$4:$B$91,[1]Baseline!$D$4:$AZ$91))</f>
        <v>Practitioner</v>
      </c>
      <c r="E2980" s="16" t="s">
        <v>293</v>
      </c>
      <c r="F2980" s="16">
        <v>0</v>
      </c>
      <c r="G2980" s="16">
        <v>99</v>
      </c>
      <c r="H2980" s="16">
        <f t="shared" si="46"/>
        <v>99</v>
      </c>
      <c r="I2980" s="13">
        <v>99</v>
      </c>
    </row>
    <row r="2981" spans="1:9">
      <c r="A2981" s="16" t="s">
        <v>20</v>
      </c>
      <c r="B2981" s="16" t="s">
        <v>72</v>
      </c>
      <c r="C2981" s="16" t="str">
        <f>VLOOKUP([1]Competence!$B87,[1]Competence!$B$12:$B$100,1,FALSE)</f>
        <v>Emerging technology monitoring</v>
      </c>
      <c r="D2981" s="13" t="str" cm="1">
        <f t="array" ref="D2981">_xlfn.XLOOKUP(B2981,[1]Baseline!$D$3:$AZ$3,_xlfn.XLOOKUP(C2981,[1]Baseline!$B$4:$B$91,[1]Baseline!$D$4:$AZ$91))</f>
        <v>No Knowledge</v>
      </c>
      <c r="E2981" s="16" t="s">
        <v>296</v>
      </c>
      <c r="F2981" s="16">
        <v>0</v>
      </c>
      <c r="G2981" s="16">
        <v>99</v>
      </c>
      <c r="H2981" s="16">
        <f t="shared" si="46"/>
        <v>99</v>
      </c>
      <c r="I2981" s="13">
        <v>99</v>
      </c>
    </row>
    <row r="2982" spans="1:9">
      <c r="A2982" s="16" t="s">
        <v>20</v>
      </c>
      <c r="B2982" s="16" t="s">
        <v>72</v>
      </c>
      <c r="C2982" s="16" t="str">
        <f>VLOOKUP([1]Competence!$B88,[1]Competence!$B$12:$B$100,1,FALSE)</f>
        <v>Systems integration and build</v>
      </c>
      <c r="D2982" s="13" t="str" cm="1">
        <f t="array" ref="D2982">_xlfn.XLOOKUP(B2982,[1]Baseline!$D$3:$AZ$3,_xlfn.XLOOKUP(C2982,[1]Baseline!$B$4:$B$91,[1]Baseline!$D$4:$AZ$91))</f>
        <v>Practitioner</v>
      </c>
      <c r="E2982" s="16" t="s">
        <v>299</v>
      </c>
      <c r="F2982" s="16">
        <v>0</v>
      </c>
      <c r="G2982" s="16">
        <v>99</v>
      </c>
      <c r="H2982" s="16">
        <f t="shared" si="46"/>
        <v>99</v>
      </c>
      <c r="I2982" s="13">
        <v>99</v>
      </c>
    </row>
    <row r="2983" spans="1:9">
      <c r="A2983" s="16" t="s">
        <v>20</v>
      </c>
      <c r="B2983" s="16" t="s">
        <v>72</v>
      </c>
      <c r="C2983" s="16" t="str">
        <f>VLOOKUP([1]Competence!$B89,[1]Competence!$B$12:$B$100,1,FALSE)</f>
        <v>Audio Visual</v>
      </c>
      <c r="D2983" s="13" t="str" cm="1">
        <f t="array" ref="D2983">_xlfn.XLOOKUP(B2983,[1]Baseline!$D$3:$AZ$3,_xlfn.XLOOKUP(C2983,[1]Baseline!$B$4:$B$91,[1]Baseline!$D$4:$AZ$91))</f>
        <v>Awareness</v>
      </c>
      <c r="E2983" s="16" t="s">
        <v>323</v>
      </c>
      <c r="F2983" s="16">
        <v>0</v>
      </c>
      <c r="G2983" s="16">
        <v>99</v>
      </c>
      <c r="H2983" s="16">
        <f t="shared" si="46"/>
        <v>99</v>
      </c>
      <c r="I2983" s="13">
        <v>99</v>
      </c>
    </row>
    <row r="2984" spans="1:9">
      <c r="A2984" s="16" t="s">
        <v>20</v>
      </c>
      <c r="B2984" s="16" t="s">
        <v>72</v>
      </c>
      <c r="C2984" s="16" t="str">
        <f>VLOOKUP([1]Competence!$B90,[1]Competence!$B$12:$B$100,1,FALSE)</f>
        <v>Augmented Reality</v>
      </c>
      <c r="D2984" s="13" t="str" cm="1">
        <f t="array" ref="D2984">_xlfn.XLOOKUP(B2984,[1]Baseline!$D$3:$AZ$3,_xlfn.XLOOKUP(C2984,[1]Baseline!$B$4:$B$91,[1]Baseline!$D$4:$AZ$91))</f>
        <v>No Knowledge</v>
      </c>
      <c r="E2984" s="16" t="s">
        <v>302</v>
      </c>
      <c r="F2984" s="16">
        <v>0</v>
      </c>
      <c r="G2984" s="16">
        <v>99</v>
      </c>
      <c r="H2984" s="16">
        <f t="shared" si="46"/>
        <v>99</v>
      </c>
      <c r="I2984" s="13">
        <v>99</v>
      </c>
    </row>
    <row r="2985" spans="1:9">
      <c r="A2985" s="16" t="s">
        <v>20</v>
      </c>
      <c r="B2985" s="16" t="s">
        <v>72</v>
      </c>
      <c r="C2985" s="16" t="str">
        <f>VLOOKUP([1]Competence!$B91,[1]Competence!$B$12:$B$100,1,FALSE)</f>
        <v>Benefits management</v>
      </c>
      <c r="D2985" s="13" t="str" cm="1">
        <f t="array" ref="D2985">_xlfn.XLOOKUP(B2985,[1]Baseline!$D$3:$AZ$3,_xlfn.XLOOKUP(C2985,[1]Baseline!$B$4:$B$91,[1]Baseline!$D$4:$AZ$91))</f>
        <v>Practitioner</v>
      </c>
      <c r="E2985" s="16" t="s">
        <v>305</v>
      </c>
      <c r="F2985" s="16">
        <v>0</v>
      </c>
      <c r="G2985" s="16">
        <v>99</v>
      </c>
      <c r="H2985" s="16">
        <f t="shared" si="46"/>
        <v>99</v>
      </c>
      <c r="I2985" s="13">
        <v>99</v>
      </c>
    </row>
    <row r="2986" spans="1:9">
      <c r="A2986" s="16" t="s">
        <v>20</v>
      </c>
      <c r="B2986" s="16" t="s">
        <v>72</v>
      </c>
      <c r="C2986" s="16" t="str">
        <f>VLOOKUP([1]Competence!$B92,[1]Competence!$B$12:$B$100,1,FALSE)</f>
        <v>Business administration</v>
      </c>
      <c r="D2986" s="13" t="str" cm="1">
        <f t="array" ref="D2986">_xlfn.XLOOKUP(B2986,[1]Baseline!$D$3:$AZ$3,_xlfn.XLOOKUP(C2986,[1]Baseline!$B$4:$B$91,[1]Baseline!$D$4:$AZ$91))</f>
        <v>Practitioner</v>
      </c>
      <c r="E2986" s="16" t="s">
        <v>308</v>
      </c>
      <c r="F2986" s="16">
        <v>0</v>
      </c>
      <c r="G2986" s="16">
        <v>99</v>
      </c>
      <c r="H2986" s="16">
        <f t="shared" si="46"/>
        <v>99</v>
      </c>
      <c r="I2986" s="13">
        <v>99</v>
      </c>
    </row>
    <row r="2987" spans="1:9">
      <c r="A2987" s="16" t="s">
        <v>20</v>
      </c>
      <c r="B2987" s="16" t="s">
        <v>72</v>
      </c>
      <c r="C2987" s="16" t="str">
        <f>VLOOKUP([1]Competence!$B93,[1]Competence!$B$12:$B$100,1,FALSE)</f>
        <v>Business intelligence</v>
      </c>
      <c r="D2987" s="13" t="str" cm="1">
        <f t="array" ref="D2987">_xlfn.XLOOKUP(B2987,[1]Baseline!$D$3:$AZ$3,_xlfn.XLOOKUP(C2987,[1]Baseline!$B$4:$B$91,[1]Baseline!$D$4:$AZ$91))</f>
        <v>Working</v>
      </c>
      <c r="E2987" s="16" t="s">
        <v>311</v>
      </c>
      <c r="F2987" s="16">
        <v>0</v>
      </c>
      <c r="G2987" s="16">
        <v>99</v>
      </c>
      <c r="H2987" s="16">
        <f t="shared" si="46"/>
        <v>99</v>
      </c>
      <c r="I2987" s="13">
        <v>99</v>
      </c>
    </row>
    <row r="2988" spans="1:9">
      <c r="A2988" s="16" t="s">
        <v>20</v>
      </c>
      <c r="B2988" s="16" t="s">
        <v>72</v>
      </c>
      <c r="C2988" s="16" t="str">
        <f>VLOOKUP([1]Competence!$B94,[1]Competence!$B$12:$B$100,1,FALSE)</f>
        <v>Business modelling</v>
      </c>
      <c r="D2988" s="13" t="str" cm="1">
        <f t="array" ref="D2988">_xlfn.XLOOKUP(B2988,[1]Baseline!$D$3:$AZ$3,_xlfn.XLOOKUP(C2988,[1]Baseline!$B$4:$B$91,[1]Baseline!$D$4:$AZ$91))</f>
        <v>Practitioner</v>
      </c>
      <c r="E2988" s="16" t="s">
        <v>314</v>
      </c>
      <c r="F2988" s="16">
        <v>2</v>
      </c>
      <c r="G2988" s="16">
        <v>99</v>
      </c>
      <c r="H2988" s="16">
        <f t="shared" si="46"/>
        <v>97</v>
      </c>
      <c r="I2988" s="13">
        <v>99</v>
      </c>
    </row>
    <row r="2989" spans="1:9">
      <c r="A2989" s="16" t="s">
        <v>20</v>
      </c>
      <c r="B2989" s="16" t="s">
        <v>72</v>
      </c>
      <c r="C2989" s="16" t="str">
        <f>VLOOKUP([1]Competence!$B95,[1]Competence!$B$12:$B$100,1,FALSE)</f>
        <v>Business process improvement</v>
      </c>
      <c r="D2989" s="13" t="str" cm="1">
        <f t="array" ref="D2989">_xlfn.XLOOKUP(B2989,[1]Baseline!$D$3:$AZ$3,_xlfn.XLOOKUP(C2989,[1]Baseline!$B$4:$B$91,[1]Baseline!$D$4:$AZ$91))</f>
        <v>Practitioner</v>
      </c>
      <c r="E2989" s="16" t="s">
        <v>328</v>
      </c>
      <c r="F2989" s="16">
        <v>2</v>
      </c>
      <c r="G2989" s="16">
        <v>99</v>
      </c>
      <c r="H2989" s="16">
        <f t="shared" si="46"/>
        <v>97</v>
      </c>
      <c r="I2989" s="13">
        <v>99</v>
      </c>
    </row>
    <row r="2990" spans="1:9">
      <c r="A2990" s="16" t="s">
        <v>20</v>
      </c>
      <c r="B2990" s="16" t="s">
        <v>72</v>
      </c>
      <c r="C2990" s="16" t="str">
        <f>VLOOKUP([1]Competence!$B96,[1]Competence!$B$12:$B$100,1,FALSE)</f>
        <v>Business situation analysis</v>
      </c>
      <c r="D2990" s="13" t="str" cm="1">
        <f t="array" ref="D2990">_xlfn.XLOOKUP(B2990,[1]Baseline!$D$3:$AZ$3,_xlfn.XLOOKUP(C2990,[1]Baseline!$B$4:$B$91,[1]Baseline!$D$4:$AZ$91))</f>
        <v>No Knowledge</v>
      </c>
      <c r="E2990" s="16" t="s">
        <v>317</v>
      </c>
      <c r="F2990" s="16">
        <v>2</v>
      </c>
      <c r="G2990" s="16">
        <v>99</v>
      </c>
      <c r="H2990" s="16">
        <f t="shared" si="46"/>
        <v>97</v>
      </c>
      <c r="I2990" s="13">
        <v>99</v>
      </c>
    </row>
    <row r="2991" spans="1:9">
      <c r="A2991" s="16" t="s">
        <v>20</v>
      </c>
      <c r="B2991" s="16" t="s">
        <v>72</v>
      </c>
      <c r="C2991" s="16" t="str">
        <f>VLOOKUP([1]Competence!$B97,[1]Competence!$B$12:$B$100,1,FALSE)</f>
        <v>Programme management</v>
      </c>
      <c r="D2991" s="13" t="str" cm="1">
        <f t="array" ref="D2991">_xlfn.XLOOKUP(B2991,[1]Baseline!$D$3:$AZ$3,_xlfn.XLOOKUP(C2991,[1]Baseline!$B$4:$B$91,[1]Baseline!$D$4:$AZ$91))</f>
        <v>Practitioner</v>
      </c>
      <c r="E2991" s="16" t="s">
        <v>352</v>
      </c>
      <c r="F2991" s="16">
        <v>0</v>
      </c>
      <c r="G2991" s="16">
        <v>99</v>
      </c>
      <c r="H2991" s="16">
        <f t="shared" si="46"/>
        <v>99</v>
      </c>
      <c r="I2991" s="13">
        <v>99</v>
      </c>
    </row>
    <row r="2992" spans="1:9">
      <c r="A2992" s="16" t="s">
        <v>20</v>
      </c>
      <c r="B2992" s="16" t="s">
        <v>72</v>
      </c>
      <c r="C2992" s="16" t="str">
        <f>VLOOKUP([1]Competence!$B98,[1]Competence!$B$12:$B$100,1,FALSE)</f>
        <v>Project management</v>
      </c>
      <c r="D2992" s="13" t="str" cm="1">
        <f t="array" ref="D2992">_xlfn.XLOOKUP(B2992,[1]Baseline!$D$3:$AZ$3,_xlfn.XLOOKUP(C2992,[1]Baseline!$B$4:$B$91,[1]Baseline!$D$4:$AZ$91))</f>
        <v>Practitioner</v>
      </c>
      <c r="E2992" s="16" t="s">
        <v>355</v>
      </c>
      <c r="F2992" s="16">
        <v>0</v>
      </c>
      <c r="G2992" s="16">
        <v>99</v>
      </c>
      <c r="H2992" s="16">
        <f t="shared" si="46"/>
        <v>99</v>
      </c>
      <c r="I2992" s="13">
        <v>99</v>
      </c>
    </row>
    <row r="2993" spans="1:9">
      <c r="A2993" s="16" t="s">
        <v>20</v>
      </c>
      <c r="B2993" s="16" t="s">
        <v>72</v>
      </c>
      <c r="C2993" s="16" t="str">
        <f>VLOOKUP([1]Competence!$B99,[1]Competence!$B$12:$B$100,1,FALSE)</f>
        <v>Quality assurance</v>
      </c>
      <c r="D2993" s="13" t="str" cm="1">
        <f t="array" ref="D2993">_xlfn.XLOOKUP(B2993,[1]Baseline!$D$3:$AZ$3,_xlfn.XLOOKUP(C2993,[1]Baseline!$B$4:$B$91,[1]Baseline!$D$4:$AZ$91))</f>
        <v>Practitioner</v>
      </c>
      <c r="E2993" s="16" t="s">
        <v>358</v>
      </c>
      <c r="F2993" s="16">
        <v>1</v>
      </c>
      <c r="G2993" s="16">
        <v>99</v>
      </c>
      <c r="H2993" s="16">
        <f t="shared" si="46"/>
        <v>98</v>
      </c>
      <c r="I2993" s="13">
        <v>99</v>
      </c>
    </row>
  </sheetData>
  <autoFilter ref="A1:J2993" xr:uid="{F22CA201-9B78-455D-BD5E-D13E2A653D9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D92E-3C66-4B96-9B7F-3560FC65AD16}">
  <dimension ref="A1:CS43"/>
  <sheetViews>
    <sheetView zoomScale="70" zoomScaleNormal="70" workbookViewId="0">
      <pane xSplit="1" topLeftCell="B1" activePane="topRight" state="frozen"/>
      <selection pane="topRight" activeCell="A10" sqref="A10"/>
    </sheetView>
  </sheetViews>
  <sheetFormatPr defaultRowHeight="15"/>
  <cols>
    <col min="1" max="1" width="32.140625" customWidth="1"/>
    <col min="3" max="3" width="12.7109375" customWidth="1"/>
  </cols>
  <sheetData>
    <row r="1" spans="1:97" s="34" customFormat="1" ht="15.75">
      <c r="B1" s="201" t="s">
        <v>376</v>
      </c>
      <c r="C1" s="202"/>
      <c r="D1" s="202"/>
      <c r="E1" s="202"/>
      <c r="F1" s="202"/>
      <c r="G1" s="202"/>
      <c r="H1" s="202"/>
      <c r="I1" s="202"/>
      <c r="J1" s="203"/>
      <c r="K1" s="201" t="s">
        <v>374</v>
      </c>
      <c r="L1" s="202"/>
      <c r="M1" s="202"/>
      <c r="N1" s="202"/>
      <c r="O1" s="203"/>
      <c r="P1" s="204" t="s">
        <v>384</v>
      </c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6"/>
      <c r="BF1" s="201" t="s">
        <v>385</v>
      </c>
      <c r="BG1" s="202"/>
      <c r="BH1" s="202"/>
      <c r="BI1" s="202"/>
      <c r="BJ1" s="202"/>
      <c r="BK1" s="202"/>
      <c r="BL1" s="202"/>
      <c r="BM1" s="203"/>
      <c r="BN1" s="201" t="s">
        <v>378</v>
      </c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3"/>
      <c r="CE1" s="201" t="s">
        <v>377</v>
      </c>
      <c r="CF1" s="202"/>
      <c r="CG1" s="202"/>
      <c r="CH1" s="202"/>
      <c r="CI1" s="202"/>
      <c r="CJ1" s="203"/>
      <c r="CK1" s="201" t="s">
        <v>373</v>
      </c>
      <c r="CL1" s="202"/>
      <c r="CM1" s="202"/>
      <c r="CN1" s="202"/>
      <c r="CO1" s="202"/>
      <c r="CP1" s="202"/>
      <c r="CQ1" s="202"/>
      <c r="CR1" s="202"/>
      <c r="CS1" s="203"/>
    </row>
    <row r="2" spans="1:97" s="6" customFormat="1" ht="153">
      <c r="A2" s="23" t="s">
        <v>386</v>
      </c>
      <c r="B2" s="24" t="s">
        <v>106</v>
      </c>
      <c r="C2" s="24" t="s">
        <v>115</v>
      </c>
      <c r="D2" s="24" t="s">
        <v>112</v>
      </c>
      <c r="E2" s="24" t="s">
        <v>124</v>
      </c>
      <c r="F2" s="24" t="s">
        <v>121</v>
      </c>
      <c r="G2" s="24" t="s">
        <v>127</v>
      </c>
      <c r="H2" s="24" t="s">
        <v>109</v>
      </c>
      <c r="I2" s="24" t="s">
        <v>118</v>
      </c>
      <c r="J2" s="24" t="s">
        <v>130</v>
      </c>
      <c r="K2" s="18" t="s">
        <v>133</v>
      </c>
      <c r="L2" s="18" t="s">
        <v>136</v>
      </c>
      <c r="M2" s="19" t="s">
        <v>139</v>
      </c>
      <c r="N2" s="18" t="s">
        <v>142</v>
      </c>
      <c r="O2" s="18" t="s">
        <v>145</v>
      </c>
      <c r="P2" s="18" t="s">
        <v>148</v>
      </c>
      <c r="Q2" s="18" t="s">
        <v>151</v>
      </c>
      <c r="R2" s="18" t="s">
        <v>154</v>
      </c>
      <c r="S2" s="18" t="s">
        <v>158</v>
      </c>
      <c r="T2" s="18" t="s">
        <v>161</v>
      </c>
      <c r="U2" s="18" t="s">
        <v>164</v>
      </c>
      <c r="V2" s="18" t="s">
        <v>234</v>
      </c>
      <c r="W2" s="18" t="s">
        <v>237</v>
      </c>
      <c r="X2" s="18" t="s">
        <v>240</v>
      </c>
      <c r="Y2" s="18" t="s">
        <v>243</v>
      </c>
      <c r="Z2" s="18" t="s">
        <v>246</v>
      </c>
      <c r="AA2" s="18" t="s">
        <v>249</v>
      </c>
      <c r="AB2" s="18" t="s">
        <v>252</v>
      </c>
      <c r="AC2" s="18" t="s">
        <v>255</v>
      </c>
      <c r="AD2" s="18" t="s">
        <v>258</v>
      </c>
      <c r="AE2" s="18" t="s">
        <v>261</v>
      </c>
      <c r="AF2" s="18" t="s">
        <v>264</v>
      </c>
      <c r="AG2" s="18" t="s">
        <v>51</v>
      </c>
      <c r="AH2" s="18" t="s">
        <v>267</v>
      </c>
      <c r="AI2" s="18" t="s">
        <v>270</v>
      </c>
      <c r="AJ2" s="18" t="s">
        <v>50</v>
      </c>
      <c r="AK2" s="18" t="s">
        <v>275</v>
      </c>
      <c r="AL2" s="18" t="s">
        <v>278</v>
      </c>
      <c r="AM2" s="18" t="s">
        <v>281</v>
      </c>
      <c r="AN2" s="18" t="s">
        <v>284</v>
      </c>
      <c r="AO2" s="18" t="s">
        <v>287</v>
      </c>
      <c r="AP2" s="18" t="s">
        <v>290</v>
      </c>
      <c r="AQ2" s="18" t="s">
        <v>293</v>
      </c>
      <c r="AR2" s="18" t="s">
        <v>296</v>
      </c>
      <c r="AS2" s="18" t="s">
        <v>299</v>
      </c>
      <c r="AT2" s="18" t="s">
        <v>302</v>
      </c>
      <c r="AU2" s="18" t="s">
        <v>305</v>
      </c>
      <c r="AV2" s="18" t="s">
        <v>308</v>
      </c>
      <c r="AW2" s="18" t="s">
        <v>311</v>
      </c>
      <c r="AX2" s="18" t="s">
        <v>314</v>
      </c>
      <c r="AY2" s="18" t="s">
        <v>317</v>
      </c>
      <c r="AZ2" s="18" t="s">
        <v>320</v>
      </c>
      <c r="BA2" s="18" t="s">
        <v>323</v>
      </c>
      <c r="BB2" s="18" t="s">
        <v>326</v>
      </c>
      <c r="BC2" s="18" t="s">
        <v>328</v>
      </c>
      <c r="BD2" s="18" t="s">
        <v>330</v>
      </c>
      <c r="BE2" s="18" t="s">
        <v>332</v>
      </c>
      <c r="BF2" s="18" t="s">
        <v>211</v>
      </c>
      <c r="BG2" s="18" t="s">
        <v>214</v>
      </c>
      <c r="BH2" s="18" t="s">
        <v>217</v>
      </c>
      <c r="BI2" s="18" t="s">
        <v>49</v>
      </c>
      <c r="BJ2" s="18" t="s">
        <v>222</v>
      </c>
      <c r="BK2" s="18" t="s">
        <v>225</v>
      </c>
      <c r="BL2" s="18" t="s">
        <v>228</v>
      </c>
      <c r="BM2" s="18" t="s">
        <v>231</v>
      </c>
      <c r="BN2" s="18" t="s">
        <v>185</v>
      </c>
      <c r="BO2" s="18" t="s">
        <v>188</v>
      </c>
      <c r="BP2" s="18" t="s">
        <v>191</v>
      </c>
      <c r="BQ2" s="18" t="s">
        <v>194</v>
      </c>
      <c r="BR2" s="18" t="s">
        <v>197</v>
      </c>
      <c r="BS2" s="18" t="s">
        <v>200</v>
      </c>
      <c r="BT2" s="18" t="s">
        <v>203</v>
      </c>
      <c r="BU2" s="18" t="s">
        <v>206</v>
      </c>
      <c r="BV2" s="18" t="s">
        <v>208</v>
      </c>
      <c r="BW2" s="18" t="s">
        <v>211</v>
      </c>
      <c r="BX2" s="18" t="s">
        <v>214</v>
      </c>
      <c r="BY2" s="18" t="s">
        <v>217</v>
      </c>
      <c r="BZ2" s="18" t="s">
        <v>49</v>
      </c>
      <c r="CA2" s="18" t="s">
        <v>222</v>
      </c>
      <c r="CB2" s="18" t="s">
        <v>225</v>
      </c>
      <c r="CC2" s="18" t="s">
        <v>228</v>
      </c>
      <c r="CD2" s="18" t="s">
        <v>231</v>
      </c>
      <c r="CE2" s="19" t="s">
        <v>167</v>
      </c>
      <c r="CF2" s="18" t="s">
        <v>170</v>
      </c>
      <c r="CG2" s="19" t="s">
        <v>173</v>
      </c>
      <c r="CH2" s="19" t="s">
        <v>176</v>
      </c>
      <c r="CI2" s="18" t="s">
        <v>179</v>
      </c>
      <c r="CJ2" s="19" t="s">
        <v>182</v>
      </c>
      <c r="CK2" s="18" t="s">
        <v>334</v>
      </c>
      <c r="CL2" s="18" t="s">
        <v>337</v>
      </c>
      <c r="CM2" s="18" t="s">
        <v>340</v>
      </c>
      <c r="CN2" s="18" t="s">
        <v>343</v>
      </c>
      <c r="CO2" s="18" t="s">
        <v>346</v>
      </c>
      <c r="CP2" s="18" t="s">
        <v>349</v>
      </c>
      <c r="CQ2" s="18" t="s">
        <v>352</v>
      </c>
      <c r="CR2" s="18" t="s">
        <v>355</v>
      </c>
      <c r="CS2" s="18" t="s">
        <v>358</v>
      </c>
    </row>
    <row r="3" spans="1:97">
      <c r="A3" s="22"/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</row>
    <row r="4" spans="1:97">
      <c r="A4" t="str">
        <f>VLOOKUP(Staff!$A1,Staff!$A$1:A$73,1,FALSE)</f>
        <v>Steve Arnott</v>
      </c>
      <c r="B4" s="21" cm="1">
        <f t="array" aca="1" ref="B4" ca="1">INDEX(Master!$I$2:'Master'!$I$4384,MATCH($A4&amp;B$2,Master!$A$2:'Master'!$A$4384&amp;Master!$C$2:'Master'!$C$4384,0))</f>
        <v>4</v>
      </c>
      <c r="C4" s="21" cm="1">
        <f t="array" aca="1" ref="C4" ca="1">INDEX(Master!$I$2:'Master'!$I$4384,MATCH($A4&amp;C$2,Master!$A$2:'Master'!$A$4384&amp;Master!$C$2:'Master'!$C$4384,0))</f>
        <v>4</v>
      </c>
      <c r="D4" s="21" cm="1">
        <f t="array" aca="1" ref="D4" ca="1">INDEX(Master!$I$2:'Master'!$I$4384,MATCH($A4&amp;D$2,Master!$A$2:'Master'!$A$4384&amp;Master!$C$2:'Master'!$C$4384,0))</f>
        <v>4</v>
      </c>
      <c r="E4" s="21" cm="1">
        <f t="array" aca="1" ref="E4" ca="1">INDEX(Master!$I$2:'Master'!$I$4384,MATCH($A4&amp;E$2,Master!$A$2:'Master'!$A$4384&amp;Master!$C$2:'Master'!$C$4384,0))</f>
        <v>4</v>
      </c>
      <c r="F4" s="21" cm="1">
        <f t="array" aca="1" ref="F4" ca="1">INDEX(Master!$I$2:'Master'!$I$4384,MATCH($A4&amp;F$2,Master!$A$2:'Master'!$A$4384&amp;Master!$C$2:'Master'!$C$4384,0))</f>
        <v>3</v>
      </c>
      <c r="G4" s="21" cm="1">
        <f t="array" aca="1" ref="G4" ca="1">INDEX(Master!$I$2:'Master'!$I$4384,MATCH($A4&amp;G$2,Master!$A$2:'Master'!$A$4384&amp;Master!$C$2:'Master'!$C$4384,0))</f>
        <v>4</v>
      </c>
      <c r="H4" s="21" cm="1">
        <f t="array" aca="1" ref="H4" ca="1">INDEX(Master!$I$2:'Master'!$I$4384,MATCH($A4&amp;H$2,Master!$A$2:'Master'!$A$4384&amp;Master!$C$2:'Master'!$C$4384,0))</f>
        <v>4</v>
      </c>
      <c r="I4" s="21" cm="1">
        <f t="array" aca="1" ref="I4" ca="1">INDEX(Master!$I$2:'Master'!$I$4384,MATCH($A4&amp;I$2,Master!$A$2:'Master'!$A$4384&amp;Master!$C$2:'Master'!$C$4384,0))</f>
        <v>3</v>
      </c>
      <c r="J4" s="21" cm="1">
        <f t="array" aca="1" ref="J4" ca="1">INDEX(Master!$I$2:'Master'!$I$4384,MATCH($A4&amp;J$2,Master!$A$2:'Master'!$A$4384&amp;Master!$C$2:'Master'!$C$4384,0))</f>
        <v>3</v>
      </c>
      <c r="K4" s="21" cm="1">
        <f t="array" aca="1" ref="K4" ca="1">INDEX(Master!$I$2:'Master'!$I$4384,MATCH($A4&amp;K$2,Master!$A$2:'Master'!$A$4384&amp;Master!$C$2:'Master'!$C$4384,0))</f>
        <v>4</v>
      </c>
      <c r="L4" s="21" cm="1">
        <f t="array" aca="1" ref="L4" ca="1">INDEX(Master!$I$2:'Master'!$I$4384,MATCH($A4&amp;L$2,Master!$A$2:'Master'!$A$4384&amp;Master!$C$2:'Master'!$C$4384,0))</f>
        <v>4</v>
      </c>
      <c r="M4" s="21" cm="1">
        <f t="array" aca="1" ref="M4" ca="1">INDEX(Master!$I$2:'Master'!$I$4384,MATCH($A4&amp;M$2,Master!$A$2:'Master'!$A$4384&amp;Master!$C$2:'Master'!$C$4384,0))</f>
        <v>3</v>
      </c>
      <c r="N4" s="21" cm="1">
        <f t="array" aca="1" ref="N4" ca="1">INDEX(Master!$I$2:'Master'!$I$4384,MATCH($A4&amp;N$2,Master!$A$2:'Master'!$A$4384&amp;Master!$C$2:'Master'!$C$4384,0))</f>
        <v>3</v>
      </c>
      <c r="O4" s="21" cm="1">
        <f t="array" aca="1" ref="O4" ca="1">INDEX(Master!$I$2:'Master'!$I$4384,MATCH($A4&amp;O$2,Master!$A$2:'Master'!$A$4384&amp;Master!$C$2:'Master'!$C$4384,0))</f>
        <v>4</v>
      </c>
      <c r="P4" s="21" cm="1">
        <f t="array" aca="1" ref="P4" ca="1">INDEX(Master!$I$2:'Master'!$I$4384,MATCH($A4&amp;P$2,Master!$A$2:'Master'!$A$4384&amp;Master!$C$2:'Master'!$C$4384,0))</f>
        <v>3</v>
      </c>
      <c r="Q4" s="21" cm="1">
        <f t="array" aca="1" ref="Q4" ca="1">INDEX(Master!$I$2:'Master'!$I$4384,MATCH($A4&amp;Q$2,Master!$A$2:'Master'!$A$4384&amp;Master!$C$2:'Master'!$C$4384,0))</f>
        <v>3</v>
      </c>
      <c r="R4" s="21" cm="1">
        <f t="array" aca="1" ref="R4" ca="1">INDEX(Master!$I$2:'Master'!$I$4384,MATCH($A4&amp;R$2,Master!$A$2:'Master'!$A$4384&amp;Master!$C$2:'Master'!$C$4384,0))</f>
        <v>2</v>
      </c>
      <c r="S4" s="21" cm="1">
        <f t="array" aca="1" ref="S4" ca="1">INDEX(Master!$I$2:'Master'!$I$4384,MATCH($A4&amp;S$2,Master!$A$2:'Master'!$A$4384&amp;Master!$C$2:'Master'!$C$4384,0))</f>
        <v>3</v>
      </c>
      <c r="T4" s="21" cm="1">
        <f t="array" aca="1" ref="T4" ca="1">INDEX(Master!$I$2:'Master'!$I$4384,MATCH($A4&amp;T$2,Master!$A$2:'Master'!$A$4384&amp;Master!$C$2:'Master'!$C$4384,0))</f>
        <v>4</v>
      </c>
      <c r="U4" s="21" cm="1">
        <f t="array" aca="1" ref="U4" ca="1">INDEX(Master!$I$2:'Master'!$I$4384,MATCH($A4&amp;U$2,Master!$A$2:'Master'!$A$4384&amp;Master!$C$2:'Master'!$C$4384,0))</f>
        <v>3</v>
      </c>
      <c r="V4" s="21" cm="1">
        <f t="array" aca="1" ref="V4" ca="1">INDEX(Master!$I$2:'Master'!$I$4384,MATCH($A4&amp;V$2,Master!$A$2:'Master'!$A$4384&amp;Master!$C$2:'Master'!$C$4384,0))</f>
        <v>3</v>
      </c>
      <c r="W4" s="21" cm="1">
        <f t="array" aca="1" ref="W4" ca="1">INDEX(Master!$I$2:'Master'!$I$4384,MATCH($A4&amp;W$2,Master!$A$2:'Master'!$A$4384&amp;Master!$C$2:'Master'!$C$4384,0))</f>
        <v>4</v>
      </c>
      <c r="X4" s="21" cm="1">
        <f t="array" aca="1" ref="X4" ca="1">INDEX(Master!$I$2:'Master'!$I$4384,MATCH($A4&amp;X$2,Master!$A$2:'Master'!$A$4384&amp;Master!$C$2:'Master'!$C$4384,0))</f>
        <v>1</v>
      </c>
      <c r="Y4" s="21" cm="1">
        <f t="array" aca="1" ref="Y4" ca="1">INDEX(Master!$I$2:'Master'!$I$4384,MATCH($A4&amp;Y$2,Master!$A$2:'Master'!$A$4384&amp;Master!$C$2:'Master'!$C$4384,0))</f>
        <v>3</v>
      </c>
      <c r="Z4" s="21" cm="1">
        <f t="array" aca="1" ref="Z4" ca="1">INDEX(Master!$I$2:'Master'!$I$4384,MATCH($A4&amp;Z$2,Master!$A$2:'Master'!$A$4384&amp;Master!$C$2:'Master'!$C$4384,0))</f>
        <v>3</v>
      </c>
      <c r="AA4" s="21" cm="1">
        <f t="array" aca="1" ref="AA4" ca="1">INDEX(Master!$I$2:'Master'!$I$4384,MATCH($A4&amp;AA$2,Master!$A$2:'Master'!$A$4384&amp;Master!$C$2:'Master'!$C$4384,0))</f>
        <v>2</v>
      </c>
      <c r="AB4" s="21" cm="1">
        <f t="array" aca="1" ref="AB4" ca="1">INDEX(Master!$I$2:'Master'!$I$4384,MATCH($A4&amp;AB$2,Master!$A$2:'Master'!$A$4384&amp;Master!$C$2:'Master'!$C$4384,0))</f>
        <v>3</v>
      </c>
      <c r="AC4" s="21" cm="1">
        <f t="array" aca="1" ref="AC4" ca="1">INDEX(Master!$I$2:'Master'!$I$4384,MATCH($A4&amp;AC$2,Master!$A$2:'Master'!$A$4384&amp;Master!$C$2:'Master'!$C$4384,0))</f>
        <v>3</v>
      </c>
      <c r="AD4" s="21" cm="1">
        <f t="array" aca="1" ref="AD4" ca="1">INDEX(Master!$I$2:'Master'!$I$4384,MATCH($A4&amp;AD$2,Master!$A$2:'Master'!$A$4384&amp;Master!$C$2:'Master'!$C$4384,0))</f>
        <v>3</v>
      </c>
      <c r="AE4" s="21" cm="1">
        <f t="array" aca="1" ref="AE4" ca="1">INDEX(Master!$I$2:'Master'!$I$4384,MATCH($A4&amp;AE$2,Master!$A$2:'Master'!$A$4384&amp;Master!$C$2:'Master'!$C$4384,0))</f>
        <v>3</v>
      </c>
      <c r="AF4" s="21" cm="1">
        <f t="array" aca="1" ref="AF4" ca="1">INDEX(Master!$I$2:'Master'!$I$4384,MATCH($A4&amp;AF$2,Master!$A$2:'Master'!$A$4384&amp;Master!$C$2:'Master'!$C$4384,0))</f>
        <v>3</v>
      </c>
      <c r="AG4" s="21" cm="1">
        <f t="array" aca="1" ref="AG4" ca="1">INDEX(Master!$I$2:'Master'!$I$4384,MATCH($A4&amp;AG$2,Master!$A$2:'Master'!$A$4384&amp;Master!$C$2:'Master'!$C$4384,0))</f>
        <v>4</v>
      </c>
      <c r="AH4" s="21" cm="1">
        <f t="array" aca="1" ref="AH4" ca="1">INDEX(Master!$I$2:'Master'!$I$4384,MATCH($A4&amp;AH$2,Master!$A$2:'Master'!$A$4384&amp;Master!$C$2:'Master'!$C$4384,0))</f>
        <v>4</v>
      </c>
      <c r="AI4" s="21" cm="1">
        <f t="array" aca="1" ref="AI4" ca="1">INDEX(Master!$I$2:'Master'!$I$4384,MATCH($A4&amp;AI$2,Master!$A$2:'Master'!$A$4384&amp;Master!$C$2:'Master'!$C$4384,0))</f>
        <v>4</v>
      </c>
      <c r="AJ4" s="21" cm="1">
        <f t="array" aca="1" ref="AJ4" ca="1">INDEX(Master!$I$2:'Master'!$I$4384,MATCH($A4&amp;AJ$2,Master!$A$2:'Master'!$A$4384&amp;Master!$C$2:'Master'!$C$4384,0))</f>
        <v>4</v>
      </c>
      <c r="AK4" s="21" cm="1">
        <f t="array" aca="1" ref="AK4" ca="1">INDEX(Master!$I$2:'Master'!$I$4384,MATCH($A4&amp;AK$2,Master!$A$2:'Master'!$A$4384&amp;Master!$C$2:'Master'!$C$4384,0))</f>
        <v>3</v>
      </c>
      <c r="AL4" s="21" cm="1">
        <f t="array" aca="1" ref="AL4" ca="1">INDEX(Master!$I$2:'Master'!$I$4384,MATCH($A4&amp;AL$2,Master!$A$2:'Master'!$A$4384&amp;Master!$C$2:'Master'!$C$4384,0))</f>
        <v>2</v>
      </c>
      <c r="AM4" s="21" cm="1">
        <f t="array" aca="1" ref="AM4" ca="1">INDEX(Master!$I$2:'Master'!$I$4384,MATCH($A4&amp;AM$2,Master!$A$2:'Master'!$A$4384&amp;Master!$C$2:'Master'!$C$4384,0))</f>
        <v>2</v>
      </c>
      <c r="AN4" s="21" cm="1">
        <f t="array" aca="1" ref="AN4" ca="1">INDEX(Master!$I$2:'Master'!$I$4384,MATCH($A4&amp;AN$2,Master!$A$2:'Master'!$A$4384&amp;Master!$C$2:'Master'!$C$4384,0))</f>
        <v>2</v>
      </c>
      <c r="AO4" s="21" cm="1">
        <f t="array" aca="1" ref="AO4" ca="1">INDEX(Master!$I$2:'Master'!$I$4384,MATCH($A4&amp;AO$2,Master!$A$2:'Master'!$A$4384&amp;Master!$C$2:'Master'!$C$4384,0))</f>
        <v>2</v>
      </c>
      <c r="AP4" s="21" cm="1">
        <f t="array" aca="1" ref="AP4" ca="1">INDEX(Master!$I$2:'Master'!$I$4384,MATCH($A4&amp;AP$2,Master!$A$2:'Master'!$A$4384&amp;Master!$C$2:'Master'!$C$4384,0))</f>
        <v>3</v>
      </c>
      <c r="AQ4" s="21" cm="1">
        <f t="array" aca="1" ref="AQ4" ca="1">INDEX(Master!$I$2:'Master'!$I$4384,MATCH($A4&amp;AQ$2,Master!$A$2:'Master'!$A$4384&amp;Master!$C$2:'Master'!$C$4384,0))</f>
        <v>3</v>
      </c>
      <c r="AR4" s="21" cm="1">
        <f t="array" aca="1" ref="AR4" ca="1">INDEX(Master!$I$2:'Master'!$I$4384,MATCH($A4&amp;AR$2,Master!$A$2:'Master'!$A$4384&amp;Master!$C$2:'Master'!$C$4384,0))</f>
        <v>4</v>
      </c>
      <c r="AS4" s="21" cm="1">
        <f t="array" aca="1" ref="AS4" ca="1">INDEX(Master!$I$2:'Master'!$I$4384,MATCH($A4&amp;AS$2,Master!$A$2:'Master'!$A$4384&amp;Master!$C$2:'Master'!$C$4384,0))</f>
        <v>4</v>
      </c>
      <c r="AT4" s="21" cm="1">
        <f t="array" aca="1" ref="AT4" ca="1">INDEX(Master!$I$2:'Master'!$I$4384,MATCH($A4&amp;AT$2,Master!$A$2:'Master'!$A$4384&amp;Master!$C$2:'Master'!$C$4384,0))</f>
        <v>4</v>
      </c>
      <c r="AU4" s="21" cm="1">
        <f t="array" aca="1" ref="AU4" ca="1">INDEX(Master!$I$2:'Master'!$I$4384,MATCH($A4&amp;AU$2,Master!$A$2:'Master'!$A$4384&amp;Master!$C$2:'Master'!$C$4384,0))</f>
        <v>2</v>
      </c>
      <c r="AV4" s="21" cm="1">
        <f t="array" aca="1" ref="AV4" ca="1">INDEX(Master!$I$2:'Master'!$I$4384,MATCH($A4&amp;AV$2,Master!$A$2:'Master'!$A$4384&amp;Master!$C$2:'Master'!$C$4384,0))</f>
        <v>3</v>
      </c>
      <c r="AW4" s="21" cm="1">
        <f t="array" aca="1" ref="AW4" ca="1">INDEX(Master!$I$2:'Master'!$I$4384,MATCH($A4&amp;AW$2,Master!$A$2:'Master'!$A$4384&amp;Master!$C$2:'Master'!$C$4384,0))</f>
        <v>2</v>
      </c>
      <c r="AX4" s="21" cm="1">
        <f t="array" aca="1" ref="AX4" ca="1">INDEX(Master!$I$2:'Master'!$I$4384,MATCH($A4&amp;AX$2,Master!$A$2:'Master'!$A$4384&amp;Master!$C$2:'Master'!$C$4384,0))</f>
        <v>3</v>
      </c>
      <c r="AY4" s="21" cm="1">
        <f t="array" aca="1" ref="AY4" ca="1">INDEX(Master!$I$2:'Master'!$I$4384,MATCH($A4&amp;AY$2,Master!$A$2:'Master'!$A$4384&amp;Master!$C$2:'Master'!$C$4384,0))</f>
        <v>3</v>
      </c>
      <c r="AZ4" s="21" cm="1">
        <f t="array" aca="1" ref="AZ4" ca="1">INDEX(Master!$I$2:'Master'!$I$4384,MATCH($A4&amp;AZ$2,Master!$A$2:'Master'!$A$4384&amp;Master!$C$2:'Master'!$C$4384,0))</f>
        <v>3</v>
      </c>
      <c r="BA4" s="21" cm="1">
        <f t="array" aca="1" ref="BA4" ca="1">INDEX(Master!$I$2:'Master'!$I$4384,MATCH($A4&amp;BA$2,Master!$A$2:'Master'!$A$4384&amp;Master!$C$2:'Master'!$C$4384,0))</f>
        <v>4</v>
      </c>
      <c r="BB4" s="21" cm="1">
        <f t="array" aca="1" ref="BB4" ca="1">INDEX(Master!$I$2:'Master'!$I$4384,MATCH($A4&amp;BB$2,Master!$A$2:'Master'!$A$4384&amp;Master!$C$2:'Master'!$C$4384,0))</f>
        <v>3</v>
      </c>
      <c r="BC4" s="21" cm="1">
        <f t="array" aca="1" ref="BC4" ca="1">INDEX(Master!$I$2:'Master'!$I$4384,MATCH($A4&amp;BC$2,Master!$A$2:'Master'!$A$4384&amp;Master!$C$2:'Master'!$C$4384,0))</f>
        <v>3</v>
      </c>
      <c r="BD4" s="21" cm="1">
        <f t="array" aca="1" ref="BD4" ca="1">INDEX(Master!$I$2:'Master'!$I$4384,MATCH($A4&amp;BD$2,Master!$A$2:'Master'!$A$4384&amp;Master!$C$2:'Master'!$C$4384,0))</f>
        <v>2</v>
      </c>
      <c r="BE4" s="21" cm="1">
        <f t="array" aca="1" ref="BE4" ca="1">INDEX(Master!$I$2:'Master'!$I$4384,MATCH($A4&amp;BE$2,Master!$A$2:'Master'!$A$4384&amp;Master!$C$2:'Master'!$C$4384,0))</f>
        <v>1</v>
      </c>
      <c r="BF4" s="21" cm="1">
        <f t="array" aca="1" ref="BF4" ca="1">INDEX(Master!$I$2:'Master'!$I$4384,MATCH($A4&amp;BF$2,Master!$A$2:'Master'!$A$4384&amp;Master!$C$2:'Master'!$C$4384,0))</f>
        <v>2</v>
      </c>
      <c r="BG4" s="21" cm="1">
        <f t="array" aca="1" ref="BG4" ca="1">INDEX(Master!$I$2:'Master'!$I$4384,MATCH($A4&amp;BG$2,Master!$A$2:'Master'!$A$4384&amp;Master!$C$2:'Master'!$C$4384,0))</f>
        <v>3</v>
      </c>
      <c r="BH4" s="21" cm="1">
        <f t="array" aca="1" ref="BH4" ca="1">INDEX(Master!$I$2:'Master'!$I$4384,MATCH($A4&amp;BH$2,Master!$A$2:'Master'!$A$4384&amp;Master!$C$2:'Master'!$C$4384,0))</f>
        <v>3</v>
      </c>
      <c r="BI4" s="21" cm="1">
        <f t="array" aca="1" ref="BI4" ca="1">INDEX(Master!$I$2:'Master'!$I$4384,MATCH($A4&amp;BI$2,Master!$A$2:'Master'!$A$4384&amp;Master!$C$2:'Master'!$C$4384,0))</f>
        <v>3</v>
      </c>
      <c r="BJ4" s="21" cm="1">
        <f t="array" aca="1" ref="BJ4" ca="1">INDEX(Master!$I$2:'Master'!$I$4384,MATCH($A4&amp;BJ$2,Master!$A$2:'Master'!$A$4384&amp;Master!$C$2:'Master'!$C$4384,0))</f>
        <v>3</v>
      </c>
      <c r="BK4" s="21" cm="1">
        <f t="array" aca="1" ref="BK4" ca="1">INDEX(Master!$I$2:'Master'!$I$4384,MATCH($A4&amp;BK$2,Master!$A$2:'Master'!$A$4384&amp;Master!$C$2:'Master'!$C$4384,0))</f>
        <v>3</v>
      </c>
      <c r="BL4" s="21" cm="1">
        <f t="array" aca="1" ref="BL4" ca="1">INDEX(Master!$I$2:'Master'!$I$4384,MATCH($A4&amp;BL$2,Master!$A$2:'Master'!$A$4384&amp;Master!$C$2:'Master'!$C$4384,0))</f>
        <v>3</v>
      </c>
      <c r="BM4" s="21" cm="1">
        <f t="array" aca="1" ref="BM4" ca="1">INDEX(Master!$I$2:'Master'!$I$4384,MATCH($A4&amp;BM$2,Master!$A$2:'Master'!$A$4384&amp;Master!$C$2:'Master'!$C$4384,0))</f>
        <v>3</v>
      </c>
      <c r="BN4" s="21" cm="1">
        <f t="array" aca="1" ref="BN4" ca="1">INDEX(Master!$I$2:'Master'!$I$4384,MATCH($A4&amp;BN$2,Master!$A$2:'Master'!$A$4384&amp;Master!$C$2:'Master'!$C$4384,0))</f>
        <v>4</v>
      </c>
      <c r="BO4" s="21" cm="1">
        <f t="array" aca="1" ref="BO4" ca="1">INDEX(Master!$I$2:'Master'!$I$4384,MATCH($A4&amp;BO$2,Master!$A$2:'Master'!$A$4384&amp;Master!$C$2:'Master'!$C$4384,0))</f>
        <v>4</v>
      </c>
      <c r="BP4" s="21" cm="1">
        <f t="array" aca="1" ref="BP4" ca="1">INDEX(Master!$I$2:'Master'!$I$4384,MATCH($A4&amp;BP$2,Master!$A$2:'Master'!$A$4384&amp;Master!$C$2:'Master'!$C$4384,0))</f>
        <v>3</v>
      </c>
      <c r="BQ4" s="21" cm="1">
        <f t="array" aca="1" ref="BQ4" ca="1">INDEX(Master!$I$2:'Master'!$I$4384,MATCH($A4&amp;BQ$2,Master!$A$2:'Master'!$A$4384&amp;Master!$C$2:'Master'!$C$4384,0))</f>
        <v>4</v>
      </c>
      <c r="BR4" s="21" cm="1">
        <f t="array" aca="1" ref="BR4" ca="1">INDEX(Master!$I$2:'Master'!$I$4384,MATCH($A4&amp;BR$2,Master!$A$2:'Master'!$A$4384&amp;Master!$C$2:'Master'!$C$4384,0))</f>
        <v>3</v>
      </c>
      <c r="BS4" s="21" cm="1">
        <f t="array" aca="1" ref="BS4" ca="1">INDEX(Master!$I$2:'Master'!$I$4384,MATCH($A4&amp;BS$2,Master!$A$2:'Master'!$A$4384&amp;Master!$C$2:'Master'!$C$4384,0))</f>
        <v>4</v>
      </c>
      <c r="BT4" s="21" cm="1">
        <f t="array" aca="1" ref="BT4" ca="1">INDEX(Master!$I$2:'Master'!$I$4384,MATCH($A4&amp;BT$2,Master!$A$2:'Master'!$A$4384&amp;Master!$C$2:'Master'!$C$4384,0))</f>
        <v>3</v>
      </c>
      <c r="BU4" s="21" cm="1">
        <f t="array" aca="1" ref="BU4" ca="1">INDEX(Master!$I$2:'Master'!$I$4384,MATCH($A4&amp;BU$2,Master!$A$2:'Master'!$A$4384&amp;Master!$C$2:'Master'!$C$4384,0))</f>
        <v>3</v>
      </c>
      <c r="BV4" s="21" cm="1">
        <f t="array" aca="1" ref="BV4" ca="1">INDEX(Master!$I$2:'Master'!$I$4384,MATCH($A4&amp;BV$2,Master!$A$2:'Master'!$A$4384&amp;Master!$C$2:'Master'!$C$4384,0))</f>
        <v>3</v>
      </c>
      <c r="BW4" s="21" cm="1">
        <f t="array" aca="1" ref="BW4" ca="1">INDEX(Master!$I$2:'Master'!$I$4384,MATCH($A4&amp;BW$2,Master!$A$2:'Master'!$A$4384&amp;Master!$C$2:'Master'!$C$4384,0))</f>
        <v>2</v>
      </c>
      <c r="BX4" s="21" cm="1">
        <f t="array" aca="1" ref="BX4" ca="1">INDEX(Master!$I$2:'Master'!$I$4384,MATCH($A4&amp;BX$2,Master!$A$2:'Master'!$A$4384&amp;Master!$C$2:'Master'!$C$4384,0))</f>
        <v>3</v>
      </c>
      <c r="BY4" s="21" cm="1">
        <f t="array" aca="1" ref="BY4" ca="1">INDEX(Master!$I$2:'Master'!$I$4384,MATCH($A4&amp;BY$2,Master!$A$2:'Master'!$A$4384&amp;Master!$C$2:'Master'!$C$4384,0))</f>
        <v>3</v>
      </c>
      <c r="BZ4" s="21" cm="1">
        <f t="array" aca="1" ref="BZ4" ca="1">INDEX(Master!$I$2:'Master'!$I$4384,MATCH($A4&amp;BZ$2,Master!$A$2:'Master'!$A$4384&amp;Master!$C$2:'Master'!$C$4384,0))</f>
        <v>3</v>
      </c>
      <c r="CA4" s="21" cm="1">
        <f t="array" aca="1" ref="CA4" ca="1">INDEX(Master!$I$2:'Master'!$I$4384,MATCH($A4&amp;CA$2,Master!$A$2:'Master'!$A$4384&amp;Master!$C$2:'Master'!$C$4384,0))</f>
        <v>3</v>
      </c>
      <c r="CB4" s="21" cm="1">
        <f t="array" aca="1" ref="CB4" ca="1">INDEX(Master!$I$2:'Master'!$I$4384,MATCH($A4&amp;CB$2,Master!$A$2:'Master'!$A$4384&amp;Master!$C$2:'Master'!$C$4384,0))</f>
        <v>3</v>
      </c>
      <c r="CC4" s="21" cm="1">
        <f t="array" aca="1" ref="CC4" ca="1">INDEX(Master!$I$2:'Master'!$I$4384,MATCH($A4&amp;CC$2,Master!$A$2:'Master'!$A$4384&amp;Master!$C$2:'Master'!$C$4384,0))</f>
        <v>3</v>
      </c>
      <c r="CD4" s="21" cm="1">
        <f t="array" aca="1" ref="CD4" ca="1">INDEX(Master!$I$2:'Master'!$I$4384,MATCH($A4&amp;CD$2,Master!$A$2:'Master'!$A$4384&amp;Master!$C$2:'Master'!$C$4384,0))</f>
        <v>3</v>
      </c>
      <c r="CE4" s="21" cm="1">
        <f t="array" aca="1" ref="CE4" ca="1">INDEX(Master!$I$2:'Master'!$I$4384,MATCH($A4&amp;CE$2,Master!$A$2:'Master'!$A$4384&amp;Master!$C$2:'Master'!$C$4384,0))</f>
        <v>1</v>
      </c>
      <c r="CF4" s="21" cm="1">
        <f t="array" aca="1" ref="CF4" ca="1">INDEX(Master!$I$2:'Master'!$I$4384,MATCH($A4&amp;CF$2,Master!$A$2:'Master'!$A$4384&amp;Master!$C$2:'Master'!$C$4384,0))</f>
        <v>2</v>
      </c>
      <c r="CG4" s="21" cm="1">
        <f t="array" aca="1" ref="CG4" ca="1">INDEX(Master!$I$2:'Master'!$I$4384,MATCH($A4&amp;CG$2,Master!$A$2:'Master'!$A$4384&amp;Master!$C$2:'Master'!$C$4384,0))</f>
        <v>3</v>
      </c>
      <c r="CH4" s="21" cm="1">
        <f t="array" aca="1" ref="CH4" ca="1">INDEX(Master!$I$2:'Master'!$I$4384,MATCH($A4&amp;CH$2,Master!$A$2:'Master'!$A$4384&amp;Master!$C$2:'Master'!$C$4384,0))</f>
        <v>4</v>
      </c>
      <c r="CI4" s="21" cm="1">
        <f t="array" aca="1" ref="CI4" ca="1">INDEX(Master!$I$2:'Master'!$I$4384,MATCH($A4&amp;CI$2,Master!$A$2:'Master'!$A$4384&amp;Master!$C$2:'Master'!$C$4384,0))</f>
        <v>4</v>
      </c>
      <c r="CJ4" s="21" cm="1">
        <f t="array" aca="1" ref="CJ4" ca="1">INDEX(Master!$I$2:'Master'!$I$4384,MATCH($A4&amp;CJ$2,Master!$A$2:'Master'!$A$4384&amp;Master!$C$2:'Master'!$C$4384,0))</f>
        <v>2</v>
      </c>
      <c r="CK4" s="21" cm="1">
        <f t="array" aca="1" ref="CK4" ca="1">INDEX(Master!$I$2:'Master'!$I$4384,MATCH($A4&amp;CK$2,Master!$A$2:'Master'!$A$4384&amp;Master!$C$2:'Master'!$C$4384,0))</f>
        <v>2</v>
      </c>
      <c r="CL4" s="21" cm="1">
        <f t="array" aca="1" ref="CL4" ca="1">INDEX(Master!$I$2:'Master'!$I$4384,MATCH($A4&amp;CL$2,Master!$A$2:'Master'!$A$4384&amp;Master!$C$2:'Master'!$C$4384,0))</f>
        <v>3</v>
      </c>
      <c r="CM4" s="21" cm="1">
        <f t="array" aca="1" ref="CM4" ca="1">INDEX(Master!$I$2:'Master'!$I$4384,MATCH($A4&amp;CM$2,Master!$A$2:'Master'!$A$4384&amp;Master!$C$2:'Master'!$C$4384,0))</f>
        <v>4</v>
      </c>
      <c r="CN4" s="21" cm="1">
        <f t="array" aca="1" ref="CN4" ca="1">INDEX(Master!$I$2:'Master'!$I$4384,MATCH($A4&amp;CN$2,Master!$A$2:'Master'!$A$4384&amp;Master!$C$2:'Master'!$C$4384,0))</f>
        <v>1</v>
      </c>
      <c r="CO4" s="21" cm="1">
        <f t="array" aca="1" ref="CO4" ca="1">INDEX(Master!$I$2:'Master'!$I$4384,MATCH($A4&amp;CO$2,Master!$A$2:'Master'!$A$4384&amp;Master!$C$2:'Master'!$C$4384,0))</f>
        <v>3</v>
      </c>
      <c r="CP4" s="21" cm="1">
        <f t="array" aca="1" ref="CP4" ca="1">INDEX(Master!$I$2:'Master'!$I$4384,MATCH($A4&amp;CP$2,Master!$A$2:'Master'!$A$4384&amp;Master!$C$2:'Master'!$C$4384,0))</f>
        <v>2</v>
      </c>
      <c r="CQ4" s="21" cm="1">
        <f t="array" aca="1" ref="CQ4" ca="1">INDEX(Master!$I$2:'Master'!$I$4384,MATCH($A4&amp;CQ$2,Master!$A$2:'Master'!$A$4384&amp;Master!$C$2:'Master'!$C$4384,0))</f>
        <v>2</v>
      </c>
      <c r="CR4" s="21" cm="1">
        <f t="array" aca="1" ref="CR4" ca="1">INDEX(Master!$I$2:'Master'!$I$4384,MATCH($A4&amp;CR$2,Master!$A$2:'Master'!$A$4384&amp;Master!$C$2:'Master'!$C$4384,0))</f>
        <v>4</v>
      </c>
      <c r="CS4" s="21" cm="1">
        <f t="array" aca="1" ref="CS4" ca="1">INDEX(Master!$I$2:'Master'!$I$4384,MATCH($A4&amp;CS$2,Master!$A$2:'Master'!$A$4384&amp;Master!$C$2:'Master'!$C$4384,0))</f>
        <v>3</v>
      </c>
    </row>
    <row r="5" spans="1:97">
      <c r="A5" t="str">
        <f>VLOOKUP(Staff!$A2,Staff!$A$1:A$73,1,FALSE)</f>
        <v>Humphrey Goodman</v>
      </c>
      <c r="B5" s="21" cm="1">
        <f t="array" aca="1" ref="B5" ca="1">INDEX(Master!$I$2:'Master'!$I$4384,MATCH($A5&amp;B$2,Master!$A$2:'Master'!$A$4384&amp;Master!$C$2:'Master'!$C$4384,0))</f>
        <v>3</v>
      </c>
      <c r="C5" s="21" cm="1">
        <f t="array" aca="1" ref="C5" ca="1">INDEX(Master!$I$2:'Master'!$I$4384,MATCH($A5&amp;C$2,Master!$A$2:'Master'!$A$4384&amp;Master!$C$2:'Master'!$C$4384,0))</f>
        <v>4</v>
      </c>
      <c r="D5" s="21" cm="1">
        <f t="array" aca="1" ref="D5" ca="1">INDEX(Master!$I$2:'Master'!$I$4384,MATCH($A5&amp;D$2,Master!$A$2:'Master'!$A$4384&amp;Master!$C$2:'Master'!$C$4384,0))</f>
        <v>4</v>
      </c>
      <c r="E5" s="21" cm="1">
        <f t="array" aca="1" ref="E5" ca="1">INDEX(Master!$I$2:'Master'!$I$4384,MATCH($A5&amp;E$2,Master!$A$2:'Master'!$A$4384&amp;Master!$C$2:'Master'!$C$4384,0))</f>
        <v>4</v>
      </c>
      <c r="F5" s="21" cm="1">
        <f t="array" aca="1" ref="F5" ca="1">INDEX(Master!$I$2:'Master'!$I$4384,MATCH($A5&amp;F$2,Master!$A$2:'Master'!$A$4384&amp;Master!$C$2:'Master'!$C$4384,0))</f>
        <v>4</v>
      </c>
      <c r="G5" s="21" cm="1">
        <f t="array" aca="1" ref="G5" ca="1">INDEX(Master!$I$2:'Master'!$I$4384,MATCH($A5&amp;G$2,Master!$A$2:'Master'!$A$4384&amp;Master!$C$2:'Master'!$C$4384,0))</f>
        <v>4</v>
      </c>
      <c r="H5" s="21" cm="1">
        <f t="array" aca="1" ref="H5" ca="1">INDEX(Master!$I$2:'Master'!$I$4384,MATCH($A5&amp;H$2,Master!$A$2:'Master'!$A$4384&amp;Master!$C$2:'Master'!$C$4384,0))</f>
        <v>3</v>
      </c>
      <c r="I5" s="21" cm="1">
        <f t="array" aca="1" ref="I5" ca="1">INDEX(Master!$I$2:'Master'!$I$4384,MATCH($A5&amp;I$2,Master!$A$2:'Master'!$A$4384&amp;Master!$C$2:'Master'!$C$4384,0))</f>
        <v>3</v>
      </c>
      <c r="J5" s="21" cm="1">
        <f t="array" aca="1" ref="J5" ca="1">INDEX(Master!$I$2:'Master'!$I$4384,MATCH($A5&amp;J$2,Master!$A$2:'Master'!$A$4384&amp;Master!$C$2:'Master'!$C$4384,0))</f>
        <v>4</v>
      </c>
      <c r="K5" s="21" cm="1">
        <f t="array" aca="1" ref="K5" ca="1">INDEX(Master!$I$2:'Master'!$I$4384,MATCH($A5&amp;K$2,Master!$A$2:'Master'!$A$4384&amp;Master!$C$2:'Master'!$C$4384,0))</f>
        <v>4</v>
      </c>
      <c r="L5" s="21" cm="1">
        <f t="array" aca="1" ref="L5" ca="1">INDEX(Master!$I$2:'Master'!$I$4384,MATCH($A5&amp;L$2,Master!$A$2:'Master'!$A$4384&amp;Master!$C$2:'Master'!$C$4384,0))</f>
        <v>4</v>
      </c>
      <c r="M5" s="21" cm="1">
        <f t="array" aca="1" ref="M5" ca="1">INDEX(Master!$I$2:'Master'!$I$4384,MATCH($A5&amp;M$2,Master!$A$2:'Master'!$A$4384&amp;Master!$C$2:'Master'!$C$4384,0))</f>
        <v>4</v>
      </c>
      <c r="N5" s="21" cm="1">
        <f t="array" aca="1" ref="N5" ca="1">INDEX(Master!$I$2:'Master'!$I$4384,MATCH($A5&amp;N$2,Master!$A$2:'Master'!$A$4384&amp;Master!$C$2:'Master'!$C$4384,0))</f>
        <v>4</v>
      </c>
      <c r="O5" s="21" cm="1">
        <f t="array" aca="1" ref="O5" ca="1">INDEX(Master!$I$2:'Master'!$I$4384,MATCH($A5&amp;O$2,Master!$A$2:'Master'!$A$4384&amp;Master!$C$2:'Master'!$C$4384,0))</f>
        <v>4</v>
      </c>
      <c r="P5" s="21" cm="1">
        <f t="array" aca="1" ref="P5" ca="1">INDEX(Master!$I$2:'Master'!$I$4384,MATCH($A5&amp;P$2,Master!$A$2:'Master'!$A$4384&amp;Master!$C$2:'Master'!$C$4384,0))</f>
        <v>4</v>
      </c>
      <c r="Q5" s="21" cm="1">
        <f t="array" aca="1" ref="Q5" ca="1">INDEX(Master!$I$2:'Master'!$I$4384,MATCH($A5&amp;Q$2,Master!$A$2:'Master'!$A$4384&amp;Master!$C$2:'Master'!$C$4384,0))</f>
        <v>4</v>
      </c>
      <c r="R5" s="21" cm="1">
        <f t="array" aca="1" ref="R5" ca="1">INDEX(Master!$I$2:'Master'!$I$4384,MATCH($A5&amp;R$2,Master!$A$2:'Master'!$A$4384&amp;Master!$C$2:'Master'!$C$4384,0))</f>
        <v>4</v>
      </c>
      <c r="S5" s="21" cm="1">
        <f t="array" aca="1" ref="S5" ca="1">INDEX(Master!$I$2:'Master'!$I$4384,MATCH($A5&amp;S$2,Master!$A$2:'Master'!$A$4384&amp;Master!$C$2:'Master'!$C$4384,0))</f>
        <v>4</v>
      </c>
      <c r="T5" s="21" cm="1">
        <f t="array" aca="1" ref="T5" ca="1">INDEX(Master!$I$2:'Master'!$I$4384,MATCH($A5&amp;T$2,Master!$A$2:'Master'!$A$4384&amp;Master!$C$2:'Master'!$C$4384,0))</f>
        <v>4</v>
      </c>
      <c r="U5" s="21" cm="1">
        <f t="array" aca="1" ref="U5" ca="1">INDEX(Master!$I$2:'Master'!$I$4384,MATCH($A5&amp;U$2,Master!$A$2:'Master'!$A$4384&amp;Master!$C$2:'Master'!$C$4384,0))</f>
        <v>3</v>
      </c>
      <c r="V5" s="21" cm="1">
        <f t="array" aca="1" ref="V5" ca="1">INDEX(Master!$I$2:'Master'!$I$4384,MATCH($A5&amp;V$2,Master!$A$2:'Master'!$A$4384&amp;Master!$C$2:'Master'!$C$4384,0))</f>
        <v>3</v>
      </c>
      <c r="W5" s="21" cm="1">
        <f t="array" aca="1" ref="W5" ca="1">INDEX(Master!$I$2:'Master'!$I$4384,MATCH($A5&amp;W$2,Master!$A$2:'Master'!$A$4384&amp;Master!$C$2:'Master'!$C$4384,0))</f>
        <v>4</v>
      </c>
      <c r="X5" s="21" cm="1">
        <f t="array" aca="1" ref="X5" ca="1">INDEX(Master!$I$2:'Master'!$I$4384,MATCH($A5&amp;X$2,Master!$A$2:'Master'!$A$4384&amp;Master!$C$2:'Master'!$C$4384,0))</f>
        <v>3</v>
      </c>
      <c r="Y5" s="21" cm="1">
        <f t="array" aca="1" ref="Y5" ca="1">INDEX(Master!$I$2:'Master'!$I$4384,MATCH($A5&amp;Y$2,Master!$A$2:'Master'!$A$4384&amp;Master!$C$2:'Master'!$C$4384,0))</f>
        <v>3</v>
      </c>
      <c r="Z5" s="21" cm="1">
        <f t="array" aca="1" ref="Z5" ca="1">INDEX(Master!$I$2:'Master'!$I$4384,MATCH($A5&amp;Z$2,Master!$A$2:'Master'!$A$4384&amp;Master!$C$2:'Master'!$C$4384,0))</f>
        <v>2</v>
      </c>
      <c r="AA5" s="21" cm="1">
        <f t="array" aca="1" ref="AA5" ca="1">INDEX(Master!$I$2:'Master'!$I$4384,MATCH($A5&amp;AA$2,Master!$A$2:'Master'!$A$4384&amp;Master!$C$2:'Master'!$C$4384,0))</f>
        <v>1</v>
      </c>
      <c r="AB5" s="21" cm="1">
        <f t="array" aca="1" ref="AB5" ca="1">INDEX(Master!$I$2:'Master'!$I$4384,MATCH($A5&amp;AB$2,Master!$A$2:'Master'!$A$4384&amp;Master!$C$2:'Master'!$C$4384,0))</f>
        <v>2</v>
      </c>
      <c r="AC5" s="21" cm="1">
        <f t="array" aca="1" ref="AC5" ca="1">INDEX(Master!$I$2:'Master'!$I$4384,MATCH($A5&amp;AC$2,Master!$A$2:'Master'!$A$4384&amp;Master!$C$2:'Master'!$C$4384,0))</f>
        <v>2</v>
      </c>
      <c r="AD5" s="21" cm="1">
        <f t="array" aca="1" ref="AD5" ca="1">INDEX(Master!$I$2:'Master'!$I$4384,MATCH($A5&amp;AD$2,Master!$A$2:'Master'!$A$4384&amp;Master!$C$2:'Master'!$C$4384,0))</f>
        <v>1</v>
      </c>
      <c r="AE5" s="21" cm="1">
        <f t="array" aca="1" ref="AE5" ca="1">INDEX(Master!$I$2:'Master'!$I$4384,MATCH($A5&amp;AE$2,Master!$A$2:'Master'!$A$4384&amp;Master!$C$2:'Master'!$C$4384,0))</f>
        <v>3</v>
      </c>
      <c r="AF5" s="21" cm="1">
        <f t="array" aca="1" ref="AF5" ca="1">INDEX(Master!$I$2:'Master'!$I$4384,MATCH($A5&amp;AF$2,Master!$A$2:'Master'!$A$4384&amp;Master!$C$2:'Master'!$C$4384,0))</f>
        <v>1</v>
      </c>
      <c r="AG5" s="21" cm="1">
        <f t="array" aca="1" ref="AG5" ca="1">INDEX(Master!$I$2:'Master'!$I$4384,MATCH($A5&amp;AG$2,Master!$A$2:'Master'!$A$4384&amp;Master!$C$2:'Master'!$C$4384,0))</f>
        <v>0</v>
      </c>
      <c r="AH5" s="21" cm="1">
        <f t="array" aca="1" ref="AH5" ca="1">INDEX(Master!$I$2:'Master'!$I$4384,MATCH($A5&amp;AH$2,Master!$A$2:'Master'!$A$4384&amp;Master!$C$2:'Master'!$C$4384,0))</f>
        <v>1</v>
      </c>
      <c r="AI5" s="21" cm="1">
        <f t="array" aca="1" ref="AI5" ca="1">INDEX(Master!$I$2:'Master'!$I$4384,MATCH($A5&amp;AI$2,Master!$A$2:'Master'!$A$4384&amp;Master!$C$2:'Master'!$C$4384,0))</f>
        <v>2</v>
      </c>
      <c r="AJ5" s="21" cm="1">
        <f t="array" aca="1" ref="AJ5" ca="1">INDEX(Master!$I$2:'Master'!$I$4384,MATCH($A5&amp;AJ$2,Master!$A$2:'Master'!$A$4384&amp;Master!$C$2:'Master'!$C$4384,0))</f>
        <v>4</v>
      </c>
      <c r="AK5" s="21" cm="1">
        <f t="array" aca="1" ref="AK5" ca="1">INDEX(Master!$I$2:'Master'!$I$4384,MATCH($A5&amp;AK$2,Master!$A$2:'Master'!$A$4384&amp;Master!$C$2:'Master'!$C$4384,0))</f>
        <v>2</v>
      </c>
      <c r="AL5" s="21" cm="1">
        <f t="array" aca="1" ref="AL5" ca="1">INDEX(Master!$I$2:'Master'!$I$4384,MATCH($A5&amp;AL$2,Master!$A$2:'Master'!$A$4384&amp;Master!$C$2:'Master'!$C$4384,0))</f>
        <v>3</v>
      </c>
      <c r="AM5" s="21" cm="1">
        <f t="array" aca="1" ref="AM5" ca="1">INDEX(Master!$I$2:'Master'!$I$4384,MATCH($A5&amp;AM$2,Master!$A$2:'Master'!$A$4384&amp;Master!$C$2:'Master'!$C$4384,0))</f>
        <v>3</v>
      </c>
      <c r="AN5" s="21" cm="1">
        <f t="array" aca="1" ref="AN5" ca="1">INDEX(Master!$I$2:'Master'!$I$4384,MATCH($A5&amp;AN$2,Master!$A$2:'Master'!$A$4384&amp;Master!$C$2:'Master'!$C$4384,0))</f>
        <v>0</v>
      </c>
      <c r="AO5" s="21" cm="1">
        <f t="array" aca="1" ref="AO5" ca="1">INDEX(Master!$I$2:'Master'!$I$4384,MATCH($A5&amp;AO$2,Master!$A$2:'Master'!$A$4384&amp;Master!$C$2:'Master'!$C$4384,0))</f>
        <v>0</v>
      </c>
      <c r="AP5" s="21" cm="1">
        <f t="array" aca="1" ref="AP5" ca="1">INDEX(Master!$I$2:'Master'!$I$4384,MATCH($A5&amp;AP$2,Master!$A$2:'Master'!$A$4384&amp;Master!$C$2:'Master'!$C$4384,0))</f>
        <v>0</v>
      </c>
      <c r="AQ5" s="21" cm="1">
        <f t="array" aca="1" ref="AQ5" ca="1">INDEX(Master!$I$2:'Master'!$I$4384,MATCH($A5&amp;AQ$2,Master!$A$2:'Master'!$A$4384&amp;Master!$C$2:'Master'!$C$4384,0))</f>
        <v>0</v>
      </c>
      <c r="AR5" s="21" cm="1">
        <f t="array" aca="1" ref="AR5" ca="1">INDEX(Master!$I$2:'Master'!$I$4384,MATCH($A5&amp;AR$2,Master!$A$2:'Master'!$A$4384&amp;Master!$C$2:'Master'!$C$4384,0))</f>
        <v>0</v>
      </c>
      <c r="AS5" s="21" cm="1">
        <f t="array" aca="1" ref="AS5" ca="1">INDEX(Master!$I$2:'Master'!$I$4384,MATCH($A5&amp;AS$2,Master!$A$2:'Master'!$A$4384&amp;Master!$C$2:'Master'!$C$4384,0))</f>
        <v>0</v>
      </c>
      <c r="AT5" s="21" cm="1">
        <f t="array" aca="1" ref="AT5" ca="1">INDEX(Master!$I$2:'Master'!$I$4384,MATCH($A5&amp;AT$2,Master!$A$2:'Master'!$A$4384&amp;Master!$C$2:'Master'!$C$4384,0))</f>
        <v>2</v>
      </c>
      <c r="AU5" s="21" cm="1">
        <f t="array" aca="1" ref="AU5" ca="1">INDEX(Master!$I$2:'Master'!$I$4384,MATCH($A5&amp;AU$2,Master!$A$2:'Master'!$A$4384&amp;Master!$C$2:'Master'!$C$4384,0))</f>
        <v>1</v>
      </c>
      <c r="AV5" s="21" cm="1">
        <f t="array" aca="1" ref="AV5" ca="1">INDEX(Master!$I$2:'Master'!$I$4384,MATCH($A5&amp;AV$2,Master!$A$2:'Master'!$A$4384&amp;Master!$C$2:'Master'!$C$4384,0))</f>
        <v>2</v>
      </c>
      <c r="AW5" s="21" cm="1">
        <f t="array" aca="1" ref="AW5" ca="1">INDEX(Master!$I$2:'Master'!$I$4384,MATCH($A5&amp;AW$2,Master!$A$2:'Master'!$A$4384&amp;Master!$C$2:'Master'!$C$4384,0))</f>
        <v>1</v>
      </c>
      <c r="AX5" s="21" cm="1">
        <f t="array" aca="1" ref="AX5" ca="1">INDEX(Master!$I$2:'Master'!$I$4384,MATCH($A5&amp;AX$2,Master!$A$2:'Master'!$A$4384&amp;Master!$C$2:'Master'!$C$4384,0))</f>
        <v>4</v>
      </c>
      <c r="AY5" s="21" cm="1">
        <f t="array" aca="1" ref="AY5" ca="1">INDEX(Master!$I$2:'Master'!$I$4384,MATCH($A5&amp;AY$2,Master!$A$2:'Master'!$A$4384&amp;Master!$C$2:'Master'!$C$4384,0))</f>
        <v>3</v>
      </c>
      <c r="AZ5" s="21" cm="1">
        <f t="array" aca="1" ref="AZ5" ca="1">INDEX(Master!$I$2:'Master'!$I$4384,MATCH($A5&amp;AZ$2,Master!$A$2:'Master'!$A$4384&amp;Master!$C$2:'Master'!$C$4384,0))</f>
        <v>3</v>
      </c>
      <c r="BA5" s="21" cm="1">
        <f t="array" aca="1" ref="BA5" ca="1">INDEX(Master!$I$2:'Master'!$I$4384,MATCH($A5&amp;BA$2,Master!$A$2:'Master'!$A$4384&amp;Master!$C$2:'Master'!$C$4384,0))</f>
        <v>2</v>
      </c>
      <c r="BB5" s="21" cm="1">
        <f t="array" aca="1" ref="BB5" ca="1">INDEX(Master!$I$2:'Master'!$I$4384,MATCH($A5&amp;BB$2,Master!$A$2:'Master'!$A$4384&amp;Master!$C$2:'Master'!$C$4384,0))</f>
        <v>3</v>
      </c>
      <c r="BC5" s="21" cm="1">
        <f t="array" aca="1" ref="BC5" ca="1">INDEX(Master!$I$2:'Master'!$I$4384,MATCH($A5&amp;BC$2,Master!$A$2:'Master'!$A$4384&amp;Master!$C$2:'Master'!$C$4384,0))</f>
        <v>2</v>
      </c>
      <c r="BD5" s="21" cm="1">
        <f t="array" aca="1" ref="BD5" ca="1">INDEX(Master!$I$2:'Master'!$I$4384,MATCH($A5&amp;BD$2,Master!$A$2:'Master'!$A$4384&amp;Master!$C$2:'Master'!$C$4384,0))</f>
        <v>4</v>
      </c>
      <c r="BE5" s="21" cm="1">
        <f t="array" aca="1" ref="BE5" ca="1">INDEX(Master!$I$2:'Master'!$I$4384,MATCH($A5&amp;BE$2,Master!$A$2:'Master'!$A$4384&amp;Master!$C$2:'Master'!$C$4384,0))</f>
        <v>2</v>
      </c>
      <c r="BF5" s="21" cm="1">
        <f t="array" aca="1" ref="BF5" ca="1">INDEX(Master!$I$2:'Master'!$I$4384,MATCH($A5&amp;BF$2,Master!$A$2:'Master'!$A$4384&amp;Master!$C$2:'Master'!$C$4384,0))</f>
        <v>4</v>
      </c>
      <c r="BG5" s="21" cm="1">
        <f t="array" aca="1" ref="BG5" ca="1">INDEX(Master!$I$2:'Master'!$I$4384,MATCH($A5&amp;BG$2,Master!$A$2:'Master'!$A$4384&amp;Master!$C$2:'Master'!$C$4384,0))</f>
        <v>3</v>
      </c>
      <c r="BH5" s="21" cm="1">
        <f t="array" aca="1" ref="BH5" ca="1">INDEX(Master!$I$2:'Master'!$I$4384,MATCH($A5&amp;BH$2,Master!$A$2:'Master'!$A$4384&amp;Master!$C$2:'Master'!$C$4384,0))</f>
        <v>4</v>
      </c>
      <c r="BI5" s="21" cm="1">
        <f t="array" aca="1" ref="BI5" ca="1">INDEX(Master!$I$2:'Master'!$I$4384,MATCH($A5&amp;BI$2,Master!$A$2:'Master'!$A$4384&amp;Master!$C$2:'Master'!$C$4384,0))</f>
        <v>3</v>
      </c>
      <c r="BJ5" s="21" cm="1">
        <f t="array" aca="1" ref="BJ5" ca="1">INDEX(Master!$I$2:'Master'!$I$4384,MATCH($A5&amp;BJ$2,Master!$A$2:'Master'!$A$4384&amp;Master!$C$2:'Master'!$C$4384,0))</f>
        <v>3</v>
      </c>
      <c r="BK5" s="21" cm="1">
        <f t="array" aca="1" ref="BK5" ca="1">INDEX(Master!$I$2:'Master'!$I$4384,MATCH($A5&amp;BK$2,Master!$A$2:'Master'!$A$4384&amp;Master!$C$2:'Master'!$C$4384,0))</f>
        <v>2</v>
      </c>
      <c r="BL5" s="21" cm="1">
        <f t="array" aca="1" ref="BL5" ca="1">INDEX(Master!$I$2:'Master'!$I$4384,MATCH($A5&amp;BL$2,Master!$A$2:'Master'!$A$4384&amp;Master!$C$2:'Master'!$C$4384,0))</f>
        <v>2</v>
      </c>
      <c r="BM5" s="21" cm="1">
        <f t="array" aca="1" ref="BM5" ca="1">INDEX(Master!$I$2:'Master'!$I$4384,MATCH($A5&amp;BM$2,Master!$A$2:'Master'!$A$4384&amp;Master!$C$2:'Master'!$C$4384,0))</f>
        <v>4</v>
      </c>
      <c r="BN5" s="21" cm="1">
        <f t="array" aca="1" ref="BN5" ca="1">INDEX(Master!$I$2:'Master'!$I$4384,MATCH($A5&amp;BN$2,Master!$A$2:'Master'!$A$4384&amp;Master!$C$2:'Master'!$C$4384,0))</f>
        <v>4</v>
      </c>
      <c r="BO5" s="21" cm="1">
        <f t="array" aca="1" ref="BO5" ca="1">INDEX(Master!$I$2:'Master'!$I$4384,MATCH($A5&amp;BO$2,Master!$A$2:'Master'!$A$4384&amp;Master!$C$2:'Master'!$C$4384,0))</f>
        <v>4</v>
      </c>
      <c r="BP5" s="21" cm="1">
        <f t="array" aca="1" ref="BP5" ca="1">INDEX(Master!$I$2:'Master'!$I$4384,MATCH($A5&amp;BP$2,Master!$A$2:'Master'!$A$4384&amp;Master!$C$2:'Master'!$C$4384,0))</f>
        <v>4</v>
      </c>
      <c r="BQ5" s="21" cm="1">
        <f t="array" aca="1" ref="BQ5" ca="1">INDEX(Master!$I$2:'Master'!$I$4384,MATCH($A5&amp;BQ$2,Master!$A$2:'Master'!$A$4384&amp;Master!$C$2:'Master'!$C$4384,0))</f>
        <v>4</v>
      </c>
      <c r="BR5" s="21" cm="1">
        <f t="array" aca="1" ref="BR5" ca="1">INDEX(Master!$I$2:'Master'!$I$4384,MATCH($A5&amp;BR$2,Master!$A$2:'Master'!$A$4384&amp;Master!$C$2:'Master'!$C$4384,0))</f>
        <v>4</v>
      </c>
      <c r="BS5" s="21" cm="1">
        <f t="array" aca="1" ref="BS5" ca="1">INDEX(Master!$I$2:'Master'!$I$4384,MATCH($A5&amp;BS$2,Master!$A$2:'Master'!$A$4384&amp;Master!$C$2:'Master'!$C$4384,0))</f>
        <v>4</v>
      </c>
      <c r="BT5" s="21" cm="1">
        <f t="array" aca="1" ref="BT5" ca="1">INDEX(Master!$I$2:'Master'!$I$4384,MATCH($A5&amp;BT$2,Master!$A$2:'Master'!$A$4384&amp;Master!$C$2:'Master'!$C$4384,0))</f>
        <v>4</v>
      </c>
      <c r="BU5" s="21" cm="1">
        <f t="array" aca="1" ref="BU5" ca="1">INDEX(Master!$I$2:'Master'!$I$4384,MATCH($A5&amp;BU$2,Master!$A$2:'Master'!$A$4384&amp;Master!$C$2:'Master'!$C$4384,0))</f>
        <v>4</v>
      </c>
      <c r="BV5" s="21" cm="1">
        <f t="array" aca="1" ref="BV5" ca="1">INDEX(Master!$I$2:'Master'!$I$4384,MATCH($A5&amp;BV$2,Master!$A$2:'Master'!$A$4384&amp;Master!$C$2:'Master'!$C$4384,0))</f>
        <v>4</v>
      </c>
      <c r="BW5" s="21" cm="1">
        <f t="array" aca="1" ref="BW5" ca="1">INDEX(Master!$I$2:'Master'!$I$4384,MATCH($A5&amp;BW$2,Master!$A$2:'Master'!$A$4384&amp;Master!$C$2:'Master'!$C$4384,0))</f>
        <v>4</v>
      </c>
      <c r="BX5" s="21" cm="1">
        <f t="array" aca="1" ref="BX5" ca="1">INDEX(Master!$I$2:'Master'!$I$4384,MATCH($A5&amp;BX$2,Master!$A$2:'Master'!$A$4384&amp;Master!$C$2:'Master'!$C$4384,0))</f>
        <v>3</v>
      </c>
      <c r="BY5" s="21" cm="1">
        <f t="array" aca="1" ref="BY5" ca="1">INDEX(Master!$I$2:'Master'!$I$4384,MATCH($A5&amp;BY$2,Master!$A$2:'Master'!$A$4384&amp;Master!$C$2:'Master'!$C$4384,0))</f>
        <v>4</v>
      </c>
      <c r="BZ5" s="21" cm="1">
        <f t="array" aca="1" ref="BZ5" ca="1">INDEX(Master!$I$2:'Master'!$I$4384,MATCH($A5&amp;BZ$2,Master!$A$2:'Master'!$A$4384&amp;Master!$C$2:'Master'!$C$4384,0))</f>
        <v>3</v>
      </c>
      <c r="CA5" s="21" cm="1">
        <f t="array" aca="1" ref="CA5" ca="1">INDEX(Master!$I$2:'Master'!$I$4384,MATCH($A5&amp;CA$2,Master!$A$2:'Master'!$A$4384&amp;Master!$C$2:'Master'!$C$4384,0))</f>
        <v>3</v>
      </c>
      <c r="CB5" s="21" cm="1">
        <f t="array" aca="1" ref="CB5" ca="1">INDEX(Master!$I$2:'Master'!$I$4384,MATCH($A5&amp;CB$2,Master!$A$2:'Master'!$A$4384&amp;Master!$C$2:'Master'!$C$4384,0))</f>
        <v>2</v>
      </c>
      <c r="CC5" s="21" cm="1">
        <f t="array" aca="1" ref="CC5" ca="1">INDEX(Master!$I$2:'Master'!$I$4384,MATCH($A5&amp;CC$2,Master!$A$2:'Master'!$A$4384&amp;Master!$C$2:'Master'!$C$4384,0))</f>
        <v>2</v>
      </c>
      <c r="CD5" s="21" cm="1">
        <f t="array" aca="1" ref="CD5" ca="1">INDEX(Master!$I$2:'Master'!$I$4384,MATCH($A5&amp;CD$2,Master!$A$2:'Master'!$A$4384&amp;Master!$C$2:'Master'!$C$4384,0))</f>
        <v>4</v>
      </c>
      <c r="CE5" s="21" cm="1">
        <f t="array" aca="1" ref="CE5" ca="1">INDEX(Master!$I$2:'Master'!$I$4384,MATCH($A5&amp;CE$2,Master!$A$2:'Master'!$A$4384&amp;Master!$C$2:'Master'!$C$4384,0))</f>
        <v>2</v>
      </c>
      <c r="CF5" s="21" cm="1">
        <f t="array" aca="1" ref="CF5" ca="1">INDEX(Master!$I$2:'Master'!$I$4384,MATCH($A5&amp;CF$2,Master!$A$2:'Master'!$A$4384&amp;Master!$C$2:'Master'!$C$4384,0))</f>
        <v>2</v>
      </c>
      <c r="CG5" s="21" cm="1">
        <f t="array" aca="1" ref="CG5" ca="1">INDEX(Master!$I$2:'Master'!$I$4384,MATCH($A5&amp;CG$2,Master!$A$2:'Master'!$A$4384&amp;Master!$C$2:'Master'!$C$4384,0))</f>
        <v>3</v>
      </c>
      <c r="CH5" s="21" cm="1">
        <f t="array" aca="1" ref="CH5" ca="1">INDEX(Master!$I$2:'Master'!$I$4384,MATCH($A5&amp;CH$2,Master!$A$2:'Master'!$A$4384&amp;Master!$C$2:'Master'!$C$4384,0))</f>
        <v>2</v>
      </c>
      <c r="CI5" s="21" cm="1">
        <f t="array" aca="1" ref="CI5" ca="1">INDEX(Master!$I$2:'Master'!$I$4384,MATCH($A5&amp;CI$2,Master!$A$2:'Master'!$A$4384&amp;Master!$C$2:'Master'!$C$4384,0))</f>
        <v>2</v>
      </c>
      <c r="CJ5" s="21" cm="1">
        <f t="array" aca="1" ref="CJ5" ca="1">INDEX(Master!$I$2:'Master'!$I$4384,MATCH($A5&amp;CJ$2,Master!$A$2:'Master'!$A$4384&amp;Master!$C$2:'Master'!$C$4384,0))</f>
        <v>1</v>
      </c>
      <c r="CK5" s="21" cm="1">
        <f t="array" aca="1" ref="CK5" ca="1">INDEX(Master!$I$2:'Master'!$I$4384,MATCH($A5&amp;CK$2,Master!$A$2:'Master'!$A$4384&amp;Master!$C$2:'Master'!$C$4384,0))</f>
        <v>2</v>
      </c>
      <c r="CL5" s="21" cm="1">
        <f t="array" aca="1" ref="CL5" ca="1">INDEX(Master!$I$2:'Master'!$I$4384,MATCH($A5&amp;CL$2,Master!$A$2:'Master'!$A$4384&amp;Master!$C$2:'Master'!$C$4384,0))</f>
        <v>4</v>
      </c>
      <c r="CM5" s="21" cm="1">
        <f t="array" aca="1" ref="CM5" ca="1">INDEX(Master!$I$2:'Master'!$I$4384,MATCH($A5&amp;CM$2,Master!$A$2:'Master'!$A$4384&amp;Master!$C$2:'Master'!$C$4384,0))</f>
        <v>3</v>
      </c>
      <c r="CN5" s="21" cm="1">
        <f t="array" aca="1" ref="CN5" ca="1">INDEX(Master!$I$2:'Master'!$I$4384,MATCH($A5&amp;CN$2,Master!$A$2:'Master'!$A$4384&amp;Master!$C$2:'Master'!$C$4384,0))</f>
        <v>1</v>
      </c>
      <c r="CO5" s="21" cm="1">
        <f t="array" aca="1" ref="CO5" ca="1">INDEX(Master!$I$2:'Master'!$I$4384,MATCH($A5&amp;CO$2,Master!$A$2:'Master'!$A$4384&amp;Master!$C$2:'Master'!$C$4384,0))</f>
        <v>1</v>
      </c>
      <c r="CP5" s="21" cm="1">
        <f t="array" aca="1" ref="CP5" ca="1">INDEX(Master!$I$2:'Master'!$I$4384,MATCH($A5&amp;CP$2,Master!$A$2:'Master'!$A$4384&amp;Master!$C$2:'Master'!$C$4384,0))</f>
        <v>2</v>
      </c>
      <c r="CQ5" s="21" cm="1">
        <f t="array" aca="1" ref="CQ5" ca="1">INDEX(Master!$I$2:'Master'!$I$4384,MATCH($A5&amp;CQ$2,Master!$A$2:'Master'!$A$4384&amp;Master!$C$2:'Master'!$C$4384,0))</f>
        <v>2</v>
      </c>
      <c r="CR5" s="21" cm="1">
        <f t="array" aca="1" ref="CR5" ca="1">INDEX(Master!$I$2:'Master'!$I$4384,MATCH($A5&amp;CR$2,Master!$A$2:'Master'!$A$4384&amp;Master!$C$2:'Master'!$C$4384,0))</f>
        <v>2</v>
      </c>
      <c r="CS5" s="21" cm="1">
        <f t="array" aca="1" ref="CS5" ca="1">INDEX(Master!$I$2:'Master'!$I$4384,MATCH($A5&amp;CS$2,Master!$A$2:'Master'!$A$4384&amp;Master!$C$2:'Master'!$C$4384,0))</f>
        <v>2</v>
      </c>
    </row>
    <row r="6" spans="1:97">
      <c r="A6" t="str">
        <f>VLOOKUP(Staff!$A3,Staff!$A$1:A$73,1,FALSE)</f>
        <v>Ted Hastings</v>
      </c>
      <c r="B6" s="21" cm="1">
        <f t="array" aca="1" ref="B6" ca="1">INDEX(Master!$I$2:'Master'!$I$4384,MATCH($A6&amp;B$2,Master!$A$2:'Master'!$A$4384&amp;Master!$C$2:'Master'!$C$4384,0))</f>
        <v>2</v>
      </c>
      <c r="C6" s="21" cm="1">
        <f t="array" aca="1" ref="C6" ca="1">INDEX(Master!$I$2:'Master'!$I$4384,MATCH($A6&amp;C$2,Master!$A$2:'Master'!$A$4384&amp;Master!$C$2:'Master'!$C$4384,0))</f>
        <v>3</v>
      </c>
      <c r="D6" s="21" cm="1">
        <f t="array" aca="1" ref="D6" ca="1">INDEX(Master!$I$2:'Master'!$I$4384,MATCH($A6&amp;D$2,Master!$A$2:'Master'!$A$4384&amp;Master!$C$2:'Master'!$C$4384,0))</f>
        <v>3</v>
      </c>
      <c r="E6" s="21" cm="1">
        <f t="array" aca="1" ref="E6" ca="1">INDEX(Master!$I$2:'Master'!$I$4384,MATCH($A6&amp;E$2,Master!$A$2:'Master'!$A$4384&amp;Master!$C$2:'Master'!$C$4384,0))</f>
        <v>2</v>
      </c>
      <c r="F6" s="21" cm="1">
        <f t="array" aca="1" ref="F6" ca="1">INDEX(Master!$I$2:'Master'!$I$4384,MATCH($A6&amp;F$2,Master!$A$2:'Master'!$A$4384&amp;Master!$C$2:'Master'!$C$4384,0))</f>
        <v>3</v>
      </c>
      <c r="G6" s="21" cm="1">
        <f t="array" aca="1" ref="G6" ca="1">INDEX(Master!$I$2:'Master'!$I$4384,MATCH($A6&amp;G$2,Master!$A$2:'Master'!$A$4384&amp;Master!$C$2:'Master'!$C$4384,0))</f>
        <v>2</v>
      </c>
      <c r="H6" s="21" cm="1">
        <f t="array" aca="1" ref="H6" ca="1">INDEX(Master!$I$2:'Master'!$I$4384,MATCH($A6&amp;H$2,Master!$A$2:'Master'!$A$4384&amp;Master!$C$2:'Master'!$C$4384,0))</f>
        <v>2</v>
      </c>
      <c r="I6" s="21" cm="1">
        <f t="array" aca="1" ref="I6" ca="1">INDEX(Master!$I$2:'Master'!$I$4384,MATCH($A6&amp;I$2,Master!$A$2:'Master'!$A$4384&amp;Master!$C$2:'Master'!$C$4384,0))</f>
        <v>2</v>
      </c>
      <c r="J6" s="21" cm="1">
        <f t="array" aca="1" ref="J6" ca="1">INDEX(Master!$I$2:'Master'!$I$4384,MATCH($A6&amp;J$2,Master!$A$2:'Master'!$A$4384&amp;Master!$C$2:'Master'!$C$4384,0))</f>
        <v>2</v>
      </c>
      <c r="K6" s="21" cm="1">
        <f t="array" aca="1" ref="K6" ca="1">INDEX(Master!$I$2:'Master'!$I$4384,MATCH($A6&amp;K$2,Master!$A$2:'Master'!$A$4384&amp;Master!$C$2:'Master'!$C$4384,0))</f>
        <v>2</v>
      </c>
      <c r="L6" s="21" cm="1">
        <f t="array" aca="1" ref="L6" ca="1">INDEX(Master!$I$2:'Master'!$I$4384,MATCH($A6&amp;L$2,Master!$A$2:'Master'!$A$4384&amp;Master!$C$2:'Master'!$C$4384,0))</f>
        <v>2</v>
      </c>
      <c r="M6" s="21" cm="1">
        <f t="array" aca="1" ref="M6" ca="1">INDEX(Master!$I$2:'Master'!$I$4384,MATCH($A6&amp;M$2,Master!$A$2:'Master'!$A$4384&amp;Master!$C$2:'Master'!$C$4384,0))</f>
        <v>1</v>
      </c>
      <c r="N6" s="21" cm="1">
        <f t="array" aca="1" ref="N6" ca="1">INDEX(Master!$I$2:'Master'!$I$4384,MATCH($A6&amp;N$2,Master!$A$2:'Master'!$A$4384&amp;Master!$C$2:'Master'!$C$4384,0))</f>
        <v>1</v>
      </c>
      <c r="O6" s="21" cm="1">
        <f t="array" aca="1" ref="O6" ca="1">INDEX(Master!$I$2:'Master'!$I$4384,MATCH($A6&amp;O$2,Master!$A$2:'Master'!$A$4384&amp;Master!$C$2:'Master'!$C$4384,0))</f>
        <v>1</v>
      </c>
      <c r="P6" s="21" cm="1">
        <f t="array" aca="1" ref="P6" ca="1">INDEX(Master!$I$2:'Master'!$I$4384,MATCH($A6&amp;P$2,Master!$A$2:'Master'!$A$4384&amp;Master!$C$2:'Master'!$C$4384,0))</f>
        <v>2</v>
      </c>
      <c r="Q6" s="21" cm="1">
        <f t="array" aca="1" ref="Q6" ca="1">INDEX(Master!$I$2:'Master'!$I$4384,MATCH($A6&amp;Q$2,Master!$A$2:'Master'!$A$4384&amp;Master!$C$2:'Master'!$C$4384,0))</f>
        <v>2</v>
      </c>
      <c r="R6" s="21" cm="1">
        <f t="array" aca="1" ref="R6" ca="1">INDEX(Master!$I$2:'Master'!$I$4384,MATCH($A6&amp;R$2,Master!$A$2:'Master'!$A$4384&amp;Master!$C$2:'Master'!$C$4384,0))</f>
        <v>2</v>
      </c>
      <c r="S6" s="21" cm="1">
        <f t="array" aca="1" ref="S6" ca="1">INDEX(Master!$I$2:'Master'!$I$4384,MATCH($A6&amp;S$2,Master!$A$2:'Master'!$A$4384&amp;Master!$C$2:'Master'!$C$4384,0))</f>
        <v>2</v>
      </c>
      <c r="T6" s="21" cm="1">
        <f t="array" aca="1" ref="T6" ca="1">INDEX(Master!$I$2:'Master'!$I$4384,MATCH($A6&amp;T$2,Master!$A$2:'Master'!$A$4384&amp;Master!$C$2:'Master'!$C$4384,0))</f>
        <v>0</v>
      </c>
      <c r="U6" s="21" cm="1">
        <f t="array" aca="1" ref="U6" ca="1">INDEX(Master!$I$2:'Master'!$I$4384,MATCH($A6&amp;U$2,Master!$A$2:'Master'!$A$4384&amp;Master!$C$2:'Master'!$C$4384,0))</f>
        <v>2</v>
      </c>
      <c r="V6" s="21" cm="1">
        <f t="array" aca="1" ref="V6" ca="1">INDEX(Master!$I$2:'Master'!$I$4384,MATCH($A6&amp;V$2,Master!$A$2:'Master'!$A$4384&amp;Master!$C$2:'Master'!$C$4384,0))</f>
        <v>1</v>
      </c>
      <c r="W6" s="21" cm="1">
        <f t="array" aca="1" ref="W6" ca="1">INDEX(Master!$I$2:'Master'!$I$4384,MATCH($A6&amp;W$2,Master!$A$2:'Master'!$A$4384&amp;Master!$C$2:'Master'!$C$4384,0))</f>
        <v>2</v>
      </c>
      <c r="X6" s="21" cm="1">
        <f t="array" aca="1" ref="X6" ca="1">INDEX(Master!$I$2:'Master'!$I$4384,MATCH($A6&amp;X$2,Master!$A$2:'Master'!$A$4384&amp;Master!$C$2:'Master'!$C$4384,0))</f>
        <v>0</v>
      </c>
      <c r="Y6" s="21" cm="1">
        <f t="array" aca="1" ref="Y6" ca="1">INDEX(Master!$I$2:'Master'!$I$4384,MATCH($A6&amp;Y$2,Master!$A$2:'Master'!$A$4384&amp;Master!$C$2:'Master'!$C$4384,0))</f>
        <v>0</v>
      </c>
      <c r="Z6" s="21" cm="1">
        <f t="array" aca="1" ref="Z6" ca="1">INDEX(Master!$I$2:'Master'!$I$4384,MATCH($A6&amp;Z$2,Master!$A$2:'Master'!$A$4384&amp;Master!$C$2:'Master'!$C$4384,0))</f>
        <v>0</v>
      </c>
      <c r="AA6" s="21" cm="1">
        <f t="array" aca="1" ref="AA6" ca="1">INDEX(Master!$I$2:'Master'!$I$4384,MATCH($A6&amp;AA$2,Master!$A$2:'Master'!$A$4384&amp;Master!$C$2:'Master'!$C$4384,0))</f>
        <v>0</v>
      </c>
      <c r="AB6" s="21" cm="1">
        <f t="array" aca="1" ref="AB6" ca="1">INDEX(Master!$I$2:'Master'!$I$4384,MATCH($A6&amp;AB$2,Master!$A$2:'Master'!$A$4384&amp;Master!$C$2:'Master'!$C$4384,0))</f>
        <v>0</v>
      </c>
      <c r="AC6" s="21" cm="1">
        <f t="array" aca="1" ref="AC6" ca="1">INDEX(Master!$I$2:'Master'!$I$4384,MATCH($A6&amp;AC$2,Master!$A$2:'Master'!$A$4384&amp;Master!$C$2:'Master'!$C$4384,0))</f>
        <v>0</v>
      </c>
      <c r="AD6" s="21" cm="1">
        <f t="array" aca="1" ref="AD6" ca="1">INDEX(Master!$I$2:'Master'!$I$4384,MATCH($A6&amp;AD$2,Master!$A$2:'Master'!$A$4384&amp;Master!$C$2:'Master'!$C$4384,0))</f>
        <v>0</v>
      </c>
      <c r="AE6" s="21" cm="1">
        <f t="array" aca="1" ref="AE6" ca="1">INDEX(Master!$I$2:'Master'!$I$4384,MATCH($A6&amp;AE$2,Master!$A$2:'Master'!$A$4384&amp;Master!$C$2:'Master'!$C$4384,0))</f>
        <v>0</v>
      </c>
      <c r="AF6" s="21" cm="1">
        <f t="array" aca="1" ref="AF6" ca="1">INDEX(Master!$I$2:'Master'!$I$4384,MATCH($A6&amp;AF$2,Master!$A$2:'Master'!$A$4384&amp;Master!$C$2:'Master'!$C$4384,0))</f>
        <v>1</v>
      </c>
      <c r="AG6" s="21" cm="1">
        <f t="array" aca="1" ref="AG6" ca="1">INDEX(Master!$I$2:'Master'!$I$4384,MATCH($A6&amp;AG$2,Master!$A$2:'Master'!$A$4384&amp;Master!$C$2:'Master'!$C$4384,0))</f>
        <v>1</v>
      </c>
      <c r="AH6" s="21" cm="1">
        <f t="array" aca="1" ref="AH6" ca="1">INDEX(Master!$I$2:'Master'!$I$4384,MATCH($A6&amp;AH$2,Master!$A$2:'Master'!$A$4384&amp;Master!$C$2:'Master'!$C$4384,0))</f>
        <v>2</v>
      </c>
      <c r="AI6" s="21" cm="1">
        <f t="array" aca="1" ref="AI6" ca="1">INDEX(Master!$I$2:'Master'!$I$4384,MATCH($A6&amp;AI$2,Master!$A$2:'Master'!$A$4384&amp;Master!$C$2:'Master'!$C$4384,0))</f>
        <v>1</v>
      </c>
      <c r="AJ6" s="21" cm="1">
        <f t="array" aca="1" ref="AJ6" ca="1">INDEX(Master!$I$2:'Master'!$I$4384,MATCH($A6&amp;AJ$2,Master!$A$2:'Master'!$A$4384&amp;Master!$C$2:'Master'!$C$4384,0))</f>
        <v>1</v>
      </c>
      <c r="AK6" s="21" cm="1">
        <f t="array" aca="1" ref="AK6" ca="1">INDEX(Master!$I$2:'Master'!$I$4384,MATCH($A6&amp;AK$2,Master!$A$2:'Master'!$A$4384&amp;Master!$C$2:'Master'!$C$4384,0))</f>
        <v>0</v>
      </c>
      <c r="AL6" s="21" cm="1">
        <f t="array" aca="1" ref="AL6" ca="1">INDEX(Master!$I$2:'Master'!$I$4384,MATCH($A6&amp;AL$2,Master!$A$2:'Master'!$A$4384&amp;Master!$C$2:'Master'!$C$4384,0))</f>
        <v>1</v>
      </c>
      <c r="AM6" s="21" cm="1">
        <f t="array" aca="1" ref="AM6" ca="1">INDEX(Master!$I$2:'Master'!$I$4384,MATCH($A6&amp;AM$2,Master!$A$2:'Master'!$A$4384&amp;Master!$C$2:'Master'!$C$4384,0))</f>
        <v>2</v>
      </c>
      <c r="AN6" s="21" cm="1">
        <f t="array" aca="1" ref="AN6" ca="1">INDEX(Master!$I$2:'Master'!$I$4384,MATCH($A6&amp;AN$2,Master!$A$2:'Master'!$A$4384&amp;Master!$C$2:'Master'!$C$4384,0))</f>
        <v>0</v>
      </c>
      <c r="AO6" s="21" cm="1">
        <f t="array" aca="1" ref="AO6" ca="1">INDEX(Master!$I$2:'Master'!$I$4384,MATCH($A6&amp;AO$2,Master!$A$2:'Master'!$A$4384&amp;Master!$C$2:'Master'!$C$4384,0))</f>
        <v>0</v>
      </c>
      <c r="AP6" s="21" cm="1">
        <f t="array" aca="1" ref="AP6" ca="1">INDEX(Master!$I$2:'Master'!$I$4384,MATCH($A6&amp;AP$2,Master!$A$2:'Master'!$A$4384&amp;Master!$C$2:'Master'!$C$4384,0))</f>
        <v>0</v>
      </c>
      <c r="AQ6" s="21" cm="1">
        <f t="array" aca="1" ref="AQ6" ca="1">INDEX(Master!$I$2:'Master'!$I$4384,MATCH($A6&amp;AQ$2,Master!$A$2:'Master'!$A$4384&amp;Master!$C$2:'Master'!$C$4384,0))</f>
        <v>0</v>
      </c>
      <c r="AR6" s="21" cm="1">
        <f t="array" aca="1" ref="AR6" ca="1">INDEX(Master!$I$2:'Master'!$I$4384,MATCH($A6&amp;AR$2,Master!$A$2:'Master'!$A$4384&amp;Master!$C$2:'Master'!$C$4384,0))</f>
        <v>0</v>
      </c>
      <c r="AS6" s="21" cm="1">
        <f t="array" aca="1" ref="AS6" ca="1">INDEX(Master!$I$2:'Master'!$I$4384,MATCH($A6&amp;AS$2,Master!$A$2:'Master'!$A$4384&amp;Master!$C$2:'Master'!$C$4384,0))</f>
        <v>0</v>
      </c>
      <c r="AT6" s="21" cm="1">
        <f t="array" aca="1" ref="AT6" ca="1">INDEX(Master!$I$2:'Master'!$I$4384,MATCH($A6&amp;AT$2,Master!$A$2:'Master'!$A$4384&amp;Master!$C$2:'Master'!$C$4384,0))</f>
        <v>0</v>
      </c>
      <c r="AU6" s="21" cm="1">
        <f t="array" aca="1" ref="AU6" ca="1">INDEX(Master!$I$2:'Master'!$I$4384,MATCH($A6&amp;AU$2,Master!$A$2:'Master'!$A$4384&amp;Master!$C$2:'Master'!$C$4384,0))</f>
        <v>0</v>
      </c>
      <c r="AV6" s="21" cm="1">
        <f t="array" aca="1" ref="AV6" ca="1">INDEX(Master!$I$2:'Master'!$I$4384,MATCH($A6&amp;AV$2,Master!$A$2:'Master'!$A$4384&amp;Master!$C$2:'Master'!$C$4384,0))</f>
        <v>0</v>
      </c>
      <c r="AW6" s="21" cm="1">
        <f t="array" aca="1" ref="AW6" ca="1">INDEX(Master!$I$2:'Master'!$I$4384,MATCH($A6&amp;AW$2,Master!$A$2:'Master'!$A$4384&amp;Master!$C$2:'Master'!$C$4384,0))</f>
        <v>0</v>
      </c>
      <c r="AX6" s="21" cm="1">
        <f t="array" aca="1" ref="AX6" ca="1">INDEX(Master!$I$2:'Master'!$I$4384,MATCH($A6&amp;AX$2,Master!$A$2:'Master'!$A$4384&amp;Master!$C$2:'Master'!$C$4384,0))</f>
        <v>2</v>
      </c>
      <c r="AY6" s="21" cm="1">
        <f t="array" aca="1" ref="AY6" ca="1">INDEX(Master!$I$2:'Master'!$I$4384,MATCH($A6&amp;AY$2,Master!$A$2:'Master'!$A$4384&amp;Master!$C$2:'Master'!$C$4384,0))</f>
        <v>2</v>
      </c>
      <c r="AZ6" s="21" cm="1">
        <f t="array" aca="1" ref="AZ6" ca="1">INDEX(Master!$I$2:'Master'!$I$4384,MATCH($A6&amp;AZ$2,Master!$A$2:'Master'!$A$4384&amp;Master!$C$2:'Master'!$C$4384,0))</f>
        <v>0</v>
      </c>
      <c r="BA6" s="21" cm="1">
        <f t="array" aca="1" ref="BA6" ca="1">INDEX(Master!$I$2:'Master'!$I$4384,MATCH($A6&amp;BA$2,Master!$A$2:'Master'!$A$4384&amp;Master!$C$2:'Master'!$C$4384,0))</f>
        <v>1</v>
      </c>
      <c r="BB6" s="21" cm="1">
        <f t="array" aca="1" ref="BB6" ca="1">INDEX(Master!$I$2:'Master'!$I$4384,MATCH($A6&amp;BB$2,Master!$A$2:'Master'!$A$4384&amp;Master!$C$2:'Master'!$C$4384,0))</f>
        <v>1</v>
      </c>
      <c r="BC6" s="21" cm="1">
        <f t="array" aca="1" ref="BC6" ca="1">INDEX(Master!$I$2:'Master'!$I$4384,MATCH($A6&amp;BC$2,Master!$A$2:'Master'!$A$4384&amp;Master!$C$2:'Master'!$C$4384,0))</f>
        <v>2</v>
      </c>
      <c r="BD6" s="21" cm="1">
        <f t="array" aca="1" ref="BD6" ca="1">INDEX(Master!$I$2:'Master'!$I$4384,MATCH($A6&amp;BD$2,Master!$A$2:'Master'!$A$4384&amp;Master!$C$2:'Master'!$C$4384,0))</f>
        <v>3</v>
      </c>
      <c r="BE6" s="21" cm="1">
        <f t="array" aca="1" ref="BE6" ca="1">INDEX(Master!$I$2:'Master'!$I$4384,MATCH($A6&amp;BE$2,Master!$A$2:'Master'!$A$4384&amp;Master!$C$2:'Master'!$C$4384,0))</f>
        <v>1</v>
      </c>
      <c r="BF6" s="21" cm="1">
        <f t="array" aca="1" ref="BF6" ca="1">INDEX(Master!$I$2:'Master'!$I$4384,MATCH($A6&amp;BF$2,Master!$A$2:'Master'!$A$4384&amp;Master!$C$2:'Master'!$C$4384,0))</f>
        <v>1</v>
      </c>
      <c r="BG6" s="21" cm="1">
        <f t="array" aca="1" ref="BG6" ca="1">INDEX(Master!$I$2:'Master'!$I$4384,MATCH($A6&amp;BG$2,Master!$A$2:'Master'!$A$4384&amp;Master!$C$2:'Master'!$C$4384,0))</f>
        <v>1</v>
      </c>
      <c r="BH6" s="21" cm="1">
        <f t="array" aca="1" ref="BH6" ca="1">INDEX(Master!$I$2:'Master'!$I$4384,MATCH($A6&amp;BH$2,Master!$A$2:'Master'!$A$4384&amp;Master!$C$2:'Master'!$C$4384,0))</f>
        <v>0</v>
      </c>
      <c r="BI6" s="21" cm="1">
        <f t="array" aca="1" ref="BI6" ca="1">INDEX(Master!$I$2:'Master'!$I$4384,MATCH($A6&amp;BI$2,Master!$A$2:'Master'!$A$4384&amp;Master!$C$2:'Master'!$C$4384,0))</f>
        <v>1</v>
      </c>
      <c r="BJ6" s="21" cm="1">
        <f t="array" aca="1" ref="BJ6" ca="1">INDEX(Master!$I$2:'Master'!$I$4384,MATCH($A6&amp;BJ$2,Master!$A$2:'Master'!$A$4384&amp;Master!$C$2:'Master'!$C$4384,0))</f>
        <v>1</v>
      </c>
      <c r="BK6" s="21" cm="1">
        <f t="array" aca="1" ref="BK6" ca="1">INDEX(Master!$I$2:'Master'!$I$4384,MATCH($A6&amp;BK$2,Master!$A$2:'Master'!$A$4384&amp;Master!$C$2:'Master'!$C$4384,0))</f>
        <v>1</v>
      </c>
      <c r="BL6" s="21" cm="1">
        <f t="array" aca="1" ref="BL6" ca="1">INDEX(Master!$I$2:'Master'!$I$4384,MATCH($A6&amp;BL$2,Master!$A$2:'Master'!$A$4384&amp;Master!$C$2:'Master'!$C$4384,0))</f>
        <v>1</v>
      </c>
      <c r="BM6" s="21" cm="1">
        <f t="array" aca="1" ref="BM6" ca="1">INDEX(Master!$I$2:'Master'!$I$4384,MATCH($A6&amp;BM$2,Master!$A$2:'Master'!$A$4384&amp;Master!$C$2:'Master'!$C$4384,0))</f>
        <v>1</v>
      </c>
      <c r="BN6" s="21" cm="1">
        <f t="array" aca="1" ref="BN6" ca="1">INDEX(Master!$I$2:'Master'!$I$4384,MATCH($A6&amp;BN$2,Master!$A$2:'Master'!$A$4384&amp;Master!$C$2:'Master'!$C$4384,0))</f>
        <v>0</v>
      </c>
      <c r="BO6" s="21" cm="1">
        <f t="array" aca="1" ref="BO6" ca="1">INDEX(Master!$I$2:'Master'!$I$4384,MATCH($A6&amp;BO$2,Master!$A$2:'Master'!$A$4384&amp;Master!$C$2:'Master'!$C$4384,0))</f>
        <v>1</v>
      </c>
      <c r="BP6" s="21" cm="1">
        <f t="array" aca="1" ref="BP6" ca="1">INDEX(Master!$I$2:'Master'!$I$4384,MATCH($A6&amp;BP$2,Master!$A$2:'Master'!$A$4384&amp;Master!$C$2:'Master'!$C$4384,0))</f>
        <v>0</v>
      </c>
      <c r="BQ6" s="21" cm="1">
        <f t="array" aca="1" ref="BQ6" ca="1">INDEX(Master!$I$2:'Master'!$I$4384,MATCH($A6&amp;BQ$2,Master!$A$2:'Master'!$A$4384&amp;Master!$C$2:'Master'!$C$4384,0))</f>
        <v>1</v>
      </c>
      <c r="BR6" s="21" cm="1">
        <f t="array" aca="1" ref="BR6" ca="1">INDEX(Master!$I$2:'Master'!$I$4384,MATCH($A6&amp;BR$2,Master!$A$2:'Master'!$A$4384&amp;Master!$C$2:'Master'!$C$4384,0))</f>
        <v>0</v>
      </c>
      <c r="BS6" s="21" cm="1">
        <f t="array" aca="1" ref="BS6" ca="1">INDEX(Master!$I$2:'Master'!$I$4384,MATCH($A6&amp;BS$2,Master!$A$2:'Master'!$A$4384&amp;Master!$C$2:'Master'!$C$4384,0))</f>
        <v>1</v>
      </c>
      <c r="BT6" s="21" cm="1">
        <f t="array" aca="1" ref="BT6" ca="1">INDEX(Master!$I$2:'Master'!$I$4384,MATCH($A6&amp;BT$2,Master!$A$2:'Master'!$A$4384&amp;Master!$C$2:'Master'!$C$4384,0))</f>
        <v>1</v>
      </c>
      <c r="BU6" s="21" cm="1">
        <f t="array" aca="1" ref="BU6" ca="1">INDEX(Master!$I$2:'Master'!$I$4384,MATCH($A6&amp;BU$2,Master!$A$2:'Master'!$A$4384&amp;Master!$C$2:'Master'!$C$4384,0))</f>
        <v>0</v>
      </c>
      <c r="BV6" s="21" cm="1">
        <f t="array" aca="1" ref="BV6" ca="1">INDEX(Master!$I$2:'Master'!$I$4384,MATCH($A6&amp;BV$2,Master!$A$2:'Master'!$A$4384&amp;Master!$C$2:'Master'!$C$4384,0))</f>
        <v>1</v>
      </c>
      <c r="BW6" s="21" cm="1">
        <f t="array" aca="1" ref="BW6" ca="1">INDEX(Master!$I$2:'Master'!$I$4384,MATCH($A6&amp;BW$2,Master!$A$2:'Master'!$A$4384&amp;Master!$C$2:'Master'!$C$4384,0))</f>
        <v>1</v>
      </c>
      <c r="BX6" s="21" cm="1">
        <f t="array" aca="1" ref="BX6" ca="1">INDEX(Master!$I$2:'Master'!$I$4384,MATCH($A6&amp;BX$2,Master!$A$2:'Master'!$A$4384&amp;Master!$C$2:'Master'!$C$4384,0))</f>
        <v>1</v>
      </c>
      <c r="BY6" s="21" cm="1">
        <f t="array" aca="1" ref="BY6" ca="1">INDEX(Master!$I$2:'Master'!$I$4384,MATCH($A6&amp;BY$2,Master!$A$2:'Master'!$A$4384&amp;Master!$C$2:'Master'!$C$4384,0))</f>
        <v>0</v>
      </c>
      <c r="BZ6" s="21" cm="1">
        <f t="array" aca="1" ref="BZ6" ca="1">INDEX(Master!$I$2:'Master'!$I$4384,MATCH($A6&amp;BZ$2,Master!$A$2:'Master'!$A$4384&amp;Master!$C$2:'Master'!$C$4384,0))</f>
        <v>1</v>
      </c>
      <c r="CA6" s="21" cm="1">
        <f t="array" aca="1" ref="CA6" ca="1">INDEX(Master!$I$2:'Master'!$I$4384,MATCH($A6&amp;CA$2,Master!$A$2:'Master'!$A$4384&amp;Master!$C$2:'Master'!$C$4384,0))</f>
        <v>1</v>
      </c>
      <c r="CB6" s="21" cm="1">
        <f t="array" aca="1" ref="CB6" ca="1">INDEX(Master!$I$2:'Master'!$I$4384,MATCH($A6&amp;CB$2,Master!$A$2:'Master'!$A$4384&amp;Master!$C$2:'Master'!$C$4384,0))</f>
        <v>1</v>
      </c>
      <c r="CC6" s="21" cm="1">
        <f t="array" aca="1" ref="CC6" ca="1">INDEX(Master!$I$2:'Master'!$I$4384,MATCH($A6&amp;CC$2,Master!$A$2:'Master'!$A$4384&amp;Master!$C$2:'Master'!$C$4384,0))</f>
        <v>1</v>
      </c>
      <c r="CD6" s="21" cm="1">
        <f t="array" aca="1" ref="CD6" ca="1">INDEX(Master!$I$2:'Master'!$I$4384,MATCH($A6&amp;CD$2,Master!$A$2:'Master'!$A$4384&amp;Master!$C$2:'Master'!$C$4384,0))</f>
        <v>1</v>
      </c>
      <c r="CE6" s="21" cm="1">
        <f t="array" aca="1" ref="CE6" ca="1">INDEX(Master!$I$2:'Master'!$I$4384,MATCH($A6&amp;CE$2,Master!$A$2:'Master'!$A$4384&amp;Master!$C$2:'Master'!$C$4384,0))</f>
        <v>1</v>
      </c>
      <c r="CF6" s="21" cm="1">
        <f t="array" aca="1" ref="CF6" ca="1">INDEX(Master!$I$2:'Master'!$I$4384,MATCH($A6&amp;CF$2,Master!$A$2:'Master'!$A$4384&amp;Master!$C$2:'Master'!$C$4384,0))</f>
        <v>1</v>
      </c>
      <c r="CG6" s="21" cm="1">
        <f t="array" aca="1" ref="CG6" ca="1">INDEX(Master!$I$2:'Master'!$I$4384,MATCH($A6&amp;CG$2,Master!$A$2:'Master'!$A$4384&amp;Master!$C$2:'Master'!$C$4384,0))</f>
        <v>2</v>
      </c>
      <c r="CH6" s="21" cm="1">
        <f t="array" aca="1" ref="CH6" ca="1">INDEX(Master!$I$2:'Master'!$I$4384,MATCH($A6&amp;CH$2,Master!$A$2:'Master'!$A$4384&amp;Master!$C$2:'Master'!$C$4384,0))</f>
        <v>1</v>
      </c>
      <c r="CI6" s="21" cm="1">
        <f t="array" aca="1" ref="CI6" ca="1">INDEX(Master!$I$2:'Master'!$I$4384,MATCH($A6&amp;CI$2,Master!$A$2:'Master'!$A$4384&amp;Master!$C$2:'Master'!$C$4384,0))</f>
        <v>2</v>
      </c>
      <c r="CJ6" s="21" cm="1">
        <f t="array" aca="1" ref="CJ6" ca="1">INDEX(Master!$I$2:'Master'!$I$4384,MATCH($A6&amp;CJ$2,Master!$A$2:'Master'!$A$4384&amp;Master!$C$2:'Master'!$C$4384,0))</f>
        <v>1</v>
      </c>
      <c r="CK6" s="21" cm="1">
        <f t="array" aca="1" ref="CK6" ca="1">INDEX(Master!$I$2:'Master'!$I$4384,MATCH($A6&amp;CK$2,Master!$A$2:'Master'!$A$4384&amp;Master!$C$2:'Master'!$C$4384,0))</f>
        <v>0</v>
      </c>
      <c r="CL6" s="21" cm="1">
        <f t="array" aca="1" ref="CL6" ca="1">INDEX(Master!$I$2:'Master'!$I$4384,MATCH($A6&amp;CL$2,Master!$A$2:'Master'!$A$4384&amp;Master!$C$2:'Master'!$C$4384,0))</f>
        <v>0</v>
      </c>
      <c r="CM6" s="21" cm="1">
        <f t="array" aca="1" ref="CM6" ca="1">INDEX(Master!$I$2:'Master'!$I$4384,MATCH($A6&amp;CM$2,Master!$A$2:'Master'!$A$4384&amp;Master!$C$2:'Master'!$C$4384,0))</f>
        <v>0</v>
      </c>
      <c r="CN6" s="21" cm="1">
        <f t="array" aca="1" ref="CN6" ca="1">INDEX(Master!$I$2:'Master'!$I$4384,MATCH($A6&amp;CN$2,Master!$A$2:'Master'!$A$4384&amp;Master!$C$2:'Master'!$C$4384,0))</f>
        <v>0</v>
      </c>
      <c r="CO6" s="21" cm="1">
        <f t="array" aca="1" ref="CO6" ca="1">INDEX(Master!$I$2:'Master'!$I$4384,MATCH($A6&amp;CO$2,Master!$A$2:'Master'!$A$4384&amp;Master!$C$2:'Master'!$C$4384,0))</f>
        <v>0</v>
      </c>
      <c r="CP6" s="21" cm="1">
        <f t="array" aca="1" ref="CP6" ca="1">INDEX(Master!$I$2:'Master'!$I$4384,MATCH($A6&amp;CP$2,Master!$A$2:'Master'!$A$4384&amp;Master!$C$2:'Master'!$C$4384,0))</f>
        <v>0</v>
      </c>
      <c r="CQ6" s="21" cm="1">
        <f t="array" aca="1" ref="CQ6" ca="1">INDEX(Master!$I$2:'Master'!$I$4384,MATCH($A6&amp;CQ$2,Master!$A$2:'Master'!$A$4384&amp;Master!$C$2:'Master'!$C$4384,0))</f>
        <v>0</v>
      </c>
      <c r="CR6" s="21" cm="1">
        <f t="array" aca="1" ref="CR6" ca="1">INDEX(Master!$I$2:'Master'!$I$4384,MATCH($A6&amp;CR$2,Master!$A$2:'Master'!$A$4384&amp;Master!$C$2:'Master'!$C$4384,0))</f>
        <v>0</v>
      </c>
      <c r="CS6" s="21" cm="1">
        <f t="array" aca="1" ref="CS6" ca="1">INDEX(Master!$I$2:'Master'!$I$4384,MATCH($A6&amp;CS$2,Master!$A$2:'Master'!$A$4384&amp;Master!$C$2:'Master'!$C$4384,0))</f>
        <v>1</v>
      </c>
    </row>
    <row r="7" spans="1:97">
      <c r="A7" t="s">
        <v>3</v>
      </c>
      <c r="B7" s="21" cm="1">
        <f t="array" aca="1" ref="B7" ca="1">INDEX(Master!$I$2:'Master'!$I$4384,MATCH($A7&amp;B$2,Master!$A$2:'Master'!$A$4384&amp;Master!$C$2:'Master'!$C$4384,0))</f>
        <v>99</v>
      </c>
      <c r="C7" s="21" cm="1">
        <f t="array" aca="1" ref="C7" ca="1">INDEX(Master!$I$2:'Master'!$I$4384,MATCH($A7&amp;C$2,Master!$A$2:'Master'!$A$4384&amp;Master!$C$2:'Master'!$C$4384,0))</f>
        <v>99</v>
      </c>
      <c r="D7" s="21" cm="1">
        <f t="array" aca="1" ref="D7" ca="1">INDEX(Master!$I$2:'Master'!$I$4384,MATCH($A7&amp;D$2,Master!$A$2:'Master'!$A$4384&amp;Master!$C$2:'Master'!$C$4384,0))</f>
        <v>99</v>
      </c>
      <c r="E7" s="21" cm="1">
        <f t="array" aca="1" ref="E7" ca="1">INDEX(Master!$I$2:'Master'!$I$4384,MATCH($A7&amp;E$2,Master!$A$2:'Master'!$A$4384&amp;Master!$C$2:'Master'!$C$4384,0))</f>
        <v>99</v>
      </c>
      <c r="F7" s="21" cm="1">
        <f t="array" aca="1" ref="F7" ca="1">INDEX(Master!$I$2:'Master'!$I$4384,MATCH($A7&amp;F$2,Master!$A$2:'Master'!$A$4384&amp;Master!$C$2:'Master'!$C$4384,0))</f>
        <v>99</v>
      </c>
      <c r="G7" s="21" cm="1">
        <f t="array" aca="1" ref="G7" ca="1">INDEX(Master!$I$2:'Master'!$I$4384,MATCH($A7&amp;G$2,Master!$A$2:'Master'!$A$4384&amp;Master!$C$2:'Master'!$C$4384,0))</f>
        <v>99</v>
      </c>
      <c r="H7" s="21" cm="1">
        <f t="array" aca="1" ref="H7" ca="1">INDEX(Master!$I$2:'Master'!$I$4384,MATCH($A7&amp;H$2,Master!$A$2:'Master'!$A$4384&amp;Master!$C$2:'Master'!$C$4384,0))</f>
        <v>99</v>
      </c>
      <c r="I7" s="21" cm="1">
        <f t="array" aca="1" ref="I7" ca="1">INDEX(Master!$I$2:'Master'!$I$4384,MATCH($A7&amp;I$2,Master!$A$2:'Master'!$A$4384&amp;Master!$C$2:'Master'!$C$4384,0))</f>
        <v>99</v>
      </c>
      <c r="J7" s="21" cm="1">
        <f t="array" aca="1" ref="J7" ca="1">INDEX(Master!$I$2:'Master'!$I$4384,MATCH($A7&amp;J$2,Master!$A$2:'Master'!$A$4384&amp;Master!$C$2:'Master'!$C$4384,0))</f>
        <v>99</v>
      </c>
      <c r="K7" s="21" cm="1">
        <f t="array" aca="1" ref="K7" ca="1">INDEX(Master!$I$2:'Master'!$I$4384,MATCH($A7&amp;K$2,Master!$A$2:'Master'!$A$4384&amp;Master!$C$2:'Master'!$C$4384,0))</f>
        <v>99</v>
      </c>
      <c r="L7" s="21" cm="1">
        <f t="array" aca="1" ref="L7" ca="1">INDEX(Master!$I$2:'Master'!$I$4384,MATCH($A7&amp;L$2,Master!$A$2:'Master'!$A$4384&amp;Master!$C$2:'Master'!$C$4384,0))</f>
        <v>99</v>
      </c>
      <c r="M7" s="21" cm="1">
        <f t="array" aca="1" ref="M7" ca="1">INDEX(Master!$I$2:'Master'!$I$4384,MATCH($A7&amp;M$2,Master!$A$2:'Master'!$A$4384&amp;Master!$C$2:'Master'!$C$4384,0))</f>
        <v>99</v>
      </c>
      <c r="N7" s="21" cm="1">
        <f t="array" aca="1" ref="N7" ca="1">INDEX(Master!$I$2:'Master'!$I$4384,MATCH($A7&amp;N$2,Master!$A$2:'Master'!$A$4384&amp;Master!$C$2:'Master'!$C$4384,0))</f>
        <v>99</v>
      </c>
      <c r="O7" s="21" cm="1">
        <f t="array" aca="1" ref="O7" ca="1">INDEX(Master!$I$2:'Master'!$I$4384,MATCH($A7&amp;O$2,Master!$A$2:'Master'!$A$4384&amp;Master!$C$2:'Master'!$C$4384,0))</f>
        <v>99</v>
      </c>
      <c r="P7" s="21" cm="1">
        <f t="array" aca="1" ref="P7" ca="1">INDEX(Master!$I$2:'Master'!$I$4384,MATCH($A7&amp;P$2,Master!$A$2:'Master'!$A$4384&amp;Master!$C$2:'Master'!$C$4384,0))</f>
        <v>99</v>
      </c>
      <c r="Q7" s="21" cm="1">
        <f t="array" aca="1" ref="Q7" ca="1">INDEX(Master!$I$2:'Master'!$I$4384,MATCH($A7&amp;Q$2,Master!$A$2:'Master'!$A$4384&amp;Master!$C$2:'Master'!$C$4384,0))</f>
        <v>99</v>
      </c>
      <c r="R7" s="21" cm="1">
        <f t="array" aca="1" ref="R7" ca="1">INDEX(Master!$I$2:'Master'!$I$4384,MATCH($A7&amp;R$2,Master!$A$2:'Master'!$A$4384&amp;Master!$C$2:'Master'!$C$4384,0))</f>
        <v>99</v>
      </c>
      <c r="S7" s="21" cm="1">
        <f t="array" aca="1" ref="S7" ca="1">INDEX(Master!$I$2:'Master'!$I$4384,MATCH($A7&amp;S$2,Master!$A$2:'Master'!$A$4384&amp;Master!$C$2:'Master'!$C$4384,0))</f>
        <v>99</v>
      </c>
      <c r="T7" s="21" cm="1">
        <f t="array" aca="1" ref="T7" ca="1">INDEX(Master!$I$2:'Master'!$I$4384,MATCH($A7&amp;T$2,Master!$A$2:'Master'!$A$4384&amp;Master!$C$2:'Master'!$C$4384,0))</f>
        <v>99</v>
      </c>
      <c r="U7" s="21" cm="1">
        <f t="array" aca="1" ref="U7" ca="1">INDEX(Master!$I$2:'Master'!$I$4384,MATCH($A7&amp;U$2,Master!$A$2:'Master'!$A$4384&amp;Master!$C$2:'Master'!$C$4384,0))</f>
        <v>99</v>
      </c>
      <c r="V7" s="21" cm="1">
        <f t="array" aca="1" ref="V7" ca="1">INDEX(Master!$I$2:'Master'!$I$4384,MATCH($A7&amp;V$2,Master!$A$2:'Master'!$A$4384&amp;Master!$C$2:'Master'!$C$4384,0))</f>
        <v>99</v>
      </c>
      <c r="W7" s="21" cm="1">
        <f t="array" aca="1" ref="W7" ca="1">INDEX(Master!$I$2:'Master'!$I$4384,MATCH($A7&amp;W$2,Master!$A$2:'Master'!$A$4384&amp;Master!$C$2:'Master'!$C$4384,0))</f>
        <v>99</v>
      </c>
      <c r="X7" s="21" cm="1">
        <f t="array" aca="1" ref="X7" ca="1">INDEX(Master!$I$2:'Master'!$I$4384,MATCH($A7&amp;X$2,Master!$A$2:'Master'!$A$4384&amp;Master!$C$2:'Master'!$C$4384,0))</f>
        <v>99</v>
      </c>
      <c r="Y7" s="21" cm="1">
        <f t="array" aca="1" ref="Y7" ca="1">INDEX(Master!$I$2:'Master'!$I$4384,MATCH($A7&amp;Y$2,Master!$A$2:'Master'!$A$4384&amp;Master!$C$2:'Master'!$C$4384,0))</f>
        <v>99</v>
      </c>
      <c r="Z7" s="21" cm="1">
        <f t="array" aca="1" ref="Z7" ca="1">INDEX(Master!$I$2:'Master'!$I$4384,MATCH($A7&amp;Z$2,Master!$A$2:'Master'!$A$4384&amp;Master!$C$2:'Master'!$C$4384,0))</f>
        <v>99</v>
      </c>
      <c r="AA7" s="21" cm="1">
        <f t="array" aca="1" ref="AA7" ca="1">INDEX(Master!$I$2:'Master'!$I$4384,MATCH($A7&amp;AA$2,Master!$A$2:'Master'!$A$4384&amp;Master!$C$2:'Master'!$C$4384,0))</f>
        <v>99</v>
      </c>
      <c r="AB7" s="21" cm="1">
        <f t="array" aca="1" ref="AB7" ca="1">INDEX(Master!$I$2:'Master'!$I$4384,MATCH($A7&amp;AB$2,Master!$A$2:'Master'!$A$4384&amp;Master!$C$2:'Master'!$C$4384,0))</f>
        <v>99</v>
      </c>
      <c r="AC7" s="21" cm="1">
        <f t="array" aca="1" ref="AC7" ca="1">INDEX(Master!$I$2:'Master'!$I$4384,MATCH($A7&amp;AC$2,Master!$A$2:'Master'!$A$4384&amp;Master!$C$2:'Master'!$C$4384,0))</f>
        <v>99</v>
      </c>
      <c r="AD7" s="21" cm="1">
        <f t="array" aca="1" ref="AD7" ca="1">INDEX(Master!$I$2:'Master'!$I$4384,MATCH($A7&amp;AD$2,Master!$A$2:'Master'!$A$4384&amp;Master!$C$2:'Master'!$C$4384,0))</f>
        <v>99</v>
      </c>
      <c r="AE7" s="21" cm="1">
        <f t="array" aca="1" ref="AE7" ca="1">INDEX(Master!$I$2:'Master'!$I$4384,MATCH($A7&amp;AE$2,Master!$A$2:'Master'!$A$4384&amp;Master!$C$2:'Master'!$C$4384,0))</f>
        <v>99</v>
      </c>
      <c r="AF7" s="21" cm="1">
        <f t="array" aca="1" ref="AF7" ca="1">INDEX(Master!$I$2:'Master'!$I$4384,MATCH($A7&amp;AF$2,Master!$A$2:'Master'!$A$4384&amp;Master!$C$2:'Master'!$C$4384,0))</f>
        <v>99</v>
      </c>
      <c r="AG7" s="21" cm="1">
        <f t="array" aca="1" ref="AG7" ca="1">INDEX(Master!$I$2:'Master'!$I$4384,MATCH($A7&amp;AG$2,Master!$A$2:'Master'!$A$4384&amp;Master!$C$2:'Master'!$C$4384,0))</f>
        <v>99</v>
      </c>
      <c r="AH7" s="21" cm="1">
        <f t="array" aca="1" ref="AH7" ca="1">INDEX(Master!$I$2:'Master'!$I$4384,MATCH($A7&amp;AH$2,Master!$A$2:'Master'!$A$4384&amp;Master!$C$2:'Master'!$C$4384,0))</f>
        <v>99</v>
      </c>
      <c r="AI7" s="21" cm="1">
        <f t="array" aca="1" ref="AI7" ca="1">INDEX(Master!$I$2:'Master'!$I$4384,MATCH($A7&amp;AI$2,Master!$A$2:'Master'!$A$4384&amp;Master!$C$2:'Master'!$C$4384,0))</f>
        <v>99</v>
      </c>
      <c r="AJ7" s="21" cm="1">
        <f t="array" aca="1" ref="AJ7" ca="1">INDEX(Master!$I$2:'Master'!$I$4384,MATCH($A7&amp;AJ$2,Master!$A$2:'Master'!$A$4384&amp;Master!$C$2:'Master'!$C$4384,0))</f>
        <v>99</v>
      </c>
      <c r="AK7" s="21" cm="1">
        <f t="array" aca="1" ref="AK7" ca="1">INDEX(Master!$I$2:'Master'!$I$4384,MATCH($A7&amp;AK$2,Master!$A$2:'Master'!$A$4384&amp;Master!$C$2:'Master'!$C$4384,0))</f>
        <v>99</v>
      </c>
      <c r="AL7" s="21" cm="1">
        <f t="array" aca="1" ref="AL7" ca="1">INDEX(Master!$I$2:'Master'!$I$4384,MATCH($A7&amp;AL$2,Master!$A$2:'Master'!$A$4384&amp;Master!$C$2:'Master'!$C$4384,0))</f>
        <v>99</v>
      </c>
      <c r="AM7" s="21" cm="1">
        <f t="array" aca="1" ref="AM7" ca="1">INDEX(Master!$I$2:'Master'!$I$4384,MATCH($A7&amp;AM$2,Master!$A$2:'Master'!$A$4384&amp;Master!$C$2:'Master'!$C$4384,0))</f>
        <v>99</v>
      </c>
      <c r="AN7" s="21" cm="1">
        <f t="array" aca="1" ref="AN7" ca="1">INDEX(Master!$I$2:'Master'!$I$4384,MATCH($A7&amp;AN$2,Master!$A$2:'Master'!$A$4384&amp;Master!$C$2:'Master'!$C$4384,0))</f>
        <v>99</v>
      </c>
      <c r="AO7" s="21" cm="1">
        <f t="array" aca="1" ref="AO7" ca="1">INDEX(Master!$I$2:'Master'!$I$4384,MATCH($A7&amp;AO$2,Master!$A$2:'Master'!$A$4384&amp;Master!$C$2:'Master'!$C$4384,0))</f>
        <v>99</v>
      </c>
      <c r="AP7" s="21" cm="1">
        <f t="array" aca="1" ref="AP7" ca="1">INDEX(Master!$I$2:'Master'!$I$4384,MATCH($A7&amp;AP$2,Master!$A$2:'Master'!$A$4384&amp;Master!$C$2:'Master'!$C$4384,0))</f>
        <v>99</v>
      </c>
      <c r="AQ7" s="21" cm="1">
        <f t="array" aca="1" ref="AQ7" ca="1">INDEX(Master!$I$2:'Master'!$I$4384,MATCH($A7&amp;AQ$2,Master!$A$2:'Master'!$A$4384&amp;Master!$C$2:'Master'!$C$4384,0))</f>
        <v>99</v>
      </c>
      <c r="AR7" s="21" cm="1">
        <f t="array" aca="1" ref="AR7" ca="1">INDEX(Master!$I$2:'Master'!$I$4384,MATCH($A7&amp;AR$2,Master!$A$2:'Master'!$A$4384&amp;Master!$C$2:'Master'!$C$4384,0))</f>
        <v>99</v>
      </c>
      <c r="AS7" s="21" cm="1">
        <f t="array" aca="1" ref="AS7" ca="1">INDEX(Master!$I$2:'Master'!$I$4384,MATCH($A7&amp;AS$2,Master!$A$2:'Master'!$A$4384&amp;Master!$C$2:'Master'!$C$4384,0))</f>
        <v>99</v>
      </c>
      <c r="AT7" s="21" cm="1">
        <f t="array" aca="1" ref="AT7" ca="1">INDEX(Master!$I$2:'Master'!$I$4384,MATCH($A7&amp;AT$2,Master!$A$2:'Master'!$A$4384&amp;Master!$C$2:'Master'!$C$4384,0))</f>
        <v>99</v>
      </c>
      <c r="AU7" s="21" cm="1">
        <f t="array" aca="1" ref="AU7" ca="1">INDEX(Master!$I$2:'Master'!$I$4384,MATCH($A7&amp;AU$2,Master!$A$2:'Master'!$A$4384&amp;Master!$C$2:'Master'!$C$4384,0))</f>
        <v>99</v>
      </c>
      <c r="AV7" s="21" cm="1">
        <f t="array" aca="1" ref="AV7" ca="1">INDEX(Master!$I$2:'Master'!$I$4384,MATCH($A7&amp;AV$2,Master!$A$2:'Master'!$A$4384&amp;Master!$C$2:'Master'!$C$4384,0))</f>
        <v>99</v>
      </c>
      <c r="AW7" s="21" cm="1">
        <f t="array" aca="1" ref="AW7" ca="1">INDEX(Master!$I$2:'Master'!$I$4384,MATCH($A7&amp;AW$2,Master!$A$2:'Master'!$A$4384&amp;Master!$C$2:'Master'!$C$4384,0))</f>
        <v>99</v>
      </c>
      <c r="AX7" s="21" cm="1">
        <f t="array" aca="1" ref="AX7" ca="1">INDEX(Master!$I$2:'Master'!$I$4384,MATCH($A7&amp;AX$2,Master!$A$2:'Master'!$A$4384&amp;Master!$C$2:'Master'!$C$4384,0))</f>
        <v>99</v>
      </c>
      <c r="AY7" s="21" cm="1">
        <f t="array" aca="1" ref="AY7" ca="1">INDEX(Master!$I$2:'Master'!$I$4384,MATCH($A7&amp;AY$2,Master!$A$2:'Master'!$A$4384&amp;Master!$C$2:'Master'!$C$4384,0))</f>
        <v>99</v>
      </c>
      <c r="AZ7" s="21" cm="1">
        <f t="array" aca="1" ref="AZ7" ca="1">INDEX(Master!$I$2:'Master'!$I$4384,MATCH($A7&amp;AZ$2,Master!$A$2:'Master'!$A$4384&amp;Master!$C$2:'Master'!$C$4384,0))</f>
        <v>99</v>
      </c>
      <c r="BA7" s="21" cm="1">
        <f t="array" aca="1" ref="BA7" ca="1">INDEX(Master!$I$2:'Master'!$I$4384,MATCH($A7&amp;BA$2,Master!$A$2:'Master'!$A$4384&amp;Master!$C$2:'Master'!$C$4384,0))</f>
        <v>99</v>
      </c>
      <c r="BB7" s="21" cm="1">
        <f t="array" aca="1" ref="BB7" ca="1">INDEX(Master!$I$2:'Master'!$I$4384,MATCH($A7&amp;BB$2,Master!$A$2:'Master'!$A$4384&amp;Master!$C$2:'Master'!$C$4384,0))</f>
        <v>99</v>
      </c>
      <c r="BC7" s="21" cm="1">
        <f t="array" aca="1" ref="BC7" ca="1">INDEX(Master!$I$2:'Master'!$I$4384,MATCH($A7&amp;BC$2,Master!$A$2:'Master'!$A$4384&amp;Master!$C$2:'Master'!$C$4384,0))</f>
        <v>99</v>
      </c>
      <c r="BD7" s="21" cm="1">
        <f t="array" aca="1" ref="BD7" ca="1">INDEX(Master!$I$2:'Master'!$I$4384,MATCH($A7&amp;BD$2,Master!$A$2:'Master'!$A$4384&amp;Master!$C$2:'Master'!$C$4384,0))</f>
        <v>99</v>
      </c>
      <c r="BE7" s="21" cm="1">
        <f t="array" aca="1" ref="BE7" ca="1">INDEX(Master!$I$2:'Master'!$I$4384,MATCH($A7&amp;BE$2,Master!$A$2:'Master'!$A$4384&amp;Master!$C$2:'Master'!$C$4384,0))</f>
        <v>99</v>
      </c>
      <c r="BF7" s="21" cm="1">
        <f t="array" aca="1" ref="BF7" ca="1">INDEX(Master!$I$2:'Master'!$I$4384,MATCH($A7&amp;BF$2,Master!$A$2:'Master'!$A$4384&amp;Master!$C$2:'Master'!$C$4384,0))</f>
        <v>99</v>
      </c>
      <c r="BG7" s="21" cm="1">
        <f t="array" aca="1" ref="BG7" ca="1">INDEX(Master!$I$2:'Master'!$I$4384,MATCH($A7&amp;BG$2,Master!$A$2:'Master'!$A$4384&amp;Master!$C$2:'Master'!$C$4384,0))</f>
        <v>99</v>
      </c>
      <c r="BH7" s="21" cm="1">
        <f t="array" aca="1" ref="BH7" ca="1">INDEX(Master!$I$2:'Master'!$I$4384,MATCH($A7&amp;BH$2,Master!$A$2:'Master'!$A$4384&amp;Master!$C$2:'Master'!$C$4384,0))</f>
        <v>99</v>
      </c>
      <c r="BI7" s="21" cm="1">
        <f t="array" aca="1" ref="BI7" ca="1">INDEX(Master!$I$2:'Master'!$I$4384,MATCH($A7&amp;BI$2,Master!$A$2:'Master'!$A$4384&amp;Master!$C$2:'Master'!$C$4384,0))</f>
        <v>99</v>
      </c>
      <c r="BJ7" s="21" cm="1">
        <f t="array" aca="1" ref="BJ7" ca="1">INDEX(Master!$I$2:'Master'!$I$4384,MATCH($A7&amp;BJ$2,Master!$A$2:'Master'!$A$4384&amp;Master!$C$2:'Master'!$C$4384,0))</f>
        <v>99</v>
      </c>
      <c r="BK7" s="21" cm="1">
        <f t="array" aca="1" ref="BK7" ca="1">INDEX(Master!$I$2:'Master'!$I$4384,MATCH($A7&amp;BK$2,Master!$A$2:'Master'!$A$4384&amp;Master!$C$2:'Master'!$C$4384,0))</f>
        <v>99</v>
      </c>
      <c r="BL7" s="21" cm="1">
        <f t="array" aca="1" ref="BL7" ca="1">INDEX(Master!$I$2:'Master'!$I$4384,MATCH($A7&amp;BL$2,Master!$A$2:'Master'!$A$4384&amp;Master!$C$2:'Master'!$C$4384,0))</f>
        <v>99</v>
      </c>
      <c r="BM7" s="21" cm="1">
        <f t="array" aca="1" ref="BM7" ca="1">INDEX(Master!$I$2:'Master'!$I$4384,MATCH($A7&amp;BM$2,Master!$A$2:'Master'!$A$4384&amp;Master!$C$2:'Master'!$C$4384,0))</f>
        <v>99</v>
      </c>
      <c r="BN7" s="21" cm="1">
        <f t="array" aca="1" ref="BN7" ca="1">INDEX(Master!$I$2:'Master'!$I$4384,MATCH($A7&amp;BN$2,Master!$A$2:'Master'!$A$4384&amp;Master!$C$2:'Master'!$C$4384,0))</f>
        <v>99</v>
      </c>
      <c r="BO7" s="21" cm="1">
        <f t="array" aca="1" ref="BO7" ca="1">INDEX(Master!$I$2:'Master'!$I$4384,MATCH($A7&amp;BO$2,Master!$A$2:'Master'!$A$4384&amp;Master!$C$2:'Master'!$C$4384,0))</f>
        <v>99</v>
      </c>
      <c r="BP7" s="21" cm="1">
        <f t="array" aca="1" ref="BP7" ca="1">INDEX(Master!$I$2:'Master'!$I$4384,MATCH($A7&amp;BP$2,Master!$A$2:'Master'!$A$4384&amp;Master!$C$2:'Master'!$C$4384,0))</f>
        <v>99</v>
      </c>
      <c r="BQ7" s="21" cm="1">
        <f t="array" aca="1" ref="BQ7" ca="1">INDEX(Master!$I$2:'Master'!$I$4384,MATCH($A7&amp;BQ$2,Master!$A$2:'Master'!$A$4384&amp;Master!$C$2:'Master'!$C$4384,0))</f>
        <v>99</v>
      </c>
      <c r="BR7" s="21" cm="1">
        <f t="array" aca="1" ref="BR7" ca="1">INDEX(Master!$I$2:'Master'!$I$4384,MATCH($A7&amp;BR$2,Master!$A$2:'Master'!$A$4384&amp;Master!$C$2:'Master'!$C$4384,0))</f>
        <v>99</v>
      </c>
      <c r="BS7" s="21" cm="1">
        <f t="array" aca="1" ref="BS7" ca="1">INDEX(Master!$I$2:'Master'!$I$4384,MATCH($A7&amp;BS$2,Master!$A$2:'Master'!$A$4384&amp;Master!$C$2:'Master'!$C$4384,0))</f>
        <v>99</v>
      </c>
      <c r="BT7" s="21" cm="1">
        <f t="array" aca="1" ref="BT7" ca="1">INDEX(Master!$I$2:'Master'!$I$4384,MATCH($A7&amp;BT$2,Master!$A$2:'Master'!$A$4384&amp;Master!$C$2:'Master'!$C$4384,0))</f>
        <v>99</v>
      </c>
      <c r="BU7" s="21" cm="1">
        <f t="array" aca="1" ref="BU7" ca="1">INDEX(Master!$I$2:'Master'!$I$4384,MATCH($A7&amp;BU$2,Master!$A$2:'Master'!$A$4384&amp;Master!$C$2:'Master'!$C$4384,0))</f>
        <v>99</v>
      </c>
      <c r="BV7" s="21" cm="1">
        <f t="array" aca="1" ref="BV7" ca="1">INDEX(Master!$I$2:'Master'!$I$4384,MATCH($A7&amp;BV$2,Master!$A$2:'Master'!$A$4384&amp;Master!$C$2:'Master'!$C$4384,0))</f>
        <v>99</v>
      </c>
      <c r="BW7" s="21" cm="1">
        <f t="array" aca="1" ref="BW7" ca="1">INDEX(Master!$I$2:'Master'!$I$4384,MATCH($A7&amp;BW$2,Master!$A$2:'Master'!$A$4384&amp;Master!$C$2:'Master'!$C$4384,0))</f>
        <v>99</v>
      </c>
      <c r="BX7" s="21" cm="1">
        <f t="array" aca="1" ref="BX7" ca="1">INDEX(Master!$I$2:'Master'!$I$4384,MATCH($A7&amp;BX$2,Master!$A$2:'Master'!$A$4384&amp;Master!$C$2:'Master'!$C$4384,0))</f>
        <v>99</v>
      </c>
      <c r="BY7" s="21" cm="1">
        <f t="array" aca="1" ref="BY7" ca="1">INDEX(Master!$I$2:'Master'!$I$4384,MATCH($A7&amp;BY$2,Master!$A$2:'Master'!$A$4384&amp;Master!$C$2:'Master'!$C$4384,0))</f>
        <v>99</v>
      </c>
      <c r="BZ7" s="21" cm="1">
        <f t="array" aca="1" ref="BZ7" ca="1">INDEX(Master!$I$2:'Master'!$I$4384,MATCH($A7&amp;BZ$2,Master!$A$2:'Master'!$A$4384&amp;Master!$C$2:'Master'!$C$4384,0))</f>
        <v>99</v>
      </c>
      <c r="CA7" s="21" cm="1">
        <f t="array" aca="1" ref="CA7" ca="1">INDEX(Master!$I$2:'Master'!$I$4384,MATCH($A7&amp;CA$2,Master!$A$2:'Master'!$A$4384&amp;Master!$C$2:'Master'!$C$4384,0))</f>
        <v>99</v>
      </c>
      <c r="CB7" s="21" cm="1">
        <f t="array" aca="1" ref="CB7" ca="1">INDEX(Master!$I$2:'Master'!$I$4384,MATCH($A7&amp;CB$2,Master!$A$2:'Master'!$A$4384&amp;Master!$C$2:'Master'!$C$4384,0))</f>
        <v>99</v>
      </c>
      <c r="CC7" s="21" cm="1">
        <f t="array" aca="1" ref="CC7" ca="1">INDEX(Master!$I$2:'Master'!$I$4384,MATCH($A7&amp;CC$2,Master!$A$2:'Master'!$A$4384&amp;Master!$C$2:'Master'!$C$4384,0))</f>
        <v>99</v>
      </c>
      <c r="CD7" s="21" cm="1">
        <f t="array" aca="1" ref="CD7" ca="1">INDEX(Master!$I$2:'Master'!$I$4384,MATCH($A7&amp;CD$2,Master!$A$2:'Master'!$A$4384&amp;Master!$C$2:'Master'!$C$4384,0))</f>
        <v>99</v>
      </c>
      <c r="CE7" s="21" cm="1">
        <f t="array" aca="1" ref="CE7" ca="1">INDEX(Master!$I$2:'Master'!$I$4384,MATCH($A7&amp;CE$2,Master!$A$2:'Master'!$A$4384&amp;Master!$C$2:'Master'!$C$4384,0))</f>
        <v>99</v>
      </c>
      <c r="CF7" s="21" cm="1">
        <f t="array" aca="1" ref="CF7" ca="1">INDEX(Master!$I$2:'Master'!$I$4384,MATCH($A7&amp;CF$2,Master!$A$2:'Master'!$A$4384&amp;Master!$C$2:'Master'!$C$4384,0))</f>
        <v>99</v>
      </c>
      <c r="CG7" s="21" cm="1">
        <f t="array" aca="1" ref="CG7" ca="1">INDEX(Master!$I$2:'Master'!$I$4384,MATCH($A7&amp;CG$2,Master!$A$2:'Master'!$A$4384&amp;Master!$C$2:'Master'!$C$4384,0))</f>
        <v>99</v>
      </c>
      <c r="CH7" s="21" cm="1">
        <f t="array" aca="1" ref="CH7" ca="1">INDEX(Master!$I$2:'Master'!$I$4384,MATCH($A7&amp;CH$2,Master!$A$2:'Master'!$A$4384&amp;Master!$C$2:'Master'!$C$4384,0))</f>
        <v>99</v>
      </c>
      <c r="CI7" s="21" cm="1">
        <f t="array" aca="1" ref="CI7" ca="1">INDEX(Master!$I$2:'Master'!$I$4384,MATCH($A7&amp;CI$2,Master!$A$2:'Master'!$A$4384&amp;Master!$C$2:'Master'!$C$4384,0))</f>
        <v>99</v>
      </c>
      <c r="CJ7" s="21" cm="1">
        <f t="array" aca="1" ref="CJ7" ca="1">INDEX(Master!$I$2:'Master'!$I$4384,MATCH($A7&amp;CJ$2,Master!$A$2:'Master'!$A$4384&amp;Master!$C$2:'Master'!$C$4384,0))</f>
        <v>99</v>
      </c>
      <c r="CK7" s="21" cm="1">
        <f t="array" aca="1" ref="CK7" ca="1">INDEX(Master!$I$2:'Master'!$I$4384,MATCH($A7&amp;CK$2,Master!$A$2:'Master'!$A$4384&amp;Master!$C$2:'Master'!$C$4384,0))</f>
        <v>99</v>
      </c>
      <c r="CL7" s="21" cm="1">
        <f t="array" aca="1" ref="CL7" ca="1">INDEX(Master!$I$2:'Master'!$I$4384,MATCH($A7&amp;CL$2,Master!$A$2:'Master'!$A$4384&amp;Master!$C$2:'Master'!$C$4384,0))</f>
        <v>99</v>
      </c>
      <c r="CM7" s="21" cm="1">
        <f t="array" aca="1" ref="CM7" ca="1">INDEX(Master!$I$2:'Master'!$I$4384,MATCH($A7&amp;CM$2,Master!$A$2:'Master'!$A$4384&amp;Master!$C$2:'Master'!$C$4384,0))</f>
        <v>99</v>
      </c>
      <c r="CN7" s="21" cm="1">
        <f t="array" aca="1" ref="CN7" ca="1">INDEX(Master!$I$2:'Master'!$I$4384,MATCH($A7&amp;CN$2,Master!$A$2:'Master'!$A$4384&amp;Master!$C$2:'Master'!$C$4384,0))</f>
        <v>99</v>
      </c>
      <c r="CO7" s="21" cm="1">
        <f t="array" aca="1" ref="CO7" ca="1">INDEX(Master!$I$2:'Master'!$I$4384,MATCH($A7&amp;CO$2,Master!$A$2:'Master'!$A$4384&amp;Master!$C$2:'Master'!$C$4384,0))</f>
        <v>99</v>
      </c>
      <c r="CP7" s="21" cm="1">
        <f t="array" aca="1" ref="CP7" ca="1">INDEX(Master!$I$2:'Master'!$I$4384,MATCH($A7&amp;CP$2,Master!$A$2:'Master'!$A$4384&amp;Master!$C$2:'Master'!$C$4384,0))</f>
        <v>99</v>
      </c>
      <c r="CQ7" s="21" cm="1">
        <f t="array" aca="1" ref="CQ7" ca="1">INDEX(Master!$I$2:'Master'!$I$4384,MATCH($A7&amp;CQ$2,Master!$A$2:'Master'!$A$4384&amp;Master!$C$2:'Master'!$C$4384,0))</f>
        <v>99</v>
      </c>
      <c r="CR7" s="21" cm="1">
        <f t="array" aca="1" ref="CR7" ca="1">INDEX(Master!$I$2:'Master'!$I$4384,MATCH($A7&amp;CR$2,Master!$A$2:'Master'!$A$4384&amp;Master!$C$2:'Master'!$C$4384,0))</f>
        <v>99</v>
      </c>
      <c r="CS7" s="21" cm="1">
        <f t="array" aca="1" ref="CS7" ca="1">INDEX(Master!$I$2:'Master'!$I$4384,MATCH($A7&amp;CS$2,Master!$A$2:'Master'!$A$4384&amp;Master!$C$2:'Master'!$C$4384,0))</f>
        <v>99</v>
      </c>
    </row>
    <row r="8" spans="1:97">
      <c r="A8" t="str">
        <f>VLOOKUP(Staff!$A5,Staff!$A$1:A$73,1,FALSE)</f>
        <v>Christopher Foyle</v>
      </c>
      <c r="B8" s="21" cm="1">
        <f t="array" aca="1" ref="B8" ca="1">INDEX(Master!$I$2:'Master'!$I$4384,MATCH($A8&amp;B$2,Master!$A$2:'Master'!$A$4384&amp;Master!$C$2:'Master'!$C$4384,0))</f>
        <v>3</v>
      </c>
      <c r="C8" s="21" cm="1">
        <f t="array" aca="1" ref="C8" ca="1">INDEX(Master!$I$2:'Master'!$I$4384,MATCH($A8&amp;C$2,Master!$A$2:'Master'!$A$4384&amp;Master!$C$2:'Master'!$C$4384,0))</f>
        <v>4</v>
      </c>
      <c r="D8" s="21" cm="1">
        <f t="array" aca="1" ref="D8" ca="1">INDEX(Master!$I$2:'Master'!$I$4384,MATCH($A8&amp;D$2,Master!$A$2:'Master'!$A$4384&amp;Master!$C$2:'Master'!$C$4384,0))</f>
        <v>4</v>
      </c>
      <c r="E8" s="21" cm="1">
        <f t="array" aca="1" ref="E8" ca="1">INDEX(Master!$I$2:'Master'!$I$4384,MATCH($A8&amp;E$2,Master!$A$2:'Master'!$A$4384&amp;Master!$C$2:'Master'!$C$4384,0))</f>
        <v>2</v>
      </c>
      <c r="F8" s="21" cm="1">
        <f t="array" aca="1" ref="F8" ca="1">INDEX(Master!$I$2:'Master'!$I$4384,MATCH($A8&amp;F$2,Master!$A$2:'Master'!$A$4384&amp;Master!$C$2:'Master'!$C$4384,0))</f>
        <v>3</v>
      </c>
      <c r="G8" s="21" cm="1">
        <f t="array" aca="1" ref="G8" ca="1">INDEX(Master!$I$2:'Master'!$I$4384,MATCH($A8&amp;G$2,Master!$A$2:'Master'!$A$4384&amp;Master!$C$2:'Master'!$C$4384,0))</f>
        <v>3</v>
      </c>
      <c r="H8" s="21" cm="1">
        <f t="array" aca="1" ref="H8" ca="1">INDEX(Master!$I$2:'Master'!$I$4384,MATCH($A8&amp;H$2,Master!$A$2:'Master'!$A$4384&amp;Master!$C$2:'Master'!$C$4384,0))</f>
        <v>3</v>
      </c>
      <c r="I8" s="21" cm="1">
        <f t="array" aca="1" ref="I8" ca="1">INDEX(Master!$I$2:'Master'!$I$4384,MATCH($A8&amp;I$2,Master!$A$2:'Master'!$A$4384&amp;Master!$C$2:'Master'!$C$4384,0))</f>
        <v>3</v>
      </c>
      <c r="J8" s="21" cm="1">
        <f t="array" aca="1" ref="J8" ca="1">INDEX(Master!$I$2:'Master'!$I$4384,MATCH($A8&amp;J$2,Master!$A$2:'Master'!$A$4384&amp;Master!$C$2:'Master'!$C$4384,0))</f>
        <v>3</v>
      </c>
      <c r="K8" s="21" cm="1">
        <f t="array" aca="1" ref="K8" ca="1">INDEX(Master!$I$2:'Master'!$I$4384,MATCH($A8&amp;K$2,Master!$A$2:'Master'!$A$4384&amp;Master!$C$2:'Master'!$C$4384,0))</f>
        <v>2</v>
      </c>
      <c r="L8" s="21" cm="1">
        <f t="array" aca="1" ref="L8" ca="1">INDEX(Master!$I$2:'Master'!$I$4384,MATCH($A8&amp;L$2,Master!$A$2:'Master'!$A$4384&amp;Master!$C$2:'Master'!$C$4384,0))</f>
        <v>1</v>
      </c>
      <c r="M8" s="21" cm="1">
        <f t="array" aca="1" ref="M8" ca="1">INDEX(Master!$I$2:'Master'!$I$4384,MATCH($A8&amp;M$2,Master!$A$2:'Master'!$A$4384&amp;Master!$C$2:'Master'!$C$4384,0))</f>
        <v>1</v>
      </c>
      <c r="N8" s="21" cm="1">
        <f t="array" aca="1" ref="N8" ca="1">INDEX(Master!$I$2:'Master'!$I$4384,MATCH($A8&amp;N$2,Master!$A$2:'Master'!$A$4384&amp;Master!$C$2:'Master'!$C$4384,0))</f>
        <v>1</v>
      </c>
      <c r="O8" s="21" cm="1">
        <f t="array" aca="1" ref="O8" ca="1">INDEX(Master!$I$2:'Master'!$I$4384,MATCH($A8&amp;O$2,Master!$A$2:'Master'!$A$4384&amp;Master!$C$2:'Master'!$C$4384,0))</f>
        <v>1</v>
      </c>
      <c r="P8" s="21" cm="1">
        <f t="array" aca="1" ref="P8" ca="1">INDEX(Master!$I$2:'Master'!$I$4384,MATCH($A8&amp;P$2,Master!$A$2:'Master'!$A$4384&amp;Master!$C$2:'Master'!$C$4384,0))</f>
        <v>2</v>
      </c>
      <c r="Q8" s="21" cm="1">
        <f t="array" aca="1" ref="Q8" ca="1">INDEX(Master!$I$2:'Master'!$I$4384,MATCH($A8&amp;Q$2,Master!$A$2:'Master'!$A$4384&amp;Master!$C$2:'Master'!$C$4384,0))</f>
        <v>1</v>
      </c>
      <c r="R8" s="21" cm="1">
        <f t="array" aca="1" ref="R8" ca="1">INDEX(Master!$I$2:'Master'!$I$4384,MATCH($A8&amp;R$2,Master!$A$2:'Master'!$A$4384&amp;Master!$C$2:'Master'!$C$4384,0))</f>
        <v>1</v>
      </c>
      <c r="S8" s="21" cm="1">
        <f t="array" aca="1" ref="S8" ca="1">INDEX(Master!$I$2:'Master'!$I$4384,MATCH($A8&amp;S$2,Master!$A$2:'Master'!$A$4384&amp;Master!$C$2:'Master'!$C$4384,0))</f>
        <v>2</v>
      </c>
      <c r="T8" s="21" cm="1">
        <f t="array" aca="1" ref="T8" ca="1">INDEX(Master!$I$2:'Master'!$I$4384,MATCH($A8&amp;T$2,Master!$A$2:'Master'!$A$4384&amp;Master!$C$2:'Master'!$C$4384,0))</f>
        <v>3</v>
      </c>
      <c r="U8" s="21" cm="1">
        <f t="array" aca="1" ref="U8" ca="1">INDEX(Master!$I$2:'Master'!$I$4384,MATCH($A8&amp;U$2,Master!$A$2:'Master'!$A$4384&amp;Master!$C$2:'Master'!$C$4384,0))</f>
        <v>3</v>
      </c>
      <c r="V8" s="21" cm="1">
        <f t="array" aca="1" ref="V8" ca="1">INDEX(Master!$I$2:'Master'!$I$4384,MATCH($A8&amp;V$2,Master!$A$2:'Master'!$A$4384&amp;Master!$C$2:'Master'!$C$4384,0))</f>
        <v>1</v>
      </c>
      <c r="W8" s="21" cm="1">
        <f t="array" aca="1" ref="W8" ca="1">INDEX(Master!$I$2:'Master'!$I$4384,MATCH($A8&amp;W$2,Master!$A$2:'Master'!$A$4384&amp;Master!$C$2:'Master'!$C$4384,0))</f>
        <v>2</v>
      </c>
      <c r="X8" s="21" cm="1">
        <f t="array" aca="1" ref="X8" ca="1">INDEX(Master!$I$2:'Master'!$I$4384,MATCH($A8&amp;X$2,Master!$A$2:'Master'!$A$4384&amp;Master!$C$2:'Master'!$C$4384,0))</f>
        <v>2</v>
      </c>
      <c r="Y8" s="21" cm="1">
        <f t="array" aca="1" ref="Y8" ca="1">INDEX(Master!$I$2:'Master'!$I$4384,MATCH($A8&amp;Y$2,Master!$A$2:'Master'!$A$4384&amp;Master!$C$2:'Master'!$C$4384,0))</f>
        <v>2</v>
      </c>
      <c r="Z8" s="21" cm="1">
        <f t="array" aca="1" ref="Z8" ca="1">INDEX(Master!$I$2:'Master'!$I$4384,MATCH($A8&amp;Z$2,Master!$A$2:'Master'!$A$4384&amp;Master!$C$2:'Master'!$C$4384,0))</f>
        <v>1</v>
      </c>
      <c r="AA8" s="21" cm="1">
        <f t="array" aca="1" ref="AA8" ca="1">INDEX(Master!$I$2:'Master'!$I$4384,MATCH($A8&amp;AA$2,Master!$A$2:'Master'!$A$4384&amp;Master!$C$2:'Master'!$C$4384,0))</f>
        <v>1</v>
      </c>
      <c r="AB8" s="21" cm="1">
        <f t="array" aca="1" ref="AB8" ca="1">INDEX(Master!$I$2:'Master'!$I$4384,MATCH($A8&amp;AB$2,Master!$A$2:'Master'!$A$4384&amp;Master!$C$2:'Master'!$C$4384,0))</f>
        <v>1</v>
      </c>
      <c r="AC8" s="21" cm="1">
        <f t="array" aca="1" ref="AC8" ca="1">INDEX(Master!$I$2:'Master'!$I$4384,MATCH($A8&amp;AC$2,Master!$A$2:'Master'!$A$4384&amp;Master!$C$2:'Master'!$C$4384,0))</f>
        <v>2</v>
      </c>
      <c r="AD8" s="21" cm="1">
        <f t="array" aca="1" ref="AD8" ca="1">INDEX(Master!$I$2:'Master'!$I$4384,MATCH($A8&amp;AD$2,Master!$A$2:'Master'!$A$4384&amp;Master!$C$2:'Master'!$C$4384,0))</f>
        <v>1</v>
      </c>
      <c r="AE8" s="21" cm="1">
        <f t="array" aca="1" ref="AE8" ca="1">INDEX(Master!$I$2:'Master'!$I$4384,MATCH($A8&amp;AE$2,Master!$A$2:'Master'!$A$4384&amp;Master!$C$2:'Master'!$C$4384,0))</f>
        <v>1</v>
      </c>
      <c r="AF8" s="21" cm="1">
        <f t="array" aca="1" ref="AF8" ca="1">INDEX(Master!$I$2:'Master'!$I$4384,MATCH($A8&amp;AF$2,Master!$A$2:'Master'!$A$4384&amp;Master!$C$2:'Master'!$C$4384,0))</f>
        <v>2</v>
      </c>
      <c r="AG8" s="21" cm="1">
        <f t="array" aca="1" ref="AG8" ca="1">INDEX(Master!$I$2:'Master'!$I$4384,MATCH($A8&amp;AG$2,Master!$A$2:'Master'!$A$4384&amp;Master!$C$2:'Master'!$C$4384,0))</f>
        <v>2</v>
      </c>
      <c r="AH8" s="21" cm="1">
        <f t="array" aca="1" ref="AH8" ca="1">INDEX(Master!$I$2:'Master'!$I$4384,MATCH($A8&amp;AH$2,Master!$A$2:'Master'!$A$4384&amp;Master!$C$2:'Master'!$C$4384,0))</f>
        <v>3</v>
      </c>
      <c r="AI8" s="21" cm="1">
        <f t="array" aca="1" ref="AI8" ca="1">INDEX(Master!$I$2:'Master'!$I$4384,MATCH($A8&amp;AI$2,Master!$A$2:'Master'!$A$4384&amp;Master!$C$2:'Master'!$C$4384,0))</f>
        <v>1</v>
      </c>
      <c r="AJ8" s="21" cm="1">
        <f t="array" aca="1" ref="AJ8" ca="1">INDEX(Master!$I$2:'Master'!$I$4384,MATCH($A8&amp;AJ$2,Master!$A$2:'Master'!$A$4384&amp;Master!$C$2:'Master'!$C$4384,0))</f>
        <v>2</v>
      </c>
      <c r="AK8" s="21" cm="1">
        <f t="array" aca="1" ref="AK8" ca="1">INDEX(Master!$I$2:'Master'!$I$4384,MATCH($A8&amp;AK$2,Master!$A$2:'Master'!$A$4384&amp;Master!$C$2:'Master'!$C$4384,0))</f>
        <v>3</v>
      </c>
      <c r="AL8" s="21" cm="1">
        <f t="array" aca="1" ref="AL8" ca="1">INDEX(Master!$I$2:'Master'!$I$4384,MATCH($A8&amp;AL$2,Master!$A$2:'Master'!$A$4384&amp;Master!$C$2:'Master'!$C$4384,0))</f>
        <v>3</v>
      </c>
      <c r="AM8" s="21" cm="1">
        <f t="array" aca="1" ref="AM8" ca="1">INDEX(Master!$I$2:'Master'!$I$4384,MATCH($A8&amp;AM$2,Master!$A$2:'Master'!$A$4384&amp;Master!$C$2:'Master'!$C$4384,0))</f>
        <v>3</v>
      </c>
      <c r="AN8" s="21" cm="1">
        <f t="array" aca="1" ref="AN8" ca="1">INDEX(Master!$I$2:'Master'!$I$4384,MATCH($A8&amp;AN$2,Master!$A$2:'Master'!$A$4384&amp;Master!$C$2:'Master'!$C$4384,0))</f>
        <v>1</v>
      </c>
      <c r="AO8" s="21" cm="1">
        <f t="array" aca="1" ref="AO8" ca="1">INDEX(Master!$I$2:'Master'!$I$4384,MATCH($A8&amp;AO$2,Master!$A$2:'Master'!$A$4384&amp;Master!$C$2:'Master'!$C$4384,0))</f>
        <v>0</v>
      </c>
      <c r="AP8" s="21" cm="1">
        <f t="array" aca="1" ref="AP8" ca="1">INDEX(Master!$I$2:'Master'!$I$4384,MATCH($A8&amp;AP$2,Master!$A$2:'Master'!$A$4384&amp;Master!$C$2:'Master'!$C$4384,0))</f>
        <v>1</v>
      </c>
      <c r="AQ8" s="21" cm="1">
        <f t="array" aca="1" ref="AQ8" ca="1">INDEX(Master!$I$2:'Master'!$I$4384,MATCH($A8&amp;AQ$2,Master!$A$2:'Master'!$A$4384&amp;Master!$C$2:'Master'!$C$4384,0))</f>
        <v>2</v>
      </c>
      <c r="AR8" s="21" cm="1">
        <f t="array" aca="1" ref="AR8" ca="1">INDEX(Master!$I$2:'Master'!$I$4384,MATCH($A8&amp;AR$2,Master!$A$2:'Master'!$A$4384&amp;Master!$C$2:'Master'!$C$4384,0))</f>
        <v>1</v>
      </c>
      <c r="AS8" s="21" cm="1">
        <f t="array" aca="1" ref="AS8" ca="1">INDEX(Master!$I$2:'Master'!$I$4384,MATCH($A8&amp;AS$2,Master!$A$2:'Master'!$A$4384&amp;Master!$C$2:'Master'!$C$4384,0))</f>
        <v>0</v>
      </c>
      <c r="AT8" s="21" cm="1">
        <f t="array" aca="1" ref="AT8" ca="1">INDEX(Master!$I$2:'Master'!$I$4384,MATCH($A8&amp;AT$2,Master!$A$2:'Master'!$A$4384&amp;Master!$C$2:'Master'!$C$4384,0))</f>
        <v>1</v>
      </c>
      <c r="AU8" s="21" cm="1">
        <f t="array" aca="1" ref="AU8" ca="1">INDEX(Master!$I$2:'Master'!$I$4384,MATCH($A8&amp;AU$2,Master!$A$2:'Master'!$A$4384&amp;Master!$C$2:'Master'!$C$4384,0))</f>
        <v>0</v>
      </c>
      <c r="AV8" s="21" cm="1">
        <f t="array" aca="1" ref="AV8" ca="1">INDEX(Master!$I$2:'Master'!$I$4384,MATCH($A8&amp;AV$2,Master!$A$2:'Master'!$A$4384&amp;Master!$C$2:'Master'!$C$4384,0))</f>
        <v>1</v>
      </c>
      <c r="AW8" s="21" cm="1">
        <f t="array" aca="1" ref="AW8" ca="1">INDEX(Master!$I$2:'Master'!$I$4384,MATCH($A8&amp;AW$2,Master!$A$2:'Master'!$A$4384&amp;Master!$C$2:'Master'!$C$4384,0))</f>
        <v>0</v>
      </c>
      <c r="AX8" s="21" cm="1">
        <f t="array" aca="1" ref="AX8" ca="1">INDEX(Master!$I$2:'Master'!$I$4384,MATCH($A8&amp;AX$2,Master!$A$2:'Master'!$A$4384&amp;Master!$C$2:'Master'!$C$4384,0))</f>
        <v>4</v>
      </c>
      <c r="AY8" s="21" cm="1">
        <f t="array" aca="1" ref="AY8" ca="1">INDEX(Master!$I$2:'Master'!$I$4384,MATCH($A8&amp;AY$2,Master!$A$2:'Master'!$A$4384&amp;Master!$C$2:'Master'!$C$4384,0))</f>
        <v>3</v>
      </c>
      <c r="AZ8" s="21" cm="1">
        <f t="array" aca="1" ref="AZ8" ca="1">INDEX(Master!$I$2:'Master'!$I$4384,MATCH($A8&amp;AZ$2,Master!$A$2:'Master'!$A$4384&amp;Master!$C$2:'Master'!$C$4384,0))</f>
        <v>2</v>
      </c>
      <c r="BA8" s="21" cm="1">
        <f t="array" aca="1" ref="BA8" ca="1">INDEX(Master!$I$2:'Master'!$I$4384,MATCH($A8&amp;BA$2,Master!$A$2:'Master'!$A$4384&amp;Master!$C$2:'Master'!$C$4384,0))</f>
        <v>2</v>
      </c>
      <c r="BB8" s="21" cm="1">
        <f t="array" aca="1" ref="BB8" ca="1">INDEX(Master!$I$2:'Master'!$I$4384,MATCH($A8&amp;BB$2,Master!$A$2:'Master'!$A$4384&amp;Master!$C$2:'Master'!$C$4384,0))</f>
        <v>3</v>
      </c>
      <c r="BC8" s="21" cm="1">
        <f t="array" aca="1" ref="BC8" ca="1">INDEX(Master!$I$2:'Master'!$I$4384,MATCH($A8&amp;BC$2,Master!$A$2:'Master'!$A$4384&amp;Master!$C$2:'Master'!$C$4384,0))</f>
        <v>2</v>
      </c>
      <c r="BD8" s="21" cm="1">
        <f t="array" aca="1" ref="BD8" ca="1">INDEX(Master!$I$2:'Master'!$I$4384,MATCH($A8&amp;BD$2,Master!$A$2:'Master'!$A$4384&amp;Master!$C$2:'Master'!$C$4384,0))</f>
        <v>3</v>
      </c>
      <c r="BE8" s="21" cm="1">
        <f t="array" aca="1" ref="BE8" ca="1">INDEX(Master!$I$2:'Master'!$I$4384,MATCH($A8&amp;BE$2,Master!$A$2:'Master'!$A$4384&amp;Master!$C$2:'Master'!$C$4384,0))</f>
        <v>3</v>
      </c>
      <c r="BF8" s="21" cm="1">
        <f t="array" aca="1" ref="BF8" ca="1">INDEX(Master!$I$2:'Master'!$I$4384,MATCH($A8&amp;BF$2,Master!$A$2:'Master'!$A$4384&amp;Master!$C$2:'Master'!$C$4384,0))</f>
        <v>1</v>
      </c>
      <c r="BG8" s="21" cm="1">
        <f t="array" aca="1" ref="BG8" ca="1">INDEX(Master!$I$2:'Master'!$I$4384,MATCH($A8&amp;BG$2,Master!$A$2:'Master'!$A$4384&amp;Master!$C$2:'Master'!$C$4384,0))</f>
        <v>0</v>
      </c>
      <c r="BH8" s="21" cm="1">
        <f t="array" aca="1" ref="BH8" ca="1">INDEX(Master!$I$2:'Master'!$I$4384,MATCH($A8&amp;BH$2,Master!$A$2:'Master'!$A$4384&amp;Master!$C$2:'Master'!$C$4384,0))</f>
        <v>0</v>
      </c>
      <c r="BI8" s="21" cm="1">
        <f t="array" aca="1" ref="BI8" ca="1">INDEX(Master!$I$2:'Master'!$I$4384,MATCH($A8&amp;BI$2,Master!$A$2:'Master'!$A$4384&amp;Master!$C$2:'Master'!$C$4384,0))</f>
        <v>1</v>
      </c>
      <c r="BJ8" s="21" cm="1">
        <f t="array" aca="1" ref="BJ8" ca="1">INDEX(Master!$I$2:'Master'!$I$4384,MATCH($A8&amp;BJ$2,Master!$A$2:'Master'!$A$4384&amp;Master!$C$2:'Master'!$C$4384,0))</f>
        <v>0</v>
      </c>
      <c r="BK8" s="21" cm="1">
        <f t="array" aca="1" ref="BK8" ca="1">INDEX(Master!$I$2:'Master'!$I$4384,MATCH($A8&amp;BK$2,Master!$A$2:'Master'!$A$4384&amp;Master!$C$2:'Master'!$C$4384,0))</f>
        <v>2</v>
      </c>
      <c r="BL8" s="21" cm="1">
        <f t="array" aca="1" ref="BL8" ca="1">INDEX(Master!$I$2:'Master'!$I$4384,MATCH($A8&amp;BL$2,Master!$A$2:'Master'!$A$4384&amp;Master!$C$2:'Master'!$C$4384,0))</f>
        <v>2</v>
      </c>
      <c r="BM8" s="21" cm="1">
        <f t="array" aca="1" ref="BM8" ca="1">INDEX(Master!$I$2:'Master'!$I$4384,MATCH($A8&amp;BM$2,Master!$A$2:'Master'!$A$4384&amp;Master!$C$2:'Master'!$C$4384,0))</f>
        <v>1</v>
      </c>
      <c r="BN8" s="21" cm="1">
        <f t="array" aca="1" ref="BN8" ca="1">INDEX(Master!$I$2:'Master'!$I$4384,MATCH($A8&amp;BN$2,Master!$A$2:'Master'!$A$4384&amp;Master!$C$2:'Master'!$C$4384,0))</f>
        <v>1</v>
      </c>
      <c r="BO8" s="21" cm="1">
        <f t="array" aca="1" ref="BO8" ca="1">INDEX(Master!$I$2:'Master'!$I$4384,MATCH($A8&amp;BO$2,Master!$A$2:'Master'!$A$4384&amp;Master!$C$2:'Master'!$C$4384,0))</f>
        <v>2</v>
      </c>
      <c r="BP8" s="21" cm="1">
        <f t="array" aca="1" ref="BP8" ca="1">INDEX(Master!$I$2:'Master'!$I$4384,MATCH($A8&amp;BP$2,Master!$A$2:'Master'!$A$4384&amp;Master!$C$2:'Master'!$C$4384,0))</f>
        <v>0</v>
      </c>
      <c r="BQ8" s="21" cm="1">
        <f t="array" aca="1" ref="BQ8" ca="1">INDEX(Master!$I$2:'Master'!$I$4384,MATCH($A8&amp;BQ$2,Master!$A$2:'Master'!$A$4384&amp;Master!$C$2:'Master'!$C$4384,0))</f>
        <v>1</v>
      </c>
      <c r="BR8" s="21" cm="1">
        <f t="array" aca="1" ref="BR8" ca="1">INDEX(Master!$I$2:'Master'!$I$4384,MATCH($A8&amp;BR$2,Master!$A$2:'Master'!$A$4384&amp;Master!$C$2:'Master'!$C$4384,0))</f>
        <v>0</v>
      </c>
      <c r="BS8" s="21" cm="1">
        <f t="array" aca="1" ref="BS8" ca="1">INDEX(Master!$I$2:'Master'!$I$4384,MATCH($A8&amp;BS$2,Master!$A$2:'Master'!$A$4384&amp;Master!$C$2:'Master'!$C$4384,0))</f>
        <v>1</v>
      </c>
      <c r="BT8" s="21" cm="1">
        <f t="array" aca="1" ref="BT8" ca="1">INDEX(Master!$I$2:'Master'!$I$4384,MATCH($A8&amp;BT$2,Master!$A$2:'Master'!$A$4384&amp;Master!$C$2:'Master'!$C$4384,0))</f>
        <v>2</v>
      </c>
      <c r="BU8" s="21" cm="1">
        <f t="array" aca="1" ref="BU8" ca="1">INDEX(Master!$I$2:'Master'!$I$4384,MATCH($A8&amp;BU$2,Master!$A$2:'Master'!$A$4384&amp;Master!$C$2:'Master'!$C$4384,0))</f>
        <v>1</v>
      </c>
      <c r="BV8" s="21" cm="1">
        <f t="array" aca="1" ref="BV8" ca="1">INDEX(Master!$I$2:'Master'!$I$4384,MATCH($A8&amp;BV$2,Master!$A$2:'Master'!$A$4384&amp;Master!$C$2:'Master'!$C$4384,0))</f>
        <v>1</v>
      </c>
      <c r="BW8" s="21" cm="1">
        <f t="array" aca="1" ref="BW8" ca="1">INDEX(Master!$I$2:'Master'!$I$4384,MATCH($A8&amp;BW$2,Master!$A$2:'Master'!$A$4384&amp;Master!$C$2:'Master'!$C$4384,0))</f>
        <v>1</v>
      </c>
      <c r="BX8" s="21" cm="1">
        <f t="array" aca="1" ref="BX8" ca="1">INDEX(Master!$I$2:'Master'!$I$4384,MATCH($A8&amp;BX$2,Master!$A$2:'Master'!$A$4384&amp;Master!$C$2:'Master'!$C$4384,0))</f>
        <v>0</v>
      </c>
      <c r="BY8" s="21" cm="1">
        <f t="array" aca="1" ref="BY8" ca="1">INDEX(Master!$I$2:'Master'!$I$4384,MATCH($A8&amp;BY$2,Master!$A$2:'Master'!$A$4384&amp;Master!$C$2:'Master'!$C$4384,0))</f>
        <v>0</v>
      </c>
      <c r="BZ8" s="21" cm="1">
        <f t="array" aca="1" ref="BZ8" ca="1">INDEX(Master!$I$2:'Master'!$I$4384,MATCH($A8&amp;BZ$2,Master!$A$2:'Master'!$A$4384&amp;Master!$C$2:'Master'!$C$4384,0))</f>
        <v>1</v>
      </c>
      <c r="CA8" s="21" cm="1">
        <f t="array" aca="1" ref="CA8" ca="1">INDEX(Master!$I$2:'Master'!$I$4384,MATCH($A8&amp;CA$2,Master!$A$2:'Master'!$A$4384&amp;Master!$C$2:'Master'!$C$4384,0))</f>
        <v>0</v>
      </c>
      <c r="CB8" s="21" cm="1">
        <f t="array" aca="1" ref="CB8" ca="1">INDEX(Master!$I$2:'Master'!$I$4384,MATCH($A8&amp;CB$2,Master!$A$2:'Master'!$A$4384&amp;Master!$C$2:'Master'!$C$4384,0))</f>
        <v>2</v>
      </c>
      <c r="CC8" s="21" cm="1">
        <f t="array" aca="1" ref="CC8" ca="1">INDEX(Master!$I$2:'Master'!$I$4384,MATCH($A8&amp;CC$2,Master!$A$2:'Master'!$A$4384&amp;Master!$C$2:'Master'!$C$4384,0))</f>
        <v>2</v>
      </c>
      <c r="CD8" s="21" cm="1">
        <f t="array" aca="1" ref="CD8" ca="1">INDEX(Master!$I$2:'Master'!$I$4384,MATCH($A8&amp;CD$2,Master!$A$2:'Master'!$A$4384&amp;Master!$C$2:'Master'!$C$4384,0))</f>
        <v>1</v>
      </c>
      <c r="CE8" s="21" cm="1">
        <f t="array" aca="1" ref="CE8" ca="1">INDEX(Master!$I$2:'Master'!$I$4384,MATCH($A8&amp;CE$2,Master!$A$2:'Master'!$A$4384&amp;Master!$C$2:'Master'!$C$4384,0))</f>
        <v>1</v>
      </c>
      <c r="CF8" s="21" cm="1">
        <f t="array" aca="1" ref="CF8" ca="1">INDEX(Master!$I$2:'Master'!$I$4384,MATCH($A8&amp;CF$2,Master!$A$2:'Master'!$A$4384&amp;Master!$C$2:'Master'!$C$4384,0))</f>
        <v>2</v>
      </c>
      <c r="CG8" s="21" cm="1">
        <f t="array" aca="1" ref="CG8" ca="1">INDEX(Master!$I$2:'Master'!$I$4384,MATCH($A8&amp;CG$2,Master!$A$2:'Master'!$A$4384&amp;Master!$C$2:'Master'!$C$4384,0))</f>
        <v>3</v>
      </c>
      <c r="CH8" s="21" cm="1">
        <f t="array" aca="1" ref="CH8" ca="1">INDEX(Master!$I$2:'Master'!$I$4384,MATCH($A8&amp;CH$2,Master!$A$2:'Master'!$A$4384&amp;Master!$C$2:'Master'!$C$4384,0))</f>
        <v>1</v>
      </c>
      <c r="CI8" s="21" cm="1">
        <f t="array" aca="1" ref="CI8" ca="1">INDEX(Master!$I$2:'Master'!$I$4384,MATCH($A8&amp;CI$2,Master!$A$2:'Master'!$A$4384&amp;Master!$C$2:'Master'!$C$4384,0))</f>
        <v>2</v>
      </c>
      <c r="CJ8" s="21" cm="1">
        <f t="array" aca="1" ref="CJ8" ca="1">INDEX(Master!$I$2:'Master'!$I$4384,MATCH($A8&amp;CJ$2,Master!$A$2:'Master'!$A$4384&amp;Master!$C$2:'Master'!$C$4384,0))</f>
        <v>1</v>
      </c>
      <c r="CK8" s="21" cm="1">
        <f t="array" aca="1" ref="CK8" ca="1">INDEX(Master!$I$2:'Master'!$I$4384,MATCH($A8&amp;CK$2,Master!$A$2:'Master'!$A$4384&amp;Master!$C$2:'Master'!$C$4384,0))</f>
        <v>1</v>
      </c>
      <c r="CL8" s="21" cm="1">
        <f t="array" aca="1" ref="CL8" ca="1">INDEX(Master!$I$2:'Master'!$I$4384,MATCH($A8&amp;CL$2,Master!$A$2:'Master'!$A$4384&amp;Master!$C$2:'Master'!$C$4384,0))</f>
        <v>1</v>
      </c>
      <c r="CM8" s="21" cm="1">
        <f t="array" aca="1" ref="CM8" ca="1">INDEX(Master!$I$2:'Master'!$I$4384,MATCH($A8&amp;CM$2,Master!$A$2:'Master'!$A$4384&amp;Master!$C$2:'Master'!$C$4384,0))</f>
        <v>0</v>
      </c>
      <c r="CN8" s="21" cm="1">
        <f t="array" aca="1" ref="CN8" ca="1">INDEX(Master!$I$2:'Master'!$I$4384,MATCH($A8&amp;CN$2,Master!$A$2:'Master'!$A$4384&amp;Master!$C$2:'Master'!$C$4384,0))</f>
        <v>0</v>
      </c>
      <c r="CO8" s="21" cm="1">
        <f t="array" aca="1" ref="CO8" ca="1">INDEX(Master!$I$2:'Master'!$I$4384,MATCH($A8&amp;CO$2,Master!$A$2:'Master'!$A$4384&amp;Master!$C$2:'Master'!$C$4384,0))</f>
        <v>0</v>
      </c>
      <c r="CP8" s="21" cm="1">
        <f t="array" aca="1" ref="CP8" ca="1">INDEX(Master!$I$2:'Master'!$I$4384,MATCH($A8&amp;CP$2,Master!$A$2:'Master'!$A$4384&amp;Master!$C$2:'Master'!$C$4384,0))</f>
        <v>0</v>
      </c>
      <c r="CQ8" s="21" cm="1">
        <f t="array" aca="1" ref="CQ8" ca="1">INDEX(Master!$I$2:'Master'!$I$4384,MATCH($A8&amp;CQ$2,Master!$A$2:'Master'!$A$4384&amp;Master!$C$2:'Master'!$C$4384,0))</f>
        <v>0</v>
      </c>
      <c r="CR8" s="21" cm="1">
        <f t="array" aca="1" ref="CR8" ca="1">INDEX(Master!$I$2:'Master'!$I$4384,MATCH($A8&amp;CR$2,Master!$A$2:'Master'!$A$4384&amp;Master!$C$2:'Master'!$C$4384,0))</f>
        <v>2</v>
      </c>
      <c r="CS8" s="21" cm="1">
        <f t="array" aca="1" ref="CS8" ca="1">INDEX(Master!$I$2:'Master'!$I$4384,MATCH($A8&amp;CS$2,Master!$A$2:'Master'!$A$4384&amp;Master!$C$2:'Master'!$C$4384,0))</f>
        <v>1</v>
      </c>
    </row>
    <row r="9" spans="1:97">
      <c r="A9" t="str">
        <f>VLOOKUP(Staff!$A6,Staff!$A$1:A$73,1,FALSE)</f>
        <v>Robbie Lewis</v>
      </c>
      <c r="B9" s="21" cm="1">
        <f t="array" aca="1" ref="B9" ca="1">INDEX(Master!$I$2:'Master'!$I$4384,MATCH($A9&amp;B$2,Master!$A$2:'Master'!$A$4384&amp;Master!$C$2:'Master'!$C$4384,0))</f>
        <v>3</v>
      </c>
      <c r="C9" s="21" cm="1">
        <f t="array" aca="1" ref="C9" ca="1">INDEX(Master!$I$2:'Master'!$I$4384,MATCH($A9&amp;C$2,Master!$A$2:'Master'!$A$4384&amp;Master!$C$2:'Master'!$C$4384,0))</f>
        <v>3</v>
      </c>
      <c r="D9" s="21" cm="1">
        <f t="array" aca="1" ref="D9" ca="1">INDEX(Master!$I$2:'Master'!$I$4384,MATCH($A9&amp;D$2,Master!$A$2:'Master'!$A$4384&amp;Master!$C$2:'Master'!$C$4384,0))</f>
        <v>3</v>
      </c>
      <c r="E9" s="21" cm="1">
        <f t="array" aca="1" ref="E9" ca="1">INDEX(Master!$I$2:'Master'!$I$4384,MATCH($A9&amp;E$2,Master!$A$2:'Master'!$A$4384&amp;Master!$C$2:'Master'!$C$4384,0))</f>
        <v>3</v>
      </c>
      <c r="F9" s="21" cm="1">
        <f t="array" aca="1" ref="F9" ca="1">INDEX(Master!$I$2:'Master'!$I$4384,MATCH($A9&amp;F$2,Master!$A$2:'Master'!$A$4384&amp;Master!$C$2:'Master'!$C$4384,0))</f>
        <v>3</v>
      </c>
      <c r="G9" s="21" cm="1">
        <f t="array" aca="1" ref="G9" ca="1">INDEX(Master!$I$2:'Master'!$I$4384,MATCH($A9&amp;G$2,Master!$A$2:'Master'!$A$4384&amp;Master!$C$2:'Master'!$C$4384,0))</f>
        <v>3</v>
      </c>
      <c r="H9" s="21" cm="1">
        <f t="array" aca="1" ref="H9" ca="1">INDEX(Master!$I$2:'Master'!$I$4384,MATCH($A9&amp;H$2,Master!$A$2:'Master'!$A$4384&amp;Master!$C$2:'Master'!$C$4384,0))</f>
        <v>3</v>
      </c>
      <c r="I9" s="21" cm="1">
        <f t="array" aca="1" ref="I9" ca="1">INDEX(Master!$I$2:'Master'!$I$4384,MATCH($A9&amp;I$2,Master!$A$2:'Master'!$A$4384&amp;Master!$C$2:'Master'!$C$4384,0))</f>
        <v>2</v>
      </c>
      <c r="J9" s="21" cm="1">
        <f t="array" aca="1" ref="J9" ca="1">INDEX(Master!$I$2:'Master'!$I$4384,MATCH($A9&amp;J$2,Master!$A$2:'Master'!$A$4384&amp;Master!$C$2:'Master'!$C$4384,0))</f>
        <v>2</v>
      </c>
      <c r="K9" s="21" cm="1">
        <f t="array" aca="1" ref="K9" ca="1">INDEX(Master!$I$2:'Master'!$I$4384,MATCH($A9&amp;K$2,Master!$A$2:'Master'!$A$4384&amp;Master!$C$2:'Master'!$C$4384,0))</f>
        <v>2</v>
      </c>
      <c r="L9" s="21" cm="1">
        <f t="array" aca="1" ref="L9" ca="1">INDEX(Master!$I$2:'Master'!$I$4384,MATCH($A9&amp;L$2,Master!$A$2:'Master'!$A$4384&amp;Master!$C$2:'Master'!$C$4384,0))</f>
        <v>1</v>
      </c>
      <c r="M9" s="21" cm="1">
        <f t="array" aca="1" ref="M9" ca="1">INDEX(Master!$I$2:'Master'!$I$4384,MATCH($A9&amp;M$2,Master!$A$2:'Master'!$A$4384&amp;Master!$C$2:'Master'!$C$4384,0))</f>
        <v>1</v>
      </c>
      <c r="N9" s="21" cm="1">
        <f t="array" aca="1" ref="N9" ca="1">INDEX(Master!$I$2:'Master'!$I$4384,MATCH($A9&amp;N$2,Master!$A$2:'Master'!$A$4384&amp;Master!$C$2:'Master'!$C$4384,0))</f>
        <v>1</v>
      </c>
      <c r="O9" s="21" cm="1">
        <f t="array" aca="1" ref="O9" ca="1">INDEX(Master!$I$2:'Master'!$I$4384,MATCH($A9&amp;O$2,Master!$A$2:'Master'!$A$4384&amp;Master!$C$2:'Master'!$C$4384,0))</f>
        <v>1</v>
      </c>
      <c r="P9" s="21" cm="1">
        <f t="array" aca="1" ref="P9" ca="1">INDEX(Master!$I$2:'Master'!$I$4384,MATCH($A9&amp;P$2,Master!$A$2:'Master'!$A$4384&amp;Master!$C$2:'Master'!$C$4384,0))</f>
        <v>3</v>
      </c>
      <c r="Q9" s="21" cm="1">
        <f t="array" aca="1" ref="Q9" ca="1">INDEX(Master!$I$2:'Master'!$I$4384,MATCH($A9&amp;Q$2,Master!$A$2:'Master'!$A$4384&amp;Master!$C$2:'Master'!$C$4384,0))</f>
        <v>3</v>
      </c>
      <c r="R9" s="21" cm="1">
        <f t="array" aca="1" ref="R9" ca="1">INDEX(Master!$I$2:'Master'!$I$4384,MATCH($A9&amp;R$2,Master!$A$2:'Master'!$A$4384&amp;Master!$C$2:'Master'!$C$4384,0))</f>
        <v>1</v>
      </c>
      <c r="S9" s="21" cm="1">
        <f t="array" aca="1" ref="S9" ca="1">INDEX(Master!$I$2:'Master'!$I$4384,MATCH($A9&amp;S$2,Master!$A$2:'Master'!$A$4384&amp;Master!$C$2:'Master'!$C$4384,0))</f>
        <v>0</v>
      </c>
      <c r="T9" s="21" cm="1">
        <f t="array" aca="1" ref="T9" ca="1">INDEX(Master!$I$2:'Master'!$I$4384,MATCH($A9&amp;T$2,Master!$A$2:'Master'!$A$4384&amp;Master!$C$2:'Master'!$C$4384,0))</f>
        <v>2</v>
      </c>
      <c r="U9" s="21" cm="1">
        <f t="array" aca="1" ref="U9" ca="1">INDEX(Master!$I$2:'Master'!$I$4384,MATCH($A9&amp;U$2,Master!$A$2:'Master'!$A$4384&amp;Master!$C$2:'Master'!$C$4384,0))</f>
        <v>2</v>
      </c>
      <c r="V9" s="21" cm="1">
        <f t="array" aca="1" ref="V9" ca="1">INDEX(Master!$I$2:'Master'!$I$4384,MATCH($A9&amp;V$2,Master!$A$2:'Master'!$A$4384&amp;Master!$C$2:'Master'!$C$4384,0))</f>
        <v>1</v>
      </c>
      <c r="W9" s="21" cm="1">
        <f t="array" aca="1" ref="W9" ca="1">INDEX(Master!$I$2:'Master'!$I$4384,MATCH($A9&amp;W$2,Master!$A$2:'Master'!$A$4384&amp;Master!$C$2:'Master'!$C$4384,0))</f>
        <v>2</v>
      </c>
      <c r="X9" s="21" cm="1">
        <f t="array" aca="1" ref="X9" ca="1">INDEX(Master!$I$2:'Master'!$I$4384,MATCH($A9&amp;X$2,Master!$A$2:'Master'!$A$4384&amp;Master!$C$2:'Master'!$C$4384,0))</f>
        <v>0</v>
      </c>
      <c r="Y9" s="21" cm="1">
        <f t="array" aca="1" ref="Y9" ca="1">INDEX(Master!$I$2:'Master'!$I$4384,MATCH($A9&amp;Y$2,Master!$A$2:'Master'!$A$4384&amp;Master!$C$2:'Master'!$C$4384,0))</f>
        <v>0</v>
      </c>
      <c r="Z9" s="21" cm="1">
        <f t="array" aca="1" ref="Z9" ca="1">INDEX(Master!$I$2:'Master'!$I$4384,MATCH($A9&amp;Z$2,Master!$A$2:'Master'!$A$4384&amp;Master!$C$2:'Master'!$C$4384,0))</f>
        <v>0</v>
      </c>
      <c r="AA9" s="21" cm="1">
        <f t="array" aca="1" ref="AA9" ca="1">INDEX(Master!$I$2:'Master'!$I$4384,MATCH($A9&amp;AA$2,Master!$A$2:'Master'!$A$4384&amp;Master!$C$2:'Master'!$C$4384,0))</f>
        <v>1</v>
      </c>
      <c r="AB9" s="21" cm="1">
        <f t="array" aca="1" ref="AB9" ca="1">INDEX(Master!$I$2:'Master'!$I$4384,MATCH($A9&amp;AB$2,Master!$A$2:'Master'!$A$4384&amp;Master!$C$2:'Master'!$C$4384,0))</f>
        <v>1</v>
      </c>
      <c r="AC9" s="21" cm="1">
        <f t="array" aca="1" ref="AC9" ca="1">INDEX(Master!$I$2:'Master'!$I$4384,MATCH($A9&amp;AC$2,Master!$A$2:'Master'!$A$4384&amp;Master!$C$2:'Master'!$C$4384,0))</f>
        <v>1</v>
      </c>
      <c r="AD9" s="21" cm="1">
        <f t="array" aca="1" ref="AD9" ca="1">INDEX(Master!$I$2:'Master'!$I$4384,MATCH($A9&amp;AD$2,Master!$A$2:'Master'!$A$4384&amp;Master!$C$2:'Master'!$C$4384,0))</f>
        <v>0</v>
      </c>
      <c r="AE9" s="21" cm="1">
        <f t="array" aca="1" ref="AE9" ca="1">INDEX(Master!$I$2:'Master'!$I$4384,MATCH($A9&amp;AE$2,Master!$A$2:'Master'!$A$4384&amp;Master!$C$2:'Master'!$C$4384,0))</f>
        <v>0</v>
      </c>
      <c r="AF9" s="21" cm="1">
        <f t="array" aca="1" ref="AF9" ca="1">INDEX(Master!$I$2:'Master'!$I$4384,MATCH($A9&amp;AF$2,Master!$A$2:'Master'!$A$4384&amp;Master!$C$2:'Master'!$C$4384,0))</f>
        <v>1</v>
      </c>
      <c r="AG9" s="21" cm="1">
        <f t="array" aca="1" ref="AG9" ca="1">INDEX(Master!$I$2:'Master'!$I$4384,MATCH($A9&amp;AG$2,Master!$A$2:'Master'!$A$4384&amp;Master!$C$2:'Master'!$C$4384,0))</f>
        <v>1</v>
      </c>
      <c r="AH9" s="21" cm="1">
        <f t="array" aca="1" ref="AH9" ca="1">INDEX(Master!$I$2:'Master'!$I$4384,MATCH($A9&amp;AH$2,Master!$A$2:'Master'!$A$4384&amp;Master!$C$2:'Master'!$C$4384,0))</f>
        <v>2</v>
      </c>
      <c r="AI9" s="21" cm="1">
        <f t="array" aca="1" ref="AI9" ca="1">INDEX(Master!$I$2:'Master'!$I$4384,MATCH($A9&amp;AI$2,Master!$A$2:'Master'!$A$4384&amp;Master!$C$2:'Master'!$C$4384,0))</f>
        <v>1</v>
      </c>
      <c r="AJ9" s="21" cm="1">
        <f t="array" aca="1" ref="AJ9" ca="1">INDEX(Master!$I$2:'Master'!$I$4384,MATCH($A9&amp;AJ$2,Master!$A$2:'Master'!$A$4384&amp;Master!$C$2:'Master'!$C$4384,0))</f>
        <v>2</v>
      </c>
      <c r="AK9" s="21" cm="1">
        <f t="array" aca="1" ref="AK9" ca="1">INDEX(Master!$I$2:'Master'!$I$4384,MATCH($A9&amp;AK$2,Master!$A$2:'Master'!$A$4384&amp;Master!$C$2:'Master'!$C$4384,0))</f>
        <v>0</v>
      </c>
      <c r="AL9" s="21" cm="1">
        <f t="array" aca="1" ref="AL9" ca="1">INDEX(Master!$I$2:'Master'!$I$4384,MATCH($A9&amp;AL$2,Master!$A$2:'Master'!$A$4384&amp;Master!$C$2:'Master'!$C$4384,0))</f>
        <v>1</v>
      </c>
      <c r="AM9" s="21" cm="1">
        <f t="array" aca="1" ref="AM9" ca="1">INDEX(Master!$I$2:'Master'!$I$4384,MATCH($A9&amp;AM$2,Master!$A$2:'Master'!$A$4384&amp;Master!$C$2:'Master'!$C$4384,0))</f>
        <v>3</v>
      </c>
      <c r="AN9" s="21" cm="1">
        <f t="array" aca="1" ref="AN9" ca="1">INDEX(Master!$I$2:'Master'!$I$4384,MATCH($A9&amp;AN$2,Master!$A$2:'Master'!$A$4384&amp;Master!$C$2:'Master'!$C$4384,0))</f>
        <v>0</v>
      </c>
      <c r="AO9" s="21" cm="1">
        <f t="array" aca="1" ref="AO9" ca="1">INDEX(Master!$I$2:'Master'!$I$4384,MATCH($A9&amp;AO$2,Master!$A$2:'Master'!$A$4384&amp;Master!$C$2:'Master'!$C$4384,0))</f>
        <v>0</v>
      </c>
      <c r="AP9" s="21" cm="1">
        <f t="array" aca="1" ref="AP9" ca="1">INDEX(Master!$I$2:'Master'!$I$4384,MATCH($A9&amp;AP$2,Master!$A$2:'Master'!$A$4384&amp;Master!$C$2:'Master'!$C$4384,0))</f>
        <v>1</v>
      </c>
      <c r="AQ9" s="21" cm="1">
        <f t="array" aca="1" ref="AQ9" ca="1">INDEX(Master!$I$2:'Master'!$I$4384,MATCH($A9&amp;AQ$2,Master!$A$2:'Master'!$A$4384&amp;Master!$C$2:'Master'!$C$4384,0))</f>
        <v>1</v>
      </c>
      <c r="AR9" s="21" cm="1">
        <f t="array" aca="1" ref="AR9" ca="1">INDEX(Master!$I$2:'Master'!$I$4384,MATCH($A9&amp;AR$2,Master!$A$2:'Master'!$A$4384&amp;Master!$C$2:'Master'!$C$4384,0))</f>
        <v>0</v>
      </c>
      <c r="AS9" s="21" cm="1">
        <f t="array" aca="1" ref="AS9" ca="1">INDEX(Master!$I$2:'Master'!$I$4384,MATCH($A9&amp;AS$2,Master!$A$2:'Master'!$A$4384&amp;Master!$C$2:'Master'!$C$4384,0))</f>
        <v>0</v>
      </c>
      <c r="AT9" s="21" cm="1">
        <f t="array" aca="1" ref="AT9" ca="1">INDEX(Master!$I$2:'Master'!$I$4384,MATCH($A9&amp;AT$2,Master!$A$2:'Master'!$A$4384&amp;Master!$C$2:'Master'!$C$4384,0))</f>
        <v>2</v>
      </c>
      <c r="AU9" s="21" cm="1">
        <f t="array" aca="1" ref="AU9" ca="1">INDEX(Master!$I$2:'Master'!$I$4384,MATCH($A9&amp;AU$2,Master!$A$2:'Master'!$A$4384&amp;Master!$C$2:'Master'!$C$4384,0))</f>
        <v>1</v>
      </c>
      <c r="AV9" s="21" cm="1">
        <f t="array" aca="1" ref="AV9" ca="1">INDEX(Master!$I$2:'Master'!$I$4384,MATCH($A9&amp;AV$2,Master!$A$2:'Master'!$A$4384&amp;Master!$C$2:'Master'!$C$4384,0))</f>
        <v>0</v>
      </c>
      <c r="AW9" s="21" cm="1">
        <f t="array" aca="1" ref="AW9" ca="1">INDEX(Master!$I$2:'Master'!$I$4384,MATCH($A9&amp;AW$2,Master!$A$2:'Master'!$A$4384&amp;Master!$C$2:'Master'!$C$4384,0))</f>
        <v>0</v>
      </c>
      <c r="AX9" s="21" cm="1">
        <f t="array" aca="1" ref="AX9" ca="1">INDEX(Master!$I$2:'Master'!$I$4384,MATCH($A9&amp;AX$2,Master!$A$2:'Master'!$A$4384&amp;Master!$C$2:'Master'!$C$4384,0))</f>
        <v>3</v>
      </c>
      <c r="AY9" s="21" cm="1">
        <f t="array" aca="1" ref="AY9" ca="1">INDEX(Master!$I$2:'Master'!$I$4384,MATCH($A9&amp;AY$2,Master!$A$2:'Master'!$A$4384&amp;Master!$C$2:'Master'!$C$4384,0))</f>
        <v>2</v>
      </c>
      <c r="AZ9" s="21" cm="1">
        <f t="array" aca="1" ref="AZ9" ca="1">INDEX(Master!$I$2:'Master'!$I$4384,MATCH($A9&amp;AZ$2,Master!$A$2:'Master'!$A$4384&amp;Master!$C$2:'Master'!$C$4384,0))</f>
        <v>1</v>
      </c>
      <c r="BA9" s="21" cm="1">
        <f t="array" aca="1" ref="BA9" ca="1">INDEX(Master!$I$2:'Master'!$I$4384,MATCH($A9&amp;BA$2,Master!$A$2:'Master'!$A$4384&amp;Master!$C$2:'Master'!$C$4384,0))</f>
        <v>1</v>
      </c>
      <c r="BB9" s="21" cm="1">
        <f t="array" aca="1" ref="BB9" ca="1">INDEX(Master!$I$2:'Master'!$I$4384,MATCH($A9&amp;BB$2,Master!$A$2:'Master'!$A$4384&amp;Master!$C$2:'Master'!$C$4384,0))</f>
        <v>1</v>
      </c>
      <c r="BC9" s="21" cm="1">
        <f t="array" aca="1" ref="BC9" ca="1">INDEX(Master!$I$2:'Master'!$I$4384,MATCH($A9&amp;BC$2,Master!$A$2:'Master'!$A$4384&amp;Master!$C$2:'Master'!$C$4384,0))</f>
        <v>2</v>
      </c>
      <c r="BD9" s="21" cm="1">
        <f t="array" aca="1" ref="BD9" ca="1">INDEX(Master!$I$2:'Master'!$I$4384,MATCH($A9&amp;BD$2,Master!$A$2:'Master'!$A$4384&amp;Master!$C$2:'Master'!$C$4384,0))</f>
        <v>3</v>
      </c>
      <c r="BE9" s="21" cm="1">
        <f t="array" aca="1" ref="BE9" ca="1">INDEX(Master!$I$2:'Master'!$I$4384,MATCH($A9&amp;BE$2,Master!$A$2:'Master'!$A$4384&amp;Master!$C$2:'Master'!$C$4384,0))</f>
        <v>0</v>
      </c>
      <c r="BF9" s="21" cm="1">
        <f t="array" aca="1" ref="BF9" ca="1">INDEX(Master!$I$2:'Master'!$I$4384,MATCH($A9&amp;BF$2,Master!$A$2:'Master'!$A$4384&amp;Master!$C$2:'Master'!$C$4384,0))</f>
        <v>1</v>
      </c>
      <c r="BG9" s="21" cm="1">
        <f t="array" aca="1" ref="BG9" ca="1">INDEX(Master!$I$2:'Master'!$I$4384,MATCH($A9&amp;BG$2,Master!$A$2:'Master'!$A$4384&amp;Master!$C$2:'Master'!$C$4384,0))</f>
        <v>1</v>
      </c>
      <c r="BH9" s="21" cm="1">
        <f t="array" aca="1" ref="BH9" ca="1">INDEX(Master!$I$2:'Master'!$I$4384,MATCH($A9&amp;BH$2,Master!$A$2:'Master'!$A$4384&amp;Master!$C$2:'Master'!$C$4384,0))</f>
        <v>1</v>
      </c>
      <c r="BI9" s="21" cm="1">
        <f t="array" aca="1" ref="BI9" ca="1">INDEX(Master!$I$2:'Master'!$I$4384,MATCH($A9&amp;BI$2,Master!$A$2:'Master'!$A$4384&amp;Master!$C$2:'Master'!$C$4384,0))</f>
        <v>1</v>
      </c>
      <c r="BJ9" s="21" cm="1">
        <f t="array" aca="1" ref="BJ9" ca="1">INDEX(Master!$I$2:'Master'!$I$4384,MATCH($A9&amp;BJ$2,Master!$A$2:'Master'!$A$4384&amp;Master!$C$2:'Master'!$C$4384,0))</f>
        <v>0</v>
      </c>
      <c r="BK9" s="21" cm="1">
        <f t="array" aca="1" ref="BK9" ca="1">INDEX(Master!$I$2:'Master'!$I$4384,MATCH($A9&amp;BK$2,Master!$A$2:'Master'!$A$4384&amp;Master!$C$2:'Master'!$C$4384,0))</f>
        <v>1</v>
      </c>
      <c r="BL9" s="21" cm="1">
        <f t="array" aca="1" ref="BL9" ca="1">INDEX(Master!$I$2:'Master'!$I$4384,MATCH($A9&amp;BL$2,Master!$A$2:'Master'!$A$4384&amp;Master!$C$2:'Master'!$C$4384,0))</f>
        <v>1</v>
      </c>
      <c r="BM9" s="21" cm="1">
        <f t="array" aca="1" ref="BM9" ca="1">INDEX(Master!$I$2:'Master'!$I$4384,MATCH($A9&amp;BM$2,Master!$A$2:'Master'!$A$4384&amp;Master!$C$2:'Master'!$C$4384,0))</f>
        <v>1</v>
      </c>
      <c r="BN9" s="21" cm="1">
        <f t="array" aca="1" ref="BN9" ca="1">INDEX(Master!$I$2:'Master'!$I$4384,MATCH($A9&amp;BN$2,Master!$A$2:'Master'!$A$4384&amp;Master!$C$2:'Master'!$C$4384,0))</f>
        <v>1</v>
      </c>
      <c r="BO9" s="21" cm="1">
        <f t="array" aca="1" ref="BO9" ca="1">INDEX(Master!$I$2:'Master'!$I$4384,MATCH($A9&amp;BO$2,Master!$A$2:'Master'!$A$4384&amp;Master!$C$2:'Master'!$C$4384,0))</f>
        <v>2</v>
      </c>
      <c r="BP9" s="21" cm="1">
        <f t="array" aca="1" ref="BP9" ca="1">INDEX(Master!$I$2:'Master'!$I$4384,MATCH($A9&amp;BP$2,Master!$A$2:'Master'!$A$4384&amp;Master!$C$2:'Master'!$C$4384,0))</f>
        <v>1</v>
      </c>
      <c r="BQ9" s="21" cm="1">
        <f t="array" aca="1" ref="BQ9" ca="1">INDEX(Master!$I$2:'Master'!$I$4384,MATCH($A9&amp;BQ$2,Master!$A$2:'Master'!$A$4384&amp;Master!$C$2:'Master'!$C$4384,0))</f>
        <v>1</v>
      </c>
      <c r="BR9" s="21" cm="1">
        <f t="array" aca="1" ref="BR9" ca="1">INDEX(Master!$I$2:'Master'!$I$4384,MATCH($A9&amp;BR$2,Master!$A$2:'Master'!$A$4384&amp;Master!$C$2:'Master'!$C$4384,0))</f>
        <v>1</v>
      </c>
      <c r="BS9" s="21" cm="1">
        <f t="array" aca="1" ref="BS9" ca="1">INDEX(Master!$I$2:'Master'!$I$4384,MATCH($A9&amp;BS$2,Master!$A$2:'Master'!$A$4384&amp;Master!$C$2:'Master'!$C$4384,0))</f>
        <v>0</v>
      </c>
      <c r="BT9" s="21" cm="1">
        <f t="array" aca="1" ref="BT9" ca="1">INDEX(Master!$I$2:'Master'!$I$4384,MATCH($A9&amp;BT$2,Master!$A$2:'Master'!$A$4384&amp;Master!$C$2:'Master'!$C$4384,0))</f>
        <v>1</v>
      </c>
      <c r="BU9" s="21" cm="1">
        <f t="array" aca="1" ref="BU9" ca="1">INDEX(Master!$I$2:'Master'!$I$4384,MATCH($A9&amp;BU$2,Master!$A$2:'Master'!$A$4384&amp;Master!$C$2:'Master'!$C$4384,0))</f>
        <v>0</v>
      </c>
      <c r="BV9" s="21" cm="1">
        <f t="array" aca="1" ref="BV9" ca="1">INDEX(Master!$I$2:'Master'!$I$4384,MATCH($A9&amp;BV$2,Master!$A$2:'Master'!$A$4384&amp;Master!$C$2:'Master'!$C$4384,0))</f>
        <v>1</v>
      </c>
      <c r="BW9" s="21" cm="1">
        <f t="array" aca="1" ref="BW9" ca="1">INDEX(Master!$I$2:'Master'!$I$4384,MATCH($A9&amp;BW$2,Master!$A$2:'Master'!$A$4384&amp;Master!$C$2:'Master'!$C$4384,0))</f>
        <v>1</v>
      </c>
      <c r="BX9" s="21" cm="1">
        <f t="array" aca="1" ref="BX9" ca="1">INDEX(Master!$I$2:'Master'!$I$4384,MATCH($A9&amp;BX$2,Master!$A$2:'Master'!$A$4384&amp;Master!$C$2:'Master'!$C$4384,0))</f>
        <v>1</v>
      </c>
      <c r="BY9" s="21" cm="1">
        <f t="array" aca="1" ref="BY9" ca="1">INDEX(Master!$I$2:'Master'!$I$4384,MATCH($A9&amp;BY$2,Master!$A$2:'Master'!$A$4384&amp;Master!$C$2:'Master'!$C$4384,0))</f>
        <v>1</v>
      </c>
      <c r="BZ9" s="21" cm="1">
        <f t="array" aca="1" ref="BZ9" ca="1">INDEX(Master!$I$2:'Master'!$I$4384,MATCH($A9&amp;BZ$2,Master!$A$2:'Master'!$A$4384&amp;Master!$C$2:'Master'!$C$4384,0))</f>
        <v>1</v>
      </c>
      <c r="CA9" s="21" cm="1">
        <f t="array" aca="1" ref="CA9" ca="1">INDEX(Master!$I$2:'Master'!$I$4384,MATCH($A9&amp;CA$2,Master!$A$2:'Master'!$A$4384&amp;Master!$C$2:'Master'!$C$4384,0))</f>
        <v>0</v>
      </c>
      <c r="CB9" s="21" cm="1">
        <f t="array" aca="1" ref="CB9" ca="1">INDEX(Master!$I$2:'Master'!$I$4384,MATCH($A9&amp;CB$2,Master!$A$2:'Master'!$A$4384&amp;Master!$C$2:'Master'!$C$4384,0))</f>
        <v>1</v>
      </c>
      <c r="CC9" s="21" cm="1">
        <f t="array" aca="1" ref="CC9" ca="1">INDEX(Master!$I$2:'Master'!$I$4384,MATCH($A9&amp;CC$2,Master!$A$2:'Master'!$A$4384&amp;Master!$C$2:'Master'!$C$4384,0))</f>
        <v>1</v>
      </c>
      <c r="CD9" s="21" cm="1">
        <f t="array" aca="1" ref="CD9" ca="1">INDEX(Master!$I$2:'Master'!$I$4384,MATCH($A9&amp;CD$2,Master!$A$2:'Master'!$A$4384&amp;Master!$C$2:'Master'!$C$4384,0))</f>
        <v>1</v>
      </c>
      <c r="CE9" s="21" cm="1">
        <f t="array" aca="1" ref="CE9" ca="1">INDEX(Master!$I$2:'Master'!$I$4384,MATCH($A9&amp;CE$2,Master!$A$2:'Master'!$A$4384&amp;Master!$C$2:'Master'!$C$4384,0))</f>
        <v>2</v>
      </c>
      <c r="CF9" s="21" cm="1">
        <f t="array" aca="1" ref="CF9" ca="1">INDEX(Master!$I$2:'Master'!$I$4384,MATCH($A9&amp;CF$2,Master!$A$2:'Master'!$A$4384&amp;Master!$C$2:'Master'!$C$4384,0))</f>
        <v>0</v>
      </c>
      <c r="CG9" s="21" cm="1">
        <f t="array" aca="1" ref="CG9" ca="1">INDEX(Master!$I$2:'Master'!$I$4384,MATCH($A9&amp;CG$2,Master!$A$2:'Master'!$A$4384&amp;Master!$C$2:'Master'!$C$4384,0))</f>
        <v>2</v>
      </c>
      <c r="CH9" s="21" cm="1">
        <f t="array" aca="1" ref="CH9" ca="1">INDEX(Master!$I$2:'Master'!$I$4384,MATCH($A9&amp;CH$2,Master!$A$2:'Master'!$A$4384&amp;Master!$C$2:'Master'!$C$4384,0))</f>
        <v>1</v>
      </c>
      <c r="CI9" s="21" cm="1">
        <f t="array" aca="1" ref="CI9" ca="1">INDEX(Master!$I$2:'Master'!$I$4384,MATCH($A9&amp;CI$2,Master!$A$2:'Master'!$A$4384&amp;Master!$C$2:'Master'!$C$4384,0))</f>
        <v>2</v>
      </c>
      <c r="CJ9" s="21" cm="1">
        <f t="array" aca="1" ref="CJ9" ca="1">INDEX(Master!$I$2:'Master'!$I$4384,MATCH($A9&amp;CJ$2,Master!$A$2:'Master'!$A$4384&amp;Master!$C$2:'Master'!$C$4384,0))</f>
        <v>0</v>
      </c>
      <c r="CK9" s="21" cm="1">
        <f t="array" aca="1" ref="CK9" ca="1">INDEX(Master!$I$2:'Master'!$I$4384,MATCH($A9&amp;CK$2,Master!$A$2:'Master'!$A$4384&amp;Master!$C$2:'Master'!$C$4384,0))</f>
        <v>1</v>
      </c>
      <c r="CL9" s="21" cm="1">
        <f t="array" aca="1" ref="CL9" ca="1">INDEX(Master!$I$2:'Master'!$I$4384,MATCH($A9&amp;CL$2,Master!$A$2:'Master'!$A$4384&amp;Master!$C$2:'Master'!$C$4384,0))</f>
        <v>2</v>
      </c>
      <c r="CM9" s="21" cm="1">
        <f t="array" aca="1" ref="CM9" ca="1">INDEX(Master!$I$2:'Master'!$I$4384,MATCH($A9&amp;CM$2,Master!$A$2:'Master'!$A$4384&amp;Master!$C$2:'Master'!$C$4384,0))</f>
        <v>1</v>
      </c>
      <c r="CN9" s="21" cm="1">
        <f t="array" aca="1" ref="CN9" ca="1">INDEX(Master!$I$2:'Master'!$I$4384,MATCH($A9&amp;CN$2,Master!$A$2:'Master'!$A$4384&amp;Master!$C$2:'Master'!$C$4384,0))</f>
        <v>1</v>
      </c>
      <c r="CO9" s="21" cm="1">
        <f t="array" aca="1" ref="CO9" ca="1">INDEX(Master!$I$2:'Master'!$I$4384,MATCH($A9&amp;CO$2,Master!$A$2:'Master'!$A$4384&amp;Master!$C$2:'Master'!$C$4384,0))</f>
        <v>1</v>
      </c>
      <c r="CP9" s="21" cm="1">
        <f t="array" aca="1" ref="CP9" ca="1">INDEX(Master!$I$2:'Master'!$I$4384,MATCH($A9&amp;CP$2,Master!$A$2:'Master'!$A$4384&amp;Master!$C$2:'Master'!$C$4384,0))</f>
        <v>1</v>
      </c>
      <c r="CQ9" s="21" cm="1">
        <f t="array" aca="1" ref="CQ9" ca="1">INDEX(Master!$I$2:'Master'!$I$4384,MATCH($A9&amp;CQ$2,Master!$A$2:'Master'!$A$4384&amp;Master!$C$2:'Master'!$C$4384,0))</f>
        <v>1</v>
      </c>
      <c r="CR9" s="21" cm="1">
        <f t="array" aca="1" ref="CR9" ca="1">INDEX(Master!$I$2:'Master'!$I$4384,MATCH($A9&amp;CR$2,Master!$A$2:'Master'!$A$4384&amp;Master!$C$2:'Master'!$C$4384,0))</f>
        <v>1</v>
      </c>
      <c r="CS9" s="21" cm="1">
        <f t="array" aca="1" ref="CS9" ca="1">INDEX(Master!$I$2:'Master'!$I$4384,MATCH($A9&amp;CS$2,Master!$A$2:'Master'!$A$4384&amp;Master!$C$2:'Master'!$C$4384,0))</f>
        <v>1</v>
      </c>
    </row>
    <row r="10" spans="1:97">
      <c r="A10" t="s">
        <v>381</v>
      </c>
      <c r="B10" s="21" cm="1">
        <f t="array" aca="1" ref="B10" ca="1">INDEX(Master!$I$2:'Master'!$I$4384,MATCH($A10&amp;B$2,Master!$A$2:'Master'!$A$4384&amp;Master!$C$2:'Master'!$C$4384,0))</f>
        <v>3</v>
      </c>
      <c r="C10" s="21" cm="1">
        <f t="array" aca="1" ref="C10" ca="1">INDEX(Master!$I$2:'Master'!$I$4384,MATCH($A10&amp;C$2,Master!$A$2:'Master'!$A$4384&amp;Master!$C$2:'Master'!$C$4384,0))</f>
        <v>4</v>
      </c>
      <c r="D10" s="21" cm="1">
        <f t="array" aca="1" ref="D10" ca="1">INDEX(Master!$I$2:'Master'!$I$4384,MATCH($A10&amp;D$2,Master!$A$2:'Master'!$A$4384&amp;Master!$C$2:'Master'!$C$4384,0))</f>
        <v>4</v>
      </c>
      <c r="E10" s="21" cm="1">
        <f t="array" aca="1" ref="E10" ca="1">INDEX(Master!$I$2:'Master'!$I$4384,MATCH($A10&amp;E$2,Master!$A$2:'Master'!$A$4384&amp;Master!$C$2:'Master'!$C$4384,0))</f>
        <v>3</v>
      </c>
      <c r="F10" s="21" cm="1">
        <f t="array" aca="1" ref="F10" ca="1">INDEX(Master!$I$2:'Master'!$I$4384,MATCH($A10&amp;F$2,Master!$A$2:'Master'!$A$4384&amp;Master!$C$2:'Master'!$C$4384,0))</f>
        <v>3</v>
      </c>
      <c r="G10" s="21" cm="1">
        <f t="array" aca="1" ref="G10" ca="1">INDEX(Master!$I$2:'Master'!$I$4384,MATCH($A10&amp;G$2,Master!$A$2:'Master'!$A$4384&amp;Master!$C$2:'Master'!$C$4384,0))</f>
        <v>3</v>
      </c>
      <c r="H10" s="21" cm="1">
        <f t="array" aca="1" ref="H10" ca="1">INDEX(Master!$I$2:'Master'!$I$4384,MATCH($A10&amp;H$2,Master!$A$2:'Master'!$A$4384&amp;Master!$C$2:'Master'!$C$4384,0))</f>
        <v>3</v>
      </c>
      <c r="I10" s="21" cm="1">
        <f t="array" aca="1" ref="I10" ca="1">INDEX(Master!$I$2:'Master'!$I$4384,MATCH($A10&amp;I$2,Master!$A$2:'Master'!$A$4384&amp;Master!$C$2:'Master'!$C$4384,0))</f>
        <v>3</v>
      </c>
      <c r="J10" s="21" cm="1">
        <f t="array" aca="1" ref="J10" ca="1">INDEX(Master!$I$2:'Master'!$I$4384,MATCH($A10&amp;J$2,Master!$A$2:'Master'!$A$4384&amp;Master!$C$2:'Master'!$C$4384,0))</f>
        <v>3</v>
      </c>
      <c r="K10" s="21" cm="1">
        <f t="array" aca="1" ref="K10" ca="1">INDEX(Master!$I$2:'Master'!$I$4384,MATCH($A10&amp;K$2,Master!$A$2:'Master'!$A$4384&amp;Master!$C$2:'Master'!$C$4384,0))</f>
        <v>1</v>
      </c>
      <c r="L10" s="21" cm="1">
        <f t="array" aca="1" ref="L10" ca="1">INDEX(Master!$I$2:'Master'!$I$4384,MATCH($A10&amp;L$2,Master!$A$2:'Master'!$A$4384&amp;Master!$C$2:'Master'!$C$4384,0))</f>
        <v>0</v>
      </c>
      <c r="M10" s="21" cm="1">
        <f t="array" aca="1" ref="M10" ca="1">INDEX(Master!$I$2:'Master'!$I$4384,MATCH($A10&amp;M$2,Master!$A$2:'Master'!$A$4384&amp;Master!$C$2:'Master'!$C$4384,0))</f>
        <v>1</v>
      </c>
      <c r="N10" s="21" cm="1">
        <f t="array" aca="1" ref="N10" ca="1">INDEX(Master!$I$2:'Master'!$I$4384,MATCH($A10&amp;N$2,Master!$A$2:'Master'!$A$4384&amp;Master!$C$2:'Master'!$C$4384,0))</f>
        <v>1</v>
      </c>
      <c r="O10" s="21" cm="1">
        <f t="array" aca="1" ref="O10" ca="1">INDEX(Master!$I$2:'Master'!$I$4384,MATCH($A10&amp;O$2,Master!$A$2:'Master'!$A$4384&amp;Master!$C$2:'Master'!$C$4384,0))</f>
        <v>1</v>
      </c>
      <c r="P10" s="21" cm="1">
        <f t="array" aca="1" ref="P10" ca="1">INDEX(Master!$I$2:'Master'!$I$4384,MATCH($A10&amp;P$2,Master!$A$2:'Master'!$A$4384&amp;Master!$C$2:'Master'!$C$4384,0))</f>
        <v>3</v>
      </c>
      <c r="Q10" s="21" cm="1">
        <f t="array" aca="1" ref="Q10" ca="1">INDEX(Master!$I$2:'Master'!$I$4384,MATCH($A10&amp;Q$2,Master!$A$2:'Master'!$A$4384&amp;Master!$C$2:'Master'!$C$4384,0))</f>
        <v>1</v>
      </c>
      <c r="R10" s="21" cm="1">
        <f t="array" aca="1" ref="R10" ca="1">INDEX(Master!$I$2:'Master'!$I$4384,MATCH($A10&amp;R$2,Master!$A$2:'Master'!$A$4384&amp;Master!$C$2:'Master'!$C$4384,0))</f>
        <v>0</v>
      </c>
      <c r="S10" s="21" cm="1">
        <f t="array" aca="1" ref="S10" ca="1">INDEX(Master!$I$2:'Master'!$I$4384,MATCH($A10&amp;S$2,Master!$A$2:'Master'!$A$4384&amp;Master!$C$2:'Master'!$C$4384,0))</f>
        <v>0</v>
      </c>
      <c r="T10" s="21" cm="1">
        <f t="array" aca="1" ref="T10" ca="1">INDEX(Master!$I$2:'Master'!$I$4384,MATCH($A10&amp;T$2,Master!$A$2:'Master'!$A$4384&amp;Master!$C$2:'Master'!$C$4384,0))</f>
        <v>1</v>
      </c>
      <c r="U10" s="21" cm="1">
        <f t="array" aca="1" ref="U10" ca="1">INDEX(Master!$I$2:'Master'!$I$4384,MATCH($A10&amp;U$2,Master!$A$2:'Master'!$A$4384&amp;Master!$C$2:'Master'!$C$4384,0))</f>
        <v>3</v>
      </c>
      <c r="V10" s="21" cm="1">
        <f t="array" aca="1" ref="V10" ca="1">INDEX(Master!$I$2:'Master'!$I$4384,MATCH($A10&amp;V$2,Master!$A$2:'Master'!$A$4384&amp;Master!$C$2:'Master'!$C$4384,0))</f>
        <v>1</v>
      </c>
      <c r="W10" s="21" cm="1">
        <f t="array" aca="1" ref="W10" ca="1">INDEX(Master!$I$2:'Master'!$I$4384,MATCH($A10&amp;W$2,Master!$A$2:'Master'!$A$4384&amp;Master!$C$2:'Master'!$C$4384,0))</f>
        <v>3</v>
      </c>
      <c r="X10" s="21" cm="1">
        <f t="array" aca="1" ref="X10" ca="1">INDEX(Master!$I$2:'Master'!$I$4384,MATCH($A10&amp;X$2,Master!$A$2:'Master'!$A$4384&amp;Master!$C$2:'Master'!$C$4384,0))</f>
        <v>0</v>
      </c>
      <c r="Y10" s="21" cm="1">
        <f t="array" aca="1" ref="Y10" ca="1">INDEX(Master!$I$2:'Master'!$I$4384,MATCH($A10&amp;Y$2,Master!$A$2:'Master'!$A$4384&amp;Master!$C$2:'Master'!$C$4384,0))</f>
        <v>0</v>
      </c>
      <c r="Z10" s="21" cm="1">
        <f t="array" aca="1" ref="Z10" ca="1">INDEX(Master!$I$2:'Master'!$I$4384,MATCH($A10&amp;Z$2,Master!$A$2:'Master'!$A$4384&amp;Master!$C$2:'Master'!$C$4384,0))</f>
        <v>0</v>
      </c>
      <c r="AA10" s="21" cm="1">
        <f t="array" aca="1" ref="AA10" ca="1">INDEX(Master!$I$2:'Master'!$I$4384,MATCH($A10&amp;AA$2,Master!$A$2:'Master'!$A$4384&amp;Master!$C$2:'Master'!$C$4384,0))</f>
        <v>0</v>
      </c>
      <c r="AB10" s="21" cm="1">
        <f t="array" aca="1" ref="AB10" ca="1">INDEX(Master!$I$2:'Master'!$I$4384,MATCH($A10&amp;AB$2,Master!$A$2:'Master'!$A$4384&amp;Master!$C$2:'Master'!$C$4384,0))</f>
        <v>0</v>
      </c>
      <c r="AC10" s="21" cm="1">
        <f t="array" aca="1" ref="AC10" ca="1">INDEX(Master!$I$2:'Master'!$I$4384,MATCH($A10&amp;AC$2,Master!$A$2:'Master'!$A$4384&amp;Master!$C$2:'Master'!$C$4384,0))</f>
        <v>1</v>
      </c>
      <c r="AD10" s="21" cm="1">
        <f t="array" aca="1" ref="AD10" ca="1">INDEX(Master!$I$2:'Master'!$I$4384,MATCH($A10&amp;AD$2,Master!$A$2:'Master'!$A$4384&amp;Master!$C$2:'Master'!$C$4384,0))</f>
        <v>0</v>
      </c>
      <c r="AE10" s="21" cm="1">
        <f t="array" aca="1" ref="AE10" ca="1">INDEX(Master!$I$2:'Master'!$I$4384,MATCH($A10&amp;AE$2,Master!$A$2:'Master'!$A$4384&amp;Master!$C$2:'Master'!$C$4384,0))</f>
        <v>0</v>
      </c>
      <c r="AF10" s="21" cm="1">
        <f t="array" aca="1" ref="AF10" ca="1">INDEX(Master!$I$2:'Master'!$I$4384,MATCH($A10&amp;AF$2,Master!$A$2:'Master'!$A$4384&amp;Master!$C$2:'Master'!$C$4384,0))</f>
        <v>1</v>
      </c>
      <c r="AG10" s="21" cm="1">
        <f t="array" aca="1" ref="AG10" ca="1">INDEX(Master!$I$2:'Master'!$I$4384,MATCH($A10&amp;AG$2,Master!$A$2:'Master'!$A$4384&amp;Master!$C$2:'Master'!$C$4384,0))</f>
        <v>0</v>
      </c>
      <c r="AH10" s="21" cm="1">
        <f t="array" aca="1" ref="AH10" ca="1">INDEX(Master!$I$2:'Master'!$I$4384,MATCH($A10&amp;AH$2,Master!$A$2:'Master'!$A$4384&amp;Master!$C$2:'Master'!$C$4384,0))</f>
        <v>3</v>
      </c>
      <c r="AI10" s="21" cm="1">
        <f t="array" aca="1" ref="AI10" ca="1">INDEX(Master!$I$2:'Master'!$I$4384,MATCH($A10&amp;AI$2,Master!$A$2:'Master'!$A$4384&amp;Master!$C$2:'Master'!$C$4384,0))</f>
        <v>1</v>
      </c>
      <c r="AJ10" s="21" cm="1">
        <f t="array" aca="1" ref="AJ10" ca="1">INDEX(Master!$I$2:'Master'!$I$4384,MATCH($A10&amp;AJ$2,Master!$A$2:'Master'!$A$4384&amp;Master!$C$2:'Master'!$C$4384,0))</f>
        <v>3</v>
      </c>
      <c r="AK10" s="21" cm="1">
        <f t="array" aca="1" ref="AK10" ca="1">INDEX(Master!$I$2:'Master'!$I$4384,MATCH($A10&amp;AK$2,Master!$A$2:'Master'!$A$4384&amp;Master!$C$2:'Master'!$C$4384,0))</f>
        <v>0</v>
      </c>
      <c r="AL10" s="21" cm="1">
        <f t="array" aca="1" ref="AL10" ca="1">INDEX(Master!$I$2:'Master'!$I$4384,MATCH($A10&amp;AL$2,Master!$A$2:'Master'!$A$4384&amp;Master!$C$2:'Master'!$C$4384,0))</f>
        <v>3</v>
      </c>
      <c r="AM10" s="21" cm="1">
        <f t="array" aca="1" ref="AM10" ca="1">INDEX(Master!$I$2:'Master'!$I$4384,MATCH($A10&amp;AM$2,Master!$A$2:'Master'!$A$4384&amp;Master!$C$2:'Master'!$C$4384,0))</f>
        <v>3</v>
      </c>
      <c r="AN10" s="21" cm="1">
        <f t="array" aca="1" ref="AN10" ca="1">INDEX(Master!$I$2:'Master'!$I$4384,MATCH($A10&amp;AN$2,Master!$A$2:'Master'!$A$4384&amp;Master!$C$2:'Master'!$C$4384,0))</f>
        <v>0</v>
      </c>
      <c r="AO10" s="21" cm="1">
        <f t="array" aca="1" ref="AO10" ca="1">INDEX(Master!$I$2:'Master'!$I$4384,MATCH($A10&amp;AO$2,Master!$A$2:'Master'!$A$4384&amp;Master!$C$2:'Master'!$C$4384,0))</f>
        <v>0</v>
      </c>
      <c r="AP10" s="21" cm="1">
        <f t="array" aca="1" ref="AP10" ca="1">INDEX(Master!$I$2:'Master'!$I$4384,MATCH($A10&amp;AP$2,Master!$A$2:'Master'!$A$4384&amp;Master!$C$2:'Master'!$C$4384,0))</f>
        <v>1</v>
      </c>
      <c r="AQ10" s="21" cm="1">
        <f t="array" aca="1" ref="AQ10" ca="1">INDEX(Master!$I$2:'Master'!$I$4384,MATCH($A10&amp;AQ$2,Master!$A$2:'Master'!$A$4384&amp;Master!$C$2:'Master'!$C$4384,0))</f>
        <v>0</v>
      </c>
      <c r="AR10" s="21" cm="1">
        <f t="array" aca="1" ref="AR10" ca="1">INDEX(Master!$I$2:'Master'!$I$4384,MATCH($A10&amp;AR$2,Master!$A$2:'Master'!$A$4384&amp;Master!$C$2:'Master'!$C$4384,0))</f>
        <v>0</v>
      </c>
      <c r="AS10" s="21" cm="1">
        <f t="array" aca="1" ref="AS10" ca="1">INDEX(Master!$I$2:'Master'!$I$4384,MATCH($A10&amp;AS$2,Master!$A$2:'Master'!$A$4384&amp;Master!$C$2:'Master'!$C$4384,0))</f>
        <v>0</v>
      </c>
      <c r="AT10" s="21" cm="1">
        <f t="array" aca="1" ref="AT10" ca="1">INDEX(Master!$I$2:'Master'!$I$4384,MATCH($A10&amp;AT$2,Master!$A$2:'Master'!$A$4384&amp;Master!$C$2:'Master'!$C$4384,0))</f>
        <v>1</v>
      </c>
      <c r="AU10" s="21" cm="1">
        <f t="array" aca="1" ref="AU10" ca="1">INDEX(Master!$I$2:'Master'!$I$4384,MATCH($A10&amp;AU$2,Master!$A$2:'Master'!$A$4384&amp;Master!$C$2:'Master'!$C$4384,0))</f>
        <v>0</v>
      </c>
      <c r="AV10" s="21" cm="1">
        <f t="array" aca="1" ref="AV10" ca="1">INDEX(Master!$I$2:'Master'!$I$4384,MATCH($A10&amp;AV$2,Master!$A$2:'Master'!$A$4384&amp;Master!$C$2:'Master'!$C$4384,0))</f>
        <v>0</v>
      </c>
      <c r="AW10" s="21" cm="1">
        <f t="array" aca="1" ref="AW10" ca="1">INDEX(Master!$I$2:'Master'!$I$4384,MATCH($A10&amp;AW$2,Master!$A$2:'Master'!$A$4384&amp;Master!$C$2:'Master'!$C$4384,0))</f>
        <v>0</v>
      </c>
      <c r="AX10" s="21" cm="1">
        <f t="array" aca="1" ref="AX10" ca="1">INDEX(Master!$I$2:'Master'!$I$4384,MATCH($A10&amp;AX$2,Master!$A$2:'Master'!$A$4384&amp;Master!$C$2:'Master'!$C$4384,0))</f>
        <v>4</v>
      </c>
      <c r="AY10" s="21" cm="1">
        <f t="array" aca="1" ref="AY10" ca="1">INDEX(Master!$I$2:'Master'!$I$4384,MATCH($A10&amp;AY$2,Master!$A$2:'Master'!$A$4384&amp;Master!$C$2:'Master'!$C$4384,0))</f>
        <v>3</v>
      </c>
      <c r="AZ10" s="21" cm="1">
        <f t="array" aca="1" ref="AZ10" ca="1">INDEX(Master!$I$2:'Master'!$I$4384,MATCH($A10&amp;AZ$2,Master!$A$2:'Master'!$A$4384&amp;Master!$C$2:'Master'!$C$4384,0))</f>
        <v>0</v>
      </c>
      <c r="BA10" s="21" cm="1">
        <f t="array" aca="1" ref="BA10" ca="1">INDEX(Master!$I$2:'Master'!$I$4384,MATCH($A10&amp;BA$2,Master!$A$2:'Master'!$A$4384&amp;Master!$C$2:'Master'!$C$4384,0))</f>
        <v>0</v>
      </c>
      <c r="BB10" s="21" cm="1">
        <f t="array" aca="1" ref="BB10" ca="1">INDEX(Master!$I$2:'Master'!$I$4384,MATCH($A10&amp;BB$2,Master!$A$2:'Master'!$A$4384&amp;Master!$C$2:'Master'!$C$4384,0))</f>
        <v>0</v>
      </c>
      <c r="BC10" s="21" cm="1">
        <f t="array" aca="1" ref="BC10" ca="1">INDEX(Master!$I$2:'Master'!$I$4384,MATCH($A10&amp;BC$2,Master!$A$2:'Master'!$A$4384&amp;Master!$C$2:'Master'!$C$4384,0))</f>
        <v>3</v>
      </c>
      <c r="BD10" s="21" cm="1">
        <f t="array" aca="1" ref="BD10" ca="1">INDEX(Master!$I$2:'Master'!$I$4384,MATCH($A10&amp;BD$2,Master!$A$2:'Master'!$A$4384&amp;Master!$C$2:'Master'!$C$4384,0))</f>
        <v>3</v>
      </c>
      <c r="BE10" s="21" cm="1">
        <f t="array" aca="1" ref="BE10" ca="1">INDEX(Master!$I$2:'Master'!$I$4384,MATCH($A10&amp;BE$2,Master!$A$2:'Master'!$A$4384&amp;Master!$C$2:'Master'!$C$4384,0))</f>
        <v>1</v>
      </c>
      <c r="BF10" s="21" cm="1">
        <f t="array" aca="1" ref="BF10" ca="1">INDEX(Master!$I$2:'Master'!$I$4384,MATCH($A10&amp;BF$2,Master!$A$2:'Master'!$A$4384&amp;Master!$C$2:'Master'!$C$4384,0))</f>
        <v>1</v>
      </c>
      <c r="BG10" s="21" cm="1">
        <f t="array" aca="1" ref="BG10" ca="1">INDEX(Master!$I$2:'Master'!$I$4384,MATCH($A10&amp;BG$2,Master!$A$2:'Master'!$A$4384&amp;Master!$C$2:'Master'!$C$4384,0))</f>
        <v>1</v>
      </c>
      <c r="BH10" s="21" cm="1">
        <f t="array" aca="1" ref="BH10" ca="1">INDEX(Master!$I$2:'Master'!$I$4384,MATCH($A10&amp;BH$2,Master!$A$2:'Master'!$A$4384&amp;Master!$C$2:'Master'!$C$4384,0))</f>
        <v>4</v>
      </c>
      <c r="BI10" s="21" cm="1">
        <f t="array" aca="1" ref="BI10" ca="1">INDEX(Master!$I$2:'Master'!$I$4384,MATCH($A10&amp;BI$2,Master!$A$2:'Master'!$A$4384&amp;Master!$C$2:'Master'!$C$4384,0))</f>
        <v>1</v>
      </c>
      <c r="BJ10" s="21" cm="1">
        <f t="array" aca="1" ref="BJ10" ca="1">INDEX(Master!$I$2:'Master'!$I$4384,MATCH($A10&amp;BJ$2,Master!$A$2:'Master'!$A$4384&amp;Master!$C$2:'Master'!$C$4384,0))</f>
        <v>0</v>
      </c>
      <c r="BK10" s="21" cm="1">
        <f t="array" aca="1" ref="BK10" ca="1">INDEX(Master!$I$2:'Master'!$I$4384,MATCH($A10&amp;BK$2,Master!$A$2:'Master'!$A$4384&amp;Master!$C$2:'Master'!$C$4384,0))</f>
        <v>1</v>
      </c>
      <c r="BL10" s="21" cm="1">
        <f t="array" aca="1" ref="BL10" ca="1">INDEX(Master!$I$2:'Master'!$I$4384,MATCH($A10&amp;BL$2,Master!$A$2:'Master'!$A$4384&amp;Master!$C$2:'Master'!$C$4384,0))</f>
        <v>0</v>
      </c>
      <c r="BM10" s="21" cm="1">
        <f t="array" aca="1" ref="BM10" ca="1">INDEX(Master!$I$2:'Master'!$I$4384,MATCH($A10&amp;BM$2,Master!$A$2:'Master'!$A$4384&amp;Master!$C$2:'Master'!$C$4384,0))</f>
        <v>1</v>
      </c>
      <c r="BN10" s="21" cm="1">
        <f t="array" aca="1" ref="BN10" ca="1">INDEX(Master!$I$2:'Master'!$I$4384,MATCH($A10&amp;BN$2,Master!$A$2:'Master'!$A$4384&amp;Master!$C$2:'Master'!$C$4384,0))</f>
        <v>1</v>
      </c>
      <c r="BO10" s="21" cm="1">
        <f t="array" aca="1" ref="BO10" ca="1">INDEX(Master!$I$2:'Master'!$I$4384,MATCH($A10&amp;BO$2,Master!$A$2:'Master'!$A$4384&amp;Master!$C$2:'Master'!$C$4384,0))</f>
        <v>3</v>
      </c>
      <c r="BP10" s="21" cm="1">
        <f t="array" aca="1" ref="BP10" ca="1">INDEX(Master!$I$2:'Master'!$I$4384,MATCH($A10&amp;BP$2,Master!$A$2:'Master'!$A$4384&amp;Master!$C$2:'Master'!$C$4384,0))</f>
        <v>0</v>
      </c>
      <c r="BQ10" s="21" cm="1">
        <f t="array" aca="1" ref="BQ10" ca="1">INDEX(Master!$I$2:'Master'!$I$4384,MATCH($A10&amp;BQ$2,Master!$A$2:'Master'!$A$4384&amp;Master!$C$2:'Master'!$C$4384,0))</f>
        <v>1</v>
      </c>
      <c r="BR10" s="21" cm="1">
        <f t="array" aca="1" ref="BR10" ca="1">INDEX(Master!$I$2:'Master'!$I$4384,MATCH($A10&amp;BR$2,Master!$A$2:'Master'!$A$4384&amp;Master!$C$2:'Master'!$C$4384,0))</f>
        <v>1</v>
      </c>
      <c r="BS10" s="21" cm="1">
        <f t="array" aca="1" ref="BS10" ca="1">INDEX(Master!$I$2:'Master'!$I$4384,MATCH($A10&amp;BS$2,Master!$A$2:'Master'!$A$4384&amp;Master!$C$2:'Master'!$C$4384,0))</f>
        <v>1</v>
      </c>
      <c r="BT10" s="21" cm="1">
        <f t="array" aca="1" ref="BT10" ca="1">INDEX(Master!$I$2:'Master'!$I$4384,MATCH($A10&amp;BT$2,Master!$A$2:'Master'!$A$4384&amp;Master!$C$2:'Master'!$C$4384,0))</f>
        <v>3</v>
      </c>
      <c r="BU10" s="21" cm="1">
        <f t="array" aca="1" ref="BU10" ca="1">INDEX(Master!$I$2:'Master'!$I$4384,MATCH($A10&amp;BU$2,Master!$A$2:'Master'!$A$4384&amp;Master!$C$2:'Master'!$C$4384,0))</f>
        <v>0</v>
      </c>
      <c r="BV10" s="21" cm="1">
        <f t="array" aca="1" ref="BV10" ca="1">INDEX(Master!$I$2:'Master'!$I$4384,MATCH($A10&amp;BV$2,Master!$A$2:'Master'!$A$4384&amp;Master!$C$2:'Master'!$C$4384,0))</f>
        <v>1</v>
      </c>
      <c r="BW10" s="21" cm="1">
        <f t="array" aca="1" ref="BW10" ca="1">INDEX(Master!$I$2:'Master'!$I$4384,MATCH($A10&amp;BW$2,Master!$A$2:'Master'!$A$4384&amp;Master!$C$2:'Master'!$C$4384,0))</f>
        <v>1</v>
      </c>
      <c r="BX10" s="21" cm="1">
        <f t="array" aca="1" ref="BX10" ca="1">INDEX(Master!$I$2:'Master'!$I$4384,MATCH($A10&amp;BX$2,Master!$A$2:'Master'!$A$4384&amp;Master!$C$2:'Master'!$C$4384,0))</f>
        <v>1</v>
      </c>
      <c r="BY10" s="21" cm="1">
        <f t="array" aca="1" ref="BY10" ca="1">INDEX(Master!$I$2:'Master'!$I$4384,MATCH($A10&amp;BY$2,Master!$A$2:'Master'!$A$4384&amp;Master!$C$2:'Master'!$C$4384,0))</f>
        <v>4</v>
      </c>
      <c r="BZ10" s="21" cm="1">
        <f t="array" aca="1" ref="BZ10" ca="1">INDEX(Master!$I$2:'Master'!$I$4384,MATCH($A10&amp;BZ$2,Master!$A$2:'Master'!$A$4384&amp;Master!$C$2:'Master'!$C$4384,0))</f>
        <v>1</v>
      </c>
      <c r="CA10" s="21" cm="1">
        <f t="array" aca="1" ref="CA10" ca="1">INDEX(Master!$I$2:'Master'!$I$4384,MATCH($A10&amp;CA$2,Master!$A$2:'Master'!$A$4384&amp;Master!$C$2:'Master'!$C$4384,0))</f>
        <v>0</v>
      </c>
      <c r="CB10" s="21" cm="1">
        <f t="array" aca="1" ref="CB10" ca="1">INDEX(Master!$I$2:'Master'!$I$4384,MATCH($A10&amp;CB$2,Master!$A$2:'Master'!$A$4384&amp;Master!$C$2:'Master'!$C$4384,0))</f>
        <v>1</v>
      </c>
      <c r="CC10" s="21" cm="1">
        <f t="array" aca="1" ref="CC10" ca="1">INDEX(Master!$I$2:'Master'!$I$4384,MATCH($A10&amp;CC$2,Master!$A$2:'Master'!$A$4384&amp;Master!$C$2:'Master'!$C$4384,0))</f>
        <v>0</v>
      </c>
      <c r="CD10" s="21" cm="1">
        <f t="array" aca="1" ref="CD10" ca="1">INDEX(Master!$I$2:'Master'!$I$4384,MATCH($A10&amp;CD$2,Master!$A$2:'Master'!$A$4384&amp;Master!$C$2:'Master'!$C$4384,0))</f>
        <v>1</v>
      </c>
      <c r="CE10" s="21" cm="1">
        <f t="array" aca="1" ref="CE10" ca="1">INDEX(Master!$I$2:'Master'!$I$4384,MATCH($A10&amp;CE$2,Master!$A$2:'Master'!$A$4384&amp;Master!$C$2:'Master'!$C$4384,0))</f>
        <v>1</v>
      </c>
      <c r="CF10" s="21" cm="1">
        <f t="array" aca="1" ref="CF10" ca="1">INDEX(Master!$I$2:'Master'!$I$4384,MATCH($A10&amp;CF$2,Master!$A$2:'Master'!$A$4384&amp;Master!$C$2:'Master'!$C$4384,0))</f>
        <v>0</v>
      </c>
      <c r="CG10" s="21" cm="1">
        <f t="array" aca="1" ref="CG10" ca="1">INDEX(Master!$I$2:'Master'!$I$4384,MATCH($A10&amp;CG$2,Master!$A$2:'Master'!$A$4384&amp;Master!$C$2:'Master'!$C$4384,0))</f>
        <v>1</v>
      </c>
      <c r="CH10" s="21" cm="1">
        <f t="array" aca="1" ref="CH10" ca="1">INDEX(Master!$I$2:'Master'!$I$4384,MATCH($A10&amp;CH$2,Master!$A$2:'Master'!$A$4384&amp;Master!$C$2:'Master'!$C$4384,0))</f>
        <v>0</v>
      </c>
      <c r="CI10" s="21" cm="1">
        <f t="array" aca="1" ref="CI10" ca="1">INDEX(Master!$I$2:'Master'!$I$4384,MATCH($A10&amp;CI$2,Master!$A$2:'Master'!$A$4384&amp;Master!$C$2:'Master'!$C$4384,0))</f>
        <v>1</v>
      </c>
      <c r="CJ10" s="21" cm="1">
        <f t="array" aca="1" ref="CJ10" ca="1">INDEX(Master!$I$2:'Master'!$I$4384,MATCH($A10&amp;CJ$2,Master!$A$2:'Master'!$A$4384&amp;Master!$C$2:'Master'!$C$4384,0))</f>
        <v>0</v>
      </c>
      <c r="CK10" s="21" cm="1">
        <f t="array" aca="1" ref="CK10" ca="1">INDEX(Master!$I$2:'Master'!$I$4384,MATCH($A10&amp;CK$2,Master!$A$2:'Master'!$A$4384&amp;Master!$C$2:'Master'!$C$4384,0))</f>
        <v>0</v>
      </c>
      <c r="CL10" s="21" cm="1">
        <f t="array" aca="1" ref="CL10" ca="1">INDEX(Master!$I$2:'Master'!$I$4384,MATCH($A10&amp;CL$2,Master!$A$2:'Master'!$A$4384&amp;Master!$C$2:'Master'!$C$4384,0))</f>
        <v>0</v>
      </c>
      <c r="CM10" s="21" cm="1">
        <f t="array" aca="1" ref="CM10" ca="1">INDEX(Master!$I$2:'Master'!$I$4384,MATCH($A10&amp;CM$2,Master!$A$2:'Master'!$A$4384&amp;Master!$C$2:'Master'!$C$4384,0))</f>
        <v>0</v>
      </c>
      <c r="CN10" s="21" cm="1">
        <f t="array" aca="1" ref="CN10" ca="1">INDEX(Master!$I$2:'Master'!$I$4384,MATCH($A10&amp;CN$2,Master!$A$2:'Master'!$A$4384&amp;Master!$C$2:'Master'!$C$4384,0))</f>
        <v>0</v>
      </c>
      <c r="CO10" s="21" cm="1">
        <f t="array" aca="1" ref="CO10" ca="1">INDEX(Master!$I$2:'Master'!$I$4384,MATCH($A10&amp;CO$2,Master!$A$2:'Master'!$A$4384&amp;Master!$C$2:'Master'!$C$4384,0))</f>
        <v>0</v>
      </c>
      <c r="CP10" s="21" cm="1">
        <f t="array" aca="1" ref="CP10" ca="1">INDEX(Master!$I$2:'Master'!$I$4384,MATCH($A10&amp;CP$2,Master!$A$2:'Master'!$A$4384&amp;Master!$C$2:'Master'!$C$4384,0))</f>
        <v>0</v>
      </c>
      <c r="CQ10" s="21" cm="1">
        <f t="array" aca="1" ref="CQ10" ca="1">INDEX(Master!$I$2:'Master'!$I$4384,MATCH($A10&amp;CQ$2,Master!$A$2:'Master'!$A$4384&amp;Master!$C$2:'Master'!$C$4384,0))</f>
        <v>0</v>
      </c>
      <c r="CR10" s="21" cm="1">
        <f t="array" aca="1" ref="CR10" ca="1">INDEX(Master!$I$2:'Master'!$I$4384,MATCH($A10&amp;CR$2,Master!$A$2:'Master'!$A$4384&amp;Master!$C$2:'Master'!$C$4384,0))</f>
        <v>3</v>
      </c>
      <c r="CS10" s="21" cm="1">
        <f t="array" aca="1" ref="CS10" ca="1">INDEX(Master!$I$2:'Master'!$I$4384,MATCH($A10&amp;CS$2,Master!$A$2:'Master'!$A$4384&amp;Master!$C$2:'Master'!$C$4384,0))</f>
        <v>0</v>
      </c>
    </row>
    <row r="11" spans="1:97">
      <c r="A11" t="str">
        <f>VLOOKUP(Staff!$A8,Staff!$A$1:A$73,1,FALSE)</f>
        <v>Kate Fleming</v>
      </c>
      <c r="B11" s="21" cm="1">
        <f t="array" aca="1" ref="B11" ca="1">INDEX(Master!$I$2:'Master'!$I$4384,MATCH($A11&amp;B$2,Master!$A$2:'Master'!$A$4384&amp;Master!$C$2:'Master'!$C$4384,0))</f>
        <v>4</v>
      </c>
      <c r="C11" s="21" cm="1">
        <f t="array" aca="1" ref="C11" ca="1">INDEX(Master!$I$2:'Master'!$I$4384,MATCH($A11&amp;C$2,Master!$A$2:'Master'!$A$4384&amp;Master!$C$2:'Master'!$C$4384,0))</f>
        <v>4</v>
      </c>
      <c r="D11" s="21" cm="1">
        <f t="array" aca="1" ref="D11" ca="1">INDEX(Master!$I$2:'Master'!$I$4384,MATCH($A11&amp;D$2,Master!$A$2:'Master'!$A$4384&amp;Master!$C$2:'Master'!$C$4384,0))</f>
        <v>4</v>
      </c>
      <c r="E11" s="21" cm="1">
        <f t="array" aca="1" ref="E11" ca="1">INDEX(Master!$I$2:'Master'!$I$4384,MATCH($A11&amp;E$2,Master!$A$2:'Master'!$A$4384&amp;Master!$C$2:'Master'!$C$4384,0))</f>
        <v>3</v>
      </c>
      <c r="F11" s="21" cm="1">
        <f t="array" aca="1" ref="F11" ca="1">INDEX(Master!$I$2:'Master'!$I$4384,MATCH($A11&amp;F$2,Master!$A$2:'Master'!$A$4384&amp;Master!$C$2:'Master'!$C$4384,0))</f>
        <v>3</v>
      </c>
      <c r="G11" s="21" cm="1">
        <f t="array" aca="1" ref="G11" ca="1">INDEX(Master!$I$2:'Master'!$I$4384,MATCH($A11&amp;G$2,Master!$A$2:'Master'!$A$4384&amp;Master!$C$2:'Master'!$C$4384,0))</f>
        <v>3</v>
      </c>
      <c r="H11" s="21" cm="1">
        <f t="array" aca="1" ref="H11" ca="1">INDEX(Master!$I$2:'Master'!$I$4384,MATCH($A11&amp;H$2,Master!$A$2:'Master'!$A$4384&amp;Master!$C$2:'Master'!$C$4384,0))</f>
        <v>3</v>
      </c>
      <c r="I11" s="21" cm="1">
        <f t="array" aca="1" ref="I11" ca="1">INDEX(Master!$I$2:'Master'!$I$4384,MATCH($A11&amp;I$2,Master!$A$2:'Master'!$A$4384&amp;Master!$C$2:'Master'!$C$4384,0))</f>
        <v>3</v>
      </c>
      <c r="J11" s="21" cm="1">
        <f t="array" aca="1" ref="J11" ca="1">INDEX(Master!$I$2:'Master'!$I$4384,MATCH($A11&amp;J$2,Master!$A$2:'Master'!$A$4384&amp;Master!$C$2:'Master'!$C$4384,0))</f>
        <v>3</v>
      </c>
      <c r="K11" s="21" cm="1">
        <f t="array" aca="1" ref="K11" ca="1">INDEX(Master!$I$2:'Master'!$I$4384,MATCH($A11&amp;K$2,Master!$A$2:'Master'!$A$4384&amp;Master!$C$2:'Master'!$C$4384,0))</f>
        <v>2</v>
      </c>
      <c r="L11" s="21" cm="1">
        <f t="array" aca="1" ref="L11" ca="1">INDEX(Master!$I$2:'Master'!$I$4384,MATCH($A11&amp;L$2,Master!$A$2:'Master'!$A$4384&amp;Master!$C$2:'Master'!$C$4384,0))</f>
        <v>2</v>
      </c>
      <c r="M11" s="21" cm="1">
        <f t="array" aca="1" ref="M11" ca="1">INDEX(Master!$I$2:'Master'!$I$4384,MATCH($A11&amp;M$2,Master!$A$2:'Master'!$A$4384&amp;Master!$C$2:'Master'!$C$4384,0))</f>
        <v>2</v>
      </c>
      <c r="N11" s="21" cm="1">
        <f t="array" aca="1" ref="N11" ca="1">INDEX(Master!$I$2:'Master'!$I$4384,MATCH($A11&amp;N$2,Master!$A$2:'Master'!$A$4384&amp;Master!$C$2:'Master'!$C$4384,0))</f>
        <v>2</v>
      </c>
      <c r="O11" s="21" cm="1">
        <f t="array" aca="1" ref="O11" ca="1">INDEX(Master!$I$2:'Master'!$I$4384,MATCH($A11&amp;O$2,Master!$A$2:'Master'!$A$4384&amp;Master!$C$2:'Master'!$C$4384,0))</f>
        <v>3</v>
      </c>
      <c r="P11" s="21" cm="1">
        <f t="array" aca="1" ref="P11" ca="1">INDEX(Master!$I$2:'Master'!$I$4384,MATCH($A11&amp;P$2,Master!$A$2:'Master'!$A$4384&amp;Master!$C$2:'Master'!$C$4384,0))</f>
        <v>3</v>
      </c>
      <c r="Q11" s="21" cm="1">
        <f t="array" aca="1" ref="Q11" ca="1">INDEX(Master!$I$2:'Master'!$I$4384,MATCH($A11&amp;Q$2,Master!$A$2:'Master'!$A$4384&amp;Master!$C$2:'Master'!$C$4384,0))</f>
        <v>3</v>
      </c>
      <c r="R11" s="21" cm="1">
        <f t="array" aca="1" ref="R11" ca="1">INDEX(Master!$I$2:'Master'!$I$4384,MATCH($A11&amp;R$2,Master!$A$2:'Master'!$A$4384&amp;Master!$C$2:'Master'!$C$4384,0))</f>
        <v>2</v>
      </c>
      <c r="S11" s="21" cm="1">
        <f t="array" aca="1" ref="S11" ca="1">INDEX(Master!$I$2:'Master'!$I$4384,MATCH($A11&amp;S$2,Master!$A$2:'Master'!$A$4384&amp;Master!$C$2:'Master'!$C$4384,0))</f>
        <v>2</v>
      </c>
      <c r="T11" s="21" cm="1">
        <f t="array" aca="1" ref="T11" ca="1">INDEX(Master!$I$2:'Master'!$I$4384,MATCH($A11&amp;T$2,Master!$A$2:'Master'!$A$4384&amp;Master!$C$2:'Master'!$C$4384,0))</f>
        <v>3</v>
      </c>
      <c r="U11" s="21" cm="1">
        <f t="array" aca="1" ref="U11" ca="1">INDEX(Master!$I$2:'Master'!$I$4384,MATCH($A11&amp;U$2,Master!$A$2:'Master'!$A$4384&amp;Master!$C$2:'Master'!$C$4384,0))</f>
        <v>2</v>
      </c>
      <c r="V11" s="21" cm="1">
        <f t="array" aca="1" ref="V11" ca="1">INDEX(Master!$I$2:'Master'!$I$4384,MATCH($A11&amp;V$2,Master!$A$2:'Master'!$A$4384&amp;Master!$C$2:'Master'!$C$4384,0))</f>
        <v>2</v>
      </c>
      <c r="W11" s="21" cm="1">
        <f t="array" aca="1" ref="W11" ca="1">INDEX(Master!$I$2:'Master'!$I$4384,MATCH($A11&amp;W$2,Master!$A$2:'Master'!$A$4384&amp;Master!$C$2:'Master'!$C$4384,0))</f>
        <v>2</v>
      </c>
      <c r="X11" s="21" cm="1">
        <f t="array" aca="1" ref="X11" ca="1">INDEX(Master!$I$2:'Master'!$I$4384,MATCH($A11&amp;X$2,Master!$A$2:'Master'!$A$4384&amp;Master!$C$2:'Master'!$C$4384,0))</f>
        <v>1</v>
      </c>
      <c r="Y11" s="21" cm="1">
        <f t="array" aca="1" ref="Y11" ca="1">INDEX(Master!$I$2:'Master'!$I$4384,MATCH($A11&amp;Y$2,Master!$A$2:'Master'!$A$4384&amp;Master!$C$2:'Master'!$C$4384,0))</f>
        <v>1</v>
      </c>
      <c r="Z11" s="21" cm="1">
        <f t="array" aca="1" ref="Z11" ca="1">INDEX(Master!$I$2:'Master'!$I$4384,MATCH($A11&amp;Z$2,Master!$A$2:'Master'!$A$4384&amp;Master!$C$2:'Master'!$C$4384,0))</f>
        <v>1</v>
      </c>
      <c r="AA11" s="21" cm="1">
        <f t="array" aca="1" ref="AA11" ca="1">INDEX(Master!$I$2:'Master'!$I$4384,MATCH($A11&amp;AA$2,Master!$A$2:'Master'!$A$4384&amp;Master!$C$2:'Master'!$C$4384,0))</f>
        <v>0</v>
      </c>
      <c r="AB11" s="21" cm="1">
        <f t="array" aca="1" ref="AB11" ca="1">INDEX(Master!$I$2:'Master'!$I$4384,MATCH($A11&amp;AB$2,Master!$A$2:'Master'!$A$4384&amp;Master!$C$2:'Master'!$C$4384,0))</f>
        <v>1</v>
      </c>
      <c r="AC11" s="21" cm="1">
        <f t="array" aca="1" ref="AC11" ca="1">INDEX(Master!$I$2:'Master'!$I$4384,MATCH($A11&amp;AC$2,Master!$A$2:'Master'!$A$4384&amp;Master!$C$2:'Master'!$C$4384,0))</f>
        <v>1</v>
      </c>
      <c r="AD11" s="21" cm="1">
        <f t="array" aca="1" ref="AD11" ca="1">INDEX(Master!$I$2:'Master'!$I$4384,MATCH($A11&amp;AD$2,Master!$A$2:'Master'!$A$4384&amp;Master!$C$2:'Master'!$C$4384,0))</f>
        <v>0</v>
      </c>
      <c r="AE11" s="21" cm="1">
        <f t="array" aca="1" ref="AE11" ca="1">INDEX(Master!$I$2:'Master'!$I$4384,MATCH($A11&amp;AE$2,Master!$A$2:'Master'!$A$4384&amp;Master!$C$2:'Master'!$C$4384,0))</f>
        <v>0</v>
      </c>
      <c r="AF11" s="21" cm="1">
        <f t="array" aca="1" ref="AF11" ca="1">INDEX(Master!$I$2:'Master'!$I$4384,MATCH($A11&amp;AF$2,Master!$A$2:'Master'!$A$4384&amp;Master!$C$2:'Master'!$C$4384,0))</f>
        <v>1</v>
      </c>
      <c r="AG11" s="21" cm="1">
        <f t="array" aca="1" ref="AG11" ca="1">INDEX(Master!$I$2:'Master'!$I$4384,MATCH($A11&amp;AG$2,Master!$A$2:'Master'!$A$4384&amp;Master!$C$2:'Master'!$C$4384,0))</f>
        <v>1</v>
      </c>
      <c r="AH11" s="21" cm="1">
        <f t="array" aca="1" ref="AH11" ca="1">INDEX(Master!$I$2:'Master'!$I$4384,MATCH($A11&amp;AH$2,Master!$A$2:'Master'!$A$4384&amp;Master!$C$2:'Master'!$C$4384,0))</f>
        <v>2</v>
      </c>
      <c r="AI11" s="21" cm="1">
        <f t="array" aca="1" ref="AI11" ca="1">INDEX(Master!$I$2:'Master'!$I$4384,MATCH($A11&amp;AI$2,Master!$A$2:'Master'!$A$4384&amp;Master!$C$2:'Master'!$C$4384,0))</f>
        <v>1</v>
      </c>
      <c r="AJ11" s="21" cm="1">
        <f t="array" aca="1" ref="AJ11" ca="1">INDEX(Master!$I$2:'Master'!$I$4384,MATCH($A11&amp;AJ$2,Master!$A$2:'Master'!$A$4384&amp;Master!$C$2:'Master'!$C$4384,0))</f>
        <v>2</v>
      </c>
      <c r="AK11" s="21" cm="1">
        <f t="array" aca="1" ref="AK11" ca="1">INDEX(Master!$I$2:'Master'!$I$4384,MATCH($A11&amp;AK$2,Master!$A$2:'Master'!$A$4384&amp;Master!$C$2:'Master'!$C$4384,0))</f>
        <v>0</v>
      </c>
      <c r="AL11" s="21" cm="1">
        <f t="array" aca="1" ref="AL11" ca="1">INDEX(Master!$I$2:'Master'!$I$4384,MATCH($A11&amp;AL$2,Master!$A$2:'Master'!$A$4384&amp;Master!$C$2:'Master'!$C$4384,0))</f>
        <v>0</v>
      </c>
      <c r="AM11" s="21" cm="1">
        <f t="array" aca="1" ref="AM11" ca="1">INDEX(Master!$I$2:'Master'!$I$4384,MATCH($A11&amp;AM$2,Master!$A$2:'Master'!$A$4384&amp;Master!$C$2:'Master'!$C$4384,0))</f>
        <v>2</v>
      </c>
      <c r="AN11" s="21" cm="1">
        <f t="array" aca="1" ref="AN11" ca="1">INDEX(Master!$I$2:'Master'!$I$4384,MATCH($A11&amp;AN$2,Master!$A$2:'Master'!$A$4384&amp;Master!$C$2:'Master'!$C$4384,0))</f>
        <v>0</v>
      </c>
      <c r="AO11" s="21" cm="1">
        <f t="array" aca="1" ref="AO11" ca="1">INDEX(Master!$I$2:'Master'!$I$4384,MATCH($A11&amp;AO$2,Master!$A$2:'Master'!$A$4384&amp;Master!$C$2:'Master'!$C$4384,0))</f>
        <v>0</v>
      </c>
      <c r="AP11" s="21" cm="1">
        <f t="array" aca="1" ref="AP11" ca="1">INDEX(Master!$I$2:'Master'!$I$4384,MATCH($A11&amp;AP$2,Master!$A$2:'Master'!$A$4384&amp;Master!$C$2:'Master'!$C$4384,0))</f>
        <v>1</v>
      </c>
      <c r="AQ11" s="21" cm="1">
        <f t="array" aca="1" ref="AQ11" ca="1">INDEX(Master!$I$2:'Master'!$I$4384,MATCH($A11&amp;AQ$2,Master!$A$2:'Master'!$A$4384&amp;Master!$C$2:'Master'!$C$4384,0))</f>
        <v>0</v>
      </c>
      <c r="AR11" s="21" cm="1">
        <f t="array" aca="1" ref="AR11" ca="1">INDEX(Master!$I$2:'Master'!$I$4384,MATCH($A11&amp;AR$2,Master!$A$2:'Master'!$A$4384&amp;Master!$C$2:'Master'!$C$4384,0))</f>
        <v>0</v>
      </c>
      <c r="AS11" s="21" cm="1">
        <f t="array" aca="1" ref="AS11" ca="1">INDEX(Master!$I$2:'Master'!$I$4384,MATCH($A11&amp;AS$2,Master!$A$2:'Master'!$A$4384&amp;Master!$C$2:'Master'!$C$4384,0))</f>
        <v>0</v>
      </c>
      <c r="AT11" s="21" cm="1">
        <f t="array" aca="1" ref="AT11" ca="1">INDEX(Master!$I$2:'Master'!$I$4384,MATCH($A11&amp;AT$2,Master!$A$2:'Master'!$A$4384&amp;Master!$C$2:'Master'!$C$4384,0))</f>
        <v>0</v>
      </c>
      <c r="AU11" s="21" cm="1">
        <f t="array" aca="1" ref="AU11" ca="1">INDEX(Master!$I$2:'Master'!$I$4384,MATCH($A11&amp;AU$2,Master!$A$2:'Master'!$A$4384&amp;Master!$C$2:'Master'!$C$4384,0))</f>
        <v>0</v>
      </c>
      <c r="AV11" s="21" cm="1">
        <f t="array" aca="1" ref="AV11" ca="1">INDEX(Master!$I$2:'Master'!$I$4384,MATCH($A11&amp;AV$2,Master!$A$2:'Master'!$A$4384&amp;Master!$C$2:'Master'!$C$4384,0))</f>
        <v>0</v>
      </c>
      <c r="AW11" s="21" cm="1">
        <f t="array" aca="1" ref="AW11" ca="1">INDEX(Master!$I$2:'Master'!$I$4384,MATCH($A11&amp;AW$2,Master!$A$2:'Master'!$A$4384&amp;Master!$C$2:'Master'!$C$4384,0))</f>
        <v>0</v>
      </c>
      <c r="AX11" s="21" cm="1">
        <f t="array" aca="1" ref="AX11" ca="1">INDEX(Master!$I$2:'Master'!$I$4384,MATCH($A11&amp;AX$2,Master!$A$2:'Master'!$A$4384&amp;Master!$C$2:'Master'!$C$4384,0))</f>
        <v>3</v>
      </c>
      <c r="AY11" s="21" cm="1">
        <f t="array" aca="1" ref="AY11" ca="1">INDEX(Master!$I$2:'Master'!$I$4384,MATCH($A11&amp;AY$2,Master!$A$2:'Master'!$A$4384&amp;Master!$C$2:'Master'!$C$4384,0))</f>
        <v>2</v>
      </c>
      <c r="AZ11" s="21" cm="1">
        <f t="array" aca="1" ref="AZ11" ca="1">INDEX(Master!$I$2:'Master'!$I$4384,MATCH($A11&amp;AZ$2,Master!$A$2:'Master'!$A$4384&amp;Master!$C$2:'Master'!$C$4384,0))</f>
        <v>0</v>
      </c>
      <c r="BA11" s="21" cm="1">
        <f t="array" aca="1" ref="BA11" ca="1">INDEX(Master!$I$2:'Master'!$I$4384,MATCH($A11&amp;BA$2,Master!$A$2:'Master'!$A$4384&amp;Master!$C$2:'Master'!$C$4384,0))</f>
        <v>1</v>
      </c>
      <c r="BB11" s="21" cm="1">
        <f t="array" aca="1" ref="BB11" ca="1">INDEX(Master!$I$2:'Master'!$I$4384,MATCH($A11&amp;BB$2,Master!$A$2:'Master'!$A$4384&amp;Master!$C$2:'Master'!$C$4384,0))</f>
        <v>1</v>
      </c>
      <c r="BC11" s="21" cm="1">
        <f t="array" aca="1" ref="BC11" ca="1">INDEX(Master!$I$2:'Master'!$I$4384,MATCH($A11&amp;BC$2,Master!$A$2:'Master'!$A$4384&amp;Master!$C$2:'Master'!$C$4384,0))</f>
        <v>2</v>
      </c>
      <c r="BD11" s="21" cm="1">
        <f t="array" aca="1" ref="BD11" ca="1">INDEX(Master!$I$2:'Master'!$I$4384,MATCH($A11&amp;BD$2,Master!$A$2:'Master'!$A$4384&amp;Master!$C$2:'Master'!$C$4384,0))</f>
        <v>3</v>
      </c>
      <c r="BE11" s="21" cm="1">
        <f t="array" aca="1" ref="BE11" ca="1">INDEX(Master!$I$2:'Master'!$I$4384,MATCH($A11&amp;BE$2,Master!$A$2:'Master'!$A$4384&amp;Master!$C$2:'Master'!$C$4384,0))</f>
        <v>1</v>
      </c>
      <c r="BF11" s="21" cm="1">
        <f t="array" aca="1" ref="BF11" ca="1">INDEX(Master!$I$2:'Master'!$I$4384,MATCH($A11&amp;BF$2,Master!$A$2:'Master'!$A$4384&amp;Master!$C$2:'Master'!$C$4384,0))</f>
        <v>1</v>
      </c>
      <c r="BG11" s="21" cm="1">
        <f t="array" aca="1" ref="BG11" ca="1">INDEX(Master!$I$2:'Master'!$I$4384,MATCH($A11&amp;BG$2,Master!$A$2:'Master'!$A$4384&amp;Master!$C$2:'Master'!$C$4384,0))</f>
        <v>2</v>
      </c>
      <c r="BH11" s="21" cm="1">
        <f t="array" aca="1" ref="BH11" ca="1">INDEX(Master!$I$2:'Master'!$I$4384,MATCH($A11&amp;BH$2,Master!$A$2:'Master'!$A$4384&amp;Master!$C$2:'Master'!$C$4384,0))</f>
        <v>1</v>
      </c>
      <c r="BI11" s="21" cm="1">
        <f t="array" aca="1" ref="BI11" ca="1">INDEX(Master!$I$2:'Master'!$I$4384,MATCH($A11&amp;BI$2,Master!$A$2:'Master'!$A$4384&amp;Master!$C$2:'Master'!$C$4384,0))</f>
        <v>2</v>
      </c>
      <c r="BJ11" s="21" cm="1">
        <f t="array" aca="1" ref="BJ11" ca="1">INDEX(Master!$I$2:'Master'!$I$4384,MATCH($A11&amp;BJ$2,Master!$A$2:'Master'!$A$4384&amp;Master!$C$2:'Master'!$C$4384,0))</f>
        <v>2</v>
      </c>
      <c r="BK11" s="21" cm="1">
        <f t="array" aca="1" ref="BK11" ca="1">INDEX(Master!$I$2:'Master'!$I$4384,MATCH($A11&amp;BK$2,Master!$A$2:'Master'!$A$4384&amp;Master!$C$2:'Master'!$C$4384,0))</f>
        <v>3</v>
      </c>
      <c r="BL11" s="21" cm="1">
        <f t="array" aca="1" ref="BL11" ca="1">INDEX(Master!$I$2:'Master'!$I$4384,MATCH($A11&amp;BL$2,Master!$A$2:'Master'!$A$4384&amp;Master!$C$2:'Master'!$C$4384,0))</f>
        <v>2</v>
      </c>
      <c r="BM11" s="21" cm="1">
        <f t="array" aca="1" ref="BM11" ca="1">INDEX(Master!$I$2:'Master'!$I$4384,MATCH($A11&amp;BM$2,Master!$A$2:'Master'!$A$4384&amp;Master!$C$2:'Master'!$C$4384,0))</f>
        <v>1</v>
      </c>
      <c r="BN11" s="21" cm="1">
        <f t="array" aca="1" ref="BN11" ca="1">INDEX(Master!$I$2:'Master'!$I$4384,MATCH($A11&amp;BN$2,Master!$A$2:'Master'!$A$4384&amp;Master!$C$2:'Master'!$C$4384,0))</f>
        <v>2</v>
      </c>
      <c r="BO11" s="21" cm="1">
        <f t="array" aca="1" ref="BO11" ca="1">INDEX(Master!$I$2:'Master'!$I$4384,MATCH($A11&amp;BO$2,Master!$A$2:'Master'!$A$4384&amp;Master!$C$2:'Master'!$C$4384,0))</f>
        <v>2</v>
      </c>
      <c r="BP11" s="21" cm="1">
        <f t="array" aca="1" ref="BP11" ca="1">INDEX(Master!$I$2:'Master'!$I$4384,MATCH($A11&amp;BP$2,Master!$A$2:'Master'!$A$4384&amp;Master!$C$2:'Master'!$C$4384,0))</f>
        <v>2</v>
      </c>
      <c r="BQ11" s="21" cm="1">
        <f t="array" aca="1" ref="BQ11" ca="1">INDEX(Master!$I$2:'Master'!$I$4384,MATCH($A11&amp;BQ$2,Master!$A$2:'Master'!$A$4384&amp;Master!$C$2:'Master'!$C$4384,0))</f>
        <v>2</v>
      </c>
      <c r="BR11" s="21" cm="1">
        <f t="array" aca="1" ref="BR11" ca="1">INDEX(Master!$I$2:'Master'!$I$4384,MATCH($A11&amp;BR$2,Master!$A$2:'Master'!$A$4384&amp;Master!$C$2:'Master'!$C$4384,0))</f>
        <v>2</v>
      </c>
      <c r="BS11" s="21" cm="1">
        <f t="array" aca="1" ref="BS11" ca="1">INDEX(Master!$I$2:'Master'!$I$4384,MATCH($A11&amp;BS$2,Master!$A$2:'Master'!$A$4384&amp;Master!$C$2:'Master'!$C$4384,0))</f>
        <v>3</v>
      </c>
      <c r="BT11" s="21" cm="1">
        <f t="array" aca="1" ref="BT11" ca="1">INDEX(Master!$I$2:'Master'!$I$4384,MATCH($A11&amp;BT$2,Master!$A$2:'Master'!$A$4384&amp;Master!$C$2:'Master'!$C$4384,0))</f>
        <v>2</v>
      </c>
      <c r="BU11" s="21" cm="1">
        <f t="array" aca="1" ref="BU11" ca="1">INDEX(Master!$I$2:'Master'!$I$4384,MATCH($A11&amp;BU$2,Master!$A$2:'Master'!$A$4384&amp;Master!$C$2:'Master'!$C$4384,0))</f>
        <v>2</v>
      </c>
      <c r="BV11" s="21" cm="1">
        <f t="array" aca="1" ref="BV11" ca="1">INDEX(Master!$I$2:'Master'!$I$4384,MATCH($A11&amp;BV$2,Master!$A$2:'Master'!$A$4384&amp;Master!$C$2:'Master'!$C$4384,0))</f>
        <v>3</v>
      </c>
      <c r="BW11" s="21" cm="1">
        <f t="array" aca="1" ref="BW11" ca="1">INDEX(Master!$I$2:'Master'!$I$4384,MATCH($A11&amp;BW$2,Master!$A$2:'Master'!$A$4384&amp;Master!$C$2:'Master'!$C$4384,0))</f>
        <v>1</v>
      </c>
      <c r="BX11" s="21" cm="1">
        <f t="array" aca="1" ref="BX11" ca="1">INDEX(Master!$I$2:'Master'!$I$4384,MATCH($A11&amp;BX$2,Master!$A$2:'Master'!$A$4384&amp;Master!$C$2:'Master'!$C$4384,0))</f>
        <v>2</v>
      </c>
      <c r="BY11" s="21" cm="1">
        <f t="array" aca="1" ref="BY11" ca="1">INDEX(Master!$I$2:'Master'!$I$4384,MATCH($A11&amp;BY$2,Master!$A$2:'Master'!$A$4384&amp;Master!$C$2:'Master'!$C$4384,0))</f>
        <v>1</v>
      </c>
      <c r="BZ11" s="21" cm="1">
        <f t="array" aca="1" ref="BZ11" ca="1">INDEX(Master!$I$2:'Master'!$I$4384,MATCH($A11&amp;BZ$2,Master!$A$2:'Master'!$A$4384&amp;Master!$C$2:'Master'!$C$4384,0))</f>
        <v>2</v>
      </c>
      <c r="CA11" s="21" cm="1">
        <f t="array" aca="1" ref="CA11" ca="1">INDEX(Master!$I$2:'Master'!$I$4384,MATCH($A11&amp;CA$2,Master!$A$2:'Master'!$A$4384&amp;Master!$C$2:'Master'!$C$4384,0))</f>
        <v>2</v>
      </c>
      <c r="CB11" s="21" cm="1">
        <f t="array" aca="1" ref="CB11" ca="1">INDEX(Master!$I$2:'Master'!$I$4384,MATCH($A11&amp;CB$2,Master!$A$2:'Master'!$A$4384&amp;Master!$C$2:'Master'!$C$4384,0))</f>
        <v>3</v>
      </c>
      <c r="CC11" s="21" cm="1">
        <f t="array" aca="1" ref="CC11" ca="1">INDEX(Master!$I$2:'Master'!$I$4384,MATCH($A11&amp;CC$2,Master!$A$2:'Master'!$A$4384&amp;Master!$C$2:'Master'!$C$4384,0))</f>
        <v>2</v>
      </c>
      <c r="CD11" s="21" cm="1">
        <f t="array" aca="1" ref="CD11" ca="1">INDEX(Master!$I$2:'Master'!$I$4384,MATCH($A11&amp;CD$2,Master!$A$2:'Master'!$A$4384&amp;Master!$C$2:'Master'!$C$4384,0))</f>
        <v>1</v>
      </c>
      <c r="CE11" s="21" cm="1">
        <f t="array" aca="1" ref="CE11" ca="1">INDEX(Master!$I$2:'Master'!$I$4384,MATCH($A11&amp;CE$2,Master!$A$2:'Master'!$A$4384&amp;Master!$C$2:'Master'!$C$4384,0))</f>
        <v>1</v>
      </c>
      <c r="CF11" s="21" cm="1">
        <f t="array" aca="1" ref="CF11" ca="1">INDEX(Master!$I$2:'Master'!$I$4384,MATCH($A11&amp;CF$2,Master!$A$2:'Master'!$A$4384&amp;Master!$C$2:'Master'!$C$4384,0))</f>
        <v>1</v>
      </c>
      <c r="CG11" s="21" cm="1">
        <f t="array" aca="1" ref="CG11" ca="1">INDEX(Master!$I$2:'Master'!$I$4384,MATCH($A11&amp;CG$2,Master!$A$2:'Master'!$A$4384&amp;Master!$C$2:'Master'!$C$4384,0))</f>
        <v>2</v>
      </c>
      <c r="CH11" s="21" cm="1">
        <f t="array" aca="1" ref="CH11" ca="1">INDEX(Master!$I$2:'Master'!$I$4384,MATCH($A11&amp;CH$2,Master!$A$2:'Master'!$A$4384&amp;Master!$C$2:'Master'!$C$4384,0))</f>
        <v>1</v>
      </c>
      <c r="CI11" s="21" cm="1">
        <f t="array" aca="1" ref="CI11" ca="1">INDEX(Master!$I$2:'Master'!$I$4384,MATCH($A11&amp;CI$2,Master!$A$2:'Master'!$A$4384&amp;Master!$C$2:'Master'!$C$4384,0))</f>
        <v>2</v>
      </c>
      <c r="CJ11" s="21" cm="1">
        <f t="array" aca="1" ref="CJ11" ca="1">INDEX(Master!$I$2:'Master'!$I$4384,MATCH($A11&amp;CJ$2,Master!$A$2:'Master'!$A$4384&amp;Master!$C$2:'Master'!$C$4384,0))</f>
        <v>0</v>
      </c>
      <c r="CK11" s="21" cm="1">
        <f t="array" aca="1" ref="CK11" ca="1">INDEX(Master!$I$2:'Master'!$I$4384,MATCH($A11&amp;CK$2,Master!$A$2:'Master'!$A$4384&amp;Master!$C$2:'Master'!$C$4384,0))</f>
        <v>0</v>
      </c>
      <c r="CL11" s="21" cm="1">
        <f t="array" aca="1" ref="CL11" ca="1">INDEX(Master!$I$2:'Master'!$I$4384,MATCH($A11&amp;CL$2,Master!$A$2:'Master'!$A$4384&amp;Master!$C$2:'Master'!$C$4384,0))</f>
        <v>1</v>
      </c>
      <c r="CM11" s="21" cm="1">
        <f t="array" aca="1" ref="CM11" ca="1">INDEX(Master!$I$2:'Master'!$I$4384,MATCH($A11&amp;CM$2,Master!$A$2:'Master'!$A$4384&amp;Master!$C$2:'Master'!$C$4384,0))</f>
        <v>1</v>
      </c>
      <c r="CN11" s="21" cm="1">
        <f t="array" aca="1" ref="CN11" ca="1">INDEX(Master!$I$2:'Master'!$I$4384,MATCH($A11&amp;CN$2,Master!$A$2:'Master'!$A$4384&amp;Master!$C$2:'Master'!$C$4384,0))</f>
        <v>0</v>
      </c>
      <c r="CO11" s="21" cm="1">
        <f t="array" aca="1" ref="CO11" ca="1">INDEX(Master!$I$2:'Master'!$I$4384,MATCH($A11&amp;CO$2,Master!$A$2:'Master'!$A$4384&amp;Master!$C$2:'Master'!$C$4384,0))</f>
        <v>0</v>
      </c>
      <c r="CP11" s="21" cm="1">
        <f t="array" aca="1" ref="CP11" ca="1">INDEX(Master!$I$2:'Master'!$I$4384,MATCH($A11&amp;CP$2,Master!$A$2:'Master'!$A$4384&amp;Master!$C$2:'Master'!$C$4384,0))</f>
        <v>0</v>
      </c>
      <c r="CQ11" s="21" cm="1">
        <f t="array" aca="1" ref="CQ11" ca="1">INDEX(Master!$I$2:'Master'!$I$4384,MATCH($A11&amp;CQ$2,Master!$A$2:'Master'!$A$4384&amp;Master!$C$2:'Master'!$C$4384,0))</f>
        <v>1</v>
      </c>
      <c r="CR11" s="21" cm="1">
        <f t="array" aca="1" ref="CR11" ca="1">INDEX(Master!$I$2:'Master'!$I$4384,MATCH($A11&amp;CR$2,Master!$A$2:'Master'!$A$4384&amp;Master!$C$2:'Master'!$C$4384,0))</f>
        <v>1</v>
      </c>
      <c r="CS11" s="21" cm="1">
        <f t="array" aca="1" ref="CS11" ca="1">INDEX(Master!$I$2:'Master'!$I$4384,MATCH($A11&amp;CS$2,Master!$A$2:'Master'!$A$4384&amp;Master!$C$2:'Master'!$C$4384,0))</f>
        <v>2</v>
      </c>
    </row>
    <row r="12" spans="1:97">
      <c r="A12" t="str">
        <f>VLOOKUP(Staff!$A9,Staff!$A$1:A$73,1,FALSE)</f>
        <v>Ellie Miller</v>
      </c>
      <c r="B12" s="21" cm="1">
        <f t="array" aca="1" ref="B12" ca="1">INDEX(Master!$I$2:'Master'!$I$4384,MATCH($A12&amp;B$2,Master!$A$2:'Master'!$A$4384&amp;Master!$C$2:'Master'!$C$4384,0))</f>
        <v>3</v>
      </c>
      <c r="C12" s="21" cm="1">
        <f t="array" aca="1" ref="C12" ca="1">INDEX(Master!$I$2:'Master'!$I$4384,MATCH($A12&amp;C$2,Master!$A$2:'Master'!$A$4384&amp;Master!$C$2:'Master'!$C$4384,0))</f>
        <v>4</v>
      </c>
      <c r="D12" s="21" cm="1">
        <f t="array" aca="1" ref="D12" ca="1">INDEX(Master!$I$2:'Master'!$I$4384,MATCH($A12&amp;D$2,Master!$A$2:'Master'!$A$4384&amp;Master!$C$2:'Master'!$C$4384,0))</f>
        <v>4</v>
      </c>
      <c r="E12" s="21" cm="1">
        <f t="array" aca="1" ref="E12" ca="1">INDEX(Master!$I$2:'Master'!$I$4384,MATCH($A12&amp;E$2,Master!$A$2:'Master'!$A$4384&amp;Master!$C$2:'Master'!$C$4384,0))</f>
        <v>4</v>
      </c>
      <c r="F12" s="21" cm="1">
        <f t="array" aca="1" ref="F12" ca="1">INDEX(Master!$I$2:'Master'!$I$4384,MATCH($A12&amp;F$2,Master!$A$2:'Master'!$A$4384&amp;Master!$C$2:'Master'!$C$4384,0))</f>
        <v>3</v>
      </c>
      <c r="G12" s="21" cm="1">
        <f t="array" aca="1" ref="G12" ca="1">INDEX(Master!$I$2:'Master'!$I$4384,MATCH($A12&amp;G$2,Master!$A$2:'Master'!$A$4384&amp;Master!$C$2:'Master'!$C$4384,0))</f>
        <v>4</v>
      </c>
      <c r="H12" s="21" cm="1">
        <f t="array" aca="1" ref="H12" ca="1">INDEX(Master!$I$2:'Master'!$I$4384,MATCH($A12&amp;H$2,Master!$A$2:'Master'!$A$4384&amp;Master!$C$2:'Master'!$C$4384,0))</f>
        <v>3</v>
      </c>
      <c r="I12" s="21" cm="1">
        <f t="array" aca="1" ref="I12" ca="1">INDEX(Master!$I$2:'Master'!$I$4384,MATCH($A12&amp;I$2,Master!$A$2:'Master'!$A$4384&amp;Master!$C$2:'Master'!$C$4384,0))</f>
        <v>2</v>
      </c>
      <c r="J12" s="21" cm="1">
        <f t="array" aca="1" ref="J12" ca="1">INDEX(Master!$I$2:'Master'!$I$4384,MATCH($A12&amp;J$2,Master!$A$2:'Master'!$A$4384&amp;Master!$C$2:'Master'!$C$4384,0))</f>
        <v>2</v>
      </c>
      <c r="K12" s="21" cm="1">
        <f t="array" aca="1" ref="K12" ca="1">INDEX(Master!$I$2:'Master'!$I$4384,MATCH($A12&amp;K$2,Master!$A$2:'Master'!$A$4384&amp;Master!$C$2:'Master'!$C$4384,0))</f>
        <v>3</v>
      </c>
      <c r="L12" s="21" cm="1">
        <f t="array" aca="1" ref="L12" ca="1">INDEX(Master!$I$2:'Master'!$I$4384,MATCH($A12&amp;L$2,Master!$A$2:'Master'!$A$4384&amp;Master!$C$2:'Master'!$C$4384,0))</f>
        <v>4</v>
      </c>
      <c r="M12" s="21" cm="1">
        <f t="array" aca="1" ref="M12" ca="1">INDEX(Master!$I$2:'Master'!$I$4384,MATCH($A12&amp;M$2,Master!$A$2:'Master'!$A$4384&amp;Master!$C$2:'Master'!$C$4384,0))</f>
        <v>1</v>
      </c>
      <c r="N12" s="21" cm="1">
        <f t="array" aca="1" ref="N12" ca="1">INDEX(Master!$I$2:'Master'!$I$4384,MATCH($A12&amp;N$2,Master!$A$2:'Master'!$A$4384&amp;Master!$C$2:'Master'!$C$4384,0))</f>
        <v>1</v>
      </c>
      <c r="O12" s="21" cm="1">
        <f t="array" aca="1" ref="O12" ca="1">INDEX(Master!$I$2:'Master'!$I$4384,MATCH($A12&amp;O$2,Master!$A$2:'Master'!$A$4384&amp;Master!$C$2:'Master'!$C$4384,0))</f>
        <v>2</v>
      </c>
      <c r="P12" s="21" cm="1">
        <f t="array" aca="1" ref="P12" ca="1">INDEX(Master!$I$2:'Master'!$I$4384,MATCH($A12&amp;P$2,Master!$A$2:'Master'!$A$4384&amp;Master!$C$2:'Master'!$C$4384,0))</f>
        <v>2</v>
      </c>
      <c r="Q12" s="21" cm="1">
        <f t="array" aca="1" ref="Q12" ca="1">INDEX(Master!$I$2:'Master'!$I$4384,MATCH($A12&amp;Q$2,Master!$A$2:'Master'!$A$4384&amp;Master!$C$2:'Master'!$C$4384,0))</f>
        <v>2</v>
      </c>
      <c r="R12" s="21" cm="1">
        <f t="array" aca="1" ref="R12" ca="1">INDEX(Master!$I$2:'Master'!$I$4384,MATCH($A12&amp;R$2,Master!$A$2:'Master'!$A$4384&amp;Master!$C$2:'Master'!$C$4384,0))</f>
        <v>1</v>
      </c>
      <c r="S12" s="21" cm="1">
        <f t="array" aca="1" ref="S12" ca="1">INDEX(Master!$I$2:'Master'!$I$4384,MATCH($A12&amp;S$2,Master!$A$2:'Master'!$A$4384&amp;Master!$C$2:'Master'!$C$4384,0))</f>
        <v>1</v>
      </c>
      <c r="T12" s="21" cm="1">
        <f t="array" aca="1" ref="T12" ca="1">INDEX(Master!$I$2:'Master'!$I$4384,MATCH($A12&amp;T$2,Master!$A$2:'Master'!$A$4384&amp;Master!$C$2:'Master'!$C$4384,0))</f>
        <v>3</v>
      </c>
      <c r="U12" s="21" cm="1">
        <f t="array" aca="1" ref="U12" ca="1">INDEX(Master!$I$2:'Master'!$I$4384,MATCH($A12&amp;U$2,Master!$A$2:'Master'!$A$4384&amp;Master!$C$2:'Master'!$C$4384,0))</f>
        <v>3</v>
      </c>
      <c r="V12" s="21" cm="1">
        <f t="array" aca="1" ref="V12" ca="1">INDEX(Master!$I$2:'Master'!$I$4384,MATCH($A12&amp;V$2,Master!$A$2:'Master'!$A$4384&amp;Master!$C$2:'Master'!$C$4384,0))</f>
        <v>1</v>
      </c>
      <c r="W12" s="21" cm="1">
        <f t="array" aca="1" ref="W12" ca="1">INDEX(Master!$I$2:'Master'!$I$4384,MATCH($A12&amp;W$2,Master!$A$2:'Master'!$A$4384&amp;Master!$C$2:'Master'!$C$4384,0))</f>
        <v>2</v>
      </c>
      <c r="X12" s="21" cm="1">
        <f t="array" aca="1" ref="X12" ca="1">INDEX(Master!$I$2:'Master'!$I$4384,MATCH($A12&amp;X$2,Master!$A$2:'Master'!$A$4384&amp;Master!$C$2:'Master'!$C$4384,0))</f>
        <v>0</v>
      </c>
      <c r="Y12" s="21" cm="1">
        <f t="array" aca="1" ref="Y12" ca="1">INDEX(Master!$I$2:'Master'!$I$4384,MATCH($A12&amp;Y$2,Master!$A$2:'Master'!$A$4384&amp;Master!$C$2:'Master'!$C$4384,0))</f>
        <v>0</v>
      </c>
      <c r="Z12" s="21" cm="1">
        <f t="array" aca="1" ref="Z12" ca="1">INDEX(Master!$I$2:'Master'!$I$4384,MATCH($A12&amp;Z$2,Master!$A$2:'Master'!$A$4384&amp;Master!$C$2:'Master'!$C$4384,0))</f>
        <v>0</v>
      </c>
      <c r="AA12" s="21" cm="1">
        <f t="array" aca="1" ref="AA12" ca="1">INDEX(Master!$I$2:'Master'!$I$4384,MATCH($A12&amp;AA$2,Master!$A$2:'Master'!$A$4384&amp;Master!$C$2:'Master'!$C$4384,0))</f>
        <v>0</v>
      </c>
      <c r="AB12" s="21" cm="1">
        <f t="array" aca="1" ref="AB12" ca="1">INDEX(Master!$I$2:'Master'!$I$4384,MATCH($A12&amp;AB$2,Master!$A$2:'Master'!$A$4384&amp;Master!$C$2:'Master'!$C$4384,0))</f>
        <v>1</v>
      </c>
      <c r="AC12" s="21" cm="1">
        <f t="array" aca="1" ref="AC12" ca="1">INDEX(Master!$I$2:'Master'!$I$4384,MATCH($A12&amp;AC$2,Master!$A$2:'Master'!$A$4384&amp;Master!$C$2:'Master'!$C$4384,0))</f>
        <v>1</v>
      </c>
      <c r="AD12" s="21" cm="1">
        <f t="array" aca="1" ref="AD12" ca="1">INDEX(Master!$I$2:'Master'!$I$4384,MATCH($A12&amp;AD$2,Master!$A$2:'Master'!$A$4384&amp;Master!$C$2:'Master'!$C$4384,0))</f>
        <v>1</v>
      </c>
      <c r="AE12" s="21" cm="1">
        <f t="array" aca="1" ref="AE12" ca="1">INDEX(Master!$I$2:'Master'!$I$4384,MATCH($A12&amp;AE$2,Master!$A$2:'Master'!$A$4384&amp;Master!$C$2:'Master'!$C$4384,0))</f>
        <v>3</v>
      </c>
      <c r="AF12" s="21" cm="1">
        <f t="array" aca="1" ref="AF12" ca="1">INDEX(Master!$I$2:'Master'!$I$4384,MATCH($A12&amp;AF$2,Master!$A$2:'Master'!$A$4384&amp;Master!$C$2:'Master'!$C$4384,0))</f>
        <v>1</v>
      </c>
      <c r="AG12" s="21" cm="1">
        <f t="array" aca="1" ref="AG12" ca="1">INDEX(Master!$I$2:'Master'!$I$4384,MATCH($A12&amp;AG$2,Master!$A$2:'Master'!$A$4384&amp;Master!$C$2:'Master'!$C$4384,0))</f>
        <v>1</v>
      </c>
      <c r="AH12" s="21" cm="1">
        <f t="array" aca="1" ref="AH12" ca="1">INDEX(Master!$I$2:'Master'!$I$4384,MATCH($A12&amp;AH$2,Master!$A$2:'Master'!$A$4384&amp;Master!$C$2:'Master'!$C$4384,0))</f>
        <v>2</v>
      </c>
      <c r="AI12" s="21" cm="1">
        <f t="array" aca="1" ref="AI12" ca="1">INDEX(Master!$I$2:'Master'!$I$4384,MATCH($A12&amp;AI$2,Master!$A$2:'Master'!$A$4384&amp;Master!$C$2:'Master'!$C$4384,0))</f>
        <v>1</v>
      </c>
      <c r="AJ12" s="21" cm="1">
        <f t="array" aca="1" ref="AJ12" ca="1">INDEX(Master!$I$2:'Master'!$I$4384,MATCH($A12&amp;AJ$2,Master!$A$2:'Master'!$A$4384&amp;Master!$C$2:'Master'!$C$4384,0))</f>
        <v>4</v>
      </c>
      <c r="AK12" s="21" cm="1">
        <f t="array" aca="1" ref="AK12" ca="1">INDEX(Master!$I$2:'Master'!$I$4384,MATCH($A12&amp;AK$2,Master!$A$2:'Master'!$A$4384&amp;Master!$C$2:'Master'!$C$4384,0))</f>
        <v>1</v>
      </c>
      <c r="AL12" s="21" cm="1">
        <f t="array" aca="1" ref="AL12" ca="1">INDEX(Master!$I$2:'Master'!$I$4384,MATCH($A12&amp;AL$2,Master!$A$2:'Master'!$A$4384&amp;Master!$C$2:'Master'!$C$4384,0))</f>
        <v>0</v>
      </c>
      <c r="AM12" s="21" cm="1">
        <f t="array" aca="1" ref="AM12" ca="1">INDEX(Master!$I$2:'Master'!$I$4384,MATCH($A12&amp;AM$2,Master!$A$2:'Master'!$A$4384&amp;Master!$C$2:'Master'!$C$4384,0))</f>
        <v>2</v>
      </c>
      <c r="AN12" s="21" cm="1">
        <f t="array" aca="1" ref="AN12" ca="1">INDEX(Master!$I$2:'Master'!$I$4384,MATCH($A12&amp;AN$2,Master!$A$2:'Master'!$A$4384&amp;Master!$C$2:'Master'!$C$4384,0))</f>
        <v>1</v>
      </c>
      <c r="AO12" s="21" cm="1">
        <f t="array" aca="1" ref="AO12" ca="1">INDEX(Master!$I$2:'Master'!$I$4384,MATCH($A12&amp;AO$2,Master!$A$2:'Master'!$A$4384&amp;Master!$C$2:'Master'!$C$4384,0))</f>
        <v>1</v>
      </c>
      <c r="AP12" s="21" cm="1">
        <f t="array" aca="1" ref="AP12" ca="1">INDEX(Master!$I$2:'Master'!$I$4384,MATCH($A12&amp;AP$2,Master!$A$2:'Master'!$A$4384&amp;Master!$C$2:'Master'!$C$4384,0))</f>
        <v>2</v>
      </c>
      <c r="AQ12" s="21" cm="1">
        <f t="array" aca="1" ref="AQ12" ca="1">INDEX(Master!$I$2:'Master'!$I$4384,MATCH($A12&amp;AQ$2,Master!$A$2:'Master'!$A$4384&amp;Master!$C$2:'Master'!$C$4384,0))</f>
        <v>1</v>
      </c>
      <c r="AR12" s="21" cm="1">
        <f t="array" aca="1" ref="AR12" ca="1">INDEX(Master!$I$2:'Master'!$I$4384,MATCH($A12&amp;AR$2,Master!$A$2:'Master'!$A$4384&amp;Master!$C$2:'Master'!$C$4384,0))</f>
        <v>1</v>
      </c>
      <c r="AS12" s="21" cm="1">
        <f t="array" aca="1" ref="AS12" ca="1">INDEX(Master!$I$2:'Master'!$I$4384,MATCH($A12&amp;AS$2,Master!$A$2:'Master'!$A$4384&amp;Master!$C$2:'Master'!$C$4384,0))</f>
        <v>1</v>
      </c>
      <c r="AT12" s="21" cm="1">
        <f t="array" aca="1" ref="AT12" ca="1">INDEX(Master!$I$2:'Master'!$I$4384,MATCH($A12&amp;AT$2,Master!$A$2:'Master'!$A$4384&amp;Master!$C$2:'Master'!$C$4384,0))</f>
        <v>3</v>
      </c>
      <c r="AU12" s="21" cm="1">
        <f t="array" aca="1" ref="AU12" ca="1">INDEX(Master!$I$2:'Master'!$I$4384,MATCH($A12&amp;AU$2,Master!$A$2:'Master'!$A$4384&amp;Master!$C$2:'Master'!$C$4384,0))</f>
        <v>1</v>
      </c>
      <c r="AV12" s="21" cm="1">
        <f t="array" aca="1" ref="AV12" ca="1">INDEX(Master!$I$2:'Master'!$I$4384,MATCH($A12&amp;AV$2,Master!$A$2:'Master'!$A$4384&amp;Master!$C$2:'Master'!$C$4384,0))</f>
        <v>3</v>
      </c>
      <c r="AW12" s="21" cm="1">
        <f t="array" aca="1" ref="AW12" ca="1">INDEX(Master!$I$2:'Master'!$I$4384,MATCH($A12&amp;AW$2,Master!$A$2:'Master'!$A$4384&amp;Master!$C$2:'Master'!$C$4384,0))</f>
        <v>2</v>
      </c>
      <c r="AX12" s="21" cm="1">
        <f t="array" aca="1" ref="AX12" ca="1">INDEX(Master!$I$2:'Master'!$I$4384,MATCH($A12&amp;AX$2,Master!$A$2:'Master'!$A$4384&amp;Master!$C$2:'Master'!$C$4384,0))</f>
        <v>4</v>
      </c>
      <c r="AY12" s="21" cm="1">
        <f t="array" aca="1" ref="AY12" ca="1">INDEX(Master!$I$2:'Master'!$I$4384,MATCH($A12&amp;AY$2,Master!$A$2:'Master'!$A$4384&amp;Master!$C$2:'Master'!$C$4384,0))</f>
        <v>2</v>
      </c>
      <c r="AZ12" s="21" cm="1">
        <f t="array" aca="1" ref="AZ12" ca="1">INDEX(Master!$I$2:'Master'!$I$4384,MATCH($A12&amp;AZ$2,Master!$A$2:'Master'!$A$4384&amp;Master!$C$2:'Master'!$C$4384,0))</f>
        <v>1</v>
      </c>
      <c r="BA12" s="21" cm="1">
        <f t="array" aca="1" ref="BA12" ca="1">INDEX(Master!$I$2:'Master'!$I$4384,MATCH($A12&amp;BA$2,Master!$A$2:'Master'!$A$4384&amp;Master!$C$2:'Master'!$C$4384,0))</f>
        <v>4</v>
      </c>
      <c r="BB12" s="21" cm="1">
        <f t="array" aca="1" ref="BB12" ca="1">INDEX(Master!$I$2:'Master'!$I$4384,MATCH($A12&amp;BB$2,Master!$A$2:'Master'!$A$4384&amp;Master!$C$2:'Master'!$C$4384,0))</f>
        <v>2</v>
      </c>
      <c r="BC12" s="21" cm="1">
        <f t="array" aca="1" ref="BC12" ca="1">INDEX(Master!$I$2:'Master'!$I$4384,MATCH($A12&amp;BC$2,Master!$A$2:'Master'!$A$4384&amp;Master!$C$2:'Master'!$C$4384,0))</f>
        <v>3</v>
      </c>
      <c r="BD12" s="21" cm="1">
        <f t="array" aca="1" ref="BD12" ca="1">INDEX(Master!$I$2:'Master'!$I$4384,MATCH($A12&amp;BD$2,Master!$A$2:'Master'!$A$4384&amp;Master!$C$2:'Master'!$C$4384,0))</f>
        <v>2</v>
      </c>
      <c r="BE12" s="21" cm="1">
        <f t="array" aca="1" ref="BE12" ca="1">INDEX(Master!$I$2:'Master'!$I$4384,MATCH($A12&amp;BE$2,Master!$A$2:'Master'!$A$4384&amp;Master!$C$2:'Master'!$C$4384,0))</f>
        <v>1</v>
      </c>
      <c r="BF12" s="21" cm="1">
        <f t="array" aca="1" ref="BF12" ca="1">INDEX(Master!$I$2:'Master'!$I$4384,MATCH($A12&amp;BF$2,Master!$A$2:'Master'!$A$4384&amp;Master!$C$2:'Master'!$C$4384,0))</f>
        <v>1</v>
      </c>
      <c r="BG12" s="21" cm="1">
        <f t="array" aca="1" ref="BG12" ca="1">INDEX(Master!$I$2:'Master'!$I$4384,MATCH($A12&amp;BG$2,Master!$A$2:'Master'!$A$4384&amp;Master!$C$2:'Master'!$C$4384,0))</f>
        <v>1</v>
      </c>
      <c r="BH12" s="21" cm="1">
        <f t="array" aca="1" ref="BH12" ca="1">INDEX(Master!$I$2:'Master'!$I$4384,MATCH($A12&amp;BH$2,Master!$A$2:'Master'!$A$4384&amp;Master!$C$2:'Master'!$C$4384,0))</f>
        <v>1</v>
      </c>
      <c r="BI12" s="21" cm="1">
        <f t="array" aca="1" ref="BI12" ca="1">INDEX(Master!$I$2:'Master'!$I$4384,MATCH($A12&amp;BI$2,Master!$A$2:'Master'!$A$4384&amp;Master!$C$2:'Master'!$C$4384,0))</f>
        <v>1</v>
      </c>
      <c r="BJ12" s="21" cm="1">
        <f t="array" aca="1" ref="BJ12" ca="1">INDEX(Master!$I$2:'Master'!$I$4384,MATCH($A12&amp;BJ$2,Master!$A$2:'Master'!$A$4384&amp;Master!$C$2:'Master'!$C$4384,0))</f>
        <v>1</v>
      </c>
      <c r="BK12" s="21" cm="1">
        <f t="array" aca="1" ref="BK12" ca="1">INDEX(Master!$I$2:'Master'!$I$4384,MATCH($A12&amp;BK$2,Master!$A$2:'Master'!$A$4384&amp;Master!$C$2:'Master'!$C$4384,0))</f>
        <v>3</v>
      </c>
      <c r="BL12" s="21" cm="1">
        <f t="array" aca="1" ref="BL12" ca="1">INDEX(Master!$I$2:'Master'!$I$4384,MATCH($A12&amp;BL$2,Master!$A$2:'Master'!$A$4384&amp;Master!$C$2:'Master'!$C$4384,0))</f>
        <v>3</v>
      </c>
      <c r="BM12" s="21" cm="1">
        <f t="array" aca="1" ref="BM12" ca="1">INDEX(Master!$I$2:'Master'!$I$4384,MATCH($A12&amp;BM$2,Master!$A$2:'Master'!$A$4384&amp;Master!$C$2:'Master'!$C$4384,0))</f>
        <v>1</v>
      </c>
      <c r="BN12" s="21" cm="1">
        <f t="array" aca="1" ref="BN12" ca="1">INDEX(Master!$I$2:'Master'!$I$4384,MATCH($A12&amp;BN$2,Master!$A$2:'Master'!$A$4384&amp;Master!$C$2:'Master'!$C$4384,0))</f>
        <v>1</v>
      </c>
      <c r="BO12" s="21" cm="1">
        <f t="array" aca="1" ref="BO12" ca="1">INDEX(Master!$I$2:'Master'!$I$4384,MATCH($A12&amp;BO$2,Master!$A$2:'Master'!$A$4384&amp;Master!$C$2:'Master'!$C$4384,0))</f>
        <v>2</v>
      </c>
      <c r="BP12" s="21" cm="1">
        <f t="array" aca="1" ref="BP12" ca="1">INDEX(Master!$I$2:'Master'!$I$4384,MATCH($A12&amp;BP$2,Master!$A$2:'Master'!$A$4384&amp;Master!$C$2:'Master'!$C$4384,0))</f>
        <v>1</v>
      </c>
      <c r="BQ12" s="21" cm="1">
        <f t="array" aca="1" ref="BQ12" ca="1">INDEX(Master!$I$2:'Master'!$I$4384,MATCH($A12&amp;BQ$2,Master!$A$2:'Master'!$A$4384&amp;Master!$C$2:'Master'!$C$4384,0))</f>
        <v>1</v>
      </c>
      <c r="BR12" s="21" cm="1">
        <f t="array" aca="1" ref="BR12" ca="1">INDEX(Master!$I$2:'Master'!$I$4384,MATCH($A12&amp;BR$2,Master!$A$2:'Master'!$A$4384&amp;Master!$C$2:'Master'!$C$4384,0))</f>
        <v>1</v>
      </c>
      <c r="BS12" s="21" cm="1">
        <f t="array" aca="1" ref="BS12" ca="1">INDEX(Master!$I$2:'Master'!$I$4384,MATCH($A12&amp;BS$2,Master!$A$2:'Master'!$A$4384&amp;Master!$C$2:'Master'!$C$4384,0))</f>
        <v>1</v>
      </c>
      <c r="BT12" s="21" cm="1">
        <f t="array" aca="1" ref="BT12" ca="1">INDEX(Master!$I$2:'Master'!$I$4384,MATCH($A12&amp;BT$2,Master!$A$2:'Master'!$A$4384&amp;Master!$C$2:'Master'!$C$4384,0))</f>
        <v>1</v>
      </c>
      <c r="BU12" s="21" cm="1">
        <f t="array" aca="1" ref="BU12" ca="1">INDEX(Master!$I$2:'Master'!$I$4384,MATCH($A12&amp;BU$2,Master!$A$2:'Master'!$A$4384&amp;Master!$C$2:'Master'!$C$4384,0))</f>
        <v>1</v>
      </c>
      <c r="BV12" s="21" cm="1">
        <f t="array" aca="1" ref="BV12" ca="1">INDEX(Master!$I$2:'Master'!$I$4384,MATCH($A12&amp;BV$2,Master!$A$2:'Master'!$A$4384&amp;Master!$C$2:'Master'!$C$4384,0))</f>
        <v>1</v>
      </c>
      <c r="BW12" s="21" cm="1">
        <f t="array" aca="1" ref="BW12" ca="1">INDEX(Master!$I$2:'Master'!$I$4384,MATCH($A12&amp;BW$2,Master!$A$2:'Master'!$A$4384&amp;Master!$C$2:'Master'!$C$4384,0))</f>
        <v>1</v>
      </c>
      <c r="BX12" s="21" cm="1">
        <f t="array" aca="1" ref="BX12" ca="1">INDEX(Master!$I$2:'Master'!$I$4384,MATCH($A12&amp;BX$2,Master!$A$2:'Master'!$A$4384&amp;Master!$C$2:'Master'!$C$4384,0))</f>
        <v>1</v>
      </c>
      <c r="BY12" s="21" cm="1">
        <f t="array" aca="1" ref="BY12" ca="1">INDEX(Master!$I$2:'Master'!$I$4384,MATCH($A12&amp;BY$2,Master!$A$2:'Master'!$A$4384&amp;Master!$C$2:'Master'!$C$4384,0))</f>
        <v>1</v>
      </c>
      <c r="BZ12" s="21" cm="1">
        <f t="array" aca="1" ref="BZ12" ca="1">INDEX(Master!$I$2:'Master'!$I$4384,MATCH($A12&amp;BZ$2,Master!$A$2:'Master'!$A$4384&amp;Master!$C$2:'Master'!$C$4384,0))</f>
        <v>1</v>
      </c>
      <c r="CA12" s="21" cm="1">
        <f t="array" aca="1" ref="CA12" ca="1">INDEX(Master!$I$2:'Master'!$I$4384,MATCH($A12&amp;CA$2,Master!$A$2:'Master'!$A$4384&amp;Master!$C$2:'Master'!$C$4384,0))</f>
        <v>1</v>
      </c>
      <c r="CB12" s="21" cm="1">
        <f t="array" aca="1" ref="CB12" ca="1">INDEX(Master!$I$2:'Master'!$I$4384,MATCH($A12&amp;CB$2,Master!$A$2:'Master'!$A$4384&amp;Master!$C$2:'Master'!$C$4384,0))</f>
        <v>3</v>
      </c>
      <c r="CC12" s="21" cm="1">
        <f t="array" aca="1" ref="CC12" ca="1">INDEX(Master!$I$2:'Master'!$I$4384,MATCH($A12&amp;CC$2,Master!$A$2:'Master'!$A$4384&amp;Master!$C$2:'Master'!$C$4384,0))</f>
        <v>3</v>
      </c>
      <c r="CD12" s="21" cm="1">
        <f t="array" aca="1" ref="CD12" ca="1">INDEX(Master!$I$2:'Master'!$I$4384,MATCH($A12&amp;CD$2,Master!$A$2:'Master'!$A$4384&amp;Master!$C$2:'Master'!$C$4384,0))</f>
        <v>1</v>
      </c>
      <c r="CE12" s="21" cm="1">
        <f t="array" aca="1" ref="CE12" ca="1">INDEX(Master!$I$2:'Master'!$I$4384,MATCH($A12&amp;CE$2,Master!$A$2:'Master'!$A$4384&amp;Master!$C$2:'Master'!$C$4384,0))</f>
        <v>1</v>
      </c>
      <c r="CF12" s="21" cm="1">
        <f t="array" aca="1" ref="CF12" ca="1">INDEX(Master!$I$2:'Master'!$I$4384,MATCH($A12&amp;CF$2,Master!$A$2:'Master'!$A$4384&amp;Master!$C$2:'Master'!$C$4384,0))</f>
        <v>1</v>
      </c>
      <c r="CG12" s="21" cm="1">
        <f t="array" aca="1" ref="CG12" ca="1">INDEX(Master!$I$2:'Master'!$I$4384,MATCH($A12&amp;CG$2,Master!$A$2:'Master'!$A$4384&amp;Master!$C$2:'Master'!$C$4384,0))</f>
        <v>2</v>
      </c>
      <c r="CH12" s="21" cm="1">
        <f t="array" aca="1" ref="CH12" ca="1">INDEX(Master!$I$2:'Master'!$I$4384,MATCH($A12&amp;CH$2,Master!$A$2:'Master'!$A$4384&amp;Master!$C$2:'Master'!$C$4384,0))</f>
        <v>1</v>
      </c>
      <c r="CI12" s="21" cm="1">
        <f t="array" aca="1" ref="CI12" ca="1">INDEX(Master!$I$2:'Master'!$I$4384,MATCH($A12&amp;CI$2,Master!$A$2:'Master'!$A$4384&amp;Master!$C$2:'Master'!$C$4384,0))</f>
        <v>2</v>
      </c>
      <c r="CJ12" s="21" cm="1">
        <f t="array" aca="1" ref="CJ12" ca="1">INDEX(Master!$I$2:'Master'!$I$4384,MATCH($A12&amp;CJ$2,Master!$A$2:'Master'!$A$4384&amp;Master!$C$2:'Master'!$C$4384,0))</f>
        <v>1</v>
      </c>
      <c r="CK12" s="21" cm="1">
        <f t="array" aca="1" ref="CK12" ca="1">INDEX(Master!$I$2:'Master'!$I$4384,MATCH($A12&amp;CK$2,Master!$A$2:'Master'!$A$4384&amp;Master!$C$2:'Master'!$C$4384,0))</f>
        <v>1</v>
      </c>
      <c r="CL12" s="21" cm="1">
        <f t="array" aca="1" ref="CL12" ca="1">INDEX(Master!$I$2:'Master'!$I$4384,MATCH($A12&amp;CL$2,Master!$A$2:'Master'!$A$4384&amp;Master!$C$2:'Master'!$C$4384,0))</f>
        <v>1</v>
      </c>
      <c r="CM12" s="21" cm="1">
        <f t="array" aca="1" ref="CM12" ca="1">INDEX(Master!$I$2:'Master'!$I$4384,MATCH($A12&amp;CM$2,Master!$A$2:'Master'!$A$4384&amp;Master!$C$2:'Master'!$C$4384,0))</f>
        <v>1</v>
      </c>
      <c r="CN12" s="21" cm="1">
        <f t="array" aca="1" ref="CN12" ca="1">INDEX(Master!$I$2:'Master'!$I$4384,MATCH($A12&amp;CN$2,Master!$A$2:'Master'!$A$4384&amp;Master!$C$2:'Master'!$C$4384,0))</f>
        <v>0</v>
      </c>
      <c r="CO12" s="21" cm="1">
        <f t="array" aca="1" ref="CO12" ca="1">INDEX(Master!$I$2:'Master'!$I$4384,MATCH($A12&amp;CO$2,Master!$A$2:'Master'!$A$4384&amp;Master!$C$2:'Master'!$C$4384,0))</f>
        <v>0</v>
      </c>
      <c r="CP12" s="21" cm="1">
        <f t="array" aca="1" ref="CP12" ca="1">INDEX(Master!$I$2:'Master'!$I$4384,MATCH($A12&amp;CP$2,Master!$A$2:'Master'!$A$4384&amp;Master!$C$2:'Master'!$C$4384,0))</f>
        <v>1</v>
      </c>
      <c r="CQ12" s="21" cm="1">
        <f t="array" aca="1" ref="CQ12" ca="1">INDEX(Master!$I$2:'Master'!$I$4384,MATCH($A12&amp;CQ$2,Master!$A$2:'Master'!$A$4384&amp;Master!$C$2:'Master'!$C$4384,0))</f>
        <v>1</v>
      </c>
      <c r="CR12" s="21" cm="1">
        <f t="array" aca="1" ref="CR12" ca="1">INDEX(Master!$I$2:'Master'!$I$4384,MATCH($A12&amp;CR$2,Master!$A$2:'Master'!$A$4384&amp;Master!$C$2:'Master'!$C$4384,0))</f>
        <v>1</v>
      </c>
      <c r="CS12" s="21" cm="1">
        <f t="array" aca="1" ref="CS12" ca="1">INDEX(Master!$I$2:'Master'!$I$4384,MATCH($A12&amp;CS$2,Master!$A$2:'Master'!$A$4384&amp;Master!$C$2:'Master'!$C$4384,0))</f>
        <v>1</v>
      </c>
    </row>
    <row r="13" spans="1:97">
      <c r="A13" t="str">
        <f>VLOOKUP(Staff!$A11,Staff!$A$1:A$73,1,FALSE)</f>
        <v>Cormoran Strike</v>
      </c>
      <c r="B13" s="21" cm="1">
        <f t="array" aca="1" ref="B13" ca="1">INDEX(Master!$I$2:'Master'!$I$4384,MATCH($A13&amp;B$2,Master!$A$2:'Master'!$A$4384&amp;Master!$C$2:'Master'!$C$4384,0))</f>
        <v>2</v>
      </c>
      <c r="C13" s="21" cm="1">
        <f t="array" aca="1" ref="C13" ca="1">INDEX(Master!$I$2:'Master'!$I$4384,MATCH($A13&amp;C$2,Master!$A$2:'Master'!$A$4384&amp;Master!$C$2:'Master'!$C$4384,0))</f>
        <v>3</v>
      </c>
      <c r="D13" s="21" cm="1">
        <f t="array" aca="1" ref="D13" ca="1">INDEX(Master!$I$2:'Master'!$I$4384,MATCH($A13&amp;D$2,Master!$A$2:'Master'!$A$4384&amp;Master!$C$2:'Master'!$C$4384,0))</f>
        <v>4</v>
      </c>
      <c r="E13" s="21" cm="1">
        <f t="array" aca="1" ref="E13" ca="1">INDEX(Master!$I$2:'Master'!$I$4384,MATCH($A13&amp;E$2,Master!$A$2:'Master'!$A$4384&amp;Master!$C$2:'Master'!$C$4384,0))</f>
        <v>2</v>
      </c>
      <c r="F13" s="21" cm="1">
        <f t="array" aca="1" ref="F13" ca="1">INDEX(Master!$I$2:'Master'!$I$4384,MATCH($A13&amp;F$2,Master!$A$2:'Master'!$A$4384&amp;Master!$C$2:'Master'!$C$4384,0))</f>
        <v>3</v>
      </c>
      <c r="G13" s="21" cm="1">
        <f t="array" aca="1" ref="G13" ca="1">INDEX(Master!$I$2:'Master'!$I$4384,MATCH($A13&amp;G$2,Master!$A$2:'Master'!$A$4384&amp;Master!$C$2:'Master'!$C$4384,0))</f>
        <v>3</v>
      </c>
      <c r="H13" s="21" cm="1">
        <f t="array" aca="1" ref="H13" ca="1">INDEX(Master!$I$2:'Master'!$I$4384,MATCH($A13&amp;H$2,Master!$A$2:'Master'!$A$4384&amp;Master!$C$2:'Master'!$C$4384,0))</f>
        <v>3</v>
      </c>
      <c r="I13" s="21" cm="1">
        <f t="array" aca="1" ref="I13" ca="1">INDEX(Master!$I$2:'Master'!$I$4384,MATCH($A13&amp;I$2,Master!$A$2:'Master'!$A$4384&amp;Master!$C$2:'Master'!$C$4384,0))</f>
        <v>3</v>
      </c>
      <c r="J13" s="21" cm="1">
        <f t="array" aca="1" ref="J13" ca="1">INDEX(Master!$I$2:'Master'!$I$4384,MATCH($A13&amp;J$2,Master!$A$2:'Master'!$A$4384&amp;Master!$C$2:'Master'!$C$4384,0))</f>
        <v>3</v>
      </c>
      <c r="K13" s="21" cm="1">
        <f t="array" aca="1" ref="K13" ca="1">INDEX(Master!$I$2:'Master'!$I$4384,MATCH($A13&amp;K$2,Master!$A$2:'Master'!$A$4384&amp;Master!$C$2:'Master'!$C$4384,0))</f>
        <v>2</v>
      </c>
      <c r="L13" s="21" cm="1">
        <f t="array" aca="1" ref="L13" ca="1">INDEX(Master!$I$2:'Master'!$I$4384,MATCH($A13&amp;L$2,Master!$A$2:'Master'!$A$4384&amp;Master!$C$2:'Master'!$C$4384,0))</f>
        <v>2</v>
      </c>
      <c r="M13" s="21" cm="1">
        <f t="array" aca="1" ref="M13" ca="1">INDEX(Master!$I$2:'Master'!$I$4384,MATCH($A13&amp;M$2,Master!$A$2:'Master'!$A$4384&amp;Master!$C$2:'Master'!$C$4384,0))</f>
        <v>3</v>
      </c>
      <c r="N13" s="21" cm="1">
        <f t="array" aca="1" ref="N13" ca="1">INDEX(Master!$I$2:'Master'!$I$4384,MATCH($A13&amp;N$2,Master!$A$2:'Master'!$A$4384&amp;Master!$C$2:'Master'!$C$4384,0))</f>
        <v>2</v>
      </c>
      <c r="O13" s="21" cm="1">
        <f t="array" aca="1" ref="O13" ca="1">INDEX(Master!$I$2:'Master'!$I$4384,MATCH($A13&amp;O$2,Master!$A$2:'Master'!$A$4384&amp;Master!$C$2:'Master'!$C$4384,0))</f>
        <v>2</v>
      </c>
      <c r="P13" s="21" cm="1">
        <f t="array" aca="1" ref="P13" ca="1">INDEX(Master!$I$2:'Master'!$I$4384,MATCH($A13&amp;P$2,Master!$A$2:'Master'!$A$4384&amp;Master!$C$2:'Master'!$C$4384,0))</f>
        <v>3</v>
      </c>
      <c r="Q13" s="21" cm="1">
        <f t="array" aca="1" ref="Q13" ca="1">INDEX(Master!$I$2:'Master'!$I$4384,MATCH($A13&amp;Q$2,Master!$A$2:'Master'!$A$4384&amp;Master!$C$2:'Master'!$C$4384,0))</f>
        <v>3</v>
      </c>
      <c r="R13" s="21" cm="1">
        <f t="array" aca="1" ref="R13" ca="1">INDEX(Master!$I$2:'Master'!$I$4384,MATCH($A13&amp;R$2,Master!$A$2:'Master'!$A$4384&amp;Master!$C$2:'Master'!$C$4384,0))</f>
        <v>2</v>
      </c>
      <c r="S13" s="21" cm="1">
        <f t="array" aca="1" ref="S13" ca="1">INDEX(Master!$I$2:'Master'!$I$4384,MATCH($A13&amp;S$2,Master!$A$2:'Master'!$A$4384&amp;Master!$C$2:'Master'!$C$4384,0))</f>
        <v>3</v>
      </c>
      <c r="T13" s="21" cm="1">
        <f t="array" aca="1" ref="T13" ca="1">INDEX(Master!$I$2:'Master'!$I$4384,MATCH($A13&amp;T$2,Master!$A$2:'Master'!$A$4384&amp;Master!$C$2:'Master'!$C$4384,0))</f>
        <v>3</v>
      </c>
      <c r="U13" s="21" cm="1">
        <f t="array" aca="1" ref="U13" ca="1">INDEX(Master!$I$2:'Master'!$I$4384,MATCH($A13&amp;U$2,Master!$A$2:'Master'!$A$4384&amp;Master!$C$2:'Master'!$C$4384,0))</f>
        <v>1</v>
      </c>
      <c r="V13" s="21" cm="1">
        <f t="array" aca="1" ref="V13" ca="1">INDEX(Master!$I$2:'Master'!$I$4384,MATCH($A13&amp;V$2,Master!$A$2:'Master'!$A$4384&amp;Master!$C$2:'Master'!$C$4384,0))</f>
        <v>3</v>
      </c>
      <c r="W13" s="21" cm="1">
        <f t="array" aca="1" ref="W13" ca="1">INDEX(Master!$I$2:'Master'!$I$4384,MATCH($A13&amp;W$2,Master!$A$2:'Master'!$A$4384&amp;Master!$C$2:'Master'!$C$4384,0))</f>
        <v>3</v>
      </c>
      <c r="X13" s="21" cm="1">
        <f t="array" aca="1" ref="X13" ca="1">INDEX(Master!$I$2:'Master'!$I$4384,MATCH($A13&amp;X$2,Master!$A$2:'Master'!$A$4384&amp;Master!$C$2:'Master'!$C$4384,0))</f>
        <v>3</v>
      </c>
      <c r="Y13" s="21" cm="1">
        <f t="array" aca="1" ref="Y13" ca="1">INDEX(Master!$I$2:'Master'!$I$4384,MATCH($A13&amp;Y$2,Master!$A$2:'Master'!$A$4384&amp;Master!$C$2:'Master'!$C$4384,0))</f>
        <v>2</v>
      </c>
      <c r="Z13" s="21" cm="1">
        <f t="array" aca="1" ref="Z13" ca="1">INDEX(Master!$I$2:'Master'!$I$4384,MATCH($A13&amp;Z$2,Master!$A$2:'Master'!$A$4384&amp;Master!$C$2:'Master'!$C$4384,0))</f>
        <v>1</v>
      </c>
      <c r="AA13" s="21" cm="1">
        <f t="array" aca="1" ref="AA13" ca="1">INDEX(Master!$I$2:'Master'!$I$4384,MATCH($A13&amp;AA$2,Master!$A$2:'Master'!$A$4384&amp;Master!$C$2:'Master'!$C$4384,0))</f>
        <v>2</v>
      </c>
      <c r="AB13" s="21" cm="1">
        <f t="array" aca="1" ref="AB13" ca="1">INDEX(Master!$I$2:'Master'!$I$4384,MATCH($A13&amp;AB$2,Master!$A$2:'Master'!$A$4384&amp;Master!$C$2:'Master'!$C$4384,0))</f>
        <v>3</v>
      </c>
      <c r="AC13" s="21" cm="1">
        <f t="array" aca="1" ref="AC13" ca="1">INDEX(Master!$I$2:'Master'!$I$4384,MATCH($A13&amp;AC$2,Master!$A$2:'Master'!$A$4384&amp;Master!$C$2:'Master'!$C$4384,0))</f>
        <v>3</v>
      </c>
      <c r="AD13" s="21" cm="1">
        <f t="array" aca="1" ref="AD13" ca="1">INDEX(Master!$I$2:'Master'!$I$4384,MATCH($A13&amp;AD$2,Master!$A$2:'Master'!$A$4384&amp;Master!$C$2:'Master'!$C$4384,0))</f>
        <v>2</v>
      </c>
      <c r="AE13" s="21" cm="1">
        <f t="array" aca="1" ref="AE13" ca="1">INDEX(Master!$I$2:'Master'!$I$4384,MATCH($A13&amp;AE$2,Master!$A$2:'Master'!$A$4384&amp;Master!$C$2:'Master'!$C$4384,0))</f>
        <v>1</v>
      </c>
      <c r="AF13" s="21" cm="1">
        <f t="array" aca="1" ref="AF13" ca="1">INDEX(Master!$I$2:'Master'!$I$4384,MATCH($A13&amp;AF$2,Master!$A$2:'Master'!$A$4384&amp;Master!$C$2:'Master'!$C$4384,0))</f>
        <v>2</v>
      </c>
      <c r="AG13" s="21" cm="1">
        <f t="array" aca="1" ref="AG13" ca="1">INDEX(Master!$I$2:'Master'!$I$4384,MATCH($A13&amp;AG$2,Master!$A$2:'Master'!$A$4384&amp;Master!$C$2:'Master'!$C$4384,0))</f>
        <v>2</v>
      </c>
      <c r="AH13" s="21" cm="1">
        <f t="array" aca="1" ref="AH13" ca="1">INDEX(Master!$I$2:'Master'!$I$4384,MATCH($A13&amp;AH$2,Master!$A$2:'Master'!$A$4384&amp;Master!$C$2:'Master'!$C$4384,0))</f>
        <v>2</v>
      </c>
      <c r="AI13" s="21" cm="1">
        <f t="array" aca="1" ref="AI13" ca="1">INDEX(Master!$I$2:'Master'!$I$4384,MATCH($A13&amp;AI$2,Master!$A$2:'Master'!$A$4384&amp;Master!$C$2:'Master'!$C$4384,0))</f>
        <v>3</v>
      </c>
      <c r="AJ13" s="21" cm="1">
        <f t="array" aca="1" ref="AJ13" ca="1">INDEX(Master!$I$2:'Master'!$I$4384,MATCH($A13&amp;AJ$2,Master!$A$2:'Master'!$A$4384&amp;Master!$C$2:'Master'!$C$4384,0))</f>
        <v>1</v>
      </c>
      <c r="AK13" s="21" cm="1">
        <f t="array" aca="1" ref="AK13" ca="1">INDEX(Master!$I$2:'Master'!$I$4384,MATCH($A13&amp;AK$2,Master!$A$2:'Master'!$A$4384&amp;Master!$C$2:'Master'!$C$4384,0))</f>
        <v>1</v>
      </c>
      <c r="AL13" s="21" cm="1">
        <f t="array" aca="1" ref="AL13" ca="1">INDEX(Master!$I$2:'Master'!$I$4384,MATCH($A13&amp;AL$2,Master!$A$2:'Master'!$A$4384&amp;Master!$C$2:'Master'!$C$4384,0))</f>
        <v>2</v>
      </c>
      <c r="AM13" s="21" cm="1">
        <f t="array" aca="1" ref="AM13" ca="1">INDEX(Master!$I$2:'Master'!$I$4384,MATCH($A13&amp;AM$2,Master!$A$2:'Master'!$A$4384&amp;Master!$C$2:'Master'!$C$4384,0))</f>
        <v>2</v>
      </c>
      <c r="AN13" s="21" cm="1">
        <f t="array" aca="1" ref="AN13" ca="1">INDEX(Master!$I$2:'Master'!$I$4384,MATCH($A13&amp;AN$2,Master!$A$2:'Master'!$A$4384&amp;Master!$C$2:'Master'!$C$4384,0))</f>
        <v>1</v>
      </c>
      <c r="AO13" s="21" cm="1">
        <f t="array" aca="1" ref="AO13" ca="1">INDEX(Master!$I$2:'Master'!$I$4384,MATCH($A13&amp;AO$2,Master!$A$2:'Master'!$A$4384&amp;Master!$C$2:'Master'!$C$4384,0))</f>
        <v>2</v>
      </c>
      <c r="AP13" s="21" cm="1">
        <f t="array" aca="1" ref="AP13" ca="1">INDEX(Master!$I$2:'Master'!$I$4384,MATCH($A13&amp;AP$2,Master!$A$2:'Master'!$A$4384&amp;Master!$C$2:'Master'!$C$4384,0))</f>
        <v>2</v>
      </c>
      <c r="AQ13" s="21" cm="1">
        <f t="array" aca="1" ref="AQ13" ca="1">INDEX(Master!$I$2:'Master'!$I$4384,MATCH($A13&amp;AQ$2,Master!$A$2:'Master'!$A$4384&amp;Master!$C$2:'Master'!$C$4384,0))</f>
        <v>1</v>
      </c>
      <c r="AR13" s="21" cm="1">
        <f t="array" aca="1" ref="AR13" ca="1">INDEX(Master!$I$2:'Master'!$I$4384,MATCH($A13&amp;AR$2,Master!$A$2:'Master'!$A$4384&amp;Master!$C$2:'Master'!$C$4384,0))</f>
        <v>2</v>
      </c>
      <c r="AS13" s="21" cm="1">
        <f t="array" aca="1" ref="AS13" ca="1">INDEX(Master!$I$2:'Master'!$I$4384,MATCH($A13&amp;AS$2,Master!$A$2:'Master'!$A$4384&amp;Master!$C$2:'Master'!$C$4384,0))</f>
        <v>3</v>
      </c>
      <c r="AT13" s="21" cm="1">
        <f t="array" aca="1" ref="AT13" ca="1">INDEX(Master!$I$2:'Master'!$I$4384,MATCH($A13&amp;AT$2,Master!$A$2:'Master'!$A$4384&amp;Master!$C$2:'Master'!$C$4384,0))</f>
        <v>2</v>
      </c>
      <c r="AU13" s="21" cm="1">
        <f t="array" aca="1" ref="AU13" ca="1">INDEX(Master!$I$2:'Master'!$I$4384,MATCH($A13&amp;AU$2,Master!$A$2:'Master'!$A$4384&amp;Master!$C$2:'Master'!$C$4384,0))</f>
        <v>2</v>
      </c>
      <c r="AV13" s="21" cm="1">
        <f t="array" aca="1" ref="AV13" ca="1">INDEX(Master!$I$2:'Master'!$I$4384,MATCH($A13&amp;AV$2,Master!$A$2:'Master'!$A$4384&amp;Master!$C$2:'Master'!$C$4384,0))</f>
        <v>3</v>
      </c>
      <c r="AW13" s="21" cm="1">
        <f t="array" aca="1" ref="AW13" ca="1">INDEX(Master!$I$2:'Master'!$I$4384,MATCH($A13&amp;AW$2,Master!$A$2:'Master'!$A$4384&amp;Master!$C$2:'Master'!$C$4384,0))</f>
        <v>3</v>
      </c>
      <c r="AX13" s="21" cm="1">
        <f t="array" aca="1" ref="AX13" ca="1">INDEX(Master!$I$2:'Master'!$I$4384,MATCH($A13&amp;AX$2,Master!$A$2:'Master'!$A$4384&amp;Master!$C$2:'Master'!$C$4384,0))</f>
        <v>2</v>
      </c>
      <c r="AY13" s="21" cm="1">
        <f t="array" aca="1" ref="AY13" ca="1">INDEX(Master!$I$2:'Master'!$I$4384,MATCH($A13&amp;AY$2,Master!$A$2:'Master'!$A$4384&amp;Master!$C$2:'Master'!$C$4384,0))</f>
        <v>2</v>
      </c>
      <c r="AZ13" s="21" cm="1">
        <f t="array" aca="1" ref="AZ13" ca="1">INDEX(Master!$I$2:'Master'!$I$4384,MATCH($A13&amp;AZ$2,Master!$A$2:'Master'!$A$4384&amp;Master!$C$2:'Master'!$C$4384,0))</f>
        <v>2</v>
      </c>
      <c r="BA13" s="21" cm="1">
        <f t="array" aca="1" ref="BA13" ca="1">INDEX(Master!$I$2:'Master'!$I$4384,MATCH($A13&amp;BA$2,Master!$A$2:'Master'!$A$4384&amp;Master!$C$2:'Master'!$C$4384,0))</f>
        <v>2</v>
      </c>
      <c r="BB13" s="21" cm="1">
        <f t="array" aca="1" ref="BB13" ca="1">INDEX(Master!$I$2:'Master'!$I$4384,MATCH($A13&amp;BB$2,Master!$A$2:'Master'!$A$4384&amp;Master!$C$2:'Master'!$C$4384,0))</f>
        <v>2</v>
      </c>
      <c r="BC13" s="21" cm="1">
        <f t="array" aca="1" ref="BC13" ca="1">INDEX(Master!$I$2:'Master'!$I$4384,MATCH($A13&amp;BC$2,Master!$A$2:'Master'!$A$4384&amp;Master!$C$2:'Master'!$C$4384,0))</f>
        <v>2</v>
      </c>
      <c r="BD13" s="21" cm="1">
        <f t="array" aca="1" ref="BD13" ca="1">INDEX(Master!$I$2:'Master'!$I$4384,MATCH($A13&amp;BD$2,Master!$A$2:'Master'!$A$4384&amp;Master!$C$2:'Master'!$C$4384,0))</f>
        <v>1</v>
      </c>
      <c r="BE13" s="21" cm="1">
        <f t="array" aca="1" ref="BE13" ca="1">INDEX(Master!$I$2:'Master'!$I$4384,MATCH($A13&amp;BE$2,Master!$A$2:'Master'!$A$4384&amp;Master!$C$2:'Master'!$C$4384,0))</f>
        <v>1</v>
      </c>
      <c r="BF13" s="21" cm="1">
        <f t="array" aca="1" ref="BF13" ca="1">INDEX(Master!$I$2:'Master'!$I$4384,MATCH($A13&amp;BF$2,Master!$A$2:'Master'!$A$4384&amp;Master!$C$2:'Master'!$C$4384,0))</f>
        <v>1</v>
      </c>
      <c r="BG13" s="21" cm="1">
        <f t="array" aca="1" ref="BG13" ca="1">INDEX(Master!$I$2:'Master'!$I$4384,MATCH($A13&amp;BG$2,Master!$A$2:'Master'!$A$4384&amp;Master!$C$2:'Master'!$C$4384,0))</f>
        <v>2</v>
      </c>
      <c r="BH13" s="21" cm="1">
        <f t="array" aca="1" ref="BH13" ca="1">INDEX(Master!$I$2:'Master'!$I$4384,MATCH($A13&amp;BH$2,Master!$A$2:'Master'!$A$4384&amp;Master!$C$2:'Master'!$C$4384,0))</f>
        <v>2</v>
      </c>
      <c r="BI13" s="21" cm="1">
        <f t="array" aca="1" ref="BI13" ca="1">INDEX(Master!$I$2:'Master'!$I$4384,MATCH($A13&amp;BI$2,Master!$A$2:'Master'!$A$4384&amp;Master!$C$2:'Master'!$C$4384,0))</f>
        <v>2</v>
      </c>
      <c r="BJ13" s="21" cm="1">
        <f t="array" aca="1" ref="BJ13" ca="1">INDEX(Master!$I$2:'Master'!$I$4384,MATCH($A13&amp;BJ$2,Master!$A$2:'Master'!$A$4384&amp;Master!$C$2:'Master'!$C$4384,0))</f>
        <v>2</v>
      </c>
      <c r="BK13" s="21" cm="1">
        <f t="array" aca="1" ref="BK13" ca="1">INDEX(Master!$I$2:'Master'!$I$4384,MATCH($A13&amp;BK$2,Master!$A$2:'Master'!$A$4384&amp;Master!$C$2:'Master'!$C$4384,0))</f>
        <v>2</v>
      </c>
      <c r="BL13" s="21" cm="1">
        <f t="array" aca="1" ref="BL13" ca="1">INDEX(Master!$I$2:'Master'!$I$4384,MATCH($A13&amp;BL$2,Master!$A$2:'Master'!$A$4384&amp;Master!$C$2:'Master'!$C$4384,0))</f>
        <v>1</v>
      </c>
      <c r="BM13" s="21" cm="1">
        <f t="array" aca="1" ref="BM13" ca="1">INDEX(Master!$I$2:'Master'!$I$4384,MATCH($A13&amp;BM$2,Master!$A$2:'Master'!$A$4384&amp;Master!$C$2:'Master'!$C$4384,0))</f>
        <v>2</v>
      </c>
      <c r="BN13" s="21" cm="1">
        <f t="array" aca="1" ref="BN13" ca="1">INDEX(Master!$I$2:'Master'!$I$4384,MATCH($A13&amp;BN$2,Master!$A$2:'Master'!$A$4384&amp;Master!$C$2:'Master'!$C$4384,0))</f>
        <v>2</v>
      </c>
      <c r="BO13" s="21" cm="1">
        <f t="array" aca="1" ref="BO13" ca="1">INDEX(Master!$I$2:'Master'!$I$4384,MATCH($A13&amp;BO$2,Master!$A$2:'Master'!$A$4384&amp;Master!$C$2:'Master'!$C$4384,0))</f>
        <v>3</v>
      </c>
      <c r="BP13" s="21" cm="1">
        <f t="array" aca="1" ref="BP13" ca="1">INDEX(Master!$I$2:'Master'!$I$4384,MATCH($A13&amp;BP$2,Master!$A$2:'Master'!$A$4384&amp;Master!$C$2:'Master'!$C$4384,0))</f>
        <v>3</v>
      </c>
      <c r="BQ13" s="21" cm="1">
        <f t="array" aca="1" ref="BQ13" ca="1">INDEX(Master!$I$2:'Master'!$I$4384,MATCH($A13&amp;BQ$2,Master!$A$2:'Master'!$A$4384&amp;Master!$C$2:'Master'!$C$4384,0))</f>
        <v>2</v>
      </c>
      <c r="BR13" s="21" cm="1">
        <f t="array" aca="1" ref="BR13" ca="1">INDEX(Master!$I$2:'Master'!$I$4384,MATCH($A13&amp;BR$2,Master!$A$2:'Master'!$A$4384&amp;Master!$C$2:'Master'!$C$4384,0))</f>
        <v>2</v>
      </c>
      <c r="BS13" s="21" cm="1">
        <f t="array" aca="1" ref="BS13" ca="1">INDEX(Master!$I$2:'Master'!$I$4384,MATCH($A13&amp;BS$2,Master!$A$2:'Master'!$A$4384&amp;Master!$C$2:'Master'!$C$4384,0))</f>
        <v>3</v>
      </c>
      <c r="BT13" s="21" cm="1">
        <f t="array" aca="1" ref="BT13" ca="1">INDEX(Master!$I$2:'Master'!$I$4384,MATCH($A13&amp;BT$2,Master!$A$2:'Master'!$A$4384&amp;Master!$C$2:'Master'!$C$4384,0))</f>
        <v>2</v>
      </c>
      <c r="BU13" s="21" cm="1">
        <f t="array" aca="1" ref="BU13" ca="1">INDEX(Master!$I$2:'Master'!$I$4384,MATCH($A13&amp;BU$2,Master!$A$2:'Master'!$A$4384&amp;Master!$C$2:'Master'!$C$4384,0))</f>
        <v>2</v>
      </c>
      <c r="BV13" s="21" cm="1">
        <f t="array" aca="1" ref="BV13" ca="1">INDEX(Master!$I$2:'Master'!$I$4384,MATCH($A13&amp;BV$2,Master!$A$2:'Master'!$A$4384&amp;Master!$C$2:'Master'!$C$4384,0))</f>
        <v>2</v>
      </c>
      <c r="BW13" s="21" cm="1">
        <f t="array" aca="1" ref="BW13" ca="1">INDEX(Master!$I$2:'Master'!$I$4384,MATCH($A13&amp;BW$2,Master!$A$2:'Master'!$A$4384&amp;Master!$C$2:'Master'!$C$4384,0))</f>
        <v>1</v>
      </c>
      <c r="BX13" s="21" cm="1">
        <f t="array" aca="1" ref="BX13" ca="1">INDEX(Master!$I$2:'Master'!$I$4384,MATCH($A13&amp;BX$2,Master!$A$2:'Master'!$A$4384&amp;Master!$C$2:'Master'!$C$4384,0))</f>
        <v>2</v>
      </c>
      <c r="BY13" s="21" cm="1">
        <f t="array" aca="1" ref="BY13" ca="1">INDEX(Master!$I$2:'Master'!$I$4384,MATCH($A13&amp;BY$2,Master!$A$2:'Master'!$A$4384&amp;Master!$C$2:'Master'!$C$4384,0))</f>
        <v>2</v>
      </c>
      <c r="BZ13" s="21" cm="1">
        <f t="array" aca="1" ref="BZ13" ca="1">INDEX(Master!$I$2:'Master'!$I$4384,MATCH($A13&amp;BZ$2,Master!$A$2:'Master'!$A$4384&amp;Master!$C$2:'Master'!$C$4384,0))</f>
        <v>2</v>
      </c>
      <c r="CA13" s="21" cm="1">
        <f t="array" aca="1" ref="CA13" ca="1">INDEX(Master!$I$2:'Master'!$I$4384,MATCH($A13&amp;CA$2,Master!$A$2:'Master'!$A$4384&amp;Master!$C$2:'Master'!$C$4384,0))</f>
        <v>2</v>
      </c>
      <c r="CB13" s="21" cm="1">
        <f t="array" aca="1" ref="CB13" ca="1">INDEX(Master!$I$2:'Master'!$I$4384,MATCH($A13&amp;CB$2,Master!$A$2:'Master'!$A$4384&amp;Master!$C$2:'Master'!$C$4384,0))</f>
        <v>2</v>
      </c>
      <c r="CC13" s="21" cm="1">
        <f t="array" aca="1" ref="CC13" ca="1">INDEX(Master!$I$2:'Master'!$I$4384,MATCH($A13&amp;CC$2,Master!$A$2:'Master'!$A$4384&amp;Master!$C$2:'Master'!$C$4384,0))</f>
        <v>1</v>
      </c>
      <c r="CD13" s="21" cm="1">
        <f t="array" aca="1" ref="CD13" ca="1">INDEX(Master!$I$2:'Master'!$I$4384,MATCH($A13&amp;CD$2,Master!$A$2:'Master'!$A$4384&amp;Master!$C$2:'Master'!$C$4384,0))</f>
        <v>2</v>
      </c>
      <c r="CE13" s="21" cm="1">
        <f t="array" aca="1" ref="CE13" ca="1">INDEX(Master!$I$2:'Master'!$I$4384,MATCH($A13&amp;CE$2,Master!$A$2:'Master'!$A$4384&amp;Master!$C$2:'Master'!$C$4384,0))</f>
        <v>1</v>
      </c>
      <c r="CF13" s="21" cm="1">
        <f t="array" aca="1" ref="CF13" ca="1">INDEX(Master!$I$2:'Master'!$I$4384,MATCH($A13&amp;CF$2,Master!$A$2:'Master'!$A$4384&amp;Master!$C$2:'Master'!$C$4384,0))</f>
        <v>2</v>
      </c>
      <c r="CG13" s="21" cm="1">
        <f t="array" aca="1" ref="CG13" ca="1">INDEX(Master!$I$2:'Master'!$I$4384,MATCH($A13&amp;CG$2,Master!$A$2:'Master'!$A$4384&amp;Master!$C$2:'Master'!$C$4384,0))</f>
        <v>2</v>
      </c>
      <c r="CH13" s="21" cm="1">
        <f t="array" aca="1" ref="CH13" ca="1">INDEX(Master!$I$2:'Master'!$I$4384,MATCH($A13&amp;CH$2,Master!$A$2:'Master'!$A$4384&amp;Master!$C$2:'Master'!$C$4384,0))</f>
        <v>2</v>
      </c>
      <c r="CI13" s="21" cm="1">
        <f t="array" aca="1" ref="CI13" ca="1">INDEX(Master!$I$2:'Master'!$I$4384,MATCH($A13&amp;CI$2,Master!$A$2:'Master'!$A$4384&amp;Master!$C$2:'Master'!$C$4384,0))</f>
        <v>1</v>
      </c>
      <c r="CJ13" s="21" cm="1">
        <f t="array" aca="1" ref="CJ13" ca="1">INDEX(Master!$I$2:'Master'!$I$4384,MATCH($A13&amp;CJ$2,Master!$A$2:'Master'!$A$4384&amp;Master!$C$2:'Master'!$C$4384,0))</f>
        <v>2</v>
      </c>
      <c r="CK13" s="21" cm="1">
        <f t="array" aca="1" ref="CK13" ca="1">INDEX(Master!$I$2:'Master'!$I$4384,MATCH($A13&amp;CK$2,Master!$A$2:'Master'!$A$4384&amp;Master!$C$2:'Master'!$C$4384,0))</f>
        <v>2</v>
      </c>
      <c r="CL13" s="21" cm="1">
        <f t="array" aca="1" ref="CL13" ca="1">INDEX(Master!$I$2:'Master'!$I$4384,MATCH($A13&amp;CL$2,Master!$A$2:'Master'!$A$4384&amp;Master!$C$2:'Master'!$C$4384,0))</f>
        <v>1</v>
      </c>
      <c r="CM13" s="21" cm="1">
        <f t="array" aca="1" ref="CM13" ca="1">INDEX(Master!$I$2:'Master'!$I$4384,MATCH($A13&amp;CM$2,Master!$A$2:'Master'!$A$4384&amp;Master!$C$2:'Master'!$C$4384,0))</f>
        <v>1</v>
      </c>
      <c r="CN13" s="21" cm="1">
        <f t="array" aca="1" ref="CN13" ca="1">INDEX(Master!$I$2:'Master'!$I$4384,MATCH($A13&amp;CN$2,Master!$A$2:'Master'!$A$4384&amp;Master!$C$2:'Master'!$C$4384,0))</f>
        <v>2</v>
      </c>
      <c r="CO13" s="21" cm="1">
        <f t="array" aca="1" ref="CO13" ca="1">INDEX(Master!$I$2:'Master'!$I$4384,MATCH($A13&amp;CO$2,Master!$A$2:'Master'!$A$4384&amp;Master!$C$2:'Master'!$C$4384,0))</f>
        <v>1</v>
      </c>
      <c r="CP13" s="21" cm="1">
        <f t="array" aca="1" ref="CP13" ca="1">INDEX(Master!$I$2:'Master'!$I$4384,MATCH($A13&amp;CP$2,Master!$A$2:'Master'!$A$4384&amp;Master!$C$2:'Master'!$C$4384,0))</f>
        <v>1</v>
      </c>
      <c r="CQ13" s="21" cm="1">
        <f t="array" aca="1" ref="CQ13" ca="1">INDEX(Master!$I$2:'Master'!$I$4384,MATCH($A13&amp;CQ$2,Master!$A$2:'Master'!$A$4384&amp;Master!$C$2:'Master'!$C$4384,0))</f>
        <v>2</v>
      </c>
      <c r="CR13" s="21" cm="1">
        <f t="array" aca="1" ref="CR13" ca="1">INDEX(Master!$I$2:'Master'!$I$4384,MATCH($A13&amp;CR$2,Master!$A$2:'Master'!$A$4384&amp;Master!$C$2:'Master'!$C$4384,0))</f>
        <v>2</v>
      </c>
      <c r="CS13" s="21" cm="1">
        <f t="array" aca="1" ref="CS13" ca="1">INDEX(Master!$I$2:'Master'!$I$4384,MATCH($A13&amp;CS$2,Master!$A$2:'Master'!$A$4384&amp;Master!$C$2:'Master'!$C$4384,0))</f>
        <v>3</v>
      </c>
    </row>
    <row r="14" spans="1:97">
      <c r="A14" t="str">
        <f>VLOOKUP(Staff!$A12,Staff!$A$1:A$73,1,FALSE)</f>
        <v>Marcella Backland</v>
      </c>
      <c r="B14" s="21" cm="1">
        <f t="array" aca="1" ref="B14" ca="1">INDEX(Master!$I$2:'Master'!$I$4384,MATCH($A14&amp;B$2,Master!$A$2:'Master'!$A$4384&amp;Master!$C$2:'Master'!$C$4384,0))</f>
        <v>99</v>
      </c>
      <c r="C14" s="21" cm="1">
        <f t="array" aca="1" ref="C14" ca="1">INDEX(Master!$I$2:'Master'!$I$4384,MATCH($A14&amp;C$2,Master!$A$2:'Master'!$A$4384&amp;Master!$C$2:'Master'!$C$4384,0))</f>
        <v>99</v>
      </c>
      <c r="D14" s="21" cm="1">
        <f t="array" aca="1" ref="D14" ca="1">INDEX(Master!$I$2:'Master'!$I$4384,MATCH($A14&amp;D$2,Master!$A$2:'Master'!$A$4384&amp;Master!$C$2:'Master'!$C$4384,0))</f>
        <v>99</v>
      </c>
      <c r="E14" s="21" cm="1">
        <f t="array" aca="1" ref="E14" ca="1">INDEX(Master!$I$2:'Master'!$I$4384,MATCH($A14&amp;E$2,Master!$A$2:'Master'!$A$4384&amp;Master!$C$2:'Master'!$C$4384,0))</f>
        <v>99</v>
      </c>
      <c r="F14" s="21" cm="1">
        <f t="array" aca="1" ref="F14" ca="1">INDEX(Master!$I$2:'Master'!$I$4384,MATCH($A14&amp;F$2,Master!$A$2:'Master'!$A$4384&amp;Master!$C$2:'Master'!$C$4384,0))</f>
        <v>99</v>
      </c>
      <c r="G14" s="21" cm="1">
        <f t="array" aca="1" ref="G14" ca="1">INDEX(Master!$I$2:'Master'!$I$4384,MATCH($A14&amp;G$2,Master!$A$2:'Master'!$A$4384&amp;Master!$C$2:'Master'!$C$4384,0))</f>
        <v>99</v>
      </c>
      <c r="H14" s="21" cm="1">
        <f t="array" aca="1" ref="H14" ca="1">INDEX(Master!$I$2:'Master'!$I$4384,MATCH($A14&amp;H$2,Master!$A$2:'Master'!$A$4384&amp;Master!$C$2:'Master'!$C$4384,0))</f>
        <v>99</v>
      </c>
      <c r="I14" s="21" cm="1">
        <f t="array" aca="1" ref="I14" ca="1">INDEX(Master!$I$2:'Master'!$I$4384,MATCH($A14&amp;I$2,Master!$A$2:'Master'!$A$4384&amp;Master!$C$2:'Master'!$C$4384,0))</f>
        <v>99</v>
      </c>
      <c r="J14" s="21" cm="1">
        <f t="array" aca="1" ref="J14" ca="1">INDEX(Master!$I$2:'Master'!$I$4384,MATCH($A14&amp;J$2,Master!$A$2:'Master'!$A$4384&amp;Master!$C$2:'Master'!$C$4384,0))</f>
        <v>99</v>
      </c>
      <c r="K14" s="21" cm="1">
        <f t="array" aca="1" ref="K14" ca="1">INDEX(Master!$I$2:'Master'!$I$4384,MATCH($A14&amp;K$2,Master!$A$2:'Master'!$A$4384&amp;Master!$C$2:'Master'!$C$4384,0))</f>
        <v>99</v>
      </c>
      <c r="L14" s="21" cm="1">
        <f t="array" aca="1" ref="L14" ca="1">INDEX(Master!$I$2:'Master'!$I$4384,MATCH($A14&amp;L$2,Master!$A$2:'Master'!$A$4384&amp;Master!$C$2:'Master'!$C$4384,0))</f>
        <v>99</v>
      </c>
      <c r="M14" s="21" cm="1">
        <f t="array" aca="1" ref="M14" ca="1">INDEX(Master!$I$2:'Master'!$I$4384,MATCH($A14&amp;M$2,Master!$A$2:'Master'!$A$4384&amp;Master!$C$2:'Master'!$C$4384,0))</f>
        <v>99</v>
      </c>
      <c r="N14" s="21" cm="1">
        <f t="array" aca="1" ref="N14" ca="1">INDEX(Master!$I$2:'Master'!$I$4384,MATCH($A14&amp;N$2,Master!$A$2:'Master'!$A$4384&amp;Master!$C$2:'Master'!$C$4384,0))</f>
        <v>99</v>
      </c>
      <c r="O14" s="21" cm="1">
        <f t="array" aca="1" ref="O14" ca="1">INDEX(Master!$I$2:'Master'!$I$4384,MATCH($A14&amp;O$2,Master!$A$2:'Master'!$A$4384&amp;Master!$C$2:'Master'!$C$4384,0))</f>
        <v>99</v>
      </c>
      <c r="P14" s="21" cm="1">
        <f t="array" aca="1" ref="P14" ca="1">INDEX(Master!$I$2:'Master'!$I$4384,MATCH($A14&amp;P$2,Master!$A$2:'Master'!$A$4384&amp;Master!$C$2:'Master'!$C$4384,0))</f>
        <v>99</v>
      </c>
      <c r="Q14" s="21" cm="1">
        <f t="array" aca="1" ref="Q14" ca="1">INDEX(Master!$I$2:'Master'!$I$4384,MATCH($A14&amp;Q$2,Master!$A$2:'Master'!$A$4384&amp;Master!$C$2:'Master'!$C$4384,0))</f>
        <v>99</v>
      </c>
      <c r="R14" s="21" cm="1">
        <f t="array" aca="1" ref="R14" ca="1">INDEX(Master!$I$2:'Master'!$I$4384,MATCH($A14&amp;R$2,Master!$A$2:'Master'!$A$4384&amp;Master!$C$2:'Master'!$C$4384,0))</f>
        <v>99</v>
      </c>
      <c r="S14" s="21" cm="1">
        <f t="array" aca="1" ref="S14" ca="1">INDEX(Master!$I$2:'Master'!$I$4384,MATCH($A14&amp;S$2,Master!$A$2:'Master'!$A$4384&amp;Master!$C$2:'Master'!$C$4384,0))</f>
        <v>99</v>
      </c>
      <c r="T14" s="21" cm="1">
        <f t="array" aca="1" ref="T14" ca="1">INDEX(Master!$I$2:'Master'!$I$4384,MATCH($A14&amp;T$2,Master!$A$2:'Master'!$A$4384&amp;Master!$C$2:'Master'!$C$4384,0))</f>
        <v>99</v>
      </c>
      <c r="U14" s="21" cm="1">
        <f t="array" aca="1" ref="U14" ca="1">INDEX(Master!$I$2:'Master'!$I$4384,MATCH($A14&amp;U$2,Master!$A$2:'Master'!$A$4384&amp;Master!$C$2:'Master'!$C$4384,0))</f>
        <v>99</v>
      </c>
      <c r="V14" s="21" cm="1">
        <f t="array" aca="1" ref="V14" ca="1">INDEX(Master!$I$2:'Master'!$I$4384,MATCH($A14&amp;V$2,Master!$A$2:'Master'!$A$4384&amp;Master!$C$2:'Master'!$C$4384,0))</f>
        <v>99</v>
      </c>
      <c r="W14" s="21" cm="1">
        <f t="array" aca="1" ref="W14" ca="1">INDEX(Master!$I$2:'Master'!$I$4384,MATCH($A14&amp;W$2,Master!$A$2:'Master'!$A$4384&amp;Master!$C$2:'Master'!$C$4384,0))</f>
        <v>99</v>
      </c>
      <c r="X14" s="21" cm="1">
        <f t="array" aca="1" ref="X14" ca="1">INDEX(Master!$I$2:'Master'!$I$4384,MATCH($A14&amp;X$2,Master!$A$2:'Master'!$A$4384&amp;Master!$C$2:'Master'!$C$4384,0))</f>
        <v>99</v>
      </c>
      <c r="Y14" s="21" cm="1">
        <f t="array" aca="1" ref="Y14" ca="1">INDEX(Master!$I$2:'Master'!$I$4384,MATCH($A14&amp;Y$2,Master!$A$2:'Master'!$A$4384&amp;Master!$C$2:'Master'!$C$4384,0))</f>
        <v>99</v>
      </c>
      <c r="Z14" s="21" cm="1">
        <f t="array" aca="1" ref="Z14" ca="1">INDEX(Master!$I$2:'Master'!$I$4384,MATCH($A14&amp;Z$2,Master!$A$2:'Master'!$A$4384&amp;Master!$C$2:'Master'!$C$4384,0))</f>
        <v>99</v>
      </c>
      <c r="AA14" s="21" cm="1">
        <f t="array" aca="1" ref="AA14" ca="1">INDEX(Master!$I$2:'Master'!$I$4384,MATCH($A14&amp;AA$2,Master!$A$2:'Master'!$A$4384&amp;Master!$C$2:'Master'!$C$4384,0))</f>
        <v>99</v>
      </c>
      <c r="AB14" s="21" cm="1">
        <f t="array" aca="1" ref="AB14" ca="1">INDEX(Master!$I$2:'Master'!$I$4384,MATCH($A14&amp;AB$2,Master!$A$2:'Master'!$A$4384&amp;Master!$C$2:'Master'!$C$4384,0))</f>
        <v>99</v>
      </c>
      <c r="AC14" s="21" cm="1">
        <f t="array" aca="1" ref="AC14" ca="1">INDEX(Master!$I$2:'Master'!$I$4384,MATCH($A14&amp;AC$2,Master!$A$2:'Master'!$A$4384&amp;Master!$C$2:'Master'!$C$4384,0))</f>
        <v>99</v>
      </c>
      <c r="AD14" s="21" cm="1">
        <f t="array" aca="1" ref="AD14" ca="1">INDEX(Master!$I$2:'Master'!$I$4384,MATCH($A14&amp;AD$2,Master!$A$2:'Master'!$A$4384&amp;Master!$C$2:'Master'!$C$4384,0))</f>
        <v>99</v>
      </c>
      <c r="AE14" s="21" cm="1">
        <f t="array" aca="1" ref="AE14" ca="1">INDEX(Master!$I$2:'Master'!$I$4384,MATCH($A14&amp;AE$2,Master!$A$2:'Master'!$A$4384&amp;Master!$C$2:'Master'!$C$4384,0))</f>
        <v>99</v>
      </c>
      <c r="AF14" s="21" cm="1">
        <f t="array" aca="1" ref="AF14" ca="1">INDEX(Master!$I$2:'Master'!$I$4384,MATCH($A14&amp;AF$2,Master!$A$2:'Master'!$A$4384&amp;Master!$C$2:'Master'!$C$4384,0))</f>
        <v>99</v>
      </c>
      <c r="AG14" s="21" cm="1">
        <f t="array" aca="1" ref="AG14" ca="1">INDEX(Master!$I$2:'Master'!$I$4384,MATCH($A14&amp;AG$2,Master!$A$2:'Master'!$A$4384&amp;Master!$C$2:'Master'!$C$4384,0))</f>
        <v>99</v>
      </c>
      <c r="AH14" s="21" cm="1">
        <f t="array" aca="1" ref="AH14" ca="1">INDEX(Master!$I$2:'Master'!$I$4384,MATCH($A14&amp;AH$2,Master!$A$2:'Master'!$A$4384&amp;Master!$C$2:'Master'!$C$4384,0))</f>
        <v>99</v>
      </c>
      <c r="AI14" s="21" cm="1">
        <f t="array" aca="1" ref="AI14" ca="1">INDEX(Master!$I$2:'Master'!$I$4384,MATCH($A14&amp;AI$2,Master!$A$2:'Master'!$A$4384&amp;Master!$C$2:'Master'!$C$4384,0))</f>
        <v>99</v>
      </c>
      <c r="AJ14" s="21" cm="1">
        <f t="array" aca="1" ref="AJ14" ca="1">INDEX(Master!$I$2:'Master'!$I$4384,MATCH($A14&amp;AJ$2,Master!$A$2:'Master'!$A$4384&amp;Master!$C$2:'Master'!$C$4384,0))</f>
        <v>99</v>
      </c>
      <c r="AK14" s="21" cm="1">
        <f t="array" aca="1" ref="AK14" ca="1">INDEX(Master!$I$2:'Master'!$I$4384,MATCH($A14&amp;AK$2,Master!$A$2:'Master'!$A$4384&amp;Master!$C$2:'Master'!$C$4384,0))</f>
        <v>99</v>
      </c>
      <c r="AL14" s="21" cm="1">
        <f t="array" aca="1" ref="AL14" ca="1">INDEX(Master!$I$2:'Master'!$I$4384,MATCH($A14&amp;AL$2,Master!$A$2:'Master'!$A$4384&amp;Master!$C$2:'Master'!$C$4384,0))</f>
        <v>99</v>
      </c>
      <c r="AM14" s="21" cm="1">
        <f t="array" aca="1" ref="AM14" ca="1">INDEX(Master!$I$2:'Master'!$I$4384,MATCH($A14&amp;AM$2,Master!$A$2:'Master'!$A$4384&amp;Master!$C$2:'Master'!$C$4384,0))</f>
        <v>99</v>
      </c>
      <c r="AN14" s="21" cm="1">
        <f t="array" aca="1" ref="AN14" ca="1">INDEX(Master!$I$2:'Master'!$I$4384,MATCH($A14&amp;AN$2,Master!$A$2:'Master'!$A$4384&amp;Master!$C$2:'Master'!$C$4384,0))</f>
        <v>99</v>
      </c>
      <c r="AO14" s="21" cm="1">
        <f t="array" aca="1" ref="AO14" ca="1">INDEX(Master!$I$2:'Master'!$I$4384,MATCH($A14&amp;AO$2,Master!$A$2:'Master'!$A$4384&amp;Master!$C$2:'Master'!$C$4384,0))</f>
        <v>99</v>
      </c>
      <c r="AP14" s="21" cm="1">
        <f t="array" aca="1" ref="AP14" ca="1">INDEX(Master!$I$2:'Master'!$I$4384,MATCH($A14&amp;AP$2,Master!$A$2:'Master'!$A$4384&amp;Master!$C$2:'Master'!$C$4384,0))</f>
        <v>99</v>
      </c>
      <c r="AQ14" s="21" cm="1">
        <f t="array" aca="1" ref="AQ14" ca="1">INDEX(Master!$I$2:'Master'!$I$4384,MATCH($A14&amp;AQ$2,Master!$A$2:'Master'!$A$4384&amp;Master!$C$2:'Master'!$C$4384,0))</f>
        <v>99</v>
      </c>
      <c r="AR14" s="21" cm="1">
        <f t="array" aca="1" ref="AR14" ca="1">INDEX(Master!$I$2:'Master'!$I$4384,MATCH($A14&amp;AR$2,Master!$A$2:'Master'!$A$4384&amp;Master!$C$2:'Master'!$C$4384,0))</f>
        <v>99</v>
      </c>
      <c r="AS14" s="21" cm="1">
        <f t="array" aca="1" ref="AS14" ca="1">INDEX(Master!$I$2:'Master'!$I$4384,MATCH($A14&amp;AS$2,Master!$A$2:'Master'!$A$4384&amp;Master!$C$2:'Master'!$C$4384,0))</f>
        <v>99</v>
      </c>
      <c r="AT14" s="21" cm="1">
        <f t="array" aca="1" ref="AT14" ca="1">INDEX(Master!$I$2:'Master'!$I$4384,MATCH($A14&amp;AT$2,Master!$A$2:'Master'!$A$4384&amp;Master!$C$2:'Master'!$C$4384,0))</f>
        <v>99</v>
      </c>
      <c r="AU14" s="21" cm="1">
        <f t="array" aca="1" ref="AU14" ca="1">INDEX(Master!$I$2:'Master'!$I$4384,MATCH($A14&amp;AU$2,Master!$A$2:'Master'!$A$4384&amp;Master!$C$2:'Master'!$C$4384,0))</f>
        <v>99</v>
      </c>
      <c r="AV14" s="21" cm="1">
        <f t="array" aca="1" ref="AV14" ca="1">INDEX(Master!$I$2:'Master'!$I$4384,MATCH($A14&amp;AV$2,Master!$A$2:'Master'!$A$4384&amp;Master!$C$2:'Master'!$C$4384,0))</f>
        <v>99</v>
      </c>
      <c r="AW14" s="21" cm="1">
        <f t="array" aca="1" ref="AW14" ca="1">INDEX(Master!$I$2:'Master'!$I$4384,MATCH($A14&amp;AW$2,Master!$A$2:'Master'!$A$4384&amp;Master!$C$2:'Master'!$C$4384,0))</f>
        <v>99</v>
      </c>
      <c r="AX14" s="21" cm="1">
        <f t="array" aca="1" ref="AX14" ca="1">INDEX(Master!$I$2:'Master'!$I$4384,MATCH($A14&amp;AX$2,Master!$A$2:'Master'!$A$4384&amp;Master!$C$2:'Master'!$C$4384,0))</f>
        <v>99</v>
      </c>
      <c r="AY14" s="21" cm="1">
        <f t="array" aca="1" ref="AY14" ca="1">INDEX(Master!$I$2:'Master'!$I$4384,MATCH($A14&amp;AY$2,Master!$A$2:'Master'!$A$4384&amp;Master!$C$2:'Master'!$C$4384,0))</f>
        <v>99</v>
      </c>
      <c r="AZ14" s="21" cm="1">
        <f t="array" aca="1" ref="AZ14" ca="1">INDEX(Master!$I$2:'Master'!$I$4384,MATCH($A14&amp;AZ$2,Master!$A$2:'Master'!$A$4384&amp;Master!$C$2:'Master'!$C$4384,0))</f>
        <v>99</v>
      </c>
      <c r="BA14" s="21" cm="1">
        <f t="array" aca="1" ref="BA14" ca="1">INDEX(Master!$I$2:'Master'!$I$4384,MATCH($A14&amp;BA$2,Master!$A$2:'Master'!$A$4384&amp;Master!$C$2:'Master'!$C$4384,0))</f>
        <v>99</v>
      </c>
      <c r="BB14" s="21" cm="1">
        <f t="array" aca="1" ref="BB14" ca="1">INDEX(Master!$I$2:'Master'!$I$4384,MATCH($A14&amp;BB$2,Master!$A$2:'Master'!$A$4384&amp;Master!$C$2:'Master'!$C$4384,0))</f>
        <v>99</v>
      </c>
      <c r="BC14" s="21" cm="1">
        <f t="array" aca="1" ref="BC14" ca="1">INDEX(Master!$I$2:'Master'!$I$4384,MATCH($A14&amp;BC$2,Master!$A$2:'Master'!$A$4384&amp;Master!$C$2:'Master'!$C$4384,0))</f>
        <v>99</v>
      </c>
      <c r="BD14" s="21" cm="1">
        <f t="array" aca="1" ref="BD14" ca="1">INDEX(Master!$I$2:'Master'!$I$4384,MATCH($A14&amp;BD$2,Master!$A$2:'Master'!$A$4384&amp;Master!$C$2:'Master'!$C$4384,0))</f>
        <v>99</v>
      </c>
      <c r="BE14" s="21" cm="1">
        <f t="array" aca="1" ref="BE14" ca="1">INDEX(Master!$I$2:'Master'!$I$4384,MATCH($A14&amp;BE$2,Master!$A$2:'Master'!$A$4384&amp;Master!$C$2:'Master'!$C$4384,0))</f>
        <v>99</v>
      </c>
      <c r="BF14" s="21" cm="1">
        <f t="array" aca="1" ref="BF14" ca="1">INDEX(Master!$I$2:'Master'!$I$4384,MATCH($A14&amp;BF$2,Master!$A$2:'Master'!$A$4384&amp;Master!$C$2:'Master'!$C$4384,0))</f>
        <v>99</v>
      </c>
      <c r="BG14" s="21" cm="1">
        <f t="array" aca="1" ref="BG14" ca="1">INDEX(Master!$I$2:'Master'!$I$4384,MATCH($A14&amp;BG$2,Master!$A$2:'Master'!$A$4384&amp;Master!$C$2:'Master'!$C$4384,0))</f>
        <v>99</v>
      </c>
      <c r="BH14" s="21" cm="1">
        <f t="array" aca="1" ref="BH14" ca="1">INDEX(Master!$I$2:'Master'!$I$4384,MATCH($A14&amp;BH$2,Master!$A$2:'Master'!$A$4384&amp;Master!$C$2:'Master'!$C$4384,0))</f>
        <v>99</v>
      </c>
      <c r="BI14" s="21" cm="1">
        <f t="array" aca="1" ref="BI14" ca="1">INDEX(Master!$I$2:'Master'!$I$4384,MATCH($A14&amp;BI$2,Master!$A$2:'Master'!$A$4384&amp;Master!$C$2:'Master'!$C$4384,0))</f>
        <v>99</v>
      </c>
      <c r="BJ14" s="21" cm="1">
        <f t="array" aca="1" ref="BJ14" ca="1">INDEX(Master!$I$2:'Master'!$I$4384,MATCH($A14&amp;BJ$2,Master!$A$2:'Master'!$A$4384&amp;Master!$C$2:'Master'!$C$4384,0))</f>
        <v>99</v>
      </c>
      <c r="BK14" s="21" cm="1">
        <f t="array" aca="1" ref="BK14" ca="1">INDEX(Master!$I$2:'Master'!$I$4384,MATCH($A14&amp;BK$2,Master!$A$2:'Master'!$A$4384&amp;Master!$C$2:'Master'!$C$4384,0))</f>
        <v>99</v>
      </c>
      <c r="BL14" s="21" cm="1">
        <f t="array" aca="1" ref="BL14" ca="1">INDEX(Master!$I$2:'Master'!$I$4384,MATCH($A14&amp;BL$2,Master!$A$2:'Master'!$A$4384&amp;Master!$C$2:'Master'!$C$4384,0))</f>
        <v>99</v>
      </c>
      <c r="BM14" s="21" cm="1">
        <f t="array" aca="1" ref="BM14" ca="1">INDEX(Master!$I$2:'Master'!$I$4384,MATCH($A14&amp;BM$2,Master!$A$2:'Master'!$A$4384&amp;Master!$C$2:'Master'!$C$4384,0))</f>
        <v>99</v>
      </c>
      <c r="BN14" s="21" cm="1">
        <f t="array" aca="1" ref="BN14" ca="1">INDEX(Master!$I$2:'Master'!$I$4384,MATCH($A14&amp;BN$2,Master!$A$2:'Master'!$A$4384&amp;Master!$C$2:'Master'!$C$4384,0))</f>
        <v>99</v>
      </c>
      <c r="BO14" s="21" cm="1">
        <f t="array" aca="1" ref="BO14" ca="1">INDEX(Master!$I$2:'Master'!$I$4384,MATCH($A14&amp;BO$2,Master!$A$2:'Master'!$A$4384&amp;Master!$C$2:'Master'!$C$4384,0))</f>
        <v>99</v>
      </c>
      <c r="BP14" s="21" cm="1">
        <f t="array" aca="1" ref="BP14" ca="1">INDEX(Master!$I$2:'Master'!$I$4384,MATCH($A14&amp;BP$2,Master!$A$2:'Master'!$A$4384&amp;Master!$C$2:'Master'!$C$4384,0))</f>
        <v>99</v>
      </c>
      <c r="BQ14" s="21" cm="1">
        <f t="array" aca="1" ref="BQ14" ca="1">INDEX(Master!$I$2:'Master'!$I$4384,MATCH($A14&amp;BQ$2,Master!$A$2:'Master'!$A$4384&amp;Master!$C$2:'Master'!$C$4384,0))</f>
        <v>99</v>
      </c>
      <c r="BR14" s="21" cm="1">
        <f t="array" aca="1" ref="BR14" ca="1">INDEX(Master!$I$2:'Master'!$I$4384,MATCH($A14&amp;BR$2,Master!$A$2:'Master'!$A$4384&amp;Master!$C$2:'Master'!$C$4384,0))</f>
        <v>99</v>
      </c>
      <c r="BS14" s="21" cm="1">
        <f t="array" aca="1" ref="BS14" ca="1">INDEX(Master!$I$2:'Master'!$I$4384,MATCH($A14&amp;BS$2,Master!$A$2:'Master'!$A$4384&amp;Master!$C$2:'Master'!$C$4384,0))</f>
        <v>99</v>
      </c>
      <c r="BT14" s="21" cm="1">
        <f t="array" aca="1" ref="BT14" ca="1">INDEX(Master!$I$2:'Master'!$I$4384,MATCH($A14&amp;BT$2,Master!$A$2:'Master'!$A$4384&amp;Master!$C$2:'Master'!$C$4384,0))</f>
        <v>99</v>
      </c>
      <c r="BU14" s="21" cm="1">
        <f t="array" aca="1" ref="BU14" ca="1">INDEX(Master!$I$2:'Master'!$I$4384,MATCH($A14&amp;BU$2,Master!$A$2:'Master'!$A$4384&amp;Master!$C$2:'Master'!$C$4384,0))</f>
        <v>99</v>
      </c>
      <c r="BV14" s="21" cm="1">
        <f t="array" aca="1" ref="BV14" ca="1">INDEX(Master!$I$2:'Master'!$I$4384,MATCH($A14&amp;BV$2,Master!$A$2:'Master'!$A$4384&amp;Master!$C$2:'Master'!$C$4384,0))</f>
        <v>99</v>
      </c>
      <c r="BW14" s="21" cm="1">
        <f t="array" aca="1" ref="BW14" ca="1">INDEX(Master!$I$2:'Master'!$I$4384,MATCH($A14&amp;BW$2,Master!$A$2:'Master'!$A$4384&amp;Master!$C$2:'Master'!$C$4384,0))</f>
        <v>99</v>
      </c>
      <c r="BX14" s="21" cm="1">
        <f t="array" aca="1" ref="BX14" ca="1">INDEX(Master!$I$2:'Master'!$I$4384,MATCH($A14&amp;BX$2,Master!$A$2:'Master'!$A$4384&amp;Master!$C$2:'Master'!$C$4384,0))</f>
        <v>99</v>
      </c>
      <c r="BY14" s="21" cm="1">
        <f t="array" aca="1" ref="BY14" ca="1">INDEX(Master!$I$2:'Master'!$I$4384,MATCH($A14&amp;BY$2,Master!$A$2:'Master'!$A$4384&amp;Master!$C$2:'Master'!$C$4384,0))</f>
        <v>99</v>
      </c>
      <c r="BZ14" s="21" cm="1">
        <f t="array" aca="1" ref="BZ14" ca="1">INDEX(Master!$I$2:'Master'!$I$4384,MATCH($A14&amp;BZ$2,Master!$A$2:'Master'!$A$4384&amp;Master!$C$2:'Master'!$C$4384,0))</f>
        <v>99</v>
      </c>
      <c r="CA14" s="21" cm="1">
        <f t="array" aca="1" ref="CA14" ca="1">INDEX(Master!$I$2:'Master'!$I$4384,MATCH($A14&amp;CA$2,Master!$A$2:'Master'!$A$4384&amp;Master!$C$2:'Master'!$C$4384,0))</f>
        <v>99</v>
      </c>
      <c r="CB14" s="21" cm="1">
        <f t="array" aca="1" ref="CB14" ca="1">INDEX(Master!$I$2:'Master'!$I$4384,MATCH($A14&amp;CB$2,Master!$A$2:'Master'!$A$4384&amp;Master!$C$2:'Master'!$C$4384,0))</f>
        <v>99</v>
      </c>
      <c r="CC14" s="21" cm="1">
        <f t="array" aca="1" ref="CC14" ca="1">INDEX(Master!$I$2:'Master'!$I$4384,MATCH($A14&amp;CC$2,Master!$A$2:'Master'!$A$4384&amp;Master!$C$2:'Master'!$C$4384,0))</f>
        <v>99</v>
      </c>
      <c r="CD14" s="21" cm="1">
        <f t="array" aca="1" ref="CD14" ca="1">INDEX(Master!$I$2:'Master'!$I$4384,MATCH($A14&amp;CD$2,Master!$A$2:'Master'!$A$4384&amp;Master!$C$2:'Master'!$C$4384,0))</f>
        <v>99</v>
      </c>
      <c r="CE14" s="21" cm="1">
        <f t="array" aca="1" ref="CE14" ca="1">INDEX(Master!$I$2:'Master'!$I$4384,MATCH($A14&amp;CE$2,Master!$A$2:'Master'!$A$4384&amp;Master!$C$2:'Master'!$C$4384,0))</f>
        <v>99</v>
      </c>
      <c r="CF14" s="21" cm="1">
        <f t="array" aca="1" ref="CF14" ca="1">INDEX(Master!$I$2:'Master'!$I$4384,MATCH($A14&amp;CF$2,Master!$A$2:'Master'!$A$4384&amp;Master!$C$2:'Master'!$C$4384,0))</f>
        <v>99</v>
      </c>
      <c r="CG14" s="21" cm="1">
        <f t="array" aca="1" ref="CG14" ca="1">INDEX(Master!$I$2:'Master'!$I$4384,MATCH($A14&amp;CG$2,Master!$A$2:'Master'!$A$4384&amp;Master!$C$2:'Master'!$C$4384,0))</f>
        <v>99</v>
      </c>
      <c r="CH14" s="21" cm="1">
        <f t="array" aca="1" ref="CH14" ca="1">INDEX(Master!$I$2:'Master'!$I$4384,MATCH($A14&amp;CH$2,Master!$A$2:'Master'!$A$4384&amp;Master!$C$2:'Master'!$C$4384,0))</f>
        <v>99</v>
      </c>
      <c r="CI14" s="21" cm="1">
        <f t="array" aca="1" ref="CI14" ca="1">INDEX(Master!$I$2:'Master'!$I$4384,MATCH($A14&amp;CI$2,Master!$A$2:'Master'!$A$4384&amp;Master!$C$2:'Master'!$C$4384,0))</f>
        <v>99</v>
      </c>
      <c r="CJ14" s="21" cm="1">
        <f t="array" aca="1" ref="CJ14" ca="1">INDEX(Master!$I$2:'Master'!$I$4384,MATCH($A14&amp;CJ$2,Master!$A$2:'Master'!$A$4384&amp;Master!$C$2:'Master'!$C$4384,0))</f>
        <v>99</v>
      </c>
      <c r="CK14" s="21" cm="1">
        <f t="array" aca="1" ref="CK14" ca="1">INDEX(Master!$I$2:'Master'!$I$4384,MATCH($A14&amp;CK$2,Master!$A$2:'Master'!$A$4384&amp;Master!$C$2:'Master'!$C$4384,0))</f>
        <v>99</v>
      </c>
      <c r="CL14" s="21" cm="1">
        <f t="array" aca="1" ref="CL14" ca="1">INDEX(Master!$I$2:'Master'!$I$4384,MATCH($A14&amp;CL$2,Master!$A$2:'Master'!$A$4384&amp;Master!$C$2:'Master'!$C$4384,0))</f>
        <v>99</v>
      </c>
      <c r="CM14" s="21" cm="1">
        <f t="array" aca="1" ref="CM14" ca="1">INDEX(Master!$I$2:'Master'!$I$4384,MATCH($A14&amp;CM$2,Master!$A$2:'Master'!$A$4384&amp;Master!$C$2:'Master'!$C$4384,0))</f>
        <v>99</v>
      </c>
      <c r="CN14" s="21" cm="1">
        <f t="array" aca="1" ref="CN14" ca="1">INDEX(Master!$I$2:'Master'!$I$4384,MATCH($A14&amp;CN$2,Master!$A$2:'Master'!$A$4384&amp;Master!$C$2:'Master'!$C$4384,0))</f>
        <v>99</v>
      </c>
      <c r="CO14" s="21" cm="1">
        <f t="array" aca="1" ref="CO14" ca="1">INDEX(Master!$I$2:'Master'!$I$4384,MATCH($A14&amp;CO$2,Master!$A$2:'Master'!$A$4384&amp;Master!$C$2:'Master'!$C$4384,0))</f>
        <v>99</v>
      </c>
      <c r="CP14" s="21" cm="1">
        <f t="array" aca="1" ref="CP14" ca="1">INDEX(Master!$I$2:'Master'!$I$4384,MATCH($A14&amp;CP$2,Master!$A$2:'Master'!$A$4384&amp;Master!$C$2:'Master'!$C$4384,0))</f>
        <v>99</v>
      </c>
      <c r="CQ14" s="21" cm="1">
        <f t="array" aca="1" ref="CQ14" ca="1">INDEX(Master!$I$2:'Master'!$I$4384,MATCH($A14&amp;CQ$2,Master!$A$2:'Master'!$A$4384&amp;Master!$C$2:'Master'!$C$4384,0))</f>
        <v>99</v>
      </c>
      <c r="CR14" s="21" cm="1">
        <f t="array" aca="1" ref="CR14" ca="1">INDEX(Master!$I$2:'Master'!$I$4384,MATCH($A14&amp;CR$2,Master!$A$2:'Master'!$A$4384&amp;Master!$C$2:'Master'!$C$4384,0))</f>
        <v>99</v>
      </c>
      <c r="CS14" s="21" cm="1">
        <f t="array" aca="1" ref="CS14" ca="1">INDEX(Master!$I$2:'Master'!$I$4384,MATCH($A14&amp;CS$2,Master!$A$2:'Master'!$A$4384&amp;Master!$C$2:'Master'!$C$4384,0))</f>
        <v>99</v>
      </c>
    </row>
    <row r="15" spans="1:97">
      <c r="A15" t="str">
        <f>VLOOKUP(Staff!$A13,Staff!$A$1:A$73,1,FALSE)</f>
        <v>Jack Frost</v>
      </c>
      <c r="B15" s="21" cm="1">
        <f t="array" aca="1" ref="B15" ca="1">INDEX(Master!$I$2:'Master'!$I$4384,MATCH($A15&amp;B$2,Master!$A$2:'Master'!$A$4384&amp;Master!$C$2:'Master'!$C$4384,0))</f>
        <v>3</v>
      </c>
      <c r="C15" s="21" cm="1">
        <f t="array" aca="1" ref="C15" ca="1">INDEX(Master!$I$2:'Master'!$I$4384,MATCH($A15&amp;C$2,Master!$A$2:'Master'!$A$4384&amp;Master!$C$2:'Master'!$C$4384,0))</f>
        <v>3</v>
      </c>
      <c r="D15" s="21" cm="1">
        <f t="array" aca="1" ref="D15" ca="1">INDEX(Master!$I$2:'Master'!$I$4384,MATCH($A15&amp;D$2,Master!$A$2:'Master'!$A$4384&amp;Master!$C$2:'Master'!$C$4384,0))</f>
        <v>3</v>
      </c>
      <c r="E15" s="21" cm="1">
        <f t="array" aca="1" ref="E15" ca="1">INDEX(Master!$I$2:'Master'!$I$4384,MATCH($A15&amp;E$2,Master!$A$2:'Master'!$A$4384&amp;Master!$C$2:'Master'!$C$4384,0))</f>
        <v>3</v>
      </c>
      <c r="F15" s="21" cm="1">
        <f t="array" aca="1" ref="F15" ca="1">INDEX(Master!$I$2:'Master'!$I$4384,MATCH($A15&amp;F$2,Master!$A$2:'Master'!$A$4384&amp;Master!$C$2:'Master'!$C$4384,0))</f>
        <v>3</v>
      </c>
      <c r="G15" s="21" cm="1">
        <f t="array" aca="1" ref="G15" ca="1">INDEX(Master!$I$2:'Master'!$I$4384,MATCH($A15&amp;G$2,Master!$A$2:'Master'!$A$4384&amp;Master!$C$2:'Master'!$C$4384,0))</f>
        <v>3</v>
      </c>
      <c r="H15" s="21" cm="1">
        <f t="array" aca="1" ref="H15" ca="1">INDEX(Master!$I$2:'Master'!$I$4384,MATCH($A15&amp;H$2,Master!$A$2:'Master'!$A$4384&amp;Master!$C$2:'Master'!$C$4384,0))</f>
        <v>2</v>
      </c>
      <c r="I15" s="21" cm="1">
        <f t="array" aca="1" ref="I15" ca="1">INDEX(Master!$I$2:'Master'!$I$4384,MATCH($A15&amp;I$2,Master!$A$2:'Master'!$A$4384&amp;Master!$C$2:'Master'!$C$4384,0))</f>
        <v>2</v>
      </c>
      <c r="J15" s="21" cm="1">
        <f t="array" aca="1" ref="J15" ca="1">INDEX(Master!$I$2:'Master'!$I$4384,MATCH($A15&amp;J$2,Master!$A$2:'Master'!$A$4384&amp;Master!$C$2:'Master'!$C$4384,0))</f>
        <v>2</v>
      </c>
      <c r="K15" s="21" cm="1">
        <f t="array" aca="1" ref="K15" ca="1">INDEX(Master!$I$2:'Master'!$I$4384,MATCH($A15&amp;K$2,Master!$A$2:'Master'!$A$4384&amp;Master!$C$2:'Master'!$C$4384,0))</f>
        <v>1</v>
      </c>
      <c r="L15" s="21" cm="1">
        <f t="array" aca="1" ref="L15" ca="1">INDEX(Master!$I$2:'Master'!$I$4384,MATCH($A15&amp;L$2,Master!$A$2:'Master'!$A$4384&amp;Master!$C$2:'Master'!$C$4384,0))</f>
        <v>1</v>
      </c>
      <c r="M15" s="21" cm="1">
        <f t="array" aca="1" ref="M15" ca="1">INDEX(Master!$I$2:'Master'!$I$4384,MATCH($A15&amp;M$2,Master!$A$2:'Master'!$A$4384&amp;Master!$C$2:'Master'!$C$4384,0))</f>
        <v>1</v>
      </c>
      <c r="N15" s="21" cm="1">
        <f t="array" aca="1" ref="N15" ca="1">INDEX(Master!$I$2:'Master'!$I$4384,MATCH($A15&amp;N$2,Master!$A$2:'Master'!$A$4384&amp;Master!$C$2:'Master'!$C$4384,0))</f>
        <v>1</v>
      </c>
      <c r="O15" s="21" cm="1">
        <f t="array" aca="1" ref="O15" ca="1">INDEX(Master!$I$2:'Master'!$I$4384,MATCH($A15&amp;O$2,Master!$A$2:'Master'!$A$4384&amp;Master!$C$2:'Master'!$C$4384,0))</f>
        <v>2</v>
      </c>
      <c r="P15" s="21" cm="1">
        <f t="array" aca="1" ref="P15" ca="1">INDEX(Master!$I$2:'Master'!$I$4384,MATCH($A15&amp;P$2,Master!$A$2:'Master'!$A$4384&amp;Master!$C$2:'Master'!$C$4384,0))</f>
        <v>2</v>
      </c>
      <c r="Q15" s="21" cm="1">
        <f t="array" aca="1" ref="Q15" ca="1">INDEX(Master!$I$2:'Master'!$I$4384,MATCH($A15&amp;Q$2,Master!$A$2:'Master'!$A$4384&amp;Master!$C$2:'Master'!$C$4384,0))</f>
        <v>2</v>
      </c>
      <c r="R15" s="21" cm="1">
        <f t="array" aca="1" ref="R15" ca="1">INDEX(Master!$I$2:'Master'!$I$4384,MATCH($A15&amp;R$2,Master!$A$2:'Master'!$A$4384&amp;Master!$C$2:'Master'!$C$4384,0))</f>
        <v>2</v>
      </c>
      <c r="S15" s="21" cm="1">
        <f t="array" aca="1" ref="S15" ca="1">INDEX(Master!$I$2:'Master'!$I$4384,MATCH($A15&amp;S$2,Master!$A$2:'Master'!$A$4384&amp;Master!$C$2:'Master'!$C$4384,0))</f>
        <v>1</v>
      </c>
      <c r="T15" s="21" cm="1">
        <f t="array" aca="1" ref="T15" ca="1">INDEX(Master!$I$2:'Master'!$I$4384,MATCH($A15&amp;T$2,Master!$A$2:'Master'!$A$4384&amp;Master!$C$2:'Master'!$C$4384,0))</f>
        <v>2</v>
      </c>
      <c r="U15" s="21" cm="1">
        <f t="array" aca="1" ref="U15" ca="1">INDEX(Master!$I$2:'Master'!$I$4384,MATCH($A15&amp;U$2,Master!$A$2:'Master'!$A$4384&amp;Master!$C$2:'Master'!$C$4384,0))</f>
        <v>2</v>
      </c>
      <c r="V15" s="21" cm="1">
        <f t="array" aca="1" ref="V15" ca="1">INDEX(Master!$I$2:'Master'!$I$4384,MATCH($A15&amp;V$2,Master!$A$2:'Master'!$A$4384&amp;Master!$C$2:'Master'!$C$4384,0))</f>
        <v>1</v>
      </c>
      <c r="W15" s="21" cm="1">
        <f t="array" aca="1" ref="W15" ca="1">INDEX(Master!$I$2:'Master'!$I$4384,MATCH($A15&amp;W$2,Master!$A$2:'Master'!$A$4384&amp;Master!$C$2:'Master'!$C$4384,0))</f>
        <v>2</v>
      </c>
      <c r="X15" s="21" cm="1">
        <f t="array" aca="1" ref="X15" ca="1">INDEX(Master!$I$2:'Master'!$I$4384,MATCH($A15&amp;X$2,Master!$A$2:'Master'!$A$4384&amp;Master!$C$2:'Master'!$C$4384,0))</f>
        <v>0</v>
      </c>
      <c r="Y15" s="21" cm="1">
        <f t="array" aca="1" ref="Y15" ca="1">INDEX(Master!$I$2:'Master'!$I$4384,MATCH($A15&amp;Y$2,Master!$A$2:'Master'!$A$4384&amp;Master!$C$2:'Master'!$C$4384,0))</f>
        <v>0</v>
      </c>
      <c r="Z15" s="21" cm="1">
        <f t="array" aca="1" ref="Z15" ca="1">INDEX(Master!$I$2:'Master'!$I$4384,MATCH($A15&amp;Z$2,Master!$A$2:'Master'!$A$4384&amp;Master!$C$2:'Master'!$C$4384,0))</f>
        <v>0</v>
      </c>
      <c r="AA15" s="21" cm="1">
        <f t="array" aca="1" ref="AA15" ca="1">INDEX(Master!$I$2:'Master'!$I$4384,MATCH($A15&amp;AA$2,Master!$A$2:'Master'!$A$4384&amp;Master!$C$2:'Master'!$C$4384,0))</f>
        <v>0</v>
      </c>
      <c r="AB15" s="21" cm="1">
        <f t="array" aca="1" ref="AB15" ca="1">INDEX(Master!$I$2:'Master'!$I$4384,MATCH($A15&amp;AB$2,Master!$A$2:'Master'!$A$4384&amp;Master!$C$2:'Master'!$C$4384,0))</f>
        <v>0</v>
      </c>
      <c r="AC15" s="21" cm="1">
        <f t="array" aca="1" ref="AC15" ca="1">INDEX(Master!$I$2:'Master'!$I$4384,MATCH($A15&amp;AC$2,Master!$A$2:'Master'!$A$4384&amp;Master!$C$2:'Master'!$C$4384,0))</f>
        <v>0</v>
      </c>
      <c r="AD15" s="21" cm="1">
        <f t="array" aca="1" ref="AD15" ca="1">INDEX(Master!$I$2:'Master'!$I$4384,MATCH($A15&amp;AD$2,Master!$A$2:'Master'!$A$4384&amp;Master!$C$2:'Master'!$C$4384,0))</f>
        <v>0</v>
      </c>
      <c r="AE15" s="21" cm="1">
        <f t="array" aca="1" ref="AE15" ca="1">INDEX(Master!$I$2:'Master'!$I$4384,MATCH($A15&amp;AE$2,Master!$A$2:'Master'!$A$4384&amp;Master!$C$2:'Master'!$C$4384,0))</f>
        <v>1</v>
      </c>
      <c r="AF15" s="21" cm="1">
        <f t="array" aca="1" ref="AF15" ca="1">INDEX(Master!$I$2:'Master'!$I$4384,MATCH($A15&amp;AF$2,Master!$A$2:'Master'!$A$4384&amp;Master!$C$2:'Master'!$C$4384,0))</f>
        <v>2</v>
      </c>
      <c r="AG15" s="21" cm="1">
        <f t="array" aca="1" ref="AG15" ca="1">INDEX(Master!$I$2:'Master'!$I$4384,MATCH($A15&amp;AG$2,Master!$A$2:'Master'!$A$4384&amp;Master!$C$2:'Master'!$C$4384,0))</f>
        <v>1</v>
      </c>
      <c r="AH15" s="21" cm="1">
        <f t="array" aca="1" ref="AH15" ca="1">INDEX(Master!$I$2:'Master'!$I$4384,MATCH($A15&amp;AH$2,Master!$A$2:'Master'!$A$4384&amp;Master!$C$2:'Master'!$C$4384,0))</f>
        <v>2</v>
      </c>
      <c r="AI15" s="21" cm="1">
        <f t="array" aca="1" ref="AI15" ca="1">INDEX(Master!$I$2:'Master'!$I$4384,MATCH($A15&amp;AI$2,Master!$A$2:'Master'!$A$4384&amp;Master!$C$2:'Master'!$C$4384,0))</f>
        <v>1</v>
      </c>
      <c r="AJ15" s="21" cm="1">
        <f t="array" aca="1" ref="AJ15" ca="1">INDEX(Master!$I$2:'Master'!$I$4384,MATCH($A15&amp;AJ$2,Master!$A$2:'Master'!$A$4384&amp;Master!$C$2:'Master'!$C$4384,0))</f>
        <v>2</v>
      </c>
      <c r="AK15" s="21" cm="1">
        <f t="array" aca="1" ref="AK15" ca="1">INDEX(Master!$I$2:'Master'!$I$4384,MATCH($A15&amp;AK$2,Master!$A$2:'Master'!$A$4384&amp;Master!$C$2:'Master'!$C$4384,0))</f>
        <v>0</v>
      </c>
      <c r="AL15" s="21" cm="1">
        <f t="array" aca="1" ref="AL15" ca="1">INDEX(Master!$I$2:'Master'!$I$4384,MATCH($A15&amp;AL$2,Master!$A$2:'Master'!$A$4384&amp;Master!$C$2:'Master'!$C$4384,0))</f>
        <v>1</v>
      </c>
      <c r="AM15" s="21" cm="1">
        <f t="array" aca="1" ref="AM15" ca="1">INDEX(Master!$I$2:'Master'!$I$4384,MATCH($A15&amp;AM$2,Master!$A$2:'Master'!$A$4384&amp;Master!$C$2:'Master'!$C$4384,0))</f>
        <v>2</v>
      </c>
      <c r="AN15" s="21" cm="1">
        <f t="array" aca="1" ref="AN15" ca="1">INDEX(Master!$I$2:'Master'!$I$4384,MATCH($A15&amp;AN$2,Master!$A$2:'Master'!$A$4384&amp;Master!$C$2:'Master'!$C$4384,0))</f>
        <v>1</v>
      </c>
      <c r="AO15" s="21" cm="1">
        <f t="array" aca="1" ref="AO15" ca="1">INDEX(Master!$I$2:'Master'!$I$4384,MATCH($A15&amp;AO$2,Master!$A$2:'Master'!$A$4384&amp;Master!$C$2:'Master'!$C$4384,0))</f>
        <v>1</v>
      </c>
      <c r="AP15" s="21" cm="1">
        <f t="array" aca="1" ref="AP15" ca="1">INDEX(Master!$I$2:'Master'!$I$4384,MATCH($A15&amp;AP$2,Master!$A$2:'Master'!$A$4384&amp;Master!$C$2:'Master'!$C$4384,0))</f>
        <v>1</v>
      </c>
      <c r="AQ15" s="21" cm="1">
        <f t="array" aca="1" ref="AQ15" ca="1">INDEX(Master!$I$2:'Master'!$I$4384,MATCH($A15&amp;AQ$2,Master!$A$2:'Master'!$A$4384&amp;Master!$C$2:'Master'!$C$4384,0))</f>
        <v>1</v>
      </c>
      <c r="AR15" s="21" cm="1">
        <f t="array" aca="1" ref="AR15" ca="1">INDEX(Master!$I$2:'Master'!$I$4384,MATCH($A15&amp;AR$2,Master!$A$2:'Master'!$A$4384&amp;Master!$C$2:'Master'!$C$4384,0))</f>
        <v>1</v>
      </c>
      <c r="AS15" s="21" cm="1">
        <f t="array" aca="1" ref="AS15" ca="1">INDEX(Master!$I$2:'Master'!$I$4384,MATCH($A15&amp;AS$2,Master!$A$2:'Master'!$A$4384&amp;Master!$C$2:'Master'!$C$4384,0))</f>
        <v>0</v>
      </c>
      <c r="AT15" s="21" cm="1">
        <f t="array" aca="1" ref="AT15" ca="1">INDEX(Master!$I$2:'Master'!$I$4384,MATCH($A15&amp;AT$2,Master!$A$2:'Master'!$A$4384&amp;Master!$C$2:'Master'!$C$4384,0))</f>
        <v>1</v>
      </c>
      <c r="AU15" s="21" cm="1">
        <f t="array" aca="1" ref="AU15" ca="1">INDEX(Master!$I$2:'Master'!$I$4384,MATCH($A15&amp;AU$2,Master!$A$2:'Master'!$A$4384&amp;Master!$C$2:'Master'!$C$4384,0))</f>
        <v>1</v>
      </c>
      <c r="AV15" s="21" cm="1">
        <f t="array" aca="1" ref="AV15" ca="1">INDEX(Master!$I$2:'Master'!$I$4384,MATCH($A15&amp;AV$2,Master!$A$2:'Master'!$A$4384&amp;Master!$C$2:'Master'!$C$4384,0))</f>
        <v>1</v>
      </c>
      <c r="AW15" s="21" cm="1">
        <f t="array" aca="1" ref="AW15" ca="1">INDEX(Master!$I$2:'Master'!$I$4384,MATCH($A15&amp;AW$2,Master!$A$2:'Master'!$A$4384&amp;Master!$C$2:'Master'!$C$4384,0))</f>
        <v>2</v>
      </c>
      <c r="AX15" s="21" cm="1">
        <f t="array" aca="1" ref="AX15" ca="1">INDEX(Master!$I$2:'Master'!$I$4384,MATCH($A15&amp;AX$2,Master!$A$2:'Master'!$A$4384&amp;Master!$C$2:'Master'!$C$4384,0))</f>
        <v>3</v>
      </c>
      <c r="AY15" s="21" cm="1">
        <f t="array" aca="1" ref="AY15" ca="1">INDEX(Master!$I$2:'Master'!$I$4384,MATCH($A15&amp;AY$2,Master!$A$2:'Master'!$A$4384&amp;Master!$C$2:'Master'!$C$4384,0))</f>
        <v>2</v>
      </c>
      <c r="AZ15" s="21" cm="1">
        <f t="array" aca="1" ref="AZ15" ca="1">INDEX(Master!$I$2:'Master'!$I$4384,MATCH($A15&amp;AZ$2,Master!$A$2:'Master'!$A$4384&amp;Master!$C$2:'Master'!$C$4384,0))</f>
        <v>0</v>
      </c>
      <c r="BA15" s="21" cm="1">
        <f t="array" aca="1" ref="BA15" ca="1">INDEX(Master!$I$2:'Master'!$I$4384,MATCH($A15&amp;BA$2,Master!$A$2:'Master'!$A$4384&amp;Master!$C$2:'Master'!$C$4384,0))</f>
        <v>1</v>
      </c>
      <c r="BB15" s="21" cm="1">
        <f t="array" aca="1" ref="BB15" ca="1">INDEX(Master!$I$2:'Master'!$I$4384,MATCH($A15&amp;BB$2,Master!$A$2:'Master'!$A$4384&amp;Master!$C$2:'Master'!$C$4384,0))</f>
        <v>1</v>
      </c>
      <c r="BC15" s="21" cm="1">
        <f t="array" aca="1" ref="BC15" ca="1">INDEX(Master!$I$2:'Master'!$I$4384,MATCH($A15&amp;BC$2,Master!$A$2:'Master'!$A$4384&amp;Master!$C$2:'Master'!$C$4384,0))</f>
        <v>2</v>
      </c>
      <c r="BD15" s="21" cm="1">
        <f t="array" aca="1" ref="BD15" ca="1">INDEX(Master!$I$2:'Master'!$I$4384,MATCH($A15&amp;BD$2,Master!$A$2:'Master'!$A$4384&amp;Master!$C$2:'Master'!$C$4384,0))</f>
        <v>2</v>
      </c>
      <c r="BE15" s="21" cm="1">
        <f t="array" aca="1" ref="BE15" ca="1">INDEX(Master!$I$2:'Master'!$I$4384,MATCH($A15&amp;BE$2,Master!$A$2:'Master'!$A$4384&amp;Master!$C$2:'Master'!$C$4384,0))</f>
        <v>0</v>
      </c>
      <c r="BF15" s="21" cm="1">
        <f t="array" aca="1" ref="BF15" ca="1">INDEX(Master!$I$2:'Master'!$I$4384,MATCH($A15&amp;BF$2,Master!$A$2:'Master'!$A$4384&amp;Master!$C$2:'Master'!$C$4384,0))</f>
        <v>1</v>
      </c>
      <c r="BG15" s="21" cm="1">
        <f t="array" aca="1" ref="BG15" ca="1">INDEX(Master!$I$2:'Master'!$I$4384,MATCH($A15&amp;BG$2,Master!$A$2:'Master'!$A$4384&amp;Master!$C$2:'Master'!$C$4384,0))</f>
        <v>0</v>
      </c>
      <c r="BH15" s="21" cm="1">
        <f t="array" aca="1" ref="BH15" ca="1">INDEX(Master!$I$2:'Master'!$I$4384,MATCH($A15&amp;BH$2,Master!$A$2:'Master'!$A$4384&amp;Master!$C$2:'Master'!$C$4384,0))</f>
        <v>0</v>
      </c>
      <c r="BI15" s="21" cm="1">
        <f t="array" aca="1" ref="BI15" ca="1">INDEX(Master!$I$2:'Master'!$I$4384,MATCH($A15&amp;BI$2,Master!$A$2:'Master'!$A$4384&amp;Master!$C$2:'Master'!$C$4384,0))</f>
        <v>1</v>
      </c>
      <c r="BJ15" s="21" cm="1">
        <f t="array" aca="1" ref="BJ15" ca="1">INDEX(Master!$I$2:'Master'!$I$4384,MATCH($A15&amp;BJ$2,Master!$A$2:'Master'!$A$4384&amp;Master!$C$2:'Master'!$C$4384,0))</f>
        <v>0</v>
      </c>
      <c r="BK15" s="21" cm="1">
        <f t="array" aca="1" ref="BK15" ca="1">INDEX(Master!$I$2:'Master'!$I$4384,MATCH($A15&amp;BK$2,Master!$A$2:'Master'!$A$4384&amp;Master!$C$2:'Master'!$C$4384,0))</f>
        <v>1</v>
      </c>
      <c r="BL15" s="21" cm="1">
        <f t="array" aca="1" ref="BL15" ca="1">INDEX(Master!$I$2:'Master'!$I$4384,MATCH($A15&amp;BL$2,Master!$A$2:'Master'!$A$4384&amp;Master!$C$2:'Master'!$C$4384,0))</f>
        <v>1</v>
      </c>
      <c r="BM15" s="21" cm="1">
        <f t="array" aca="1" ref="BM15" ca="1">INDEX(Master!$I$2:'Master'!$I$4384,MATCH($A15&amp;BM$2,Master!$A$2:'Master'!$A$4384&amp;Master!$C$2:'Master'!$C$4384,0))</f>
        <v>1</v>
      </c>
      <c r="BN15" s="21" cm="1">
        <f t="array" aca="1" ref="BN15" ca="1">INDEX(Master!$I$2:'Master'!$I$4384,MATCH($A15&amp;BN$2,Master!$A$2:'Master'!$A$4384&amp;Master!$C$2:'Master'!$C$4384,0))</f>
        <v>1</v>
      </c>
      <c r="BO15" s="21" cm="1">
        <f t="array" aca="1" ref="BO15" ca="1">INDEX(Master!$I$2:'Master'!$I$4384,MATCH($A15&amp;BO$2,Master!$A$2:'Master'!$A$4384&amp;Master!$C$2:'Master'!$C$4384,0))</f>
        <v>1</v>
      </c>
      <c r="BP15" s="21" cm="1">
        <f t="array" aca="1" ref="BP15" ca="1">INDEX(Master!$I$2:'Master'!$I$4384,MATCH($A15&amp;BP$2,Master!$A$2:'Master'!$A$4384&amp;Master!$C$2:'Master'!$C$4384,0))</f>
        <v>0</v>
      </c>
      <c r="BQ15" s="21" cm="1">
        <f t="array" aca="1" ref="BQ15" ca="1">INDEX(Master!$I$2:'Master'!$I$4384,MATCH($A15&amp;BQ$2,Master!$A$2:'Master'!$A$4384&amp;Master!$C$2:'Master'!$C$4384,0))</f>
        <v>0</v>
      </c>
      <c r="BR15" s="21" cm="1">
        <f t="array" aca="1" ref="BR15" ca="1">INDEX(Master!$I$2:'Master'!$I$4384,MATCH($A15&amp;BR$2,Master!$A$2:'Master'!$A$4384&amp;Master!$C$2:'Master'!$C$4384,0))</f>
        <v>0</v>
      </c>
      <c r="BS15" s="21" cm="1">
        <f t="array" aca="1" ref="BS15" ca="1">INDEX(Master!$I$2:'Master'!$I$4384,MATCH($A15&amp;BS$2,Master!$A$2:'Master'!$A$4384&amp;Master!$C$2:'Master'!$C$4384,0))</f>
        <v>0</v>
      </c>
      <c r="BT15" s="21" cm="1">
        <f t="array" aca="1" ref="BT15" ca="1">INDEX(Master!$I$2:'Master'!$I$4384,MATCH($A15&amp;BT$2,Master!$A$2:'Master'!$A$4384&amp;Master!$C$2:'Master'!$C$4384,0))</f>
        <v>1</v>
      </c>
      <c r="BU15" s="21" cm="1">
        <f t="array" aca="1" ref="BU15" ca="1">INDEX(Master!$I$2:'Master'!$I$4384,MATCH($A15&amp;BU$2,Master!$A$2:'Master'!$A$4384&amp;Master!$C$2:'Master'!$C$4384,0))</f>
        <v>0</v>
      </c>
      <c r="BV15" s="21" cm="1">
        <f t="array" aca="1" ref="BV15" ca="1">INDEX(Master!$I$2:'Master'!$I$4384,MATCH($A15&amp;BV$2,Master!$A$2:'Master'!$A$4384&amp;Master!$C$2:'Master'!$C$4384,0))</f>
        <v>1</v>
      </c>
      <c r="BW15" s="21" cm="1">
        <f t="array" aca="1" ref="BW15" ca="1">INDEX(Master!$I$2:'Master'!$I$4384,MATCH($A15&amp;BW$2,Master!$A$2:'Master'!$A$4384&amp;Master!$C$2:'Master'!$C$4384,0))</f>
        <v>1</v>
      </c>
      <c r="BX15" s="21" cm="1">
        <f t="array" aca="1" ref="BX15" ca="1">INDEX(Master!$I$2:'Master'!$I$4384,MATCH($A15&amp;BX$2,Master!$A$2:'Master'!$A$4384&amp;Master!$C$2:'Master'!$C$4384,0))</f>
        <v>0</v>
      </c>
      <c r="BY15" s="21" cm="1">
        <f t="array" aca="1" ref="BY15" ca="1">INDEX(Master!$I$2:'Master'!$I$4384,MATCH($A15&amp;BY$2,Master!$A$2:'Master'!$A$4384&amp;Master!$C$2:'Master'!$C$4384,0))</f>
        <v>0</v>
      </c>
      <c r="BZ15" s="21" cm="1">
        <f t="array" aca="1" ref="BZ15" ca="1">INDEX(Master!$I$2:'Master'!$I$4384,MATCH($A15&amp;BZ$2,Master!$A$2:'Master'!$A$4384&amp;Master!$C$2:'Master'!$C$4384,0))</f>
        <v>1</v>
      </c>
      <c r="CA15" s="21" cm="1">
        <f t="array" aca="1" ref="CA15" ca="1">INDEX(Master!$I$2:'Master'!$I$4384,MATCH($A15&amp;CA$2,Master!$A$2:'Master'!$A$4384&amp;Master!$C$2:'Master'!$C$4384,0))</f>
        <v>0</v>
      </c>
      <c r="CB15" s="21" cm="1">
        <f t="array" aca="1" ref="CB15" ca="1">INDEX(Master!$I$2:'Master'!$I$4384,MATCH($A15&amp;CB$2,Master!$A$2:'Master'!$A$4384&amp;Master!$C$2:'Master'!$C$4384,0))</f>
        <v>1</v>
      </c>
      <c r="CC15" s="21" cm="1">
        <f t="array" aca="1" ref="CC15" ca="1">INDEX(Master!$I$2:'Master'!$I$4384,MATCH($A15&amp;CC$2,Master!$A$2:'Master'!$A$4384&amp;Master!$C$2:'Master'!$C$4384,0))</f>
        <v>1</v>
      </c>
      <c r="CD15" s="21" cm="1">
        <f t="array" aca="1" ref="CD15" ca="1">INDEX(Master!$I$2:'Master'!$I$4384,MATCH($A15&amp;CD$2,Master!$A$2:'Master'!$A$4384&amp;Master!$C$2:'Master'!$C$4384,0))</f>
        <v>1</v>
      </c>
      <c r="CE15" s="21" cm="1">
        <f t="array" aca="1" ref="CE15" ca="1">INDEX(Master!$I$2:'Master'!$I$4384,MATCH($A15&amp;CE$2,Master!$A$2:'Master'!$A$4384&amp;Master!$C$2:'Master'!$C$4384,0))</f>
        <v>2</v>
      </c>
      <c r="CF15" s="21" cm="1">
        <f t="array" aca="1" ref="CF15" ca="1">INDEX(Master!$I$2:'Master'!$I$4384,MATCH($A15&amp;CF$2,Master!$A$2:'Master'!$A$4384&amp;Master!$C$2:'Master'!$C$4384,0))</f>
        <v>1</v>
      </c>
      <c r="CG15" s="21" cm="1">
        <f t="array" aca="1" ref="CG15" ca="1">INDEX(Master!$I$2:'Master'!$I$4384,MATCH($A15&amp;CG$2,Master!$A$2:'Master'!$A$4384&amp;Master!$C$2:'Master'!$C$4384,0))</f>
        <v>2</v>
      </c>
      <c r="CH15" s="21" cm="1">
        <f t="array" aca="1" ref="CH15" ca="1">INDEX(Master!$I$2:'Master'!$I$4384,MATCH($A15&amp;CH$2,Master!$A$2:'Master'!$A$4384&amp;Master!$C$2:'Master'!$C$4384,0))</f>
        <v>1</v>
      </c>
      <c r="CI15" s="21" cm="1">
        <f t="array" aca="1" ref="CI15" ca="1">INDEX(Master!$I$2:'Master'!$I$4384,MATCH($A15&amp;CI$2,Master!$A$2:'Master'!$A$4384&amp;Master!$C$2:'Master'!$C$4384,0))</f>
        <v>2</v>
      </c>
      <c r="CJ15" s="21" cm="1">
        <f t="array" aca="1" ref="CJ15" ca="1">INDEX(Master!$I$2:'Master'!$I$4384,MATCH($A15&amp;CJ$2,Master!$A$2:'Master'!$A$4384&amp;Master!$C$2:'Master'!$C$4384,0))</f>
        <v>0</v>
      </c>
      <c r="CK15" s="21" cm="1">
        <f t="array" aca="1" ref="CK15" ca="1">INDEX(Master!$I$2:'Master'!$I$4384,MATCH($A15&amp;CK$2,Master!$A$2:'Master'!$A$4384&amp;Master!$C$2:'Master'!$C$4384,0))</f>
        <v>0</v>
      </c>
      <c r="CL15" s="21" cm="1">
        <f t="array" aca="1" ref="CL15" ca="1">INDEX(Master!$I$2:'Master'!$I$4384,MATCH($A15&amp;CL$2,Master!$A$2:'Master'!$A$4384&amp;Master!$C$2:'Master'!$C$4384,0))</f>
        <v>0</v>
      </c>
      <c r="CM15" s="21" cm="1">
        <f t="array" aca="1" ref="CM15" ca="1">INDEX(Master!$I$2:'Master'!$I$4384,MATCH($A15&amp;CM$2,Master!$A$2:'Master'!$A$4384&amp;Master!$C$2:'Master'!$C$4384,0))</f>
        <v>0</v>
      </c>
      <c r="CN15" s="21" cm="1">
        <f t="array" aca="1" ref="CN15" ca="1">INDEX(Master!$I$2:'Master'!$I$4384,MATCH($A15&amp;CN$2,Master!$A$2:'Master'!$A$4384&amp;Master!$C$2:'Master'!$C$4384,0))</f>
        <v>0</v>
      </c>
      <c r="CO15" s="21" cm="1">
        <f t="array" aca="1" ref="CO15" ca="1">INDEX(Master!$I$2:'Master'!$I$4384,MATCH($A15&amp;CO$2,Master!$A$2:'Master'!$A$4384&amp;Master!$C$2:'Master'!$C$4384,0))</f>
        <v>0</v>
      </c>
      <c r="CP15" s="21" cm="1">
        <f t="array" aca="1" ref="CP15" ca="1">INDEX(Master!$I$2:'Master'!$I$4384,MATCH($A15&amp;CP$2,Master!$A$2:'Master'!$A$4384&amp;Master!$C$2:'Master'!$C$4384,0))</f>
        <v>0</v>
      </c>
      <c r="CQ15" s="21" cm="1">
        <f t="array" aca="1" ref="CQ15" ca="1">INDEX(Master!$I$2:'Master'!$I$4384,MATCH($A15&amp;CQ$2,Master!$A$2:'Master'!$A$4384&amp;Master!$C$2:'Master'!$C$4384,0))</f>
        <v>2</v>
      </c>
      <c r="CR15" s="21" cm="1">
        <f t="array" aca="1" ref="CR15" ca="1">INDEX(Master!$I$2:'Master'!$I$4384,MATCH($A15&amp;CR$2,Master!$A$2:'Master'!$A$4384&amp;Master!$C$2:'Master'!$C$4384,0))</f>
        <v>0</v>
      </c>
      <c r="CS15" s="21" cm="1">
        <f t="array" aca="1" ref="CS15" ca="1">INDEX(Master!$I$2:'Master'!$I$4384,MATCH($A15&amp;CS$2,Master!$A$2:'Master'!$A$4384&amp;Master!$C$2:'Master'!$C$4384,0))</f>
        <v>2</v>
      </c>
    </row>
    <row r="16" spans="1:97">
      <c r="A16" t="str">
        <f>VLOOKUP(Staff!$A14,Staff!$A$1:A$73,1,FALSE)</f>
        <v>John Watson</v>
      </c>
      <c r="B16" s="21" cm="1">
        <f t="array" aca="1" ref="B16" ca="1">INDEX(Master!$I$2:'Master'!$I$4384,MATCH($A16&amp;B$2,Master!$A$2:'Master'!$A$4384&amp;Master!$C$2:'Master'!$C$4384,0))</f>
        <v>3</v>
      </c>
      <c r="C16" s="21" cm="1">
        <f t="array" aca="1" ref="C16" ca="1">INDEX(Master!$I$2:'Master'!$I$4384,MATCH($A16&amp;C$2,Master!$A$2:'Master'!$A$4384&amp;Master!$C$2:'Master'!$C$4384,0))</f>
        <v>3</v>
      </c>
      <c r="D16" s="21" cm="1">
        <f t="array" aca="1" ref="D16" ca="1">INDEX(Master!$I$2:'Master'!$I$4384,MATCH($A16&amp;D$2,Master!$A$2:'Master'!$A$4384&amp;Master!$C$2:'Master'!$C$4384,0))</f>
        <v>3</v>
      </c>
      <c r="E16" s="21" cm="1">
        <f t="array" aca="1" ref="E16" ca="1">INDEX(Master!$I$2:'Master'!$I$4384,MATCH($A16&amp;E$2,Master!$A$2:'Master'!$A$4384&amp;Master!$C$2:'Master'!$C$4384,0))</f>
        <v>3</v>
      </c>
      <c r="F16" s="21" cm="1">
        <f t="array" aca="1" ref="F16" ca="1">INDEX(Master!$I$2:'Master'!$I$4384,MATCH($A16&amp;F$2,Master!$A$2:'Master'!$A$4384&amp;Master!$C$2:'Master'!$C$4384,0))</f>
        <v>3</v>
      </c>
      <c r="G16" s="21" cm="1">
        <f t="array" aca="1" ref="G16" ca="1">INDEX(Master!$I$2:'Master'!$I$4384,MATCH($A16&amp;G$2,Master!$A$2:'Master'!$A$4384&amp;Master!$C$2:'Master'!$C$4384,0))</f>
        <v>2</v>
      </c>
      <c r="H16" s="21" cm="1">
        <f t="array" aca="1" ref="H16" ca="1">INDEX(Master!$I$2:'Master'!$I$4384,MATCH($A16&amp;H$2,Master!$A$2:'Master'!$A$4384&amp;Master!$C$2:'Master'!$C$4384,0))</f>
        <v>3</v>
      </c>
      <c r="I16" s="21" cm="1">
        <f t="array" aca="1" ref="I16" ca="1">INDEX(Master!$I$2:'Master'!$I$4384,MATCH($A16&amp;I$2,Master!$A$2:'Master'!$A$4384&amp;Master!$C$2:'Master'!$C$4384,0))</f>
        <v>2</v>
      </c>
      <c r="J16" s="21" cm="1">
        <f t="array" aca="1" ref="J16" ca="1">INDEX(Master!$I$2:'Master'!$I$4384,MATCH($A16&amp;J$2,Master!$A$2:'Master'!$A$4384&amp;Master!$C$2:'Master'!$C$4384,0))</f>
        <v>2</v>
      </c>
      <c r="K16" s="21" cm="1">
        <f t="array" aca="1" ref="K16" ca="1">INDEX(Master!$I$2:'Master'!$I$4384,MATCH($A16&amp;K$2,Master!$A$2:'Master'!$A$4384&amp;Master!$C$2:'Master'!$C$4384,0))</f>
        <v>3</v>
      </c>
      <c r="L16" s="21" cm="1">
        <f t="array" aca="1" ref="L16" ca="1">INDEX(Master!$I$2:'Master'!$I$4384,MATCH($A16&amp;L$2,Master!$A$2:'Master'!$A$4384&amp;Master!$C$2:'Master'!$C$4384,0))</f>
        <v>3</v>
      </c>
      <c r="M16" s="21" cm="1">
        <f t="array" aca="1" ref="M16" ca="1">INDEX(Master!$I$2:'Master'!$I$4384,MATCH($A16&amp;M$2,Master!$A$2:'Master'!$A$4384&amp;Master!$C$2:'Master'!$C$4384,0))</f>
        <v>3</v>
      </c>
      <c r="N16" s="21" cm="1">
        <f t="array" aca="1" ref="N16" ca="1">INDEX(Master!$I$2:'Master'!$I$4384,MATCH($A16&amp;N$2,Master!$A$2:'Master'!$A$4384&amp;Master!$C$2:'Master'!$C$4384,0))</f>
        <v>2</v>
      </c>
      <c r="O16" s="21" cm="1">
        <f t="array" aca="1" ref="O16" ca="1">INDEX(Master!$I$2:'Master'!$I$4384,MATCH($A16&amp;O$2,Master!$A$2:'Master'!$A$4384&amp;Master!$C$2:'Master'!$C$4384,0))</f>
        <v>3</v>
      </c>
      <c r="P16" s="21" cm="1">
        <f t="array" aca="1" ref="P16" ca="1">INDEX(Master!$I$2:'Master'!$I$4384,MATCH($A16&amp;P$2,Master!$A$2:'Master'!$A$4384&amp;Master!$C$2:'Master'!$C$4384,0))</f>
        <v>2</v>
      </c>
      <c r="Q16" s="21" cm="1">
        <f t="array" aca="1" ref="Q16" ca="1">INDEX(Master!$I$2:'Master'!$I$4384,MATCH($A16&amp;Q$2,Master!$A$2:'Master'!$A$4384&amp;Master!$C$2:'Master'!$C$4384,0))</f>
        <v>3</v>
      </c>
      <c r="R16" s="21" cm="1">
        <f t="array" aca="1" ref="R16" ca="1">INDEX(Master!$I$2:'Master'!$I$4384,MATCH($A16&amp;R$2,Master!$A$2:'Master'!$A$4384&amp;Master!$C$2:'Master'!$C$4384,0))</f>
        <v>3</v>
      </c>
      <c r="S16" s="21" cm="1">
        <f t="array" aca="1" ref="S16" ca="1">INDEX(Master!$I$2:'Master'!$I$4384,MATCH($A16&amp;S$2,Master!$A$2:'Master'!$A$4384&amp;Master!$C$2:'Master'!$C$4384,0))</f>
        <v>1</v>
      </c>
      <c r="T16" s="21" cm="1">
        <f t="array" aca="1" ref="T16" ca="1">INDEX(Master!$I$2:'Master'!$I$4384,MATCH($A16&amp;T$2,Master!$A$2:'Master'!$A$4384&amp;Master!$C$2:'Master'!$C$4384,0))</f>
        <v>2</v>
      </c>
      <c r="U16" s="21" cm="1">
        <f t="array" aca="1" ref="U16" ca="1">INDEX(Master!$I$2:'Master'!$I$4384,MATCH($A16&amp;U$2,Master!$A$2:'Master'!$A$4384&amp;Master!$C$2:'Master'!$C$4384,0))</f>
        <v>2</v>
      </c>
      <c r="V16" s="21" cm="1">
        <f t="array" aca="1" ref="V16" ca="1">INDEX(Master!$I$2:'Master'!$I$4384,MATCH($A16&amp;V$2,Master!$A$2:'Master'!$A$4384&amp;Master!$C$2:'Master'!$C$4384,0))</f>
        <v>1</v>
      </c>
      <c r="W16" s="21" cm="1">
        <f t="array" aca="1" ref="W16" ca="1">INDEX(Master!$I$2:'Master'!$I$4384,MATCH($A16&amp;W$2,Master!$A$2:'Master'!$A$4384&amp;Master!$C$2:'Master'!$C$4384,0))</f>
        <v>3</v>
      </c>
      <c r="X16" s="21" cm="1">
        <f t="array" aca="1" ref="X16" ca="1">INDEX(Master!$I$2:'Master'!$I$4384,MATCH($A16&amp;X$2,Master!$A$2:'Master'!$A$4384&amp;Master!$C$2:'Master'!$C$4384,0))</f>
        <v>2</v>
      </c>
      <c r="Y16" s="21" cm="1">
        <f t="array" aca="1" ref="Y16" ca="1">INDEX(Master!$I$2:'Master'!$I$4384,MATCH($A16&amp;Y$2,Master!$A$2:'Master'!$A$4384&amp;Master!$C$2:'Master'!$C$4384,0))</f>
        <v>2</v>
      </c>
      <c r="Z16" s="21" cm="1">
        <f t="array" aca="1" ref="Z16" ca="1">INDEX(Master!$I$2:'Master'!$I$4384,MATCH($A16&amp;Z$2,Master!$A$2:'Master'!$A$4384&amp;Master!$C$2:'Master'!$C$4384,0))</f>
        <v>1</v>
      </c>
      <c r="AA16" s="21" cm="1">
        <f t="array" aca="1" ref="AA16" ca="1">INDEX(Master!$I$2:'Master'!$I$4384,MATCH($A16&amp;AA$2,Master!$A$2:'Master'!$A$4384&amp;Master!$C$2:'Master'!$C$4384,0))</f>
        <v>1</v>
      </c>
      <c r="AB16" s="21" cm="1">
        <f t="array" aca="1" ref="AB16" ca="1">INDEX(Master!$I$2:'Master'!$I$4384,MATCH($A16&amp;AB$2,Master!$A$2:'Master'!$A$4384&amp;Master!$C$2:'Master'!$C$4384,0))</f>
        <v>1</v>
      </c>
      <c r="AC16" s="21" cm="1">
        <f t="array" aca="1" ref="AC16" ca="1">INDEX(Master!$I$2:'Master'!$I$4384,MATCH($A16&amp;AC$2,Master!$A$2:'Master'!$A$4384&amp;Master!$C$2:'Master'!$C$4384,0))</f>
        <v>2</v>
      </c>
      <c r="AD16" s="21" cm="1">
        <f t="array" aca="1" ref="AD16" ca="1">INDEX(Master!$I$2:'Master'!$I$4384,MATCH($A16&amp;AD$2,Master!$A$2:'Master'!$A$4384&amp;Master!$C$2:'Master'!$C$4384,0))</f>
        <v>1</v>
      </c>
      <c r="AE16" s="21" cm="1">
        <f t="array" aca="1" ref="AE16" ca="1">INDEX(Master!$I$2:'Master'!$I$4384,MATCH($A16&amp;AE$2,Master!$A$2:'Master'!$A$4384&amp;Master!$C$2:'Master'!$C$4384,0))</f>
        <v>1</v>
      </c>
      <c r="AF16" s="21" cm="1">
        <f t="array" aca="1" ref="AF16" ca="1">INDEX(Master!$I$2:'Master'!$I$4384,MATCH($A16&amp;AF$2,Master!$A$2:'Master'!$A$4384&amp;Master!$C$2:'Master'!$C$4384,0))</f>
        <v>1</v>
      </c>
      <c r="AG16" s="21" cm="1">
        <f t="array" aca="1" ref="AG16" ca="1">INDEX(Master!$I$2:'Master'!$I$4384,MATCH($A16&amp;AG$2,Master!$A$2:'Master'!$A$4384&amp;Master!$C$2:'Master'!$C$4384,0))</f>
        <v>1</v>
      </c>
      <c r="AH16" s="21" cm="1">
        <f t="array" aca="1" ref="AH16" ca="1">INDEX(Master!$I$2:'Master'!$I$4384,MATCH($A16&amp;AH$2,Master!$A$2:'Master'!$A$4384&amp;Master!$C$2:'Master'!$C$4384,0))</f>
        <v>2</v>
      </c>
      <c r="AI16" s="21" cm="1">
        <f t="array" aca="1" ref="AI16" ca="1">INDEX(Master!$I$2:'Master'!$I$4384,MATCH($A16&amp;AI$2,Master!$A$2:'Master'!$A$4384&amp;Master!$C$2:'Master'!$C$4384,0))</f>
        <v>2</v>
      </c>
      <c r="AJ16" s="21" cm="1">
        <f t="array" aca="1" ref="AJ16" ca="1">INDEX(Master!$I$2:'Master'!$I$4384,MATCH($A16&amp;AJ$2,Master!$A$2:'Master'!$A$4384&amp;Master!$C$2:'Master'!$C$4384,0))</f>
        <v>3</v>
      </c>
      <c r="AK16" s="21" cm="1">
        <f t="array" aca="1" ref="AK16" ca="1">INDEX(Master!$I$2:'Master'!$I$4384,MATCH($A16&amp;AK$2,Master!$A$2:'Master'!$A$4384&amp;Master!$C$2:'Master'!$C$4384,0))</f>
        <v>1</v>
      </c>
      <c r="AL16" s="21" cm="1">
        <f t="array" aca="1" ref="AL16" ca="1">INDEX(Master!$I$2:'Master'!$I$4384,MATCH($A16&amp;AL$2,Master!$A$2:'Master'!$A$4384&amp;Master!$C$2:'Master'!$C$4384,0))</f>
        <v>2</v>
      </c>
      <c r="AM16" s="21" cm="1">
        <f t="array" aca="1" ref="AM16" ca="1">INDEX(Master!$I$2:'Master'!$I$4384,MATCH($A16&amp;AM$2,Master!$A$2:'Master'!$A$4384&amp;Master!$C$2:'Master'!$C$4384,0))</f>
        <v>2</v>
      </c>
      <c r="AN16" s="21" cm="1">
        <f t="array" aca="1" ref="AN16" ca="1">INDEX(Master!$I$2:'Master'!$I$4384,MATCH($A16&amp;AN$2,Master!$A$2:'Master'!$A$4384&amp;Master!$C$2:'Master'!$C$4384,0))</f>
        <v>1</v>
      </c>
      <c r="AO16" s="21" cm="1">
        <f t="array" aca="1" ref="AO16" ca="1">INDEX(Master!$I$2:'Master'!$I$4384,MATCH($A16&amp;AO$2,Master!$A$2:'Master'!$A$4384&amp;Master!$C$2:'Master'!$C$4384,0))</f>
        <v>1</v>
      </c>
      <c r="AP16" s="21" cm="1">
        <f t="array" aca="1" ref="AP16" ca="1">INDEX(Master!$I$2:'Master'!$I$4384,MATCH($A16&amp;AP$2,Master!$A$2:'Master'!$A$4384&amp;Master!$C$2:'Master'!$C$4384,0))</f>
        <v>2</v>
      </c>
      <c r="AQ16" s="21" cm="1">
        <f t="array" aca="1" ref="AQ16" ca="1">INDEX(Master!$I$2:'Master'!$I$4384,MATCH($A16&amp;AQ$2,Master!$A$2:'Master'!$A$4384&amp;Master!$C$2:'Master'!$C$4384,0))</f>
        <v>3</v>
      </c>
      <c r="AR16" s="21" cm="1">
        <f t="array" aca="1" ref="AR16" ca="1">INDEX(Master!$I$2:'Master'!$I$4384,MATCH($A16&amp;AR$2,Master!$A$2:'Master'!$A$4384&amp;Master!$C$2:'Master'!$C$4384,0))</f>
        <v>1</v>
      </c>
      <c r="AS16" s="21" cm="1">
        <f t="array" aca="1" ref="AS16" ca="1">INDEX(Master!$I$2:'Master'!$I$4384,MATCH($A16&amp;AS$2,Master!$A$2:'Master'!$A$4384&amp;Master!$C$2:'Master'!$C$4384,0))</f>
        <v>1</v>
      </c>
      <c r="AT16" s="21" cm="1">
        <f t="array" aca="1" ref="AT16" ca="1">INDEX(Master!$I$2:'Master'!$I$4384,MATCH($A16&amp;AT$2,Master!$A$2:'Master'!$A$4384&amp;Master!$C$2:'Master'!$C$4384,0))</f>
        <v>3</v>
      </c>
      <c r="AU16" s="21" cm="1">
        <f t="array" aca="1" ref="AU16" ca="1">INDEX(Master!$I$2:'Master'!$I$4384,MATCH($A16&amp;AU$2,Master!$A$2:'Master'!$A$4384&amp;Master!$C$2:'Master'!$C$4384,0))</f>
        <v>2</v>
      </c>
      <c r="AV16" s="21" cm="1">
        <f t="array" aca="1" ref="AV16" ca="1">INDEX(Master!$I$2:'Master'!$I$4384,MATCH($A16&amp;AV$2,Master!$A$2:'Master'!$A$4384&amp;Master!$C$2:'Master'!$C$4384,0))</f>
        <v>3</v>
      </c>
      <c r="AW16" s="21" cm="1">
        <f t="array" aca="1" ref="AW16" ca="1">INDEX(Master!$I$2:'Master'!$I$4384,MATCH($A16&amp;AW$2,Master!$A$2:'Master'!$A$4384&amp;Master!$C$2:'Master'!$C$4384,0))</f>
        <v>2</v>
      </c>
      <c r="AX16" s="21" cm="1">
        <f t="array" aca="1" ref="AX16" ca="1">INDEX(Master!$I$2:'Master'!$I$4384,MATCH($A16&amp;AX$2,Master!$A$2:'Master'!$A$4384&amp;Master!$C$2:'Master'!$C$4384,0))</f>
        <v>3</v>
      </c>
      <c r="AY16" s="21" cm="1">
        <f t="array" aca="1" ref="AY16" ca="1">INDEX(Master!$I$2:'Master'!$I$4384,MATCH($A16&amp;AY$2,Master!$A$2:'Master'!$A$4384&amp;Master!$C$2:'Master'!$C$4384,0))</f>
        <v>3</v>
      </c>
      <c r="AZ16" s="21" cm="1">
        <f t="array" aca="1" ref="AZ16" ca="1">INDEX(Master!$I$2:'Master'!$I$4384,MATCH($A16&amp;AZ$2,Master!$A$2:'Master'!$A$4384&amp;Master!$C$2:'Master'!$C$4384,0))</f>
        <v>2</v>
      </c>
      <c r="BA16" s="21" cm="1">
        <f t="array" aca="1" ref="BA16" ca="1">INDEX(Master!$I$2:'Master'!$I$4384,MATCH($A16&amp;BA$2,Master!$A$2:'Master'!$A$4384&amp;Master!$C$2:'Master'!$C$4384,0))</f>
        <v>2</v>
      </c>
      <c r="BB16" s="21" cm="1">
        <f t="array" aca="1" ref="BB16" ca="1">INDEX(Master!$I$2:'Master'!$I$4384,MATCH($A16&amp;BB$2,Master!$A$2:'Master'!$A$4384&amp;Master!$C$2:'Master'!$C$4384,0))</f>
        <v>3</v>
      </c>
      <c r="BC16" s="21" cm="1">
        <f t="array" aca="1" ref="BC16" ca="1">INDEX(Master!$I$2:'Master'!$I$4384,MATCH($A16&amp;BC$2,Master!$A$2:'Master'!$A$4384&amp;Master!$C$2:'Master'!$C$4384,0))</f>
        <v>3</v>
      </c>
      <c r="BD16" s="21" cm="1">
        <f t="array" aca="1" ref="BD16" ca="1">INDEX(Master!$I$2:'Master'!$I$4384,MATCH($A16&amp;BD$2,Master!$A$2:'Master'!$A$4384&amp;Master!$C$2:'Master'!$C$4384,0))</f>
        <v>3</v>
      </c>
      <c r="BE16" s="21" cm="1">
        <f t="array" aca="1" ref="BE16" ca="1">INDEX(Master!$I$2:'Master'!$I$4384,MATCH($A16&amp;BE$2,Master!$A$2:'Master'!$A$4384&amp;Master!$C$2:'Master'!$C$4384,0))</f>
        <v>1</v>
      </c>
      <c r="BF16" s="21" cm="1">
        <f t="array" aca="1" ref="BF16" ca="1">INDEX(Master!$I$2:'Master'!$I$4384,MATCH($A16&amp;BF$2,Master!$A$2:'Master'!$A$4384&amp;Master!$C$2:'Master'!$C$4384,0))</f>
        <v>1</v>
      </c>
      <c r="BG16" s="21" cm="1">
        <f t="array" aca="1" ref="BG16" ca="1">INDEX(Master!$I$2:'Master'!$I$4384,MATCH($A16&amp;BG$2,Master!$A$2:'Master'!$A$4384&amp;Master!$C$2:'Master'!$C$4384,0))</f>
        <v>0</v>
      </c>
      <c r="BH16" s="21" cm="1">
        <f t="array" aca="1" ref="BH16" ca="1">INDEX(Master!$I$2:'Master'!$I$4384,MATCH($A16&amp;BH$2,Master!$A$2:'Master'!$A$4384&amp;Master!$C$2:'Master'!$C$4384,0))</f>
        <v>0</v>
      </c>
      <c r="BI16" s="21" cm="1">
        <f t="array" aca="1" ref="BI16" ca="1">INDEX(Master!$I$2:'Master'!$I$4384,MATCH($A16&amp;BI$2,Master!$A$2:'Master'!$A$4384&amp;Master!$C$2:'Master'!$C$4384,0))</f>
        <v>0</v>
      </c>
      <c r="BJ16" s="21" cm="1">
        <f t="array" aca="1" ref="BJ16" ca="1">INDEX(Master!$I$2:'Master'!$I$4384,MATCH($A16&amp;BJ$2,Master!$A$2:'Master'!$A$4384&amp;Master!$C$2:'Master'!$C$4384,0))</f>
        <v>1</v>
      </c>
      <c r="BK16" s="21" cm="1">
        <f t="array" aca="1" ref="BK16" ca="1">INDEX(Master!$I$2:'Master'!$I$4384,MATCH($A16&amp;BK$2,Master!$A$2:'Master'!$A$4384&amp;Master!$C$2:'Master'!$C$4384,0))</f>
        <v>1</v>
      </c>
      <c r="BL16" s="21" cm="1">
        <f t="array" aca="1" ref="BL16" ca="1">INDEX(Master!$I$2:'Master'!$I$4384,MATCH($A16&amp;BL$2,Master!$A$2:'Master'!$A$4384&amp;Master!$C$2:'Master'!$C$4384,0))</f>
        <v>0</v>
      </c>
      <c r="BM16" s="21" cm="1">
        <f t="array" aca="1" ref="BM16" ca="1">INDEX(Master!$I$2:'Master'!$I$4384,MATCH($A16&amp;BM$2,Master!$A$2:'Master'!$A$4384&amp;Master!$C$2:'Master'!$C$4384,0))</f>
        <v>0</v>
      </c>
      <c r="BN16" s="21" cm="1">
        <f t="array" aca="1" ref="BN16" ca="1">INDEX(Master!$I$2:'Master'!$I$4384,MATCH($A16&amp;BN$2,Master!$A$2:'Master'!$A$4384&amp;Master!$C$2:'Master'!$C$4384,0))</f>
        <v>0</v>
      </c>
      <c r="BO16" s="21" cm="1">
        <f t="array" aca="1" ref="BO16" ca="1">INDEX(Master!$I$2:'Master'!$I$4384,MATCH($A16&amp;BO$2,Master!$A$2:'Master'!$A$4384&amp;Master!$C$2:'Master'!$C$4384,0))</f>
        <v>0</v>
      </c>
      <c r="BP16" s="21" cm="1">
        <f t="array" aca="1" ref="BP16" ca="1">INDEX(Master!$I$2:'Master'!$I$4384,MATCH($A16&amp;BP$2,Master!$A$2:'Master'!$A$4384&amp;Master!$C$2:'Master'!$C$4384,0))</f>
        <v>0</v>
      </c>
      <c r="BQ16" s="21" cm="1">
        <f t="array" aca="1" ref="BQ16" ca="1">INDEX(Master!$I$2:'Master'!$I$4384,MATCH($A16&amp;BQ$2,Master!$A$2:'Master'!$A$4384&amp;Master!$C$2:'Master'!$C$4384,0))</f>
        <v>0</v>
      </c>
      <c r="BR16" s="21" cm="1">
        <f t="array" aca="1" ref="BR16" ca="1">INDEX(Master!$I$2:'Master'!$I$4384,MATCH($A16&amp;BR$2,Master!$A$2:'Master'!$A$4384&amp;Master!$C$2:'Master'!$C$4384,0))</f>
        <v>0</v>
      </c>
      <c r="BS16" s="21" cm="1">
        <f t="array" aca="1" ref="BS16" ca="1">INDEX(Master!$I$2:'Master'!$I$4384,MATCH($A16&amp;BS$2,Master!$A$2:'Master'!$A$4384&amp;Master!$C$2:'Master'!$C$4384,0))</f>
        <v>0</v>
      </c>
      <c r="BT16" s="21" cm="1">
        <f t="array" aca="1" ref="BT16" ca="1">INDEX(Master!$I$2:'Master'!$I$4384,MATCH($A16&amp;BT$2,Master!$A$2:'Master'!$A$4384&amp;Master!$C$2:'Master'!$C$4384,0))</f>
        <v>0</v>
      </c>
      <c r="BU16" s="21" cm="1">
        <f t="array" aca="1" ref="BU16" ca="1">INDEX(Master!$I$2:'Master'!$I$4384,MATCH($A16&amp;BU$2,Master!$A$2:'Master'!$A$4384&amp;Master!$C$2:'Master'!$C$4384,0))</f>
        <v>0</v>
      </c>
      <c r="BV16" s="21" cm="1">
        <f t="array" aca="1" ref="BV16" ca="1">INDEX(Master!$I$2:'Master'!$I$4384,MATCH($A16&amp;BV$2,Master!$A$2:'Master'!$A$4384&amp;Master!$C$2:'Master'!$C$4384,0))</f>
        <v>0</v>
      </c>
      <c r="BW16" s="21" cm="1">
        <f t="array" aca="1" ref="BW16" ca="1">INDEX(Master!$I$2:'Master'!$I$4384,MATCH($A16&amp;BW$2,Master!$A$2:'Master'!$A$4384&amp;Master!$C$2:'Master'!$C$4384,0))</f>
        <v>1</v>
      </c>
      <c r="BX16" s="21" cm="1">
        <f t="array" aca="1" ref="BX16" ca="1">INDEX(Master!$I$2:'Master'!$I$4384,MATCH($A16&amp;BX$2,Master!$A$2:'Master'!$A$4384&amp;Master!$C$2:'Master'!$C$4384,0))</f>
        <v>0</v>
      </c>
      <c r="BY16" s="21" cm="1">
        <f t="array" aca="1" ref="BY16" ca="1">INDEX(Master!$I$2:'Master'!$I$4384,MATCH($A16&amp;BY$2,Master!$A$2:'Master'!$A$4384&amp;Master!$C$2:'Master'!$C$4384,0))</f>
        <v>0</v>
      </c>
      <c r="BZ16" s="21" cm="1">
        <f t="array" aca="1" ref="BZ16" ca="1">INDEX(Master!$I$2:'Master'!$I$4384,MATCH($A16&amp;BZ$2,Master!$A$2:'Master'!$A$4384&amp;Master!$C$2:'Master'!$C$4384,0))</f>
        <v>0</v>
      </c>
      <c r="CA16" s="21" cm="1">
        <f t="array" aca="1" ref="CA16" ca="1">INDEX(Master!$I$2:'Master'!$I$4384,MATCH($A16&amp;CA$2,Master!$A$2:'Master'!$A$4384&amp;Master!$C$2:'Master'!$C$4384,0))</f>
        <v>1</v>
      </c>
      <c r="CB16" s="21" cm="1">
        <f t="array" aca="1" ref="CB16" ca="1">INDEX(Master!$I$2:'Master'!$I$4384,MATCH($A16&amp;CB$2,Master!$A$2:'Master'!$A$4384&amp;Master!$C$2:'Master'!$C$4384,0))</f>
        <v>1</v>
      </c>
      <c r="CC16" s="21" cm="1">
        <f t="array" aca="1" ref="CC16" ca="1">INDEX(Master!$I$2:'Master'!$I$4384,MATCH($A16&amp;CC$2,Master!$A$2:'Master'!$A$4384&amp;Master!$C$2:'Master'!$C$4384,0))</f>
        <v>0</v>
      </c>
      <c r="CD16" s="21" cm="1">
        <f t="array" aca="1" ref="CD16" ca="1">INDEX(Master!$I$2:'Master'!$I$4384,MATCH($A16&amp;CD$2,Master!$A$2:'Master'!$A$4384&amp;Master!$C$2:'Master'!$C$4384,0))</f>
        <v>0</v>
      </c>
      <c r="CE16" s="21" cm="1">
        <f t="array" aca="1" ref="CE16" ca="1">INDEX(Master!$I$2:'Master'!$I$4384,MATCH($A16&amp;CE$2,Master!$A$2:'Master'!$A$4384&amp;Master!$C$2:'Master'!$C$4384,0))</f>
        <v>1</v>
      </c>
      <c r="CF16" s="21" cm="1">
        <f t="array" aca="1" ref="CF16" ca="1">INDEX(Master!$I$2:'Master'!$I$4384,MATCH($A16&amp;CF$2,Master!$A$2:'Master'!$A$4384&amp;Master!$C$2:'Master'!$C$4384,0))</f>
        <v>1</v>
      </c>
      <c r="CG16" s="21" cm="1">
        <f t="array" aca="1" ref="CG16" ca="1">INDEX(Master!$I$2:'Master'!$I$4384,MATCH($A16&amp;CG$2,Master!$A$2:'Master'!$A$4384&amp;Master!$C$2:'Master'!$C$4384,0))</f>
        <v>2</v>
      </c>
      <c r="CH16" s="21" cm="1">
        <f t="array" aca="1" ref="CH16" ca="1">INDEX(Master!$I$2:'Master'!$I$4384,MATCH($A16&amp;CH$2,Master!$A$2:'Master'!$A$4384&amp;Master!$C$2:'Master'!$C$4384,0))</f>
        <v>1</v>
      </c>
      <c r="CI16" s="21" cm="1">
        <f t="array" aca="1" ref="CI16" ca="1">INDEX(Master!$I$2:'Master'!$I$4384,MATCH($A16&amp;CI$2,Master!$A$2:'Master'!$A$4384&amp;Master!$C$2:'Master'!$C$4384,0))</f>
        <v>2</v>
      </c>
      <c r="CJ16" s="21" cm="1">
        <f t="array" aca="1" ref="CJ16" ca="1">INDEX(Master!$I$2:'Master'!$I$4384,MATCH($A16&amp;CJ$2,Master!$A$2:'Master'!$A$4384&amp;Master!$C$2:'Master'!$C$4384,0))</f>
        <v>1</v>
      </c>
      <c r="CK16" s="21" cm="1">
        <f t="array" aca="1" ref="CK16" ca="1">INDEX(Master!$I$2:'Master'!$I$4384,MATCH($A16&amp;CK$2,Master!$A$2:'Master'!$A$4384&amp;Master!$C$2:'Master'!$C$4384,0))</f>
        <v>1</v>
      </c>
      <c r="CL16" s="21" cm="1">
        <f t="array" aca="1" ref="CL16" ca="1">INDEX(Master!$I$2:'Master'!$I$4384,MATCH($A16&amp;CL$2,Master!$A$2:'Master'!$A$4384&amp;Master!$C$2:'Master'!$C$4384,0))</f>
        <v>0</v>
      </c>
      <c r="CM16" s="21" cm="1">
        <f t="array" aca="1" ref="CM16" ca="1">INDEX(Master!$I$2:'Master'!$I$4384,MATCH($A16&amp;CM$2,Master!$A$2:'Master'!$A$4384&amp;Master!$C$2:'Master'!$C$4384,0))</f>
        <v>0</v>
      </c>
      <c r="CN16" s="21" cm="1">
        <f t="array" aca="1" ref="CN16" ca="1">INDEX(Master!$I$2:'Master'!$I$4384,MATCH($A16&amp;CN$2,Master!$A$2:'Master'!$A$4384&amp;Master!$C$2:'Master'!$C$4384,0))</f>
        <v>0</v>
      </c>
      <c r="CO16" s="21" cm="1">
        <f t="array" aca="1" ref="CO16" ca="1">INDEX(Master!$I$2:'Master'!$I$4384,MATCH($A16&amp;CO$2,Master!$A$2:'Master'!$A$4384&amp;Master!$C$2:'Master'!$C$4384,0))</f>
        <v>0</v>
      </c>
      <c r="CP16" s="21" cm="1">
        <f t="array" aca="1" ref="CP16" ca="1">INDEX(Master!$I$2:'Master'!$I$4384,MATCH($A16&amp;CP$2,Master!$A$2:'Master'!$A$4384&amp;Master!$C$2:'Master'!$C$4384,0))</f>
        <v>0</v>
      </c>
      <c r="CQ16" s="21" cm="1">
        <f t="array" aca="1" ref="CQ16" ca="1">INDEX(Master!$I$2:'Master'!$I$4384,MATCH($A16&amp;CQ$2,Master!$A$2:'Master'!$A$4384&amp;Master!$C$2:'Master'!$C$4384,0))</f>
        <v>1</v>
      </c>
      <c r="CR16" s="21" cm="1">
        <f t="array" aca="1" ref="CR16" ca="1">INDEX(Master!$I$2:'Master'!$I$4384,MATCH($A16&amp;CR$2,Master!$A$2:'Master'!$A$4384&amp;Master!$C$2:'Master'!$C$4384,0))</f>
        <v>1</v>
      </c>
      <c r="CS16" s="21" cm="1">
        <f t="array" aca="1" ref="CS16" ca="1">INDEX(Master!$I$2:'Master'!$I$4384,MATCH($A16&amp;CS$2,Master!$A$2:'Master'!$A$4384&amp;Master!$C$2:'Master'!$C$4384,0))</f>
        <v>0</v>
      </c>
    </row>
    <row r="17" spans="1:97">
      <c r="A17" t="str">
        <f>VLOOKUP(Staff!$A15,Staff!$A$1:A$73,1,FALSE)</f>
        <v>Jim Taggart</v>
      </c>
      <c r="B17" s="21" cm="1">
        <f t="array" aca="1" ref="B17" ca="1">INDEX(Master!$I$2:'Master'!$I$4384,MATCH($A17&amp;B$2,Master!$A$2:'Master'!$A$4384&amp;Master!$C$2:'Master'!$C$4384,0))</f>
        <v>2</v>
      </c>
      <c r="C17" s="21" cm="1">
        <f t="array" aca="1" ref="C17" ca="1">INDEX(Master!$I$2:'Master'!$I$4384,MATCH($A17&amp;C$2,Master!$A$2:'Master'!$A$4384&amp;Master!$C$2:'Master'!$C$4384,0))</f>
        <v>4</v>
      </c>
      <c r="D17" s="21" cm="1">
        <f t="array" aca="1" ref="D17" ca="1">INDEX(Master!$I$2:'Master'!$I$4384,MATCH($A17&amp;D$2,Master!$A$2:'Master'!$A$4384&amp;Master!$C$2:'Master'!$C$4384,0))</f>
        <v>2</v>
      </c>
      <c r="E17" s="21" cm="1">
        <f t="array" aca="1" ref="E17" ca="1">INDEX(Master!$I$2:'Master'!$I$4384,MATCH($A17&amp;E$2,Master!$A$2:'Master'!$A$4384&amp;Master!$C$2:'Master'!$C$4384,0))</f>
        <v>3</v>
      </c>
      <c r="F17" s="21" cm="1">
        <f t="array" aca="1" ref="F17" ca="1">INDEX(Master!$I$2:'Master'!$I$4384,MATCH($A17&amp;F$2,Master!$A$2:'Master'!$A$4384&amp;Master!$C$2:'Master'!$C$4384,0))</f>
        <v>3</v>
      </c>
      <c r="G17" s="21" cm="1">
        <f t="array" aca="1" ref="G17" ca="1">INDEX(Master!$I$2:'Master'!$I$4384,MATCH($A17&amp;G$2,Master!$A$2:'Master'!$A$4384&amp;Master!$C$2:'Master'!$C$4384,0))</f>
        <v>2</v>
      </c>
      <c r="H17" s="21" cm="1">
        <f t="array" aca="1" ref="H17" ca="1">INDEX(Master!$I$2:'Master'!$I$4384,MATCH($A17&amp;H$2,Master!$A$2:'Master'!$A$4384&amp;Master!$C$2:'Master'!$C$4384,0))</f>
        <v>3</v>
      </c>
      <c r="I17" s="21" cm="1">
        <f t="array" aca="1" ref="I17" ca="1">INDEX(Master!$I$2:'Master'!$I$4384,MATCH($A17&amp;I$2,Master!$A$2:'Master'!$A$4384&amp;Master!$C$2:'Master'!$C$4384,0))</f>
        <v>3</v>
      </c>
      <c r="J17" s="21" cm="1">
        <f t="array" aca="1" ref="J17" ca="1">INDEX(Master!$I$2:'Master'!$I$4384,MATCH($A17&amp;J$2,Master!$A$2:'Master'!$A$4384&amp;Master!$C$2:'Master'!$C$4384,0))</f>
        <v>2</v>
      </c>
      <c r="K17" s="21" cm="1">
        <f t="array" aca="1" ref="K17" ca="1">INDEX(Master!$I$2:'Master'!$I$4384,MATCH($A17&amp;K$2,Master!$A$2:'Master'!$A$4384&amp;Master!$C$2:'Master'!$C$4384,0))</f>
        <v>3</v>
      </c>
      <c r="L17" s="21" cm="1">
        <f t="array" aca="1" ref="L17" ca="1">INDEX(Master!$I$2:'Master'!$I$4384,MATCH($A17&amp;L$2,Master!$A$2:'Master'!$A$4384&amp;Master!$C$2:'Master'!$C$4384,0))</f>
        <v>3</v>
      </c>
      <c r="M17" s="21" cm="1">
        <f t="array" aca="1" ref="M17" ca="1">INDEX(Master!$I$2:'Master'!$I$4384,MATCH($A17&amp;M$2,Master!$A$2:'Master'!$A$4384&amp;Master!$C$2:'Master'!$C$4384,0))</f>
        <v>3</v>
      </c>
      <c r="N17" s="21" cm="1">
        <f t="array" aca="1" ref="N17" ca="1">INDEX(Master!$I$2:'Master'!$I$4384,MATCH($A17&amp;N$2,Master!$A$2:'Master'!$A$4384&amp;Master!$C$2:'Master'!$C$4384,0))</f>
        <v>2</v>
      </c>
      <c r="O17" s="21" cm="1">
        <f t="array" aca="1" ref="O17" ca="1">INDEX(Master!$I$2:'Master'!$I$4384,MATCH($A17&amp;O$2,Master!$A$2:'Master'!$A$4384&amp;Master!$C$2:'Master'!$C$4384,0))</f>
        <v>2</v>
      </c>
      <c r="P17" s="21" cm="1">
        <f t="array" aca="1" ref="P17" ca="1">INDEX(Master!$I$2:'Master'!$I$4384,MATCH($A17&amp;P$2,Master!$A$2:'Master'!$A$4384&amp;Master!$C$2:'Master'!$C$4384,0))</f>
        <v>3</v>
      </c>
      <c r="Q17" s="21" cm="1">
        <f t="array" aca="1" ref="Q17" ca="1">INDEX(Master!$I$2:'Master'!$I$4384,MATCH($A17&amp;Q$2,Master!$A$2:'Master'!$A$4384&amp;Master!$C$2:'Master'!$C$4384,0))</f>
        <v>2</v>
      </c>
      <c r="R17" s="21" cm="1">
        <f t="array" aca="1" ref="R17" ca="1">INDEX(Master!$I$2:'Master'!$I$4384,MATCH($A17&amp;R$2,Master!$A$2:'Master'!$A$4384&amp;Master!$C$2:'Master'!$C$4384,0))</f>
        <v>3</v>
      </c>
      <c r="S17" s="21" cm="1">
        <f t="array" aca="1" ref="S17" ca="1">INDEX(Master!$I$2:'Master'!$I$4384,MATCH($A17&amp;S$2,Master!$A$2:'Master'!$A$4384&amp;Master!$C$2:'Master'!$C$4384,0))</f>
        <v>2</v>
      </c>
      <c r="T17" s="21" cm="1">
        <f t="array" aca="1" ref="T17" ca="1">INDEX(Master!$I$2:'Master'!$I$4384,MATCH($A17&amp;T$2,Master!$A$2:'Master'!$A$4384&amp;Master!$C$2:'Master'!$C$4384,0))</f>
        <v>3</v>
      </c>
      <c r="U17" s="21" cm="1">
        <f t="array" aca="1" ref="U17" ca="1">INDEX(Master!$I$2:'Master'!$I$4384,MATCH($A17&amp;U$2,Master!$A$2:'Master'!$A$4384&amp;Master!$C$2:'Master'!$C$4384,0))</f>
        <v>2</v>
      </c>
      <c r="V17" s="21" cm="1">
        <f t="array" aca="1" ref="V17" ca="1">INDEX(Master!$I$2:'Master'!$I$4384,MATCH($A17&amp;V$2,Master!$A$2:'Master'!$A$4384&amp;Master!$C$2:'Master'!$C$4384,0))</f>
        <v>2</v>
      </c>
      <c r="W17" s="21" cm="1">
        <f t="array" aca="1" ref="W17" ca="1">INDEX(Master!$I$2:'Master'!$I$4384,MATCH($A17&amp;W$2,Master!$A$2:'Master'!$A$4384&amp;Master!$C$2:'Master'!$C$4384,0))</f>
        <v>3</v>
      </c>
      <c r="X17" s="21" cm="1">
        <f t="array" aca="1" ref="X17" ca="1">INDEX(Master!$I$2:'Master'!$I$4384,MATCH($A17&amp;X$2,Master!$A$2:'Master'!$A$4384&amp;Master!$C$2:'Master'!$C$4384,0))</f>
        <v>1</v>
      </c>
      <c r="Y17" s="21" cm="1">
        <f t="array" aca="1" ref="Y17" ca="1">INDEX(Master!$I$2:'Master'!$I$4384,MATCH($A17&amp;Y$2,Master!$A$2:'Master'!$A$4384&amp;Master!$C$2:'Master'!$C$4384,0))</f>
        <v>3</v>
      </c>
      <c r="Z17" s="21" cm="1">
        <f t="array" aca="1" ref="Z17" ca="1">INDEX(Master!$I$2:'Master'!$I$4384,MATCH($A17&amp;Z$2,Master!$A$2:'Master'!$A$4384&amp;Master!$C$2:'Master'!$C$4384,0))</f>
        <v>0</v>
      </c>
      <c r="AA17" s="21" cm="1">
        <f t="array" aca="1" ref="AA17" ca="1">INDEX(Master!$I$2:'Master'!$I$4384,MATCH($A17&amp;AA$2,Master!$A$2:'Master'!$A$4384&amp;Master!$C$2:'Master'!$C$4384,0))</f>
        <v>0</v>
      </c>
      <c r="AB17" s="21" cm="1">
        <f t="array" aca="1" ref="AB17" ca="1">INDEX(Master!$I$2:'Master'!$I$4384,MATCH($A17&amp;AB$2,Master!$A$2:'Master'!$A$4384&amp;Master!$C$2:'Master'!$C$4384,0))</f>
        <v>1</v>
      </c>
      <c r="AC17" s="21" cm="1">
        <f t="array" aca="1" ref="AC17" ca="1">INDEX(Master!$I$2:'Master'!$I$4384,MATCH($A17&amp;AC$2,Master!$A$2:'Master'!$A$4384&amp;Master!$C$2:'Master'!$C$4384,0))</f>
        <v>2</v>
      </c>
      <c r="AD17" s="21" cm="1">
        <f t="array" aca="1" ref="AD17" ca="1">INDEX(Master!$I$2:'Master'!$I$4384,MATCH($A17&amp;AD$2,Master!$A$2:'Master'!$A$4384&amp;Master!$C$2:'Master'!$C$4384,0))</f>
        <v>1</v>
      </c>
      <c r="AE17" s="21" cm="1">
        <f t="array" aca="1" ref="AE17" ca="1">INDEX(Master!$I$2:'Master'!$I$4384,MATCH($A17&amp;AE$2,Master!$A$2:'Master'!$A$4384&amp;Master!$C$2:'Master'!$C$4384,0))</f>
        <v>2</v>
      </c>
      <c r="AF17" s="21" cm="1">
        <f t="array" aca="1" ref="AF17" ca="1">INDEX(Master!$I$2:'Master'!$I$4384,MATCH($A17&amp;AF$2,Master!$A$2:'Master'!$A$4384&amp;Master!$C$2:'Master'!$C$4384,0))</f>
        <v>1</v>
      </c>
      <c r="AG17" s="21" cm="1">
        <f t="array" aca="1" ref="AG17" ca="1">INDEX(Master!$I$2:'Master'!$I$4384,MATCH($A17&amp;AG$2,Master!$A$2:'Master'!$A$4384&amp;Master!$C$2:'Master'!$C$4384,0))</f>
        <v>1</v>
      </c>
      <c r="AH17" s="21" cm="1">
        <f t="array" aca="1" ref="AH17" ca="1">INDEX(Master!$I$2:'Master'!$I$4384,MATCH($A17&amp;AH$2,Master!$A$2:'Master'!$A$4384&amp;Master!$C$2:'Master'!$C$4384,0))</f>
        <v>3</v>
      </c>
      <c r="AI17" s="21" cm="1">
        <f t="array" aca="1" ref="AI17" ca="1">INDEX(Master!$I$2:'Master'!$I$4384,MATCH($A17&amp;AI$2,Master!$A$2:'Master'!$A$4384&amp;Master!$C$2:'Master'!$C$4384,0))</f>
        <v>2</v>
      </c>
      <c r="AJ17" s="21" cm="1">
        <f t="array" aca="1" ref="AJ17" ca="1">INDEX(Master!$I$2:'Master'!$I$4384,MATCH($A17&amp;AJ$2,Master!$A$2:'Master'!$A$4384&amp;Master!$C$2:'Master'!$C$4384,0))</f>
        <v>4</v>
      </c>
      <c r="AK17" s="21" cm="1">
        <f t="array" aca="1" ref="AK17" ca="1">INDEX(Master!$I$2:'Master'!$I$4384,MATCH($A17&amp;AK$2,Master!$A$2:'Master'!$A$4384&amp;Master!$C$2:'Master'!$C$4384,0))</f>
        <v>2</v>
      </c>
      <c r="AL17" s="21" cm="1">
        <f t="array" aca="1" ref="AL17" ca="1">INDEX(Master!$I$2:'Master'!$I$4384,MATCH($A17&amp;AL$2,Master!$A$2:'Master'!$A$4384&amp;Master!$C$2:'Master'!$C$4384,0))</f>
        <v>2</v>
      </c>
      <c r="AM17" s="21" cm="1">
        <f t="array" aca="1" ref="AM17" ca="1">INDEX(Master!$I$2:'Master'!$I$4384,MATCH($A17&amp;AM$2,Master!$A$2:'Master'!$A$4384&amp;Master!$C$2:'Master'!$C$4384,0))</f>
        <v>2</v>
      </c>
      <c r="AN17" s="21" cm="1">
        <f t="array" aca="1" ref="AN17" ca="1">INDEX(Master!$I$2:'Master'!$I$4384,MATCH($A17&amp;AN$2,Master!$A$2:'Master'!$A$4384&amp;Master!$C$2:'Master'!$C$4384,0))</f>
        <v>1</v>
      </c>
      <c r="AO17" s="21" cm="1">
        <f t="array" aca="1" ref="AO17" ca="1">INDEX(Master!$I$2:'Master'!$I$4384,MATCH($A17&amp;AO$2,Master!$A$2:'Master'!$A$4384&amp;Master!$C$2:'Master'!$C$4384,0))</f>
        <v>0</v>
      </c>
      <c r="AP17" s="21" cm="1">
        <f t="array" aca="1" ref="AP17" ca="1">INDEX(Master!$I$2:'Master'!$I$4384,MATCH($A17&amp;AP$2,Master!$A$2:'Master'!$A$4384&amp;Master!$C$2:'Master'!$C$4384,0))</f>
        <v>0</v>
      </c>
      <c r="AQ17" s="21" cm="1">
        <f t="array" aca="1" ref="AQ17" ca="1">INDEX(Master!$I$2:'Master'!$I$4384,MATCH($A17&amp;AQ$2,Master!$A$2:'Master'!$A$4384&amp;Master!$C$2:'Master'!$C$4384,0))</f>
        <v>2</v>
      </c>
      <c r="AR17" s="21" cm="1">
        <f t="array" aca="1" ref="AR17" ca="1">INDEX(Master!$I$2:'Master'!$I$4384,MATCH($A17&amp;AR$2,Master!$A$2:'Master'!$A$4384&amp;Master!$C$2:'Master'!$C$4384,0))</f>
        <v>0</v>
      </c>
      <c r="AS17" s="21" cm="1">
        <f t="array" aca="1" ref="AS17" ca="1">INDEX(Master!$I$2:'Master'!$I$4384,MATCH($A17&amp;AS$2,Master!$A$2:'Master'!$A$4384&amp;Master!$C$2:'Master'!$C$4384,0))</f>
        <v>0</v>
      </c>
      <c r="AT17" s="21" cm="1">
        <f t="array" aca="1" ref="AT17" ca="1">INDEX(Master!$I$2:'Master'!$I$4384,MATCH($A17&amp;AT$2,Master!$A$2:'Master'!$A$4384&amp;Master!$C$2:'Master'!$C$4384,0))</f>
        <v>4</v>
      </c>
      <c r="AU17" s="21" cm="1">
        <f t="array" aca="1" ref="AU17" ca="1">INDEX(Master!$I$2:'Master'!$I$4384,MATCH($A17&amp;AU$2,Master!$A$2:'Master'!$A$4384&amp;Master!$C$2:'Master'!$C$4384,0))</f>
        <v>3</v>
      </c>
      <c r="AV17" s="21" cm="1">
        <f t="array" aca="1" ref="AV17" ca="1">INDEX(Master!$I$2:'Master'!$I$4384,MATCH($A17&amp;AV$2,Master!$A$2:'Master'!$A$4384&amp;Master!$C$2:'Master'!$C$4384,0))</f>
        <v>4</v>
      </c>
      <c r="AW17" s="21" cm="1">
        <f t="array" aca="1" ref="AW17" ca="1">INDEX(Master!$I$2:'Master'!$I$4384,MATCH($A17&amp;AW$2,Master!$A$2:'Master'!$A$4384&amp;Master!$C$2:'Master'!$C$4384,0))</f>
        <v>1</v>
      </c>
      <c r="AX17" s="21" cm="1">
        <f t="array" aca="1" ref="AX17" ca="1">INDEX(Master!$I$2:'Master'!$I$4384,MATCH($A17&amp;AX$2,Master!$A$2:'Master'!$A$4384&amp;Master!$C$2:'Master'!$C$4384,0))</f>
        <v>4</v>
      </c>
      <c r="AY17" s="21" cm="1">
        <f t="array" aca="1" ref="AY17" ca="1">INDEX(Master!$I$2:'Master'!$I$4384,MATCH($A17&amp;AY$2,Master!$A$2:'Master'!$A$4384&amp;Master!$C$2:'Master'!$C$4384,0))</f>
        <v>3</v>
      </c>
      <c r="AZ17" s="21" cm="1">
        <f t="array" aca="1" ref="AZ17" ca="1">INDEX(Master!$I$2:'Master'!$I$4384,MATCH($A17&amp;AZ$2,Master!$A$2:'Master'!$A$4384&amp;Master!$C$2:'Master'!$C$4384,0))</f>
        <v>3</v>
      </c>
      <c r="BA17" s="21" cm="1">
        <f t="array" aca="1" ref="BA17" ca="1">INDEX(Master!$I$2:'Master'!$I$4384,MATCH($A17&amp;BA$2,Master!$A$2:'Master'!$A$4384&amp;Master!$C$2:'Master'!$C$4384,0))</f>
        <v>3</v>
      </c>
      <c r="BB17" s="21" cm="1">
        <f t="array" aca="1" ref="BB17" ca="1">INDEX(Master!$I$2:'Master'!$I$4384,MATCH($A17&amp;BB$2,Master!$A$2:'Master'!$A$4384&amp;Master!$C$2:'Master'!$C$4384,0))</f>
        <v>3</v>
      </c>
      <c r="BC17" s="21" cm="1">
        <f t="array" aca="1" ref="BC17" ca="1">INDEX(Master!$I$2:'Master'!$I$4384,MATCH($A17&amp;BC$2,Master!$A$2:'Master'!$A$4384&amp;Master!$C$2:'Master'!$C$4384,0))</f>
        <v>2</v>
      </c>
      <c r="BD17" s="21" cm="1">
        <f t="array" aca="1" ref="BD17" ca="1">INDEX(Master!$I$2:'Master'!$I$4384,MATCH($A17&amp;BD$2,Master!$A$2:'Master'!$A$4384&amp;Master!$C$2:'Master'!$C$4384,0))</f>
        <v>2</v>
      </c>
      <c r="BE17" s="21" cm="1">
        <f t="array" aca="1" ref="BE17" ca="1">INDEX(Master!$I$2:'Master'!$I$4384,MATCH($A17&amp;BE$2,Master!$A$2:'Master'!$A$4384&amp;Master!$C$2:'Master'!$C$4384,0))</f>
        <v>1</v>
      </c>
      <c r="BF17" s="21" cm="1">
        <f t="array" aca="1" ref="BF17" ca="1">INDEX(Master!$I$2:'Master'!$I$4384,MATCH($A17&amp;BF$2,Master!$A$2:'Master'!$A$4384&amp;Master!$C$2:'Master'!$C$4384,0))</f>
        <v>3</v>
      </c>
      <c r="BG17" s="21" cm="1">
        <f t="array" aca="1" ref="BG17" ca="1">INDEX(Master!$I$2:'Master'!$I$4384,MATCH($A17&amp;BG$2,Master!$A$2:'Master'!$A$4384&amp;Master!$C$2:'Master'!$C$4384,0))</f>
        <v>1</v>
      </c>
      <c r="BH17" s="21" cm="1">
        <f t="array" aca="1" ref="BH17" ca="1">INDEX(Master!$I$2:'Master'!$I$4384,MATCH($A17&amp;BH$2,Master!$A$2:'Master'!$A$4384&amp;Master!$C$2:'Master'!$C$4384,0))</f>
        <v>2</v>
      </c>
      <c r="BI17" s="21" cm="1">
        <f t="array" aca="1" ref="BI17" ca="1">INDEX(Master!$I$2:'Master'!$I$4384,MATCH($A17&amp;BI$2,Master!$A$2:'Master'!$A$4384&amp;Master!$C$2:'Master'!$C$4384,0))</f>
        <v>2</v>
      </c>
      <c r="BJ17" s="21" cm="1">
        <f t="array" aca="1" ref="BJ17" ca="1">INDEX(Master!$I$2:'Master'!$I$4384,MATCH($A17&amp;BJ$2,Master!$A$2:'Master'!$A$4384&amp;Master!$C$2:'Master'!$C$4384,0))</f>
        <v>3</v>
      </c>
      <c r="BK17" s="21" cm="1">
        <f t="array" aca="1" ref="BK17" ca="1">INDEX(Master!$I$2:'Master'!$I$4384,MATCH($A17&amp;BK$2,Master!$A$2:'Master'!$A$4384&amp;Master!$C$2:'Master'!$C$4384,0))</f>
        <v>2</v>
      </c>
      <c r="BL17" s="21" cm="1">
        <f t="array" aca="1" ref="BL17" ca="1">INDEX(Master!$I$2:'Master'!$I$4384,MATCH($A17&amp;BL$2,Master!$A$2:'Master'!$A$4384&amp;Master!$C$2:'Master'!$C$4384,0))</f>
        <v>1</v>
      </c>
      <c r="BM17" s="21" cm="1">
        <f t="array" aca="1" ref="BM17" ca="1">INDEX(Master!$I$2:'Master'!$I$4384,MATCH($A17&amp;BM$2,Master!$A$2:'Master'!$A$4384&amp;Master!$C$2:'Master'!$C$4384,0))</f>
        <v>2</v>
      </c>
      <c r="BN17" s="21" cm="1">
        <f t="array" aca="1" ref="BN17" ca="1">INDEX(Master!$I$2:'Master'!$I$4384,MATCH($A17&amp;BN$2,Master!$A$2:'Master'!$A$4384&amp;Master!$C$2:'Master'!$C$4384,0))</f>
        <v>2</v>
      </c>
      <c r="BO17" s="21" cm="1">
        <f t="array" aca="1" ref="BO17" ca="1">INDEX(Master!$I$2:'Master'!$I$4384,MATCH($A17&amp;BO$2,Master!$A$2:'Master'!$A$4384&amp;Master!$C$2:'Master'!$C$4384,0))</f>
        <v>3</v>
      </c>
      <c r="BP17" s="21" cm="1">
        <f t="array" aca="1" ref="BP17" ca="1">INDEX(Master!$I$2:'Master'!$I$4384,MATCH($A17&amp;BP$2,Master!$A$2:'Master'!$A$4384&amp;Master!$C$2:'Master'!$C$4384,0))</f>
        <v>1</v>
      </c>
      <c r="BQ17" s="21" cm="1">
        <f t="array" aca="1" ref="BQ17" ca="1">INDEX(Master!$I$2:'Master'!$I$4384,MATCH($A17&amp;BQ$2,Master!$A$2:'Master'!$A$4384&amp;Master!$C$2:'Master'!$C$4384,0))</f>
        <v>3</v>
      </c>
      <c r="BR17" s="21" cm="1">
        <f t="array" aca="1" ref="BR17" ca="1">INDEX(Master!$I$2:'Master'!$I$4384,MATCH($A17&amp;BR$2,Master!$A$2:'Master'!$A$4384&amp;Master!$C$2:'Master'!$C$4384,0))</f>
        <v>3</v>
      </c>
      <c r="BS17" s="21" cm="1">
        <f t="array" aca="1" ref="BS17" ca="1">INDEX(Master!$I$2:'Master'!$I$4384,MATCH($A17&amp;BS$2,Master!$A$2:'Master'!$A$4384&amp;Master!$C$2:'Master'!$C$4384,0))</f>
        <v>3</v>
      </c>
      <c r="BT17" s="21" cm="1">
        <f t="array" aca="1" ref="BT17" ca="1">INDEX(Master!$I$2:'Master'!$I$4384,MATCH($A17&amp;BT$2,Master!$A$2:'Master'!$A$4384&amp;Master!$C$2:'Master'!$C$4384,0))</f>
        <v>3</v>
      </c>
      <c r="BU17" s="21" cm="1">
        <f t="array" aca="1" ref="BU17" ca="1">INDEX(Master!$I$2:'Master'!$I$4384,MATCH($A17&amp;BU$2,Master!$A$2:'Master'!$A$4384&amp;Master!$C$2:'Master'!$C$4384,0))</f>
        <v>2</v>
      </c>
      <c r="BV17" s="21" cm="1">
        <f t="array" aca="1" ref="BV17" ca="1">INDEX(Master!$I$2:'Master'!$I$4384,MATCH($A17&amp;BV$2,Master!$A$2:'Master'!$A$4384&amp;Master!$C$2:'Master'!$C$4384,0))</f>
        <v>2</v>
      </c>
      <c r="BW17" s="21" cm="1">
        <f t="array" aca="1" ref="BW17" ca="1">INDEX(Master!$I$2:'Master'!$I$4384,MATCH($A17&amp;BW$2,Master!$A$2:'Master'!$A$4384&amp;Master!$C$2:'Master'!$C$4384,0))</f>
        <v>3</v>
      </c>
      <c r="BX17" s="21" cm="1">
        <f t="array" aca="1" ref="BX17" ca="1">INDEX(Master!$I$2:'Master'!$I$4384,MATCH($A17&amp;BX$2,Master!$A$2:'Master'!$A$4384&amp;Master!$C$2:'Master'!$C$4384,0))</f>
        <v>1</v>
      </c>
      <c r="BY17" s="21" cm="1">
        <f t="array" aca="1" ref="BY17" ca="1">INDEX(Master!$I$2:'Master'!$I$4384,MATCH($A17&amp;BY$2,Master!$A$2:'Master'!$A$4384&amp;Master!$C$2:'Master'!$C$4384,0))</f>
        <v>2</v>
      </c>
      <c r="BZ17" s="21" cm="1">
        <f t="array" aca="1" ref="BZ17" ca="1">INDEX(Master!$I$2:'Master'!$I$4384,MATCH($A17&amp;BZ$2,Master!$A$2:'Master'!$A$4384&amp;Master!$C$2:'Master'!$C$4384,0))</f>
        <v>2</v>
      </c>
      <c r="CA17" s="21" cm="1">
        <f t="array" aca="1" ref="CA17" ca="1">INDEX(Master!$I$2:'Master'!$I$4384,MATCH($A17&amp;CA$2,Master!$A$2:'Master'!$A$4384&amp;Master!$C$2:'Master'!$C$4384,0))</f>
        <v>3</v>
      </c>
      <c r="CB17" s="21" cm="1">
        <f t="array" aca="1" ref="CB17" ca="1">INDEX(Master!$I$2:'Master'!$I$4384,MATCH($A17&amp;CB$2,Master!$A$2:'Master'!$A$4384&amp;Master!$C$2:'Master'!$C$4384,0))</f>
        <v>2</v>
      </c>
      <c r="CC17" s="21" cm="1">
        <f t="array" aca="1" ref="CC17" ca="1">INDEX(Master!$I$2:'Master'!$I$4384,MATCH($A17&amp;CC$2,Master!$A$2:'Master'!$A$4384&amp;Master!$C$2:'Master'!$C$4384,0))</f>
        <v>1</v>
      </c>
      <c r="CD17" s="21" cm="1">
        <f t="array" aca="1" ref="CD17" ca="1">INDEX(Master!$I$2:'Master'!$I$4384,MATCH($A17&amp;CD$2,Master!$A$2:'Master'!$A$4384&amp;Master!$C$2:'Master'!$C$4384,0))</f>
        <v>2</v>
      </c>
      <c r="CE17" s="21" cm="1">
        <f t="array" aca="1" ref="CE17" ca="1">INDEX(Master!$I$2:'Master'!$I$4384,MATCH($A17&amp;CE$2,Master!$A$2:'Master'!$A$4384&amp;Master!$C$2:'Master'!$C$4384,0))</f>
        <v>2</v>
      </c>
      <c r="CF17" s="21" cm="1">
        <f t="array" aca="1" ref="CF17" ca="1">INDEX(Master!$I$2:'Master'!$I$4384,MATCH($A17&amp;CF$2,Master!$A$2:'Master'!$A$4384&amp;Master!$C$2:'Master'!$C$4384,0))</f>
        <v>3</v>
      </c>
      <c r="CG17" s="21" cm="1">
        <f t="array" aca="1" ref="CG17" ca="1">INDEX(Master!$I$2:'Master'!$I$4384,MATCH($A17&amp;CG$2,Master!$A$2:'Master'!$A$4384&amp;Master!$C$2:'Master'!$C$4384,0))</f>
        <v>3</v>
      </c>
      <c r="CH17" s="21" cm="1">
        <f t="array" aca="1" ref="CH17" ca="1">INDEX(Master!$I$2:'Master'!$I$4384,MATCH($A17&amp;CH$2,Master!$A$2:'Master'!$A$4384&amp;Master!$C$2:'Master'!$C$4384,0))</f>
        <v>3</v>
      </c>
      <c r="CI17" s="21" cm="1">
        <f t="array" aca="1" ref="CI17" ca="1">INDEX(Master!$I$2:'Master'!$I$4384,MATCH($A17&amp;CI$2,Master!$A$2:'Master'!$A$4384&amp;Master!$C$2:'Master'!$C$4384,0))</f>
        <v>2</v>
      </c>
      <c r="CJ17" s="21" cm="1">
        <f t="array" aca="1" ref="CJ17" ca="1">INDEX(Master!$I$2:'Master'!$I$4384,MATCH($A17&amp;CJ$2,Master!$A$2:'Master'!$A$4384&amp;Master!$C$2:'Master'!$C$4384,0))</f>
        <v>2</v>
      </c>
      <c r="CK17" s="21" cm="1">
        <f t="array" aca="1" ref="CK17" ca="1">INDEX(Master!$I$2:'Master'!$I$4384,MATCH($A17&amp;CK$2,Master!$A$2:'Master'!$A$4384&amp;Master!$C$2:'Master'!$C$4384,0))</f>
        <v>0</v>
      </c>
      <c r="CL17" s="21" cm="1">
        <f t="array" aca="1" ref="CL17" ca="1">INDEX(Master!$I$2:'Master'!$I$4384,MATCH($A17&amp;CL$2,Master!$A$2:'Master'!$A$4384&amp;Master!$C$2:'Master'!$C$4384,0))</f>
        <v>1</v>
      </c>
      <c r="CM17" s="21" cm="1">
        <f t="array" aca="1" ref="CM17" ca="1">INDEX(Master!$I$2:'Master'!$I$4384,MATCH($A17&amp;CM$2,Master!$A$2:'Master'!$A$4384&amp;Master!$C$2:'Master'!$C$4384,0))</f>
        <v>2</v>
      </c>
      <c r="CN17" s="21" cm="1">
        <f t="array" aca="1" ref="CN17" ca="1">INDEX(Master!$I$2:'Master'!$I$4384,MATCH($A17&amp;CN$2,Master!$A$2:'Master'!$A$4384&amp;Master!$C$2:'Master'!$C$4384,0))</f>
        <v>1</v>
      </c>
      <c r="CO17" s="21" cm="1">
        <f t="array" aca="1" ref="CO17" ca="1">INDEX(Master!$I$2:'Master'!$I$4384,MATCH($A17&amp;CO$2,Master!$A$2:'Master'!$A$4384&amp;Master!$C$2:'Master'!$C$4384,0))</f>
        <v>0</v>
      </c>
      <c r="CP17" s="21" cm="1">
        <f t="array" aca="1" ref="CP17" ca="1">INDEX(Master!$I$2:'Master'!$I$4384,MATCH($A17&amp;CP$2,Master!$A$2:'Master'!$A$4384&amp;Master!$C$2:'Master'!$C$4384,0))</f>
        <v>1</v>
      </c>
      <c r="CQ17" s="21" cm="1">
        <f t="array" aca="1" ref="CQ17" ca="1">INDEX(Master!$I$2:'Master'!$I$4384,MATCH($A17&amp;CQ$2,Master!$A$2:'Master'!$A$4384&amp;Master!$C$2:'Master'!$C$4384,0))</f>
        <v>0</v>
      </c>
      <c r="CR17" s="21" cm="1">
        <f t="array" aca="1" ref="CR17" ca="1">INDEX(Master!$I$2:'Master'!$I$4384,MATCH($A17&amp;CR$2,Master!$A$2:'Master'!$A$4384&amp;Master!$C$2:'Master'!$C$4384,0))</f>
        <v>3</v>
      </c>
      <c r="CS17" s="21" cm="1">
        <f t="array" aca="1" ref="CS17" ca="1">INDEX(Master!$I$2:'Master'!$I$4384,MATCH($A17&amp;CS$2,Master!$A$2:'Master'!$A$4384&amp;Master!$C$2:'Master'!$C$4384,0))</f>
        <v>2</v>
      </c>
    </row>
    <row r="18" spans="1:97">
      <c r="A18" t="str">
        <f>VLOOKUP(Staff!$A16,Staff!$A$1:A$73,1,FALSE)</f>
        <v>Tom Barnaby</v>
      </c>
      <c r="B18" s="21" cm="1">
        <f t="array" aca="1" ref="B18" ca="1">INDEX(Master!$I$2:'Master'!$I$4384,MATCH($A18&amp;B$2,Master!$A$2:'Master'!$A$4384&amp;Master!$C$2:'Master'!$C$4384,0))</f>
        <v>3</v>
      </c>
      <c r="C18" s="21" cm="1">
        <f t="array" aca="1" ref="C18" ca="1">INDEX(Master!$I$2:'Master'!$I$4384,MATCH($A18&amp;C$2,Master!$A$2:'Master'!$A$4384&amp;Master!$C$2:'Master'!$C$4384,0))</f>
        <v>3</v>
      </c>
      <c r="D18" s="21" cm="1">
        <f t="array" aca="1" ref="D18" ca="1">INDEX(Master!$I$2:'Master'!$I$4384,MATCH($A18&amp;D$2,Master!$A$2:'Master'!$A$4384&amp;Master!$C$2:'Master'!$C$4384,0))</f>
        <v>3</v>
      </c>
      <c r="E18" s="21" cm="1">
        <f t="array" aca="1" ref="E18" ca="1">INDEX(Master!$I$2:'Master'!$I$4384,MATCH($A18&amp;E$2,Master!$A$2:'Master'!$A$4384&amp;Master!$C$2:'Master'!$C$4384,0))</f>
        <v>3</v>
      </c>
      <c r="F18" s="21" cm="1">
        <f t="array" aca="1" ref="F18" ca="1">INDEX(Master!$I$2:'Master'!$I$4384,MATCH($A18&amp;F$2,Master!$A$2:'Master'!$A$4384&amp;Master!$C$2:'Master'!$C$4384,0))</f>
        <v>3</v>
      </c>
      <c r="G18" s="21" cm="1">
        <f t="array" aca="1" ref="G18" ca="1">INDEX(Master!$I$2:'Master'!$I$4384,MATCH($A18&amp;G$2,Master!$A$2:'Master'!$A$4384&amp;Master!$C$2:'Master'!$C$4384,0))</f>
        <v>3</v>
      </c>
      <c r="H18" s="21" cm="1">
        <f t="array" aca="1" ref="H18" ca="1">INDEX(Master!$I$2:'Master'!$I$4384,MATCH($A18&amp;H$2,Master!$A$2:'Master'!$A$4384&amp;Master!$C$2:'Master'!$C$4384,0))</f>
        <v>3</v>
      </c>
      <c r="I18" s="21" cm="1">
        <f t="array" aca="1" ref="I18" ca="1">INDEX(Master!$I$2:'Master'!$I$4384,MATCH($A18&amp;I$2,Master!$A$2:'Master'!$A$4384&amp;Master!$C$2:'Master'!$C$4384,0))</f>
        <v>2</v>
      </c>
      <c r="J18" s="21" cm="1">
        <f t="array" aca="1" ref="J18" ca="1">INDEX(Master!$I$2:'Master'!$I$4384,MATCH($A18&amp;J$2,Master!$A$2:'Master'!$A$4384&amp;Master!$C$2:'Master'!$C$4384,0))</f>
        <v>1</v>
      </c>
      <c r="K18" s="21" cm="1">
        <f t="array" aca="1" ref="K18" ca="1">INDEX(Master!$I$2:'Master'!$I$4384,MATCH($A18&amp;K$2,Master!$A$2:'Master'!$A$4384&amp;Master!$C$2:'Master'!$C$4384,0))</f>
        <v>2</v>
      </c>
      <c r="L18" s="21" cm="1">
        <f t="array" aca="1" ref="L18" ca="1">INDEX(Master!$I$2:'Master'!$I$4384,MATCH($A18&amp;L$2,Master!$A$2:'Master'!$A$4384&amp;Master!$C$2:'Master'!$C$4384,0))</f>
        <v>2</v>
      </c>
      <c r="M18" s="21" cm="1">
        <f t="array" aca="1" ref="M18" ca="1">INDEX(Master!$I$2:'Master'!$I$4384,MATCH($A18&amp;M$2,Master!$A$2:'Master'!$A$4384&amp;Master!$C$2:'Master'!$C$4384,0))</f>
        <v>3</v>
      </c>
      <c r="N18" s="21" cm="1">
        <f t="array" aca="1" ref="N18" ca="1">INDEX(Master!$I$2:'Master'!$I$4384,MATCH($A18&amp;N$2,Master!$A$2:'Master'!$A$4384&amp;Master!$C$2:'Master'!$C$4384,0))</f>
        <v>1</v>
      </c>
      <c r="O18" s="21" cm="1">
        <f t="array" aca="1" ref="O18" ca="1">INDEX(Master!$I$2:'Master'!$I$4384,MATCH($A18&amp;O$2,Master!$A$2:'Master'!$A$4384&amp;Master!$C$2:'Master'!$C$4384,0))</f>
        <v>1</v>
      </c>
      <c r="P18" s="21" cm="1">
        <f t="array" aca="1" ref="P18" ca="1">INDEX(Master!$I$2:'Master'!$I$4384,MATCH($A18&amp;P$2,Master!$A$2:'Master'!$A$4384&amp;Master!$C$2:'Master'!$C$4384,0))</f>
        <v>3</v>
      </c>
      <c r="Q18" s="21" cm="1">
        <f t="array" aca="1" ref="Q18" ca="1">INDEX(Master!$I$2:'Master'!$I$4384,MATCH($A18&amp;Q$2,Master!$A$2:'Master'!$A$4384&amp;Master!$C$2:'Master'!$C$4384,0))</f>
        <v>2</v>
      </c>
      <c r="R18" s="21" cm="1">
        <f t="array" aca="1" ref="R18" ca="1">INDEX(Master!$I$2:'Master'!$I$4384,MATCH($A18&amp;R$2,Master!$A$2:'Master'!$A$4384&amp;Master!$C$2:'Master'!$C$4384,0))</f>
        <v>2</v>
      </c>
      <c r="S18" s="21" cm="1">
        <f t="array" aca="1" ref="S18" ca="1">INDEX(Master!$I$2:'Master'!$I$4384,MATCH($A18&amp;S$2,Master!$A$2:'Master'!$A$4384&amp;Master!$C$2:'Master'!$C$4384,0))</f>
        <v>1</v>
      </c>
      <c r="T18" s="21" cm="1">
        <f t="array" aca="1" ref="T18" ca="1">INDEX(Master!$I$2:'Master'!$I$4384,MATCH($A18&amp;T$2,Master!$A$2:'Master'!$A$4384&amp;Master!$C$2:'Master'!$C$4384,0))</f>
        <v>3</v>
      </c>
      <c r="U18" s="21" cm="1">
        <f t="array" aca="1" ref="U18" ca="1">INDEX(Master!$I$2:'Master'!$I$4384,MATCH($A18&amp;U$2,Master!$A$2:'Master'!$A$4384&amp;Master!$C$2:'Master'!$C$4384,0))</f>
        <v>2</v>
      </c>
      <c r="V18" s="21" cm="1">
        <f t="array" aca="1" ref="V18" ca="1">INDEX(Master!$I$2:'Master'!$I$4384,MATCH($A18&amp;V$2,Master!$A$2:'Master'!$A$4384&amp;Master!$C$2:'Master'!$C$4384,0))</f>
        <v>1</v>
      </c>
      <c r="W18" s="21" cm="1">
        <f t="array" aca="1" ref="W18" ca="1">INDEX(Master!$I$2:'Master'!$I$4384,MATCH($A18&amp;W$2,Master!$A$2:'Master'!$A$4384&amp;Master!$C$2:'Master'!$C$4384,0))</f>
        <v>2</v>
      </c>
      <c r="X18" s="21" cm="1">
        <f t="array" aca="1" ref="X18" ca="1">INDEX(Master!$I$2:'Master'!$I$4384,MATCH($A18&amp;X$2,Master!$A$2:'Master'!$A$4384&amp;Master!$C$2:'Master'!$C$4384,0))</f>
        <v>0</v>
      </c>
      <c r="Y18" s="21" cm="1">
        <f t="array" aca="1" ref="Y18" ca="1">INDEX(Master!$I$2:'Master'!$I$4384,MATCH($A18&amp;Y$2,Master!$A$2:'Master'!$A$4384&amp;Master!$C$2:'Master'!$C$4384,0))</f>
        <v>2</v>
      </c>
      <c r="Z18" s="21" cm="1">
        <f t="array" aca="1" ref="Z18" ca="1">INDEX(Master!$I$2:'Master'!$I$4384,MATCH($A18&amp;Z$2,Master!$A$2:'Master'!$A$4384&amp;Master!$C$2:'Master'!$C$4384,0))</f>
        <v>1</v>
      </c>
      <c r="AA18" s="21" cm="1">
        <f t="array" aca="1" ref="AA18" ca="1">INDEX(Master!$I$2:'Master'!$I$4384,MATCH($A18&amp;AA$2,Master!$A$2:'Master'!$A$4384&amp;Master!$C$2:'Master'!$C$4384,0))</f>
        <v>0</v>
      </c>
      <c r="AB18" s="21" cm="1">
        <f t="array" aca="1" ref="AB18" ca="1">INDEX(Master!$I$2:'Master'!$I$4384,MATCH($A18&amp;AB$2,Master!$A$2:'Master'!$A$4384&amp;Master!$C$2:'Master'!$C$4384,0))</f>
        <v>1</v>
      </c>
      <c r="AC18" s="21" cm="1">
        <f t="array" aca="1" ref="AC18" ca="1">INDEX(Master!$I$2:'Master'!$I$4384,MATCH($A18&amp;AC$2,Master!$A$2:'Master'!$A$4384&amp;Master!$C$2:'Master'!$C$4384,0))</f>
        <v>0</v>
      </c>
      <c r="AD18" s="21" cm="1">
        <f t="array" aca="1" ref="AD18" ca="1">INDEX(Master!$I$2:'Master'!$I$4384,MATCH($A18&amp;AD$2,Master!$A$2:'Master'!$A$4384&amp;Master!$C$2:'Master'!$C$4384,0))</f>
        <v>1</v>
      </c>
      <c r="AE18" s="21" cm="1">
        <f t="array" aca="1" ref="AE18" ca="1">INDEX(Master!$I$2:'Master'!$I$4384,MATCH($A18&amp;AE$2,Master!$A$2:'Master'!$A$4384&amp;Master!$C$2:'Master'!$C$4384,0))</f>
        <v>1</v>
      </c>
      <c r="AF18" s="21" cm="1">
        <f t="array" aca="1" ref="AF18" ca="1">INDEX(Master!$I$2:'Master'!$I$4384,MATCH($A18&amp;AF$2,Master!$A$2:'Master'!$A$4384&amp;Master!$C$2:'Master'!$C$4384,0))</f>
        <v>1</v>
      </c>
      <c r="AG18" s="21" cm="1">
        <f t="array" aca="1" ref="AG18" ca="1">INDEX(Master!$I$2:'Master'!$I$4384,MATCH($A18&amp;AG$2,Master!$A$2:'Master'!$A$4384&amp;Master!$C$2:'Master'!$C$4384,0))</f>
        <v>1</v>
      </c>
      <c r="AH18" s="21" cm="1">
        <f t="array" aca="1" ref="AH18" ca="1">INDEX(Master!$I$2:'Master'!$I$4384,MATCH($A18&amp;AH$2,Master!$A$2:'Master'!$A$4384&amp;Master!$C$2:'Master'!$C$4384,0))</f>
        <v>2</v>
      </c>
      <c r="AI18" s="21" cm="1">
        <f t="array" aca="1" ref="AI18" ca="1">INDEX(Master!$I$2:'Master'!$I$4384,MATCH($A18&amp;AI$2,Master!$A$2:'Master'!$A$4384&amp;Master!$C$2:'Master'!$C$4384,0))</f>
        <v>1</v>
      </c>
      <c r="AJ18" s="21" cm="1">
        <f t="array" aca="1" ref="AJ18" ca="1">INDEX(Master!$I$2:'Master'!$I$4384,MATCH($A18&amp;AJ$2,Master!$A$2:'Master'!$A$4384&amp;Master!$C$2:'Master'!$C$4384,0))</f>
        <v>2</v>
      </c>
      <c r="AK18" s="21" cm="1">
        <f t="array" aca="1" ref="AK18" ca="1">INDEX(Master!$I$2:'Master'!$I$4384,MATCH($A18&amp;AK$2,Master!$A$2:'Master'!$A$4384&amp;Master!$C$2:'Master'!$C$4384,0))</f>
        <v>1</v>
      </c>
      <c r="AL18" s="21" cm="1">
        <f t="array" aca="1" ref="AL18" ca="1">INDEX(Master!$I$2:'Master'!$I$4384,MATCH($A18&amp;AL$2,Master!$A$2:'Master'!$A$4384&amp;Master!$C$2:'Master'!$C$4384,0))</f>
        <v>1</v>
      </c>
      <c r="AM18" s="21" cm="1">
        <f t="array" aca="1" ref="AM18" ca="1">INDEX(Master!$I$2:'Master'!$I$4384,MATCH($A18&amp;AM$2,Master!$A$2:'Master'!$A$4384&amp;Master!$C$2:'Master'!$C$4384,0))</f>
        <v>2</v>
      </c>
      <c r="AN18" s="21" cm="1">
        <f t="array" aca="1" ref="AN18" ca="1">INDEX(Master!$I$2:'Master'!$I$4384,MATCH($A18&amp;AN$2,Master!$A$2:'Master'!$A$4384&amp;Master!$C$2:'Master'!$C$4384,0))</f>
        <v>1</v>
      </c>
      <c r="AO18" s="21" cm="1">
        <f t="array" aca="1" ref="AO18" ca="1">INDEX(Master!$I$2:'Master'!$I$4384,MATCH($A18&amp;AO$2,Master!$A$2:'Master'!$A$4384&amp;Master!$C$2:'Master'!$C$4384,0))</f>
        <v>0</v>
      </c>
      <c r="AP18" s="21" cm="1">
        <f t="array" aca="1" ref="AP18" ca="1">INDEX(Master!$I$2:'Master'!$I$4384,MATCH($A18&amp;AP$2,Master!$A$2:'Master'!$A$4384&amp;Master!$C$2:'Master'!$C$4384,0))</f>
        <v>1</v>
      </c>
      <c r="AQ18" s="21" cm="1">
        <f t="array" aca="1" ref="AQ18" ca="1">INDEX(Master!$I$2:'Master'!$I$4384,MATCH($A18&amp;AQ$2,Master!$A$2:'Master'!$A$4384&amp;Master!$C$2:'Master'!$C$4384,0))</f>
        <v>1</v>
      </c>
      <c r="AR18" s="21" cm="1">
        <f t="array" aca="1" ref="AR18" ca="1">INDEX(Master!$I$2:'Master'!$I$4384,MATCH($A18&amp;AR$2,Master!$A$2:'Master'!$A$4384&amp;Master!$C$2:'Master'!$C$4384,0))</f>
        <v>0</v>
      </c>
      <c r="AS18" s="21" cm="1">
        <f t="array" aca="1" ref="AS18" ca="1">INDEX(Master!$I$2:'Master'!$I$4384,MATCH($A18&amp;AS$2,Master!$A$2:'Master'!$A$4384&amp;Master!$C$2:'Master'!$C$4384,0))</f>
        <v>0</v>
      </c>
      <c r="AT18" s="21" cm="1">
        <f t="array" aca="1" ref="AT18" ca="1">INDEX(Master!$I$2:'Master'!$I$4384,MATCH($A18&amp;AT$2,Master!$A$2:'Master'!$A$4384&amp;Master!$C$2:'Master'!$C$4384,0))</f>
        <v>0</v>
      </c>
      <c r="AU18" s="21" cm="1">
        <f t="array" aca="1" ref="AU18" ca="1">INDEX(Master!$I$2:'Master'!$I$4384,MATCH($A18&amp;AU$2,Master!$A$2:'Master'!$A$4384&amp;Master!$C$2:'Master'!$C$4384,0))</f>
        <v>0</v>
      </c>
      <c r="AV18" s="21" cm="1">
        <f t="array" aca="1" ref="AV18" ca="1">INDEX(Master!$I$2:'Master'!$I$4384,MATCH($A18&amp;AV$2,Master!$A$2:'Master'!$A$4384&amp;Master!$C$2:'Master'!$C$4384,0))</f>
        <v>2</v>
      </c>
      <c r="AW18" s="21" cm="1">
        <f t="array" aca="1" ref="AW18" ca="1">INDEX(Master!$I$2:'Master'!$I$4384,MATCH($A18&amp;AW$2,Master!$A$2:'Master'!$A$4384&amp;Master!$C$2:'Master'!$C$4384,0))</f>
        <v>1</v>
      </c>
      <c r="AX18" s="21" cm="1">
        <f t="array" aca="1" ref="AX18" ca="1">INDEX(Master!$I$2:'Master'!$I$4384,MATCH($A18&amp;AX$2,Master!$A$2:'Master'!$A$4384&amp;Master!$C$2:'Master'!$C$4384,0))</f>
        <v>3</v>
      </c>
      <c r="AY18" s="21" cm="1">
        <f t="array" aca="1" ref="AY18" ca="1">INDEX(Master!$I$2:'Master'!$I$4384,MATCH($A18&amp;AY$2,Master!$A$2:'Master'!$A$4384&amp;Master!$C$2:'Master'!$C$4384,0))</f>
        <v>3</v>
      </c>
      <c r="AZ18" s="21" cm="1">
        <f t="array" aca="1" ref="AZ18" ca="1">INDEX(Master!$I$2:'Master'!$I$4384,MATCH($A18&amp;AZ$2,Master!$A$2:'Master'!$A$4384&amp;Master!$C$2:'Master'!$C$4384,0))</f>
        <v>1</v>
      </c>
      <c r="BA18" s="21" cm="1">
        <f t="array" aca="1" ref="BA18" ca="1">INDEX(Master!$I$2:'Master'!$I$4384,MATCH($A18&amp;BA$2,Master!$A$2:'Master'!$A$4384&amp;Master!$C$2:'Master'!$C$4384,0))</f>
        <v>3</v>
      </c>
      <c r="BB18" s="21" cm="1">
        <f t="array" aca="1" ref="BB18" ca="1">INDEX(Master!$I$2:'Master'!$I$4384,MATCH($A18&amp;BB$2,Master!$A$2:'Master'!$A$4384&amp;Master!$C$2:'Master'!$C$4384,0))</f>
        <v>2</v>
      </c>
      <c r="BC18" s="21" cm="1">
        <f t="array" aca="1" ref="BC18" ca="1">INDEX(Master!$I$2:'Master'!$I$4384,MATCH($A18&amp;BC$2,Master!$A$2:'Master'!$A$4384&amp;Master!$C$2:'Master'!$C$4384,0))</f>
        <v>3</v>
      </c>
      <c r="BD18" s="21" cm="1">
        <f t="array" aca="1" ref="BD18" ca="1">INDEX(Master!$I$2:'Master'!$I$4384,MATCH($A18&amp;BD$2,Master!$A$2:'Master'!$A$4384&amp;Master!$C$2:'Master'!$C$4384,0))</f>
        <v>2</v>
      </c>
      <c r="BE18" s="21" cm="1">
        <f t="array" aca="1" ref="BE18" ca="1">INDEX(Master!$I$2:'Master'!$I$4384,MATCH($A18&amp;BE$2,Master!$A$2:'Master'!$A$4384&amp;Master!$C$2:'Master'!$C$4384,0))</f>
        <v>0</v>
      </c>
      <c r="BF18" s="21" cm="1">
        <f t="array" aca="1" ref="BF18" ca="1">INDEX(Master!$I$2:'Master'!$I$4384,MATCH($A18&amp;BF$2,Master!$A$2:'Master'!$A$4384&amp;Master!$C$2:'Master'!$C$4384,0))</f>
        <v>1</v>
      </c>
      <c r="BG18" s="21" cm="1">
        <f t="array" aca="1" ref="BG18" ca="1">INDEX(Master!$I$2:'Master'!$I$4384,MATCH($A18&amp;BG$2,Master!$A$2:'Master'!$A$4384&amp;Master!$C$2:'Master'!$C$4384,0))</f>
        <v>0</v>
      </c>
      <c r="BH18" s="21" cm="1">
        <f t="array" aca="1" ref="BH18" ca="1">INDEX(Master!$I$2:'Master'!$I$4384,MATCH($A18&amp;BH$2,Master!$A$2:'Master'!$A$4384&amp;Master!$C$2:'Master'!$C$4384,0))</f>
        <v>1</v>
      </c>
      <c r="BI18" s="21" cm="1">
        <f t="array" aca="1" ref="BI18" ca="1">INDEX(Master!$I$2:'Master'!$I$4384,MATCH($A18&amp;BI$2,Master!$A$2:'Master'!$A$4384&amp;Master!$C$2:'Master'!$C$4384,0))</f>
        <v>1</v>
      </c>
      <c r="BJ18" s="21" cm="1">
        <f t="array" aca="1" ref="BJ18" ca="1">INDEX(Master!$I$2:'Master'!$I$4384,MATCH($A18&amp;BJ$2,Master!$A$2:'Master'!$A$4384&amp;Master!$C$2:'Master'!$C$4384,0))</f>
        <v>1</v>
      </c>
      <c r="BK18" s="21" cm="1">
        <f t="array" aca="1" ref="BK18" ca="1">INDEX(Master!$I$2:'Master'!$I$4384,MATCH($A18&amp;BK$2,Master!$A$2:'Master'!$A$4384&amp;Master!$C$2:'Master'!$C$4384,0))</f>
        <v>3</v>
      </c>
      <c r="BL18" s="21" cm="1">
        <f t="array" aca="1" ref="BL18" ca="1">INDEX(Master!$I$2:'Master'!$I$4384,MATCH($A18&amp;BL$2,Master!$A$2:'Master'!$A$4384&amp;Master!$C$2:'Master'!$C$4384,0))</f>
        <v>1</v>
      </c>
      <c r="BM18" s="21" cm="1">
        <f t="array" aca="1" ref="BM18" ca="1">INDEX(Master!$I$2:'Master'!$I$4384,MATCH($A18&amp;BM$2,Master!$A$2:'Master'!$A$4384&amp;Master!$C$2:'Master'!$C$4384,0))</f>
        <v>0</v>
      </c>
      <c r="BN18" s="21" cm="1">
        <f t="array" aca="1" ref="BN18" ca="1">INDEX(Master!$I$2:'Master'!$I$4384,MATCH($A18&amp;BN$2,Master!$A$2:'Master'!$A$4384&amp;Master!$C$2:'Master'!$C$4384,0))</f>
        <v>0</v>
      </c>
      <c r="BO18" s="21" cm="1">
        <f t="array" aca="1" ref="BO18" ca="1">INDEX(Master!$I$2:'Master'!$I$4384,MATCH($A18&amp;BO$2,Master!$A$2:'Master'!$A$4384&amp;Master!$C$2:'Master'!$C$4384,0))</f>
        <v>2</v>
      </c>
      <c r="BP18" s="21" cm="1">
        <f t="array" aca="1" ref="BP18" ca="1">INDEX(Master!$I$2:'Master'!$I$4384,MATCH($A18&amp;BP$2,Master!$A$2:'Master'!$A$4384&amp;Master!$C$2:'Master'!$C$4384,0))</f>
        <v>0</v>
      </c>
      <c r="BQ18" s="21" cm="1">
        <f t="array" aca="1" ref="BQ18" ca="1">INDEX(Master!$I$2:'Master'!$I$4384,MATCH($A18&amp;BQ$2,Master!$A$2:'Master'!$A$4384&amp;Master!$C$2:'Master'!$C$4384,0))</f>
        <v>1</v>
      </c>
      <c r="BR18" s="21" cm="1">
        <f t="array" aca="1" ref="BR18" ca="1">INDEX(Master!$I$2:'Master'!$I$4384,MATCH($A18&amp;BR$2,Master!$A$2:'Master'!$A$4384&amp;Master!$C$2:'Master'!$C$4384,0))</f>
        <v>1</v>
      </c>
      <c r="BS18" s="21" cm="1">
        <f t="array" aca="1" ref="BS18" ca="1">INDEX(Master!$I$2:'Master'!$I$4384,MATCH($A18&amp;BS$2,Master!$A$2:'Master'!$A$4384&amp;Master!$C$2:'Master'!$C$4384,0))</f>
        <v>1</v>
      </c>
      <c r="BT18" s="21" cm="1">
        <f t="array" aca="1" ref="BT18" ca="1">INDEX(Master!$I$2:'Master'!$I$4384,MATCH($A18&amp;BT$2,Master!$A$2:'Master'!$A$4384&amp;Master!$C$2:'Master'!$C$4384,0))</f>
        <v>1</v>
      </c>
      <c r="BU18" s="21" cm="1">
        <f t="array" aca="1" ref="BU18" ca="1">INDEX(Master!$I$2:'Master'!$I$4384,MATCH($A18&amp;BU$2,Master!$A$2:'Master'!$A$4384&amp;Master!$C$2:'Master'!$C$4384,0))</f>
        <v>0</v>
      </c>
      <c r="BV18" s="21" cm="1">
        <f t="array" aca="1" ref="BV18" ca="1">INDEX(Master!$I$2:'Master'!$I$4384,MATCH($A18&amp;BV$2,Master!$A$2:'Master'!$A$4384&amp;Master!$C$2:'Master'!$C$4384,0))</f>
        <v>1</v>
      </c>
      <c r="BW18" s="21" cm="1">
        <f t="array" aca="1" ref="BW18" ca="1">INDEX(Master!$I$2:'Master'!$I$4384,MATCH($A18&amp;BW$2,Master!$A$2:'Master'!$A$4384&amp;Master!$C$2:'Master'!$C$4384,0))</f>
        <v>1</v>
      </c>
      <c r="BX18" s="21" cm="1">
        <f t="array" aca="1" ref="BX18" ca="1">INDEX(Master!$I$2:'Master'!$I$4384,MATCH($A18&amp;BX$2,Master!$A$2:'Master'!$A$4384&amp;Master!$C$2:'Master'!$C$4384,0))</f>
        <v>0</v>
      </c>
      <c r="BY18" s="21" cm="1">
        <f t="array" aca="1" ref="BY18" ca="1">INDEX(Master!$I$2:'Master'!$I$4384,MATCH($A18&amp;BY$2,Master!$A$2:'Master'!$A$4384&amp;Master!$C$2:'Master'!$C$4384,0))</f>
        <v>1</v>
      </c>
      <c r="BZ18" s="21" cm="1">
        <f t="array" aca="1" ref="BZ18" ca="1">INDEX(Master!$I$2:'Master'!$I$4384,MATCH($A18&amp;BZ$2,Master!$A$2:'Master'!$A$4384&amp;Master!$C$2:'Master'!$C$4384,0))</f>
        <v>1</v>
      </c>
      <c r="CA18" s="21" cm="1">
        <f t="array" aca="1" ref="CA18" ca="1">INDEX(Master!$I$2:'Master'!$I$4384,MATCH($A18&amp;CA$2,Master!$A$2:'Master'!$A$4384&amp;Master!$C$2:'Master'!$C$4384,0))</f>
        <v>1</v>
      </c>
      <c r="CB18" s="21" cm="1">
        <f t="array" aca="1" ref="CB18" ca="1">INDEX(Master!$I$2:'Master'!$I$4384,MATCH($A18&amp;CB$2,Master!$A$2:'Master'!$A$4384&amp;Master!$C$2:'Master'!$C$4384,0))</f>
        <v>3</v>
      </c>
      <c r="CC18" s="21" cm="1">
        <f t="array" aca="1" ref="CC18" ca="1">INDEX(Master!$I$2:'Master'!$I$4384,MATCH($A18&amp;CC$2,Master!$A$2:'Master'!$A$4384&amp;Master!$C$2:'Master'!$C$4384,0))</f>
        <v>1</v>
      </c>
      <c r="CD18" s="21" cm="1">
        <f t="array" aca="1" ref="CD18" ca="1">INDEX(Master!$I$2:'Master'!$I$4384,MATCH($A18&amp;CD$2,Master!$A$2:'Master'!$A$4384&amp;Master!$C$2:'Master'!$C$4384,0))</f>
        <v>0</v>
      </c>
      <c r="CE18" s="21" cm="1">
        <f t="array" aca="1" ref="CE18" ca="1">INDEX(Master!$I$2:'Master'!$I$4384,MATCH($A18&amp;CE$2,Master!$A$2:'Master'!$A$4384&amp;Master!$C$2:'Master'!$C$4384,0))</f>
        <v>0</v>
      </c>
      <c r="CF18" s="21" cm="1">
        <f t="array" aca="1" ref="CF18" ca="1">INDEX(Master!$I$2:'Master'!$I$4384,MATCH($A18&amp;CF$2,Master!$A$2:'Master'!$A$4384&amp;Master!$C$2:'Master'!$C$4384,0))</f>
        <v>0</v>
      </c>
      <c r="CG18" s="21" cm="1">
        <f t="array" aca="1" ref="CG18" ca="1">INDEX(Master!$I$2:'Master'!$I$4384,MATCH($A18&amp;CG$2,Master!$A$2:'Master'!$A$4384&amp;Master!$C$2:'Master'!$C$4384,0))</f>
        <v>2</v>
      </c>
      <c r="CH18" s="21" cm="1">
        <f t="array" aca="1" ref="CH18" ca="1">INDEX(Master!$I$2:'Master'!$I$4384,MATCH($A18&amp;CH$2,Master!$A$2:'Master'!$A$4384&amp;Master!$C$2:'Master'!$C$4384,0))</f>
        <v>0</v>
      </c>
      <c r="CI18" s="21" cm="1">
        <f t="array" aca="1" ref="CI18" ca="1">INDEX(Master!$I$2:'Master'!$I$4384,MATCH($A18&amp;CI$2,Master!$A$2:'Master'!$A$4384&amp;Master!$C$2:'Master'!$C$4384,0))</f>
        <v>2</v>
      </c>
      <c r="CJ18" s="21" cm="1">
        <f t="array" aca="1" ref="CJ18" ca="1">INDEX(Master!$I$2:'Master'!$I$4384,MATCH($A18&amp;CJ$2,Master!$A$2:'Master'!$A$4384&amp;Master!$C$2:'Master'!$C$4384,0))</f>
        <v>1</v>
      </c>
      <c r="CK18" s="21" cm="1">
        <f t="array" aca="1" ref="CK18" ca="1">INDEX(Master!$I$2:'Master'!$I$4384,MATCH($A18&amp;CK$2,Master!$A$2:'Master'!$A$4384&amp;Master!$C$2:'Master'!$C$4384,0))</f>
        <v>0</v>
      </c>
      <c r="CL18" s="21" cm="1">
        <f t="array" aca="1" ref="CL18" ca="1">INDEX(Master!$I$2:'Master'!$I$4384,MATCH($A18&amp;CL$2,Master!$A$2:'Master'!$A$4384&amp;Master!$C$2:'Master'!$C$4384,0))</f>
        <v>2</v>
      </c>
      <c r="CM18" s="21" cm="1">
        <f t="array" aca="1" ref="CM18" ca="1">INDEX(Master!$I$2:'Master'!$I$4384,MATCH($A18&amp;CM$2,Master!$A$2:'Master'!$A$4384&amp;Master!$C$2:'Master'!$C$4384,0))</f>
        <v>0</v>
      </c>
      <c r="CN18" s="21" cm="1">
        <f t="array" aca="1" ref="CN18" ca="1">INDEX(Master!$I$2:'Master'!$I$4384,MATCH($A18&amp;CN$2,Master!$A$2:'Master'!$A$4384&amp;Master!$C$2:'Master'!$C$4384,0))</f>
        <v>0</v>
      </c>
      <c r="CO18" s="21" cm="1">
        <f t="array" aca="1" ref="CO18" ca="1">INDEX(Master!$I$2:'Master'!$I$4384,MATCH($A18&amp;CO$2,Master!$A$2:'Master'!$A$4384&amp;Master!$C$2:'Master'!$C$4384,0))</f>
        <v>0</v>
      </c>
      <c r="CP18" s="21" cm="1">
        <f t="array" aca="1" ref="CP18" ca="1">INDEX(Master!$I$2:'Master'!$I$4384,MATCH($A18&amp;CP$2,Master!$A$2:'Master'!$A$4384&amp;Master!$C$2:'Master'!$C$4384,0))</f>
        <v>0</v>
      </c>
      <c r="CQ18" s="21" cm="1">
        <f t="array" aca="1" ref="CQ18" ca="1">INDEX(Master!$I$2:'Master'!$I$4384,MATCH($A18&amp;CQ$2,Master!$A$2:'Master'!$A$4384&amp;Master!$C$2:'Master'!$C$4384,0))</f>
        <v>1</v>
      </c>
      <c r="CR18" s="21" cm="1">
        <f t="array" aca="1" ref="CR18" ca="1">INDEX(Master!$I$2:'Master'!$I$4384,MATCH($A18&amp;CR$2,Master!$A$2:'Master'!$A$4384&amp;Master!$C$2:'Master'!$C$4384,0))</f>
        <v>0</v>
      </c>
      <c r="CS18" s="21" cm="1">
        <f t="array" aca="1" ref="CS18" ca="1">INDEX(Master!$I$2:'Master'!$I$4384,MATCH($A18&amp;CS$2,Master!$A$2:'Master'!$A$4384&amp;Master!$C$2:'Master'!$C$4384,0))</f>
        <v>1</v>
      </c>
    </row>
    <row r="19" spans="1:97">
      <c r="A19" t="str">
        <f>VLOOKUP(Staff!$A17,Staff!$A$1:A$73,1,FALSE)</f>
        <v>Endeavour Morse</v>
      </c>
      <c r="B19" s="21" cm="1">
        <f t="array" aca="1" ref="B19" ca="1">INDEX(Master!$I$2:'Master'!$I$4384,MATCH($A19&amp;B$2,Master!$A$2:'Master'!$A$4384&amp;Master!$C$2:'Master'!$C$4384,0))</f>
        <v>3</v>
      </c>
      <c r="C19" s="21" cm="1">
        <f t="array" aca="1" ref="C19" ca="1">INDEX(Master!$I$2:'Master'!$I$4384,MATCH($A19&amp;C$2,Master!$A$2:'Master'!$A$4384&amp;Master!$C$2:'Master'!$C$4384,0))</f>
        <v>4</v>
      </c>
      <c r="D19" s="21" cm="1">
        <f t="array" aca="1" ref="D19" ca="1">INDEX(Master!$I$2:'Master'!$I$4384,MATCH($A19&amp;D$2,Master!$A$2:'Master'!$A$4384&amp;Master!$C$2:'Master'!$C$4384,0))</f>
        <v>3</v>
      </c>
      <c r="E19" s="21" cm="1">
        <f t="array" aca="1" ref="E19" ca="1">INDEX(Master!$I$2:'Master'!$I$4384,MATCH($A19&amp;E$2,Master!$A$2:'Master'!$A$4384&amp;Master!$C$2:'Master'!$C$4384,0))</f>
        <v>3</v>
      </c>
      <c r="F19" s="21" cm="1">
        <f t="array" aca="1" ref="F19" ca="1">INDEX(Master!$I$2:'Master'!$I$4384,MATCH($A19&amp;F$2,Master!$A$2:'Master'!$A$4384&amp;Master!$C$2:'Master'!$C$4384,0))</f>
        <v>3</v>
      </c>
      <c r="G19" s="21" cm="1">
        <f t="array" aca="1" ref="G19" ca="1">INDEX(Master!$I$2:'Master'!$I$4384,MATCH($A19&amp;G$2,Master!$A$2:'Master'!$A$4384&amp;Master!$C$2:'Master'!$C$4384,0))</f>
        <v>3</v>
      </c>
      <c r="H19" s="21" cm="1">
        <f t="array" aca="1" ref="H19" ca="1">INDEX(Master!$I$2:'Master'!$I$4384,MATCH($A19&amp;H$2,Master!$A$2:'Master'!$A$4384&amp;Master!$C$2:'Master'!$C$4384,0))</f>
        <v>1</v>
      </c>
      <c r="I19" s="21" cm="1">
        <f t="array" aca="1" ref="I19" ca="1">INDEX(Master!$I$2:'Master'!$I$4384,MATCH($A19&amp;I$2,Master!$A$2:'Master'!$A$4384&amp;Master!$C$2:'Master'!$C$4384,0))</f>
        <v>3</v>
      </c>
      <c r="J19" s="21" cm="1">
        <f t="array" aca="1" ref="J19" ca="1">INDEX(Master!$I$2:'Master'!$I$4384,MATCH($A19&amp;J$2,Master!$A$2:'Master'!$A$4384&amp;Master!$C$2:'Master'!$C$4384,0))</f>
        <v>3</v>
      </c>
      <c r="K19" s="21" cm="1">
        <f t="array" aca="1" ref="K19" ca="1">INDEX(Master!$I$2:'Master'!$I$4384,MATCH($A19&amp;K$2,Master!$A$2:'Master'!$A$4384&amp;Master!$C$2:'Master'!$C$4384,0))</f>
        <v>3</v>
      </c>
      <c r="L19" s="21" cm="1">
        <f t="array" aca="1" ref="L19" ca="1">INDEX(Master!$I$2:'Master'!$I$4384,MATCH($A19&amp;L$2,Master!$A$2:'Master'!$A$4384&amp;Master!$C$2:'Master'!$C$4384,0))</f>
        <v>0</v>
      </c>
      <c r="M19" s="21" cm="1">
        <f t="array" aca="1" ref="M19" ca="1">INDEX(Master!$I$2:'Master'!$I$4384,MATCH($A19&amp;M$2,Master!$A$2:'Master'!$A$4384&amp;Master!$C$2:'Master'!$C$4384,0))</f>
        <v>1</v>
      </c>
      <c r="N19" s="21" cm="1">
        <f t="array" aca="1" ref="N19" ca="1">INDEX(Master!$I$2:'Master'!$I$4384,MATCH($A19&amp;N$2,Master!$A$2:'Master'!$A$4384&amp;Master!$C$2:'Master'!$C$4384,0))</f>
        <v>2</v>
      </c>
      <c r="O19" s="21" cm="1">
        <f t="array" aca="1" ref="O19" ca="1">INDEX(Master!$I$2:'Master'!$I$4384,MATCH($A19&amp;O$2,Master!$A$2:'Master'!$A$4384&amp;Master!$C$2:'Master'!$C$4384,0))</f>
        <v>0</v>
      </c>
      <c r="P19" s="21" cm="1">
        <f t="array" aca="1" ref="P19" ca="1">INDEX(Master!$I$2:'Master'!$I$4384,MATCH($A19&amp;P$2,Master!$A$2:'Master'!$A$4384&amp;Master!$C$2:'Master'!$C$4384,0))</f>
        <v>3</v>
      </c>
      <c r="Q19" s="21" cm="1">
        <f t="array" aca="1" ref="Q19" ca="1">INDEX(Master!$I$2:'Master'!$I$4384,MATCH($A19&amp;Q$2,Master!$A$2:'Master'!$A$4384&amp;Master!$C$2:'Master'!$C$4384,0))</f>
        <v>3</v>
      </c>
      <c r="R19" s="21" cm="1">
        <f t="array" aca="1" ref="R19" ca="1">INDEX(Master!$I$2:'Master'!$I$4384,MATCH($A19&amp;R$2,Master!$A$2:'Master'!$A$4384&amp;Master!$C$2:'Master'!$C$4384,0))</f>
        <v>0</v>
      </c>
      <c r="S19" s="21" cm="1">
        <f t="array" aca="1" ref="S19" ca="1">INDEX(Master!$I$2:'Master'!$I$4384,MATCH($A19&amp;S$2,Master!$A$2:'Master'!$A$4384&amp;Master!$C$2:'Master'!$C$4384,0))</f>
        <v>1</v>
      </c>
      <c r="T19" s="21" cm="1">
        <f t="array" aca="1" ref="T19" ca="1">INDEX(Master!$I$2:'Master'!$I$4384,MATCH($A19&amp;T$2,Master!$A$2:'Master'!$A$4384&amp;Master!$C$2:'Master'!$C$4384,0))</f>
        <v>0</v>
      </c>
      <c r="U19" s="21" cm="1">
        <f t="array" aca="1" ref="U19" ca="1">INDEX(Master!$I$2:'Master'!$I$4384,MATCH($A19&amp;U$2,Master!$A$2:'Master'!$A$4384&amp;Master!$C$2:'Master'!$C$4384,0))</f>
        <v>1</v>
      </c>
      <c r="V19" s="21" cm="1">
        <f t="array" aca="1" ref="V19" ca="1">INDEX(Master!$I$2:'Master'!$I$4384,MATCH($A19&amp;V$2,Master!$A$2:'Master'!$A$4384&amp;Master!$C$2:'Master'!$C$4384,0))</f>
        <v>2</v>
      </c>
      <c r="W19" s="21" cm="1">
        <f t="array" aca="1" ref="W19" ca="1">INDEX(Master!$I$2:'Master'!$I$4384,MATCH($A19&amp;W$2,Master!$A$2:'Master'!$A$4384&amp;Master!$C$2:'Master'!$C$4384,0))</f>
        <v>1</v>
      </c>
      <c r="X19" s="21" cm="1">
        <f t="array" aca="1" ref="X19" ca="1">INDEX(Master!$I$2:'Master'!$I$4384,MATCH($A19&amp;X$2,Master!$A$2:'Master'!$A$4384&amp;Master!$C$2:'Master'!$C$4384,0))</f>
        <v>0</v>
      </c>
      <c r="Y19" s="21" cm="1">
        <f t="array" aca="1" ref="Y19" ca="1">INDEX(Master!$I$2:'Master'!$I$4384,MATCH($A19&amp;Y$2,Master!$A$2:'Master'!$A$4384&amp;Master!$C$2:'Master'!$C$4384,0))</f>
        <v>1</v>
      </c>
      <c r="Z19" s="21" cm="1">
        <f t="array" aca="1" ref="Z19" ca="1">INDEX(Master!$I$2:'Master'!$I$4384,MATCH($A19&amp;Z$2,Master!$A$2:'Master'!$A$4384&amp;Master!$C$2:'Master'!$C$4384,0))</f>
        <v>1</v>
      </c>
      <c r="AA19" s="21" cm="1">
        <f t="array" aca="1" ref="AA19" ca="1">INDEX(Master!$I$2:'Master'!$I$4384,MATCH($A19&amp;AA$2,Master!$A$2:'Master'!$A$4384&amp;Master!$C$2:'Master'!$C$4384,0))</f>
        <v>0</v>
      </c>
      <c r="AB19" s="21" cm="1">
        <f t="array" aca="1" ref="AB19" ca="1">INDEX(Master!$I$2:'Master'!$I$4384,MATCH($A19&amp;AB$2,Master!$A$2:'Master'!$A$4384&amp;Master!$C$2:'Master'!$C$4384,0))</f>
        <v>1</v>
      </c>
      <c r="AC19" s="21" cm="1">
        <f t="array" aca="1" ref="AC19" ca="1">INDEX(Master!$I$2:'Master'!$I$4384,MATCH($A19&amp;AC$2,Master!$A$2:'Master'!$A$4384&amp;Master!$C$2:'Master'!$C$4384,0))</f>
        <v>1</v>
      </c>
      <c r="AD19" s="21" cm="1">
        <f t="array" aca="1" ref="AD19" ca="1">INDEX(Master!$I$2:'Master'!$I$4384,MATCH($A19&amp;AD$2,Master!$A$2:'Master'!$A$4384&amp;Master!$C$2:'Master'!$C$4384,0))</f>
        <v>0</v>
      </c>
      <c r="AE19" s="21" cm="1">
        <f t="array" aca="1" ref="AE19" ca="1">INDEX(Master!$I$2:'Master'!$I$4384,MATCH($A19&amp;AE$2,Master!$A$2:'Master'!$A$4384&amp;Master!$C$2:'Master'!$C$4384,0))</f>
        <v>1</v>
      </c>
      <c r="AF19" s="21" cm="1">
        <f t="array" aca="1" ref="AF19" ca="1">INDEX(Master!$I$2:'Master'!$I$4384,MATCH($A19&amp;AF$2,Master!$A$2:'Master'!$A$4384&amp;Master!$C$2:'Master'!$C$4384,0))</f>
        <v>0</v>
      </c>
      <c r="AG19" s="21" cm="1">
        <f t="array" aca="1" ref="AG19" ca="1">INDEX(Master!$I$2:'Master'!$I$4384,MATCH($A19&amp;AG$2,Master!$A$2:'Master'!$A$4384&amp;Master!$C$2:'Master'!$C$4384,0))</f>
        <v>0</v>
      </c>
      <c r="AH19" s="21" cm="1">
        <f t="array" aca="1" ref="AH19" ca="1">INDEX(Master!$I$2:'Master'!$I$4384,MATCH($A19&amp;AH$2,Master!$A$2:'Master'!$A$4384&amp;Master!$C$2:'Master'!$C$4384,0))</f>
        <v>2</v>
      </c>
      <c r="AI19" s="21" cm="1">
        <f t="array" aca="1" ref="AI19" ca="1">INDEX(Master!$I$2:'Master'!$I$4384,MATCH($A19&amp;AI$2,Master!$A$2:'Master'!$A$4384&amp;Master!$C$2:'Master'!$C$4384,0))</f>
        <v>2</v>
      </c>
      <c r="AJ19" s="21" cm="1">
        <f t="array" aca="1" ref="AJ19" ca="1">INDEX(Master!$I$2:'Master'!$I$4384,MATCH($A19&amp;AJ$2,Master!$A$2:'Master'!$A$4384&amp;Master!$C$2:'Master'!$C$4384,0))</f>
        <v>2</v>
      </c>
      <c r="AK19" s="21" cm="1">
        <f t="array" aca="1" ref="AK19" ca="1">INDEX(Master!$I$2:'Master'!$I$4384,MATCH($A19&amp;AK$2,Master!$A$2:'Master'!$A$4384&amp;Master!$C$2:'Master'!$C$4384,0))</f>
        <v>0</v>
      </c>
      <c r="AL19" s="21" cm="1">
        <f t="array" aca="1" ref="AL19" ca="1">INDEX(Master!$I$2:'Master'!$I$4384,MATCH($A19&amp;AL$2,Master!$A$2:'Master'!$A$4384&amp;Master!$C$2:'Master'!$C$4384,0))</f>
        <v>1</v>
      </c>
      <c r="AM19" s="21" cm="1">
        <f t="array" aca="1" ref="AM19" ca="1">INDEX(Master!$I$2:'Master'!$I$4384,MATCH($A19&amp;AM$2,Master!$A$2:'Master'!$A$4384&amp;Master!$C$2:'Master'!$C$4384,0))</f>
        <v>1</v>
      </c>
      <c r="AN19" s="21" cm="1">
        <f t="array" aca="1" ref="AN19" ca="1">INDEX(Master!$I$2:'Master'!$I$4384,MATCH($A19&amp;AN$2,Master!$A$2:'Master'!$A$4384&amp;Master!$C$2:'Master'!$C$4384,0))</f>
        <v>0</v>
      </c>
      <c r="AO19" s="21" cm="1">
        <f t="array" aca="1" ref="AO19" ca="1">INDEX(Master!$I$2:'Master'!$I$4384,MATCH($A19&amp;AO$2,Master!$A$2:'Master'!$A$4384&amp;Master!$C$2:'Master'!$C$4384,0))</f>
        <v>0</v>
      </c>
      <c r="AP19" s="21" cm="1">
        <f t="array" aca="1" ref="AP19" ca="1">INDEX(Master!$I$2:'Master'!$I$4384,MATCH($A19&amp;AP$2,Master!$A$2:'Master'!$A$4384&amp;Master!$C$2:'Master'!$C$4384,0))</f>
        <v>0</v>
      </c>
      <c r="AQ19" s="21" cm="1">
        <f t="array" aca="1" ref="AQ19" ca="1">INDEX(Master!$I$2:'Master'!$I$4384,MATCH($A19&amp;AQ$2,Master!$A$2:'Master'!$A$4384&amp;Master!$C$2:'Master'!$C$4384,0))</f>
        <v>2</v>
      </c>
      <c r="AR19" s="21" cm="1">
        <f t="array" aca="1" ref="AR19" ca="1">INDEX(Master!$I$2:'Master'!$I$4384,MATCH($A19&amp;AR$2,Master!$A$2:'Master'!$A$4384&amp;Master!$C$2:'Master'!$C$4384,0))</f>
        <v>1</v>
      </c>
      <c r="AS19" s="21" cm="1">
        <f t="array" aca="1" ref="AS19" ca="1">INDEX(Master!$I$2:'Master'!$I$4384,MATCH($A19&amp;AS$2,Master!$A$2:'Master'!$A$4384&amp;Master!$C$2:'Master'!$C$4384,0))</f>
        <v>0</v>
      </c>
      <c r="AT19" s="21" cm="1">
        <f t="array" aca="1" ref="AT19" ca="1">INDEX(Master!$I$2:'Master'!$I$4384,MATCH($A19&amp;AT$2,Master!$A$2:'Master'!$A$4384&amp;Master!$C$2:'Master'!$C$4384,0))</f>
        <v>2</v>
      </c>
      <c r="AU19" s="21" cm="1">
        <f t="array" aca="1" ref="AU19" ca="1">INDEX(Master!$I$2:'Master'!$I$4384,MATCH($A19&amp;AU$2,Master!$A$2:'Master'!$A$4384&amp;Master!$C$2:'Master'!$C$4384,0))</f>
        <v>1</v>
      </c>
      <c r="AV19" s="21" cm="1">
        <f t="array" aca="1" ref="AV19" ca="1">INDEX(Master!$I$2:'Master'!$I$4384,MATCH($A19&amp;AV$2,Master!$A$2:'Master'!$A$4384&amp;Master!$C$2:'Master'!$C$4384,0))</f>
        <v>1</v>
      </c>
      <c r="AW19" s="21" cm="1">
        <f t="array" aca="1" ref="AW19" ca="1">INDEX(Master!$I$2:'Master'!$I$4384,MATCH($A19&amp;AW$2,Master!$A$2:'Master'!$A$4384&amp;Master!$C$2:'Master'!$C$4384,0))</f>
        <v>0</v>
      </c>
      <c r="AX19" s="21" cm="1">
        <f t="array" aca="1" ref="AX19" ca="1">INDEX(Master!$I$2:'Master'!$I$4384,MATCH($A19&amp;AX$2,Master!$A$2:'Master'!$A$4384&amp;Master!$C$2:'Master'!$C$4384,0))</f>
        <v>4</v>
      </c>
      <c r="AY19" s="21" cm="1">
        <f t="array" aca="1" ref="AY19" ca="1">INDEX(Master!$I$2:'Master'!$I$4384,MATCH($A19&amp;AY$2,Master!$A$2:'Master'!$A$4384&amp;Master!$C$2:'Master'!$C$4384,0))</f>
        <v>4</v>
      </c>
      <c r="AZ19" s="21" cm="1">
        <f t="array" aca="1" ref="AZ19" ca="1">INDEX(Master!$I$2:'Master'!$I$4384,MATCH($A19&amp;AZ$2,Master!$A$2:'Master'!$A$4384&amp;Master!$C$2:'Master'!$C$4384,0))</f>
        <v>3</v>
      </c>
      <c r="BA19" s="21" cm="1">
        <f t="array" aca="1" ref="BA19" ca="1">INDEX(Master!$I$2:'Master'!$I$4384,MATCH($A19&amp;BA$2,Master!$A$2:'Master'!$A$4384&amp;Master!$C$2:'Master'!$C$4384,0))</f>
        <v>3</v>
      </c>
      <c r="BB19" s="21" cm="1">
        <f t="array" aca="1" ref="BB19" ca="1">INDEX(Master!$I$2:'Master'!$I$4384,MATCH($A19&amp;BB$2,Master!$A$2:'Master'!$A$4384&amp;Master!$C$2:'Master'!$C$4384,0))</f>
        <v>2</v>
      </c>
      <c r="BC19" s="21" cm="1">
        <f t="array" aca="1" ref="BC19" ca="1">INDEX(Master!$I$2:'Master'!$I$4384,MATCH($A19&amp;BC$2,Master!$A$2:'Master'!$A$4384&amp;Master!$C$2:'Master'!$C$4384,0))</f>
        <v>1</v>
      </c>
      <c r="BD19" s="21" cm="1">
        <f t="array" aca="1" ref="BD19" ca="1">INDEX(Master!$I$2:'Master'!$I$4384,MATCH($A19&amp;BD$2,Master!$A$2:'Master'!$A$4384&amp;Master!$C$2:'Master'!$C$4384,0))</f>
        <v>1</v>
      </c>
      <c r="BE19" s="21" cm="1">
        <f t="array" aca="1" ref="BE19" ca="1">INDEX(Master!$I$2:'Master'!$I$4384,MATCH($A19&amp;BE$2,Master!$A$2:'Master'!$A$4384&amp;Master!$C$2:'Master'!$C$4384,0))</f>
        <v>0</v>
      </c>
      <c r="BF19" s="21" cm="1">
        <f t="array" aca="1" ref="BF19" ca="1">INDEX(Master!$I$2:'Master'!$I$4384,MATCH($A19&amp;BF$2,Master!$A$2:'Master'!$A$4384&amp;Master!$C$2:'Master'!$C$4384,0))</f>
        <v>0</v>
      </c>
      <c r="BG19" s="21" cm="1">
        <f t="array" aca="1" ref="BG19" ca="1">INDEX(Master!$I$2:'Master'!$I$4384,MATCH($A19&amp;BG$2,Master!$A$2:'Master'!$A$4384&amp;Master!$C$2:'Master'!$C$4384,0))</f>
        <v>2</v>
      </c>
      <c r="BH19" s="21" cm="1">
        <f t="array" aca="1" ref="BH19" ca="1">INDEX(Master!$I$2:'Master'!$I$4384,MATCH($A19&amp;BH$2,Master!$A$2:'Master'!$A$4384&amp;Master!$C$2:'Master'!$C$4384,0))</f>
        <v>0</v>
      </c>
      <c r="BI19" s="21" cm="1">
        <f t="array" aca="1" ref="BI19" ca="1">INDEX(Master!$I$2:'Master'!$I$4384,MATCH($A19&amp;BI$2,Master!$A$2:'Master'!$A$4384&amp;Master!$C$2:'Master'!$C$4384,0))</f>
        <v>0</v>
      </c>
      <c r="BJ19" s="21" cm="1">
        <f t="array" aca="1" ref="BJ19" ca="1">INDEX(Master!$I$2:'Master'!$I$4384,MATCH($A19&amp;BJ$2,Master!$A$2:'Master'!$A$4384&amp;Master!$C$2:'Master'!$C$4384,0))</f>
        <v>0</v>
      </c>
      <c r="BK19" s="21" cm="1">
        <f t="array" aca="1" ref="BK19" ca="1">INDEX(Master!$I$2:'Master'!$I$4384,MATCH($A19&amp;BK$2,Master!$A$2:'Master'!$A$4384&amp;Master!$C$2:'Master'!$C$4384,0))</f>
        <v>1</v>
      </c>
      <c r="BL19" s="21" cm="1">
        <f t="array" aca="1" ref="BL19" ca="1">INDEX(Master!$I$2:'Master'!$I$4384,MATCH($A19&amp;BL$2,Master!$A$2:'Master'!$A$4384&amp;Master!$C$2:'Master'!$C$4384,0))</f>
        <v>0</v>
      </c>
      <c r="BM19" s="21" cm="1">
        <f t="array" aca="1" ref="BM19" ca="1">INDEX(Master!$I$2:'Master'!$I$4384,MATCH($A19&amp;BM$2,Master!$A$2:'Master'!$A$4384&amp;Master!$C$2:'Master'!$C$4384,0))</f>
        <v>1</v>
      </c>
      <c r="BN19" s="21" cm="1">
        <f t="array" aca="1" ref="BN19" ca="1">INDEX(Master!$I$2:'Master'!$I$4384,MATCH($A19&amp;BN$2,Master!$A$2:'Master'!$A$4384&amp;Master!$C$2:'Master'!$C$4384,0))</f>
        <v>0</v>
      </c>
      <c r="BO19" s="21" cm="1">
        <f t="array" aca="1" ref="BO19" ca="1">INDEX(Master!$I$2:'Master'!$I$4384,MATCH($A19&amp;BO$2,Master!$A$2:'Master'!$A$4384&amp;Master!$C$2:'Master'!$C$4384,0))</f>
        <v>1</v>
      </c>
      <c r="BP19" s="21" cm="1">
        <f t="array" aca="1" ref="BP19" ca="1">INDEX(Master!$I$2:'Master'!$I$4384,MATCH($A19&amp;BP$2,Master!$A$2:'Master'!$A$4384&amp;Master!$C$2:'Master'!$C$4384,0))</f>
        <v>1</v>
      </c>
      <c r="BQ19" s="21" cm="1">
        <f t="array" aca="1" ref="BQ19" ca="1">INDEX(Master!$I$2:'Master'!$I$4384,MATCH($A19&amp;BQ$2,Master!$A$2:'Master'!$A$4384&amp;Master!$C$2:'Master'!$C$4384,0))</f>
        <v>1</v>
      </c>
      <c r="BR19" s="21" cm="1">
        <f t="array" aca="1" ref="BR19" ca="1">INDEX(Master!$I$2:'Master'!$I$4384,MATCH($A19&amp;BR$2,Master!$A$2:'Master'!$A$4384&amp;Master!$C$2:'Master'!$C$4384,0))</f>
        <v>0</v>
      </c>
      <c r="BS19" s="21" cm="1">
        <f t="array" aca="1" ref="BS19" ca="1">INDEX(Master!$I$2:'Master'!$I$4384,MATCH($A19&amp;BS$2,Master!$A$2:'Master'!$A$4384&amp;Master!$C$2:'Master'!$C$4384,0))</f>
        <v>1</v>
      </c>
      <c r="BT19" s="21" cm="1">
        <f t="array" aca="1" ref="BT19" ca="1">INDEX(Master!$I$2:'Master'!$I$4384,MATCH($A19&amp;BT$2,Master!$A$2:'Master'!$A$4384&amp;Master!$C$2:'Master'!$C$4384,0))</f>
        <v>0</v>
      </c>
      <c r="BU19" s="21" cm="1">
        <f t="array" aca="1" ref="BU19" ca="1">INDEX(Master!$I$2:'Master'!$I$4384,MATCH($A19&amp;BU$2,Master!$A$2:'Master'!$A$4384&amp;Master!$C$2:'Master'!$C$4384,0))</f>
        <v>0</v>
      </c>
      <c r="BV19" s="21" cm="1">
        <f t="array" aca="1" ref="BV19" ca="1">INDEX(Master!$I$2:'Master'!$I$4384,MATCH($A19&amp;BV$2,Master!$A$2:'Master'!$A$4384&amp;Master!$C$2:'Master'!$C$4384,0))</f>
        <v>1</v>
      </c>
      <c r="BW19" s="21" cm="1">
        <f t="array" aca="1" ref="BW19" ca="1">INDEX(Master!$I$2:'Master'!$I$4384,MATCH($A19&amp;BW$2,Master!$A$2:'Master'!$A$4384&amp;Master!$C$2:'Master'!$C$4384,0))</f>
        <v>0</v>
      </c>
      <c r="BX19" s="21" cm="1">
        <f t="array" aca="1" ref="BX19" ca="1">INDEX(Master!$I$2:'Master'!$I$4384,MATCH($A19&amp;BX$2,Master!$A$2:'Master'!$A$4384&amp;Master!$C$2:'Master'!$C$4384,0))</f>
        <v>2</v>
      </c>
      <c r="BY19" s="21" cm="1">
        <f t="array" aca="1" ref="BY19" ca="1">INDEX(Master!$I$2:'Master'!$I$4384,MATCH($A19&amp;BY$2,Master!$A$2:'Master'!$A$4384&amp;Master!$C$2:'Master'!$C$4384,0))</f>
        <v>0</v>
      </c>
      <c r="BZ19" s="21" cm="1">
        <f t="array" aca="1" ref="BZ19" ca="1">INDEX(Master!$I$2:'Master'!$I$4384,MATCH($A19&amp;BZ$2,Master!$A$2:'Master'!$A$4384&amp;Master!$C$2:'Master'!$C$4384,0))</f>
        <v>0</v>
      </c>
      <c r="CA19" s="21" cm="1">
        <f t="array" aca="1" ref="CA19" ca="1">INDEX(Master!$I$2:'Master'!$I$4384,MATCH($A19&amp;CA$2,Master!$A$2:'Master'!$A$4384&amp;Master!$C$2:'Master'!$C$4384,0))</f>
        <v>0</v>
      </c>
      <c r="CB19" s="21" cm="1">
        <f t="array" aca="1" ref="CB19" ca="1">INDEX(Master!$I$2:'Master'!$I$4384,MATCH($A19&amp;CB$2,Master!$A$2:'Master'!$A$4384&amp;Master!$C$2:'Master'!$C$4384,0))</f>
        <v>1</v>
      </c>
      <c r="CC19" s="21" cm="1">
        <f t="array" aca="1" ref="CC19" ca="1">INDEX(Master!$I$2:'Master'!$I$4384,MATCH($A19&amp;CC$2,Master!$A$2:'Master'!$A$4384&amp;Master!$C$2:'Master'!$C$4384,0))</f>
        <v>0</v>
      </c>
      <c r="CD19" s="21" cm="1">
        <f t="array" aca="1" ref="CD19" ca="1">INDEX(Master!$I$2:'Master'!$I$4384,MATCH($A19&amp;CD$2,Master!$A$2:'Master'!$A$4384&amp;Master!$C$2:'Master'!$C$4384,0))</f>
        <v>1</v>
      </c>
      <c r="CE19" s="21" cm="1">
        <f t="array" aca="1" ref="CE19" ca="1">INDEX(Master!$I$2:'Master'!$I$4384,MATCH($A19&amp;CE$2,Master!$A$2:'Master'!$A$4384&amp;Master!$C$2:'Master'!$C$4384,0))</f>
        <v>2</v>
      </c>
      <c r="CF19" s="21" cm="1">
        <f t="array" aca="1" ref="CF19" ca="1">INDEX(Master!$I$2:'Master'!$I$4384,MATCH($A19&amp;CF$2,Master!$A$2:'Master'!$A$4384&amp;Master!$C$2:'Master'!$C$4384,0))</f>
        <v>2</v>
      </c>
      <c r="CG19" s="21" cm="1">
        <f t="array" aca="1" ref="CG19" ca="1">INDEX(Master!$I$2:'Master'!$I$4384,MATCH($A19&amp;CG$2,Master!$A$2:'Master'!$A$4384&amp;Master!$C$2:'Master'!$C$4384,0))</f>
        <v>0</v>
      </c>
      <c r="CH19" s="21" cm="1">
        <f t="array" aca="1" ref="CH19" ca="1">INDEX(Master!$I$2:'Master'!$I$4384,MATCH($A19&amp;CH$2,Master!$A$2:'Master'!$A$4384&amp;Master!$C$2:'Master'!$C$4384,0))</f>
        <v>0</v>
      </c>
      <c r="CI19" s="21" cm="1">
        <f t="array" aca="1" ref="CI19" ca="1">INDEX(Master!$I$2:'Master'!$I$4384,MATCH($A19&amp;CI$2,Master!$A$2:'Master'!$A$4384&amp;Master!$C$2:'Master'!$C$4384,0))</f>
        <v>2</v>
      </c>
      <c r="CJ19" s="21" cm="1">
        <f t="array" aca="1" ref="CJ19" ca="1">INDEX(Master!$I$2:'Master'!$I$4384,MATCH($A19&amp;CJ$2,Master!$A$2:'Master'!$A$4384&amp;Master!$C$2:'Master'!$C$4384,0))</f>
        <v>2</v>
      </c>
      <c r="CK19" s="21" cm="1">
        <f t="array" aca="1" ref="CK19" ca="1">INDEX(Master!$I$2:'Master'!$I$4384,MATCH($A19&amp;CK$2,Master!$A$2:'Master'!$A$4384&amp;Master!$C$2:'Master'!$C$4384,0))</f>
        <v>0</v>
      </c>
      <c r="CL19" s="21" cm="1">
        <f t="array" aca="1" ref="CL19" ca="1">INDEX(Master!$I$2:'Master'!$I$4384,MATCH($A19&amp;CL$2,Master!$A$2:'Master'!$A$4384&amp;Master!$C$2:'Master'!$C$4384,0))</f>
        <v>0</v>
      </c>
      <c r="CM19" s="21" cm="1">
        <f t="array" aca="1" ref="CM19" ca="1">INDEX(Master!$I$2:'Master'!$I$4384,MATCH($A19&amp;CM$2,Master!$A$2:'Master'!$A$4384&amp;Master!$C$2:'Master'!$C$4384,0))</f>
        <v>0</v>
      </c>
      <c r="CN19" s="21" cm="1">
        <f t="array" aca="1" ref="CN19" ca="1">INDEX(Master!$I$2:'Master'!$I$4384,MATCH($A19&amp;CN$2,Master!$A$2:'Master'!$A$4384&amp;Master!$C$2:'Master'!$C$4384,0))</f>
        <v>0</v>
      </c>
      <c r="CO19" s="21" cm="1">
        <f t="array" aca="1" ref="CO19" ca="1">INDEX(Master!$I$2:'Master'!$I$4384,MATCH($A19&amp;CO$2,Master!$A$2:'Master'!$A$4384&amp;Master!$C$2:'Master'!$C$4384,0))</f>
        <v>0</v>
      </c>
      <c r="CP19" s="21" cm="1">
        <f t="array" aca="1" ref="CP19" ca="1">INDEX(Master!$I$2:'Master'!$I$4384,MATCH($A19&amp;CP$2,Master!$A$2:'Master'!$A$4384&amp;Master!$C$2:'Master'!$C$4384,0))</f>
        <v>0</v>
      </c>
      <c r="CQ19" s="21" cm="1">
        <f t="array" aca="1" ref="CQ19" ca="1">INDEX(Master!$I$2:'Master'!$I$4384,MATCH($A19&amp;CQ$2,Master!$A$2:'Master'!$A$4384&amp;Master!$C$2:'Master'!$C$4384,0))</f>
        <v>0</v>
      </c>
      <c r="CR19" s="21" cm="1">
        <f t="array" aca="1" ref="CR19" ca="1">INDEX(Master!$I$2:'Master'!$I$4384,MATCH($A19&amp;CR$2,Master!$A$2:'Master'!$A$4384&amp;Master!$C$2:'Master'!$C$4384,0))</f>
        <v>0</v>
      </c>
      <c r="CS19" s="21" cm="1">
        <f t="array" aca="1" ref="CS19" ca="1">INDEX(Master!$I$2:'Master'!$I$4384,MATCH($A19&amp;CS$2,Master!$A$2:'Master'!$A$4384&amp;Master!$C$2:'Master'!$C$4384,0))</f>
        <v>0</v>
      </c>
    </row>
    <row r="20" spans="1:97">
      <c r="A20" t="str">
        <f>VLOOKUP(Staff!$A18,Staff!$A$1:A$73,1,FALSE)</f>
        <v>Catherine Cawood</v>
      </c>
      <c r="B20" s="21" cm="1">
        <f t="array" aca="1" ref="B20" ca="1">INDEX(Master!$I$2:'Master'!$I$4384,MATCH($A20&amp;B$2,Master!$A$2:'Master'!$A$4384&amp;Master!$C$2:'Master'!$C$4384,0))</f>
        <v>2</v>
      </c>
      <c r="C20" s="21" cm="1">
        <f t="array" aca="1" ref="C20" ca="1">INDEX(Master!$I$2:'Master'!$I$4384,MATCH($A20&amp;C$2,Master!$A$2:'Master'!$A$4384&amp;Master!$C$2:'Master'!$C$4384,0))</f>
        <v>3</v>
      </c>
      <c r="D20" s="21" cm="1">
        <f t="array" aca="1" ref="D20" ca="1">INDEX(Master!$I$2:'Master'!$I$4384,MATCH($A20&amp;D$2,Master!$A$2:'Master'!$A$4384&amp;Master!$C$2:'Master'!$C$4384,0))</f>
        <v>3</v>
      </c>
      <c r="E20" s="21" cm="1">
        <f t="array" aca="1" ref="E20" ca="1">INDEX(Master!$I$2:'Master'!$I$4384,MATCH($A20&amp;E$2,Master!$A$2:'Master'!$A$4384&amp;Master!$C$2:'Master'!$C$4384,0))</f>
        <v>2</v>
      </c>
      <c r="F20" s="21" cm="1">
        <f t="array" aca="1" ref="F20" ca="1">INDEX(Master!$I$2:'Master'!$I$4384,MATCH($A20&amp;F$2,Master!$A$2:'Master'!$A$4384&amp;Master!$C$2:'Master'!$C$4384,0))</f>
        <v>3</v>
      </c>
      <c r="G20" s="21" cm="1">
        <f t="array" aca="1" ref="G20" ca="1">INDEX(Master!$I$2:'Master'!$I$4384,MATCH($A20&amp;G$2,Master!$A$2:'Master'!$A$4384&amp;Master!$C$2:'Master'!$C$4384,0))</f>
        <v>2</v>
      </c>
      <c r="H20" s="21" cm="1">
        <f t="array" aca="1" ref="H20" ca="1">INDEX(Master!$I$2:'Master'!$I$4384,MATCH($A20&amp;H$2,Master!$A$2:'Master'!$A$4384&amp;Master!$C$2:'Master'!$C$4384,0))</f>
        <v>2</v>
      </c>
      <c r="I20" s="21" cm="1">
        <f t="array" aca="1" ref="I20" ca="1">INDEX(Master!$I$2:'Master'!$I$4384,MATCH($A20&amp;I$2,Master!$A$2:'Master'!$A$4384&amp;Master!$C$2:'Master'!$C$4384,0))</f>
        <v>2</v>
      </c>
      <c r="J20" s="21" cm="1">
        <f t="array" aca="1" ref="J20" ca="1">INDEX(Master!$I$2:'Master'!$I$4384,MATCH($A20&amp;J$2,Master!$A$2:'Master'!$A$4384&amp;Master!$C$2:'Master'!$C$4384,0))</f>
        <v>2</v>
      </c>
      <c r="K20" s="21" cm="1">
        <f t="array" aca="1" ref="K20" ca="1">INDEX(Master!$I$2:'Master'!$I$4384,MATCH($A20&amp;K$2,Master!$A$2:'Master'!$A$4384&amp;Master!$C$2:'Master'!$C$4384,0))</f>
        <v>2</v>
      </c>
      <c r="L20" s="21" cm="1">
        <f t="array" aca="1" ref="L20" ca="1">INDEX(Master!$I$2:'Master'!$I$4384,MATCH($A20&amp;L$2,Master!$A$2:'Master'!$A$4384&amp;Master!$C$2:'Master'!$C$4384,0))</f>
        <v>2</v>
      </c>
      <c r="M20" s="21" cm="1">
        <f t="array" aca="1" ref="M20" ca="1">INDEX(Master!$I$2:'Master'!$I$4384,MATCH($A20&amp;M$2,Master!$A$2:'Master'!$A$4384&amp;Master!$C$2:'Master'!$C$4384,0))</f>
        <v>2</v>
      </c>
      <c r="N20" s="21" cm="1">
        <f t="array" aca="1" ref="N20" ca="1">INDEX(Master!$I$2:'Master'!$I$4384,MATCH($A20&amp;N$2,Master!$A$2:'Master'!$A$4384&amp;Master!$C$2:'Master'!$C$4384,0))</f>
        <v>2</v>
      </c>
      <c r="O20" s="21" cm="1">
        <f t="array" aca="1" ref="O20" ca="1">INDEX(Master!$I$2:'Master'!$I$4384,MATCH($A20&amp;O$2,Master!$A$2:'Master'!$A$4384&amp;Master!$C$2:'Master'!$C$4384,0))</f>
        <v>1</v>
      </c>
      <c r="P20" s="21" cm="1">
        <f t="array" aca="1" ref="P20" ca="1">INDEX(Master!$I$2:'Master'!$I$4384,MATCH($A20&amp;P$2,Master!$A$2:'Master'!$A$4384&amp;Master!$C$2:'Master'!$C$4384,0))</f>
        <v>2</v>
      </c>
      <c r="Q20" s="21" cm="1">
        <f t="array" aca="1" ref="Q20" ca="1">INDEX(Master!$I$2:'Master'!$I$4384,MATCH($A20&amp;Q$2,Master!$A$2:'Master'!$A$4384&amp;Master!$C$2:'Master'!$C$4384,0))</f>
        <v>1</v>
      </c>
      <c r="R20" s="21" cm="1">
        <f t="array" aca="1" ref="R20" ca="1">INDEX(Master!$I$2:'Master'!$I$4384,MATCH($A20&amp;R$2,Master!$A$2:'Master'!$A$4384&amp;Master!$C$2:'Master'!$C$4384,0))</f>
        <v>1</v>
      </c>
      <c r="S20" s="21" cm="1">
        <f t="array" aca="1" ref="S20" ca="1">INDEX(Master!$I$2:'Master'!$I$4384,MATCH($A20&amp;S$2,Master!$A$2:'Master'!$A$4384&amp;Master!$C$2:'Master'!$C$4384,0))</f>
        <v>1</v>
      </c>
      <c r="T20" s="21" cm="1">
        <f t="array" aca="1" ref="T20" ca="1">INDEX(Master!$I$2:'Master'!$I$4384,MATCH($A20&amp;T$2,Master!$A$2:'Master'!$A$4384&amp;Master!$C$2:'Master'!$C$4384,0))</f>
        <v>2</v>
      </c>
      <c r="U20" s="21" cm="1">
        <f t="array" aca="1" ref="U20" ca="1">INDEX(Master!$I$2:'Master'!$I$4384,MATCH($A20&amp;U$2,Master!$A$2:'Master'!$A$4384&amp;Master!$C$2:'Master'!$C$4384,0))</f>
        <v>2</v>
      </c>
      <c r="V20" s="21" cm="1">
        <f t="array" aca="1" ref="V20" ca="1">INDEX(Master!$I$2:'Master'!$I$4384,MATCH($A20&amp;V$2,Master!$A$2:'Master'!$A$4384&amp;Master!$C$2:'Master'!$C$4384,0))</f>
        <v>1</v>
      </c>
      <c r="W20" s="21" cm="1">
        <f t="array" aca="1" ref="W20" ca="1">INDEX(Master!$I$2:'Master'!$I$4384,MATCH($A20&amp;W$2,Master!$A$2:'Master'!$A$4384&amp;Master!$C$2:'Master'!$C$4384,0))</f>
        <v>1</v>
      </c>
      <c r="X20" s="21" cm="1">
        <f t="array" aca="1" ref="X20" ca="1">INDEX(Master!$I$2:'Master'!$I$4384,MATCH($A20&amp;X$2,Master!$A$2:'Master'!$A$4384&amp;Master!$C$2:'Master'!$C$4384,0))</f>
        <v>0</v>
      </c>
      <c r="Y20" s="21" cm="1">
        <f t="array" aca="1" ref="Y20" ca="1">INDEX(Master!$I$2:'Master'!$I$4384,MATCH($A20&amp;Y$2,Master!$A$2:'Master'!$A$4384&amp;Master!$C$2:'Master'!$C$4384,0))</f>
        <v>0</v>
      </c>
      <c r="Z20" s="21" cm="1">
        <f t="array" aca="1" ref="Z20" ca="1">INDEX(Master!$I$2:'Master'!$I$4384,MATCH($A20&amp;Z$2,Master!$A$2:'Master'!$A$4384&amp;Master!$C$2:'Master'!$C$4384,0))</f>
        <v>0</v>
      </c>
      <c r="AA20" s="21" cm="1">
        <f t="array" aca="1" ref="AA20" ca="1">INDEX(Master!$I$2:'Master'!$I$4384,MATCH($A20&amp;AA$2,Master!$A$2:'Master'!$A$4384&amp;Master!$C$2:'Master'!$C$4384,0))</f>
        <v>0</v>
      </c>
      <c r="AB20" s="21" cm="1">
        <f t="array" aca="1" ref="AB20" ca="1">INDEX(Master!$I$2:'Master'!$I$4384,MATCH($A20&amp;AB$2,Master!$A$2:'Master'!$A$4384&amp;Master!$C$2:'Master'!$C$4384,0))</f>
        <v>0</v>
      </c>
      <c r="AC20" s="21" cm="1">
        <f t="array" aca="1" ref="AC20" ca="1">INDEX(Master!$I$2:'Master'!$I$4384,MATCH($A20&amp;AC$2,Master!$A$2:'Master'!$A$4384&amp;Master!$C$2:'Master'!$C$4384,0))</f>
        <v>0</v>
      </c>
      <c r="AD20" s="21" cm="1">
        <f t="array" aca="1" ref="AD20" ca="1">INDEX(Master!$I$2:'Master'!$I$4384,MATCH($A20&amp;AD$2,Master!$A$2:'Master'!$A$4384&amp;Master!$C$2:'Master'!$C$4384,0))</f>
        <v>0</v>
      </c>
      <c r="AE20" s="21" cm="1">
        <f t="array" aca="1" ref="AE20" ca="1">INDEX(Master!$I$2:'Master'!$I$4384,MATCH($A20&amp;AE$2,Master!$A$2:'Master'!$A$4384&amp;Master!$C$2:'Master'!$C$4384,0))</f>
        <v>1</v>
      </c>
      <c r="AF20" s="21" cm="1">
        <f t="array" aca="1" ref="AF20" ca="1">INDEX(Master!$I$2:'Master'!$I$4384,MATCH($A20&amp;AF$2,Master!$A$2:'Master'!$A$4384&amp;Master!$C$2:'Master'!$C$4384,0))</f>
        <v>1</v>
      </c>
      <c r="AG20" s="21" cm="1">
        <f t="array" aca="1" ref="AG20" ca="1">INDEX(Master!$I$2:'Master'!$I$4384,MATCH($A20&amp;AG$2,Master!$A$2:'Master'!$A$4384&amp;Master!$C$2:'Master'!$C$4384,0))</f>
        <v>0</v>
      </c>
      <c r="AH20" s="21" cm="1">
        <f t="array" aca="1" ref="AH20" ca="1">INDEX(Master!$I$2:'Master'!$I$4384,MATCH($A20&amp;AH$2,Master!$A$2:'Master'!$A$4384&amp;Master!$C$2:'Master'!$C$4384,0))</f>
        <v>2</v>
      </c>
      <c r="AI20" s="21" cm="1">
        <f t="array" aca="1" ref="AI20" ca="1">INDEX(Master!$I$2:'Master'!$I$4384,MATCH($A20&amp;AI$2,Master!$A$2:'Master'!$A$4384&amp;Master!$C$2:'Master'!$C$4384,0))</f>
        <v>1</v>
      </c>
      <c r="AJ20" s="21" cm="1">
        <f t="array" aca="1" ref="AJ20" ca="1">INDEX(Master!$I$2:'Master'!$I$4384,MATCH($A20&amp;AJ$2,Master!$A$2:'Master'!$A$4384&amp;Master!$C$2:'Master'!$C$4384,0))</f>
        <v>2</v>
      </c>
      <c r="AK20" s="21" cm="1">
        <f t="array" aca="1" ref="AK20" ca="1">INDEX(Master!$I$2:'Master'!$I$4384,MATCH($A20&amp;AK$2,Master!$A$2:'Master'!$A$4384&amp;Master!$C$2:'Master'!$C$4384,0))</f>
        <v>2</v>
      </c>
      <c r="AL20" s="21" cm="1">
        <f t="array" aca="1" ref="AL20" ca="1">INDEX(Master!$I$2:'Master'!$I$4384,MATCH($A20&amp;AL$2,Master!$A$2:'Master'!$A$4384&amp;Master!$C$2:'Master'!$C$4384,0))</f>
        <v>1</v>
      </c>
      <c r="AM20" s="21" cm="1">
        <f t="array" aca="1" ref="AM20" ca="1">INDEX(Master!$I$2:'Master'!$I$4384,MATCH($A20&amp;AM$2,Master!$A$2:'Master'!$A$4384&amp;Master!$C$2:'Master'!$C$4384,0))</f>
        <v>2</v>
      </c>
      <c r="AN20" s="21" cm="1">
        <f t="array" aca="1" ref="AN20" ca="1">INDEX(Master!$I$2:'Master'!$I$4384,MATCH($A20&amp;AN$2,Master!$A$2:'Master'!$A$4384&amp;Master!$C$2:'Master'!$C$4384,0))</f>
        <v>2</v>
      </c>
      <c r="AO20" s="21" cm="1">
        <f t="array" aca="1" ref="AO20" ca="1">INDEX(Master!$I$2:'Master'!$I$4384,MATCH($A20&amp;AO$2,Master!$A$2:'Master'!$A$4384&amp;Master!$C$2:'Master'!$C$4384,0))</f>
        <v>1</v>
      </c>
      <c r="AP20" s="21" cm="1">
        <f t="array" aca="1" ref="AP20" ca="1">INDEX(Master!$I$2:'Master'!$I$4384,MATCH($A20&amp;AP$2,Master!$A$2:'Master'!$A$4384&amp;Master!$C$2:'Master'!$C$4384,0))</f>
        <v>1</v>
      </c>
      <c r="AQ20" s="21" cm="1">
        <f t="array" aca="1" ref="AQ20" ca="1">INDEX(Master!$I$2:'Master'!$I$4384,MATCH($A20&amp;AQ$2,Master!$A$2:'Master'!$A$4384&amp;Master!$C$2:'Master'!$C$4384,0))</f>
        <v>1</v>
      </c>
      <c r="AR20" s="21" cm="1">
        <f t="array" aca="1" ref="AR20" ca="1">INDEX(Master!$I$2:'Master'!$I$4384,MATCH($A20&amp;AR$2,Master!$A$2:'Master'!$A$4384&amp;Master!$C$2:'Master'!$C$4384,0))</f>
        <v>1</v>
      </c>
      <c r="AS20" s="21" cm="1">
        <f t="array" aca="1" ref="AS20" ca="1">INDEX(Master!$I$2:'Master'!$I$4384,MATCH($A20&amp;AS$2,Master!$A$2:'Master'!$A$4384&amp;Master!$C$2:'Master'!$C$4384,0))</f>
        <v>0</v>
      </c>
      <c r="AT20" s="21" cm="1">
        <f t="array" aca="1" ref="AT20" ca="1">INDEX(Master!$I$2:'Master'!$I$4384,MATCH($A20&amp;AT$2,Master!$A$2:'Master'!$A$4384&amp;Master!$C$2:'Master'!$C$4384,0))</f>
        <v>1</v>
      </c>
      <c r="AU20" s="21" cm="1">
        <f t="array" aca="1" ref="AU20" ca="1">INDEX(Master!$I$2:'Master'!$I$4384,MATCH($A20&amp;AU$2,Master!$A$2:'Master'!$A$4384&amp;Master!$C$2:'Master'!$C$4384,0))</f>
        <v>0</v>
      </c>
      <c r="AV20" s="21" cm="1">
        <f t="array" aca="1" ref="AV20" ca="1">INDEX(Master!$I$2:'Master'!$I$4384,MATCH($A20&amp;AV$2,Master!$A$2:'Master'!$A$4384&amp;Master!$C$2:'Master'!$C$4384,0))</f>
        <v>1</v>
      </c>
      <c r="AW20" s="21" cm="1">
        <f t="array" aca="1" ref="AW20" ca="1">INDEX(Master!$I$2:'Master'!$I$4384,MATCH($A20&amp;AW$2,Master!$A$2:'Master'!$A$4384&amp;Master!$C$2:'Master'!$C$4384,0))</f>
        <v>0</v>
      </c>
      <c r="AX20" s="21" cm="1">
        <f t="array" aca="1" ref="AX20" ca="1">INDEX(Master!$I$2:'Master'!$I$4384,MATCH($A20&amp;AX$2,Master!$A$2:'Master'!$A$4384&amp;Master!$C$2:'Master'!$C$4384,0))</f>
        <v>1</v>
      </c>
      <c r="AY20" s="21" cm="1">
        <f t="array" aca="1" ref="AY20" ca="1">INDEX(Master!$I$2:'Master'!$I$4384,MATCH($A20&amp;AY$2,Master!$A$2:'Master'!$A$4384&amp;Master!$C$2:'Master'!$C$4384,0))</f>
        <v>1</v>
      </c>
      <c r="AZ20" s="21" cm="1">
        <f t="array" aca="1" ref="AZ20" ca="1">INDEX(Master!$I$2:'Master'!$I$4384,MATCH($A20&amp;AZ$2,Master!$A$2:'Master'!$A$4384&amp;Master!$C$2:'Master'!$C$4384,0))</f>
        <v>0</v>
      </c>
      <c r="BA20" s="21" cm="1">
        <f t="array" aca="1" ref="BA20" ca="1">INDEX(Master!$I$2:'Master'!$I$4384,MATCH($A20&amp;BA$2,Master!$A$2:'Master'!$A$4384&amp;Master!$C$2:'Master'!$C$4384,0))</f>
        <v>0</v>
      </c>
      <c r="BB20" s="21" cm="1">
        <f t="array" aca="1" ref="BB20" ca="1">INDEX(Master!$I$2:'Master'!$I$4384,MATCH($A20&amp;BB$2,Master!$A$2:'Master'!$A$4384&amp;Master!$C$2:'Master'!$C$4384,0))</f>
        <v>1</v>
      </c>
      <c r="BC20" s="21" cm="1">
        <f t="array" aca="1" ref="BC20" ca="1">INDEX(Master!$I$2:'Master'!$I$4384,MATCH($A20&amp;BC$2,Master!$A$2:'Master'!$A$4384&amp;Master!$C$2:'Master'!$C$4384,0))</f>
        <v>0</v>
      </c>
      <c r="BD20" s="21" cm="1">
        <f t="array" aca="1" ref="BD20" ca="1">INDEX(Master!$I$2:'Master'!$I$4384,MATCH($A20&amp;BD$2,Master!$A$2:'Master'!$A$4384&amp;Master!$C$2:'Master'!$C$4384,0))</f>
        <v>2</v>
      </c>
      <c r="BE20" s="21" cm="1">
        <f t="array" aca="1" ref="BE20" ca="1">INDEX(Master!$I$2:'Master'!$I$4384,MATCH($A20&amp;BE$2,Master!$A$2:'Master'!$A$4384&amp;Master!$C$2:'Master'!$C$4384,0))</f>
        <v>0</v>
      </c>
      <c r="BF20" s="21" cm="1">
        <f t="array" aca="1" ref="BF20" ca="1">INDEX(Master!$I$2:'Master'!$I$4384,MATCH($A20&amp;BF$2,Master!$A$2:'Master'!$A$4384&amp;Master!$C$2:'Master'!$C$4384,0))</f>
        <v>1</v>
      </c>
      <c r="BG20" s="21" cm="1">
        <f t="array" aca="1" ref="BG20" ca="1">INDEX(Master!$I$2:'Master'!$I$4384,MATCH($A20&amp;BG$2,Master!$A$2:'Master'!$A$4384&amp;Master!$C$2:'Master'!$C$4384,0))</f>
        <v>0</v>
      </c>
      <c r="BH20" s="21" cm="1">
        <f t="array" aca="1" ref="BH20" ca="1">INDEX(Master!$I$2:'Master'!$I$4384,MATCH($A20&amp;BH$2,Master!$A$2:'Master'!$A$4384&amp;Master!$C$2:'Master'!$C$4384,0))</f>
        <v>0</v>
      </c>
      <c r="BI20" s="21" cm="1">
        <f t="array" aca="1" ref="BI20" ca="1">INDEX(Master!$I$2:'Master'!$I$4384,MATCH($A20&amp;BI$2,Master!$A$2:'Master'!$A$4384&amp;Master!$C$2:'Master'!$C$4384,0))</f>
        <v>0</v>
      </c>
      <c r="BJ20" s="21" cm="1">
        <f t="array" aca="1" ref="BJ20" ca="1">INDEX(Master!$I$2:'Master'!$I$4384,MATCH($A20&amp;BJ$2,Master!$A$2:'Master'!$A$4384&amp;Master!$C$2:'Master'!$C$4384,0))</f>
        <v>0</v>
      </c>
      <c r="BK20" s="21" cm="1">
        <f t="array" aca="1" ref="BK20" ca="1">INDEX(Master!$I$2:'Master'!$I$4384,MATCH($A20&amp;BK$2,Master!$A$2:'Master'!$A$4384&amp;Master!$C$2:'Master'!$C$4384,0))</f>
        <v>1</v>
      </c>
      <c r="BL20" s="21" cm="1">
        <f t="array" aca="1" ref="BL20" ca="1">INDEX(Master!$I$2:'Master'!$I$4384,MATCH($A20&amp;BL$2,Master!$A$2:'Master'!$A$4384&amp;Master!$C$2:'Master'!$C$4384,0))</f>
        <v>1</v>
      </c>
      <c r="BM20" s="21" cm="1">
        <f t="array" aca="1" ref="BM20" ca="1">INDEX(Master!$I$2:'Master'!$I$4384,MATCH($A20&amp;BM$2,Master!$A$2:'Master'!$A$4384&amp;Master!$C$2:'Master'!$C$4384,0))</f>
        <v>1</v>
      </c>
      <c r="BN20" s="21" cm="1">
        <f t="array" aca="1" ref="BN20" ca="1">INDEX(Master!$I$2:'Master'!$I$4384,MATCH($A20&amp;BN$2,Master!$A$2:'Master'!$A$4384&amp;Master!$C$2:'Master'!$C$4384,0))</f>
        <v>1</v>
      </c>
      <c r="BO20" s="21" cm="1">
        <f t="array" aca="1" ref="BO20" ca="1">INDEX(Master!$I$2:'Master'!$I$4384,MATCH($A20&amp;BO$2,Master!$A$2:'Master'!$A$4384&amp;Master!$C$2:'Master'!$C$4384,0))</f>
        <v>0</v>
      </c>
      <c r="BP20" s="21" cm="1">
        <f t="array" aca="1" ref="BP20" ca="1">INDEX(Master!$I$2:'Master'!$I$4384,MATCH($A20&amp;BP$2,Master!$A$2:'Master'!$A$4384&amp;Master!$C$2:'Master'!$C$4384,0))</f>
        <v>0</v>
      </c>
      <c r="BQ20" s="21" cm="1">
        <f t="array" aca="1" ref="BQ20" ca="1">INDEX(Master!$I$2:'Master'!$I$4384,MATCH($A20&amp;BQ$2,Master!$A$2:'Master'!$A$4384&amp;Master!$C$2:'Master'!$C$4384,0))</f>
        <v>1</v>
      </c>
      <c r="BR20" s="21" cm="1">
        <f t="array" aca="1" ref="BR20" ca="1">INDEX(Master!$I$2:'Master'!$I$4384,MATCH($A20&amp;BR$2,Master!$A$2:'Master'!$A$4384&amp;Master!$C$2:'Master'!$C$4384,0))</f>
        <v>1</v>
      </c>
      <c r="BS20" s="21" cm="1">
        <f t="array" aca="1" ref="BS20" ca="1">INDEX(Master!$I$2:'Master'!$I$4384,MATCH($A20&amp;BS$2,Master!$A$2:'Master'!$A$4384&amp;Master!$C$2:'Master'!$C$4384,0))</f>
        <v>2</v>
      </c>
      <c r="BT20" s="21" cm="1">
        <f t="array" aca="1" ref="BT20" ca="1">INDEX(Master!$I$2:'Master'!$I$4384,MATCH($A20&amp;BT$2,Master!$A$2:'Master'!$A$4384&amp;Master!$C$2:'Master'!$C$4384,0))</f>
        <v>1</v>
      </c>
      <c r="BU20" s="21" cm="1">
        <f t="array" aca="1" ref="BU20" ca="1">INDEX(Master!$I$2:'Master'!$I$4384,MATCH($A20&amp;BU$2,Master!$A$2:'Master'!$A$4384&amp;Master!$C$2:'Master'!$C$4384,0))</f>
        <v>0</v>
      </c>
      <c r="BV20" s="21" cm="1">
        <f t="array" aca="1" ref="BV20" ca="1">INDEX(Master!$I$2:'Master'!$I$4384,MATCH($A20&amp;BV$2,Master!$A$2:'Master'!$A$4384&amp;Master!$C$2:'Master'!$C$4384,0))</f>
        <v>0</v>
      </c>
      <c r="BW20" s="21" cm="1">
        <f t="array" aca="1" ref="BW20" ca="1">INDEX(Master!$I$2:'Master'!$I$4384,MATCH($A20&amp;BW$2,Master!$A$2:'Master'!$A$4384&amp;Master!$C$2:'Master'!$C$4384,0))</f>
        <v>1</v>
      </c>
      <c r="BX20" s="21" cm="1">
        <f t="array" aca="1" ref="BX20" ca="1">INDEX(Master!$I$2:'Master'!$I$4384,MATCH($A20&amp;BX$2,Master!$A$2:'Master'!$A$4384&amp;Master!$C$2:'Master'!$C$4384,0))</f>
        <v>0</v>
      </c>
      <c r="BY20" s="21" cm="1">
        <f t="array" aca="1" ref="BY20" ca="1">INDEX(Master!$I$2:'Master'!$I$4384,MATCH($A20&amp;BY$2,Master!$A$2:'Master'!$A$4384&amp;Master!$C$2:'Master'!$C$4384,0))</f>
        <v>0</v>
      </c>
      <c r="BZ20" s="21" cm="1">
        <f t="array" aca="1" ref="BZ20" ca="1">INDEX(Master!$I$2:'Master'!$I$4384,MATCH($A20&amp;BZ$2,Master!$A$2:'Master'!$A$4384&amp;Master!$C$2:'Master'!$C$4384,0))</f>
        <v>0</v>
      </c>
      <c r="CA20" s="21" cm="1">
        <f t="array" aca="1" ref="CA20" ca="1">INDEX(Master!$I$2:'Master'!$I$4384,MATCH($A20&amp;CA$2,Master!$A$2:'Master'!$A$4384&amp;Master!$C$2:'Master'!$C$4384,0))</f>
        <v>0</v>
      </c>
      <c r="CB20" s="21" cm="1">
        <f t="array" aca="1" ref="CB20" ca="1">INDEX(Master!$I$2:'Master'!$I$4384,MATCH($A20&amp;CB$2,Master!$A$2:'Master'!$A$4384&amp;Master!$C$2:'Master'!$C$4384,0))</f>
        <v>1</v>
      </c>
      <c r="CC20" s="21" cm="1">
        <f t="array" aca="1" ref="CC20" ca="1">INDEX(Master!$I$2:'Master'!$I$4384,MATCH($A20&amp;CC$2,Master!$A$2:'Master'!$A$4384&amp;Master!$C$2:'Master'!$C$4384,0))</f>
        <v>1</v>
      </c>
      <c r="CD20" s="21" cm="1">
        <f t="array" aca="1" ref="CD20" ca="1">INDEX(Master!$I$2:'Master'!$I$4384,MATCH($A20&amp;CD$2,Master!$A$2:'Master'!$A$4384&amp;Master!$C$2:'Master'!$C$4384,0))</f>
        <v>1</v>
      </c>
      <c r="CE20" s="21" cm="1">
        <f t="array" aca="1" ref="CE20" ca="1">INDEX(Master!$I$2:'Master'!$I$4384,MATCH($A20&amp;CE$2,Master!$A$2:'Master'!$A$4384&amp;Master!$C$2:'Master'!$C$4384,0))</f>
        <v>3</v>
      </c>
      <c r="CF20" s="21" cm="1">
        <f t="array" aca="1" ref="CF20" ca="1">INDEX(Master!$I$2:'Master'!$I$4384,MATCH($A20&amp;CF$2,Master!$A$2:'Master'!$A$4384&amp;Master!$C$2:'Master'!$C$4384,0))</f>
        <v>2</v>
      </c>
      <c r="CG20" s="21" cm="1">
        <f t="array" aca="1" ref="CG20" ca="1">INDEX(Master!$I$2:'Master'!$I$4384,MATCH($A20&amp;CG$2,Master!$A$2:'Master'!$A$4384&amp;Master!$C$2:'Master'!$C$4384,0))</f>
        <v>2</v>
      </c>
      <c r="CH20" s="21" cm="1">
        <f t="array" aca="1" ref="CH20" ca="1">INDEX(Master!$I$2:'Master'!$I$4384,MATCH($A20&amp;CH$2,Master!$A$2:'Master'!$A$4384&amp;Master!$C$2:'Master'!$C$4384,0))</f>
        <v>2</v>
      </c>
      <c r="CI20" s="21" cm="1">
        <f t="array" aca="1" ref="CI20" ca="1">INDEX(Master!$I$2:'Master'!$I$4384,MATCH($A20&amp;CI$2,Master!$A$2:'Master'!$A$4384&amp;Master!$C$2:'Master'!$C$4384,0))</f>
        <v>2</v>
      </c>
      <c r="CJ20" s="21" cm="1">
        <f t="array" aca="1" ref="CJ20" ca="1">INDEX(Master!$I$2:'Master'!$I$4384,MATCH($A20&amp;CJ$2,Master!$A$2:'Master'!$A$4384&amp;Master!$C$2:'Master'!$C$4384,0))</f>
        <v>1</v>
      </c>
      <c r="CK20" s="21" cm="1">
        <f t="array" aca="1" ref="CK20" ca="1">INDEX(Master!$I$2:'Master'!$I$4384,MATCH($A20&amp;CK$2,Master!$A$2:'Master'!$A$4384&amp;Master!$C$2:'Master'!$C$4384,0))</f>
        <v>0</v>
      </c>
      <c r="CL20" s="21" cm="1">
        <f t="array" aca="1" ref="CL20" ca="1">INDEX(Master!$I$2:'Master'!$I$4384,MATCH($A20&amp;CL$2,Master!$A$2:'Master'!$A$4384&amp;Master!$C$2:'Master'!$C$4384,0))</f>
        <v>0</v>
      </c>
      <c r="CM20" s="21" cm="1">
        <f t="array" aca="1" ref="CM20" ca="1">INDEX(Master!$I$2:'Master'!$I$4384,MATCH($A20&amp;CM$2,Master!$A$2:'Master'!$A$4384&amp;Master!$C$2:'Master'!$C$4384,0))</f>
        <v>0</v>
      </c>
      <c r="CN20" s="21" cm="1">
        <f t="array" aca="1" ref="CN20" ca="1">INDEX(Master!$I$2:'Master'!$I$4384,MATCH($A20&amp;CN$2,Master!$A$2:'Master'!$A$4384&amp;Master!$C$2:'Master'!$C$4384,0))</f>
        <v>0</v>
      </c>
      <c r="CO20" s="21" cm="1">
        <f t="array" aca="1" ref="CO20" ca="1">INDEX(Master!$I$2:'Master'!$I$4384,MATCH($A20&amp;CO$2,Master!$A$2:'Master'!$A$4384&amp;Master!$C$2:'Master'!$C$4384,0))</f>
        <v>0</v>
      </c>
      <c r="CP20" s="21" cm="1">
        <f t="array" aca="1" ref="CP20" ca="1">INDEX(Master!$I$2:'Master'!$I$4384,MATCH($A20&amp;CP$2,Master!$A$2:'Master'!$A$4384&amp;Master!$C$2:'Master'!$C$4384,0))</f>
        <v>0</v>
      </c>
      <c r="CQ20" s="21" cm="1">
        <f t="array" aca="1" ref="CQ20" ca="1">INDEX(Master!$I$2:'Master'!$I$4384,MATCH($A20&amp;CQ$2,Master!$A$2:'Master'!$A$4384&amp;Master!$C$2:'Master'!$C$4384,0))</f>
        <v>0</v>
      </c>
      <c r="CR20" s="21" cm="1">
        <f t="array" aca="1" ref="CR20" ca="1">INDEX(Master!$I$2:'Master'!$I$4384,MATCH($A20&amp;CR$2,Master!$A$2:'Master'!$A$4384&amp;Master!$C$2:'Master'!$C$4384,0))</f>
        <v>0</v>
      </c>
      <c r="CS20" s="21" cm="1">
        <f t="array" aca="1" ref="CS20" ca="1">INDEX(Master!$I$2:'Master'!$I$4384,MATCH($A20&amp;CS$2,Master!$A$2:'Master'!$A$4384&amp;Master!$C$2:'Master'!$C$4384,0))</f>
        <v>1</v>
      </c>
    </row>
    <row r="21" spans="1:97">
      <c r="A21" t="str">
        <f>VLOOKUP(Staff!$A19,Staff!$A$1:A$73,1,FALSE)</f>
        <v>Cassie Stuart</v>
      </c>
      <c r="B21" s="21" cm="1">
        <f t="array" aca="1" ref="B21" ca="1">INDEX(Master!$I$2:'Master'!$I$4384,MATCH($A21&amp;B$2,Master!$A$2:'Master'!$A$4384&amp;Master!$C$2:'Master'!$C$4384,0))</f>
        <v>3</v>
      </c>
      <c r="C21" s="21" cm="1">
        <f t="array" aca="1" ref="C21" ca="1">INDEX(Master!$I$2:'Master'!$I$4384,MATCH($A21&amp;C$2,Master!$A$2:'Master'!$A$4384&amp;Master!$C$2:'Master'!$C$4384,0))</f>
        <v>3</v>
      </c>
      <c r="D21" s="21" cm="1">
        <f t="array" aca="1" ref="D21" ca="1">INDEX(Master!$I$2:'Master'!$I$4384,MATCH($A21&amp;D$2,Master!$A$2:'Master'!$A$4384&amp;Master!$C$2:'Master'!$C$4384,0))</f>
        <v>3</v>
      </c>
      <c r="E21" s="21" cm="1">
        <f t="array" aca="1" ref="E21" ca="1">INDEX(Master!$I$2:'Master'!$I$4384,MATCH($A21&amp;E$2,Master!$A$2:'Master'!$A$4384&amp;Master!$C$2:'Master'!$C$4384,0))</f>
        <v>3</v>
      </c>
      <c r="F21" s="21" cm="1">
        <f t="array" aca="1" ref="F21" ca="1">INDEX(Master!$I$2:'Master'!$I$4384,MATCH($A21&amp;F$2,Master!$A$2:'Master'!$A$4384&amp;Master!$C$2:'Master'!$C$4384,0))</f>
        <v>3</v>
      </c>
      <c r="G21" s="21" cm="1">
        <f t="array" aca="1" ref="G21" ca="1">INDEX(Master!$I$2:'Master'!$I$4384,MATCH($A21&amp;G$2,Master!$A$2:'Master'!$A$4384&amp;Master!$C$2:'Master'!$C$4384,0))</f>
        <v>3</v>
      </c>
      <c r="H21" s="21" cm="1">
        <f t="array" aca="1" ref="H21" ca="1">INDEX(Master!$I$2:'Master'!$I$4384,MATCH($A21&amp;H$2,Master!$A$2:'Master'!$A$4384&amp;Master!$C$2:'Master'!$C$4384,0))</f>
        <v>2</v>
      </c>
      <c r="I21" s="21" cm="1">
        <f t="array" aca="1" ref="I21" ca="1">INDEX(Master!$I$2:'Master'!$I$4384,MATCH($A21&amp;I$2,Master!$A$2:'Master'!$A$4384&amp;Master!$C$2:'Master'!$C$4384,0))</f>
        <v>2</v>
      </c>
      <c r="J21" s="21" cm="1">
        <f t="array" aca="1" ref="J21" ca="1">INDEX(Master!$I$2:'Master'!$I$4384,MATCH($A21&amp;J$2,Master!$A$2:'Master'!$A$4384&amp;Master!$C$2:'Master'!$C$4384,0))</f>
        <v>3</v>
      </c>
      <c r="K21" s="21" cm="1">
        <f t="array" aca="1" ref="K21" ca="1">INDEX(Master!$I$2:'Master'!$I$4384,MATCH($A21&amp;K$2,Master!$A$2:'Master'!$A$4384&amp;Master!$C$2:'Master'!$C$4384,0))</f>
        <v>1</v>
      </c>
      <c r="L21" s="21" cm="1">
        <f t="array" aca="1" ref="L21" ca="1">INDEX(Master!$I$2:'Master'!$I$4384,MATCH($A21&amp;L$2,Master!$A$2:'Master'!$A$4384&amp;Master!$C$2:'Master'!$C$4384,0))</f>
        <v>0</v>
      </c>
      <c r="M21" s="21" cm="1">
        <f t="array" aca="1" ref="M21" ca="1">INDEX(Master!$I$2:'Master'!$I$4384,MATCH($A21&amp;M$2,Master!$A$2:'Master'!$A$4384&amp;Master!$C$2:'Master'!$C$4384,0))</f>
        <v>1</v>
      </c>
      <c r="N21" s="21" cm="1">
        <f t="array" aca="1" ref="N21" ca="1">INDEX(Master!$I$2:'Master'!$I$4384,MATCH($A21&amp;N$2,Master!$A$2:'Master'!$A$4384&amp;Master!$C$2:'Master'!$C$4384,0))</f>
        <v>1</v>
      </c>
      <c r="O21" s="21" cm="1">
        <f t="array" aca="1" ref="O21" ca="1">INDEX(Master!$I$2:'Master'!$I$4384,MATCH($A21&amp;O$2,Master!$A$2:'Master'!$A$4384&amp;Master!$C$2:'Master'!$C$4384,0))</f>
        <v>1</v>
      </c>
      <c r="P21" s="21" cm="1">
        <f t="array" aca="1" ref="P21" ca="1">INDEX(Master!$I$2:'Master'!$I$4384,MATCH($A21&amp;P$2,Master!$A$2:'Master'!$A$4384&amp;Master!$C$2:'Master'!$C$4384,0))</f>
        <v>3</v>
      </c>
      <c r="Q21" s="21" cm="1">
        <f t="array" aca="1" ref="Q21" ca="1">INDEX(Master!$I$2:'Master'!$I$4384,MATCH($A21&amp;Q$2,Master!$A$2:'Master'!$A$4384&amp;Master!$C$2:'Master'!$C$4384,0))</f>
        <v>1</v>
      </c>
      <c r="R21" s="21" cm="1">
        <f t="array" aca="1" ref="R21" ca="1">INDEX(Master!$I$2:'Master'!$I$4384,MATCH($A21&amp;R$2,Master!$A$2:'Master'!$A$4384&amp;Master!$C$2:'Master'!$C$4384,0))</f>
        <v>1</v>
      </c>
      <c r="S21" s="21" cm="1">
        <f t="array" aca="1" ref="S21" ca="1">INDEX(Master!$I$2:'Master'!$I$4384,MATCH($A21&amp;S$2,Master!$A$2:'Master'!$A$4384&amp;Master!$C$2:'Master'!$C$4384,0))</f>
        <v>0</v>
      </c>
      <c r="T21" s="21" cm="1">
        <f t="array" aca="1" ref="T21" ca="1">INDEX(Master!$I$2:'Master'!$I$4384,MATCH($A21&amp;T$2,Master!$A$2:'Master'!$A$4384&amp;Master!$C$2:'Master'!$C$4384,0))</f>
        <v>3</v>
      </c>
      <c r="U21" s="21" cm="1">
        <f t="array" aca="1" ref="U21" ca="1">INDEX(Master!$I$2:'Master'!$I$4384,MATCH($A21&amp;U$2,Master!$A$2:'Master'!$A$4384&amp;Master!$C$2:'Master'!$C$4384,0))</f>
        <v>1</v>
      </c>
      <c r="V21" s="21" cm="1">
        <f t="array" aca="1" ref="V21" ca="1">INDEX(Master!$I$2:'Master'!$I$4384,MATCH($A21&amp;V$2,Master!$A$2:'Master'!$A$4384&amp;Master!$C$2:'Master'!$C$4384,0))</f>
        <v>2</v>
      </c>
      <c r="W21" s="21" cm="1">
        <f t="array" aca="1" ref="W21" ca="1">INDEX(Master!$I$2:'Master'!$I$4384,MATCH($A21&amp;W$2,Master!$A$2:'Master'!$A$4384&amp;Master!$C$2:'Master'!$C$4384,0))</f>
        <v>3</v>
      </c>
      <c r="X21" s="21" cm="1">
        <f t="array" aca="1" ref="X21" ca="1">INDEX(Master!$I$2:'Master'!$I$4384,MATCH($A21&amp;X$2,Master!$A$2:'Master'!$A$4384&amp;Master!$C$2:'Master'!$C$4384,0))</f>
        <v>1</v>
      </c>
      <c r="Y21" s="21" cm="1">
        <f t="array" aca="1" ref="Y21" ca="1">INDEX(Master!$I$2:'Master'!$I$4384,MATCH($A21&amp;Y$2,Master!$A$2:'Master'!$A$4384&amp;Master!$C$2:'Master'!$C$4384,0))</f>
        <v>1</v>
      </c>
      <c r="Z21" s="21" cm="1">
        <f t="array" aca="1" ref="Z21" ca="1">INDEX(Master!$I$2:'Master'!$I$4384,MATCH($A21&amp;Z$2,Master!$A$2:'Master'!$A$4384&amp;Master!$C$2:'Master'!$C$4384,0))</f>
        <v>1</v>
      </c>
      <c r="AA21" s="21" cm="1">
        <f t="array" aca="1" ref="AA21" ca="1">INDEX(Master!$I$2:'Master'!$I$4384,MATCH($A21&amp;AA$2,Master!$A$2:'Master'!$A$4384&amp;Master!$C$2:'Master'!$C$4384,0))</f>
        <v>1</v>
      </c>
      <c r="AB21" s="21" cm="1">
        <f t="array" aca="1" ref="AB21" ca="1">INDEX(Master!$I$2:'Master'!$I$4384,MATCH($A21&amp;AB$2,Master!$A$2:'Master'!$A$4384&amp;Master!$C$2:'Master'!$C$4384,0))</f>
        <v>1</v>
      </c>
      <c r="AC21" s="21" cm="1">
        <f t="array" aca="1" ref="AC21" ca="1">INDEX(Master!$I$2:'Master'!$I$4384,MATCH($A21&amp;AC$2,Master!$A$2:'Master'!$A$4384&amp;Master!$C$2:'Master'!$C$4384,0))</f>
        <v>2</v>
      </c>
      <c r="AD21" s="21" cm="1">
        <f t="array" aca="1" ref="AD21" ca="1">INDEX(Master!$I$2:'Master'!$I$4384,MATCH($A21&amp;AD$2,Master!$A$2:'Master'!$A$4384&amp;Master!$C$2:'Master'!$C$4384,0))</f>
        <v>2</v>
      </c>
      <c r="AE21" s="21" cm="1">
        <f t="array" aca="1" ref="AE21" ca="1">INDEX(Master!$I$2:'Master'!$I$4384,MATCH($A21&amp;AE$2,Master!$A$2:'Master'!$A$4384&amp;Master!$C$2:'Master'!$C$4384,0))</f>
        <v>1</v>
      </c>
      <c r="AF21" s="21" cm="1">
        <f t="array" aca="1" ref="AF21" ca="1">INDEX(Master!$I$2:'Master'!$I$4384,MATCH($A21&amp;AF$2,Master!$A$2:'Master'!$A$4384&amp;Master!$C$2:'Master'!$C$4384,0))</f>
        <v>1</v>
      </c>
      <c r="AG21" s="21" cm="1">
        <f t="array" aca="1" ref="AG21" ca="1">INDEX(Master!$I$2:'Master'!$I$4384,MATCH($A21&amp;AG$2,Master!$A$2:'Master'!$A$4384&amp;Master!$C$2:'Master'!$C$4384,0))</f>
        <v>1</v>
      </c>
      <c r="AH21" s="21" cm="1">
        <f t="array" aca="1" ref="AH21" ca="1">INDEX(Master!$I$2:'Master'!$I$4384,MATCH($A21&amp;AH$2,Master!$A$2:'Master'!$A$4384&amp;Master!$C$2:'Master'!$C$4384,0))</f>
        <v>3</v>
      </c>
      <c r="AI21" s="21" cm="1">
        <f t="array" aca="1" ref="AI21" ca="1">INDEX(Master!$I$2:'Master'!$I$4384,MATCH($A21&amp;AI$2,Master!$A$2:'Master'!$A$4384&amp;Master!$C$2:'Master'!$C$4384,0))</f>
        <v>1</v>
      </c>
      <c r="AJ21" s="21" cm="1">
        <f t="array" aca="1" ref="AJ21" ca="1">INDEX(Master!$I$2:'Master'!$I$4384,MATCH($A21&amp;AJ$2,Master!$A$2:'Master'!$A$4384&amp;Master!$C$2:'Master'!$C$4384,0))</f>
        <v>3</v>
      </c>
      <c r="AK21" s="21" cm="1">
        <f t="array" aca="1" ref="AK21" ca="1">INDEX(Master!$I$2:'Master'!$I$4384,MATCH($A21&amp;AK$2,Master!$A$2:'Master'!$A$4384&amp;Master!$C$2:'Master'!$C$4384,0))</f>
        <v>1</v>
      </c>
      <c r="AL21" s="21" cm="1">
        <f t="array" aca="1" ref="AL21" ca="1">INDEX(Master!$I$2:'Master'!$I$4384,MATCH($A21&amp;AL$2,Master!$A$2:'Master'!$A$4384&amp;Master!$C$2:'Master'!$C$4384,0))</f>
        <v>2</v>
      </c>
      <c r="AM21" s="21" cm="1">
        <f t="array" aca="1" ref="AM21" ca="1">INDEX(Master!$I$2:'Master'!$I$4384,MATCH($A21&amp;AM$2,Master!$A$2:'Master'!$A$4384&amp;Master!$C$2:'Master'!$C$4384,0))</f>
        <v>3</v>
      </c>
      <c r="AN21" s="21" cm="1">
        <f t="array" aca="1" ref="AN21" ca="1">INDEX(Master!$I$2:'Master'!$I$4384,MATCH($A21&amp;AN$2,Master!$A$2:'Master'!$A$4384&amp;Master!$C$2:'Master'!$C$4384,0))</f>
        <v>3</v>
      </c>
      <c r="AO21" s="21" cm="1">
        <f t="array" aca="1" ref="AO21" ca="1">INDEX(Master!$I$2:'Master'!$I$4384,MATCH($A21&amp;AO$2,Master!$A$2:'Master'!$A$4384&amp;Master!$C$2:'Master'!$C$4384,0))</f>
        <v>2</v>
      </c>
      <c r="AP21" s="21" cm="1">
        <f t="array" aca="1" ref="AP21" ca="1">INDEX(Master!$I$2:'Master'!$I$4384,MATCH($A21&amp;AP$2,Master!$A$2:'Master'!$A$4384&amp;Master!$C$2:'Master'!$C$4384,0))</f>
        <v>2</v>
      </c>
      <c r="AQ21" s="21" cm="1">
        <f t="array" aca="1" ref="AQ21" ca="1">INDEX(Master!$I$2:'Master'!$I$4384,MATCH($A21&amp;AQ$2,Master!$A$2:'Master'!$A$4384&amp;Master!$C$2:'Master'!$C$4384,0))</f>
        <v>3</v>
      </c>
      <c r="AR21" s="21" cm="1">
        <f t="array" aca="1" ref="AR21" ca="1">INDEX(Master!$I$2:'Master'!$I$4384,MATCH($A21&amp;AR$2,Master!$A$2:'Master'!$A$4384&amp;Master!$C$2:'Master'!$C$4384,0))</f>
        <v>2</v>
      </c>
      <c r="AS21" s="21" cm="1">
        <f t="array" aca="1" ref="AS21" ca="1">INDEX(Master!$I$2:'Master'!$I$4384,MATCH($A21&amp;AS$2,Master!$A$2:'Master'!$A$4384&amp;Master!$C$2:'Master'!$C$4384,0))</f>
        <v>1</v>
      </c>
      <c r="AT21" s="21" cm="1">
        <f t="array" aca="1" ref="AT21" ca="1">INDEX(Master!$I$2:'Master'!$I$4384,MATCH($A21&amp;AT$2,Master!$A$2:'Master'!$A$4384&amp;Master!$C$2:'Master'!$C$4384,0))</f>
        <v>3</v>
      </c>
      <c r="AU21" s="21" cm="1">
        <f t="array" aca="1" ref="AU21" ca="1">INDEX(Master!$I$2:'Master'!$I$4384,MATCH($A21&amp;AU$2,Master!$A$2:'Master'!$A$4384&amp;Master!$C$2:'Master'!$C$4384,0))</f>
        <v>2</v>
      </c>
      <c r="AV21" s="21" cm="1">
        <f t="array" aca="1" ref="AV21" ca="1">INDEX(Master!$I$2:'Master'!$I$4384,MATCH($A21&amp;AV$2,Master!$A$2:'Master'!$A$4384&amp;Master!$C$2:'Master'!$C$4384,0))</f>
        <v>2</v>
      </c>
      <c r="AW21" s="21" cm="1">
        <f t="array" aca="1" ref="AW21" ca="1">INDEX(Master!$I$2:'Master'!$I$4384,MATCH($A21&amp;AW$2,Master!$A$2:'Master'!$A$4384&amp;Master!$C$2:'Master'!$C$4384,0))</f>
        <v>2</v>
      </c>
      <c r="AX21" s="21" cm="1">
        <f t="array" aca="1" ref="AX21" ca="1">INDEX(Master!$I$2:'Master'!$I$4384,MATCH($A21&amp;AX$2,Master!$A$2:'Master'!$A$4384&amp;Master!$C$2:'Master'!$C$4384,0))</f>
        <v>3</v>
      </c>
      <c r="AY21" s="21" cm="1">
        <f t="array" aca="1" ref="AY21" ca="1">INDEX(Master!$I$2:'Master'!$I$4384,MATCH($A21&amp;AY$2,Master!$A$2:'Master'!$A$4384&amp;Master!$C$2:'Master'!$C$4384,0))</f>
        <v>3</v>
      </c>
      <c r="AZ21" s="21" cm="1">
        <f t="array" aca="1" ref="AZ21" ca="1">INDEX(Master!$I$2:'Master'!$I$4384,MATCH($A21&amp;AZ$2,Master!$A$2:'Master'!$A$4384&amp;Master!$C$2:'Master'!$C$4384,0))</f>
        <v>1</v>
      </c>
      <c r="BA21" s="21" cm="1">
        <f t="array" aca="1" ref="BA21" ca="1">INDEX(Master!$I$2:'Master'!$I$4384,MATCH($A21&amp;BA$2,Master!$A$2:'Master'!$A$4384&amp;Master!$C$2:'Master'!$C$4384,0))</f>
        <v>2</v>
      </c>
      <c r="BB21" s="21" cm="1">
        <f t="array" aca="1" ref="BB21" ca="1">INDEX(Master!$I$2:'Master'!$I$4384,MATCH($A21&amp;BB$2,Master!$A$2:'Master'!$A$4384&amp;Master!$C$2:'Master'!$C$4384,0))</f>
        <v>1</v>
      </c>
      <c r="BC21" s="21" cm="1">
        <f t="array" aca="1" ref="BC21" ca="1">INDEX(Master!$I$2:'Master'!$I$4384,MATCH($A21&amp;BC$2,Master!$A$2:'Master'!$A$4384&amp;Master!$C$2:'Master'!$C$4384,0))</f>
        <v>1</v>
      </c>
      <c r="BD21" s="21" cm="1">
        <f t="array" aca="1" ref="BD21" ca="1">INDEX(Master!$I$2:'Master'!$I$4384,MATCH($A21&amp;BD$2,Master!$A$2:'Master'!$A$4384&amp;Master!$C$2:'Master'!$C$4384,0))</f>
        <v>3</v>
      </c>
      <c r="BE21" s="21" cm="1">
        <f t="array" aca="1" ref="BE21" ca="1">INDEX(Master!$I$2:'Master'!$I$4384,MATCH($A21&amp;BE$2,Master!$A$2:'Master'!$A$4384&amp;Master!$C$2:'Master'!$C$4384,0))</f>
        <v>1</v>
      </c>
      <c r="BF21" s="21" cm="1">
        <f t="array" aca="1" ref="BF21" ca="1">INDEX(Master!$I$2:'Master'!$I$4384,MATCH($A21&amp;BF$2,Master!$A$2:'Master'!$A$4384&amp;Master!$C$2:'Master'!$C$4384,0))</f>
        <v>1</v>
      </c>
      <c r="BG21" s="21" cm="1">
        <f t="array" aca="1" ref="BG21" ca="1">INDEX(Master!$I$2:'Master'!$I$4384,MATCH($A21&amp;BG$2,Master!$A$2:'Master'!$A$4384&amp;Master!$C$2:'Master'!$C$4384,0))</f>
        <v>0</v>
      </c>
      <c r="BH21" s="21" cm="1">
        <f t="array" aca="1" ref="BH21" ca="1">INDEX(Master!$I$2:'Master'!$I$4384,MATCH($A21&amp;BH$2,Master!$A$2:'Master'!$A$4384&amp;Master!$C$2:'Master'!$C$4384,0))</f>
        <v>1</v>
      </c>
      <c r="BI21" s="21" cm="1">
        <f t="array" aca="1" ref="BI21" ca="1">INDEX(Master!$I$2:'Master'!$I$4384,MATCH($A21&amp;BI$2,Master!$A$2:'Master'!$A$4384&amp;Master!$C$2:'Master'!$C$4384,0))</f>
        <v>1</v>
      </c>
      <c r="BJ21" s="21" cm="1">
        <f t="array" aca="1" ref="BJ21" ca="1">INDEX(Master!$I$2:'Master'!$I$4384,MATCH($A21&amp;BJ$2,Master!$A$2:'Master'!$A$4384&amp;Master!$C$2:'Master'!$C$4384,0))</f>
        <v>1</v>
      </c>
      <c r="BK21" s="21" cm="1">
        <f t="array" aca="1" ref="BK21" ca="1">INDEX(Master!$I$2:'Master'!$I$4384,MATCH($A21&amp;BK$2,Master!$A$2:'Master'!$A$4384&amp;Master!$C$2:'Master'!$C$4384,0))</f>
        <v>1</v>
      </c>
      <c r="BL21" s="21" cm="1">
        <f t="array" aca="1" ref="BL21" ca="1">INDEX(Master!$I$2:'Master'!$I$4384,MATCH($A21&amp;BL$2,Master!$A$2:'Master'!$A$4384&amp;Master!$C$2:'Master'!$C$4384,0))</f>
        <v>1</v>
      </c>
      <c r="BM21" s="21" cm="1">
        <f t="array" aca="1" ref="BM21" ca="1">INDEX(Master!$I$2:'Master'!$I$4384,MATCH($A21&amp;BM$2,Master!$A$2:'Master'!$A$4384&amp;Master!$C$2:'Master'!$C$4384,0))</f>
        <v>1</v>
      </c>
      <c r="BN21" s="21" cm="1">
        <f t="array" aca="1" ref="BN21" ca="1">INDEX(Master!$I$2:'Master'!$I$4384,MATCH($A21&amp;BN$2,Master!$A$2:'Master'!$A$4384&amp;Master!$C$2:'Master'!$C$4384,0))</f>
        <v>1</v>
      </c>
      <c r="BO21" s="21" cm="1">
        <f t="array" aca="1" ref="BO21" ca="1">INDEX(Master!$I$2:'Master'!$I$4384,MATCH($A21&amp;BO$2,Master!$A$2:'Master'!$A$4384&amp;Master!$C$2:'Master'!$C$4384,0))</f>
        <v>1</v>
      </c>
      <c r="BP21" s="21" cm="1">
        <f t="array" aca="1" ref="BP21" ca="1">INDEX(Master!$I$2:'Master'!$I$4384,MATCH($A21&amp;BP$2,Master!$A$2:'Master'!$A$4384&amp;Master!$C$2:'Master'!$C$4384,0))</f>
        <v>0</v>
      </c>
      <c r="BQ21" s="21" cm="1">
        <f t="array" aca="1" ref="BQ21" ca="1">INDEX(Master!$I$2:'Master'!$I$4384,MATCH($A21&amp;BQ$2,Master!$A$2:'Master'!$A$4384&amp;Master!$C$2:'Master'!$C$4384,0))</f>
        <v>0</v>
      </c>
      <c r="BR21" s="21" cm="1">
        <f t="array" aca="1" ref="BR21" ca="1">INDEX(Master!$I$2:'Master'!$I$4384,MATCH($A21&amp;BR$2,Master!$A$2:'Master'!$A$4384&amp;Master!$C$2:'Master'!$C$4384,0))</f>
        <v>0</v>
      </c>
      <c r="BS21" s="21" cm="1">
        <f t="array" aca="1" ref="BS21" ca="1">INDEX(Master!$I$2:'Master'!$I$4384,MATCH($A21&amp;BS$2,Master!$A$2:'Master'!$A$4384&amp;Master!$C$2:'Master'!$C$4384,0))</f>
        <v>0</v>
      </c>
      <c r="BT21" s="21" cm="1">
        <f t="array" aca="1" ref="BT21" ca="1">INDEX(Master!$I$2:'Master'!$I$4384,MATCH($A21&amp;BT$2,Master!$A$2:'Master'!$A$4384&amp;Master!$C$2:'Master'!$C$4384,0))</f>
        <v>1</v>
      </c>
      <c r="BU21" s="21" cm="1">
        <f t="array" aca="1" ref="BU21" ca="1">INDEX(Master!$I$2:'Master'!$I$4384,MATCH($A21&amp;BU$2,Master!$A$2:'Master'!$A$4384&amp;Master!$C$2:'Master'!$C$4384,0))</f>
        <v>1</v>
      </c>
      <c r="BV21" s="21" cm="1">
        <f t="array" aca="1" ref="BV21" ca="1">INDEX(Master!$I$2:'Master'!$I$4384,MATCH($A21&amp;BV$2,Master!$A$2:'Master'!$A$4384&amp;Master!$C$2:'Master'!$C$4384,0))</f>
        <v>0</v>
      </c>
      <c r="BW21" s="21" cm="1">
        <f t="array" aca="1" ref="BW21" ca="1">INDEX(Master!$I$2:'Master'!$I$4384,MATCH($A21&amp;BW$2,Master!$A$2:'Master'!$A$4384&amp;Master!$C$2:'Master'!$C$4384,0))</f>
        <v>1</v>
      </c>
      <c r="BX21" s="21" cm="1">
        <f t="array" aca="1" ref="BX21" ca="1">INDEX(Master!$I$2:'Master'!$I$4384,MATCH($A21&amp;BX$2,Master!$A$2:'Master'!$A$4384&amp;Master!$C$2:'Master'!$C$4384,0))</f>
        <v>0</v>
      </c>
      <c r="BY21" s="21" cm="1">
        <f t="array" aca="1" ref="BY21" ca="1">INDEX(Master!$I$2:'Master'!$I$4384,MATCH($A21&amp;BY$2,Master!$A$2:'Master'!$A$4384&amp;Master!$C$2:'Master'!$C$4384,0))</f>
        <v>1</v>
      </c>
      <c r="BZ21" s="21" cm="1">
        <f t="array" aca="1" ref="BZ21" ca="1">INDEX(Master!$I$2:'Master'!$I$4384,MATCH($A21&amp;BZ$2,Master!$A$2:'Master'!$A$4384&amp;Master!$C$2:'Master'!$C$4384,0))</f>
        <v>1</v>
      </c>
      <c r="CA21" s="21" cm="1">
        <f t="array" aca="1" ref="CA21" ca="1">INDEX(Master!$I$2:'Master'!$I$4384,MATCH($A21&amp;CA$2,Master!$A$2:'Master'!$A$4384&amp;Master!$C$2:'Master'!$C$4384,0))</f>
        <v>1</v>
      </c>
      <c r="CB21" s="21" cm="1">
        <f t="array" aca="1" ref="CB21" ca="1">INDEX(Master!$I$2:'Master'!$I$4384,MATCH($A21&amp;CB$2,Master!$A$2:'Master'!$A$4384&amp;Master!$C$2:'Master'!$C$4384,0))</f>
        <v>1</v>
      </c>
      <c r="CC21" s="21" cm="1">
        <f t="array" aca="1" ref="CC21" ca="1">INDEX(Master!$I$2:'Master'!$I$4384,MATCH($A21&amp;CC$2,Master!$A$2:'Master'!$A$4384&amp;Master!$C$2:'Master'!$C$4384,0))</f>
        <v>1</v>
      </c>
      <c r="CD21" s="21" cm="1">
        <f t="array" aca="1" ref="CD21" ca="1">INDEX(Master!$I$2:'Master'!$I$4384,MATCH($A21&amp;CD$2,Master!$A$2:'Master'!$A$4384&amp;Master!$C$2:'Master'!$C$4384,0))</f>
        <v>1</v>
      </c>
      <c r="CE21" s="21" cm="1">
        <f t="array" aca="1" ref="CE21" ca="1">INDEX(Master!$I$2:'Master'!$I$4384,MATCH($A21&amp;CE$2,Master!$A$2:'Master'!$A$4384&amp;Master!$C$2:'Master'!$C$4384,0))</f>
        <v>1</v>
      </c>
      <c r="CF21" s="21" cm="1">
        <f t="array" aca="1" ref="CF21" ca="1">INDEX(Master!$I$2:'Master'!$I$4384,MATCH($A21&amp;CF$2,Master!$A$2:'Master'!$A$4384&amp;Master!$C$2:'Master'!$C$4384,0))</f>
        <v>1</v>
      </c>
      <c r="CG21" s="21" cm="1">
        <f t="array" aca="1" ref="CG21" ca="1">INDEX(Master!$I$2:'Master'!$I$4384,MATCH($A21&amp;CG$2,Master!$A$2:'Master'!$A$4384&amp;Master!$C$2:'Master'!$C$4384,0))</f>
        <v>1</v>
      </c>
      <c r="CH21" s="21" cm="1">
        <f t="array" aca="1" ref="CH21" ca="1">INDEX(Master!$I$2:'Master'!$I$4384,MATCH($A21&amp;CH$2,Master!$A$2:'Master'!$A$4384&amp;Master!$C$2:'Master'!$C$4384,0))</f>
        <v>1</v>
      </c>
      <c r="CI21" s="21" cm="1">
        <f t="array" aca="1" ref="CI21" ca="1">INDEX(Master!$I$2:'Master'!$I$4384,MATCH($A21&amp;CI$2,Master!$A$2:'Master'!$A$4384&amp;Master!$C$2:'Master'!$C$4384,0))</f>
        <v>1</v>
      </c>
      <c r="CJ21" s="21" cm="1">
        <f t="array" aca="1" ref="CJ21" ca="1">INDEX(Master!$I$2:'Master'!$I$4384,MATCH($A21&amp;CJ$2,Master!$A$2:'Master'!$A$4384&amp;Master!$C$2:'Master'!$C$4384,0))</f>
        <v>1</v>
      </c>
      <c r="CK21" s="21" cm="1">
        <f t="array" aca="1" ref="CK21" ca="1">INDEX(Master!$I$2:'Master'!$I$4384,MATCH($A21&amp;CK$2,Master!$A$2:'Master'!$A$4384&amp;Master!$C$2:'Master'!$C$4384,0))</f>
        <v>1</v>
      </c>
      <c r="CL21" s="21" cm="1">
        <f t="array" aca="1" ref="CL21" ca="1">INDEX(Master!$I$2:'Master'!$I$4384,MATCH($A21&amp;CL$2,Master!$A$2:'Master'!$A$4384&amp;Master!$C$2:'Master'!$C$4384,0))</f>
        <v>1</v>
      </c>
      <c r="CM21" s="21" cm="1">
        <f t="array" aca="1" ref="CM21" ca="1">INDEX(Master!$I$2:'Master'!$I$4384,MATCH($A21&amp;CM$2,Master!$A$2:'Master'!$A$4384&amp;Master!$C$2:'Master'!$C$4384,0))</f>
        <v>1</v>
      </c>
      <c r="CN21" s="21" cm="1">
        <f t="array" aca="1" ref="CN21" ca="1">INDEX(Master!$I$2:'Master'!$I$4384,MATCH($A21&amp;CN$2,Master!$A$2:'Master'!$A$4384&amp;Master!$C$2:'Master'!$C$4384,0))</f>
        <v>1</v>
      </c>
      <c r="CO21" s="21" cm="1">
        <f t="array" aca="1" ref="CO21" ca="1">INDEX(Master!$I$2:'Master'!$I$4384,MATCH($A21&amp;CO$2,Master!$A$2:'Master'!$A$4384&amp;Master!$C$2:'Master'!$C$4384,0))</f>
        <v>1</v>
      </c>
      <c r="CP21" s="21" cm="1">
        <f t="array" aca="1" ref="CP21" ca="1">INDEX(Master!$I$2:'Master'!$I$4384,MATCH($A21&amp;CP$2,Master!$A$2:'Master'!$A$4384&amp;Master!$C$2:'Master'!$C$4384,0))</f>
        <v>1</v>
      </c>
      <c r="CQ21" s="21" cm="1">
        <f t="array" aca="1" ref="CQ21" ca="1">INDEX(Master!$I$2:'Master'!$I$4384,MATCH($A21&amp;CQ$2,Master!$A$2:'Master'!$A$4384&amp;Master!$C$2:'Master'!$C$4384,0))</f>
        <v>2</v>
      </c>
      <c r="CR21" s="21" cm="1">
        <f t="array" aca="1" ref="CR21" ca="1">INDEX(Master!$I$2:'Master'!$I$4384,MATCH($A21&amp;CR$2,Master!$A$2:'Master'!$A$4384&amp;Master!$C$2:'Master'!$C$4384,0))</f>
        <v>2</v>
      </c>
      <c r="CS21" s="21" cm="1">
        <f t="array" aca="1" ref="CS21" ca="1">INDEX(Master!$I$2:'Master'!$I$4384,MATCH($A21&amp;CS$2,Master!$A$2:'Master'!$A$4384&amp;Master!$C$2:'Master'!$C$4384,0))</f>
        <v>1</v>
      </c>
    </row>
    <row r="22" spans="1:97">
      <c r="A22" t="str">
        <f>VLOOKUP(Staff!$A20,Staff!$A$1:A$73,1,FALSE)</f>
        <v>Jane Marple</v>
      </c>
      <c r="B22" s="21" cm="1">
        <f t="array" aca="1" ref="B22" ca="1">INDEX(Master!$I$2:'Master'!$I$4384,MATCH($A22&amp;B$2,Master!$A$2:'Master'!$A$4384&amp;Master!$C$2:'Master'!$C$4384,0))</f>
        <v>2</v>
      </c>
      <c r="C22" s="21" cm="1">
        <f t="array" aca="1" ref="C22" ca="1">INDEX(Master!$I$2:'Master'!$I$4384,MATCH($A22&amp;C$2,Master!$A$2:'Master'!$A$4384&amp;Master!$C$2:'Master'!$C$4384,0))</f>
        <v>3</v>
      </c>
      <c r="D22" s="21" cm="1">
        <f t="array" aca="1" ref="D22" ca="1">INDEX(Master!$I$2:'Master'!$I$4384,MATCH($A22&amp;D$2,Master!$A$2:'Master'!$A$4384&amp;Master!$C$2:'Master'!$C$4384,0))</f>
        <v>3</v>
      </c>
      <c r="E22" s="21" cm="1">
        <f t="array" aca="1" ref="E22" ca="1">INDEX(Master!$I$2:'Master'!$I$4384,MATCH($A22&amp;E$2,Master!$A$2:'Master'!$A$4384&amp;Master!$C$2:'Master'!$C$4384,0))</f>
        <v>1</v>
      </c>
      <c r="F22" s="21" cm="1">
        <f t="array" aca="1" ref="F22" ca="1">INDEX(Master!$I$2:'Master'!$I$4384,MATCH($A22&amp;F$2,Master!$A$2:'Master'!$A$4384&amp;Master!$C$2:'Master'!$C$4384,0))</f>
        <v>2</v>
      </c>
      <c r="G22" s="21" cm="1">
        <f t="array" aca="1" ref="G22" ca="1">INDEX(Master!$I$2:'Master'!$I$4384,MATCH($A22&amp;G$2,Master!$A$2:'Master'!$A$4384&amp;Master!$C$2:'Master'!$C$4384,0))</f>
        <v>3</v>
      </c>
      <c r="H22" s="21" cm="1">
        <f t="array" aca="1" ref="H22" ca="1">INDEX(Master!$I$2:'Master'!$I$4384,MATCH($A22&amp;H$2,Master!$A$2:'Master'!$A$4384&amp;Master!$C$2:'Master'!$C$4384,0))</f>
        <v>1</v>
      </c>
      <c r="I22" s="21" cm="1">
        <f t="array" aca="1" ref="I22" ca="1">INDEX(Master!$I$2:'Master'!$I$4384,MATCH($A22&amp;I$2,Master!$A$2:'Master'!$A$4384&amp;Master!$C$2:'Master'!$C$4384,0))</f>
        <v>1</v>
      </c>
      <c r="J22" s="21" cm="1">
        <f t="array" aca="1" ref="J22" ca="1">INDEX(Master!$I$2:'Master'!$I$4384,MATCH($A22&amp;J$2,Master!$A$2:'Master'!$A$4384&amp;Master!$C$2:'Master'!$C$4384,0))</f>
        <v>1</v>
      </c>
      <c r="K22" s="21" cm="1">
        <f t="array" aca="1" ref="K22" ca="1">INDEX(Master!$I$2:'Master'!$I$4384,MATCH($A22&amp;K$2,Master!$A$2:'Master'!$A$4384&amp;Master!$C$2:'Master'!$C$4384,0))</f>
        <v>1</v>
      </c>
      <c r="L22" s="21" cm="1">
        <f t="array" aca="1" ref="L22" ca="1">INDEX(Master!$I$2:'Master'!$I$4384,MATCH($A22&amp;L$2,Master!$A$2:'Master'!$A$4384&amp;Master!$C$2:'Master'!$C$4384,0))</f>
        <v>2</v>
      </c>
      <c r="M22" s="21" cm="1">
        <f t="array" aca="1" ref="M22" ca="1">INDEX(Master!$I$2:'Master'!$I$4384,MATCH($A22&amp;M$2,Master!$A$2:'Master'!$A$4384&amp;Master!$C$2:'Master'!$C$4384,0))</f>
        <v>3</v>
      </c>
      <c r="N22" s="21" cm="1">
        <f t="array" aca="1" ref="N22" ca="1">INDEX(Master!$I$2:'Master'!$I$4384,MATCH($A22&amp;N$2,Master!$A$2:'Master'!$A$4384&amp;Master!$C$2:'Master'!$C$4384,0))</f>
        <v>1</v>
      </c>
      <c r="O22" s="21" cm="1">
        <f t="array" aca="1" ref="O22" ca="1">INDEX(Master!$I$2:'Master'!$I$4384,MATCH($A22&amp;O$2,Master!$A$2:'Master'!$A$4384&amp;Master!$C$2:'Master'!$C$4384,0))</f>
        <v>2</v>
      </c>
      <c r="P22" s="21" cm="1">
        <f t="array" aca="1" ref="P22" ca="1">INDEX(Master!$I$2:'Master'!$I$4384,MATCH($A22&amp;P$2,Master!$A$2:'Master'!$A$4384&amp;Master!$C$2:'Master'!$C$4384,0))</f>
        <v>1</v>
      </c>
      <c r="Q22" s="21" cm="1">
        <f t="array" aca="1" ref="Q22" ca="1">INDEX(Master!$I$2:'Master'!$I$4384,MATCH($A22&amp;Q$2,Master!$A$2:'Master'!$A$4384&amp;Master!$C$2:'Master'!$C$4384,0))</f>
        <v>0</v>
      </c>
      <c r="R22" s="21" cm="1">
        <f t="array" aca="1" ref="R22" ca="1">INDEX(Master!$I$2:'Master'!$I$4384,MATCH($A22&amp;R$2,Master!$A$2:'Master'!$A$4384&amp;Master!$C$2:'Master'!$C$4384,0))</f>
        <v>2</v>
      </c>
      <c r="S22" s="21" cm="1">
        <f t="array" aca="1" ref="S22" ca="1">INDEX(Master!$I$2:'Master'!$I$4384,MATCH($A22&amp;S$2,Master!$A$2:'Master'!$A$4384&amp;Master!$C$2:'Master'!$C$4384,0))</f>
        <v>2</v>
      </c>
      <c r="T22" s="21" cm="1">
        <f t="array" aca="1" ref="T22" ca="1">INDEX(Master!$I$2:'Master'!$I$4384,MATCH($A22&amp;T$2,Master!$A$2:'Master'!$A$4384&amp;Master!$C$2:'Master'!$C$4384,0))</f>
        <v>2</v>
      </c>
      <c r="U22" s="21" cm="1">
        <f t="array" aca="1" ref="U22" ca="1">INDEX(Master!$I$2:'Master'!$I$4384,MATCH($A22&amp;U$2,Master!$A$2:'Master'!$A$4384&amp;Master!$C$2:'Master'!$C$4384,0))</f>
        <v>1</v>
      </c>
      <c r="V22" s="21" cm="1">
        <f t="array" aca="1" ref="V22" ca="1">INDEX(Master!$I$2:'Master'!$I$4384,MATCH($A22&amp;V$2,Master!$A$2:'Master'!$A$4384&amp;Master!$C$2:'Master'!$C$4384,0))</f>
        <v>1</v>
      </c>
      <c r="W22" s="21" cm="1">
        <f t="array" aca="1" ref="W22" ca="1">INDEX(Master!$I$2:'Master'!$I$4384,MATCH($A22&amp;W$2,Master!$A$2:'Master'!$A$4384&amp;Master!$C$2:'Master'!$C$4384,0))</f>
        <v>4</v>
      </c>
      <c r="X22" s="21" cm="1">
        <f t="array" aca="1" ref="X22" ca="1">INDEX(Master!$I$2:'Master'!$I$4384,MATCH($A22&amp;X$2,Master!$A$2:'Master'!$A$4384&amp;Master!$C$2:'Master'!$C$4384,0))</f>
        <v>1</v>
      </c>
      <c r="Y22" s="21" cm="1">
        <f t="array" aca="1" ref="Y22" ca="1">INDEX(Master!$I$2:'Master'!$I$4384,MATCH($A22&amp;Y$2,Master!$A$2:'Master'!$A$4384&amp;Master!$C$2:'Master'!$C$4384,0))</f>
        <v>1</v>
      </c>
      <c r="Z22" s="21" cm="1">
        <f t="array" aca="1" ref="Z22" ca="1">INDEX(Master!$I$2:'Master'!$I$4384,MATCH($A22&amp;Z$2,Master!$A$2:'Master'!$A$4384&amp;Master!$C$2:'Master'!$C$4384,0))</f>
        <v>0</v>
      </c>
      <c r="AA22" s="21" cm="1">
        <f t="array" aca="1" ref="AA22" ca="1">INDEX(Master!$I$2:'Master'!$I$4384,MATCH($A22&amp;AA$2,Master!$A$2:'Master'!$A$4384&amp;Master!$C$2:'Master'!$C$4384,0))</f>
        <v>0</v>
      </c>
      <c r="AB22" s="21" cm="1">
        <f t="array" aca="1" ref="AB22" ca="1">INDEX(Master!$I$2:'Master'!$I$4384,MATCH($A22&amp;AB$2,Master!$A$2:'Master'!$A$4384&amp;Master!$C$2:'Master'!$C$4384,0))</f>
        <v>0</v>
      </c>
      <c r="AC22" s="21" cm="1">
        <f t="array" aca="1" ref="AC22" ca="1">INDEX(Master!$I$2:'Master'!$I$4384,MATCH($A22&amp;AC$2,Master!$A$2:'Master'!$A$4384&amp;Master!$C$2:'Master'!$C$4384,0))</f>
        <v>1</v>
      </c>
      <c r="AD22" s="21" cm="1">
        <f t="array" aca="1" ref="AD22" ca="1">INDEX(Master!$I$2:'Master'!$I$4384,MATCH($A22&amp;AD$2,Master!$A$2:'Master'!$A$4384&amp;Master!$C$2:'Master'!$C$4384,0))</f>
        <v>1</v>
      </c>
      <c r="AE22" s="21" cm="1">
        <f t="array" aca="1" ref="AE22" ca="1">INDEX(Master!$I$2:'Master'!$I$4384,MATCH($A22&amp;AE$2,Master!$A$2:'Master'!$A$4384&amp;Master!$C$2:'Master'!$C$4384,0))</f>
        <v>1</v>
      </c>
      <c r="AF22" s="21" cm="1">
        <f t="array" aca="1" ref="AF22" ca="1">INDEX(Master!$I$2:'Master'!$I$4384,MATCH($A22&amp;AF$2,Master!$A$2:'Master'!$A$4384&amp;Master!$C$2:'Master'!$C$4384,0))</f>
        <v>0</v>
      </c>
      <c r="AG22" s="21" cm="1">
        <f t="array" aca="1" ref="AG22" ca="1">INDEX(Master!$I$2:'Master'!$I$4384,MATCH($A22&amp;AG$2,Master!$A$2:'Master'!$A$4384&amp;Master!$C$2:'Master'!$C$4384,0))</f>
        <v>0</v>
      </c>
      <c r="AH22" s="21" cm="1">
        <f t="array" aca="1" ref="AH22" ca="1">INDEX(Master!$I$2:'Master'!$I$4384,MATCH($A22&amp;AH$2,Master!$A$2:'Master'!$A$4384&amp;Master!$C$2:'Master'!$C$4384,0))</f>
        <v>2</v>
      </c>
      <c r="AI22" s="21" cm="1">
        <f t="array" aca="1" ref="AI22" ca="1">INDEX(Master!$I$2:'Master'!$I$4384,MATCH($A22&amp;AI$2,Master!$A$2:'Master'!$A$4384&amp;Master!$C$2:'Master'!$C$4384,0))</f>
        <v>1</v>
      </c>
      <c r="AJ22" s="21" cm="1">
        <f t="array" aca="1" ref="AJ22" ca="1">INDEX(Master!$I$2:'Master'!$I$4384,MATCH($A22&amp;AJ$2,Master!$A$2:'Master'!$A$4384&amp;Master!$C$2:'Master'!$C$4384,0))</f>
        <v>1</v>
      </c>
      <c r="AK22" s="21" cm="1">
        <f t="array" aca="1" ref="AK22" ca="1">INDEX(Master!$I$2:'Master'!$I$4384,MATCH($A22&amp;AK$2,Master!$A$2:'Master'!$A$4384&amp;Master!$C$2:'Master'!$C$4384,0))</f>
        <v>1</v>
      </c>
      <c r="AL22" s="21" cm="1">
        <f t="array" aca="1" ref="AL22" ca="1">INDEX(Master!$I$2:'Master'!$I$4384,MATCH($A22&amp;AL$2,Master!$A$2:'Master'!$A$4384&amp;Master!$C$2:'Master'!$C$4384,0))</f>
        <v>1</v>
      </c>
      <c r="AM22" s="21" cm="1">
        <f t="array" aca="1" ref="AM22" ca="1">INDEX(Master!$I$2:'Master'!$I$4384,MATCH($A22&amp;AM$2,Master!$A$2:'Master'!$A$4384&amp;Master!$C$2:'Master'!$C$4384,0))</f>
        <v>1</v>
      </c>
      <c r="AN22" s="21" cm="1">
        <f t="array" aca="1" ref="AN22" ca="1">INDEX(Master!$I$2:'Master'!$I$4384,MATCH($A22&amp;AN$2,Master!$A$2:'Master'!$A$4384&amp;Master!$C$2:'Master'!$C$4384,0))</f>
        <v>2</v>
      </c>
      <c r="AO22" s="21" cm="1">
        <f t="array" aca="1" ref="AO22" ca="1">INDEX(Master!$I$2:'Master'!$I$4384,MATCH($A22&amp;AO$2,Master!$A$2:'Master'!$A$4384&amp;Master!$C$2:'Master'!$C$4384,0))</f>
        <v>1</v>
      </c>
      <c r="AP22" s="21" cm="1">
        <f t="array" aca="1" ref="AP22" ca="1">INDEX(Master!$I$2:'Master'!$I$4384,MATCH($A22&amp;AP$2,Master!$A$2:'Master'!$A$4384&amp;Master!$C$2:'Master'!$C$4384,0))</f>
        <v>1</v>
      </c>
      <c r="AQ22" s="21" cm="1">
        <f t="array" aca="1" ref="AQ22" ca="1">INDEX(Master!$I$2:'Master'!$I$4384,MATCH($A22&amp;AQ$2,Master!$A$2:'Master'!$A$4384&amp;Master!$C$2:'Master'!$C$4384,0))</f>
        <v>1</v>
      </c>
      <c r="AR22" s="21" cm="1">
        <f t="array" aca="1" ref="AR22" ca="1">INDEX(Master!$I$2:'Master'!$I$4384,MATCH($A22&amp;AR$2,Master!$A$2:'Master'!$A$4384&amp;Master!$C$2:'Master'!$C$4384,0))</f>
        <v>1</v>
      </c>
      <c r="AS22" s="21" cm="1">
        <f t="array" aca="1" ref="AS22" ca="1">INDEX(Master!$I$2:'Master'!$I$4384,MATCH($A22&amp;AS$2,Master!$A$2:'Master'!$A$4384&amp;Master!$C$2:'Master'!$C$4384,0))</f>
        <v>1</v>
      </c>
      <c r="AT22" s="21" cm="1">
        <f t="array" aca="1" ref="AT22" ca="1">INDEX(Master!$I$2:'Master'!$I$4384,MATCH($A22&amp;AT$2,Master!$A$2:'Master'!$A$4384&amp;Master!$C$2:'Master'!$C$4384,0))</f>
        <v>4</v>
      </c>
      <c r="AU22" s="21" cm="1">
        <f t="array" aca="1" ref="AU22" ca="1">INDEX(Master!$I$2:'Master'!$I$4384,MATCH($A22&amp;AU$2,Master!$A$2:'Master'!$A$4384&amp;Master!$C$2:'Master'!$C$4384,0))</f>
        <v>2</v>
      </c>
      <c r="AV22" s="21" cm="1">
        <f t="array" aca="1" ref="AV22" ca="1">INDEX(Master!$I$2:'Master'!$I$4384,MATCH($A22&amp;AV$2,Master!$A$2:'Master'!$A$4384&amp;Master!$C$2:'Master'!$C$4384,0))</f>
        <v>1</v>
      </c>
      <c r="AW22" s="21" cm="1">
        <f t="array" aca="1" ref="AW22" ca="1">INDEX(Master!$I$2:'Master'!$I$4384,MATCH($A22&amp;AW$2,Master!$A$2:'Master'!$A$4384&amp;Master!$C$2:'Master'!$C$4384,0))</f>
        <v>1</v>
      </c>
      <c r="AX22" s="21" cm="1">
        <f t="array" aca="1" ref="AX22" ca="1">INDEX(Master!$I$2:'Master'!$I$4384,MATCH($A22&amp;AX$2,Master!$A$2:'Master'!$A$4384&amp;Master!$C$2:'Master'!$C$4384,0))</f>
        <v>4</v>
      </c>
      <c r="AY22" s="21" cm="1">
        <f t="array" aca="1" ref="AY22" ca="1">INDEX(Master!$I$2:'Master'!$I$4384,MATCH($A22&amp;AY$2,Master!$A$2:'Master'!$A$4384&amp;Master!$C$2:'Master'!$C$4384,0))</f>
        <v>3</v>
      </c>
      <c r="AZ22" s="21" cm="1">
        <f t="array" aca="1" ref="AZ22" ca="1">INDEX(Master!$I$2:'Master'!$I$4384,MATCH($A22&amp;AZ$2,Master!$A$2:'Master'!$A$4384&amp;Master!$C$2:'Master'!$C$4384,0))</f>
        <v>2</v>
      </c>
      <c r="BA22" s="21" cm="1">
        <f t="array" aca="1" ref="BA22" ca="1">INDEX(Master!$I$2:'Master'!$I$4384,MATCH($A22&amp;BA$2,Master!$A$2:'Master'!$A$4384&amp;Master!$C$2:'Master'!$C$4384,0))</f>
        <v>4</v>
      </c>
      <c r="BB22" s="21" cm="1">
        <f t="array" aca="1" ref="BB22" ca="1">INDEX(Master!$I$2:'Master'!$I$4384,MATCH($A22&amp;BB$2,Master!$A$2:'Master'!$A$4384&amp;Master!$C$2:'Master'!$C$4384,0))</f>
        <v>1</v>
      </c>
      <c r="BC22" s="21" cm="1">
        <f t="array" aca="1" ref="BC22" ca="1">INDEX(Master!$I$2:'Master'!$I$4384,MATCH($A22&amp;BC$2,Master!$A$2:'Master'!$A$4384&amp;Master!$C$2:'Master'!$C$4384,0))</f>
        <v>1</v>
      </c>
      <c r="BD22" s="21" cm="1">
        <f t="array" aca="1" ref="BD22" ca="1">INDEX(Master!$I$2:'Master'!$I$4384,MATCH($A22&amp;BD$2,Master!$A$2:'Master'!$A$4384&amp;Master!$C$2:'Master'!$C$4384,0))</f>
        <v>4</v>
      </c>
      <c r="BE22" s="21" cm="1">
        <f t="array" aca="1" ref="BE22" ca="1">INDEX(Master!$I$2:'Master'!$I$4384,MATCH($A22&amp;BE$2,Master!$A$2:'Master'!$A$4384&amp;Master!$C$2:'Master'!$C$4384,0))</f>
        <v>1</v>
      </c>
      <c r="BF22" s="21" cm="1">
        <f t="array" aca="1" ref="BF22" ca="1">INDEX(Master!$I$2:'Master'!$I$4384,MATCH($A22&amp;BF$2,Master!$A$2:'Master'!$A$4384&amp;Master!$C$2:'Master'!$C$4384,0))</f>
        <v>1</v>
      </c>
      <c r="BG22" s="21" cm="1">
        <f t="array" aca="1" ref="BG22" ca="1">INDEX(Master!$I$2:'Master'!$I$4384,MATCH($A22&amp;BG$2,Master!$A$2:'Master'!$A$4384&amp;Master!$C$2:'Master'!$C$4384,0))</f>
        <v>0</v>
      </c>
      <c r="BH22" s="21" cm="1">
        <f t="array" aca="1" ref="BH22" ca="1">INDEX(Master!$I$2:'Master'!$I$4384,MATCH($A22&amp;BH$2,Master!$A$2:'Master'!$A$4384&amp;Master!$C$2:'Master'!$C$4384,0))</f>
        <v>0</v>
      </c>
      <c r="BI22" s="21" cm="1">
        <f t="array" aca="1" ref="BI22" ca="1">INDEX(Master!$I$2:'Master'!$I$4384,MATCH($A22&amp;BI$2,Master!$A$2:'Master'!$A$4384&amp;Master!$C$2:'Master'!$C$4384,0))</f>
        <v>0</v>
      </c>
      <c r="BJ22" s="21" cm="1">
        <f t="array" aca="1" ref="BJ22" ca="1">INDEX(Master!$I$2:'Master'!$I$4384,MATCH($A22&amp;BJ$2,Master!$A$2:'Master'!$A$4384&amp;Master!$C$2:'Master'!$C$4384,0))</f>
        <v>0</v>
      </c>
      <c r="BK22" s="21" cm="1">
        <f t="array" aca="1" ref="BK22" ca="1">INDEX(Master!$I$2:'Master'!$I$4384,MATCH($A22&amp;BK$2,Master!$A$2:'Master'!$A$4384&amp;Master!$C$2:'Master'!$C$4384,0))</f>
        <v>1</v>
      </c>
      <c r="BL22" s="21" cm="1">
        <f t="array" aca="1" ref="BL22" ca="1">INDEX(Master!$I$2:'Master'!$I$4384,MATCH($A22&amp;BL$2,Master!$A$2:'Master'!$A$4384&amp;Master!$C$2:'Master'!$C$4384,0))</f>
        <v>1</v>
      </c>
      <c r="BM22" s="21" cm="1">
        <f t="array" aca="1" ref="BM22" ca="1">INDEX(Master!$I$2:'Master'!$I$4384,MATCH($A22&amp;BM$2,Master!$A$2:'Master'!$A$4384&amp;Master!$C$2:'Master'!$C$4384,0))</f>
        <v>1</v>
      </c>
      <c r="BN22" s="21" cm="1">
        <f t="array" aca="1" ref="BN22" ca="1">INDEX(Master!$I$2:'Master'!$I$4384,MATCH($A22&amp;BN$2,Master!$A$2:'Master'!$A$4384&amp;Master!$C$2:'Master'!$C$4384,0))</f>
        <v>1</v>
      </c>
      <c r="BO22" s="21" cm="1">
        <f t="array" aca="1" ref="BO22" ca="1">INDEX(Master!$I$2:'Master'!$I$4384,MATCH($A22&amp;BO$2,Master!$A$2:'Master'!$A$4384&amp;Master!$C$2:'Master'!$C$4384,0))</f>
        <v>0</v>
      </c>
      <c r="BP22" s="21" cm="1">
        <f t="array" aca="1" ref="BP22" ca="1">INDEX(Master!$I$2:'Master'!$I$4384,MATCH($A22&amp;BP$2,Master!$A$2:'Master'!$A$4384&amp;Master!$C$2:'Master'!$C$4384,0))</f>
        <v>0</v>
      </c>
      <c r="BQ22" s="21" cm="1">
        <f t="array" aca="1" ref="BQ22" ca="1">INDEX(Master!$I$2:'Master'!$I$4384,MATCH($A22&amp;BQ$2,Master!$A$2:'Master'!$A$4384&amp;Master!$C$2:'Master'!$C$4384,0))</f>
        <v>1</v>
      </c>
      <c r="BR22" s="21" cm="1">
        <f t="array" aca="1" ref="BR22" ca="1">INDEX(Master!$I$2:'Master'!$I$4384,MATCH($A22&amp;BR$2,Master!$A$2:'Master'!$A$4384&amp;Master!$C$2:'Master'!$C$4384,0))</f>
        <v>1</v>
      </c>
      <c r="BS22" s="21" cm="1">
        <f t="array" aca="1" ref="BS22" ca="1">INDEX(Master!$I$2:'Master'!$I$4384,MATCH($A22&amp;BS$2,Master!$A$2:'Master'!$A$4384&amp;Master!$C$2:'Master'!$C$4384,0))</f>
        <v>1</v>
      </c>
      <c r="BT22" s="21" cm="1">
        <f t="array" aca="1" ref="BT22" ca="1">INDEX(Master!$I$2:'Master'!$I$4384,MATCH($A22&amp;BT$2,Master!$A$2:'Master'!$A$4384&amp;Master!$C$2:'Master'!$C$4384,0))</f>
        <v>1</v>
      </c>
      <c r="BU22" s="21" cm="1">
        <f t="array" aca="1" ref="BU22" ca="1">INDEX(Master!$I$2:'Master'!$I$4384,MATCH($A22&amp;BU$2,Master!$A$2:'Master'!$A$4384&amp;Master!$C$2:'Master'!$C$4384,0))</f>
        <v>1</v>
      </c>
      <c r="BV22" s="21" cm="1">
        <f t="array" aca="1" ref="BV22" ca="1">INDEX(Master!$I$2:'Master'!$I$4384,MATCH($A22&amp;BV$2,Master!$A$2:'Master'!$A$4384&amp;Master!$C$2:'Master'!$C$4384,0))</f>
        <v>1</v>
      </c>
      <c r="BW22" s="21" cm="1">
        <f t="array" aca="1" ref="BW22" ca="1">INDEX(Master!$I$2:'Master'!$I$4384,MATCH($A22&amp;BW$2,Master!$A$2:'Master'!$A$4384&amp;Master!$C$2:'Master'!$C$4384,0))</f>
        <v>1</v>
      </c>
      <c r="BX22" s="21" cm="1">
        <f t="array" aca="1" ref="BX22" ca="1">INDEX(Master!$I$2:'Master'!$I$4384,MATCH($A22&amp;BX$2,Master!$A$2:'Master'!$A$4384&amp;Master!$C$2:'Master'!$C$4384,0))</f>
        <v>0</v>
      </c>
      <c r="BY22" s="21" cm="1">
        <f t="array" aca="1" ref="BY22" ca="1">INDEX(Master!$I$2:'Master'!$I$4384,MATCH($A22&amp;BY$2,Master!$A$2:'Master'!$A$4384&amp;Master!$C$2:'Master'!$C$4384,0))</f>
        <v>0</v>
      </c>
      <c r="BZ22" s="21" cm="1">
        <f t="array" aca="1" ref="BZ22" ca="1">INDEX(Master!$I$2:'Master'!$I$4384,MATCH($A22&amp;BZ$2,Master!$A$2:'Master'!$A$4384&amp;Master!$C$2:'Master'!$C$4384,0))</f>
        <v>0</v>
      </c>
      <c r="CA22" s="21" cm="1">
        <f t="array" aca="1" ref="CA22" ca="1">INDEX(Master!$I$2:'Master'!$I$4384,MATCH($A22&amp;CA$2,Master!$A$2:'Master'!$A$4384&amp;Master!$C$2:'Master'!$C$4384,0))</f>
        <v>0</v>
      </c>
      <c r="CB22" s="21" cm="1">
        <f t="array" aca="1" ref="CB22" ca="1">INDEX(Master!$I$2:'Master'!$I$4384,MATCH($A22&amp;CB$2,Master!$A$2:'Master'!$A$4384&amp;Master!$C$2:'Master'!$C$4384,0))</f>
        <v>1</v>
      </c>
      <c r="CC22" s="21" cm="1">
        <f t="array" aca="1" ref="CC22" ca="1">INDEX(Master!$I$2:'Master'!$I$4384,MATCH($A22&amp;CC$2,Master!$A$2:'Master'!$A$4384&amp;Master!$C$2:'Master'!$C$4384,0))</f>
        <v>1</v>
      </c>
      <c r="CD22" s="21" cm="1">
        <f t="array" aca="1" ref="CD22" ca="1">INDEX(Master!$I$2:'Master'!$I$4384,MATCH($A22&amp;CD$2,Master!$A$2:'Master'!$A$4384&amp;Master!$C$2:'Master'!$C$4384,0))</f>
        <v>1</v>
      </c>
      <c r="CE22" s="21" cm="1">
        <f t="array" aca="1" ref="CE22" ca="1">INDEX(Master!$I$2:'Master'!$I$4384,MATCH($A22&amp;CE$2,Master!$A$2:'Master'!$A$4384&amp;Master!$C$2:'Master'!$C$4384,0))</f>
        <v>1</v>
      </c>
      <c r="CF22" s="21" cm="1">
        <f t="array" aca="1" ref="CF22" ca="1">INDEX(Master!$I$2:'Master'!$I$4384,MATCH($A22&amp;CF$2,Master!$A$2:'Master'!$A$4384&amp;Master!$C$2:'Master'!$C$4384,0))</f>
        <v>1</v>
      </c>
      <c r="CG22" s="21" cm="1">
        <f t="array" aca="1" ref="CG22" ca="1">INDEX(Master!$I$2:'Master'!$I$4384,MATCH($A22&amp;CG$2,Master!$A$2:'Master'!$A$4384&amp;Master!$C$2:'Master'!$C$4384,0))</f>
        <v>1</v>
      </c>
      <c r="CH22" s="21" cm="1">
        <f t="array" aca="1" ref="CH22" ca="1">INDEX(Master!$I$2:'Master'!$I$4384,MATCH($A22&amp;CH$2,Master!$A$2:'Master'!$A$4384&amp;Master!$C$2:'Master'!$C$4384,0))</f>
        <v>1</v>
      </c>
      <c r="CI22" s="21" cm="1">
        <f t="array" aca="1" ref="CI22" ca="1">INDEX(Master!$I$2:'Master'!$I$4384,MATCH($A22&amp;CI$2,Master!$A$2:'Master'!$A$4384&amp;Master!$C$2:'Master'!$C$4384,0))</f>
        <v>1</v>
      </c>
      <c r="CJ22" s="21" cm="1">
        <f t="array" aca="1" ref="CJ22" ca="1">INDEX(Master!$I$2:'Master'!$I$4384,MATCH($A22&amp;CJ$2,Master!$A$2:'Master'!$A$4384&amp;Master!$C$2:'Master'!$C$4384,0))</f>
        <v>1</v>
      </c>
      <c r="CK22" s="21" cm="1">
        <f t="array" aca="1" ref="CK22" ca="1">INDEX(Master!$I$2:'Master'!$I$4384,MATCH($A22&amp;CK$2,Master!$A$2:'Master'!$A$4384&amp;Master!$C$2:'Master'!$C$4384,0))</f>
        <v>0</v>
      </c>
      <c r="CL22" s="21" cm="1">
        <f t="array" aca="1" ref="CL22" ca="1">INDEX(Master!$I$2:'Master'!$I$4384,MATCH($A22&amp;CL$2,Master!$A$2:'Master'!$A$4384&amp;Master!$C$2:'Master'!$C$4384,0))</f>
        <v>0</v>
      </c>
      <c r="CM22" s="21" cm="1">
        <f t="array" aca="1" ref="CM22" ca="1">INDEX(Master!$I$2:'Master'!$I$4384,MATCH($A22&amp;CM$2,Master!$A$2:'Master'!$A$4384&amp;Master!$C$2:'Master'!$C$4384,0))</f>
        <v>1</v>
      </c>
      <c r="CN22" s="21" cm="1">
        <f t="array" aca="1" ref="CN22" ca="1">INDEX(Master!$I$2:'Master'!$I$4384,MATCH($A22&amp;CN$2,Master!$A$2:'Master'!$A$4384&amp;Master!$C$2:'Master'!$C$4384,0))</f>
        <v>0</v>
      </c>
      <c r="CO22" s="21" cm="1">
        <f t="array" aca="1" ref="CO22" ca="1">INDEX(Master!$I$2:'Master'!$I$4384,MATCH($A22&amp;CO$2,Master!$A$2:'Master'!$A$4384&amp;Master!$C$2:'Master'!$C$4384,0))</f>
        <v>0</v>
      </c>
      <c r="CP22" s="21" cm="1">
        <f t="array" aca="1" ref="CP22" ca="1">INDEX(Master!$I$2:'Master'!$I$4384,MATCH($A22&amp;CP$2,Master!$A$2:'Master'!$A$4384&amp;Master!$C$2:'Master'!$C$4384,0))</f>
        <v>1</v>
      </c>
      <c r="CQ22" s="21" cm="1">
        <f t="array" aca="1" ref="CQ22" ca="1">INDEX(Master!$I$2:'Master'!$I$4384,MATCH($A22&amp;CQ$2,Master!$A$2:'Master'!$A$4384&amp;Master!$C$2:'Master'!$C$4384,0))</f>
        <v>2</v>
      </c>
      <c r="CR22" s="21" cm="1">
        <f t="array" aca="1" ref="CR22" ca="1">INDEX(Master!$I$2:'Master'!$I$4384,MATCH($A22&amp;CR$2,Master!$A$2:'Master'!$A$4384&amp;Master!$C$2:'Master'!$C$4384,0))</f>
        <v>1</v>
      </c>
      <c r="CS22" s="21" cm="1">
        <f t="array" aca="1" ref="CS22" ca="1">INDEX(Master!$I$2:'Master'!$I$4384,MATCH($A22&amp;CS$2,Master!$A$2:'Master'!$A$4384&amp;Master!$C$2:'Master'!$C$4384,0))</f>
        <v>1</v>
      </c>
    </row>
    <row r="23" spans="1:97">
      <c r="A23" t="str">
        <f>VLOOKUP(Staff!$A21,Staff!$A$1:A$73,1,FALSE)</f>
        <v>Vera Stanhope</v>
      </c>
      <c r="B23" s="21" cm="1">
        <f t="array" aca="1" ref="B23" ca="1">INDEX(Master!$I$2:'Master'!$I$4384,MATCH($A23&amp;B$2,Master!$A$2:'Master'!$A$4384&amp;Master!$C$2:'Master'!$C$4384,0))</f>
        <v>99</v>
      </c>
      <c r="C23" s="21" cm="1">
        <f t="array" aca="1" ref="C23" ca="1">INDEX(Master!$I$2:'Master'!$I$4384,MATCH($A23&amp;C$2,Master!$A$2:'Master'!$A$4384&amp;Master!$C$2:'Master'!$C$4384,0))</f>
        <v>99</v>
      </c>
      <c r="D23" s="21" cm="1">
        <f t="array" aca="1" ref="D23" ca="1">INDEX(Master!$I$2:'Master'!$I$4384,MATCH($A23&amp;D$2,Master!$A$2:'Master'!$A$4384&amp;Master!$C$2:'Master'!$C$4384,0))</f>
        <v>99</v>
      </c>
      <c r="E23" s="21" cm="1">
        <f t="array" aca="1" ref="E23" ca="1">INDEX(Master!$I$2:'Master'!$I$4384,MATCH($A23&amp;E$2,Master!$A$2:'Master'!$A$4384&amp;Master!$C$2:'Master'!$C$4384,0))</f>
        <v>99</v>
      </c>
      <c r="F23" s="21" cm="1">
        <f t="array" aca="1" ref="F23" ca="1">INDEX(Master!$I$2:'Master'!$I$4384,MATCH($A23&amp;F$2,Master!$A$2:'Master'!$A$4384&amp;Master!$C$2:'Master'!$C$4384,0))</f>
        <v>99</v>
      </c>
      <c r="G23" s="21" cm="1">
        <f t="array" aca="1" ref="G23" ca="1">INDEX(Master!$I$2:'Master'!$I$4384,MATCH($A23&amp;G$2,Master!$A$2:'Master'!$A$4384&amp;Master!$C$2:'Master'!$C$4384,0))</f>
        <v>99</v>
      </c>
      <c r="H23" s="21" cm="1">
        <f t="array" aca="1" ref="H23" ca="1">INDEX(Master!$I$2:'Master'!$I$4384,MATCH($A23&amp;H$2,Master!$A$2:'Master'!$A$4384&amp;Master!$C$2:'Master'!$C$4384,0))</f>
        <v>99</v>
      </c>
      <c r="I23" s="21" cm="1">
        <f t="array" aca="1" ref="I23" ca="1">INDEX(Master!$I$2:'Master'!$I$4384,MATCH($A23&amp;I$2,Master!$A$2:'Master'!$A$4384&amp;Master!$C$2:'Master'!$C$4384,0))</f>
        <v>99</v>
      </c>
      <c r="J23" s="21" cm="1">
        <f t="array" aca="1" ref="J23" ca="1">INDEX(Master!$I$2:'Master'!$I$4384,MATCH($A23&amp;J$2,Master!$A$2:'Master'!$A$4384&amp;Master!$C$2:'Master'!$C$4384,0))</f>
        <v>99</v>
      </c>
      <c r="K23" s="21" cm="1">
        <f t="array" aca="1" ref="K23" ca="1">INDEX(Master!$I$2:'Master'!$I$4384,MATCH($A23&amp;K$2,Master!$A$2:'Master'!$A$4384&amp;Master!$C$2:'Master'!$C$4384,0))</f>
        <v>99</v>
      </c>
      <c r="L23" s="21" cm="1">
        <f t="array" aca="1" ref="L23" ca="1">INDEX(Master!$I$2:'Master'!$I$4384,MATCH($A23&amp;L$2,Master!$A$2:'Master'!$A$4384&amp;Master!$C$2:'Master'!$C$4384,0))</f>
        <v>99</v>
      </c>
      <c r="M23" s="21" cm="1">
        <f t="array" aca="1" ref="M23" ca="1">INDEX(Master!$I$2:'Master'!$I$4384,MATCH($A23&amp;M$2,Master!$A$2:'Master'!$A$4384&amp;Master!$C$2:'Master'!$C$4384,0))</f>
        <v>99</v>
      </c>
      <c r="N23" s="21" cm="1">
        <f t="array" aca="1" ref="N23" ca="1">INDEX(Master!$I$2:'Master'!$I$4384,MATCH($A23&amp;N$2,Master!$A$2:'Master'!$A$4384&amp;Master!$C$2:'Master'!$C$4384,0))</f>
        <v>99</v>
      </c>
      <c r="O23" s="21" cm="1">
        <f t="array" aca="1" ref="O23" ca="1">INDEX(Master!$I$2:'Master'!$I$4384,MATCH($A23&amp;O$2,Master!$A$2:'Master'!$A$4384&amp;Master!$C$2:'Master'!$C$4384,0))</f>
        <v>99</v>
      </c>
      <c r="P23" s="21" cm="1">
        <f t="array" aca="1" ref="P23" ca="1">INDEX(Master!$I$2:'Master'!$I$4384,MATCH($A23&amp;P$2,Master!$A$2:'Master'!$A$4384&amp;Master!$C$2:'Master'!$C$4384,0))</f>
        <v>99</v>
      </c>
      <c r="Q23" s="21" cm="1">
        <f t="array" aca="1" ref="Q23" ca="1">INDEX(Master!$I$2:'Master'!$I$4384,MATCH($A23&amp;Q$2,Master!$A$2:'Master'!$A$4384&amp;Master!$C$2:'Master'!$C$4384,0))</f>
        <v>99</v>
      </c>
      <c r="R23" s="21" cm="1">
        <f t="array" aca="1" ref="R23" ca="1">INDEX(Master!$I$2:'Master'!$I$4384,MATCH($A23&amp;R$2,Master!$A$2:'Master'!$A$4384&amp;Master!$C$2:'Master'!$C$4384,0))</f>
        <v>99</v>
      </c>
      <c r="S23" s="21" cm="1">
        <f t="array" aca="1" ref="S23" ca="1">INDEX(Master!$I$2:'Master'!$I$4384,MATCH($A23&amp;S$2,Master!$A$2:'Master'!$A$4384&amp;Master!$C$2:'Master'!$C$4384,0))</f>
        <v>99</v>
      </c>
      <c r="T23" s="21" cm="1">
        <f t="array" aca="1" ref="T23" ca="1">INDEX(Master!$I$2:'Master'!$I$4384,MATCH($A23&amp;T$2,Master!$A$2:'Master'!$A$4384&amp;Master!$C$2:'Master'!$C$4384,0))</f>
        <v>99</v>
      </c>
      <c r="U23" s="21" cm="1">
        <f t="array" aca="1" ref="U23" ca="1">INDEX(Master!$I$2:'Master'!$I$4384,MATCH($A23&amp;U$2,Master!$A$2:'Master'!$A$4384&amp;Master!$C$2:'Master'!$C$4384,0))</f>
        <v>99</v>
      </c>
      <c r="V23" s="21" cm="1">
        <f t="array" aca="1" ref="V23" ca="1">INDEX(Master!$I$2:'Master'!$I$4384,MATCH($A23&amp;V$2,Master!$A$2:'Master'!$A$4384&amp;Master!$C$2:'Master'!$C$4384,0))</f>
        <v>99</v>
      </c>
      <c r="W23" s="21" cm="1">
        <f t="array" aca="1" ref="W23" ca="1">INDEX(Master!$I$2:'Master'!$I$4384,MATCH($A23&amp;W$2,Master!$A$2:'Master'!$A$4384&amp;Master!$C$2:'Master'!$C$4384,0))</f>
        <v>99</v>
      </c>
      <c r="X23" s="21" cm="1">
        <f t="array" aca="1" ref="X23" ca="1">INDEX(Master!$I$2:'Master'!$I$4384,MATCH($A23&amp;X$2,Master!$A$2:'Master'!$A$4384&amp;Master!$C$2:'Master'!$C$4384,0))</f>
        <v>99</v>
      </c>
      <c r="Y23" s="21" cm="1">
        <f t="array" aca="1" ref="Y23" ca="1">INDEX(Master!$I$2:'Master'!$I$4384,MATCH($A23&amp;Y$2,Master!$A$2:'Master'!$A$4384&amp;Master!$C$2:'Master'!$C$4384,0))</f>
        <v>99</v>
      </c>
      <c r="Z23" s="21" cm="1">
        <f t="array" aca="1" ref="Z23" ca="1">INDEX(Master!$I$2:'Master'!$I$4384,MATCH($A23&amp;Z$2,Master!$A$2:'Master'!$A$4384&amp;Master!$C$2:'Master'!$C$4384,0))</f>
        <v>99</v>
      </c>
      <c r="AA23" s="21" cm="1">
        <f t="array" aca="1" ref="AA23" ca="1">INDEX(Master!$I$2:'Master'!$I$4384,MATCH($A23&amp;AA$2,Master!$A$2:'Master'!$A$4384&amp;Master!$C$2:'Master'!$C$4384,0))</f>
        <v>99</v>
      </c>
      <c r="AB23" s="21" cm="1">
        <f t="array" aca="1" ref="AB23" ca="1">INDEX(Master!$I$2:'Master'!$I$4384,MATCH($A23&amp;AB$2,Master!$A$2:'Master'!$A$4384&amp;Master!$C$2:'Master'!$C$4384,0))</f>
        <v>99</v>
      </c>
      <c r="AC23" s="21" cm="1">
        <f t="array" aca="1" ref="AC23" ca="1">INDEX(Master!$I$2:'Master'!$I$4384,MATCH($A23&amp;AC$2,Master!$A$2:'Master'!$A$4384&amp;Master!$C$2:'Master'!$C$4384,0))</f>
        <v>99</v>
      </c>
      <c r="AD23" s="21" cm="1">
        <f t="array" aca="1" ref="AD23" ca="1">INDEX(Master!$I$2:'Master'!$I$4384,MATCH($A23&amp;AD$2,Master!$A$2:'Master'!$A$4384&amp;Master!$C$2:'Master'!$C$4384,0))</f>
        <v>99</v>
      </c>
      <c r="AE23" s="21" cm="1">
        <f t="array" aca="1" ref="AE23" ca="1">INDEX(Master!$I$2:'Master'!$I$4384,MATCH($A23&amp;AE$2,Master!$A$2:'Master'!$A$4384&amp;Master!$C$2:'Master'!$C$4384,0))</f>
        <v>99</v>
      </c>
      <c r="AF23" s="21" cm="1">
        <f t="array" aca="1" ref="AF23" ca="1">INDEX(Master!$I$2:'Master'!$I$4384,MATCH($A23&amp;AF$2,Master!$A$2:'Master'!$A$4384&amp;Master!$C$2:'Master'!$C$4384,0))</f>
        <v>99</v>
      </c>
      <c r="AG23" s="21" cm="1">
        <f t="array" aca="1" ref="AG23" ca="1">INDEX(Master!$I$2:'Master'!$I$4384,MATCH($A23&amp;AG$2,Master!$A$2:'Master'!$A$4384&amp;Master!$C$2:'Master'!$C$4384,0))</f>
        <v>99</v>
      </c>
      <c r="AH23" s="21" cm="1">
        <f t="array" aca="1" ref="AH23" ca="1">INDEX(Master!$I$2:'Master'!$I$4384,MATCH($A23&amp;AH$2,Master!$A$2:'Master'!$A$4384&amp;Master!$C$2:'Master'!$C$4384,0))</f>
        <v>99</v>
      </c>
      <c r="AI23" s="21" cm="1">
        <f t="array" aca="1" ref="AI23" ca="1">INDEX(Master!$I$2:'Master'!$I$4384,MATCH($A23&amp;AI$2,Master!$A$2:'Master'!$A$4384&amp;Master!$C$2:'Master'!$C$4384,0))</f>
        <v>99</v>
      </c>
      <c r="AJ23" s="21" cm="1">
        <f t="array" aca="1" ref="AJ23" ca="1">INDEX(Master!$I$2:'Master'!$I$4384,MATCH($A23&amp;AJ$2,Master!$A$2:'Master'!$A$4384&amp;Master!$C$2:'Master'!$C$4384,0))</f>
        <v>99</v>
      </c>
      <c r="AK23" s="21" cm="1">
        <f t="array" aca="1" ref="AK23" ca="1">INDEX(Master!$I$2:'Master'!$I$4384,MATCH($A23&amp;AK$2,Master!$A$2:'Master'!$A$4384&amp;Master!$C$2:'Master'!$C$4384,0))</f>
        <v>99</v>
      </c>
      <c r="AL23" s="21" cm="1">
        <f t="array" aca="1" ref="AL23" ca="1">INDEX(Master!$I$2:'Master'!$I$4384,MATCH($A23&amp;AL$2,Master!$A$2:'Master'!$A$4384&amp;Master!$C$2:'Master'!$C$4384,0))</f>
        <v>99</v>
      </c>
      <c r="AM23" s="21" cm="1">
        <f t="array" aca="1" ref="AM23" ca="1">INDEX(Master!$I$2:'Master'!$I$4384,MATCH($A23&amp;AM$2,Master!$A$2:'Master'!$A$4384&amp;Master!$C$2:'Master'!$C$4384,0))</f>
        <v>99</v>
      </c>
      <c r="AN23" s="21" cm="1">
        <f t="array" aca="1" ref="AN23" ca="1">INDEX(Master!$I$2:'Master'!$I$4384,MATCH($A23&amp;AN$2,Master!$A$2:'Master'!$A$4384&amp;Master!$C$2:'Master'!$C$4384,0))</f>
        <v>99</v>
      </c>
      <c r="AO23" s="21" cm="1">
        <f t="array" aca="1" ref="AO23" ca="1">INDEX(Master!$I$2:'Master'!$I$4384,MATCH($A23&amp;AO$2,Master!$A$2:'Master'!$A$4384&amp;Master!$C$2:'Master'!$C$4384,0))</f>
        <v>99</v>
      </c>
      <c r="AP23" s="21" cm="1">
        <f t="array" aca="1" ref="AP23" ca="1">INDEX(Master!$I$2:'Master'!$I$4384,MATCH($A23&amp;AP$2,Master!$A$2:'Master'!$A$4384&amp;Master!$C$2:'Master'!$C$4384,0))</f>
        <v>99</v>
      </c>
      <c r="AQ23" s="21" cm="1">
        <f t="array" aca="1" ref="AQ23" ca="1">INDEX(Master!$I$2:'Master'!$I$4384,MATCH($A23&amp;AQ$2,Master!$A$2:'Master'!$A$4384&amp;Master!$C$2:'Master'!$C$4384,0))</f>
        <v>99</v>
      </c>
      <c r="AR23" s="21" cm="1">
        <f t="array" aca="1" ref="AR23" ca="1">INDEX(Master!$I$2:'Master'!$I$4384,MATCH($A23&amp;AR$2,Master!$A$2:'Master'!$A$4384&amp;Master!$C$2:'Master'!$C$4384,0))</f>
        <v>99</v>
      </c>
      <c r="AS23" s="21" cm="1">
        <f t="array" aca="1" ref="AS23" ca="1">INDEX(Master!$I$2:'Master'!$I$4384,MATCH($A23&amp;AS$2,Master!$A$2:'Master'!$A$4384&amp;Master!$C$2:'Master'!$C$4384,0))</f>
        <v>99</v>
      </c>
      <c r="AT23" s="21" cm="1">
        <f t="array" aca="1" ref="AT23" ca="1">INDEX(Master!$I$2:'Master'!$I$4384,MATCH($A23&amp;AT$2,Master!$A$2:'Master'!$A$4384&amp;Master!$C$2:'Master'!$C$4384,0))</f>
        <v>99</v>
      </c>
      <c r="AU23" s="21" cm="1">
        <f t="array" aca="1" ref="AU23" ca="1">INDEX(Master!$I$2:'Master'!$I$4384,MATCH($A23&amp;AU$2,Master!$A$2:'Master'!$A$4384&amp;Master!$C$2:'Master'!$C$4384,0))</f>
        <v>99</v>
      </c>
      <c r="AV23" s="21" cm="1">
        <f t="array" aca="1" ref="AV23" ca="1">INDEX(Master!$I$2:'Master'!$I$4384,MATCH($A23&amp;AV$2,Master!$A$2:'Master'!$A$4384&amp;Master!$C$2:'Master'!$C$4384,0))</f>
        <v>99</v>
      </c>
      <c r="AW23" s="21" cm="1">
        <f t="array" aca="1" ref="AW23" ca="1">INDEX(Master!$I$2:'Master'!$I$4384,MATCH($A23&amp;AW$2,Master!$A$2:'Master'!$A$4384&amp;Master!$C$2:'Master'!$C$4384,0))</f>
        <v>99</v>
      </c>
      <c r="AX23" s="21" cm="1">
        <f t="array" aca="1" ref="AX23" ca="1">INDEX(Master!$I$2:'Master'!$I$4384,MATCH($A23&amp;AX$2,Master!$A$2:'Master'!$A$4384&amp;Master!$C$2:'Master'!$C$4384,0))</f>
        <v>99</v>
      </c>
      <c r="AY23" s="21" cm="1">
        <f t="array" aca="1" ref="AY23" ca="1">INDEX(Master!$I$2:'Master'!$I$4384,MATCH($A23&amp;AY$2,Master!$A$2:'Master'!$A$4384&amp;Master!$C$2:'Master'!$C$4384,0))</f>
        <v>99</v>
      </c>
      <c r="AZ23" s="21" cm="1">
        <f t="array" aca="1" ref="AZ23" ca="1">INDEX(Master!$I$2:'Master'!$I$4384,MATCH($A23&amp;AZ$2,Master!$A$2:'Master'!$A$4384&amp;Master!$C$2:'Master'!$C$4384,0))</f>
        <v>99</v>
      </c>
      <c r="BA23" s="21" cm="1">
        <f t="array" aca="1" ref="BA23" ca="1">INDEX(Master!$I$2:'Master'!$I$4384,MATCH($A23&amp;BA$2,Master!$A$2:'Master'!$A$4384&amp;Master!$C$2:'Master'!$C$4384,0))</f>
        <v>99</v>
      </c>
      <c r="BB23" s="21" cm="1">
        <f t="array" aca="1" ref="BB23" ca="1">INDEX(Master!$I$2:'Master'!$I$4384,MATCH($A23&amp;BB$2,Master!$A$2:'Master'!$A$4384&amp;Master!$C$2:'Master'!$C$4384,0))</f>
        <v>99</v>
      </c>
      <c r="BC23" s="21" cm="1">
        <f t="array" aca="1" ref="BC23" ca="1">INDEX(Master!$I$2:'Master'!$I$4384,MATCH($A23&amp;BC$2,Master!$A$2:'Master'!$A$4384&amp;Master!$C$2:'Master'!$C$4384,0))</f>
        <v>99</v>
      </c>
      <c r="BD23" s="21" cm="1">
        <f t="array" aca="1" ref="BD23" ca="1">INDEX(Master!$I$2:'Master'!$I$4384,MATCH($A23&amp;BD$2,Master!$A$2:'Master'!$A$4384&amp;Master!$C$2:'Master'!$C$4384,0))</f>
        <v>99</v>
      </c>
      <c r="BE23" s="21" cm="1">
        <f t="array" aca="1" ref="BE23" ca="1">INDEX(Master!$I$2:'Master'!$I$4384,MATCH($A23&amp;BE$2,Master!$A$2:'Master'!$A$4384&amp;Master!$C$2:'Master'!$C$4384,0))</f>
        <v>99</v>
      </c>
      <c r="BF23" s="21" cm="1">
        <f t="array" aca="1" ref="BF23" ca="1">INDEX(Master!$I$2:'Master'!$I$4384,MATCH($A23&amp;BF$2,Master!$A$2:'Master'!$A$4384&amp;Master!$C$2:'Master'!$C$4384,0))</f>
        <v>99</v>
      </c>
      <c r="BG23" s="21" cm="1">
        <f t="array" aca="1" ref="BG23" ca="1">INDEX(Master!$I$2:'Master'!$I$4384,MATCH($A23&amp;BG$2,Master!$A$2:'Master'!$A$4384&amp;Master!$C$2:'Master'!$C$4384,0))</f>
        <v>99</v>
      </c>
      <c r="BH23" s="21" cm="1">
        <f t="array" aca="1" ref="BH23" ca="1">INDEX(Master!$I$2:'Master'!$I$4384,MATCH($A23&amp;BH$2,Master!$A$2:'Master'!$A$4384&amp;Master!$C$2:'Master'!$C$4384,0))</f>
        <v>99</v>
      </c>
      <c r="BI23" s="21" cm="1">
        <f t="array" aca="1" ref="BI23" ca="1">INDEX(Master!$I$2:'Master'!$I$4384,MATCH($A23&amp;BI$2,Master!$A$2:'Master'!$A$4384&amp;Master!$C$2:'Master'!$C$4384,0))</f>
        <v>99</v>
      </c>
      <c r="BJ23" s="21" cm="1">
        <f t="array" aca="1" ref="BJ23" ca="1">INDEX(Master!$I$2:'Master'!$I$4384,MATCH($A23&amp;BJ$2,Master!$A$2:'Master'!$A$4384&amp;Master!$C$2:'Master'!$C$4384,0))</f>
        <v>99</v>
      </c>
      <c r="BK23" s="21" cm="1">
        <f t="array" aca="1" ref="BK23" ca="1">INDEX(Master!$I$2:'Master'!$I$4384,MATCH($A23&amp;BK$2,Master!$A$2:'Master'!$A$4384&amp;Master!$C$2:'Master'!$C$4384,0))</f>
        <v>99</v>
      </c>
      <c r="BL23" s="21" cm="1">
        <f t="array" aca="1" ref="BL23" ca="1">INDEX(Master!$I$2:'Master'!$I$4384,MATCH($A23&amp;BL$2,Master!$A$2:'Master'!$A$4384&amp;Master!$C$2:'Master'!$C$4384,0))</f>
        <v>99</v>
      </c>
      <c r="BM23" s="21" cm="1">
        <f t="array" aca="1" ref="BM23" ca="1">INDEX(Master!$I$2:'Master'!$I$4384,MATCH($A23&amp;BM$2,Master!$A$2:'Master'!$A$4384&amp;Master!$C$2:'Master'!$C$4384,0))</f>
        <v>99</v>
      </c>
      <c r="BN23" s="21" cm="1">
        <f t="array" aca="1" ref="BN23" ca="1">INDEX(Master!$I$2:'Master'!$I$4384,MATCH($A23&amp;BN$2,Master!$A$2:'Master'!$A$4384&amp;Master!$C$2:'Master'!$C$4384,0))</f>
        <v>99</v>
      </c>
      <c r="BO23" s="21" cm="1">
        <f t="array" aca="1" ref="BO23" ca="1">INDEX(Master!$I$2:'Master'!$I$4384,MATCH($A23&amp;BO$2,Master!$A$2:'Master'!$A$4384&amp;Master!$C$2:'Master'!$C$4384,0))</f>
        <v>99</v>
      </c>
      <c r="BP23" s="21" cm="1">
        <f t="array" aca="1" ref="BP23" ca="1">INDEX(Master!$I$2:'Master'!$I$4384,MATCH($A23&amp;BP$2,Master!$A$2:'Master'!$A$4384&amp;Master!$C$2:'Master'!$C$4384,0))</f>
        <v>99</v>
      </c>
      <c r="BQ23" s="21" cm="1">
        <f t="array" aca="1" ref="BQ23" ca="1">INDEX(Master!$I$2:'Master'!$I$4384,MATCH($A23&amp;BQ$2,Master!$A$2:'Master'!$A$4384&amp;Master!$C$2:'Master'!$C$4384,0))</f>
        <v>99</v>
      </c>
      <c r="BR23" s="21" cm="1">
        <f t="array" aca="1" ref="BR23" ca="1">INDEX(Master!$I$2:'Master'!$I$4384,MATCH($A23&amp;BR$2,Master!$A$2:'Master'!$A$4384&amp;Master!$C$2:'Master'!$C$4384,0))</f>
        <v>99</v>
      </c>
      <c r="BS23" s="21" cm="1">
        <f t="array" aca="1" ref="BS23" ca="1">INDEX(Master!$I$2:'Master'!$I$4384,MATCH($A23&amp;BS$2,Master!$A$2:'Master'!$A$4384&amp;Master!$C$2:'Master'!$C$4384,0))</f>
        <v>99</v>
      </c>
      <c r="BT23" s="21" cm="1">
        <f t="array" aca="1" ref="BT23" ca="1">INDEX(Master!$I$2:'Master'!$I$4384,MATCH($A23&amp;BT$2,Master!$A$2:'Master'!$A$4384&amp;Master!$C$2:'Master'!$C$4384,0))</f>
        <v>99</v>
      </c>
      <c r="BU23" s="21" cm="1">
        <f t="array" aca="1" ref="BU23" ca="1">INDEX(Master!$I$2:'Master'!$I$4384,MATCH($A23&amp;BU$2,Master!$A$2:'Master'!$A$4384&amp;Master!$C$2:'Master'!$C$4384,0))</f>
        <v>99</v>
      </c>
      <c r="BV23" s="21" cm="1">
        <f t="array" aca="1" ref="BV23" ca="1">INDEX(Master!$I$2:'Master'!$I$4384,MATCH($A23&amp;BV$2,Master!$A$2:'Master'!$A$4384&amp;Master!$C$2:'Master'!$C$4384,0))</f>
        <v>99</v>
      </c>
      <c r="BW23" s="21" cm="1">
        <f t="array" aca="1" ref="BW23" ca="1">INDEX(Master!$I$2:'Master'!$I$4384,MATCH($A23&amp;BW$2,Master!$A$2:'Master'!$A$4384&amp;Master!$C$2:'Master'!$C$4384,0))</f>
        <v>99</v>
      </c>
      <c r="BX23" s="21" cm="1">
        <f t="array" aca="1" ref="BX23" ca="1">INDEX(Master!$I$2:'Master'!$I$4384,MATCH($A23&amp;BX$2,Master!$A$2:'Master'!$A$4384&amp;Master!$C$2:'Master'!$C$4384,0))</f>
        <v>99</v>
      </c>
      <c r="BY23" s="21" cm="1">
        <f t="array" aca="1" ref="BY23" ca="1">INDEX(Master!$I$2:'Master'!$I$4384,MATCH($A23&amp;BY$2,Master!$A$2:'Master'!$A$4384&amp;Master!$C$2:'Master'!$C$4384,0))</f>
        <v>99</v>
      </c>
      <c r="BZ23" s="21" cm="1">
        <f t="array" aca="1" ref="BZ23" ca="1">INDEX(Master!$I$2:'Master'!$I$4384,MATCH($A23&amp;BZ$2,Master!$A$2:'Master'!$A$4384&amp;Master!$C$2:'Master'!$C$4384,0))</f>
        <v>99</v>
      </c>
      <c r="CA23" s="21" cm="1">
        <f t="array" aca="1" ref="CA23" ca="1">INDEX(Master!$I$2:'Master'!$I$4384,MATCH($A23&amp;CA$2,Master!$A$2:'Master'!$A$4384&amp;Master!$C$2:'Master'!$C$4384,0))</f>
        <v>99</v>
      </c>
      <c r="CB23" s="21" cm="1">
        <f t="array" aca="1" ref="CB23" ca="1">INDEX(Master!$I$2:'Master'!$I$4384,MATCH($A23&amp;CB$2,Master!$A$2:'Master'!$A$4384&amp;Master!$C$2:'Master'!$C$4384,0))</f>
        <v>99</v>
      </c>
      <c r="CC23" s="21" cm="1">
        <f t="array" aca="1" ref="CC23" ca="1">INDEX(Master!$I$2:'Master'!$I$4384,MATCH($A23&amp;CC$2,Master!$A$2:'Master'!$A$4384&amp;Master!$C$2:'Master'!$C$4384,0))</f>
        <v>99</v>
      </c>
      <c r="CD23" s="21" cm="1">
        <f t="array" aca="1" ref="CD23" ca="1">INDEX(Master!$I$2:'Master'!$I$4384,MATCH($A23&amp;CD$2,Master!$A$2:'Master'!$A$4384&amp;Master!$C$2:'Master'!$C$4384,0))</f>
        <v>99</v>
      </c>
      <c r="CE23" s="21" cm="1">
        <f t="array" aca="1" ref="CE23" ca="1">INDEX(Master!$I$2:'Master'!$I$4384,MATCH($A23&amp;CE$2,Master!$A$2:'Master'!$A$4384&amp;Master!$C$2:'Master'!$C$4384,0))</f>
        <v>99</v>
      </c>
      <c r="CF23" s="21" cm="1">
        <f t="array" aca="1" ref="CF23" ca="1">INDEX(Master!$I$2:'Master'!$I$4384,MATCH($A23&amp;CF$2,Master!$A$2:'Master'!$A$4384&amp;Master!$C$2:'Master'!$C$4384,0))</f>
        <v>99</v>
      </c>
      <c r="CG23" s="21" cm="1">
        <f t="array" aca="1" ref="CG23" ca="1">INDEX(Master!$I$2:'Master'!$I$4384,MATCH($A23&amp;CG$2,Master!$A$2:'Master'!$A$4384&amp;Master!$C$2:'Master'!$C$4384,0))</f>
        <v>99</v>
      </c>
      <c r="CH23" s="21" cm="1">
        <f t="array" aca="1" ref="CH23" ca="1">INDEX(Master!$I$2:'Master'!$I$4384,MATCH($A23&amp;CH$2,Master!$A$2:'Master'!$A$4384&amp;Master!$C$2:'Master'!$C$4384,0))</f>
        <v>99</v>
      </c>
      <c r="CI23" s="21" cm="1">
        <f t="array" aca="1" ref="CI23" ca="1">INDEX(Master!$I$2:'Master'!$I$4384,MATCH($A23&amp;CI$2,Master!$A$2:'Master'!$A$4384&amp;Master!$C$2:'Master'!$C$4384,0))</f>
        <v>99</v>
      </c>
      <c r="CJ23" s="21" cm="1">
        <f t="array" aca="1" ref="CJ23" ca="1">INDEX(Master!$I$2:'Master'!$I$4384,MATCH($A23&amp;CJ$2,Master!$A$2:'Master'!$A$4384&amp;Master!$C$2:'Master'!$C$4384,0))</f>
        <v>99</v>
      </c>
      <c r="CK23" s="21" cm="1">
        <f t="array" aca="1" ref="CK23" ca="1">INDEX(Master!$I$2:'Master'!$I$4384,MATCH($A23&amp;CK$2,Master!$A$2:'Master'!$A$4384&amp;Master!$C$2:'Master'!$C$4384,0))</f>
        <v>99</v>
      </c>
      <c r="CL23" s="21" cm="1">
        <f t="array" aca="1" ref="CL23" ca="1">INDEX(Master!$I$2:'Master'!$I$4384,MATCH($A23&amp;CL$2,Master!$A$2:'Master'!$A$4384&amp;Master!$C$2:'Master'!$C$4384,0))</f>
        <v>99</v>
      </c>
      <c r="CM23" s="21" cm="1">
        <f t="array" aca="1" ref="CM23" ca="1">INDEX(Master!$I$2:'Master'!$I$4384,MATCH($A23&amp;CM$2,Master!$A$2:'Master'!$A$4384&amp;Master!$C$2:'Master'!$C$4384,0))</f>
        <v>99</v>
      </c>
      <c r="CN23" s="21" cm="1">
        <f t="array" aca="1" ref="CN23" ca="1">INDEX(Master!$I$2:'Master'!$I$4384,MATCH($A23&amp;CN$2,Master!$A$2:'Master'!$A$4384&amp;Master!$C$2:'Master'!$C$4384,0))</f>
        <v>99</v>
      </c>
      <c r="CO23" s="21" cm="1">
        <f t="array" aca="1" ref="CO23" ca="1">INDEX(Master!$I$2:'Master'!$I$4384,MATCH($A23&amp;CO$2,Master!$A$2:'Master'!$A$4384&amp;Master!$C$2:'Master'!$C$4384,0))</f>
        <v>99</v>
      </c>
      <c r="CP23" s="21" cm="1">
        <f t="array" aca="1" ref="CP23" ca="1">INDEX(Master!$I$2:'Master'!$I$4384,MATCH($A23&amp;CP$2,Master!$A$2:'Master'!$A$4384&amp;Master!$C$2:'Master'!$C$4384,0))</f>
        <v>99</v>
      </c>
      <c r="CQ23" s="21" cm="1">
        <f t="array" aca="1" ref="CQ23" ca="1">INDEX(Master!$I$2:'Master'!$I$4384,MATCH($A23&amp;CQ$2,Master!$A$2:'Master'!$A$4384&amp;Master!$C$2:'Master'!$C$4384,0))</f>
        <v>99</v>
      </c>
      <c r="CR23" s="21" cm="1">
        <f t="array" aca="1" ref="CR23" ca="1">INDEX(Master!$I$2:'Master'!$I$4384,MATCH($A23&amp;CR$2,Master!$A$2:'Master'!$A$4384&amp;Master!$C$2:'Master'!$C$4384,0))</f>
        <v>99</v>
      </c>
      <c r="CS23" s="21" cm="1">
        <f t="array" aca="1" ref="CS23" ca="1">INDEX(Master!$I$2:'Master'!$I$4384,MATCH($A23&amp;CS$2,Master!$A$2:'Master'!$A$4384&amp;Master!$C$2:'Master'!$C$4384,0))</f>
        <v>99</v>
      </c>
    </row>
    <row r="24" spans="1:97">
      <c r="A24" t="str">
        <f>VLOOKUP(Staff!$A22,Staff!$A$1:A$73,1,FALSE)</f>
        <v>Frank Hathaway</v>
      </c>
      <c r="B24" s="21" cm="1">
        <f t="array" aca="1" ref="B24" ca="1">INDEX(Master!$I$2:'Master'!$I$4384,MATCH($A24&amp;B$2,Master!$A$2:'Master'!$A$4384&amp;Master!$C$2:'Master'!$C$4384,0))</f>
        <v>1</v>
      </c>
      <c r="C24" s="21" cm="1">
        <f t="array" aca="1" ref="C24" ca="1">INDEX(Master!$I$2:'Master'!$I$4384,MATCH($A24&amp;C$2,Master!$A$2:'Master'!$A$4384&amp;Master!$C$2:'Master'!$C$4384,0))</f>
        <v>3</v>
      </c>
      <c r="D24" s="21" cm="1">
        <f t="array" aca="1" ref="D24" ca="1">INDEX(Master!$I$2:'Master'!$I$4384,MATCH($A24&amp;D$2,Master!$A$2:'Master'!$A$4384&amp;Master!$C$2:'Master'!$C$4384,0))</f>
        <v>2</v>
      </c>
      <c r="E24" s="21" cm="1">
        <f t="array" aca="1" ref="E24" ca="1">INDEX(Master!$I$2:'Master'!$I$4384,MATCH($A24&amp;E$2,Master!$A$2:'Master'!$A$4384&amp;Master!$C$2:'Master'!$C$4384,0))</f>
        <v>3</v>
      </c>
      <c r="F24" s="21" cm="1">
        <f t="array" aca="1" ref="F24" ca="1">INDEX(Master!$I$2:'Master'!$I$4384,MATCH($A24&amp;F$2,Master!$A$2:'Master'!$A$4384&amp;Master!$C$2:'Master'!$C$4384,0))</f>
        <v>2</v>
      </c>
      <c r="G24" s="21" cm="1">
        <f t="array" aca="1" ref="G24" ca="1">INDEX(Master!$I$2:'Master'!$I$4384,MATCH($A24&amp;G$2,Master!$A$2:'Master'!$A$4384&amp;Master!$C$2:'Master'!$C$4384,0))</f>
        <v>2</v>
      </c>
      <c r="H24" s="21" cm="1">
        <f t="array" aca="1" ref="H24" ca="1">INDEX(Master!$I$2:'Master'!$I$4384,MATCH($A24&amp;H$2,Master!$A$2:'Master'!$A$4384&amp;Master!$C$2:'Master'!$C$4384,0))</f>
        <v>3</v>
      </c>
      <c r="I24" s="21" cm="1">
        <f t="array" aca="1" ref="I24" ca="1">INDEX(Master!$I$2:'Master'!$I$4384,MATCH($A24&amp;I$2,Master!$A$2:'Master'!$A$4384&amp;Master!$C$2:'Master'!$C$4384,0))</f>
        <v>3</v>
      </c>
      <c r="J24" s="21" cm="1">
        <f t="array" aca="1" ref="J24" ca="1">INDEX(Master!$I$2:'Master'!$I$4384,MATCH($A24&amp;J$2,Master!$A$2:'Master'!$A$4384&amp;Master!$C$2:'Master'!$C$4384,0))</f>
        <v>1</v>
      </c>
      <c r="K24" s="21" cm="1">
        <f t="array" aca="1" ref="K24" ca="1">INDEX(Master!$I$2:'Master'!$I$4384,MATCH($A24&amp;K$2,Master!$A$2:'Master'!$A$4384&amp;Master!$C$2:'Master'!$C$4384,0))</f>
        <v>1</v>
      </c>
      <c r="L24" s="21" cm="1">
        <f t="array" aca="1" ref="L24" ca="1">INDEX(Master!$I$2:'Master'!$I$4384,MATCH($A24&amp;L$2,Master!$A$2:'Master'!$A$4384&amp;Master!$C$2:'Master'!$C$4384,0))</f>
        <v>2</v>
      </c>
      <c r="M24" s="21" cm="1">
        <f t="array" aca="1" ref="M24" ca="1">INDEX(Master!$I$2:'Master'!$I$4384,MATCH($A24&amp;M$2,Master!$A$2:'Master'!$A$4384&amp;Master!$C$2:'Master'!$C$4384,0))</f>
        <v>3</v>
      </c>
      <c r="N24" s="21" cm="1">
        <f t="array" aca="1" ref="N24" ca="1">INDEX(Master!$I$2:'Master'!$I$4384,MATCH($A24&amp;N$2,Master!$A$2:'Master'!$A$4384&amp;Master!$C$2:'Master'!$C$4384,0))</f>
        <v>1</v>
      </c>
      <c r="O24" s="21" cm="1">
        <f t="array" aca="1" ref="O24" ca="1">INDEX(Master!$I$2:'Master'!$I$4384,MATCH($A24&amp;O$2,Master!$A$2:'Master'!$A$4384&amp;Master!$C$2:'Master'!$C$4384,0))</f>
        <v>2</v>
      </c>
      <c r="P24" s="21" cm="1">
        <f t="array" aca="1" ref="P24" ca="1">INDEX(Master!$I$2:'Master'!$I$4384,MATCH($A24&amp;P$2,Master!$A$2:'Master'!$A$4384&amp;Master!$C$2:'Master'!$C$4384,0))</f>
        <v>2</v>
      </c>
      <c r="Q24" s="21" cm="1">
        <f t="array" aca="1" ref="Q24" ca="1">INDEX(Master!$I$2:'Master'!$I$4384,MATCH($A24&amp;Q$2,Master!$A$2:'Master'!$A$4384&amp;Master!$C$2:'Master'!$C$4384,0))</f>
        <v>3</v>
      </c>
      <c r="R24" s="21" cm="1">
        <f t="array" aca="1" ref="R24" ca="1">INDEX(Master!$I$2:'Master'!$I$4384,MATCH($A24&amp;R$2,Master!$A$2:'Master'!$A$4384&amp;Master!$C$2:'Master'!$C$4384,0))</f>
        <v>3</v>
      </c>
      <c r="S24" s="21" cm="1">
        <f t="array" aca="1" ref="S24" ca="1">INDEX(Master!$I$2:'Master'!$I$4384,MATCH($A24&amp;S$2,Master!$A$2:'Master'!$A$4384&amp;Master!$C$2:'Master'!$C$4384,0))</f>
        <v>1</v>
      </c>
      <c r="T24" s="21" cm="1">
        <f t="array" aca="1" ref="T24" ca="1">INDEX(Master!$I$2:'Master'!$I$4384,MATCH($A24&amp;T$2,Master!$A$2:'Master'!$A$4384&amp;Master!$C$2:'Master'!$C$4384,0))</f>
        <v>1</v>
      </c>
      <c r="U24" s="21" cm="1">
        <f t="array" aca="1" ref="U24" ca="1">INDEX(Master!$I$2:'Master'!$I$4384,MATCH($A24&amp;U$2,Master!$A$2:'Master'!$A$4384&amp;Master!$C$2:'Master'!$C$4384,0))</f>
        <v>3</v>
      </c>
      <c r="V24" s="21" cm="1">
        <f t="array" aca="1" ref="V24" ca="1">INDEX(Master!$I$2:'Master'!$I$4384,MATCH($A24&amp;V$2,Master!$A$2:'Master'!$A$4384&amp;Master!$C$2:'Master'!$C$4384,0))</f>
        <v>1</v>
      </c>
      <c r="W24" s="21" cm="1">
        <f t="array" aca="1" ref="W24" ca="1">INDEX(Master!$I$2:'Master'!$I$4384,MATCH($A24&amp;W$2,Master!$A$2:'Master'!$A$4384&amp;Master!$C$2:'Master'!$C$4384,0))</f>
        <v>3</v>
      </c>
      <c r="X24" s="21" cm="1">
        <f t="array" aca="1" ref="X24" ca="1">INDEX(Master!$I$2:'Master'!$I$4384,MATCH($A24&amp;X$2,Master!$A$2:'Master'!$A$4384&amp;Master!$C$2:'Master'!$C$4384,0))</f>
        <v>1</v>
      </c>
      <c r="Y24" s="21" cm="1">
        <f t="array" aca="1" ref="Y24" ca="1">INDEX(Master!$I$2:'Master'!$I$4384,MATCH($A24&amp;Y$2,Master!$A$2:'Master'!$A$4384&amp;Master!$C$2:'Master'!$C$4384,0))</f>
        <v>1</v>
      </c>
      <c r="Z24" s="21" cm="1">
        <f t="array" aca="1" ref="Z24" ca="1">INDEX(Master!$I$2:'Master'!$I$4384,MATCH($A24&amp;Z$2,Master!$A$2:'Master'!$A$4384&amp;Master!$C$2:'Master'!$C$4384,0))</f>
        <v>2</v>
      </c>
      <c r="AA24" s="21" cm="1">
        <f t="array" aca="1" ref="AA24" ca="1">INDEX(Master!$I$2:'Master'!$I$4384,MATCH($A24&amp;AA$2,Master!$A$2:'Master'!$A$4384&amp;Master!$C$2:'Master'!$C$4384,0))</f>
        <v>1</v>
      </c>
      <c r="AB24" s="21" cm="1">
        <f t="array" aca="1" ref="AB24" ca="1">INDEX(Master!$I$2:'Master'!$I$4384,MATCH($A24&amp;AB$2,Master!$A$2:'Master'!$A$4384&amp;Master!$C$2:'Master'!$C$4384,0))</f>
        <v>2</v>
      </c>
      <c r="AC24" s="21" cm="1">
        <f t="array" aca="1" ref="AC24" ca="1">INDEX(Master!$I$2:'Master'!$I$4384,MATCH($A24&amp;AC$2,Master!$A$2:'Master'!$A$4384&amp;Master!$C$2:'Master'!$C$4384,0))</f>
        <v>2</v>
      </c>
      <c r="AD24" s="21" cm="1">
        <f t="array" aca="1" ref="AD24" ca="1">INDEX(Master!$I$2:'Master'!$I$4384,MATCH($A24&amp;AD$2,Master!$A$2:'Master'!$A$4384&amp;Master!$C$2:'Master'!$C$4384,0))</f>
        <v>3</v>
      </c>
      <c r="AE24" s="21" cm="1">
        <f t="array" aca="1" ref="AE24" ca="1">INDEX(Master!$I$2:'Master'!$I$4384,MATCH($A24&amp;AE$2,Master!$A$2:'Master'!$A$4384&amp;Master!$C$2:'Master'!$C$4384,0))</f>
        <v>1</v>
      </c>
      <c r="AF24" s="21" cm="1">
        <f t="array" aca="1" ref="AF24" ca="1">INDEX(Master!$I$2:'Master'!$I$4384,MATCH($A24&amp;AF$2,Master!$A$2:'Master'!$A$4384&amp;Master!$C$2:'Master'!$C$4384,0))</f>
        <v>1</v>
      </c>
      <c r="AG24" s="21" cm="1">
        <f t="array" aca="1" ref="AG24" ca="1">INDEX(Master!$I$2:'Master'!$I$4384,MATCH($A24&amp;AG$2,Master!$A$2:'Master'!$A$4384&amp;Master!$C$2:'Master'!$C$4384,0))</f>
        <v>1</v>
      </c>
      <c r="AH24" s="21" cm="1">
        <f t="array" aca="1" ref="AH24" ca="1">INDEX(Master!$I$2:'Master'!$I$4384,MATCH($A24&amp;AH$2,Master!$A$2:'Master'!$A$4384&amp;Master!$C$2:'Master'!$C$4384,0))</f>
        <v>3</v>
      </c>
      <c r="AI24" s="21" cm="1">
        <f t="array" aca="1" ref="AI24" ca="1">INDEX(Master!$I$2:'Master'!$I$4384,MATCH($A24&amp;AI$2,Master!$A$2:'Master'!$A$4384&amp;Master!$C$2:'Master'!$C$4384,0))</f>
        <v>3</v>
      </c>
      <c r="AJ24" s="21" cm="1">
        <f t="array" aca="1" ref="AJ24" ca="1">INDEX(Master!$I$2:'Master'!$I$4384,MATCH($A24&amp;AJ$2,Master!$A$2:'Master'!$A$4384&amp;Master!$C$2:'Master'!$C$4384,0))</f>
        <v>3</v>
      </c>
      <c r="AK24" s="21" cm="1">
        <f t="array" aca="1" ref="AK24" ca="1">INDEX(Master!$I$2:'Master'!$I$4384,MATCH($A24&amp;AK$2,Master!$A$2:'Master'!$A$4384&amp;Master!$C$2:'Master'!$C$4384,0))</f>
        <v>1</v>
      </c>
      <c r="AL24" s="21" cm="1">
        <f t="array" aca="1" ref="AL24" ca="1">INDEX(Master!$I$2:'Master'!$I$4384,MATCH($A24&amp;AL$2,Master!$A$2:'Master'!$A$4384&amp;Master!$C$2:'Master'!$C$4384,0))</f>
        <v>2</v>
      </c>
      <c r="AM24" s="21" cm="1">
        <f t="array" aca="1" ref="AM24" ca="1">INDEX(Master!$I$2:'Master'!$I$4384,MATCH($A24&amp;AM$2,Master!$A$2:'Master'!$A$4384&amp;Master!$C$2:'Master'!$C$4384,0))</f>
        <v>0</v>
      </c>
      <c r="AN24" s="21" cm="1">
        <f t="array" aca="1" ref="AN24" ca="1">INDEX(Master!$I$2:'Master'!$I$4384,MATCH($A24&amp;AN$2,Master!$A$2:'Master'!$A$4384&amp;Master!$C$2:'Master'!$C$4384,0))</f>
        <v>3</v>
      </c>
      <c r="AO24" s="21" cm="1">
        <f t="array" aca="1" ref="AO24" ca="1">INDEX(Master!$I$2:'Master'!$I$4384,MATCH($A24&amp;AO$2,Master!$A$2:'Master'!$A$4384&amp;Master!$C$2:'Master'!$C$4384,0))</f>
        <v>1</v>
      </c>
      <c r="AP24" s="21" cm="1">
        <f t="array" aca="1" ref="AP24" ca="1">INDEX(Master!$I$2:'Master'!$I$4384,MATCH($A24&amp;AP$2,Master!$A$2:'Master'!$A$4384&amp;Master!$C$2:'Master'!$C$4384,0))</f>
        <v>3</v>
      </c>
      <c r="AQ24" s="21" cm="1">
        <f t="array" aca="1" ref="AQ24" ca="1">INDEX(Master!$I$2:'Master'!$I$4384,MATCH($A24&amp;AQ$2,Master!$A$2:'Master'!$A$4384&amp;Master!$C$2:'Master'!$C$4384,0))</f>
        <v>3</v>
      </c>
      <c r="AR24" s="21" cm="1">
        <f t="array" aca="1" ref="AR24" ca="1">INDEX(Master!$I$2:'Master'!$I$4384,MATCH($A24&amp;AR$2,Master!$A$2:'Master'!$A$4384&amp;Master!$C$2:'Master'!$C$4384,0))</f>
        <v>3</v>
      </c>
      <c r="AS24" s="21" cm="1">
        <f t="array" aca="1" ref="AS24" ca="1">INDEX(Master!$I$2:'Master'!$I$4384,MATCH($A24&amp;AS$2,Master!$A$2:'Master'!$A$4384&amp;Master!$C$2:'Master'!$C$4384,0))</f>
        <v>3</v>
      </c>
      <c r="AT24" s="21" cm="1">
        <f t="array" aca="1" ref="AT24" ca="1">INDEX(Master!$I$2:'Master'!$I$4384,MATCH($A24&amp;AT$2,Master!$A$2:'Master'!$A$4384&amp;Master!$C$2:'Master'!$C$4384,0))</f>
        <v>3</v>
      </c>
      <c r="AU24" s="21" cm="1">
        <f t="array" aca="1" ref="AU24" ca="1">INDEX(Master!$I$2:'Master'!$I$4384,MATCH($A24&amp;AU$2,Master!$A$2:'Master'!$A$4384&amp;Master!$C$2:'Master'!$C$4384,0))</f>
        <v>3</v>
      </c>
      <c r="AV24" s="21" cm="1">
        <f t="array" aca="1" ref="AV24" ca="1">INDEX(Master!$I$2:'Master'!$I$4384,MATCH($A24&amp;AV$2,Master!$A$2:'Master'!$A$4384&amp;Master!$C$2:'Master'!$C$4384,0))</f>
        <v>3</v>
      </c>
      <c r="AW24" s="21" cm="1">
        <f t="array" aca="1" ref="AW24" ca="1">INDEX(Master!$I$2:'Master'!$I$4384,MATCH($A24&amp;AW$2,Master!$A$2:'Master'!$A$4384&amp;Master!$C$2:'Master'!$C$4384,0))</f>
        <v>2</v>
      </c>
      <c r="AX24" s="21" cm="1">
        <f t="array" aca="1" ref="AX24" ca="1">INDEX(Master!$I$2:'Master'!$I$4384,MATCH($A24&amp;AX$2,Master!$A$2:'Master'!$A$4384&amp;Master!$C$2:'Master'!$C$4384,0))</f>
        <v>2</v>
      </c>
      <c r="AY24" s="21" cm="1">
        <f t="array" aca="1" ref="AY24" ca="1">INDEX(Master!$I$2:'Master'!$I$4384,MATCH($A24&amp;AY$2,Master!$A$2:'Master'!$A$4384&amp;Master!$C$2:'Master'!$C$4384,0))</f>
        <v>3</v>
      </c>
      <c r="AZ24" s="21" cm="1">
        <f t="array" aca="1" ref="AZ24" ca="1">INDEX(Master!$I$2:'Master'!$I$4384,MATCH($A24&amp;AZ$2,Master!$A$2:'Master'!$A$4384&amp;Master!$C$2:'Master'!$C$4384,0))</f>
        <v>3</v>
      </c>
      <c r="BA24" s="21" cm="1">
        <f t="array" aca="1" ref="BA24" ca="1">INDEX(Master!$I$2:'Master'!$I$4384,MATCH($A24&amp;BA$2,Master!$A$2:'Master'!$A$4384&amp;Master!$C$2:'Master'!$C$4384,0))</f>
        <v>3</v>
      </c>
      <c r="BB24" s="21" cm="1">
        <f t="array" aca="1" ref="BB24" ca="1">INDEX(Master!$I$2:'Master'!$I$4384,MATCH($A24&amp;BB$2,Master!$A$2:'Master'!$A$4384&amp;Master!$C$2:'Master'!$C$4384,0))</f>
        <v>3</v>
      </c>
      <c r="BC24" s="21" cm="1">
        <f t="array" aca="1" ref="BC24" ca="1">INDEX(Master!$I$2:'Master'!$I$4384,MATCH($A24&amp;BC$2,Master!$A$2:'Master'!$A$4384&amp;Master!$C$2:'Master'!$C$4384,0))</f>
        <v>2</v>
      </c>
      <c r="BD24" s="21" cm="1">
        <f t="array" aca="1" ref="BD24" ca="1">INDEX(Master!$I$2:'Master'!$I$4384,MATCH($A24&amp;BD$2,Master!$A$2:'Master'!$A$4384&amp;Master!$C$2:'Master'!$C$4384,0))</f>
        <v>1</v>
      </c>
      <c r="BE24" s="21" cm="1">
        <f t="array" aca="1" ref="BE24" ca="1">INDEX(Master!$I$2:'Master'!$I$4384,MATCH($A24&amp;BE$2,Master!$A$2:'Master'!$A$4384&amp;Master!$C$2:'Master'!$C$4384,0))</f>
        <v>1</v>
      </c>
      <c r="BF24" s="21" cm="1">
        <f t="array" aca="1" ref="BF24" ca="1">INDEX(Master!$I$2:'Master'!$I$4384,MATCH($A24&amp;BF$2,Master!$A$2:'Master'!$A$4384&amp;Master!$C$2:'Master'!$C$4384,0))</f>
        <v>1</v>
      </c>
      <c r="BG24" s="21" cm="1">
        <f t="array" aca="1" ref="BG24" ca="1">INDEX(Master!$I$2:'Master'!$I$4384,MATCH($A24&amp;BG$2,Master!$A$2:'Master'!$A$4384&amp;Master!$C$2:'Master'!$C$4384,0))</f>
        <v>0</v>
      </c>
      <c r="BH24" s="21" cm="1">
        <f t="array" aca="1" ref="BH24" ca="1">INDEX(Master!$I$2:'Master'!$I$4384,MATCH($A24&amp;BH$2,Master!$A$2:'Master'!$A$4384&amp;Master!$C$2:'Master'!$C$4384,0))</f>
        <v>0</v>
      </c>
      <c r="BI24" s="21" cm="1">
        <f t="array" aca="1" ref="BI24" ca="1">INDEX(Master!$I$2:'Master'!$I$4384,MATCH($A24&amp;BI$2,Master!$A$2:'Master'!$A$4384&amp;Master!$C$2:'Master'!$C$4384,0))</f>
        <v>1</v>
      </c>
      <c r="BJ24" s="21" cm="1">
        <f t="array" aca="1" ref="BJ24" ca="1">INDEX(Master!$I$2:'Master'!$I$4384,MATCH($A24&amp;BJ$2,Master!$A$2:'Master'!$A$4384&amp;Master!$C$2:'Master'!$C$4384,0))</f>
        <v>1</v>
      </c>
      <c r="BK24" s="21" cm="1">
        <f t="array" aca="1" ref="BK24" ca="1">INDEX(Master!$I$2:'Master'!$I$4384,MATCH($A24&amp;BK$2,Master!$A$2:'Master'!$A$4384&amp;Master!$C$2:'Master'!$C$4384,0))</f>
        <v>1</v>
      </c>
      <c r="BL24" s="21" cm="1">
        <f t="array" aca="1" ref="BL24" ca="1">INDEX(Master!$I$2:'Master'!$I$4384,MATCH($A24&amp;BL$2,Master!$A$2:'Master'!$A$4384&amp;Master!$C$2:'Master'!$C$4384,0))</f>
        <v>0</v>
      </c>
      <c r="BM24" s="21" cm="1">
        <f t="array" aca="1" ref="BM24" ca="1">INDEX(Master!$I$2:'Master'!$I$4384,MATCH($A24&amp;BM$2,Master!$A$2:'Master'!$A$4384&amp;Master!$C$2:'Master'!$C$4384,0))</f>
        <v>1</v>
      </c>
      <c r="BN24" s="21" cm="1">
        <f t="array" aca="1" ref="BN24" ca="1">INDEX(Master!$I$2:'Master'!$I$4384,MATCH($A24&amp;BN$2,Master!$A$2:'Master'!$A$4384&amp;Master!$C$2:'Master'!$C$4384,0))</f>
        <v>2</v>
      </c>
      <c r="BO24" s="21" cm="1">
        <f t="array" aca="1" ref="BO24" ca="1">INDEX(Master!$I$2:'Master'!$I$4384,MATCH($A24&amp;BO$2,Master!$A$2:'Master'!$A$4384&amp;Master!$C$2:'Master'!$C$4384,0))</f>
        <v>1</v>
      </c>
      <c r="BP24" s="21" cm="1">
        <f t="array" aca="1" ref="BP24" ca="1">INDEX(Master!$I$2:'Master'!$I$4384,MATCH($A24&amp;BP$2,Master!$A$2:'Master'!$A$4384&amp;Master!$C$2:'Master'!$C$4384,0))</f>
        <v>2</v>
      </c>
      <c r="BQ24" s="21" cm="1">
        <f t="array" aca="1" ref="BQ24" ca="1">INDEX(Master!$I$2:'Master'!$I$4384,MATCH($A24&amp;BQ$2,Master!$A$2:'Master'!$A$4384&amp;Master!$C$2:'Master'!$C$4384,0))</f>
        <v>1</v>
      </c>
      <c r="BR24" s="21" cm="1">
        <f t="array" aca="1" ref="BR24" ca="1">INDEX(Master!$I$2:'Master'!$I$4384,MATCH($A24&amp;BR$2,Master!$A$2:'Master'!$A$4384&amp;Master!$C$2:'Master'!$C$4384,0))</f>
        <v>1</v>
      </c>
      <c r="BS24" s="21" cm="1">
        <f t="array" aca="1" ref="BS24" ca="1">INDEX(Master!$I$2:'Master'!$I$4384,MATCH($A24&amp;BS$2,Master!$A$2:'Master'!$A$4384&amp;Master!$C$2:'Master'!$C$4384,0))</f>
        <v>2</v>
      </c>
      <c r="BT24" s="21" cm="1">
        <f t="array" aca="1" ref="BT24" ca="1">INDEX(Master!$I$2:'Master'!$I$4384,MATCH($A24&amp;BT$2,Master!$A$2:'Master'!$A$4384&amp;Master!$C$2:'Master'!$C$4384,0))</f>
        <v>2</v>
      </c>
      <c r="BU24" s="21" cm="1">
        <f t="array" aca="1" ref="BU24" ca="1">INDEX(Master!$I$2:'Master'!$I$4384,MATCH($A24&amp;BU$2,Master!$A$2:'Master'!$A$4384&amp;Master!$C$2:'Master'!$C$4384,0))</f>
        <v>1</v>
      </c>
      <c r="BV24" s="21" cm="1">
        <f t="array" aca="1" ref="BV24" ca="1">INDEX(Master!$I$2:'Master'!$I$4384,MATCH($A24&amp;BV$2,Master!$A$2:'Master'!$A$4384&amp;Master!$C$2:'Master'!$C$4384,0))</f>
        <v>2</v>
      </c>
      <c r="BW24" s="21" cm="1">
        <f t="array" aca="1" ref="BW24" ca="1">INDEX(Master!$I$2:'Master'!$I$4384,MATCH($A24&amp;BW$2,Master!$A$2:'Master'!$A$4384&amp;Master!$C$2:'Master'!$C$4384,0))</f>
        <v>1</v>
      </c>
      <c r="BX24" s="21" cm="1">
        <f t="array" aca="1" ref="BX24" ca="1">INDEX(Master!$I$2:'Master'!$I$4384,MATCH($A24&amp;BX$2,Master!$A$2:'Master'!$A$4384&amp;Master!$C$2:'Master'!$C$4384,0))</f>
        <v>0</v>
      </c>
      <c r="BY24" s="21" cm="1">
        <f t="array" aca="1" ref="BY24" ca="1">INDEX(Master!$I$2:'Master'!$I$4384,MATCH($A24&amp;BY$2,Master!$A$2:'Master'!$A$4384&amp;Master!$C$2:'Master'!$C$4384,0))</f>
        <v>0</v>
      </c>
      <c r="BZ24" s="21" cm="1">
        <f t="array" aca="1" ref="BZ24" ca="1">INDEX(Master!$I$2:'Master'!$I$4384,MATCH($A24&amp;BZ$2,Master!$A$2:'Master'!$A$4384&amp;Master!$C$2:'Master'!$C$4384,0))</f>
        <v>1</v>
      </c>
      <c r="CA24" s="21" cm="1">
        <f t="array" aca="1" ref="CA24" ca="1">INDEX(Master!$I$2:'Master'!$I$4384,MATCH($A24&amp;CA$2,Master!$A$2:'Master'!$A$4384&amp;Master!$C$2:'Master'!$C$4384,0))</f>
        <v>1</v>
      </c>
      <c r="CB24" s="21" cm="1">
        <f t="array" aca="1" ref="CB24" ca="1">INDEX(Master!$I$2:'Master'!$I$4384,MATCH($A24&amp;CB$2,Master!$A$2:'Master'!$A$4384&amp;Master!$C$2:'Master'!$C$4384,0))</f>
        <v>1</v>
      </c>
      <c r="CC24" s="21" cm="1">
        <f t="array" aca="1" ref="CC24" ca="1">INDEX(Master!$I$2:'Master'!$I$4384,MATCH($A24&amp;CC$2,Master!$A$2:'Master'!$A$4384&amp;Master!$C$2:'Master'!$C$4384,0))</f>
        <v>0</v>
      </c>
      <c r="CD24" s="21" cm="1">
        <f t="array" aca="1" ref="CD24" ca="1">INDEX(Master!$I$2:'Master'!$I$4384,MATCH($A24&amp;CD$2,Master!$A$2:'Master'!$A$4384&amp;Master!$C$2:'Master'!$C$4384,0))</f>
        <v>1</v>
      </c>
      <c r="CE24" s="21" cm="1">
        <f t="array" aca="1" ref="CE24" ca="1">INDEX(Master!$I$2:'Master'!$I$4384,MATCH($A24&amp;CE$2,Master!$A$2:'Master'!$A$4384&amp;Master!$C$2:'Master'!$C$4384,0))</f>
        <v>1</v>
      </c>
      <c r="CF24" s="21" cm="1">
        <f t="array" aca="1" ref="CF24" ca="1">INDEX(Master!$I$2:'Master'!$I$4384,MATCH($A24&amp;CF$2,Master!$A$2:'Master'!$A$4384&amp;Master!$C$2:'Master'!$C$4384,0))</f>
        <v>1</v>
      </c>
      <c r="CG24" s="21" cm="1">
        <f t="array" aca="1" ref="CG24" ca="1">INDEX(Master!$I$2:'Master'!$I$4384,MATCH($A24&amp;CG$2,Master!$A$2:'Master'!$A$4384&amp;Master!$C$2:'Master'!$C$4384,0))</f>
        <v>2</v>
      </c>
      <c r="CH24" s="21" cm="1">
        <f t="array" aca="1" ref="CH24" ca="1">INDEX(Master!$I$2:'Master'!$I$4384,MATCH($A24&amp;CH$2,Master!$A$2:'Master'!$A$4384&amp;Master!$C$2:'Master'!$C$4384,0))</f>
        <v>1</v>
      </c>
      <c r="CI24" s="21" cm="1">
        <f t="array" aca="1" ref="CI24" ca="1">INDEX(Master!$I$2:'Master'!$I$4384,MATCH($A24&amp;CI$2,Master!$A$2:'Master'!$A$4384&amp;Master!$C$2:'Master'!$C$4384,0))</f>
        <v>2</v>
      </c>
      <c r="CJ24" s="21" cm="1">
        <f t="array" aca="1" ref="CJ24" ca="1">INDEX(Master!$I$2:'Master'!$I$4384,MATCH($A24&amp;CJ$2,Master!$A$2:'Master'!$A$4384&amp;Master!$C$2:'Master'!$C$4384,0))</f>
        <v>1</v>
      </c>
      <c r="CK24" s="21" cm="1">
        <f t="array" aca="1" ref="CK24" ca="1">INDEX(Master!$I$2:'Master'!$I$4384,MATCH($A24&amp;CK$2,Master!$A$2:'Master'!$A$4384&amp;Master!$C$2:'Master'!$C$4384,0))</f>
        <v>2</v>
      </c>
      <c r="CL24" s="21" cm="1">
        <f t="array" aca="1" ref="CL24" ca="1">INDEX(Master!$I$2:'Master'!$I$4384,MATCH($A24&amp;CL$2,Master!$A$2:'Master'!$A$4384&amp;Master!$C$2:'Master'!$C$4384,0))</f>
        <v>3</v>
      </c>
      <c r="CM24" s="21" cm="1">
        <f t="array" aca="1" ref="CM24" ca="1">INDEX(Master!$I$2:'Master'!$I$4384,MATCH($A24&amp;CM$2,Master!$A$2:'Master'!$A$4384&amp;Master!$C$2:'Master'!$C$4384,0))</f>
        <v>3</v>
      </c>
      <c r="CN24" s="21" cm="1">
        <f t="array" aca="1" ref="CN24" ca="1">INDEX(Master!$I$2:'Master'!$I$4384,MATCH($A24&amp;CN$2,Master!$A$2:'Master'!$A$4384&amp;Master!$C$2:'Master'!$C$4384,0))</f>
        <v>2</v>
      </c>
      <c r="CO24" s="21" cm="1">
        <f t="array" aca="1" ref="CO24" ca="1">INDEX(Master!$I$2:'Master'!$I$4384,MATCH($A24&amp;CO$2,Master!$A$2:'Master'!$A$4384&amp;Master!$C$2:'Master'!$C$4384,0))</f>
        <v>3</v>
      </c>
      <c r="CP24" s="21" cm="1">
        <f t="array" aca="1" ref="CP24" ca="1">INDEX(Master!$I$2:'Master'!$I$4384,MATCH($A24&amp;CP$2,Master!$A$2:'Master'!$A$4384&amp;Master!$C$2:'Master'!$C$4384,0))</f>
        <v>2</v>
      </c>
      <c r="CQ24" s="21" cm="1">
        <f t="array" aca="1" ref="CQ24" ca="1">INDEX(Master!$I$2:'Master'!$I$4384,MATCH($A24&amp;CQ$2,Master!$A$2:'Master'!$A$4384&amp;Master!$C$2:'Master'!$C$4384,0))</f>
        <v>2</v>
      </c>
      <c r="CR24" s="21" cm="1">
        <f t="array" aca="1" ref="CR24" ca="1">INDEX(Master!$I$2:'Master'!$I$4384,MATCH($A24&amp;CR$2,Master!$A$2:'Master'!$A$4384&amp;Master!$C$2:'Master'!$C$4384,0))</f>
        <v>2</v>
      </c>
      <c r="CS24" s="21" cm="1">
        <f t="array" aca="1" ref="CS24" ca="1">INDEX(Master!$I$2:'Master'!$I$4384,MATCH($A24&amp;CS$2,Master!$A$2:'Master'!$A$4384&amp;Master!$C$2:'Master'!$C$4384,0))</f>
        <v>3</v>
      </c>
    </row>
    <row r="25" spans="1:97">
      <c r="A25" t="str">
        <f>VLOOKUP(Staff!$A23,Staff!$A$1:A$73,1,FALSE)</f>
        <v>Alec Hardy</v>
      </c>
      <c r="B25" s="21" cm="1">
        <f t="array" aca="1" ref="B25" ca="1">INDEX(Master!$I$2:'Master'!$I$4384,MATCH($A25&amp;B$2,Master!$A$2:'Master'!$A$4384&amp;Master!$C$2:'Master'!$C$4384,0))</f>
        <v>0</v>
      </c>
      <c r="C25" s="21" cm="1">
        <f t="array" aca="1" ref="C25" ca="1">INDEX(Master!$I$2:'Master'!$I$4384,MATCH($A25&amp;C$2,Master!$A$2:'Master'!$A$4384&amp;Master!$C$2:'Master'!$C$4384,0))</f>
        <v>1</v>
      </c>
      <c r="D25" s="21" cm="1">
        <f t="array" aca="1" ref="D25" ca="1">INDEX(Master!$I$2:'Master'!$I$4384,MATCH($A25&amp;D$2,Master!$A$2:'Master'!$A$4384&amp;Master!$C$2:'Master'!$C$4384,0))</f>
        <v>0</v>
      </c>
      <c r="E25" s="21" cm="1">
        <f t="array" aca="1" ref="E25" ca="1">INDEX(Master!$I$2:'Master'!$I$4384,MATCH($A25&amp;E$2,Master!$A$2:'Master'!$A$4384&amp;Master!$C$2:'Master'!$C$4384,0))</f>
        <v>3</v>
      </c>
      <c r="F25" s="21" cm="1">
        <f t="array" aca="1" ref="F25" ca="1">INDEX(Master!$I$2:'Master'!$I$4384,MATCH($A25&amp;F$2,Master!$A$2:'Master'!$A$4384&amp;Master!$C$2:'Master'!$C$4384,0))</f>
        <v>2</v>
      </c>
      <c r="G25" s="21" cm="1">
        <f t="array" aca="1" ref="G25" ca="1">INDEX(Master!$I$2:'Master'!$I$4384,MATCH($A25&amp;G$2,Master!$A$2:'Master'!$A$4384&amp;Master!$C$2:'Master'!$C$4384,0))</f>
        <v>1</v>
      </c>
      <c r="H25" s="21" cm="1">
        <f t="array" aca="1" ref="H25" ca="1">INDEX(Master!$I$2:'Master'!$I$4384,MATCH($A25&amp;H$2,Master!$A$2:'Master'!$A$4384&amp;Master!$C$2:'Master'!$C$4384,0))</f>
        <v>2</v>
      </c>
      <c r="I25" s="21" cm="1">
        <f t="array" aca="1" ref="I25" ca="1">INDEX(Master!$I$2:'Master'!$I$4384,MATCH($A25&amp;I$2,Master!$A$2:'Master'!$A$4384&amp;Master!$C$2:'Master'!$C$4384,0))</f>
        <v>2</v>
      </c>
      <c r="J25" s="21" cm="1">
        <f t="array" aca="1" ref="J25" ca="1">INDEX(Master!$I$2:'Master'!$I$4384,MATCH($A25&amp;J$2,Master!$A$2:'Master'!$A$4384&amp;Master!$C$2:'Master'!$C$4384,0))</f>
        <v>0</v>
      </c>
      <c r="K25" s="21" cm="1">
        <f t="array" aca="1" ref="K25" ca="1">INDEX(Master!$I$2:'Master'!$I$4384,MATCH($A25&amp;K$2,Master!$A$2:'Master'!$A$4384&amp;Master!$C$2:'Master'!$C$4384,0))</f>
        <v>2</v>
      </c>
      <c r="L25" s="21" cm="1">
        <f t="array" aca="1" ref="L25" ca="1">INDEX(Master!$I$2:'Master'!$I$4384,MATCH($A25&amp;L$2,Master!$A$2:'Master'!$A$4384&amp;Master!$C$2:'Master'!$C$4384,0))</f>
        <v>0</v>
      </c>
      <c r="M25" s="21" cm="1">
        <f t="array" aca="1" ref="M25" ca="1">INDEX(Master!$I$2:'Master'!$I$4384,MATCH($A25&amp;M$2,Master!$A$2:'Master'!$A$4384&amp;Master!$C$2:'Master'!$C$4384,0))</f>
        <v>2</v>
      </c>
      <c r="N25" s="21" cm="1">
        <f t="array" aca="1" ref="N25" ca="1">INDEX(Master!$I$2:'Master'!$I$4384,MATCH($A25&amp;N$2,Master!$A$2:'Master'!$A$4384&amp;Master!$C$2:'Master'!$C$4384,0))</f>
        <v>0</v>
      </c>
      <c r="O25" s="21" cm="1">
        <f t="array" aca="1" ref="O25" ca="1">INDEX(Master!$I$2:'Master'!$I$4384,MATCH($A25&amp;O$2,Master!$A$2:'Master'!$A$4384&amp;Master!$C$2:'Master'!$C$4384,0))</f>
        <v>2</v>
      </c>
      <c r="P25" s="21" cm="1">
        <f t="array" aca="1" ref="P25" ca="1">INDEX(Master!$I$2:'Master'!$I$4384,MATCH($A25&amp;P$2,Master!$A$2:'Master'!$A$4384&amp;Master!$C$2:'Master'!$C$4384,0))</f>
        <v>2</v>
      </c>
      <c r="Q25" s="21" cm="1">
        <f t="array" aca="1" ref="Q25" ca="1">INDEX(Master!$I$2:'Master'!$I$4384,MATCH($A25&amp;Q$2,Master!$A$2:'Master'!$A$4384&amp;Master!$C$2:'Master'!$C$4384,0))</f>
        <v>3</v>
      </c>
      <c r="R25" s="21" cm="1">
        <f t="array" aca="1" ref="R25" ca="1">INDEX(Master!$I$2:'Master'!$I$4384,MATCH($A25&amp;R$2,Master!$A$2:'Master'!$A$4384&amp;Master!$C$2:'Master'!$C$4384,0))</f>
        <v>3</v>
      </c>
      <c r="S25" s="21" cm="1">
        <f t="array" aca="1" ref="S25" ca="1">INDEX(Master!$I$2:'Master'!$I$4384,MATCH($A25&amp;S$2,Master!$A$2:'Master'!$A$4384&amp;Master!$C$2:'Master'!$C$4384,0))</f>
        <v>2</v>
      </c>
      <c r="T25" s="21" cm="1">
        <f t="array" aca="1" ref="T25" ca="1">INDEX(Master!$I$2:'Master'!$I$4384,MATCH($A25&amp;T$2,Master!$A$2:'Master'!$A$4384&amp;Master!$C$2:'Master'!$C$4384,0))</f>
        <v>0</v>
      </c>
      <c r="U25" s="21" cm="1">
        <f t="array" aca="1" ref="U25" ca="1">INDEX(Master!$I$2:'Master'!$I$4384,MATCH($A25&amp;U$2,Master!$A$2:'Master'!$A$4384&amp;Master!$C$2:'Master'!$C$4384,0))</f>
        <v>1</v>
      </c>
      <c r="V25" s="21" cm="1">
        <f t="array" aca="1" ref="V25" ca="1">INDEX(Master!$I$2:'Master'!$I$4384,MATCH($A25&amp;V$2,Master!$A$2:'Master'!$A$4384&amp;Master!$C$2:'Master'!$C$4384,0))</f>
        <v>3</v>
      </c>
      <c r="W25" s="21" cm="1">
        <f t="array" aca="1" ref="W25" ca="1">INDEX(Master!$I$2:'Master'!$I$4384,MATCH($A25&amp;W$2,Master!$A$2:'Master'!$A$4384&amp;Master!$C$2:'Master'!$C$4384,0))</f>
        <v>3</v>
      </c>
      <c r="X25" s="21" cm="1">
        <f t="array" aca="1" ref="X25" ca="1">INDEX(Master!$I$2:'Master'!$I$4384,MATCH($A25&amp;X$2,Master!$A$2:'Master'!$A$4384&amp;Master!$C$2:'Master'!$C$4384,0))</f>
        <v>1</v>
      </c>
      <c r="Y25" s="21" cm="1">
        <f t="array" aca="1" ref="Y25" ca="1">INDEX(Master!$I$2:'Master'!$I$4384,MATCH($A25&amp;Y$2,Master!$A$2:'Master'!$A$4384&amp;Master!$C$2:'Master'!$C$4384,0))</f>
        <v>3</v>
      </c>
      <c r="Z25" s="21" cm="1">
        <f t="array" aca="1" ref="Z25" ca="1">INDEX(Master!$I$2:'Master'!$I$4384,MATCH($A25&amp;Z$2,Master!$A$2:'Master'!$A$4384&amp;Master!$C$2:'Master'!$C$4384,0))</f>
        <v>3</v>
      </c>
      <c r="AA25" s="21" cm="1">
        <f t="array" aca="1" ref="AA25" ca="1">INDEX(Master!$I$2:'Master'!$I$4384,MATCH($A25&amp;AA$2,Master!$A$2:'Master'!$A$4384&amp;Master!$C$2:'Master'!$C$4384,0))</f>
        <v>2</v>
      </c>
      <c r="AB25" s="21" cm="1">
        <f t="array" aca="1" ref="AB25" ca="1">INDEX(Master!$I$2:'Master'!$I$4384,MATCH($A25&amp;AB$2,Master!$A$2:'Master'!$A$4384&amp;Master!$C$2:'Master'!$C$4384,0))</f>
        <v>2</v>
      </c>
      <c r="AC25" s="21" cm="1">
        <f t="array" aca="1" ref="AC25" ca="1">INDEX(Master!$I$2:'Master'!$I$4384,MATCH($A25&amp;AC$2,Master!$A$2:'Master'!$A$4384&amp;Master!$C$2:'Master'!$C$4384,0))</f>
        <v>2</v>
      </c>
      <c r="AD25" s="21" cm="1">
        <f t="array" aca="1" ref="AD25" ca="1">INDEX(Master!$I$2:'Master'!$I$4384,MATCH($A25&amp;AD$2,Master!$A$2:'Master'!$A$4384&amp;Master!$C$2:'Master'!$C$4384,0))</f>
        <v>2</v>
      </c>
      <c r="AE25" s="21" cm="1">
        <f t="array" aca="1" ref="AE25" ca="1">INDEX(Master!$I$2:'Master'!$I$4384,MATCH($A25&amp;AE$2,Master!$A$2:'Master'!$A$4384&amp;Master!$C$2:'Master'!$C$4384,0))</f>
        <v>1</v>
      </c>
      <c r="AF25" s="21" cm="1">
        <f t="array" aca="1" ref="AF25" ca="1">INDEX(Master!$I$2:'Master'!$I$4384,MATCH($A25&amp;AF$2,Master!$A$2:'Master'!$A$4384&amp;Master!$C$2:'Master'!$C$4384,0))</f>
        <v>1</v>
      </c>
      <c r="AG25" s="21" cm="1">
        <f t="array" aca="1" ref="AG25" ca="1">INDEX(Master!$I$2:'Master'!$I$4384,MATCH($A25&amp;AG$2,Master!$A$2:'Master'!$A$4384&amp;Master!$C$2:'Master'!$C$4384,0))</f>
        <v>0</v>
      </c>
      <c r="AH25" s="21" cm="1">
        <f t="array" aca="1" ref="AH25" ca="1">INDEX(Master!$I$2:'Master'!$I$4384,MATCH($A25&amp;AH$2,Master!$A$2:'Master'!$A$4384&amp;Master!$C$2:'Master'!$C$4384,0))</f>
        <v>2</v>
      </c>
      <c r="AI25" s="21" cm="1">
        <f t="array" aca="1" ref="AI25" ca="1">INDEX(Master!$I$2:'Master'!$I$4384,MATCH($A25&amp;AI$2,Master!$A$2:'Master'!$A$4384&amp;Master!$C$2:'Master'!$C$4384,0))</f>
        <v>2</v>
      </c>
      <c r="AJ25" s="21" cm="1">
        <f t="array" aca="1" ref="AJ25" ca="1">INDEX(Master!$I$2:'Master'!$I$4384,MATCH($A25&amp;AJ$2,Master!$A$2:'Master'!$A$4384&amp;Master!$C$2:'Master'!$C$4384,0))</f>
        <v>1</v>
      </c>
      <c r="AK25" s="21" cm="1">
        <f t="array" aca="1" ref="AK25" ca="1">INDEX(Master!$I$2:'Master'!$I$4384,MATCH($A25&amp;AK$2,Master!$A$2:'Master'!$A$4384&amp;Master!$C$2:'Master'!$C$4384,0))</f>
        <v>0</v>
      </c>
      <c r="AL25" s="21" cm="1">
        <f t="array" aca="1" ref="AL25" ca="1">INDEX(Master!$I$2:'Master'!$I$4384,MATCH($A25&amp;AL$2,Master!$A$2:'Master'!$A$4384&amp;Master!$C$2:'Master'!$C$4384,0))</f>
        <v>0</v>
      </c>
      <c r="AM25" s="21" cm="1">
        <f t="array" aca="1" ref="AM25" ca="1">INDEX(Master!$I$2:'Master'!$I$4384,MATCH($A25&amp;AM$2,Master!$A$2:'Master'!$A$4384&amp;Master!$C$2:'Master'!$C$4384,0))</f>
        <v>0</v>
      </c>
      <c r="AN25" s="21" cm="1">
        <f t="array" aca="1" ref="AN25" ca="1">INDEX(Master!$I$2:'Master'!$I$4384,MATCH($A25&amp;AN$2,Master!$A$2:'Master'!$A$4384&amp;Master!$C$2:'Master'!$C$4384,0))</f>
        <v>3</v>
      </c>
      <c r="AO25" s="21" cm="1">
        <f t="array" aca="1" ref="AO25" ca="1">INDEX(Master!$I$2:'Master'!$I$4384,MATCH($A25&amp;AO$2,Master!$A$2:'Master'!$A$4384&amp;Master!$C$2:'Master'!$C$4384,0))</f>
        <v>0</v>
      </c>
      <c r="AP25" s="21" cm="1">
        <f t="array" aca="1" ref="AP25" ca="1">INDEX(Master!$I$2:'Master'!$I$4384,MATCH($A25&amp;AP$2,Master!$A$2:'Master'!$A$4384&amp;Master!$C$2:'Master'!$C$4384,0))</f>
        <v>3</v>
      </c>
      <c r="AQ25" s="21" cm="1">
        <f t="array" aca="1" ref="AQ25" ca="1">INDEX(Master!$I$2:'Master'!$I$4384,MATCH($A25&amp;AQ$2,Master!$A$2:'Master'!$A$4384&amp;Master!$C$2:'Master'!$C$4384,0))</f>
        <v>3</v>
      </c>
      <c r="AR25" s="21" cm="1">
        <f t="array" aca="1" ref="AR25" ca="1">INDEX(Master!$I$2:'Master'!$I$4384,MATCH($A25&amp;AR$2,Master!$A$2:'Master'!$A$4384&amp;Master!$C$2:'Master'!$C$4384,0))</f>
        <v>3</v>
      </c>
      <c r="AS25" s="21" cm="1">
        <f t="array" aca="1" ref="AS25" ca="1">INDEX(Master!$I$2:'Master'!$I$4384,MATCH($A25&amp;AS$2,Master!$A$2:'Master'!$A$4384&amp;Master!$C$2:'Master'!$C$4384,0))</f>
        <v>3</v>
      </c>
      <c r="AT25" s="21" cm="1">
        <f t="array" aca="1" ref="AT25" ca="1">INDEX(Master!$I$2:'Master'!$I$4384,MATCH($A25&amp;AT$2,Master!$A$2:'Master'!$A$4384&amp;Master!$C$2:'Master'!$C$4384,0))</f>
        <v>1</v>
      </c>
      <c r="AU25" s="21" cm="1">
        <f t="array" aca="1" ref="AU25" ca="1">INDEX(Master!$I$2:'Master'!$I$4384,MATCH($A25&amp;AU$2,Master!$A$2:'Master'!$A$4384&amp;Master!$C$2:'Master'!$C$4384,0))</f>
        <v>3</v>
      </c>
      <c r="AV25" s="21" cm="1">
        <f t="array" aca="1" ref="AV25" ca="1">INDEX(Master!$I$2:'Master'!$I$4384,MATCH($A25&amp;AV$2,Master!$A$2:'Master'!$A$4384&amp;Master!$C$2:'Master'!$C$4384,0))</f>
        <v>3</v>
      </c>
      <c r="AW25" s="21" cm="1">
        <f t="array" aca="1" ref="AW25" ca="1">INDEX(Master!$I$2:'Master'!$I$4384,MATCH($A25&amp;AW$2,Master!$A$2:'Master'!$A$4384&amp;Master!$C$2:'Master'!$C$4384,0))</f>
        <v>2</v>
      </c>
      <c r="AX25" s="21" cm="1">
        <f t="array" aca="1" ref="AX25" ca="1">INDEX(Master!$I$2:'Master'!$I$4384,MATCH($A25&amp;AX$2,Master!$A$2:'Master'!$A$4384&amp;Master!$C$2:'Master'!$C$4384,0))</f>
        <v>0</v>
      </c>
      <c r="AY25" s="21" cm="1">
        <f t="array" aca="1" ref="AY25" ca="1">INDEX(Master!$I$2:'Master'!$I$4384,MATCH($A25&amp;AY$2,Master!$A$2:'Master'!$A$4384&amp;Master!$C$2:'Master'!$C$4384,0))</f>
        <v>3</v>
      </c>
      <c r="AZ25" s="21" cm="1">
        <f t="array" aca="1" ref="AZ25" ca="1">INDEX(Master!$I$2:'Master'!$I$4384,MATCH($A25&amp;AZ$2,Master!$A$2:'Master'!$A$4384&amp;Master!$C$2:'Master'!$C$4384,0))</f>
        <v>1</v>
      </c>
      <c r="BA25" s="21" cm="1">
        <f t="array" aca="1" ref="BA25" ca="1">INDEX(Master!$I$2:'Master'!$I$4384,MATCH($A25&amp;BA$2,Master!$A$2:'Master'!$A$4384&amp;Master!$C$2:'Master'!$C$4384,0))</f>
        <v>0</v>
      </c>
      <c r="BB25" s="21" cm="1">
        <f t="array" aca="1" ref="BB25" ca="1">INDEX(Master!$I$2:'Master'!$I$4384,MATCH($A25&amp;BB$2,Master!$A$2:'Master'!$A$4384&amp;Master!$C$2:'Master'!$C$4384,0))</f>
        <v>1</v>
      </c>
      <c r="BC25" s="21" cm="1">
        <f t="array" aca="1" ref="BC25" ca="1">INDEX(Master!$I$2:'Master'!$I$4384,MATCH($A25&amp;BC$2,Master!$A$2:'Master'!$A$4384&amp;Master!$C$2:'Master'!$C$4384,0))</f>
        <v>2</v>
      </c>
      <c r="BD25" s="21" cm="1">
        <f t="array" aca="1" ref="BD25" ca="1">INDEX(Master!$I$2:'Master'!$I$4384,MATCH($A25&amp;BD$2,Master!$A$2:'Master'!$A$4384&amp;Master!$C$2:'Master'!$C$4384,0))</f>
        <v>0</v>
      </c>
      <c r="BE25" s="21" cm="1">
        <f t="array" aca="1" ref="BE25" ca="1">INDEX(Master!$I$2:'Master'!$I$4384,MATCH($A25&amp;BE$2,Master!$A$2:'Master'!$A$4384&amp;Master!$C$2:'Master'!$C$4384,0))</f>
        <v>0</v>
      </c>
      <c r="BF25" s="21" cm="1">
        <f t="array" aca="1" ref="BF25" ca="1">INDEX(Master!$I$2:'Master'!$I$4384,MATCH($A25&amp;BF$2,Master!$A$2:'Master'!$A$4384&amp;Master!$C$2:'Master'!$C$4384,0))</f>
        <v>0</v>
      </c>
      <c r="BG25" s="21" cm="1">
        <f t="array" aca="1" ref="BG25" ca="1">INDEX(Master!$I$2:'Master'!$I$4384,MATCH($A25&amp;BG$2,Master!$A$2:'Master'!$A$4384&amp;Master!$C$2:'Master'!$C$4384,0))</f>
        <v>0</v>
      </c>
      <c r="BH25" s="21" cm="1">
        <f t="array" aca="1" ref="BH25" ca="1">INDEX(Master!$I$2:'Master'!$I$4384,MATCH($A25&amp;BH$2,Master!$A$2:'Master'!$A$4384&amp;Master!$C$2:'Master'!$C$4384,0))</f>
        <v>1</v>
      </c>
      <c r="BI25" s="21" cm="1">
        <f t="array" aca="1" ref="BI25" ca="1">INDEX(Master!$I$2:'Master'!$I$4384,MATCH($A25&amp;BI$2,Master!$A$2:'Master'!$A$4384&amp;Master!$C$2:'Master'!$C$4384,0))</f>
        <v>0</v>
      </c>
      <c r="BJ25" s="21" cm="1">
        <f t="array" aca="1" ref="BJ25" ca="1">INDEX(Master!$I$2:'Master'!$I$4384,MATCH($A25&amp;BJ$2,Master!$A$2:'Master'!$A$4384&amp;Master!$C$2:'Master'!$C$4384,0))</f>
        <v>2</v>
      </c>
      <c r="BK25" s="21" cm="1">
        <f t="array" aca="1" ref="BK25" ca="1">INDEX(Master!$I$2:'Master'!$I$4384,MATCH($A25&amp;BK$2,Master!$A$2:'Master'!$A$4384&amp;Master!$C$2:'Master'!$C$4384,0))</f>
        <v>0</v>
      </c>
      <c r="BL25" s="21" cm="1">
        <f t="array" aca="1" ref="BL25" ca="1">INDEX(Master!$I$2:'Master'!$I$4384,MATCH($A25&amp;BL$2,Master!$A$2:'Master'!$A$4384&amp;Master!$C$2:'Master'!$C$4384,0))</f>
        <v>0</v>
      </c>
      <c r="BM25" s="21" cm="1">
        <f t="array" aca="1" ref="BM25" ca="1">INDEX(Master!$I$2:'Master'!$I$4384,MATCH($A25&amp;BM$2,Master!$A$2:'Master'!$A$4384&amp;Master!$C$2:'Master'!$C$4384,0))</f>
        <v>0</v>
      </c>
      <c r="BN25" s="21" cm="1">
        <f t="array" aca="1" ref="BN25" ca="1">INDEX(Master!$I$2:'Master'!$I$4384,MATCH($A25&amp;BN$2,Master!$A$2:'Master'!$A$4384&amp;Master!$C$2:'Master'!$C$4384,0))</f>
        <v>0</v>
      </c>
      <c r="BO25" s="21" cm="1">
        <f t="array" aca="1" ref="BO25" ca="1">INDEX(Master!$I$2:'Master'!$I$4384,MATCH($A25&amp;BO$2,Master!$A$2:'Master'!$A$4384&amp;Master!$C$2:'Master'!$C$4384,0))</f>
        <v>0</v>
      </c>
      <c r="BP25" s="21" cm="1">
        <f t="array" aca="1" ref="BP25" ca="1">INDEX(Master!$I$2:'Master'!$I$4384,MATCH($A25&amp;BP$2,Master!$A$2:'Master'!$A$4384&amp;Master!$C$2:'Master'!$C$4384,0))</f>
        <v>0</v>
      </c>
      <c r="BQ25" s="21" cm="1">
        <f t="array" aca="1" ref="BQ25" ca="1">INDEX(Master!$I$2:'Master'!$I$4384,MATCH($A25&amp;BQ$2,Master!$A$2:'Master'!$A$4384&amp;Master!$C$2:'Master'!$C$4384,0))</f>
        <v>0</v>
      </c>
      <c r="BR25" s="21" cm="1">
        <f t="array" aca="1" ref="BR25" ca="1">INDEX(Master!$I$2:'Master'!$I$4384,MATCH($A25&amp;BR$2,Master!$A$2:'Master'!$A$4384&amp;Master!$C$2:'Master'!$C$4384,0))</f>
        <v>0</v>
      </c>
      <c r="BS25" s="21" cm="1">
        <f t="array" aca="1" ref="BS25" ca="1">INDEX(Master!$I$2:'Master'!$I$4384,MATCH($A25&amp;BS$2,Master!$A$2:'Master'!$A$4384&amp;Master!$C$2:'Master'!$C$4384,0))</f>
        <v>0</v>
      </c>
      <c r="BT25" s="21" cm="1">
        <f t="array" aca="1" ref="BT25" ca="1">INDEX(Master!$I$2:'Master'!$I$4384,MATCH($A25&amp;BT$2,Master!$A$2:'Master'!$A$4384&amp;Master!$C$2:'Master'!$C$4384,0))</f>
        <v>3</v>
      </c>
      <c r="BU25" s="21" cm="1">
        <f t="array" aca="1" ref="BU25" ca="1">INDEX(Master!$I$2:'Master'!$I$4384,MATCH($A25&amp;BU$2,Master!$A$2:'Master'!$A$4384&amp;Master!$C$2:'Master'!$C$4384,0))</f>
        <v>0</v>
      </c>
      <c r="BV25" s="21" cm="1">
        <f t="array" aca="1" ref="BV25" ca="1">INDEX(Master!$I$2:'Master'!$I$4384,MATCH($A25&amp;BV$2,Master!$A$2:'Master'!$A$4384&amp;Master!$C$2:'Master'!$C$4384,0))</f>
        <v>0</v>
      </c>
      <c r="BW25" s="21" cm="1">
        <f t="array" aca="1" ref="BW25" ca="1">INDEX(Master!$I$2:'Master'!$I$4384,MATCH($A25&amp;BW$2,Master!$A$2:'Master'!$A$4384&amp;Master!$C$2:'Master'!$C$4384,0))</f>
        <v>0</v>
      </c>
      <c r="BX25" s="21" cm="1">
        <f t="array" aca="1" ref="BX25" ca="1">INDEX(Master!$I$2:'Master'!$I$4384,MATCH($A25&amp;BX$2,Master!$A$2:'Master'!$A$4384&amp;Master!$C$2:'Master'!$C$4384,0))</f>
        <v>0</v>
      </c>
      <c r="BY25" s="21" cm="1">
        <f t="array" aca="1" ref="BY25" ca="1">INDEX(Master!$I$2:'Master'!$I$4384,MATCH($A25&amp;BY$2,Master!$A$2:'Master'!$A$4384&amp;Master!$C$2:'Master'!$C$4384,0))</f>
        <v>1</v>
      </c>
      <c r="BZ25" s="21" cm="1">
        <f t="array" aca="1" ref="BZ25" ca="1">INDEX(Master!$I$2:'Master'!$I$4384,MATCH($A25&amp;BZ$2,Master!$A$2:'Master'!$A$4384&amp;Master!$C$2:'Master'!$C$4384,0))</f>
        <v>0</v>
      </c>
      <c r="CA25" s="21" cm="1">
        <f t="array" aca="1" ref="CA25" ca="1">INDEX(Master!$I$2:'Master'!$I$4384,MATCH($A25&amp;CA$2,Master!$A$2:'Master'!$A$4384&amp;Master!$C$2:'Master'!$C$4384,0))</f>
        <v>2</v>
      </c>
      <c r="CB25" s="21" cm="1">
        <f t="array" aca="1" ref="CB25" ca="1">INDEX(Master!$I$2:'Master'!$I$4384,MATCH($A25&amp;CB$2,Master!$A$2:'Master'!$A$4384&amp;Master!$C$2:'Master'!$C$4384,0))</f>
        <v>0</v>
      </c>
      <c r="CC25" s="21" cm="1">
        <f t="array" aca="1" ref="CC25" ca="1">INDEX(Master!$I$2:'Master'!$I$4384,MATCH($A25&amp;CC$2,Master!$A$2:'Master'!$A$4384&amp;Master!$C$2:'Master'!$C$4384,0))</f>
        <v>0</v>
      </c>
      <c r="CD25" s="21" cm="1">
        <f t="array" aca="1" ref="CD25" ca="1">INDEX(Master!$I$2:'Master'!$I$4384,MATCH($A25&amp;CD$2,Master!$A$2:'Master'!$A$4384&amp;Master!$C$2:'Master'!$C$4384,0))</f>
        <v>0</v>
      </c>
      <c r="CE25" s="21" cm="1">
        <f t="array" aca="1" ref="CE25" ca="1">INDEX(Master!$I$2:'Master'!$I$4384,MATCH($A25&amp;CE$2,Master!$A$2:'Master'!$A$4384&amp;Master!$C$2:'Master'!$C$4384,0))</f>
        <v>0</v>
      </c>
      <c r="CF25" s="21" cm="1">
        <f t="array" aca="1" ref="CF25" ca="1">INDEX(Master!$I$2:'Master'!$I$4384,MATCH($A25&amp;CF$2,Master!$A$2:'Master'!$A$4384&amp;Master!$C$2:'Master'!$C$4384,0))</f>
        <v>1</v>
      </c>
      <c r="CG25" s="21" cm="1">
        <f t="array" aca="1" ref="CG25" ca="1">INDEX(Master!$I$2:'Master'!$I$4384,MATCH($A25&amp;CG$2,Master!$A$2:'Master'!$A$4384&amp;Master!$C$2:'Master'!$C$4384,0))</f>
        <v>0</v>
      </c>
      <c r="CH25" s="21" cm="1">
        <f t="array" aca="1" ref="CH25" ca="1">INDEX(Master!$I$2:'Master'!$I$4384,MATCH($A25&amp;CH$2,Master!$A$2:'Master'!$A$4384&amp;Master!$C$2:'Master'!$C$4384,0))</f>
        <v>0</v>
      </c>
      <c r="CI25" s="21" cm="1">
        <f t="array" aca="1" ref="CI25" ca="1">INDEX(Master!$I$2:'Master'!$I$4384,MATCH($A25&amp;CI$2,Master!$A$2:'Master'!$A$4384&amp;Master!$C$2:'Master'!$C$4384,0))</f>
        <v>0</v>
      </c>
      <c r="CJ25" s="21" cm="1">
        <f t="array" aca="1" ref="CJ25" ca="1">INDEX(Master!$I$2:'Master'!$I$4384,MATCH($A25&amp;CJ$2,Master!$A$2:'Master'!$A$4384&amp;Master!$C$2:'Master'!$C$4384,0))</f>
        <v>0</v>
      </c>
      <c r="CK25" s="21" cm="1">
        <f t="array" aca="1" ref="CK25" ca="1">INDEX(Master!$I$2:'Master'!$I$4384,MATCH($A25&amp;CK$2,Master!$A$2:'Master'!$A$4384&amp;Master!$C$2:'Master'!$C$4384,0))</f>
        <v>0</v>
      </c>
      <c r="CL25" s="21" cm="1">
        <f t="array" aca="1" ref="CL25" ca="1">INDEX(Master!$I$2:'Master'!$I$4384,MATCH($A25&amp;CL$2,Master!$A$2:'Master'!$A$4384&amp;Master!$C$2:'Master'!$C$4384,0))</f>
        <v>0</v>
      </c>
      <c r="CM25" s="21" cm="1">
        <f t="array" aca="1" ref="CM25" ca="1">INDEX(Master!$I$2:'Master'!$I$4384,MATCH($A25&amp;CM$2,Master!$A$2:'Master'!$A$4384&amp;Master!$C$2:'Master'!$C$4384,0))</f>
        <v>0</v>
      </c>
      <c r="CN25" s="21" cm="1">
        <f t="array" aca="1" ref="CN25" ca="1">INDEX(Master!$I$2:'Master'!$I$4384,MATCH($A25&amp;CN$2,Master!$A$2:'Master'!$A$4384&amp;Master!$C$2:'Master'!$C$4384,0))</f>
        <v>0</v>
      </c>
      <c r="CO25" s="21" cm="1">
        <f t="array" aca="1" ref="CO25" ca="1">INDEX(Master!$I$2:'Master'!$I$4384,MATCH($A25&amp;CO$2,Master!$A$2:'Master'!$A$4384&amp;Master!$C$2:'Master'!$C$4384,0))</f>
        <v>0</v>
      </c>
      <c r="CP25" s="21" cm="1">
        <f t="array" aca="1" ref="CP25" ca="1">INDEX(Master!$I$2:'Master'!$I$4384,MATCH($A25&amp;CP$2,Master!$A$2:'Master'!$A$4384&amp;Master!$C$2:'Master'!$C$4384,0))</f>
        <v>0</v>
      </c>
      <c r="CQ25" s="21" cm="1">
        <f t="array" aca="1" ref="CQ25" ca="1">INDEX(Master!$I$2:'Master'!$I$4384,MATCH($A25&amp;CQ$2,Master!$A$2:'Master'!$A$4384&amp;Master!$C$2:'Master'!$C$4384,0))</f>
        <v>0</v>
      </c>
      <c r="CR25" s="21" cm="1">
        <f t="array" aca="1" ref="CR25" ca="1">INDEX(Master!$I$2:'Master'!$I$4384,MATCH($A25&amp;CR$2,Master!$A$2:'Master'!$A$4384&amp;Master!$C$2:'Master'!$C$4384,0))</f>
        <v>2</v>
      </c>
      <c r="CS25" s="21" cm="1">
        <f t="array" aca="1" ref="CS25" ca="1">INDEX(Master!$I$2:'Master'!$I$4384,MATCH($A25&amp;CS$2,Master!$A$2:'Master'!$A$4384&amp;Master!$C$2:'Master'!$C$4384,0))</f>
        <v>2</v>
      </c>
    </row>
    <row r="26" spans="1:97">
      <c r="A26" t="str">
        <f>VLOOKUP(Staff!$A24,Staff!$A$1:A$73,1,FALSE)</f>
        <v>James Hathaway</v>
      </c>
      <c r="B26" s="21" cm="1">
        <f t="array" aca="1" ref="B26" ca="1">INDEX(Master!$I$2:'Master'!$I$4384,MATCH($A26&amp;B$2,Master!$A$2:'Master'!$A$4384&amp;Master!$C$2:'Master'!$C$4384,0))</f>
        <v>2</v>
      </c>
      <c r="C26" s="21" cm="1">
        <f t="array" aca="1" ref="C26" ca="1">INDEX(Master!$I$2:'Master'!$I$4384,MATCH($A26&amp;C$2,Master!$A$2:'Master'!$A$4384&amp;Master!$C$2:'Master'!$C$4384,0))</f>
        <v>2</v>
      </c>
      <c r="D26" s="21" cm="1">
        <f t="array" aca="1" ref="D26" ca="1">INDEX(Master!$I$2:'Master'!$I$4384,MATCH($A26&amp;D$2,Master!$A$2:'Master'!$A$4384&amp;Master!$C$2:'Master'!$C$4384,0))</f>
        <v>2</v>
      </c>
      <c r="E26" s="21" cm="1">
        <f t="array" aca="1" ref="E26" ca="1">INDEX(Master!$I$2:'Master'!$I$4384,MATCH($A26&amp;E$2,Master!$A$2:'Master'!$A$4384&amp;Master!$C$2:'Master'!$C$4384,0))</f>
        <v>2</v>
      </c>
      <c r="F26" s="21" cm="1">
        <f t="array" aca="1" ref="F26" ca="1">INDEX(Master!$I$2:'Master'!$I$4384,MATCH($A26&amp;F$2,Master!$A$2:'Master'!$A$4384&amp;Master!$C$2:'Master'!$C$4384,0))</f>
        <v>2</v>
      </c>
      <c r="G26" s="21" cm="1">
        <f t="array" aca="1" ref="G26" ca="1">INDEX(Master!$I$2:'Master'!$I$4384,MATCH($A26&amp;G$2,Master!$A$2:'Master'!$A$4384&amp;Master!$C$2:'Master'!$C$4384,0))</f>
        <v>2</v>
      </c>
      <c r="H26" s="21" cm="1">
        <f t="array" aca="1" ref="H26" ca="1">INDEX(Master!$I$2:'Master'!$I$4384,MATCH($A26&amp;H$2,Master!$A$2:'Master'!$A$4384&amp;Master!$C$2:'Master'!$C$4384,0))</f>
        <v>2</v>
      </c>
      <c r="I26" s="21" cm="1">
        <f t="array" aca="1" ref="I26" ca="1">INDEX(Master!$I$2:'Master'!$I$4384,MATCH($A26&amp;I$2,Master!$A$2:'Master'!$A$4384&amp;Master!$C$2:'Master'!$C$4384,0))</f>
        <v>2</v>
      </c>
      <c r="J26" s="21" cm="1">
        <f t="array" aca="1" ref="J26" ca="1">INDEX(Master!$I$2:'Master'!$I$4384,MATCH($A26&amp;J$2,Master!$A$2:'Master'!$A$4384&amp;Master!$C$2:'Master'!$C$4384,0))</f>
        <v>1</v>
      </c>
      <c r="K26" s="21" cm="1">
        <f t="array" aca="1" ref="K26" ca="1">INDEX(Master!$I$2:'Master'!$I$4384,MATCH($A26&amp;K$2,Master!$A$2:'Master'!$A$4384&amp;Master!$C$2:'Master'!$C$4384,0))</f>
        <v>1</v>
      </c>
      <c r="L26" s="21" cm="1">
        <f t="array" aca="1" ref="L26" ca="1">INDEX(Master!$I$2:'Master'!$I$4384,MATCH($A26&amp;L$2,Master!$A$2:'Master'!$A$4384&amp;Master!$C$2:'Master'!$C$4384,0))</f>
        <v>2</v>
      </c>
      <c r="M26" s="21" cm="1">
        <f t="array" aca="1" ref="M26" ca="1">INDEX(Master!$I$2:'Master'!$I$4384,MATCH($A26&amp;M$2,Master!$A$2:'Master'!$A$4384&amp;Master!$C$2:'Master'!$C$4384,0))</f>
        <v>2</v>
      </c>
      <c r="N26" s="21" cm="1">
        <f t="array" aca="1" ref="N26" ca="1">INDEX(Master!$I$2:'Master'!$I$4384,MATCH($A26&amp;N$2,Master!$A$2:'Master'!$A$4384&amp;Master!$C$2:'Master'!$C$4384,0))</f>
        <v>1</v>
      </c>
      <c r="O26" s="21" cm="1">
        <f t="array" aca="1" ref="O26" ca="1">INDEX(Master!$I$2:'Master'!$I$4384,MATCH($A26&amp;O$2,Master!$A$2:'Master'!$A$4384&amp;Master!$C$2:'Master'!$C$4384,0))</f>
        <v>1</v>
      </c>
      <c r="P26" s="21" cm="1">
        <f t="array" aca="1" ref="P26" ca="1">INDEX(Master!$I$2:'Master'!$I$4384,MATCH($A26&amp;P$2,Master!$A$2:'Master'!$A$4384&amp;Master!$C$2:'Master'!$C$4384,0))</f>
        <v>2</v>
      </c>
      <c r="Q26" s="21" cm="1">
        <f t="array" aca="1" ref="Q26" ca="1">INDEX(Master!$I$2:'Master'!$I$4384,MATCH($A26&amp;Q$2,Master!$A$2:'Master'!$A$4384&amp;Master!$C$2:'Master'!$C$4384,0))</f>
        <v>2</v>
      </c>
      <c r="R26" s="21" cm="1">
        <f t="array" aca="1" ref="R26" ca="1">INDEX(Master!$I$2:'Master'!$I$4384,MATCH($A26&amp;R$2,Master!$A$2:'Master'!$A$4384&amp;Master!$C$2:'Master'!$C$4384,0))</f>
        <v>2</v>
      </c>
      <c r="S26" s="21" cm="1">
        <f t="array" aca="1" ref="S26" ca="1">INDEX(Master!$I$2:'Master'!$I$4384,MATCH($A26&amp;S$2,Master!$A$2:'Master'!$A$4384&amp;Master!$C$2:'Master'!$C$4384,0))</f>
        <v>2</v>
      </c>
      <c r="T26" s="21" cm="1">
        <f t="array" aca="1" ref="T26" ca="1">INDEX(Master!$I$2:'Master'!$I$4384,MATCH($A26&amp;T$2,Master!$A$2:'Master'!$A$4384&amp;Master!$C$2:'Master'!$C$4384,0))</f>
        <v>2</v>
      </c>
      <c r="U26" s="21" cm="1">
        <f t="array" aca="1" ref="U26" ca="1">INDEX(Master!$I$2:'Master'!$I$4384,MATCH($A26&amp;U$2,Master!$A$2:'Master'!$A$4384&amp;Master!$C$2:'Master'!$C$4384,0))</f>
        <v>1</v>
      </c>
      <c r="V26" s="21" cm="1">
        <f t="array" aca="1" ref="V26" ca="1">INDEX(Master!$I$2:'Master'!$I$4384,MATCH($A26&amp;V$2,Master!$A$2:'Master'!$A$4384&amp;Master!$C$2:'Master'!$C$4384,0))</f>
        <v>3</v>
      </c>
      <c r="W26" s="21" cm="1">
        <f t="array" aca="1" ref="W26" ca="1">INDEX(Master!$I$2:'Master'!$I$4384,MATCH($A26&amp;W$2,Master!$A$2:'Master'!$A$4384&amp;Master!$C$2:'Master'!$C$4384,0))</f>
        <v>3</v>
      </c>
      <c r="X26" s="21" cm="1">
        <f t="array" aca="1" ref="X26" ca="1">INDEX(Master!$I$2:'Master'!$I$4384,MATCH($A26&amp;X$2,Master!$A$2:'Master'!$A$4384&amp;Master!$C$2:'Master'!$C$4384,0))</f>
        <v>3</v>
      </c>
      <c r="Y26" s="21" cm="1">
        <f t="array" aca="1" ref="Y26" ca="1">INDEX(Master!$I$2:'Master'!$I$4384,MATCH($A26&amp;Y$2,Master!$A$2:'Master'!$A$4384&amp;Master!$C$2:'Master'!$C$4384,0))</f>
        <v>3</v>
      </c>
      <c r="Z26" s="21" cm="1">
        <f t="array" aca="1" ref="Z26" ca="1">INDEX(Master!$I$2:'Master'!$I$4384,MATCH($A26&amp;Z$2,Master!$A$2:'Master'!$A$4384&amp;Master!$C$2:'Master'!$C$4384,0))</f>
        <v>3</v>
      </c>
      <c r="AA26" s="21" cm="1">
        <f t="array" aca="1" ref="AA26" ca="1">INDEX(Master!$I$2:'Master'!$I$4384,MATCH($A26&amp;AA$2,Master!$A$2:'Master'!$A$4384&amp;Master!$C$2:'Master'!$C$4384,0))</f>
        <v>2</v>
      </c>
      <c r="AB26" s="21" cm="1">
        <f t="array" aca="1" ref="AB26" ca="1">INDEX(Master!$I$2:'Master'!$I$4384,MATCH($A26&amp;AB$2,Master!$A$2:'Master'!$A$4384&amp;Master!$C$2:'Master'!$C$4384,0))</f>
        <v>3</v>
      </c>
      <c r="AC26" s="21" cm="1">
        <f t="array" aca="1" ref="AC26" ca="1">INDEX(Master!$I$2:'Master'!$I$4384,MATCH($A26&amp;AC$2,Master!$A$2:'Master'!$A$4384&amp;Master!$C$2:'Master'!$C$4384,0))</f>
        <v>3</v>
      </c>
      <c r="AD26" s="21" cm="1">
        <f t="array" aca="1" ref="AD26" ca="1">INDEX(Master!$I$2:'Master'!$I$4384,MATCH($A26&amp;AD$2,Master!$A$2:'Master'!$A$4384&amp;Master!$C$2:'Master'!$C$4384,0))</f>
        <v>3</v>
      </c>
      <c r="AE26" s="21" cm="1">
        <f t="array" aca="1" ref="AE26" ca="1">INDEX(Master!$I$2:'Master'!$I$4384,MATCH($A26&amp;AE$2,Master!$A$2:'Master'!$A$4384&amp;Master!$C$2:'Master'!$C$4384,0))</f>
        <v>1</v>
      </c>
      <c r="AF26" s="21" cm="1">
        <f t="array" aca="1" ref="AF26" ca="1">INDEX(Master!$I$2:'Master'!$I$4384,MATCH($A26&amp;AF$2,Master!$A$2:'Master'!$A$4384&amp;Master!$C$2:'Master'!$C$4384,0))</f>
        <v>1</v>
      </c>
      <c r="AG26" s="21" cm="1">
        <f t="array" aca="1" ref="AG26" ca="1">INDEX(Master!$I$2:'Master'!$I$4384,MATCH($A26&amp;AG$2,Master!$A$2:'Master'!$A$4384&amp;Master!$C$2:'Master'!$C$4384,0))</f>
        <v>1</v>
      </c>
      <c r="AH26" s="21" cm="1">
        <f t="array" aca="1" ref="AH26" ca="1">INDEX(Master!$I$2:'Master'!$I$4384,MATCH($A26&amp;AH$2,Master!$A$2:'Master'!$A$4384&amp;Master!$C$2:'Master'!$C$4384,0))</f>
        <v>2</v>
      </c>
      <c r="AI26" s="21" cm="1">
        <f t="array" aca="1" ref="AI26" ca="1">INDEX(Master!$I$2:'Master'!$I$4384,MATCH($A26&amp;AI$2,Master!$A$2:'Master'!$A$4384&amp;Master!$C$2:'Master'!$C$4384,0))</f>
        <v>2</v>
      </c>
      <c r="AJ26" s="21" cm="1">
        <f t="array" aca="1" ref="AJ26" ca="1">INDEX(Master!$I$2:'Master'!$I$4384,MATCH($A26&amp;AJ$2,Master!$A$2:'Master'!$A$4384&amp;Master!$C$2:'Master'!$C$4384,0))</f>
        <v>2</v>
      </c>
      <c r="AK26" s="21" cm="1">
        <f t="array" aca="1" ref="AK26" ca="1">INDEX(Master!$I$2:'Master'!$I$4384,MATCH($A26&amp;AK$2,Master!$A$2:'Master'!$A$4384&amp;Master!$C$2:'Master'!$C$4384,0))</f>
        <v>0</v>
      </c>
      <c r="AL26" s="21" cm="1">
        <f t="array" aca="1" ref="AL26" ca="1">INDEX(Master!$I$2:'Master'!$I$4384,MATCH($A26&amp;AL$2,Master!$A$2:'Master'!$A$4384&amp;Master!$C$2:'Master'!$C$4384,0))</f>
        <v>0</v>
      </c>
      <c r="AM26" s="21" cm="1">
        <f t="array" aca="1" ref="AM26" ca="1">INDEX(Master!$I$2:'Master'!$I$4384,MATCH($A26&amp;AM$2,Master!$A$2:'Master'!$A$4384&amp;Master!$C$2:'Master'!$C$4384,0))</f>
        <v>0</v>
      </c>
      <c r="AN26" s="21" cm="1">
        <f t="array" aca="1" ref="AN26" ca="1">INDEX(Master!$I$2:'Master'!$I$4384,MATCH($A26&amp;AN$2,Master!$A$2:'Master'!$A$4384&amp;Master!$C$2:'Master'!$C$4384,0))</f>
        <v>3</v>
      </c>
      <c r="AO26" s="21" cm="1">
        <f t="array" aca="1" ref="AO26" ca="1">INDEX(Master!$I$2:'Master'!$I$4384,MATCH($A26&amp;AO$2,Master!$A$2:'Master'!$A$4384&amp;Master!$C$2:'Master'!$C$4384,0))</f>
        <v>0</v>
      </c>
      <c r="AP26" s="21" cm="1">
        <f t="array" aca="1" ref="AP26" ca="1">INDEX(Master!$I$2:'Master'!$I$4384,MATCH($A26&amp;AP$2,Master!$A$2:'Master'!$A$4384&amp;Master!$C$2:'Master'!$C$4384,0))</f>
        <v>3</v>
      </c>
      <c r="AQ26" s="21" cm="1">
        <f t="array" aca="1" ref="AQ26" ca="1">INDEX(Master!$I$2:'Master'!$I$4384,MATCH($A26&amp;AQ$2,Master!$A$2:'Master'!$A$4384&amp;Master!$C$2:'Master'!$C$4384,0))</f>
        <v>2</v>
      </c>
      <c r="AR26" s="21" cm="1">
        <f t="array" aca="1" ref="AR26" ca="1">INDEX(Master!$I$2:'Master'!$I$4384,MATCH($A26&amp;AR$2,Master!$A$2:'Master'!$A$4384&amp;Master!$C$2:'Master'!$C$4384,0))</f>
        <v>3</v>
      </c>
      <c r="AS26" s="21" cm="1">
        <f t="array" aca="1" ref="AS26" ca="1">INDEX(Master!$I$2:'Master'!$I$4384,MATCH($A26&amp;AS$2,Master!$A$2:'Master'!$A$4384&amp;Master!$C$2:'Master'!$C$4384,0))</f>
        <v>1</v>
      </c>
      <c r="AT26" s="21" cm="1">
        <f t="array" aca="1" ref="AT26" ca="1">INDEX(Master!$I$2:'Master'!$I$4384,MATCH($A26&amp;AT$2,Master!$A$2:'Master'!$A$4384&amp;Master!$C$2:'Master'!$C$4384,0))</f>
        <v>1</v>
      </c>
      <c r="AU26" s="21" cm="1">
        <f t="array" aca="1" ref="AU26" ca="1">INDEX(Master!$I$2:'Master'!$I$4384,MATCH($A26&amp;AU$2,Master!$A$2:'Master'!$A$4384&amp;Master!$C$2:'Master'!$C$4384,0))</f>
        <v>2</v>
      </c>
      <c r="AV26" s="21" cm="1">
        <f t="array" aca="1" ref="AV26" ca="1">INDEX(Master!$I$2:'Master'!$I$4384,MATCH($A26&amp;AV$2,Master!$A$2:'Master'!$A$4384&amp;Master!$C$2:'Master'!$C$4384,0))</f>
        <v>0</v>
      </c>
      <c r="AW26" s="21" cm="1">
        <f t="array" aca="1" ref="AW26" ca="1">INDEX(Master!$I$2:'Master'!$I$4384,MATCH($A26&amp;AW$2,Master!$A$2:'Master'!$A$4384&amp;Master!$C$2:'Master'!$C$4384,0))</f>
        <v>0</v>
      </c>
      <c r="AX26" s="21" cm="1">
        <f t="array" aca="1" ref="AX26" ca="1">INDEX(Master!$I$2:'Master'!$I$4384,MATCH($A26&amp;AX$2,Master!$A$2:'Master'!$A$4384&amp;Master!$C$2:'Master'!$C$4384,0))</f>
        <v>1</v>
      </c>
      <c r="AY26" s="21" cm="1">
        <f t="array" aca="1" ref="AY26" ca="1">INDEX(Master!$I$2:'Master'!$I$4384,MATCH($A26&amp;AY$2,Master!$A$2:'Master'!$A$4384&amp;Master!$C$2:'Master'!$C$4384,0))</f>
        <v>3</v>
      </c>
      <c r="AZ26" s="21" cm="1">
        <f t="array" aca="1" ref="AZ26" ca="1">INDEX(Master!$I$2:'Master'!$I$4384,MATCH($A26&amp;AZ$2,Master!$A$2:'Master'!$A$4384&amp;Master!$C$2:'Master'!$C$4384,0))</f>
        <v>2</v>
      </c>
      <c r="BA26" s="21" cm="1">
        <f t="array" aca="1" ref="BA26" ca="1">INDEX(Master!$I$2:'Master'!$I$4384,MATCH($A26&amp;BA$2,Master!$A$2:'Master'!$A$4384&amp;Master!$C$2:'Master'!$C$4384,0))</f>
        <v>2</v>
      </c>
      <c r="BB26" s="21" cm="1">
        <f t="array" aca="1" ref="BB26" ca="1">INDEX(Master!$I$2:'Master'!$I$4384,MATCH($A26&amp;BB$2,Master!$A$2:'Master'!$A$4384&amp;Master!$C$2:'Master'!$C$4384,0))</f>
        <v>3</v>
      </c>
      <c r="BC26" s="21" cm="1">
        <f t="array" aca="1" ref="BC26" ca="1">INDEX(Master!$I$2:'Master'!$I$4384,MATCH($A26&amp;BC$2,Master!$A$2:'Master'!$A$4384&amp;Master!$C$2:'Master'!$C$4384,0))</f>
        <v>0</v>
      </c>
      <c r="BD26" s="21" cm="1">
        <f t="array" aca="1" ref="BD26" ca="1">INDEX(Master!$I$2:'Master'!$I$4384,MATCH($A26&amp;BD$2,Master!$A$2:'Master'!$A$4384&amp;Master!$C$2:'Master'!$C$4384,0))</f>
        <v>2</v>
      </c>
      <c r="BE26" s="21" cm="1">
        <f t="array" aca="1" ref="BE26" ca="1">INDEX(Master!$I$2:'Master'!$I$4384,MATCH($A26&amp;BE$2,Master!$A$2:'Master'!$A$4384&amp;Master!$C$2:'Master'!$C$4384,0))</f>
        <v>1</v>
      </c>
      <c r="BF26" s="21" cm="1">
        <f t="array" aca="1" ref="BF26" ca="1">INDEX(Master!$I$2:'Master'!$I$4384,MATCH($A26&amp;BF$2,Master!$A$2:'Master'!$A$4384&amp;Master!$C$2:'Master'!$C$4384,0))</f>
        <v>1</v>
      </c>
      <c r="BG26" s="21" cm="1">
        <f t="array" aca="1" ref="BG26" ca="1">INDEX(Master!$I$2:'Master'!$I$4384,MATCH($A26&amp;BG$2,Master!$A$2:'Master'!$A$4384&amp;Master!$C$2:'Master'!$C$4384,0))</f>
        <v>1</v>
      </c>
      <c r="BH26" s="21" cm="1">
        <f t="array" aca="1" ref="BH26" ca="1">INDEX(Master!$I$2:'Master'!$I$4384,MATCH($A26&amp;BH$2,Master!$A$2:'Master'!$A$4384&amp;Master!$C$2:'Master'!$C$4384,0))</f>
        <v>0</v>
      </c>
      <c r="BI26" s="21" cm="1">
        <f t="array" aca="1" ref="BI26" ca="1">INDEX(Master!$I$2:'Master'!$I$4384,MATCH($A26&amp;BI$2,Master!$A$2:'Master'!$A$4384&amp;Master!$C$2:'Master'!$C$4384,0))</f>
        <v>0</v>
      </c>
      <c r="BJ26" s="21" cm="1">
        <f t="array" aca="1" ref="BJ26" ca="1">INDEX(Master!$I$2:'Master'!$I$4384,MATCH($A26&amp;BJ$2,Master!$A$2:'Master'!$A$4384&amp;Master!$C$2:'Master'!$C$4384,0))</f>
        <v>1</v>
      </c>
      <c r="BK26" s="21" cm="1">
        <f t="array" aca="1" ref="BK26" ca="1">INDEX(Master!$I$2:'Master'!$I$4384,MATCH($A26&amp;BK$2,Master!$A$2:'Master'!$A$4384&amp;Master!$C$2:'Master'!$C$4384,0))</f>
        <v>1</v>
      </c>
      <c r="BL26" s="21" cm="1">
        <f t="array" aca="1" ref="BL26" ca="1">INDEX(Master!$I$2:'Master'!$I$4384,MATCH($A26&amp;BL$2,Master!$A$2:'Master'!$A$4384&amp;Master!$C$2:'Master'!$C$4384,0))</f>
        <v>1</v>
      </c>
      <c r="BM26" s="21" cm="1">
        <f t="array" aca="1" ref="BM26" ca="1">INDEX(Master!$I$2:'Master'!$I$4384,MATCH($A26&amp;BM$2,Master!$A$2:'Master'!$A$4384&amp;Master!$C$2:'Master'!$C$4384,0))</f>
        <v>1</v>
      </c>
      <c r="BN26" s="21" cm="1">
        <f t="array" aca="1" ref="BN26" ca="1">INDEX(Master!$I$2:'Master'!$I$4384,MATCH($A26&amp;BN$2,Master!$A$2:'Master'!$A$4384&amp;Master!$C$2:'Master'!$C$4384,0))</f>
        <v>1</v>
      </c>
      <c r="BO26" s="21" cm="1">
        <f t="array" aca="1" ref="BO26" ca="1">INDEX(Master!$I$2:'Master'!$I$4384,MATCH($A26&amp;BO$2,Master!$A$2:'Master'!$A$4384&amp;Master!$C$2:'Master'!$C$4384,0))</f>
        <v>1</v>
      </c>
      <c r="BP26" s="21" cm="1">
        <f t="array" aca="1" ref="BP26" ca="1">INDEX(Master!$I$2:'Master'!$I$4384,MATCH($A26&amp;BP$2,Master!$A$2:'Master'!$A$4384&amp;Master!$C$2:'Master'!$C$4384,0))</f>
        <v>1</v>
      </c>
      <c r="BQ26" s="21" cm="1">
        <f t="array" aca="1" ref="BQ26" ca="1">INDEX(Master!$I$2:'Master'!$I$4384,MATCH($A26&amp;BQ$2,Master!$A$2:'Master'!$A$4384&amp;Master!$C$2:'Master'!$C$4384,0))</f>
        <v>2</v>
      </c>
      <c r="BR26" s="21" cm="1">
        <f t="array" aca="1" ref="BR26" ca="1">INDEX(Master!$I$2:'Master'!$I$4384,MATCH($A26&amp;BR$2,Master!$A$2:'Master'!$A$4384&amp;Master!$C$2:'Master'!$C$4384,0))</f>
        <v>1</v>
      </c>
      <c r="BS26" s="21" cm="1">
        <f t="array" aca="1" ref="BS26" ca="1">INDEX(Master!$I$2:'Master'!$I$4384,MATCH($A26&amp;BS$2,Master!$A$2:'Master'!$A$4384&amp;Master!$C$2:'Master'!$C$4384,0))</f>
        <v>1</v>
      </c>
      <c r="BT26" s="21" cm="1">
        <f t="array" aca="1" ref="BT26" ca="1">INDEX(Master!$I$2:'Master'!$I$4384,MATCH($A26&amp;BT$2,Master!$A$2:'Master'!$A$4384&amp;Master!$C$2:'Master'!$C$4384,0))</f>
        <v>2</v>
      </c>
      <c r="BU26" s="21" cm="1">
        <f t="array" aca="1" ref="BU26" ca="1">INDEX(Master!$I$2:'Master'!$I$4384,MATCH($A26&amp;BU$2,Master!$A$2:'Master'!$A$4384&amp;Master!$C$2:'Master'!$C$4384,0))</f>
        <v>1</v>
      </c>
      <c r="BV26" s="21" cm="1">
        <f t="array" aca="1" ref="BV26" ca="1">INDEX(Master!$I$2:'Master'!$I$4384,MATCH($A26&amp;BV$2,Master!$A$2:'Master'!$A$4384&amp;Master!$C$2:'Master'!$C$4384,0))</f>
        <v>1</v>
      </c>
      <c r="BW26" s="21" cm="1">
        <f t="array" aca="1" ref="BW26" ca="1">INDEX(Master!$I$2:'Master'!$I$4384,MATCH($A26&amp;BW$2,Master!$A$2:'Master'!$A$4384&amp;Master!$C$2:'Master'!$C$4384,0))</f>
        <v>1</v>
      </c>
      <c r="BX26" s="21" cm="1">
        <f t="array" aca="1" ref="BX26" ca="1">INDEX(Master!$I$2:'Master'!$I$4384,MATCH($A26&amp;BX$2,Master!$A$2:'Master'!$A$4384&amp;Master!$C$2:'Master'!$C$4384,0))</f>
        <v>1</v>
      </c>
      <c r="BY26" s="21" cm="1">
        <f t="array" aca="1" ref="BY26" ca="1">INDEX(Master!$I$2:'Master'!$I$4384,MATCH($A26&amp;BY$2,Master!$A$2:'Master'!$A$4384&amp;Master!$C$2:'Master'!$C$4384,0))</f>
        <v>0</v>
      </c>
      <c r="BZ26" s="21" cm="1">
        <f t="array" aca="1" ref="BZ26" ca="1">INDEX(Master!$I$2:'Master'!$I$4384,MATCH($A26&amp;BZ$2,Master!$A$2:'Master'!$A$4384&amp;Master!$C$2:'Master'!$C$4384,0))</f>
        <v>0</v>
      </c>
      <c r="CA26" s="21" cm="1">
        <f t="array" aca="1" ref="CA26" ca="1">INDEX(Master!$I$2:'Master'!$I$4384,MATCH($A26&amp;CA$2,Master!$A$2:'Master'!$A$4384&amp;Master!$C$2:'Master'!$C$4384,0))</f>
        <v>1</v>
      </c>
      <c r="CB26" s="21" cm="1">
        <f t="array" aca="1" ref="CB26" ca="1">INDEX(Master!$I$2:'Master'!$I$4384,MATCH($A26&amp;CB$2,Master!$A$2:'Master'!$A$4384&amp;Master!$C$2:'Master'!$C$4384,0))</f>
        <v>1</v>
      </c>
      <c r="CC26" s="21" cm="1">
        <f t="array" aca="1" ref="CC26" ca="1">INDEX(Master!$I$2:'Master'!$I$4384,MATCH($A26&amp;CC$2,Master!$A$2:'Master'!$A$4384&amp;Master!$C$2:'Master'!$C$4384,0))</f>
        <v>1</v>
      </c>
      <c r="CD26" s="21" cm="1">
        <f t="array" aca="1" ref="CD26" ca="1">INDEX(Master!$I$2:'Master'!$I$4384,MATCH($A26&amp;CD$2,Master!$A$2:'Master'!$A$4384&amp;Master!$C$2:'Master'!$C$4384,0))</f>
        <v>1</v>
      </c>
      <c r="CE26" s="21" cm="1">
        <f t="array" aca="1" ref="CE26" ca="1">INDEX(Master!$I$2:'Master'!$I$4384,MATCH($A26&amp;CE$2,Master!$A$2:'Master'!$A$4384&amp;Master!$C$2:'Master'!$C$4384,0))</f>
        <v>0</v>
      </c>
      <c r="CF26" s="21" cm="1">
        <f t="array" aca="1" ref="CF26" ca="1">INDEX(Master!$I$2:'Master'!$I$4384,MATCH($A26&amp;CF$2,Master!$A$2:'Master'!$A$4384&amp;Master!$C$2:'Master'!$C$4384,0))</f>
        <v>1</v>
      </c>
      <c r="CG26" s="21" cm="1">
        <f t="array" aca="1" ref="CG26" ca="1">INDEX(Master!$I$2:'Master'!$I$4384,MATCH($A26&amp;CG$2,Master!$A$2:'Master'!$A$4384&amp;Master!$C$2:'Master'!$C$4384,0))</f>
        <v>2</v>
      </c>
      <c r="CH26" s="21" cm="1">
        <f t="array" aca="1" ref="CH26" ca="1">INDEX(Master!$I$2:'Master'!$I$4384,MATCH($A26&amp;CH$2,Master!$A$2:'Master'!$A$4384&amp;Master!$C$2:'Master'!$C$4384,0))</f>
        <v>0</v>
      </c>
      <c r="CI26" s="21" cm="1">
        <f t="array" aca="1" ref="CI26" ca="1">INDEX(Master!$I$2:'Master'!$I$4384,MATCH($A26&amp;CI$2,Master!$A$2:'Master'!$A$4384&amp;Master!$C$2:'Master'!$C$4384,0))</f>
        <v>1</v>
      </c>
      <c r="CJ26" s="21" cm="1">
        <f t="array" aca="1" ref="CJ26" ca="1">INDEX(Master!$I$2:'Master'!$I$4384,MATCH($A26&amp;CJ$2,Master!$A$2:'Master'!$A$4384&amp;Master!$C$2:'Master'!$C$4384,0))</f>
        <v>1</v>
      </c>
      <c r="CK26" s="21" cm="1">
        <f t="array" aca="1" ref="CK26" ca="1">INDEX(Master!$I$2:'Master'!$I$4384,MATCH($A26&amp;CK$2,Master!$A$2:'Master'!$A$4384&amp;Master!$C$2:'Master'!$C$4384,0))</f>
        <v>0</v>
      </c>
      <c r="CL26" s="21" cm="1">
        <f t="array" aca="1" ref="CL26" ca="1">INDEX(Master!$I$2:'Master'!$I$4384,MATCH($A26&amp;CL$2,Master!$A$2:'Master'!$A$4384&amp;Master!$C$2:'Master'!$C$4384,0))</f>
        <v>2</v>
      </c>
      <c r="CM26" s="21" cm="1">
        <f t="array" aca="1" ref="CM26" ca="1">INDEX(Master!$I$2:'Master'!$I$4384,MATCH($A26&amp;CM$2,Master!$A$2:'Master'!$A$4384&amp;Master!$C$2:'Master'!$C$4384,0))</f>
        <v>2</v>
      </c>
      <c r="CN26" s="21" cm="1">
        <f t="array" aca="1" ref="CN26" ca="1">INDEX(Master!$I$2:'Master'!$I$4384,MATCH($A26&amp;CN$2,Master!$A$2:'Master'!$A$4384&amp;Master!$C$2:'Master'!$C$4384,0))</f>
        <v>1</v>
      </c>
      <c r="CO26" s="21" cm="1">
        <f t="array" aca="1" ref="CO26" ca="1">INDEX(Master!$I$2:'Master'!$I$4384,MATCH($A26&amp;CO$2,Master!$A$2:'Master'!$A$4384&amp;Master!$C$2:'Master'!$C$4384,0))</f>
        <v>0</v>
      </c>
      <c r="CP26" s="21" cm="1">
        <f t="array" aca="1" ref="CP26" ca="1">INDEX(Master!$I$2:'Master'!$I$4384,MATCH($A26&amp;CP$2,Master!$A$2:'Master'!$A$4384&amp;Master!$C$2:'Master'!$C$4384,0))</f>
        <v>1</v>
      </c>
      <c r="CQ26" s="21" cm="1">
        <f t="array" aca="1" ref="CQ26" ca="1">INDEX(Master!$I$2:'Master'!$I$4384,MATCH($A26&amp;CQ$2,Master!$A$2:'Master'!$A$4384&amp;Master!$C$2:'Master'!$C$4384,0))</f>
        <v>0</v>
      </c>
      <c r="CR26" s="21" cm="1">
        <f t="array" aca="1" ref="CR26" ca="1">INDEX(Master!$I$2:'Master'!$I$4384,MATCH($A26&amp;CR$2,Master!$A$2:'Master'!$A$4384&amp;Master!$C$2:'Master'!$C$4384,0))</f>
        <v>1</v>
      </c>
      <c r="CS26" s="21" cm="1">
        <f t="array" aca="1" ref="CS26" ca="1">INDEX(Master!$I$2:'Master'!$I$4384,MATCH($A26&amp;CS$2,Master!$A$2:'Master'!$A$4384&amp;Master!$C$2:'Master'!$C$4384,0))</f>
        <v>2</v>
      </c>
    </row>
    <row r="27" spans="1:97">
      <c r="A27" t="str">
        <f>VLOOKUP(Staff!$A25,Staff!$A$1:A$73,1,FALSE)</f>
        <v>John Luther</v>
      </c>
      <c r="B27" s="21" cm="1">
        <f t="array" aca="1" ref="B27" ca="1">INDEX(Master!$I$2:'Master'!$I$4384,MATCH($A27&amp;B$2,Master!$A$2:'Master'!$A$4384&amp;Master!$C$2:'Master'!$C$4384,0))</f>
        <v>99</v>
      </c>
      <c r="C27" s="21" cm="1">
        <f t="array" aca="1" ref="C27" ca="1">INDEX(Master!$I$2:'Master'!$I$4384,MATCH($A27&amp;C$2,Master!$A$2:'Master'!$A$4384&amp;Master!$C$2:'Master'!$C$4384,0))</f>
        <v>99</v>
      </c>
      <c r="D27" s="21" cm="1">
        <f t="array" aca="1" ref="D27" ca="1">INDEX(Master!$I$2:'Master'!$I$4384,MATCH($A27&amp;D$2,Master!$A$2:'Master'!$A$4384&amp;Master!$C$2:'Master'!$C$4384,0))</f>
        <v>99</v>
      </c>
      <c r="E27" s="21" cm="1">
        <f t="array" aca="1" ref="E27" ca="1">INDEX(Master!$I$2:'Master'!$I$4384,MATCH($A27&amp;E$2,Master!$A$2:'Master'!$A$4384&amp;Master!$C$2:'Master'!$C$4384,0))</f>
        <v>99</v>
      </c>
      <c r="F27" s="21" cm="1">
        <f t="array" aca="1" ref="F27" ca="1">INDEX(Master!$I$2:'Master'!$I$4384,MATCH($A27&amp;F$2,Master!$A$2:'Master'!$A$4384&amp;Master!$C$2:'Master'!$C$4384,0))</f>
        <v>99</v>
      </c>
      <c r="G27" s="21" cm="1">
        <f t="array" aca="1" ref="G27" ca="1">INDEX(Master!$I$2:'Master'!$I$4384,MATCH($A27&amp;G$2,Master!$A$2:'Master'!$A$4384&amp;Master!$C$2:'Master'!$C$4384,0))</f>
        <v>99</v>
      </c>
      <c r="H27" s="21" cm="1">
        <f t="array" aca="1" ref="H27" ca="1">INDEX(Master!$I$2:'Master'!$I$4384,MATCH($A27&amp;H$2,Master!$A$2:'Master'!$A$4384&amp;Master!$C$2:'Master'!$C$4384,0))</f>
        <v>99</v>
      </c>
      <c r="I27" s="21" cm="1">
        <f t="array" aca="1" ref="I27" ca="1">INDEX(Master!$I$2:'Master'!$I$4384,MATCH($A27&amp;I$2,Master!$A$2:'Master'!$A$4384&amp;Master!$C$2:'Master'!$C$4384,0))</f>
        <v>99</v>
      </c>
      <c r="J27" s="21" cm="1">
        <f t="array" aca="1" ref="J27" ca="1">INDEX(Master!$I$2:'Master'!$I$4384,MATCH($A27&amp;J$2,Master!$A$2:'Master'!$A$4384&amp;Master!$C$2:'Master'!$C$4384,0))</f>
        <v>99</v>
      </c>
      <c r="K27" s="21" cm="1">
        <f t="array" aca="1" ref="K27" ca="1">INDEX(Master!$I$2:'Master'!$I$4384,MATCH($A27&amp;K$2,Master!$A$2:'Master'!$A$4384&amp;Master!$C$2:'Master'!$C$4384,0))</f>
        <v>99</v>
      </c>
      <c r="L27" s="21" cm="1">
        <f t="array" aca="1" ref="L27" ca="1">INDEX(Master!$I$2:'Master'!$I$4384,MATCH($A27&amp;L$2,Master!$A$2:'Master'!$A$4384&amp;Master!$C$2:'Master'!$C$4384,0))</f>
        <v>99</v>
      </c>
      <c r="M27" s="21" cm="1">
        <f t="array" aca="1" ref="M27" ca="1">INDEX(Master!$I$2:'Master'!$I$4384,MATCH($A27&amp;M$2,Master!$A$2:'Master'!$A$4384&amp;Master!$C$2:'Master'!$C$4384,0))</f>
        <v>99</v>
      </c>
      <c r="N27" s="21" cm="1">
        <f t="array" aca="1" ref="N27" ca="1">INDEX(Master!$I$2:'Master'!$I$4384,MATCH($A27&amp;N$2,Master!$A$2:'Master'!$A$4384&amp;Master!$C$2:'Master'!$C$4384,0))</f>
        <v>99</v>
      </c>
      <c r="O27" s="21" cm="1">
        <f t="array" aca="1" ref="O27" ca="1">INDEX(Master!$I$2:'Master'!$I$4384,MATCH($A27&amp;O$2,Master!$A$2:'Master'!$A$4384&amp;Master!$C$2:'Master'!$C$4384,0))</f>
        <v>99</v>
      </c>
      <c r="P27" s="21" cm="1">
        <f t="array" aca="1" ref="P27" ca="1">INDEX(Master!$I$2:'Master'!$I$4384,MATCH($A27&amp;P$2,Master!$A$2:'Master'!$A$4384&amp;Master!$C$2:'Master'!$C$4384,0))</f>
        <v>99</v>
      </c>
      <c r="Q27" s="21" cm="1">
        <f t="array" aca="1" ref="Q27" ca="1">INDEX(Master!$I$2:'Master'!$I$4384,MATCH($A27&amp;Q$2,Master!$A$2:'Master'!$A$4384&amp;Master!$C$2:'Master'!$C$4384,0))</f>
        <v>99</v>
      </c>
      <c r="R27" s="21" cm="1">
        <f t="array" aca="1" ref="R27" ca="1">INDEX(Master!$I$2:'Master'!$I$4384,MATCH($A27&amp;R$2,Master!$A$2:'Master'!$A$4384&amp;Master!$C$2:'Master'!$C$4384,0))</f>
        <v>99</v>
      </c>
      <c r="S27" s="21" cm="1">
        <f t="array" aca="1" ref="S27" ca="1">INDEX(Master!$I$2:'Master'!$I$4384,MATCH($A27&amp;S$2,Master!$A$2:'Master'!$A$4384&amp;Master!$C$2:'Master'!$C$4384,0))</f>
        <v>99</v>
      </c>
      <c r="T27" s="21" cm="1">
        <f t="array" aca="1" ref="T27" ca="1">INDEX(Master!$I$2:'Master'!$I$4384,MATCH($A27&amp;T$2,Master!$A$2:'Master'!$A$4384&amp;Master!$C$2:'Master'!$C$4384,0))</f>
        <v>99</v>
      </c>
      <c r="U27" s="21" cm="1">
        <f t="array" aca="1" ref="U27" ca="1">INDEX(Master!$I$2:'Master'!$I$4384,MATCH($A27&amp;U$2,Master!$A$2:'Master'!$A$4384&amp;Master!$C$2:'Master'!$C$4384,0))</f>
        <v>99</v>
      </c>
      <c r="V27" s="21" cm="1">
        <f t="array" aca="1" ref="V27" ca="1">INDEX(Master!$I$2:'Master'!$I$4384,MATCH($A27&amp;V$2,Master!$A$2:'Master'!$A$4384&amp;Master!$C$2:'Master'!$C$4384,0))</f>
        <v>99</v>
      </c>
      <c r="W27" s="21" cm="1">
        <f t="array" aca="1" ref="W27" ca="1">INDEX(Master!$I$2:'Master'!$I$4384,MATCH($A27&amp;W$2,Master!$A$2:'Master'!$A$4384&amp;Master!$C$2:'Master'!$C$4384,0))</f>
        <v>99</v>
      </c>
      <c r="X27" s="21" cm="1">
        <f t="array" aca="1" ref="X27" ca="1">INDEX(Master!$I$2:'Master'!$I$4384,MATCH($A27&amp;X$2,Master!$A$2:'Master'!$A$4384&amp;Master!$C$2:'Master'!$C$4384,0))</f>
        <v>99</v>
      </c>
      <c r="Y27" s="21" cm="1">
        <f t="array" aca="1" ref="Y27" ca="1">INDEX(Master!$I$2:'Master'!$I$4384,MATCH($A27&amp;Y$2,Master!$A$2:'Master'!$A$4384&amp;Master!$C$2:'Master'!$C$4384,0))</f>
        <v>99</v>
      </c>
      <c r="Z27" s="21" cm="1">
        <f t="array" aca="1" ref="Z27" ca="1">INDEX(Master!$I$2:'Master'!$I$4384,MATCH($A27&amp;Z$2,Master!$A$2:'Master'!$A$4384&amp;Master!$C$2:'Master'!$C$4384,0))</f>
        <v>99</v>
      </c>
      <c r="AA27" s="21" cm="1">
        <f t="array" aca="1" ref="AA27" ca="1">INDEX(Master!$I$2:'Master'!$I$4384,MATCH($A27&amp;AA$2,Master!$A$2:'Master'!$A$4384&amp;Master!$C$2:'Master'!$C$4384,0))</f>
        <v>99</v>
      </c>
      <c r="AB27" s="21" cm="1">
        <f t="array" aca="1" ref="AB27" ca="1">INDEX(Master!$I$2:'Master'!$I$4384,MATCH($A27&amp;AB$2,Master!$A$2:'Master'!$A$4384&amp;Master!$C$2:'Master'!$C$4384,0))</f>
        <v>99</v>
      </c>
      <c r="AC27" s="21" cm="1">
        <f t="array" aca="1" ref="AC27" ca="1">INDEX(Master!$I$2:'Master'!$I$4384,MATCH($A27&amp;AC$2,Master!$A$2:'Master'!$A$4384&amp;Master!$C$2:'Master'!$C$4384,0))</f>
        <v>99</v>
      </c>
      <c r="AD27" s="21" cm="1">
        <f t="array" aca="1" ref="AD27" ca="1">INDEX(Master!$I$2:'Master'!$I$4384,MATCH($A27&amp;AD$2,Master!$A$2:'Master'!$A$4384&amp;Master!$C$2:'Master'!$C$4384,0))</f>
        <v>99</v>
      </c>
      <c r="AE27" s="21" cm="1">
        <f t="array" aca="1" ref="AE27" ca="1">INDEX(Master!$I$2:'Master'!$I$4384,MATCH($A27&amp;AE$2,Master!$A$2:'Master'!$A$4384&amp;Master!$C$2:'Master'!$C$4384,0))</f>
        <v>99</v>
      </c>
      <c r="AF27" s="21" cm="1">
        <f t="array" aca="1" ref="AF27" ca="1">INDEX(Master!$I$2:'Master'!$I$4384,MATCH($A27&amp;AF$2,Master!$A$2:'Master'!$A$4384&amp;Master!$C$2:'Master'!$C$4384,0))</f>
        <v>99</v>
      </c>
      <c r="AG27" s="21" cm="1">
        <f t="array" aca="1" ref="AG27" ca="1">INDEX(Master!$I$2:'Master'!$I$4384,MATCH($A27&amp;AG$2,Master!$A$2:'Master'!$A$4384&amp;Master!$C$2:'Master'!$C$4384,0))</f>
        <v>99</v>
      </c>
      <c r="AH27" s="21" cm="1">
        <f t="array" aca="1" ref="AH27" ca="1">INDEX(Master!$I$2:'Master'!$I$4384,MATCH($A27&amp;AH$2,Master!$A$2:'Master'!$A$4384&amp;Master!$C$2:'Master'!$C$4384,0))</f>
        <v>99</v>
      </c>
      <c r="AI27" s="21" cm="1">
        <f t="array" aca="1" ref="AI27" ca="1">INDEX(Master!$I$2:'Master'!$I$4384,MATCH($A27&amp;AI$2,Master!$A$2:'Master'!$A$4384&amp;Master!$C$2:'Master'!$C$4384,0))</f>
        <v>99</v>
      </c>
      <c r="AJ27" s="21" cm="1">
        <f t="array" aca="1" ref="AJ27" ca="1">INDEX(Master!$I$2:'Master'!$I$4384,MATCH($A27&amp;AJ$2,Master!$A$2:'Master'!$A$4384&amp;Master!$C$2:'Master'!$C$4384,0))</f>
        <v>99</v>
      </c>
      <c r="AK27" s="21" cm="1">
        <f t="array" aca="1" ref="AK27" ca="1">INDEX(Master!$I$2:'Master'!$I$4384,MATCH($A27&amp;AK$2,Master!$A$2:'Master'!$A$4384&amp;Master!$C$2:'Master'!$C$4384,0))</f>
        <v>99</v>
      </c>
      <c r="AL27" s="21" cm="1">
        <f t="array" aca="1" ref="AL27" ca="1">INDEX(Master!$I$2:'Master'!$I$4384,MATCH($A27&amp;AL$2,Master!$A$2:'Master'!$A$4384&amp;Master!$C$2:'Master'!$C$4384,0))</f>
        <v>99</v>
      </c>
      <c r="AM27" s="21" cm="1">
        <f t="array" aca="1" ref="AM27" ca="1">INDEX(Master!$I$2:'Master'!$I$4384,MATCH($A27&amp;AM$2,Master!$A$2:'Master'!$A$4384&amp;Master!$C$2:'Master'!$C$4384,0))</f>
        <v>99</v>
      </c>
      <c r="AN27" s="21" cm="1">
        <f t="array" aca="1" ref="AN27" ca="1">INDEX(Master!$I$2:'Master'!$I$4384,MATCH($A27&amp;AN$2,Master!$A$2:'Master'!$A$4384&amp;Master!$C$2:'Master'!$C$4384,0))</f>
        <v>99</v>
      </c>
      <c r="AO27" s="21" cm="1">
        <f t="array" aca="1" ref="AO27" ca="1">INDEX(Master!$I$2:'Master'!$I$4384,MATCH($A27&amp;AO$2,Master!$A$2:'Master'!$A$4384&amp;Master!$C$2:'Master'!$C$4384,0))</f>
        <v>99</v>
      </c>
      <c r="AP27" s="21" cm="1">
        <f t="array" aca="1" ref="AP27" ca="1">INDEX(Master!$I$2:'Master'!$I$4384,MATCH($A27&amp;AP$2,Master!$A$2:'Master'!$A$4384&amp;Master!$C$2:'Master'!$C$4384,0))</f>
        <v>99</v>
      </c>
      <c r="AQ27" s="21" cm="1">
        <f t="array" aca="1" ref="AQ27" ca="1">INDEX(Master!$I$2:'Master'!$I$4384,MATCH($A27&amp;AQ$2,Master!$A$2:'Master'!$A$4384&amp;Master!$C$2:'Master'!$C$4384,0))</f>
        <v>99</v>
      </c>
      <c r="AR27" s="21" cm="1">
        <f t="array" aca="1" ref="AR27" ca="1">INDEX(Master!$I$2:'Master'!$I$4384,MATCH($A27&amp;AR$2,Master!$A$2:'Master'!$A$4384&amp;Master!$C$2:'Master'!$C$4384,0))</f>
        <v>99</v>
      </c>
      <c r="AS27" s="21" cm="1">
        <f t="array" aca="1" ref="AS27" ca="1">INDEX(Master!$I$2:'Master'!$I$4384,MATCH($A27&amp;AS$2,Master!$A$2:'Master'!$A$4384&amp;Master!$C$2:'Master'!$C$4384,0))</f>
        <v>99</v>
      </c>
      <c r="AT27" s="21" cm="1">
        <f t="array" aca="1" ref="AT27" ca="1">INDEX(Master!$I$2:'Master'!$I$4384,MATCH($A27&amp;AT$2,Master!$A$2:'Master'!$A$4384&amp;Master!$C$2:'Master'!$C$4384,0))</f>
        <v>99</v>
      </c>
      <c r="AU27" s="21" cm="1">
        <f t="array" aca="1" ref="AU27" ca="1">INDEX(Master!$I$2:'Master'!$I$4384,MATCH($A27&amp;AU$2,Master!$A$2:'Master'!$A$4384&amp;Master!$C$2:'Master'!$C$4384,0))</f>
        <v>99</v>
      </c>
      <c r="AV27" s="21" cm="1">
        <f t="array" aca="1" ref="AV27" ca="1">INDEX(Master!$I$2:'Master'!$I$4384,MATCH($A27&amp;AV$2,Master!$A$2:'Master'!$A$4384&amp;Master!$C$2:'Master'!$C$4384,0))</f>
        <v>99</v>
      </c>
      <c r="AW27" s="21" cm="1">
        <f t="array" aca="1" ref="AW27" ca="1">INDEX(Master!$I$2:'Master'!$I$4384,MATCH($A27&amp;AW$2,Master!$A$2:'Master'!$A$4384&amp;Master!$C$2:'Master'!$C$4384,0))</f>
        <v>99</v>
      </c>
      <c r="AX27" s="21" cm="1">
        <f t="array" aca="1" ref="AX27" ca="1">INDEX(Master!$I$2:'Master'!$I$4384,MATCH($A27&amp;AX$2,Master!$A$2:'Master'!$A$4384&amp;Master!$C$2:'Master'!$C$4384,0))</f>
        <v>99</v>
      </c>
      <c r="AY27" s="21" cm="1">
        <f t="array" aca="1" ref="AY27" ca="1">INDEX(Master!$I$2:'Master'!$I$4384,MATCH($A27&amp;AY$2,Master!$A$2:'Master'!$A$4384&amp;Master!$C$2:'Master'!$C$4384,0))</f>
        <v>99</v>
      </c>
      <c r="AZ27" s="21" cm="1">
        <f t="array" aca="1" ref="AZ27" ca="1">INDEX(Master!$I$2:'Master'!$I$4384,MATCH($A27&amp;AZ$2,Master!$A$2:'Master'!$A$4384&amp;Master!$C$2:'Master'!$C$4384,0))</f>
        <v>99</v>
      </c>
      <c r="BA27" s="21" cm="1">
        <f t="array" aca="1" ref="BA27" ca="1">INDEX(Master!$I$2:'Master'!$I$4384,MATCH($A27&amp;BA$2,Master!$A$2:'Master'!$A$4384&amp;Master!$C$2:'Master'!$C$4384,0))</f>
        <v>99</v>
      </c>
      <c r="BB27" s="21" cm="1">
        <f t="array" aca="1" ref="BB27" ca="1">INDEX(Master!$I$2:'Master'!$I$4384,MATCH($A27&amp;BB$2,Master!$A$2:'Master'!$A$4384&amp;Master!$C$2:'Master'!$C$4384,0))</f>
        <v>99</v>
      </c>
      <c r="BC27" s="21" cm="1">
        <f t="array" aca="1" ref="BC27" ca="1">INDEX(Master!$I$2:'Master'!$I$4384,MATCH($A27&amp;BC$2,Master!$A$2:'Master'!$A$4384&amp;Master!$C$2:'Master'!$C$4384,0))</f>
        <v>99</v>
      </c>
      <c r="BD27" s="21" cm="1">
        <f t="array" aca="1" ref="BD27" ca="1">INDEX(Master!$I$2:'Master'!$I$4384,MATCH($A27&amp;BD$2,Master!$A$2:'Master'!$A$4384&amp;Master!$C$2:'Master'!$C$4384,0))</f>
        <v>99</v>
      </c>
      <c r="BE27" s="21" cm="1">
        <f t="array" aca="1" ref="BE27" ca="1">INDEX(Master!$I$2:'Master'!$I$4384,MATCH($A27&amp;BE$2,Master!$A$2:'Master'!$A$4384&amp;Master!$C$2:'Master'!$C$4384,0))</f>
        <v>99</v>
      </c>
      <c r="BF27" s="21" cm="1">
        <f t="array" aca="1" ref="BF27" ca="1">INDEX(Master!$I$2:'Master'!$I$4384,MATCH($A27&amp;BF$2,Master!$A$2:'Master'!$A$4384&amp;Master!$C$2:'Master'!$C$4384,0))</f>
        <v>99</v>
      </c>
      <c r="BG27" s="21" cm="1">
        <f t="array" aca="1" ref="BG27" ca="1">INDEX(Master!$I$2:'Master'!$I$4384,MATCH($A27&amp;BG$2,Master!$A$2:'Master'!$A$4384&amp;Master!$C$2:'Master'!$C$4384,0))</f>
        <v>99</v>
      </c>
      <c r="BH27" s="21" cm="1">
        <f t="array" aca="1" ref="BH27" ca="1">INDEX(Master!$I$2:'Master'!$I$4384,MATCH($A27&amp;BH$2,Master!$A$2:'Master'!$A$4384&amp;Master!$C$2:'Master'!$C$4384,0))</f>
        <v>99</v>
      </c>
      <c r="BI27" s="21" cm="1">
        <f t="array" aca="1" ref="BI27" ca="1">INDEX(Master!$I$2:'Master'!$I$4384,MATCH($A27&amp;BI$2,Master!$A$2:'Master'!$A$4384&amp;Master!$C$2:'Master'!$C$4384,0))</f>
        <v>99</v>
      </c>
      <c r="BJ27" s="21" cm="1">
        <f t="array" aca="1" ref="BJ27" ca="1">INDEX(Master!$I$2:'Master'!$I$4384,MATCH($A27&amp;BJ$2,Master!$A$2:'Master'!$A$4384&amp;Master!$C$2:'Master'!$C$4384,0))</f>
        <v>99</v>
      </c>
      <c r="BK27" s="21" cm="1">
        <f t="array" aca="1" ref="BK27" ca="1">INDEX(Master!$I$2:'Master'!$I$4384,MATCH($A27&amp;BK$2,Master!$A$2:'Master'!$A$4384&amp;Master!$C$2:'Master'!$C$4384,0))</f>
        <v>99</v>
      </c>
      <c r="BL27" s="21" cm="1">
        <f t="array" aca="1" ref="BL27" ca="1">INDEX(Master!$I$2:'Master'!$I$4384,MATCH($A27&amp;BL$2,Master!$A$2:'Master'!$A$4384&amp;Master!$C$2:'Master'!$C$4384,0))</f>
        <v>99</v>
      </c>
      <c r="BM27" s="21" cm="1">
        <f t="array" aca="1" ref="BM27" ca="1">INDEX(Master!$I$2:'Master'!$I$4384,MATCH($A27&amp;BM$2,Master!$A$2:'Master'!$A$4384&amp;Master!$C$2:'Master'!$C$4384,0))</f>
        <v>99</v>
      </c>
      <c r="BN27" s="21" cm="1">
        <f t="array" aca="1" ref="BN27" ca="1">INDEX(Master!$I$2:'Master'!$I$4384,MATCH($A27&amp;BN$2,Master!$A$2:'Master'!$A$4384&amp;Master!$C$2:'Master'!$C$4384,0))</f>
        <v>99</v>
      </c>
      <c r="BO27" s="21" cm="1">
        <f t="array" aca="1" ref="BO27" ca="1">INDEX(Master!$I$2:'Master'!$I$4384,MATCH($A27&amp;BO$2,Master!$A$2:'Master'!$A$4384&amp;Master!$C$2:'Master'!$C$4384,0))</f>
        <v>99</v>
      </c>
      <c r="BP27" s="21" cm="1">
        <f t="array" aca="1" ref="BP27" ca="1">INDEX(Master!$I$2:'Master'!$I$4384,MATCH($A27&amp;BP$2,Master!$A$2:'Master'!$A$4384&amp;Master!$C$2:'Master'!$C$4384,0))</f>
        <v>99</v>
      </c>
      <c r="BQ27" s="21" cm="1">
        <f t="array" aca="1" ref="BQ27" ca="1">INDEX(Master!$I$2:'Master'!$I$4384,MATCH($A27&amp;BQ$2,Master!$A$2:'Master'!$A$4384&amp;Master!$C$2:'Master'!$C$4384,0))</f>
        <v>99</v>
      </c>
      <c r="BR27" s="21" cm="1">
        <f t="array" aca="1" ref="BR27" ca="1">INDEX(Master!$I$2:'Master'!$I$4384,MATCH($A27&amp;BR$2,Master!$A$2:'Master'!$A$4384&amp;Master!$C$2:'Master'!$C$4384,0))</f>
        <v>99</v>
      </c>
      <c r="BS27" s="21" cm="1">
        <f t="array" aca="1" ref="BS27" ca="1">INDEX(Master!$I$2:'Master'!$I$4384,MATCH($A27&amp;BS$2,Master!$A$2:'Master'!$A$4384&amp;Master!$C$2:'Master'!$C$4384,0))</f>
        <v>99</v>
      </c>
      <c r="BT27" s="21" cm="1">
        <f t="array" aca="1" ref="BT27" ca="1">INDEX(Master!$I$2:'Master'!$I$4384,MATCH($A27&amp;BT$2,Master!$A$2:'Master'!$A$4384&amp;Master!$C$2:'Master'!$C$4384,0))</f>
        <v>99</v>
      </c>
      <c r="BU27" s="21" cm="1">
        <f t="array" aca="1" ref="BU27" ca="1">INDEX(Master!$I$2:'Master'!$I$4384,MATCH($A27&amp;BU$2,Master!$A$2:'Master'!$A$4384&amp;Master!$C$2:'Master'!$C$4384,0))</f>
        <v>99</v>
      </c>
      <c r="BV27" s="21" cm="1">
        <f t="array" aca="1" ref="BV27" ca="1">INDEX(Master!$I$2:'Master'!$I$4384,MATCH($A27&amp;BV$2,Master!$A$2:'Master'!$A$4384&amp;Master!$C$2:'Master'!$C$4384,0))</f>
        <v>99</v>
      </c>
      <c r="BW27" s="21" cm="1">
        <f t="array" aca="1" ref="BW27" ca="1">INDEX(Master!$I$2:'Master'!$I$4384,MATCH($A27&amp;BW$2,Master!$A$2:'Master'!$A$4384&amp;Master!$C$2:'Master'!$C$4384,0))</f>
        <v>99</v>
      </c>
      <c r="BX27" s="21" cm="1">
        <f t="array" aca="1" ref="BX27" ca="1">INDEX(Master!$I$2:'Master'!$I$4384,MATCH($A27&amp;BX$2,Master!$A$2:'Master'!$A$4384&amp;Master!$C$2:'Master'!$C$4384,0))</f>
        <v>99</v>
      </c>
      <c r="BY27" s="21" cm="1">
        <f t="array" aca="1" ref="BY27" ca="1">INDEX(Master!$I$2:'Master'!$I$4384,MATCH($A27&amp;BY$2,Master!$A$2:'Master'!$A$4384&amp;Master!$C$2:'Master'!$C$4384,0))</f>
        <v>99</v>
      </c>
      <c r="BZ27" s="21" cm="1">
        <f t="array" aca="1" ref="BZ27" ca="1">INDEX(Master!$I$2:'Master'!$I$4384,MATCH($A27&amp;BZ$2,Master!$A$2:'Master'!$A$4384&amp;Master!$C$2:'Master'!$C$4384,0))</f>
        <v>99</v>
      </c>
      <c r="CA27" s="21" cm="1">
        <f t="array" aca="1" ref="CA27" ca="1">INDEX(Master!$I$2:'Master'!$I$4384,MATCH($A27&amp;CA$2,Master!$A$2:'Master'!$A$4384&amp;Master!$C$2:'Master'!$C$4384,0))</f>
        <v>99</v>
      </c>
      <c r="CB27" s="21" cm="1">
        <f t="array" aca="1" ref="CB27" ca="1">INDEX(Master!$I$2:'Master'!$I$4384,MATCH($A27&amp;CB$2,Master!$A$2:'Master'!$A$4384&amp;Master!$C$2:'Master'!$C$4384,0))</f>
        <v>99</v>
      </c>
      <c r="CC27" s="21" cm="1">
        <f t="array" aca="1" ref="CC27" ca="1">INDEX(Master!$I$2:'Master'!$I$4384,MATCH($A27&amp;CC$2,Master!$A$2:'Master'!$A$4384&amp;Master!$C$2:'Master'!$C$4384,0))</f>
        <v>99</v>
      </c>
      <c r="CD27" s="21" cm="1">
        <f t="array" aca="1" ref="CD27" ca="1">INDEX(Master!$I$2:'Master'!$I$4384,MATCH($A27&amp;CD$2,Master!$A$2:'Master'!$A$4384&amp;Master!$C$2:'Master'!$C$4384,0))</f>
        <v>99</v>
      </c>
      <c r="CE27" s="21" cm="1">
        <f t="array" aca="1" ref="CE27" ca="1">INDEX(Master!$I$2:'Master'!$I$4384,MATCH($A27&amp;CE$2,Master!$A$2:'Master'!$A$4384&amp;Master!$C$2:'Master'!$C$4384,0))</f>
        <v>99</v>
      </c>
      <c r="CF27" s="21" cm="1">
        <f t="array" aca="1" ref="CF27" ca="1">INDEX(Master!$I$2:'Master'!$I$4384,MATCH($A27&amp;CF$2,Master!$A$2:'Master'!$A$4384&amp;Master!$C$2:'Master'!$C$4384,0))</f>
        <v>99</v>
      </c>
      <c r="CG27" s="21" cm="1">
        <f t="array" aca="1" ref="CG27" ca="1">INDEX(Master!$I$2:'Master'!$I$4384,MATCH($A27&amp;CG$2,Master!$A$2:'Master'!$A$4384&amp;Master!$C$2:'Master'!$C$4384,0))</f>
        <v>99</v>
      </c>
      <c r="CH27" s="21" cm="1">
        <f t="array" aca="1" ref="CH27" ca="1">INDEX(Master!$I$2:'Master'!$I$4384,MATCH($A27&amp;CH$2,Master!$A$2:'Master'!$A$4384&amp;Master!$C$2:'Master'!$C$4384,0))</f>
        <v>99</v>
      </c>
      <c r="CI27" s="21" cm="1">
        <f t="array" aca="1" ref="CI27" ca="1">INDEX(Master!$I$2:'Master'!$I$4384,MATCH($A27&amp;CI$2,Master!$A$2:'Master'!$A$4384&amp;Master!$C$2:'Master'!$C$4384,0))</f>
        <v>99</v>
      </c>
      <c r="CJ27" s="21" cm="1">
        <f t="array" aca="1" ref="CJ27" ca="1">INDEX(Master!$I$2:'Master'!$I$4384,MATCH($A27&amp;CJ$2,Master!$A$2:'Master'!$A$4384&amp;Master!$C$2:'Master'!$C$4384,0))</f>
        <v>99</v>
      </c>
      <c r="CK27" s="21" cm="1">
        <f t="array" aca="1" ref="CK27" ca="1">INDEX(Master!$I$2:'Master'!$I$4384,MATCH($A27&amp;CK$2,Master!$A$2:'Master'!$A$4384&amp;Master!$C$2:'Master'!$C$4384,0))</f>
        <v>99</v>
      </c>
      <c r="CL27" s="21" cm="1">
        <f t="array" aca="1" ref="CL27" ca="1">INDEX(Master!$I$2:'Master'!$I$4384,MATCH($A27&amp;CL$2,Master!$A$2:'Master'!$A$4384&amp;Master!$C$2:'Master'!$C$4384,0))</f>
        <v>99</v>
      </c>
      <c r="CM27" s="21" cm="1">
        <f t="array" aca="1" ref="CM27" ca="1">INDEX(Master!$I$2:'Master'!$I$4384,MATCH($A27&amp;CM$2,Master!$A$2:'Master'!$A$4384&amp;Master!$C$2:'Master'!$C$4384,0))</f>
        <v>99</v>
      </c>
      <c r="CN27" s="21" cm="1">
        <f t="array" aca="1" ref="CN27" ca="1">INDEX(Master!$I$2:'Master'!$I$4384,MATCH($A27&amp;CN$2,Master!$A$2:'Master'!$A$4384&amp;Master!$C$2:'Master'!$C$4384,0))</f>
        <v>99</v>
      </c>
      <c r="CO27" s="21" cm="1">
        <f t="array" aca="1" ref="CO27" ca="1">INDEX(Master!$I$2:'Master'!$I$4384,MATCH($A27&amp;CO$2,Master!$A$2:'Master'!$A$4384&amp;Master!$C$2:'Master'!$C$4384,0))</f>
        <v>99</v>
      </c>
      <c r="CP27" s="21" cm="1">
        <f t="array" aca="1" ref="CP27" ca="1">INDEX(Master!$I$2:'Master'!$I$4384,MATCH($A27&amp;CP$2,Master!$A$2:'Master'!$A$4384&amp;Master!$C$2:'Master'!$C$4384,0))</f>
        <v>99</v>
      </c>
      <c r="CQ27" s="21" cm="1">
        <f t="array" aca="1" ref="CQ27" ca="1">INDEX(Master!$I$2:'Master'!$I$4384,MATCH($A27&amp;CQ$2,Master!$A$2:'Master'!$A$4384&amp;Master!$C$2:'Master'!$C$4384,0))</f>
        <v>99</v>
      </c>
      <c r="CR27" s="21" cm="1">
        <f t="array" aca="1" ref="CR27" ca="1">INDEX(Master!$I$2:'Master'!$I$4384,MATCH($A27&amp;CR$2,Master!$A$2:'Master'!$A$4384&amp;Master!$C$2:'Master'!$C$4384,0))</f>
        <v>99</v>
      </c>
      <c r="CS27" s="21" cm="1">
        <f t="array" aca="1" ref="CS27" ca="1">INDEX(Master!$I$2:'Master'!$I$4384,MATCH($A27&amp;CS$2,Master!$A$2:'Master'!$A$4384&amp;Master!$C$2:'Master'!$C$4384,0))</f>
        <v>99</v>
      </c>
    </row>
    <row r="28" spans="1:97">
      <c r="A28" t="str">
        <f>VLOOKUP(Staff!$A26,Staff!$A$1:A$73,1,FALSE)</f>
        <v>John Barnaby</v>
      </c>
      <c r="B28" s="21" cm="1">
        <f t="array" aca="1" ref="B28" ca="1">INDEX(Master!$I$2:'Master'!$I$4384,MATCH($A28&amp;B$2,Master!$A$2:'Master'!$A$4384&amp;Master!$C$2:'Master'!$C$4384,0))</f>
        <v>99</v>
      </c>
      <c r="C28" s="21" cm="1">
        <f t="array" aca="1" ref="C28" ca="1">INDEX(Master!$I$2:'Master'!$I$4384,MATCH($A28&amp;C$2,Master!$A$2:'Master'!$A$4384&amp;Master!$C$2:'Master'!$C$4384,0))</f>
        <v>99</v>
      </c>
      <c r="D28" s="21" cm="1">
        <f t="array" aca="1" ref="D28" ca="1">INDEX(Master!$I$2:'Master'!$I$4384,MATCH($A28&amp;D$2,Master!$A$2:'Master'!$A$4384&amp;Master!$C$2:'Master'!$C$4384,0))</f>
        <v>99</v>
      </c>
      <c r="E28" s="21" cm="1">
        <f t="array" aca="1" ref="E28" ca="1">INDEX(Master!$I$2:'Master'!$I$4384,MATCH($A28&amp;E$2,Master!$A$2:'Master'!$A$4384&amp;Master!$C$2:'Master'!$C$4384,0))</f>
        <v>99</v>
      </c>
      <c r="F28" s="21" cm="1">
        <f t="array" aca="1" ref="F28" ca="1">INDEX(Master!$I$2:'Master'!$I$4384,MATCH($A28&amp;F$2,Master!$A$2:'Master'!$A$4384&amp;Master!$C$2:'Master'!$C$4384,0))</f>
        <v>99</v>
      </c>
      <c r="G28" s="21" cm="1">
        <f t="array" aca="1" ref="G28" ca="1">INDEX(Master!$I$2:'Master'!$I$4384,MATCH($A28&amp;G$2,Master!$A$2:'Master'!$A$4384&amp;Master!$C$2:'Master'!$C$4384,0))</f>
        <v>99</v>
      </c>
      <c r="H28" s="21" cm="1">
        <f t="array" aca="1" ref="H28" ca="1">INDEX(Master!$I$2:'Master'!$I$4384,MATCH($A28&amp;H$2,Master!$A$2:'Master'!$A$4384&amp;Master!$C$2:'Master'!$C$4384,0))</f>
        <v>99</v>
      </c>
      <c r="I28" s="21" cm="1">
        <f t="array" aca="1" ref="I28" ca="1">INDEX(Master!$I$2:'Master'!$I$4384,MATCH($A28&amp;I$2,Master!$A$2:'Master'!$A$4384&amp;Master!$C$2:'Master'!$C$4384,0))</f>
        <v>99</v>
      </c>
      <c r="J28" s="21" cm="1">
        <f t="array" aca="1" ref="J28" ca="1">INDEX(Master!$I$2:'Master'!$I$4384,MATCH($A28&amp;J$2,Master!$A$2:'Master'!$A$4384&amp;Master!$C$2:'Master'!$C$4384,0))</f>
        <v>99</v>
      </c>
      <c r="K28" s="21" cm="1">
        <f t="array" aca="1" ref="K28" ca="1">INDEX(Master!$I$2:'Master'!$I$4384,MATCH($A28&amp;K$2,Master!$A$2:'Master'!$A$4384&amp;Master!$C$2:'Master'!$C$4384,0))</f>
        <v>99</v>
      </c>
      <c r="L28" s="21" cm="1">
        <f t="array" aca="1" ref="L28" ca="1">INDEX(Master!$I$2:'Master'!$I$4384,MATCH($A28&amp;L$2,Master!$A$2:'Master'!$A$4384&amp;Master!$C$2:'Master'!$C$4384,0))</f>
        <v>99</v>
      </c>
      <c r="M28" s="21" cm="1">
        <f t="array" aca="1" ref="M28" ca="1">INDEX(Master!$I$2:'Master'!$I$4384,MATCH($A28&amp;M$2,Master!$A$2:'Master'!$A$4384&amp;Master!$C$2:'Master'!$C$4384,0))</f>
        <v>99</v>
      </c>
      <c r="N28" s="21" cm="1">
        <f t="array" aca="1" ref="N28" ca="1">INDEX(Master!$I$2:'Master'!$I$4384,MATCH($A28&amp;N$2,Master!$A$2:'Master'!$A$4384&amp;Master!$C$2:'Master'!$C$4384,0))</f>
        <v>99</v>
      </c>
      <c r="O28" s="21" cm="1">
        <f t="array" aca="1" ref="O28" ca="1">INDEX(Master!$I$2:'Master'!$I$4384,MATCH($A28&amp;O$2,Master!$A$2:'Master'!$A$4384&amp;Master!$C$2:'Master'!$C$4384,0))</f>
        <v>99</v>
      </c>
      <c r="P28" s="21" cm="1">
        <f t="array" aca="1" ref="P28" ca="1">INDEX(Master!$I$2:'Master'!$I$4384,MATCH($A28&amp;P$2,Master!$A$2:'Master'!$A$4384&amp;Master!$C$2:'Master'!$C$4384,0))</f>
        <v>99</v>
      </c>
      <c r="Q28" s="21" cm="1">
        <f t="array" aca="1" ref="Q28" ca="1">INDEX(Master!$I$2:'Master'!$I$4384,MATCH($A28&amp;Q$2,Master!$A$2:'Master'!$A$4384&amp;Master!$C$2:'Master'!$C$4384,0))</f>
        <v>99</v>
      </c>
      <c r="R28" s="21" cm="1">
        <f t="array" aca="1" ref="R28" ca="1">INDEX(Master!$I$2:'Master'!$I$4384,MATCH($A28&amp;R$2,Master!$A$2:'Master'!$A$4384&amp;Master!$C$2:'Master'!$C$4384,0))</f>
        <v>99</v>
      </c>
      <c r="S28" s="21" cm="1">
        <f t="array" aca="1" ref="S28" ca="1">INDEX(Master!$I$2:'Master'!$I$4384,MATCH($A28&amp;S$2,Master!$A$2:'Master'!$A$4384&amp;Master!$C$2:'Master'!$C$4384,0))</f>
        <v>99</v>
      </c>
      <c r="T28" s="21" cm="1">
        <f t="array" aca="1" ref="T28" ca="1">INDEX(Master!$I$2:'Master'!$I$4384,MATCH($A28&amp;T$2,Master!$A$2:'Master'!$A$4384&amp;Master!$C$2:'Master'!$C$4384,0))</f>
        <v>99</v>
      </c>
      <c r="U28" s="21" cm="1">
        <f t="array" aca="1" ref="U28" ca="1">INDEX(Master!$I$2:'Master'!$I$4384,MATCH($A28&amp;U$2,Master!$A$2:'Master'!$A$4384&amp;Master!$C$2:'Master'!$C$4384,0))</f>
        <v>99</v>
      </c>
      <c r="V28" s="21" cm="1">
        <f t="array" aca="1" ref="V28" ca="1">INDEX(Master!$I$2:'Master'!$I$4384,MATCH($A28&amp;V$2,Master!$A$2:'Master'!$A$4384&amp;Master!$C$2:'Master'!$C$4384,0))</f>
        <v>99</v>
      </c>
      <c r="W28" s="21" cm="1">
        <f t="array" aca="1" ref="W28" ca="1">INDEX(Master!$I$2:'Master'!$I$4384,MATCH($A28&amp;W$2,Master!$A$2:'Master'!$A$4384&amp;Master!$C$2:'Master'!$C$4384,0))</f>
        <v>99</v>
      </c>
      <c r="X28" s="21" cm="1">
        <f t="array" aca="1" ref="X28" ca="1">INDEX(Master!$I$2:'Master'!$I$4384,MATCH($A28&amp;X$2,Master!$A$2:'Master'!$A$4384&amp;Master!$C$2:'Master'!$C$4384,0))</f>
        <v>99</v>
      </c>
      <c r="Y28" s="21" cm="1">
        <f t="array" aca="1" ref="Y28" ca="1">INDEX(Master!$I$2:'Master'!$I$4384,MATCH($A28&amp;Y$2,Master!$A$2:'Master'!$A$4384&amp;Master!$C$2:'Master'!$C$4384,0))</f>
        <v>99</v>
      </c>
      <c r="Z28" s="21" cm="1">
        <f t="array" aca="1" ref="Z28" ca="1">INDEX(Master!$I$2:'Master'!$I$4384,MATCH($A28&amp;Z$2,Master!$A$2:'Master'!$A$4384&amp;Master!$C$2:'Master'!$C$4384,0))</f>
        <v>99</v>
      </c>
      <c r="AA28" s="21" cm="1">
        <f t="array" aca="1" ref="AA28" ca="1">INDEX(Master!$I$2:'Master'!$I$4384,MATCH($A28&amp;AA$2,Master!$A$2:'Master'!$A$4384&amp;Master!$C$2:'Master'!$C$4384,0))</f>
        <v>99</v>
      </c>
      <c r="AB28" s="21" cm="1">
        <f t="array" aca="1" ref="AB28" ca="1">INDEX(Master!$I$2:'Master'!$I$4384,MATCH($A28&amp;AB$2,Master!$A$2:'Master'!$A$4384&amp;Master!$C$2:'Master'!$C$4384,0))</f>
        <v>99</v>
      </c>
      <c r="AC28" s="21" cm="1">
        <f t="array" aca="1" ref="AC28" ca="1">INDEX(Master!$I$2:'Master'!$I$4384,MATCH($A28&amp;AC$2,Master!$A$2:'Master'!$A$4384&amp;Master!$C$2:'Master'!$C$4384,0))</f>
        <v>99</v>
      </c>
      <c r="AD28" s="21" cm="1">
        <f t="array" aca="1" ref="AD28" ca="1">INDEX(Master!$I$2:'Master'!$I$4384,MATCH($A28&amp;AD$2,Master!$A$2:'Master'!$A$4384&amp;Master!$C$2:'Master'!$C$4384,0))</f>
        <v>99</v>
      </c>
      <c r="AE28" s="21" cm="1">
        <f t="array" aca="1" ref="AE28" ca="1">INDEX(Master!$I$2:'Master'!$I$4384,MATCH($A28&amp;AE$2,Master!$A$2:'Master'!$A$4384&amp;Master!$C$2:'Master'!$C$4384,0))</f>
        <v>99</v>
      </c>
      <c r="AF28" s="21" cm="1">
        <f t="array" aca="1" ref="AF28" ca="1">INDEX(Master!$I$2:'Master'!$I$4384,MATCH($A28&amp;AF$2,Master!$A$2:'Master'!$A$4384&amp;Master!$C$2:'Master'!$C$4384,0))</f>
        <v>99</v>
      </c>
      <c r="AG28" s="21" cm="1">
        <f t="array" aca="1" ref="AG28" ca="1">INDEX(Master!$I$2:'Master'!$I$4384,MATCH($A28&amp;AG$2,Master!$A$2:'Master'!$A$4384&amp;Master!$C$2:'Master'!$C$4384,0))</f>
        <v>99</v>
      </c>
      <c r="AH28" s="21" cm="1">
        <f t="array" aca="1" ref="AH28" ca="1">INDEX(Master!$I$2:'Master'!$I$4384,MATCH($A28&amp;AH$2,Master!$A$2:'Master'!$A$4384&amp;Master!$C$2:'Master'!$C$4384,0))</f>
        <v>99</v>
      </c>
      <c r="AI28" s="21" cm="1">
        <f t="array" aca="1" ref="AI28" ca="1">INDEX(Master!$I$2:'Master'!$I$4384,MATCH($A28&amp;AI$2,Master!$A$2:'Master'!$A$4384&amp;Master!$C$2:'Master'!$C$4384,0))</f>
        <v>99</v>
      </c>
      <c r="AJ28" s="21" cm="1">
        <f t="array" aca="1" ref="AJ28" ca="1">INDEX(Master!$I$2:'Master'!$I$4384,MATCH($A28&amp;AJ$2,Master!$A$2:'Master'!$A$4384&amp;Master!$C$2:'Master'!$C$4384,0))</f>
        <v>99</v>
      </c>
      <c r="AK28" s="21" cm="1">
        <f t="array" aca="1" ref="AK28" ca="1">INDEX(Master!$I$2:'Master'!$I$4384,MATCH($A28&amp;AK$2,Master!$A$2:'Master'!$A$4384&amp;Master!$C$2:'Master'!$C$4384,0))</f>
        <v>99</v>
      </c>
      <c r="AL28" s="21" cm="1">
        <f t="array" aca="1" ref="AL28" ca="1">INDEX(Master!$I$2:'Master'!$I$4384,MATCH($A28&amp;AL$2,Master!$A$2:'Master'!$A$4384&amp;Master!$C$2:'Master'!$C$4384,0))</f>
        <v>99</v>
      </c>
      <c r="AM28" s="21" cm="1">
        <f t="array" aca="1" ref="AM28" ca="1">INDEX(Master!$I$2:'Master'!$I$4384,MATCH($A28&amp;AM$2,Master!$A$2:'Master'!$A$4384&amp;Master!$C$2:'Master'!$C$4384,0))</f>
        <v>99</v>
      </c>
      <c r="AN28" s="21" cm="1">
        <f t="array" aca="1" ref="AN28" ca="1">INDEX(Master!$I$2:'Master'!$I$4384,MATCH($A28&amp;AN$2,Master!$A$2:'Master'!$A$4384&amp;Master!$C$2:'Master'!$C$4384,0))</f>
        <v>99</v>
      </c>
      <c r="AO28" s="21" cm="1">
        <f t="array" aca="1" ref="AO28" ca="1">INDEX(Master!$I$2:'Master'!$I$4384,MATCH($A28&amp;AO$2,Master!$A$2:'Master'!$A$4384&amp;Master!$C$2:'Master'!$C$4384,0))</f>
        <v>99</v>
      </c>
      <c r="AP28" s="21" cm="1">
        <f t="array" aca="1" ref="AP28" ca="1">INDEX(Master!$I$2:'Master'!$I$4384,MATCH($A28&amp;AP$2,Master!$A$2:'Master'!$A$4384&amp;Master!$C$2:'Master'!$C$4384,0))</f>
        <v>99</v>
      </c>
      <c r="AQ28" s="21" cm="1">
        <f t="array" aca="1" ref="AQ28" ca="1">INDEX(Master!$I$2:'Master'!$I$4384,MATCH($A28&amp;AQ$2,Master!$A$2:'Master'!$A$4384&amp;Master!$C$2:'Master'!$C$4384,0))</f>
        <v>99</v>
      </c>
      <c r="AR28" s="21" cm="1">
        <f t="array" aca="1" ref="AR28" ca="1">INDEX(Master!$I$2:'Master'!$I$4384,MATCH($A28&amp;AR$2,Master!$A$2:'Master'!$A$4384&amp;Master!$C$2:'Master'!$C$4384,0))</f>
        <v>99</v>
      </c>
      <c r="AS28" s="21" cm="1">
        <f t="array" aca="1" ref="AS28" ca="1">INDEX(Master!$I$2:'Master'!$I$4384,MATCH($A28&amp;AS$2,Master!$A$2:'Master'!$A$4384&amp;Master!$C$2:'Master'!$C$4384,0))</f>
        <v>99</v>
      </c>
      <c r="AT28" s="21" cm="1">
        <f t="array" aca="1" ref="AT28" ca="1">INDEX(Master!$I$2:'Master'!$I$4384,MATCH($A28&amp;AT$2,Master!$A$2:'Master'!$A$4384&amp;Master!$C$2:'Master'!$C$4384,0))</f>
        <v>99</v>
      </c>
      <c r="AU28" s="21" cm="1">
        <f t="array" aca="1" ref="AU28" ca="1">INDEX(Master!$I$2:'Master'!$I$4384,MATCH($A28&amp;AU$2,Master!$A$2:'Master'!$A$4384&amp;Master!$C$2:'Master'!$C$4384,0))</f>
        <v>99</v>
      </c>
      <c r="AV28" s="21" cm="1">
        <f t="array" aca="1" ref="AV28" ca="1">INDEX(Master!$I$2:'Master'!$I$4384,MATCH($A28&amp;AV$2,Master!$A$2:'Master'!$A$4384&amp;Master!$C$2:'Master'!$C$4384,0))</f>
        <v>99</v>
      </c>
      <c r="AW28" s="21" cm="1">
        <f t="array" aca="1" ref="AW28" ca="1">INDEX(Master!$I$2:'Master'!$I$4384,MATCH($A28&amp;AW$2,Master!$A$2:'Master'!$A$4384&amp;Master!$C$2:'Master'!$C$4384,0))</f>
        <v>99</v>
      </c>
      <c r="AX28" s="21" cm="1">
        <f t="array" aca="1" ref="AX28" ca="1">INDEX(Master!$I$2:'Master'!$I$4384,MATCH($A28&amp;AX$2,Master!$A$2:'Master'!$A$4384&amp;Master!$C$2:'Master'!$C$4384,0))</f>
        <v>99</v>
      </c>
      <c r="AY28" s="21" cm="1">
        <f t="array" aca="1" ref="AY28" ca="1">INDEX(Master!$I$2:'Master'!$I$4384,MATCH($A28&amp;AY$2,Master!$A$2:'Master'!$A$4384&amp;Master!$C$2:'Master'!$C$4384,0))</f>
        <v>99</v>
      </c>
      <c r="AZ28" s="21" cm="1">
        <f t="array" aca="1" ref="AZ28" ca="1">INDEX(Master!$I$2:'Master'!$I$4384,MATCH($A28&amp;AZ$2,Master!$A$2:'Master'!$A$4384&amp;Master!$C$2:'Master'!$C$4384,0))</f>
        <v>99</v>
      </c>
      <c r="BA28" s="21" cm="1">
        <f t="array" aca="1" ref="BA28" ca="1">INDEX(Master!$I$2:'Master'!$I$4384,MATCH($A28&amp;BA$2,Master!$A$2:'Master'!$A$4384&amp;Master!$C$2:'Master'!$C$4384,0))</f>
        <v>99</v>
      </c>
      <c r="BB28" s="21" cm="1">
        <f t="array" aca="1" ref="BB28" ca="1">INDEX(Master!$I$2:'Master'!$I$4384,MATCH($A28&amp;BB$2,Master!$A$2:'Master'!$A$4384&amp;Master!$C$2:'Master'!$C$4384,0))</f>
        <v>99</v>
      </c>
      <c r="BC28" s="21" cm="1">
        <f t="array" aca="1" ref="BC28" ca="1">INDEX(Master!$I$2:'Master'!$I$4384,MATCH($A28&amp;BC$2,Master!$A$2:'Master'!$A$4384&amp;Master!$C$2:'Master'!$C$4384,0))</f>
        <v>99</v>
      </c>
      <c r="BD28" s="21" cm="1">
        <f t="array" aca="1" ref="BD28" ca="1">INDEX(Master!$I$2:'Master'!$I$4384,MATCH($A28&amp;BD$2,Master!$A$2:'Master'!$A$4384&amp;Master!$C$2:'Master'!$C$4384,0))</f>
        <v>99</v>
      </c>
      <c r="BE28" s="21" cm="1">
        <f t="array" aca="1" ref="BE28" ca="1">INDEX(Master!$I$2:'Master'!$I$4384,MATCH($A28&amp;BE$2,Master!$A$2:'Master'!$A$4384&amp;Master!$C$2:'Master'!$C$4384,0))</f>
        <v>99</v>
      </c>
      <c r="BF28" s="21" cm="1">
        <f t="array" aca="1" ref="BF28" ca="1">INDEX(Master!$I$2:'Master'!$I$4384,MATCH($A28&amp;BF$2,Master!$A$2:'Master'!$A$4384&amp;Master!$C$2:'Master'!$C$4384,0))</f>
        <v>99</v>
      </c>
      <c r="BG28" s="21" cm="1">
        <f t="array" aca="1" ref="BG28" ca="1">INDEX(Master!$I$2:'Master'!$I$4384,MATCH($A28&amp;BG$2,Master!$A$2:'Master'!$A$4384&amp;Master!$C$2:'Master'!$C$4384,0))</f>
        <v>99</v>
      </c>
      <c r="BH28" s="21" cm="1">
        <f t="array" aca="1" ref="BH28" ca="1">INDEX(Master!$I$2:'Master'!$I$4384,MATCH($A28&amp;BH$2,Master!$A$2:'Master'!$A$4384&amp;Master!$C$2:'Master'!$C$4384,0))</f>
        <v>99</v>
      </c>
      <c r="BI28" s="21" cm="1">
        <f t="array" aca="1" ref="BI28" ca="1">INDEX(Master!$I$2:'Master'!$I$4384,MATCH($A28&amp;BI$2,Master!$A$2:'Master'!$A$4384&amp;Master!$C$2:'Master'!$C$4384,0))</f>
        <v>99</v>
      </c>
      <c r="BJ28" s="21" cm="1">
        <f t="array" aca="1" ref="BJ28" ca="1">INDEX(Master!$I$2:'Master'!$I$4384,MATCH($A28&amp;BJ$2,Master!$A$2:'Master'!$A$4384&amp;Master!$C$2:'Master'!$C$4384,0))</f>
        <v>99</v>
      </c>
      <c r="BK28" s="21" cm="1">
        <f t="array" aca="1" ref="BK28" ca="1">INDEX(Master!$I$2:'Master'!$I$4384,MATCH($A28&amp;BK$2,Master!$A$2:'Master'!$A$4384&amp;Master!$C$2:'Master'!$C$4384,0))</f>
        <v>99</v>
      </c>
      <c r="BL28" s="21" cm="1">
        <f t="array" aca="1" ref="BL28" ca="1">INDEX(Master!$I$2:'Master'!$I$4384,MATCH($A28&amp;BL$2,Master!$A$2:'Master'!$A$4384&amp;Master!$C$2:'Master'!$C$4384,0))</f>
        <v>99</v>
      </c>
      <c r="BM28" s="21" cm="1">
        <f t="array" aca="1" ref="BM28" ca="1">INDEX(Master!$I$2:'Master'!$I$4384,MATCH($A28&amp;BM$2,Master!$A$2:'Master'!$A$4384&amp;Master!$C$2:'Master'!$C$4384,0))</f>
        <v>99</v>
      </c>
      <c r="BN28" s="21" cm="1">
        <f t="array" aca="1" ref="BN28" ca="1">INDEX(Master!$I$2:'Master'!$I$4384,MATCH($A28&amp;BN$2,Master!$A$2:'Master'!$A$4384&amp;Master!$C$2:'Master'!$C$4384,0))</f>
        <v>99</v>
      </c>
      <c r="BO28" s="21" cm="1">
        <f t="array" aca="1" ref="BO28" ca="1">INDEX(Master!$I$2:'Master'!$I$4384,MATCH($A28&amp;BO$2,Master!$A$2:'Master'!$A$4384&amp;Master!$C$2:'Master'!$C$4384,0))</f>
        <v>99</v>
      </c>
      <c r="BP28" s="21" cm="1">
        <f t="array" aca="1" ref="BP28" ca="1">INDEX(Master!$I$2:'Master'!$I$4384,MATCH($A28&amp;BP$2,Master!$A$2:'Master'!$A$4384&amp;Master!$C$2:'Master'!$C$4384,0))</f>
        <v>99</v>
      </c>
      <c r="BQ28" s="21" cm="1">
        <f t="array" aca="1" ref="BQ28" ca="1">INDEX(Master!$I$2:'Master'!$I$4384,MATCH($A28&amp;BQ$2,Master!$A$2:'Master'!$A$4384&amp;Master!$C$2:'Master'!$C$4384,0))</f>
        <v>99</v>
      </c>
      <c r="BR28" s="21" cm="1">
        <f t="array" aca="1" ref="BR28" ca="1">INDEX(Master!$I$2:'Master'!$I$4384,MATCH($A28&amp;BR$2,Master!$A$2:'Master'!$A$4384&amp;Master!$C$2:'Master'!$C$4384,0))</f>
        <v>99</v>
      </c>
      <c r="BS28" s="21" cm="1">
        <f t="array" aca="1" ref="BS28" ca="1">INDEX(Master!$I$2:'Master'!$I$4384,MATCH($A28&amp;BS$2,Master!$A$2:'Master'!$A$4384&amp;Master!$C$2:'Master'!$C$4384,0))</f>
        <v>99</v>
      </c>
      <c r="BT28" s="21" cm="1">
        <f t="array" aca="1" ref="BT28" ca="1">INDEX(Master!$I$2:'Master'!$I$4384,MATCH($A28&amp;BT$2,Master!$A$2:'Master'!$A$4384&amp;Master!$C$2:'Master'!$C$4384,0))</f>
        <v>99</v>
      </c>
      <c r="BU28" s="21" cm="1">
        <f t="array" aca="1" ref="BU28" ca="1">INDEX(Master!$I$2:'Master'!$I$4384,MATCH($A28&amp;BU$2,Master!$A$2:'Master'!$A$4384&amp;Master!$C$2:'Master'!$C$4384,0))</f>
        <v>99</v>
      </c>
      <c r="BV28" s="21" cm="1">
        <f t="array" aca="1" ref="BV28" ca="1">INDEX(Master!$I$2:'Master'!$I$4384,MATCH($A28&amp;BV$2,Master!$A$2:'Master'!$A$4384&amp;Master!$C$2:'Master'!$C$4384,0))</f>
        <v>99</v>
      </c>
      <c r="BW28" s="21" cm="1">
        <f t="array" aca="1" ref="BW28" ca="1">INDEX(Master!$I$2:'Master'!$I$4384,MATCH($A28&amp;BW$2,Master!$A$2:'Master'!$A$4384&amp;Master!$C$2:'Master'!$C$4384,0))</f>
        <v>99</v>
      </c>
      <c r="BX28" s="21" cm="1">
        <f t="array" aca="1" ref="BX28" ca="1">INDEX(Master!$I$2:'Master'!$I$4384,MATCH($A28&amp;BX$2,Master!$A$2:'Master'!$A$4384&amp;Master!$C$2:'Master'!$C$4384,0))</f>
        <v>99</v>
      </c>
      <c r="BY28" s="21" cm="1">
        <f t="array" aca="1" ref="BY28" ca="1">INDEX(Master!$I$2:'Master'!$I$4384,MATCH($A28&amp;BY$2,Master!$A$2:'Master'!$A$4384&amp;Master!$C$2:'Master'!$C$4384,0))</f>
        <v>99</v>
      </c>
      <c r="BZ28" s="21" cm="1">
        <f t="array" aca="1" ref="BZ28" ca="1">INDEX(Master!$I$2:'Master'!$I$4384,MATCH($A28&amp;BZ$2,Master!$A$2:'Master'!$A$4384&amp;Master!$C$2:'Master'!$C$4384,0))</f>
        <v>99</v>
      </c>
      <c r="CA28" s="21" cm="1">
        <f t="array" aca="1" ref="CA28" ca="1">INDEX(Master!$I$2:'Master'!$I$4384,MATCH($A28&amp;CA$2,Master!$A$2:'Master'!$A$4384&amp;Master!$C$2:'Master'!$C$4384,0))</f>
        <v>99</v>
      </c>
      <c r="CB28" s="21" cm="1">
        <f t="array" aca="1" ref="CB28" ca="1">INDEX(Master!$I$2:'Master'!$I$4384,MATCH($A28&amp;CB$2,Master!$A$2:'Master'!$A$4384&amp;Master!$C$2:'Master'!$C$4384,0))</f>
        <v>99</v>
      </c>
      <c r="CC28" s="21" cm="1">
        <f t="array" aca="1" ref="CC28" ca="1">INDEX(Master!$I$2:'Master'!$I$4384,MATCH($A28&amp;CC$2,Master!$A$2:'Master'!$A$4384&amp;Master!$C$2:'Master'!$C$4384,0))</f>
        <v>99</v>
      </c>
      <c r="CD28" s="21" cm="1">
        <f t="array" aca="1" ref="CD28" ca="1">INDEX(Master!$I$2:'Master'!$I$4384,MATCH($A28&amp;CD$2,Master!$A$2:'Master'!$A$4384&amp;Master!$C$2:'Master'!$C$4384,0))</f>
        <v>99</v>
      </c>
      <c r="CE28" s="21" cm="1">
        <f t="array" aca="1" ref="CE28" ca="1">INDEX(Master!$I$2:'Master'!$I$4384,MATCH($A28&amp;CE$2,Master!$A$2:'Master'!$A$4384&amp;Master!$C$2:'Master'!$C$4384,0))</f>
        <v>99</v>
      </c>
      <c r="CF28" s="21" cm="1">
        <f t="array" aca="1" ref="CF28" ca="1">INDEX(Master!$I$2:'Master'!$I$4384,MATCH($A28&amp;CF$2,Master!$A$2:'Master'!$A$4384&amp;Master!$C$2:'Master'!$C$4384,0))</f>
        <v>99</v>
      </c>
      <c r="CG28" s="21" cm="1">
        <f t="array" aca="1" ref="CG28" ca="1">INDEX(Master!$I$2:'Master'!$I$4384,MATCH($A28&amp;CG$2,Master!$A$2:'Master'!$A$4384&amp;Master!$C$2:'Master'!$C$4384,0))</f>
        <v>99</v>
      </c>
      <c r="CH28" s="21" cm="1">
        <f t="array" aca="1" ref="CH28" ca="1">INDEX(Master!$I$2:'Master'!$I$4384,MATCH($A28&amp;CH$2,Master!$A$2:'Master'!$A$4384&amp;Master!$C$2:'Master'!$C$4384,0))</f>
        <v>99</v>
      </c>
      <c r="CI28" s="21" cm="1">
        <f t="array" aca="1" ref="CI28" ca="1">INDEX(Master!$I$2:'Master'!$I$4384,MATCH($A28&amp;CI$2,Master!$A$2:'Master'!$A$4384&amp;Master!$C$2:'Master'!$C$4384,0))</f>
        <v>99</v>
      </c>
      <c r="CJ28" s="21" cm="1">
        <f t="array" aca="1" ref="CJ28" ca="1">INDEX(Master!$I$2:'Master'!$I$4384,MATCH($A28&amp;CJ$2,Master!$A$2:'Master'!$A$4384&amp;Master!$C$2:'Master'!$C$4384,0))</f>
        <v>99</v>
      </c>
      <c r="CK28" s="21" cm="1">
        <f t="array" aca="1" ref="CK28" ca="1">INDEX(Master!$I$2:'Master'!$I$4384,MATCH($A28&amp;CK$2,Master!$A$2:'Master'!$A$4384&amp;Master!$C$2:'Master'!$C$4384,0))</f>
        <v>99</v>
      </c>
      <c r="CL28" s="21" cm="1">
        <f t="array" aca="1" ref="CL28" ca="1">INDEX(Master!$I$2:'Master'!$I$4384,MATCH($A28&amp;CL$2,Master!$A$2:'Master'!$A$4384&amp;Master!$C$2:'Master'!$C$4384,0))</f>
        <v>99</v>
      </c>
      <c r="CM28" s="21" cm="1">
        <f t="array" aca="1" ref="CM28" ca="1">INDEX(Master!$I$2:'Master'!$I$4384,MATCH($A28&amp;CM$2,Master!$A$2:'Master'!$A$4384&amp;Master!$C$2:'Master'!$C$4384,0))</f>
        <v>99</v>
      </c>
      <c r="CN28" s="21" cm="1">
        <f t="array" aca="1" ref="CN28" ca="1">INDEX(Master!$I$2:'Master'!$I$4384,MATCH($A28&amp;CN$2,Master!$A$2:'Master'!$A$4384&amp;Master!$C$2:'Master'!$C$4384,0))</f>
        <v>99</v>
      </c>
      <c r="CO28" s="21" cm="1">
        <f t="array" aca="1" ref="CO28" ca="1">INDEX(Master!$I$2:'Master'!$I$4384,MATCH($A28&amp;CO$2,Master!$A$2:'Master'!$A$4384&amp;Master!$C$2:'Master'!$C$4384,0))</f>
        <v>99</v>
      </c>
      <c r="CP28" s="21" cm="1">
        <f t="array" aca="1" ref="CP28" ca="1">INDEX(Master!$I$2:'Master'!$I$4384,MATCH($A28&amp;CP$2,Master!$A$2:'Master'!$A$4384&amp;Master!$C$2:'Master'!$C$4384,0))</f>
        <v>99</v>
      </c>
      <c r="CQ28" s="21" cm="1">
        <f t="array" aca="1" ref="CQ28" ca="1">INDEX(Master!$I$2:'Master'!$I$4384,MATCH($A28&amp;CQ$2,Master!$A$2:'Master'!$A$4384&amp;Master!$C$2:'Master'!$C$4384,0))</f>
        <v>99</v>
      </c>
      <c r="CR28" s="21" cm="1">
        <f t="array" aca="1" ref="CR28" ca="1">INDEX(Master!$I$2:'Master'!$I$4384,MATCH($A28&amp;CR$2,Master!$A$2:'Master'!$A$4384&amp;Master!$C$2:'Master'!$C$4384,0))</f>
        <v>99</v>
      </c>
      <c r="CS28" s="21" cm="1">
        <f t="array" aca="1" ref="CS28" ca="1">INDEX(Master!$I$2:'Master'!$I$4384,MATCH($A28&amp;CS$2,Master!$A$2:'Master'!$A$4384&amp;Master!$C$2:'Master'!$C$4384,0))</f>
        <v>99</v>
      </c>
    </row>
    <row r="29" spans="1:97">
      <c r="A29" t="str">
        <f>VLOOKUP(Staff!$A27,Staff!$A$1:A$73,1,FALSE)</f>
        <v>Jack Mooney</v>
      </c>
      <c r="B29" s="21" cm="1">
        <f t="array" aca="1" ref="B29" ca="1">INDEX(Master!$I$2:'Master'!$I$4384,MATCH($A29&amp;B$2,Master!$A$2:'Master'!$A$4384&amp;Master!$C$2:'Master'!$C$4384,0))</f>
        <v>3</v>
      </c>
      <c r="C29" s="21" cm="1">
        <f t="array" aca="1" ref="C29" ca="1">INDEX(Master!$I$2:'Master'!$I$4384,MATCH($A29&amp;C$2,Master!$A$2:'Master'!$A$4384&amp;Master!$C$2:'Master'!$C$4384,0))</f>
        <v>3</v>
      </c>
      <c r="D29" s="21" cm="1">
        <f t="array" aca="1" ref="D29" ca="1">INDEX(Master!$I$2:'Master'!$I$4384,MATCH($A29&amp;D$2,Master!$A$2:'Master'!$A$4384&amp;Master!$C$2:'Master'!$C$4384,0))</f>
        <v>3</v>
      </c>
      <c r="E29" s="21" cm="1">
        <f t="array" aca="1" ref="E29" ca="1">INDEX(Master!$I$2:'Master'!$I$4384,MATCH($A29&amp;E$2,Master!$A$2:'Master'!$A$4384&amp;Master!$C$2:'Master'!$C$4384,0))</f>
        <v>3</v>
      </c>
      <c r="F29" s="21" cm="1">
        <f t="array" aca="1" ref="F29" ca="1">INDEX(Master!$I$2:'Master'!$I$4384,MATCH($A29&amp;F$2,Master!$A$2:'Master'!$A$4384&amp;Master!$C$2:'Master'!$C$4384,0))</f>
        <v>3</v>
      </c>
      <c r="G29" s="21" cm="1">
        <f t="array" aca="1" ref="G29" ca="1">INDEX(Master!$I$2:'Master'!$I$4384,MATCH($A29&amp;G$2,Master!$A$2:'Master'!$A$4384&amp;Master!$C$2:'Master'!$C$4384,0))</f>
        <v>3</v>
      </c>
      <c r="H29" s="21" cm="1">
        <f t="array" aca="1" ref="H29" ca="1">INDEX(Master!$I$2:'Master'!$I$4384,MATCH($A29&amp;H$2,Master!$A$2:'Master'!$A$4384&amp;Master!$C$2:'Master'!$C$4384,0))</f>
        <v>3</v>
      </c>
      <c r="I29" s="21" cm="1">
        <f t="array" aca="1" ref="I29" ca="1">INDEX(Master!$I$2:'Master'!$I$4384,MATCH($A29&amp;I$2,Master!$A$2:'Master'!$A$4384&amp;Master!$C$2:'Master'!$C$4384,0))</f>
        <v>3</v>
      </c>
      <c r="J29" s="21" cm="1">
        <f t="array" aca="1" ref="J29" ca="1">INDEX(Master!$I$2:'Master'!$I$4384,MATCH($A29&amp;J$2,Master!$A$2:'Master'!$A$4384&amp;Master!$C$2:'Master'!$C$4384,0))</f>
        <v>2</v>
      </c>
      <c r="K29" s="21" cm="1">
        <f t="array" aca="1" ref="K29" ca="1">INDEX(Master!$I$2:'Master'!$I$4384,MATCH($A29&amp;K$2,Master!$A$2:'Master'!$A$4384&amp;Master!$C$2:'Master'!$C$4384,0))</f>
        <v>3</v>
      </c>
      <c r="L29" s="21" cm="1">
        <f t="array" aca="1" ref="L29" ca="1">INDEX(Master!$I$2:'Master'!$I$4384,MATCH($A29&amp;L$2,Master!$A$2:'Master'!$A$4384&amp;Master!$C$2:'Master'!$C$4384,0))</f>
        <v>3</v>
      </c>
      <c r="M29" s="21" cm="1">
        <f t="array" aca="1" ref="M29" ca="1">INDEX(Master!$I$2:'Master'!$I$4384,MATCH($A29&amp;M$2,Master!$A$2:'Master'!$A$4384&amp;Master!$C$2:'Master'!$C$4384,0))</f>
        <v>2</v>
      </c>
      <c r="N29" s="21" cm="1">
        <f t="array" aca="1" ref="N29" ca="1">INDEX(Master!$I$2:'Master'!$I$4384,MATCH($A29&amp;N$2,Master!$A$2:'Master'!$A$4384&amp;Master!$C$2:'Master'!$C$4384,0))</f>
        <v>2</v>
      </c>
      <c r="O29" s="21" cm="1">
        <f t="array" aca="1" ref="O29" ca="1">INDEX(Master!$I$2:'Master'!$I$4384,MATCH($A29&amp;O$2,Master!$A$2:'Master'!$A$4384&amp;Master!$C$2:'Master'!$C$4384,0))</f>
        <v>2</v>
      </c>
      <c r="P29" s="21" cm="1">
        <f t="array" aca="1" ref="P29" ca="1">INDEX(Master!$I$2:'Master'!$I$4384,MATCH($A29&amp;P$2,Master!$A$2:'Master'!$A$4384&amp;Master!$C$2:'Master'!$C$4384,0))</f>
        <v>3</v>
      </c>
      <c r="Q29" s="21" cm="1">
        <f t="array" aca="1" ref="Q29" ca="1">INDEX(Master!$I$2:'Master'!$I$4384,MATCH($A29&amp;Q$2,Master!$A$2:'Master'!$A$4384&amp;Master!$C$2:'Master'!$C$4384,0))</f>
        <v>3</v>
      </c>
      <c r="R29" s="21" cm="1">
        <f t="array" aca="1" ref="R29" ca="1">INDEX(Master!$I$2:'Master'!$I$4384,MATCH($A29&amp;R$2,Master!$A$2:'Master'!$A$4384&amp;Master!$C$2:'Master'!$C$4384,0))</f>
        <v>3</v>
      </c>
      <c r="S29" s="21" cm="1">
        <f t="array" aca="1" ref="S29" ca="1">INDEX(Master!$I$2:'Master'!$I$4384,MATCH($A29&amp;S$2,Master!$A$2:'Master'!$A$4384&amp;Master!$C$2:'Master'!$C$4384,0))</f>
        <v>3</v>
      </c>
      <c r="T29" s="21" cm="1">
        <f t="array" aca="1" ref="T29" ca="1">INDEX(Master!$I$2:'Master'!$I$4384,MATCH($A29&amp;T$2,Master!$A$2:'Master'!$A$4384&amp;Master!$C$2:'Master'!$C$4384,0))</f>
        <v>3</v>
      </c>
      <c r="U29" s="21" cm="1">
        <f t="array" aca="1" ref="U29" ca="1">INDEX(Master!$I$2:'Master'!$I$4384,MATCH($A29&amp;U$2,Master!$A$2:'Master'!$A$4384&amp;Master!$C$2:'Master'!$C$4384,0))</f>
        <v>3</v>
      </c>
      <c r="V29" s="21" cm="1">
        <f t="array" aca="1" ref="V29" ca="1">INDEX(Master!$I$2:'Master'!$I$4384,MATCH($A29&amp;V$2,Master!$A$2:'Master'!$A$4384&amp;Master!$C$2:'Master'!$C$4384,0))</f>
        <v>3</v>
      </c>
      <c r="W29" s="21" cm="1">
        <f t="array" aca="1" ref="W29" ca="1">INDEX(Master!$I$2:'Master'!$I$4384,MATCH($A29&amp;W$2,Master!$A$2:'Master'!$A$4384&amp;Master!$C$2:'Master'!$C$4384,0))</f>
        <v>3</v>
      </c>
      <c r="X29" s="21" cm="1">
        <f t="array" aca="1" ref="X29" ca="1">INDEX(Master!$I$2:'Master'!$I$4384,MATCH($A29&amp;X$2,Master!$A$2:'Master'!$A$4384&amp;Master!$C$2:'Master'!$C$4384,0))</f>
        <v>2</v>
      </c>
      <c r="Y29" s="21" cm="1">
        <f t="array" aca="1" ref="Y29" ca="1">INDEX(Master!$I$2:'Master'!$I$4384,MATCH($A29&amp;Y$2,Master!$A$2:'Master'!$A$4384&amp;Master!$C$2:'Master'!$C$4384,0))</f>
        <v>2</v>
      </c>
      <c r="Z29" s="21" cm="1">
        <f t="array" aca="1" ref="Z29" ca="1">INDEX(Master!$I$2:'Master'!$I$4384,MATCH($A29&amp;Z$2,Master!$A$2:'Master'!$A$4384&amp;Master!$C$2:'Master'!$C$4384,0))</f>
        <v>2</v>
      </c>
      <c r="AA29" s="21" cm="1">
        <f t="array" aca="1" ref="AA29" ca="1">INDEX(Master!$I$2:'Master'!$I$4384,MATCH($A29&amp;AA$2,Master!$A$2:'Master'!$A$4384&amp;Master!$C$2:'Master'!$C$4384,0))</f>
        <v>2</v>
      </c>
      <c r="AB29" s="21" cm="1">
        <f t="array" aca="1" ref="AB29" ca="1">INDEX(Master!$I$2:'Master'!$I$4384,MATCH($A29&amp;AB$2,Master!$A$2:'Master'!$A$4384&amp;Master!$C$2:'Master'!$C$4384,0))</f>
        <v>2</v>
      </c>
      <c r="AC29" s="21" cm="1">
        <f t="array" aca="1" ref="AC29" ca="1">INDEX(Master!$I$2:'Master'!$I$4384,MATCH($A29&amp;AC$2,Master!$A$2:'Master'!$A$4384&amp;Master!$C$2:'Master'!$C$4384,0))</f>
        <v>1</v>
      </c>
      <c r="AD29" s="21" cm="1">
        <f t="array" aca="1" ref="AD29" ca="1">INDEX(Master!$I$2:'Master'!$I$4384,MATCH($A29&amp;AD$2,Master!$A$2:'Master'!$A$4384&amp;Master!$C$2:'Master'!$C$4384,0))</f>
        <v>1</v>
      </c>
      <c r="AE29" s="21" cm="1">
        <f t="array" aca="1" ref="AE29" ca="1">INDEX(Master!$I$2:'Master'!$I$4384,MATCH($A29&amp;AE$2,Master!$A$2:'Master'!$A$4384&amp;Master!$C$2:'Master'!$C$4384,0))</f>
        <v>3</v>
      </c>
      <c r="AF29" s="21" cm="1">
        <f t="array" aca="1" ref="AF29" ca="1">INDEX(Master!$I$2:'Master'!$I$4384,MATCH($A29&amp;AF$2,Master!$A$2:'Master'!$A$4384&amp;Master!$C$2:'Master'!$C$4384,0))</f>
        <v>1</v>
      </c>
      <c r="AG29" s="21" cm="1">
        <f t="array" aca="1" ref="AG29" ca="1">INDEX(Master!$I$2:'Master'!$I$4384,MATCH($A29&amp;AG$2,Master!$A$2:'Master'!$A$4384&amp;Master!$C$2:'Master'!$C$4384,0))</f>
        <v>1</v>
      </c>
      <c r="AH29" s="21" cm="1">
        <f t="array" aca="1" ref="AH29" ca="1">INDEX(Master!$I$2:'Master'!$I$4384,MATCH($A29&amp;AH$2,Master!$A$2:'Master'!$A$4384&amp;Master!$C$2:'Master'!$C$4384,0))</f>
        <v>3</v>
      </c>
      <c r="AI29" s="21" cm="1">
        <f t="array" aca="1" ref="AI29" ca="1">INDEX(Master!$I$2:'Master'!$I$4384,MATCH($A29&amp;AI$2,Master!$A$2:'Master'!$A$4384&amp;Master!$C$2:'Master'!$C$4384,0))</f>
        <v>3</v>
      </c>
      <c r="AJ29" s="21" cm="1">
        <f t="array" aca="1" ref="AJ29" ca="1">INDEX(Master!$I$2:'Master'!$I$4384,MATCH($A29&amp;AJ$2,Master!$A$2:'Master'!$A$4384&amp;Master!$C$2:'Master'!$C$4384,0))</f>
        <v>3</v>
      </c>
      <c r="AK29" s="21" cm="1">
        <f t="array" aca="1" ref="AK29" ca="1">INDEX(Master!$I$2:'Master'!$I$4384,MATCH($A29&amp;AK$2,Master!$A$2:'Master'!$A$4384&amp;Master!$C$2:'Master'!$C$4384,0))</f>
        <v>1</v>
      </c>
      <c r="AL29" s="21" cm="1">
        <f t="array" aca="1" ref="AL29" ca="1">INDEX(Master!$I$2:'Master'!$I$4384,MATCH($A29&amp;AL$2,Master!$A$2:'Master'!$A$4384&amp;Master!$C$2:'Master'!$C$4384,0))</f>
        <v>2</v>
      </c>
      <c r="AM29" s="21" cm="1">
        <f t="array" aca="1" ref="AM29" ca="1">INDEX(Master!$I$2:'Master'!$I$4384,MATCH($A29&amp;AM$2,Master!$A$2:'Master'!$A$4384&amp;Master!$C$2:'Master'!$C$4384,0))</f>
        <v>2</v>
      </c>
      <c r="AN29" s="21" cm="1">
        <f t="array" aca="1" ref="AN29" ca="1">INDEX(Master!$I$2:'Master'!$I$4384,MATCH($A29&amp;AN$2,Master!$A$2:'Master'!$A$4384&amp;Master!$C$2:'Master'!$C$4384,0))</f>
        <v>3</v>
      </c>
      <c r="AO29" s="21" cm="1">
        <f t="array" aca="1" ref="AO29" ca="1">INDEX(Master!$I$2:'Master'!$I$4384,MATCH($A29&amp;AO$2,Master!$A$2:'Master'!$A$4384&amp;Master!$C$2:'Master'!$C$4384,0))</f>
        <v>1</v>
      </c>
      <c r="AP29" s="21" cm="1">
        <f t="array" aca="1" ref="AP29" ca="1">INDEX(Master!$I$2:'Master'!$I$4384,MATCH($A29&amp;AP$2,Master!$A$2:'Master'!$A$4384&amp;Master!$C$2:'Master'!$C$4384,0))</f>
        <v>3</v>
      </c>
      <c r="AQ29" s="21" cm="1">
        <f t="array" aca="1" ref="AQ29" ca="1">INDEX(Master!$I$2:'Master'!$I$4384,MATCH($A29&amp;AQ$2,Master!$A$2:'Master'!$A$4384&amp;Master!$C$2:'Master'!$C$4384,0))</f>
        <v>3</v>
      </c>
      <c r="AR29" s="21" cm="1">
        <f t="array" aca="1" ref="AR29" ca="1">INDEX(Master!$I$2:'Master'!$I$4384,MATCH($A29&amp;AR$2,Master!$A$2:'Master'!$A$4384&amp;Master!$C$2:'Master'!$C$4384,0))</f>
        <v>2</v>
      </c>
      <c r="AS29" s="21" cm="1">
        <f t="array" aca="1" ref="AS29" ca="1">INDEX(Master!$I$2:'Master'!$I$4384,MATCH($A29&amp;AS$2,Master!$A$2:'Master'!$A$4384&amp;Master!$C$2:'Master'!$C$4384,0))</f>
        <v>3</v>
      </c>
      <c r="AT29" s="21" cm="1">
        <f t="array" aca="1" ref="AT29" ca="1">INDEX(Master!$I$2:'Master'!$I$4384,MATCH($A29&amp;AT$2,Master!$A$2:'Master'!$A$4384&amp;Master!$C$2:'Master'!$C$4384,0))</f>
        <v>3</v>
      </c>
      <c r="AU29" s="21" cm="1">
        <f t="array" aca="1" ref="AU29" ca="1">INDEX(Master!$I$2:'Master'!$I$4384,MATCH($A29&amp;AU$2,Master!$A$2:'Master'!$A$4384&amp;Master!$C$2:'Master'!$C$4384,0))</f>
        <v>3</v>
      </c>
      <c r="AV29" s="21" cm="1">
        <f t="array" aca="1" ref="AV29" ca="1">INDEX(Master!$I$2:'Master'!$I$4384,MATCH($A29&amp;AV$2,Master!$A$2:'Master'!$A$4384&amp;Master!$C$2:'Master'!$C$4384,0))</f>
        <v>3</v>
      </c>
      <c r="AW29" s="21" cm="1">
        <f t="array" aca="1" ref="AW29" ca="1">INDEX(Master!$I$2:'Master'!$I$4384,MATCH($A29&amp;AW$2,Master!$A$2:'Master'!$A$4384&amp;Master!$C$2:'Master'!$C$4384,0))</f>
        <v>3</v>
      </c>
      <c r="AX29" s="21" cm="1">
        <f t="array" aca="1" ref="AX29" ca="1">INDEX(Master!$I$2:'Master'!$I$4384,MATCH($A29&amp;AX$2,Master!$A$2:'Master'!$A$4384&amp;Master!$C$2:'Master'!$C$4384,0))</f>
        <v>3</v>
      </c>
      <c r="AY29" s="21" cm="1">
        <f t="array" aca="1" ref="AY29" ca="1">INDEX(Master!$I$2:'Master'!$I$4384,MATCH($A29&amp;AY$2,Master!$A$2:'Master'!$A$4384&amp;Master!$C$2:'Master'!$C$4384,0))</f>
        <v>3</v>
      </c>
      <c r="AZ29" s="21" cm="1">
        <f t="array" aca="1" ref="AZ29" ca="1">INDEX(Master!$I$2:'Master'!$I$4384,MATCH($A29&amp;AZ$2,Master!$A$2:'Master'!$A$4384&amp;Master!$C$2:'Master'!$C$4384,0))</f>
        <v>3</v>
      </c>
      <c r="BA29" s="21" cm="1">
        <f t="array" aca="1" ref="BA29" ca="1">INDEX(Master!$I$2:'Master'!$I$4384,MATCH($A29&amp;BA$2,Master!$A$2:'Master'!$A$4384&amp;Master!$C$2:'Master'!$C$4384,0))</f>
        <v>3</v>
      </c>
      <c r="BB29" s="21" cm="1">
        <f t="array" aca="1" ref="BB29" ca="1">INDEX(Master!$I$2:'Master'!$I$4384,MATCH($A29&amp;BB$2,Master!$A$2:'Master'!$A$4384&amp;Master!$C$2:'Master'!$C$4384,0))</f>
        <v>3</v>
      </c>
      <c r="BC29" s="21" cm="1">
        <f t="array" aca="1" ref="BC29" ca="1">INDEX(Master!$I$2:'Master'!$I$4384,MATCH($A29&amp;BC$2,Master!$A$2:'Master'!$A$4384&amp;Master!$C$2:'Master'!$C$4384,0))</f>
        <v>3</v>
      </c>
      <c r="BD29" s="21" cm="1">
        <f t="array" aca="1" ref="BD29" ca="1">INDEX(Master!$I$2:'Master'!$I$4384,MATCH($A29&amp;BD$2,Master!$A$2:'Master'!$A$4384&amp;Master!$C$2:'Master'!$C$4384,0))</f>
        <v>2</v>
      </c>
      <c r="BE29" s="21" cm="1">
        <f t="array" aca="1" ref="BE29" ca="1">INDEX(Master!$I$2:'Master'!$I$4384,MATCH($A29&amp;BE$2,Master!$A$2:'Master'!$A$4384&amp;Master!$C$2:'Master'!$C$4384,0))</f>
        <v>1</v>
      </c>
      <c r="BF29" s="21" cm="1">
        <f t="array" aca="1" ref="BF29" ca="1">INDEX(Master!$I$2:'Master'!$I$4384,MATCH($A29&amp;BF$2,Master!$A$2:'Master'!$A$4384&amp;Master!$C$2:'Master'!$C$4384,0))</f>
        <v>2</v>
      </c>
      <c r="BG29" s="21" cm="1">
        <f t="array" aca="1" ref="BG29" ca="1">INDEX(Master!$I$2:'Master'!$I$4384,MATCH($A29&amp;BG$2,Master!$A$2:'Master'!$A$4384&amp;Master!$C$2:'Master'!$C$4384,0))</f>
        <v>3</v>
      </c>
      <c r="BH29" s="21" cm="1">
        <f t="array" aca="1" ref="BH29" ca="1">INDEX(Master!$I$2:'Master'!$I$4384,MATCH($A29&amp;BH$2,Master!$A$2:'Master'!$A$4384&amp;Master!$C$2:'Master'!$C$4384,0))</f>
        <v>3</v>
      </c>
      <c r="BI29" s="21" cm="1">
        <f t="array" aca="1" ref="BI29" ca="1">INDEX(Master!$I$2:'Master'!$I$4384,MATCH($A29&amp;BI$2,Master!$A$2:'Master'!$A$4384&amp;Master!$C$2:'Master'!$C$4384,0))</f>
        <v>2</v>
      </c>
      <c r="BJ29" s="21" cm="1">
        <f t="array" aca="1" ref="BJ29" ca="1">INDEX(Master!$I$2:'Master'!$I$4384,MATCH($A29&amp;BJ$2,Master!$A$2:'Master'!$A$4384&amp;Master!$C$2:'Master'!$C$4384,0))</f>
        <v>2</v>
      </c>
      <c r="BK29" s="21" cm="1">
        <f t="array" aca="1" ref="BK29" ca="1">INDEX(Master!$I$2:'Master'!$I$4384,MATCH($A29&amp;BK$2,Master!$A$2:'Master'!$A$4384&amp;Master!$C$2:'Master'!$C$4384,0))</f>
        <v>3</v>
      </c>
      <c r="BL29" s="21" cm="1">
        <f t="array" aca="1" ref="BL29" ca="1">INDEX(Master!$I$2:'Master'!$I$4384,MATCH($A29&amp;BL$2,Master!$A$2:'Master'!$A$4384&amp;Master!$C$2:'Master'!$C$4384,0))</f>
        <v>3</v>
      </c>
      <c r="BM29" s="21" cm="1">
        <f t="array" aca="1" ref="BM29" ca="1">INDEX(Master!$I$2:'Master'!$I$4384,MATCH($A29&amp;BM$2,Master!$A$2:'Master'!$A$4384&amp;Master!$C$2:'Master'!$C$4384,0))</f>
        <v>2</v>
      </c>
      <c r="BN29" s="21" cm="1">
        <f t="array" aca="1" ref="BN29" ca="1">INDEX(Master!$I$2:'Master'!$I$4384,MATCH($A29&amp;BN$2,Master!$A$2:'Master'!$A$4384&amp;Master!$C$2:'Master'!$C$4384,0))</f>
        <v>3</v>
      </c>
      <c r="BO29" s="21" cm="1">
        <f t="array" aca="1" ref="BO29" ca="1">INDEX(Master!$I$2:'Master'!$I$4384,MATCH($A29&amp;BO$2,Master!$A$2:'Master'!$A$4384&amp;Master!$C$2:'Master'!$C$4384,0))</f>
        <v>2</v>
      </c>
      <c r="BP29" s="21" cm="1">
        <f t="array" aca="1" ref="BP29" ca="1">INDEX(Master!$I$2:'Master'!$I$4384,MATCH($A29&amp;BP$2,Master!$A$2:'Master'!$A$4384&amp;Master!$C$2:'Master'!$C$4384,0))</f>
        <v>2</v>
      </c>
      <c r="BQ29" s="21" cm="1">
        <f t="array" aca="1" ref="BQ29" ca="1">INDEX(Master!$I$2:'Master'!$I$4384,MATCH($A29&amp;BQ$2,Master!$A$2:'Master'!$A$4384&amp;Master!$C$2:'Master'!$C$4384,0))</f>
        <v>1</v>
      </c>
      <c r="BR29" s="21" cm="1">
        <f t="array" aca="1" ref="BR29" ca="1">INDEX(Master!$I$2:'Master'!$I$4384,MATCH($A29&amp;BR$2,Master!$A$2:'Master'!$A$4384&amp;Master!$C$2:'Master'!$C$4384,0))</f>
        <v>2</v>
      </c>
      <c r="BS29" s="21" cm="1">
        <f t="array" aca="1" ref="BS29" ca="1">INDEX(Master!$I$2:'Master'!$I$4384,MATCH($A29&amp;BS$2,Master!$A$2:'Master'!$A$4384&amp;Master!$C$2:'Master'!$C$4384,0))</f>
        <v>2</v>
      </c>
      <c r="BT29" s="21" cm="1">
        <f t="array" aca="1" ref="BT29" ca="1">INDEX(Master!$I$2:'Master'!$I$4384,MATCH($A29&amp;BT$2,Master!$A$2:'Master'!$A$4384&amp;Master!$C$2:'Master'!$C$4384,0))</f>
        <v>3</v>
      </c>
      <c r="BU29" s="21" cm="1">
        <f t="array" aca="1" ref="BU29" ca="1">INDEX(Master!$I$2:'Master'!$I$4384,MATCH($A29&amp;BU$2,Master!$A$2:'Master'!$A$4384&amp;Master!$C$2:'Master'!$C$4384,0))</f>
        <v>2</v>
      </c>
      <c r="BV29" s="21" cm="1">
        <f t="array" aca="1" ref="BV29" ca="1">INDEX(Master!$I$2:'Master'!$I$4384,MATCH($A29&amp;BV$2,Master!$A$2:'Master'!$A$4384&amp;Master!$C$2:'Master'!$C$4384,0))</f>
        <v>2</v>
      </c>
      <c r="BW29" s="21" cm="1">
        <f t="array" aca="1" ref="BW29" ca="1">INDEX(Master!$I$2:'Master'!$I$4384,MATCH($A29&amp;BW$2,Master!$A$2:'Master'!$A$4384&amp;Master!$C$2:'Master'!$C$4384,0))</f>
        <v>2</v>
      </c>
      <c r="BX29" s="21" cm="1">
        <f t="array" aca="1" ref="BX29" ca="1">INDEX(Master!$I$2:'Master'!$I$4384,MATCH($A29&amp;BX$2,Master!$A$2:'Master'!$A$4384&amp;Master!$C$2:'Master'!$C$4384,0))</f>
        <v>3</v>
      </c>
      <c r="BY29" s="21" cm="1">
        <f t="array" aca="1" ref="BY29" ca="1">INDEX(Master!$I$2:'Master'!$I$4384,MATCH($A29&amp;BY$2,Master!$A$2:'Master'!$A$4384&amp;Master!$C$2:'Master'!$C$4384,0))</f>
        <v>3</v>
      </c>
      <c r="BZ29" s="21" cm="1">
        <f t="array" aca="1" ref="BZ29" ca="1">INDEX(Master!$I$2:'Master'!$I$4384,MATCH($A29&amp;BZ$2,Master!$A$2:'Master'!$A$4384&amp;Master!$C$2:'Master'!$C$4384,0))</f>
        <v>2</v>
      </c>
      <c r="CA29" s="21" cm="1">
        <f t="array" aca="1" ref="CA29" ca="1">INDEX(Master!$I$2:'Master'!$I$4384,MATCH($A29&amp;CA$2,Master!$A$2:'Master'!$A$4384&amp;Master!$C$2:'Master'!$C$4384,0))</f>
        <v>2</v>
      </c>
      <c r="CB29" s="21" cm="1">
        <f t="array" aca="1" ref="CB29" ca="1">INDEX(Master!$I$2:'Master'!$I$4384,MATCH($A29&amp;CB$2,Master!$A$2:'Master'!$A$4384&amp;Master!$C$2:'Master'!$C$4384,0))</f>
        <v>3</v>
      </c>
      <c r="CC29" s="21" cm="1">
        <f t="array" aca="1" ref="CC29" ca="1">INDEX(Master!$I$2:'Master'!$I$4384,MATCH($A29&amp;CC$2,Master!$A$2:'Master'!$A$4384&amp;Master!$C$2:'Master'!$C$4384,0))</f>
        <v>3</v>
      </c>
      <c r="CD29" s="21" cm="1">
        <f t="array" aca="1" ref="CD29" ca="1">INDEX(Master!$I$2:'Master'!$I$4384,MATCH($A29&amp;CD$2,Master!$A$2:'Master'!$A$4384&amp;Master!$C$2:'Master'!$C$4384,0))</f>
        <v>2</v>
      </c>
      <c r="CE29" s="21" cm="1">
        <f t="array" aca="1" ref="CE29" ca="1">INDEX(Master!$I$2:'Master'!$I$4384,MATCH($A29&amp;CE$2,Master!$A$2:'Master'!$A$4384&amp;Master!$C$2:'Master'!$C$4384,0))</f>
        <v>3</v>
      </c>
      <c r="CF29" s="21" cm="1">
        <f t="array" aca="1" ref="CF29" ca="1">INDEX(Master!$I$2:'Master'!$I$4384,MATCH($A29&amp;CF$2,Master!$A$2:'Master'!$A$4384&amp;Master!$C$2:'Master'!$C$4384,0))</f>
        <v>1</v>
      </c>
      <c r="CG29" s="21" cm="1">
        <f t="array" aca="1" ref="CG29" ca="1">INDEX(Master!$I$2:'Master'!$I$4384,MATCH($A29&amp;CG$2,Master!$A$2:'Master'!$A$4384&amp;Master!$C$2:'Master'!$C$4384,0))</f>
        <v>3</v>
      </c>
      <c r="CH29" s="21" cm="1">
        <f t="array" aca="1" ref="CH29" ca="1">INDEX(Master!$I$2:'Master'!$I$4384,MATCH($A29&amp;CH$2,Master!$A$2:'Master'!$A$4384&amp;Master!$C$2:'Master'!$C$4384,0))</f>
        <v>3</v>
      </c>
      <c r="CI29" s="21" cm="1">
        <f t="array" aca="1" ref="CI29" ca="1">INDEX(Master!$I$2:'Master'!$I$4384,MATCH($A29&amp;CI$2,Master!$A$2:'Master'!$A$4384&amp;Master!$C$2:'Master'!$C$4384,0))</f>
        <v>3</v>
      </c>
      <c r="CJ29" s="21" cm="1">
        <f t="array" aca="1" ref="CJ29" ca="1">INDEX(Master!$I$2:'Master'!$I$4384,MATCH($A29&amp;CJ$2,Master!$A$2:'Master'!$A$4384&amp;Master!$C$2:'Master'!$C$4384,0))</f>
        <v>1</v>
      </c>
      <c r="CK29" s="21" cm="1">
        <f t="array" aca="1" ref="CK29" ca="1">INDEX(Master!$I$2:'Master'!$I$4384,MATCH($A29&amp;CK$2,Master!$A$2:'Master'!$A$4384&amp;Master!$C$2:'Master'!$C$4384,0))</f>
        <v>2</v>
      </c>
      <c r="CL29" s="21" cm="1">
        <f t="array" aca="1" ref="CL29" ca="1">INDEX(Master!$I$2:'Master'!$I$4384,MATCH($A29&amp;CL$2,Master!$A$2:'Master'!$A$4384&amp;Master!$C$2:'Master'!$C$4384,0))</f>
        <v>3</v>
      </c>
      <c r="CM29" s="21" cm="1">
        <f t="array" aca="1" ref="CM29" ca="1">INDEX(Master!$I$2:'Master'!$I$4384,MATCH($A29&amp;CM$2,Master!$A$2:'Master'!$A$4384&amp;Master!$C$2:'Master'!$C$4384,0))</f>
        <v>1</v>
      </c>
      <c r="CN29" s="21" cm="1">
        <f t="array" aca="1" ref="CN29" ca="1">INDEX(Master!$I$2:'Master'!$I$4384,MATCH($A29&amp;CN$2,Master!$A$2:'Master'!$A$4384&amp;Master!$C$2:'Master'!$C$4384,0))</f>
        <v>0</v>
      </c>
      <c r="CO29" s="21" cm="1">
        <f t="array" aca="1" ref="CO29" ca="1">INDEX(Master!$I$2:'Master'!$I$4384,MATCH($A29&amp;CO$2,Master!$A$2:'Master'!$A$4384&amp;Master!$C$2:'Master'!$C$4384,0))</f>
        <v>2</v>
      </c>
      <c r="CP29" s="21" cm="1">
        <f t="array" aca="1" ref="CP29" ca="1">INDEX(Master!$I$2:'Master'!$I$4384,MATCH($A29&amp;CP$2,Master!$A$2:'Master'!$A$4384&amp;Master!$C$2:'Master'!$C$4384,0))</f>
        <v>2</v>
      </c>
      <c r="CQ29" s="21" cm="1">
        <f t="array" aca="1" ref="CQ29" ca="1">INDEX(Master!$I$2:'Master'!$I$4384,MATCH($A29&amp;CQ$2,Master!$A$2:'Master'!$A$4384&amp;Master!$C$2:'Master'!$C$4384,0))</f>
        <v>2</v>
      </c>
      <c r="CR29" s="21" cm="1">
        <f t="array" aca="1" ref="CR29" ca="1">INDEX(Master!$I$2:'Master'!$I$4384,MATCH($A29&amp;CR$2,Master!$A$2:'Master'!$A$4384&amp;Master!$C$2:'Master'!$C$4384,0))</f>
        <v>2</v>
      </c>
      <c r="CS29" s="21" cm="1">
        <f t="array" aca="1" ref="CS29" ca="1">INDEX(Master!$I$2:'Master'!$I$4384,MATCH($A29&amp;CS$2,Master!$A$2:'Master'!$A$4384&amp;Master!$C$2:'Master'!$C$4384,0))</f>
        <v>3</v>
      </c>
    </row>
    <row r="30" spans="1:97">
      <c r="A30" t="str">
        <f>VLOOKUP(Staff!$A28,Staff!$A$1:A$73,1,FALSE)</f>
        <v>Sunny Khan</v>
      </c>
      <c r="B30" s="21" cm="1">
        <f t="array" aca="1" ref="B30" ca="1">INDEX(Master!$I$2:'Master'!$I$4384,MATCH($A30&amp;B$2,Master!$A$2:'Master'!$A$4384&amp;Master!$C$2:'Master'!$C$4384,0))</f>
        <v>2</v>
      </c>
      <c r="C30" s="21" cm="1">
        <f t="array" aca="1" ref="C30" ca="1">INDEX(Master!$I$2:'Master'!$I$4384,MATCH($A30&amp;C$2,Master!$A$2:'Master'!$A$4384&amp;Master!$C$2:'Master'!$C$4384,0))</f>
        <v>2</v>
      </c>
      <c r="D30" s="21" cm="1">
        <f t="array" aca="1" ref="D30" ca="1">INDEX(Master!$I$2:'Master'!$I$4384,MATCH($A30&amp;D$2,Master!$A$2:'Master'!$A$4384&amp;Master!$C$2:'Master'!$C$4384,0))</f>
        <v>2</v>
      </c>
      <c r="E30" s="21" cm="1">
        <f t="array" aca="1" ref="E30" ca="1">INDEX(Master!$I$2:'Master'!$I$4384,MATCH($A30&amp;E$2,Master!$A$2:'Master'!$A$4384&amp;Master!$C$2:'Master'!$C$4384,0))</f>
        <v>1</v>
      </c>
      <c r="F30" s="21" cm="1">
        <f t="array" aca="1" ref="F30" ca="1">INDEX(Master!$I$2:'Master'!$I$4384,MATCH($A30&amp;F$2,Master!$A$2:'Master'!$A$4384&amp;Master!$C$2:'Master'!$C$4384,0))</f>
        <v>2</v>
      </c>
      <c r="G30" s="21" cm="1">
        <f t="array" aca="1" ref="G30" ca="1">INDEX(Master!$I$2:'Master'!$I$4384,MATCH($A30&amp;G$2,Master!$A$2:'Master'!$A$4384&amp;Master!$C$2:'Master'!$C$4384,0))</f>
        <v>1</v>
      </c>
      <c r="H30" s="21" cm="1">
        <f t="array" aca="1" ref="H30" ca="1">INDEX(Master!$I$2:'Master'!$I$4384,MATCH($A30&amp;H$2,Master!$A$2:'Master'!$A$4384&amp;Master!$C$2:'Master'!$C$4384,0))</f>
        <v>2</v>
      </c>
      <c r="I30" s="21" cm="1">
        <f t="array" aca="1" ref="I30" ca="1">INDEX(Master!$I$2:'Master'!$I$4384,MATCH($A30&amp;I$2,Master!$A$2:'Master'!$A$4384&amp;Master!$C$2:'Master'!$C$4384,0))</f>
        <v>2</v>
      </c>
      <c r="J30" s="21" cm="1">
        <f t="array" aca="1" ref="J30" ca="1">INDEX(Master!$I$2:'Master'!$I$4384,MATCH($A30&amp;J$2,Master!$A$2:'Master'!$A$4384&amp;Master!$C$2:'Master'!$C$4384,0))</f>
        <v>1</v>
      </c>
      <c r="K30" s="21" cm="1">
        <f t="array" aca="1" ref="K30" ca="1">INDEX(Master!$I$2:'Master'!$I$4384,MATCH($A30&amp;K$2,Master!$A$2:'Master'!$A$4384&amp;Master!$C$2:'Master'!$C$4384,0))</f>
        <v>1</v>
      </c>
      <c r="L30" s="21" cm="1">
        <f t="array" aca="1" ref="L30" ca="1">INDEX(Master!$I$2:'Master'!$I$4384,MATCH($A30&amp;L$2,Master!$A$2:'Master'!$A$4384&amp;Master!$C$2:'Master'!$C$4384,0))</f>
        <v>1</v>
      </c>
      <c r="M30" s="21" cm="1">
        <f t="array" aca="1" ref="M30" ca="1">INDEX(Master!$I$2:'Master'!$I$4384,MATCH($A30&amp;M$2,Master!$A$2:'Master'!$A$4384&amp;Master!$C$2:'Master'!$C$4384,0))</f>
        <v>1</v>
      </c>
      <c r="N30" s="21" cm="1">
        <f t="array" aca="1" ref="N30" ca="1">INDEX(Master!$I$2:'Master'!$I$4384,MATCH($A30&amp;N$2,Master!$A$2:'Master'!$A$4384&amp;Master!$C$2:'Master'!$C$4384,0))</f>
        <v>1</v>
      </c>
      <c r="O30" s="21" cm="1">
        <f t="array" aca="1" ref="O30" ca="1">INDEX(Master!$I$2:'Master'!$I$4384,MATCH($A30&amp;O$2,Master!$A$2:'Master'!$A$4384&amp;Master!$C$2:'Master'!$C$4384,0))</f>
        <v>1</v>
      </c>
      <c r="P30" s="21" cm="1">
        <f t="array" aca="1" ref="P30" ca="1">INDEX(Master!$I$2:'Master'!$I$4384,MATCH($A30&amp;P$2,Master!$A$2:'Master'!$A$4384&amp;Master!$C$2:'Master'!$C$4384,0))</f>
        <v>1</v>
      </c>
      <c r="Q30" s="21" cm="1">
        <f t="array" aca="1" ref="Q30" ca="1">INDEX(Master!$I$2:'Master'!$I$4384,MATCH($A30&amp;Q$2,Master!$A$2:'Master'!$A$4384&amp;Master!$C$2:'Master'!$C$4384,0))</f>
        <v>1</v>
      </c>
      <c r="R30" s="21" cm="1">
        <f t="array" aca="1" ref="R30" ca="1">INDEX(Master!$I$2:'Master'!$I$4384,MATCH($A30&amp;R$2,Master!$A$2:'Master'!$A$4384&amp;Master!$C$2:'Master'!$C$4384,0))</f>
        <v>0</v>
      </c>
      <c r="S30" s="21" cm="1">
        <f t="array" aca="1" ref="S30" ca="1">INDEX(Master!$I$2:'Master'!$I$4384,MATCH($A30&amp;S$2,Master!$A$2:'Master'!$A$4384&amp;Master!$C$2:'Master'!$C$4384,0))</f>
        <v>0</v>
      </c>
      <c r="T30" s="21" cm="1">
        <f t="array" aca="1" ref="T30" ca="1">INDEX(Master!$I$2:'Master'!$I$4384,MATCH($A30&amp;T$2,Master!$A$2:'Master'!$A$4384&amp;Master!$C$2:'Master'!$C$4384,0))</f>
        <v>0</v>
      </c>
      <c r="U30" s="21" cm="1">
        <f t="array" aca="1" ref="U30" ca="1">INDEX(Master!$I$2:'Master'!$I$4384,MATCH($A30&amp;U$2,Master!$A$2:'Master'!$A$4384&amp;Master!$C$2:'Master'!$C$4384,0))</f>
        <v>1</v>
      </c>
      <c r="V30" s="21" cm="1">
        <f t="array" aca="1" ref="V30" ca="1">INDEX(Master!$I$2:'Master'!$I$4384,MATCH($A30&amp;V$2,Master!$A$2:'Master'!$A$4384&amp;Master!$C$2:'Master'!$C$4384,0))</f>
        <v>1</v>
      </c>
      <c r="W30" s="21" cm="1">
        <f t="array" aca="1" ref="W30" ca="1">INDEX(Master!$I$2:'Master'!$I$4384,MATCH($A30&amp;W$2,Master!$A$2:'Master'!$A$4384&amp;Master!$C$2:'Master'!$C$4384,0))</f>
        <v>2</v>
      </c>
      <c r="X30" s="21" cm="1">
        <f t="array" aca="1" ref="X30" ca="1">INDEX(Master!$I$2:'Master'!$I$4384,MATCH($A30&amp;X$2,Master!$A$2:'Master'!$A$4384&amp;Master!$C$2:'Master'!$C$4384,0))</f>
        <v>2</v>
      </c>
      <c r="Y30" s="21" cm="1">
        <f t="array" aca="1" ref="Y30" ca="1">INDEX(Master!$I$2:'Master'!$I$4384,MATCH($A30&amp;Y$2,Master!$A$2:'Master'!$A$4384&amp;Master!$C$2:'Master'!$C$4384,0))</f>
        <v>2</v>
      </c>
      <c r="Z30" s="21" cm="1">
        <f t="array" aca="1" ref="Z30" ca="1">INDEX(Master!$I$2:'Master'!$I$4384,MATCH($A30&amp;Z$2,Master!$A$2:'Master'!$A$4384&amp;Master!$C$2:'Master'!$C$4384,0))</f>
        <v>2</v>
      </c>
      <c r="AA30" s="21" cm="1">
        <f t="array" aca="1" ref="AA30" ca="1">INDEX(Master!$I$2:'Master'!$I$4384,MATCH($A30&amp;AA$2,Master!$A$2:'Master'!$A$4384&amp;Master!$C$2:'Master'!$C$4384,0))</f>
        <v>0</v>
      </c>
      <c r="AB30" s="21" cm="1">
        <f t="array" aca="1" ref="AB30" ca="1">INDEX(Master!$I$2:'Master'!$I$4384,MATCH($A30&amp;AB$2,Master!$A$2:'Master'!$A$4384&amp;Master!$C$2:'Master'!$C$4384,0))</f>
        <v>1</v>
      </c>
      <c r="AC30" s="21" cm="1">
        <f t="array" aca="1" ref="AC30" ca="1">INDEX(Master!$I$2:'Master'!$I$4384,MATCH($A30&amp;AC$2,Master!$A$2:'Master'!$A$4384&amp;Master!$C$2:'Master'!$C$4384,0))</f>
        <v>3</v>
      </c>
      <c r="AD30" s="21" cm="1">
        <f t="array" aca="1" ref="AD30" ca="1">INDEX(Master!$I$2:'Master'!$I$4384,MATCH($A30&amp;AD$2,Master!$A$2:'Master'!$A$4384&amp;Master!$C$2:'Master'!$C$4384,0))</f>
        <v>2</v>
      </c>
      <c r="AE30" s="21" cm="1">
        <f t="array" aca="1" ref="AE30" ca="1">INDEX(Master!$I$2:'Master'!$I$4384,MATCH($A30&amp;AE$2,Master!$A$2:'Master'!$A$4384&amp;Master!$C$2:'Master'!$C$4384,0))</f>
        <v>0</v>
      </c>
      <c r="AF30" s="21" cm="1">
        <f t="array" aca="1" ref="AF30" ca="1">INDEX(Master!$I$2:'Master'!$I$4384,MATCH($A30&amp;AF$2,Master!$A$2:'Master'!$A$4384&amp;Master!$C$2:'Master'!$C$4384,0))</f>
        <v>1</v>
      </c>
      <c r="AG30" s="21" cm="1">
        <f t="array" aca="1" ref="AG30" ca="1">INDEX(Master!$I$2:'Master'!$I$4384,MATCH($A30&amp;AG$2,Master!$A$2:'Master'!$A$4384&amp;Master!$C$2:'Master'!$C$4384,0))</f>
        <v>1</v>
      </c>
      <c r="AH30" s="21" cm="1">
        <f t="array" aca="1" ref="AH30" ca="1">INDEX(Master!$I$2:'Master'!$I$4384,MATCH($A30&amp;AH$2,Master!$A$2:'Master'!$A$4384&amp;Master!$C$2:'Master'!$C$4384,0))</f>
        <v>1</v>
      </c>
      <c r="AI30" s="21" cm="1">
        <f t="array" aca="1" ref="AI30" ca="1">INDEX(Master!$I$2:'Master'!$I$4384,MATCH($A30&amp;AI$2,Master!$A$2:'Master'!$A$4384&amp;Master!$C$2:'Master'!$C$4384,0))</f>
        <v>1</v>
      </c>
      <c r="AJ30" s="21" cm="1">
        <f t="array" aca="1" ref="AJ30" ca="1">INDEX(Master!$I$2:'Master'!$I$4384,MATCH($A30&amp;AJ$2,Master!$A$2:'Master'!$A$4384&amp;Master!$C$2:'Master'!$C$4384,0))</f>
        <v>1</v>
      </c>
      <c r="AK30" s="21" cm="1">
        <f t="array" aca="1" ref="AK30" ca="1">INDEX(Master!$I$2:'Master'!$I$4384,MATCH($A30&amp;AK$2,Master!$A$2:'Master'!$A$4384&amp;Master!$C$2:'Master'!$C$4384,0))</f>
        <v>2</v>
      </c>
      <c r="AL30" s="21" cm="1">
        <f t="array" aca="1" ref="AL30" ca="1">INDEX(Master!$I$2:'Master'!$I$4384,MATCH($A30&amp;AL$2,Master!$A$2:'Master'!$A$4384&amp;Master!$C$2:'Master'!$C$4384,0))</f>
        <v>0</v>
      </c>
      <c r="AM30" s="21" cm="1">
        <f t="array" aca="1" ref="AM30" ca="1">INDEX(Master!$I$2:'Master'!$I$4384,MATCH($A30&amp;AM$2,Master!$A$2:'Master'!$A$4384&amp;Master!$C$2:'Master'!$C$4384,0))</f>
        <v>2</v>
      </c>
      <c r="AN30" s="21" cm="1">
        <f t="array" aca="1" ref="AN30" ca="1">INDEX(Master!$I$2:'Master'!$I$4384,MATCH($A30&amp;AN$2,Master!$A$2:'Master'!$A$4384&amp;Master!$C$2:'Master'!$C$4384,0))</f>
        <v>2</v>
      </c>
      <c r="AO30" s="21" cm="1">
        <f t="array" aca="1" ref="AO30" ca="1">INDEX(Master!$I$2:'Master'!$I$4384,MATCH($A30&amp;AO$2,Master!$A$2:'Master'!$A$4384&amp;Master!$C$2:'Master'!$C$4384,0))</f>
        <v>0</v>
      </c>
      <c r="AP30" s="21" cm="1">
        <f t="array" aca="1" ref="AP30" ca="1">INDEX(Master!$I$2:'Master'!$I$4384,MATCH($A30&amp;AP$2,Master!$A$2:'Master'!$A$4384&amp;Master!$C$2:'Master'!$C$4384,0))</f>
        <v>0</v>
      </c>
      <c r="AQ30" s="21" cm="1">
        <f t="array" aca="1" ref="AQ30" ca="1">INDEX(Master!$I$2:'Master'!$I$4384,MATCH($A30&amp;AQ$2,Master!$A$2:'Master'!$A$4384&amp;Master!$C$2:'Master'!$C$4384,0))</f>
        <v>2</v>
      </c>
      <c r="AR30" s="21" cm="1">
        <f t="array" aca="1" ref="AR30" ca="1">INDEX(Master!$I$2:'Master'!$I$4384,MATCH($A30&amp;AR$2,Master!$A$2:'Master'!$A$4384&amp;Master!$C$2:'Master'!$C$4384,0))</f>
        <v>1</v>
      </c>
      <c r="AS30" s="21" cm="1">
        <f t="array" aca="1" ref="AS30" ca="1">INDEX(Master!$I$2:'Master'!$I$4384,MATCH($A30&amp;AS$2,Master!$A$2:'Master'!$A$4384&amp;Master!$C$2:'Master'!$C$4384,0))</f>
        <v>0</v>
      </c>
      <c r="AT30" s="21" cm="1">
        <f t="array" aca="1" ref="AT30" ca="1">INDEX(Master!$I$2:'Master'!$I$4384,MATCH($A30&amp;AT$2,Master!$A$2:'Master'!$A$4384&amp;Master!$C$2:'Master'!$C$4384,0))</f>
        <v>2</v>
      </c>
      <c r="AU30" s="21" cm="1">
        <f t="array" aca="1" ref="AU30" ca="1">INDEX(Master!$I$2:'Master'!$I$4384,MATCH($A30&amp;AU$2,Master!$A$2:'Master'!$A$4384&amp;Master!$C$2:'Master'!$C$4384,0))</f>
        <v>1</v>
      </c>
      <c r="AV30" s="21" cm="1">
        <f t="array" aca="1" ref="AV30" ca="1">INDEX(Master!$I$2:'Master'!$I$4384,MATCH($A30&amp;AV$2,Master!$A$2:'Master'!$A$4384&amp;Master!$C$2:'Master'!$C$4384,0))</f>
        <v>1</v>
      </c>
      <c r="AW30" s="21" cm="1">
        <f t="array" aca="1" ref="AW30" ca="1">INDEX(Master!$I$2:'Master'!$I$4384,MATCH($A30&amp;AW$2,Master!$A$2:'Master'!$A$4384&amp;Master!$C$2:'Master'!$C$4384,0))</f>
        <v>0</v>
      </c>
      <c r="AX30" s="21" cm="1">
        <f t="array" aca="1" ref="AX30" ca="1">INDEX(Master!$I$2:'Master'!$I$4384,MATCH($A30&amp;AX$2,Master!$A$2:'Master'!$A$4384&amp;Master!$C$2:'Master'!$C$4384,0))</f>
        <v>2</v>
      </c>
      <c r="AY30" s="21" cm="1">
        <f t="array" aca="1" ref="AY30" ca="1">INDEX(Master!$I$2:'Master'!$I$4384,MATCH($A30&amp;AY$2,Master!$A$2:'Master'!$A$4384&amp;Master!$C$2:'Master'!$C$4384,0))</f>
        <v>2</v>
      </c>
      <c r="AZ30" s="21" cm="1">
        <f t="array" aca="1" ref="AZ30" ca="1">INDEX(Master!$I$2:'Master'!$I$4384,MATCH($A30&amp;AZ$2,Master!$A$2:'Master'!$A$4384&amp;Master!$C$2:'Master'!$C$4384,0))</f>
        <v>0</v>
      </c>
      <c r="BA30" s="21" cm="1">
        <f t="array" aca="1" ref="BA30" ca="1">INDEX(Master!$I$2:'Master'!$I$4384,MATCH($A30&amp;BA$2,Master!$A$2:'Master'!$A$4384&amp;Master!$C$2:'Master'!$C$4384,0))</f>
        <v>3</v>
      </c>
      <c r="BB30" s="21" cm="1">
        <f t="array" aca="1" ref="BB30" ca="1">INDEX(Master!$I$2:'Master'!$I$4384,MATCH($A30&amp;BB$2,Master!$A$2:'Master'!$A$4384&amp;Master!$C$2:'Master'!$C$4384,0))</f>
        <v>0</v>
      </c>
      <c r="BC30" s="21" cm="1">
        <f t="array" aca="1" ref="BC30" ca="1">INDEX(Master!$I$2:'Master'!$I$4384,MATCH($A30&amp;BC$2,Master!$A$2:'Master'!$A$4384&amp;Master!$C$2:'Master'!$C$4384,0))</f>
        <v>0</v>
      </c>
      <c r="BD30" s="21" cm="1">
        <f t="array" aca="1" ref="BD30" ca="1">INDEX(Master!$I$2:'Master'!$I$4384,MATCH($A30&amp;BD$2,Master!$A$2:'Master'!$A$4384&amp;Master!$C$2:'Master'!$C$4384,0))</f>
        <v>2</v>
      </c>
      <c r="BE30" s="21" cm="1">
        <f t="array" aca="1" ref="BE30" ca="1">INDEX(Master!$I$2:'Master'!$I$4384,MATCH($A30&amp;BE$2,Master!$A$2:'Master'!$A$4384&amp;Master!$C$2:'Master'!$C$4384,0))</f>
        <v>1</v>
      </c>
      <c r="BF30" s="21" cm="1">
        <f t="array" aca="1" ref="BF30" ca="1">INDEX(Master!$I$2:'Master'!$I$4384,MATCH($A30&amp;BF$2,Master!$A$2:'Master'!$A$4384&amp;Master!$C$2:'Master'!$C$4384,0))</f>
        <v>1</v>
      </c>
      <c r="BG30" s="21" cm="1">
        <f t="array" aca="1" ref="BG30" ca="1">INDEX(Master!$I$2:'Master'!$I$4384,MATCH($A30&amp;BG$2,Master!$A$2:'Master'!$A$4384&amp;Master!$C$2:'Master'!$C$4384,0))</f>
        <v>1</v>
      </c>
      <c r="BH30" s="21" cm="1">
        <f t="array" aca="1" ref="BH30" ca="1">INDEX(Master!$I$2:'Master'!$I$4384,MATCH($A30&amp;BH$2,Master!$A$2:'Master'!$A$4384&amp;Master!$C$2:'Master'!$C$4384,0))</f>
        <v>0</v>
      </c>
      <c r="BI30" s="21" cm="1">
        <f t="array" aca="1" ref="BI30" ca="1">INDEX(Master!$I$2:'Master'!$I$4384,MATCH($A30&amp;BI$2,Master!$A$2:'Master'!$A$4384&amp;Master!$C$2:'Master'!$C$4384,0))</f>
        <v>0</v>
      </c>
      <c r="BJ30" s="21" cm="1">
        <f t="array" aca="1" ref="BJ30" ca="1">INDEX(Master!$I$2:'Master'!$I$4384,MATCH($A30&amp;BJ$2,Master!$A$2:'Master'!$A$4384&amp;Master!$C$2:'Master'!$C$4384,0))</f>
        <v>0</v>
      </c>
      <c r="BK30" s="21" cm="1">
        <f t="array" aca="1" ref="BK30" ca="1">INDEX(Master!$I$2:'Master'!$I$4384,MATCH($A30&amp;BK$2,Master!$A$2:'Master'!$A$4384&amp;Master!$C$2:'Master'!$C$4384,0))</f>
        <v>1</v>
      </c>
      <c r="BL30" s="21" cm="1">
        <f t="array" aca="1" ref="BL30" ca="1">INDEX(Master!$I$2:'Master'!$I$4384,MATCH($A30&amp;BL$2,Master!$A$2:'Master'!$A$4384&amp;Master!$C$2:'Master'!$C$4384,0))</f>
        <v>1</v>
      </c>
      <c r="BM30" s="21" cm="1">
        <f t="array" aca="1" ref="BM30" ca="1">INDEX(Master!$I$2:'Master'!$I$4384,MATCH($A30&amp;BM$2,Master!$A$2:'Master'!$A$4384&amp;Master!$C$2:'Master'!$C$4384,0))</f>
        <v>1</v>
      </c>
      <c r="BN30" s="21" cm="1">
        <f t="array" aca="1" ref="BN30" ca="1">INDEX(Master!$I$2:'Master'!$I$4384,MATCH($A30&amp;BN$2,Master!$A$2:'Master'!$A$4384&amp;Master!$C$2:'Master'!$C$4384,0))</f>
        <v>1</v>
      </c>
      <c r="BO30" s="21" cm="1">
        <f t="array" aca="1" ref="BO30" ca="1">INDEX(Master!$I$2:'Master'!$I$4384,MATCH($A30&amp;BO$2,Master!$A$2:'Master'!$A$4384&amp;Master!$C$2:'Master'!$C$4384,0))</f>
        <v>1</v>
      </c>
      <c r="BP30" s="21" cm="1">
        <f t="array" aca="1" ref="BP30" ca="1">INDEX(Master!$I$2:'Master'!$I$4384,MATCH($A30&amp;BP$2,Master!$A$2:'Master'!$A$4384&amp;Master!$C$2:'Master'!$C$4384,0))</f>
        <v>0</v>
      </c>
      <c r="BQ30" s="21" cm="1">
        <f t="array" aca="1" ref="BQ30" ca="1">INDEX(Master!$I$2:'Master'!$I$4384,MATCH($A30&amp;BQ$2,Master!$A$2:'Master'!$A$4384&amp;Master!$C$2:'Master'!$C$4384,0))</f>
        <v>0</v>
      </c>
      <c r="BR30" s="21" cm="1">
        <f t="array" aca="1" ref="BR30" ca="1">INDEX(Master!$I$2:'Master'!$I$4384,MATCH($A30&amp;BR$2,Master!$A$2:'Master'!$A$4384&amp;Master!$C$2:'Master'!$C$4384,0))</f>
        <v>0</v>
      </c>
      <c r="BS30" s="21" cm="1">
        <f t="array" aca="1" ref="BS30" ca="1">INDEX(Master!$I$2:'Master'!$I$4384,MATCH($A30&amp;BS$2,Master!$A$2:'Master'!$A$4384&amp;Master!$C$2:'Master'!$C$4384,0))</f>
        <v>0</v>
      </c>
      <c r="BT30" s="21" cm="1">
        <f t="array" aca="1" ref="BT30" ca="1">INDEX(Master!$I$2:'Master'!$I$4384,MATCH($A30&amp;BT$2,Master!$A$2:'Master'!$A$4384&amp;Master!$C$2:'Master'!$C$4384,0))</f>
        <v>1</v>
      </c>
      <c r="BU30" s="21" cm="1">
        <f t="array" aca="1" ref="BU30" ca="1">INDEX(Master!$I$2:'Master'!$I$4384,MATCH($A30&amp;BU$2,Master!$A$2:'Master'!$A$4384&amp;Master!$C$2:'Master'!$C$4384,0))</f>
        <v>0</v>
      </c>
      <c r="BV30" s="21" cm="1">
        <f t="array" aca="1" ref="BV30" ca="1">INDEX(Master!$I$2:'Master'!$I$4384,MATCH($A30&amp;BV$2,Master!$A$2:'Master'!$A$4384&amp;Master!$C$2:'Master'!$C$4384,0))</f>
        <v>0</v>
      </c>
      <c r="BW30" s="21" cm="1">
        <f t="array" aca="1" ref="BW30" ca="1">INDEX(Master!$I$2:'Master'!$I$4384,MATCH($A30&amp;BW$2,Master!$A$2:'Master'!$A$4384&amp;Master!$C$2:'Master'!$C$4384,0))</f>
        <v>1</v>
      </c>
      <c r="BX30" s="21" cm="1">
        <f t="array" aca="1" ref="BX30" ca="1">INDEX(Master!$I$2:'Master'!$I$4384,MATCH($A30&amp;BX$2,Master!$A$2:'Master'!$A$4384&amp;Master!$C$2:'Master'!$C$4384,0))</f>
        <v>1</v>
      </c>
      <c r="BY30" s="21" cm="1">
        <f t="array" aca="1" ref="BY30" ca="1">INDEX(Master!$I$2:'Master'!$I$4384,MATCH($A30&amp;BY$2,Master!$A$2:'Master'!$A$4384&amp;Master!$C$2:'Master'!$C$4384,0))</f>
        <v>0</v>
      </c>
      <c r="BZ30" s="21" cm="1">
        <f t="array" aca="1" ref="BZ30" ca="1">INDEX(Master!$I$2:'Master'!$I$4384,MATCH($A30&amp;BZ$2,Master!$A$2:'Master'!$A$4384&amp;Master!$C$2:'Master'!$C$4384,0))</f>
        <v>0</v>
      </c>
      <c r="CA30" s="21" cm="1">
        <f t="array" aca="1" ref="CA30" ca="1">INDEX(Master!$I$2:'Master'!$I$4384,MATCH($A30&amp;CA$2,Master!$A$2:'Master'!$A$4384&amp;Master!$C$2:'Master'!$C$4384,0))</f>
        <v>0</v>
      </c>
      <c r="CB30" s="21" cm="1">
        <f t="array" aca="1" ref="CB30" ca="1">INDEX(Master!$I$2:'Master'!$I$4384,MATCH($A30&amp;CB$2,Master!$A$2:'Master'!$A$4384&amp;Master!$C$2:'Master'!$C$4384,0))</f>
        <v>1</v>
      </c>
      <c r="CC30" s="21" cm="1">
        <f t="array" aca="1" ref="CC30" ca="1">INDEX(Master!$I$2:'Master'!$I$4384,MATCH($A30&amp;CC$2,Master!$A$2:'Master'!$A$4384&amp;Master!$C$2:'Master'!$C$4384,0))</f>
        <v>1</v>
      </c>
      <c r="CD30" s="21" cm="1">
        <f t="array" aca="1" ref="CD30" ca="1">INDEX(Master!$I$2:'Master'!$I$4384,MATCH($A30&amp;CD$2,Master!$A$2:'Master'!$A$4384&amp;Master!$C$2:'Master'!$C$4384,0))</f>
        <v>1</v>
      </c>
      <c r="CE30" s="21" cm="1">
        <f t="array" aca="1" ref="CE30" ca="1">INDEX(Master!$I$2:'Master'!$I$4384,MATCH($A30&amp;CE$2,Master!$A$2:'Master'!$A$4384&amp;Master!$C$2:'Master'!$C$4384,0))</f>
        <v>1</v>
      </c>
      <c r="CF30" s="21" cm="1">
        <f t="array" aca="1" ref="CF30" ca="1">INDEX(Master!$I$2:'Master'!$I$4384,MATCH($A30&amp;CF$2,Master!$A$2:'Master'!$A$4384&amp;Master!$C$2:'Master'!$C$4384,0))</f>
        <v>0</v>
      </c>
      <c r="CG30" s="21" cm="1">
        <f t="array" aca="1" ref="CG30" ca="1">INDEX(Master!$I$2:'Master'!$I$4384,MATCH($A30&amp;CG$2,Master!$A$2:'Master'!$A$4384&amp;Master!$C$2:'Master'!$C$4384,0))</f>
        <v>1</v>
      </c>
      <c r="CH30" s="21" cm="1">
        <f t="array" aca="1" ref="CH30" ca="1">INDEX(Master!$I$2:'Master'!$I$4384,MATCH($A30&amp;CH$2,Master!$A$2:'Master'!$A$4384&amp;Master!$C$2:'Master'!$C$4384,0))</f>
        <v>0</v>
      </c>
      <c r="CI30" s="21" cm="1">
        <f t="array" aca="1" ref="CI30" ca="1">INDEX(Master!$I$2:'Master'!$I$4384,MATCH($A30&amp;CI$2,Master!$A$2:'Master'!$A$4384&amp;Master!$C$2:'Master'!$C$4384,0))</f>
        <v>2</v>
      </c>
      <c r="CJ30" s="21" cm="1">
        <f t="array" aca="1" ref="CJ30" ca="1">INDEX(Master!$I$2:'Master'!$I$4384,MATCH($A30&amp;CJ$2,Master!$A$2:'Master'!$A$4384&amp;Master!$C$2:'Master'!$C$4384,0))</f>
        <v>0</v>
      </c>
      <c r="CK30" s="21" cm="1">
        <f t="array" aca="1" ref="CK30" ca="1">INDEX(Master!$I$2:'Master'!$I$4384,MATCH($A30&amp;CK$2,Master!$A$2:'Master'!$A$4384&amp;Master!$C$2:'Master'!$C$4384,0))</f>
        <v>0</v>
      </c>
      <c r="CL30" s="21" cm="1">
        <f t="array" aca="1" ref="CL30" ca="1">INDEX(Master!$I$2:'Master'!$I$4384,MATCH($A30&amp;CL$2,Master!$A$2:'Master'!$A$4384&amp;Master!$C$2:'Master'!$C$4384,0))</f>
        <v>0</v>
      </c>
      <c r="CM30" s="21" cm="1">
        <f t="array" aca="1" ref="CM30" ca="1">INDEX(Master!$I$2:'Master'!$I$4384,MATCH($A30&amp;CM$2,Master!$A$2:'Master'!$A$4384&amp;Master!$C$2:'Master'!$C$4384,0))</f>
        <v>0</v>
      </c>
      <c r="CN30" s="21" cm="1">
        <f t="array" aca="1" ref="CN30" ca="1">INDEX(Master!$I$2:'Master'!$I$4384,MATCH($A30&amp;CN$2,Master!$A$2:'Master'!$A$4384&amp;Master!$C$2:'Master'!$C$4384,0))</f>
        <v>0</v>
      </c>
      <c r="CO30" s="21" cm="1">
        <f t="array" aca="1" ref="CO30" ca="1">INDEX(Master!$I$2:'Master'!$I$4384,MATCH($A30&amp;CO$2,Master!$A$2:'Master'!$A$4384&amp;Master!$C$2:'Master'!$C$4384,0))</f>
        <v>0</v>
      </c>
      <c r="CP30" s="21" cm="1">
        <f t="array" aca="1" ref="CP30" ca="1">INDEX(Master!$I$2:'Master'!$I$4384,MATCH($A30&amp;CP$2,Master!$A$2:'Master'!$A$4384&amp;Master!$C$2:'Master'!$C$4384,0))</f>
        <v>0</v>
      </c>
      <c r="CQ30" s="21" cm="1">
        <f t="array" aca="1" ref="CQ30" ca="1">INDEX(Master!$I$2:'Master'!$I$4384,MATCH($A30&amp;CQ$2,Master!$A$2:'Master'!$A$4384&amp;Master!$C$2:'Master'!$C$4384,0))</f>
        <v>1</v>
      </c>
      <c r="CR30" s="21" cm="1">
        <f t="array" aca="1" ref="CR30" ca="1">INDEX(Master!$I$2:'Master'!$I$4384,MATCH($A30&amp;CR$2,Master!$A$2:'Master'!$A$4384&amp;Master!$C$2:'Master'!$C$4384,0))</f>
        <v>1</v>
      </c>
      <c r="CS30" s="21" cm="1">
        <f t="array" aca="1" ref="CS30" ca="1">INDEX(Master!$I$2:'Master'!$I$4384,MATCH($A30&amp;CS$2,Master!$A$2:'Master'!$A$4384&amp;Master!$C$2:'Master'!$C$4384,0))</f>
        <v>1</v>
      </c>
    </row>
    <row r="31" spans="1:97">
      <c r="A31" t="str">
        <f>VLOOKUP(Staff!$A29,Staff!$A$1:A$73,1,FALSE)</f>
        <v>Sherlock Holmes</v>
      </c>
      <c r="B31" s="21" cm="1">
        <f t="array" aca="1" ref="B31" ca="1">INDEX(Master!$I$2:'Master'!$I$4384,MATCH($A31&amp;B$2,Master!$A$2:'Master'!$A$4384&amp;Master!$C$2:'Master'!$C$4384,0))</f>
        <v>99</v>
      </c>
      <c r="C31" s="21" cm="1">
        <f t="array" aca="1" ref="C31" ca="1">INDEX(Master!$I$2:'Master'!$I$4384,MATCH($A31&amp;C$2,Master!$A$2:'Master'!$A$4384&amp;Master!$C$2:'Master'!$C$4384,0))</f>
        <v>99</v>
      </c>
      <c r="D31" s="21" cm="1">
        <f t="array" aca="1" ref="D31" ca="1">INDEX(Master!$I$2:'Master'!$I$4384,MATCH($A31&amp;D$2,Master!$A$2:'Master'!$A$4384&amp;Master!$C$2:'Master'!$C$4384,0))</f>
        <v>99</v>
      </c>
      <c r="E31" s="21" cm="1">
        <f t="array" aca="1" ref="E31" ca="1">INDEX(Master!$I$2:'Master'!$I$4384,MATCH($A31&amp;E$2,Master!$A$2:'Master'!$A$4384&amp;Master!$C$2:'Master'!$C$4384,0))</f>
        <v>99</v>
      </c>
      <c r="F31" s="21" cm="1">
        <f t="array" aca="1" ref="F31" ca="1">INDEX(Master!$I$2:'Master'!$I$4384,MATCH($A31&amp;F$2,Master!$A$2:'Master'!$A$4384&amp;Master!$C$2:'Master'!$C$4384,0))</f>
        <v>99</v>
      </c>
      <c r="G31" s="21" cm="1">
        <f t="array" aca="1" ref="G31" ca="1">INDEX(Master!$I$2:'Master'!$I$4384,MATCH($A31&amp;G$2,Master!$A$2:'Master'!$A$4384&amp;Master!$C$2:'Master'!$C$4384,0))</f>
        <v>99</v>
      </c>
      <c r="H31" s="21" cm="1">
        <f t="array" aca="1" ref="H31" ca="1">INDEX(Master!$I$2:'Master'!$I$4384,MATCH($A31&amp;H$2,Master!$A$2:'Master'!$A$4384&amp;Master!$C$2:'Master'!$C$4384,0))</f>
        <v>99</v>
      </c>
      <c r="I31" s="21" cm="1">
        <f t="array" aca="1" ref="I31" ca="1">INDEX(Master!$I$2:'Master'!$I$4384,MATCH($A31&amp;I$2,Master!$A$2:'Master'!$A$4384&amp;Master!$C$2:'Master'!$C$4384,0))</f>
        <v>99</v>
      </c>
      <c r="J31" s="21" cm="1">
        <f t="array" aca="1" ref="J31" ca="1">INDEX(Master!$I$2:'Master'!$I$4384,MATCH($A31&amp;J$2,Master!$A$2:'Master'!$A$4384&amp;Master!$C$2:'Master'!$C$4384,0))</f>
        <v>99</v>
      </c>
      <c r="K31" s="21" cm="1">
        <f t="array" aca="1" ref="K31" ca="1">INDEX(Master!$I$2:'Master'!$I$4384,MATCH($A31&amp;K$2,Master!$A$2:'Master'!$A$4384&amp;Master!$C$2:'Master'!$C$4384,0))</f>
        <v>99</v>
      </c>
      <c r="L31" s="21" cm="1">
        <f t="array" aca="1" ref="L31" ca="1">INDEX(Master!$I$2:'Master'!$I$4384,MATCH($A31&amp;L$2,Master!$A$2:'Master'!$A$4384&amp;Master!$C$2:'Master'!$C$4384,0))</f>
        <v>99</v>
      </c>
      <c r="M31" s="21" cm="1">
        <f t="array" aca="1" ref="M31" ca="1">INDEX(Master!$I$2:'Master'!$I$4384,MATCH($A31&amp;M$2,Master!$A$2:'Master'!$A$4384&amp;Master!$C$2:'Master'!$C$4384,0))</f>
        <v>99</v>
      </c>
      <c r="N31" s="21" cm="1">
        <f t="array" aca="1" ref="N31" ca="1">INDEX(Master!$I$2:'Master'!$I$4384,MATCH($A31&amp;N$2,Master!$A$2:'Master'!$A$4384&amp;Master!$C$2:'Master'!$C$4384,0))</f>
        <v>99</v>
      </c>
      <c r="O31" s="21" cm="1">
        <f t="array" aca="1" ref="O31" ca="1">INDEX(Master!$I$2:'Master'!$I$4384,MATCH($A31&amp;O$2,Master!$A$2:'Master'!$A$4384&amp;Master!$C$2:'Master'!$C$4384,0))</f>
        <v>99</v>
      </c>
      <c r="P31" s="21" cm="1">
        <f t="array" aca="1" ref="P31" ca="1">INDEX(Master!$I$2:'Master'!$I$4384,MATCH($A31&amp;P$2,Master!$A$2:'Master'!$A$4384&amp;Master!$C$2:'Master'!$C$4384,0))</f>
        <v>99</v>
      </c>
      <c r="Q31" s="21" cm="1">
        <f t="array" aca="1" ref="Q31" ca="1">INDEX(Master!$I$2:'Master'!$I$4384,MATCH($A31&amp;Q$2,Master!$A$2:'Master'!$A$4384&amp;Master!$C$2:'Master'!$C$4384,0))</f>
        <v>99</v>
      </c>
      <c r="R31" s="21" cm="1">
        <f t="array" aca="1" ref="R31" ca="1">INDEX(Master!$I$2:'Master'!$I$4384,MATCH($A31&amp;R$2,Master!$A$2:'Master'!$A$4384&amp;Master!$C$2:'Master'!$C$4384,0))</f>
        <v>99</v>
      </c>
      <c r="S31" s="21" cm="1">
        <f t="array" aca="1" ref="S31" ca="1">INDEX(Master!$I$2:'Master'!$I$4384,MATCH($A31&amp;S$2,Master!$A$2:'Master'!$A$4384&amp;Master!$C$2:'Master'!$C$4384,0))</f>
        <v>99</v>
      </c>
      <c r="T31" s="21" cm="1">
        <f t="array" aca="1" ref="T31" ca="1">INDEX(Master!$I$2:'Master'!$I$4384,MATCH($A31&amp;T$2,Master!$A$2:'Master'!$A$4384&amp;Master!$C$2:'Master'!$C$4384,0))</f>
        <v>99</v>
      </c>
      <c r="U31" s="21" cm="1">
        <f t="array" aca="1" ref="U31" ca="1">INDEX(Master!$I$2:'Master'!$I$4384,MATCH($A31&amp;U$2,Master!$A$2:'Master'!$A$4384&amp;Master!$C$2:'Master'!$C$4384,0))</f>
        <v>99</v>
      </c>
      <c r="V31" s="21" cm="1">
        <f t="array" aca="1" ref="V31" ca="1">INDEX(Master!$I$2:'Master'!$I$4384,MATCH($A31&amp;V$2,Master!$A$2:'Master'!$A$4384&amp;Master!$C$2:'Master'!$C$4384,0))</f>
        <v>99</v>
      </c>
      <c r="W31" s="21" cm="1">
        <f t="array" aca="1" ref="W31" ca="1">INDEX(Master!$I$2:'Master'!$I$4384,MATCH($A31&amp;W$2,Master!$A$2:'Master'!$A$4384&amp;Master!$C$2:'Master'!$C$4384,0))</f>
        <v>99</v>
      </c>
      <c r="X31" s="21" cm="1">
        <f t="array" aca="1" ref="X31" ca="1">INDEX(Master!$I$2:'Master'!$I$4384,MATCH($A31&amp;X$2,Master!$A$2:'Master'!$A$4384&amp;Master!$C$2:'Master'!$C$4384,0))</f>
        <v>99</v>
      </c>
      <c r="Y31" s="21" cm="1">
        <f t="array" aca="1" ref="Y31" ca="1">INDEX(Master!$I$2:'Master'!$I$4384,MATCH($A31&amp;Y$2,Master!$A$2:'Master'!$A$4384&amp;Master!$C$2:'Master'!$C$4384,0))</f>
        <v>99</v>
      </c>
      <c r="Z31" s="21" cm="1">
        <f t="array" aca="1" ref="Z31" ca="1">INDEX(Master!$I$2:'Master'!$I$4384,MATCH($A31&amp;Z$2,Master!$A$2:'Master'!$A$4384&amp;Master!$C$2:'Master'!$C$4384,0))</f>
        <v>99</v>
      </c>
      <c r="AA31" s="21" cm="1">
        <f t="array" aca="1" ref="AA31" ca="1">INDEX(Master!$I$2:'Master'!$I$4384,MATCH($A31&amp;AA$2,Master!$A$2:'Master'!$A$4384&amp;Master!$C$2:'Master'!$C$4384,0))</f>
        <v>99</v>
      </c>
      <c r="AB31" s="21" cm="1">
        <f t="array" aca="1" ref="AB31" ca="1">INDEX(Master!$I$2:'Master'!$I$4384,MATCH($A31&amp;AB$2,Master!$A$2:'Master'!$A$4384&amp;Master!$C$2:'Master'!$C$4384,0))</f>
        <v>99</v>
      </c>
      <c r="AC31" s="21" cm="1">
        <f t="array" aca="1" ref="AC31" ca="1">INDEX(Master!$I$2:'Master'!$I$4384,MATCH($A31&amp;AC$2,Master!$A$2:'Master'!$A$4384&amp;Master!$C$2:'Master'!$C$4384,0))</f>
        <v>99</v>
      </c>
      <c r="AD31" s="21" cm="1">
        <f t="array" aca="1" ref="AD31" ca="1">INDEX(Master!$I$2:'Master'!$I$4384,MATCH($A31&amp;AD$2,Master!$A$2:'Master'!$A$4384&amp;Master!$C$2:'Master'!$C$4384,0))</f>
        <v>99</v>
      </c>
      <c r="AE31" s="21" cm="1">
        <f t="array" aca="1" ref="AE31" ca="1">INDEX(Master!$I$2:'Master'!$I$4384,MATCH($A31&amp;AE$2,Master!$A$2:'Master'!$A$4384&amp;Master!$C$2:'Master'!$C$4384,0))</f>
        <v>99</v>
      </c>
      <c r="AF31" s="21" cm="1">
        <f t="array" aca="1" ref="AF31" ca="1">INDEX(Master!$I$2:'Master'!$I$4384,MATCH($A31&amp;AF$2,Master!$A$2:'Master'!$A$4384&amp;Master!$C$2:'Master'!$C$4384,0))</f>
        <v>99</v>
      </c>
      <c r="AG31" s="21" cm="1">
        <f t="array" aca="1" ref="AG31" ca="1">INDEX(Master!$I$2:'Master'!$I$4384,MATCH($A31&amp;AG$2,Master!$A$2:'Master'!$A$4384&amp;Master!$C$2:'Master'!$C$4384,0))</f>
        <v>99</v>
      </c>
      <c r="AH31" s="21" cm="1">
        <f t="array" aca="1" ref="AH31" ca="1">INDEX(Master!$I$2:'Master'!$I$4384,MATCH($A31&amp;AH$2,Master!$A$2:'Master'!$A$4384&amp;Master!$C$2:'Master'!$C$4384,0))</f>
        <v>99</v>
      </c>
      <c r="AI31" s="21" cm="1">
        <f t="array" aca="1" ref="AI31" ca="1">INDEX(Master!$I$2:'Master'!$I$4384,MATCH($A31&amp;AI$2,Master!$A$2:'Master'!$A$4384&amp;Master!$C$2:'Master'!$C$4384,0))</f>
        <v>99</v>
      </c>
      <c r="AJ31" s="21" cm="1">
        <f t="array" aca="1" ref="AJ31" ca="1">INDEX(Master!$I$2:'Master'!$I$4384,MATCH($A31&amp;AJ$2,Master!$A$2:'Master'!$A$4384&amp;Master!$C$2:'Master'!$C$4384,0))</f>
        <v>99</v>
      </c>
      <c r="AK31" s="21" cm="1">
        <f t="array" aca="1" ref="AK31" ca="1">INDEX(Master!$I$2:'Master'!$I$4384,MATCH($A31&amp;AK$2,Master!$A$2:'Master'!$A$4384&amp;Master!$C$2:'Master'!$C$4384,0))</f>
        <v>99</v>
      </c>
      <c r="AL31" s="21" cm="1">
        <f t="array" aca="1" ref="AL31" ca="1">INDEX(Master!$I$2:'Master'!$I$4384,MATCH($A31&amp;AL$2,Master!$A$2:'Master'!$A$4384&amp;Master!$C$2:'Master'!$C$4384,0))</f>
        <v>99</v>
      </c>
      <c r="AM31" s="21" cm="1">
        <f t="array" aca="1" ref="AM31" ca="1">INDEX(Master!$I$2:'Master'!$I$4384,MATCH($A31&amp;AM$2,Master!$A$2:'Master'!$A$4384&amp;Master!$C$2:'Master'!$C$4384,0))</f>
        <v>99</v>
      </c>
      <c r="AN31" s="21" cm="1">
        <f t="array" aca="1" ref="AN31" ca="1">INDEX(Master!$I$2:'Master'!$I$4384,MATCH($A31&amp;AN$2,Master!$A$2:'Master'!$A$4384&amp;Master!$C$2:'Master'!$C$4384,0))</f>
        <v>99</v>
      </c>
      <c r="AO31" s="21" cm="1">
        <f t="array" aca="1" ref="AO31" ca="1">INDEX(Master!$I$2:'Master'!$I$4384,MATCH($A31&amp;AO$2,Master!$A$2:'Master'!$A$4384&amp;Master!$C$2:'Master'!$C$4384,0))</f>
        <v>99</v>
      </c>
      <c r="AP31" s="21" cm="1">
        <f t="array" aca="1" ref="AP31" ca="1">INDEX(Master!$I$2:'Master'!$I$4384,MATCH($A31&amp;AP$2,Master!$A$2:'Master'!$A$4384&amp;Master!$C$2:'Master'!$C$4384,0))</f>
        <v>99</v>
      </c>
      <c r="AQ31" s="21" cm="1">
        <f t="array" aca="1" ref="AQ31" ca="1">INDEX(Master!$I$2:'Master'!$I$4384,MATCH($A31&amp;AQ$2,Master!$A$2:'Master'!$A$4384&amp;Master!$C$2:'Master'!$C$4384,0))</f>
        <v>99</v>
      </c>
      <c r="AR31" s="21" cm="1">
        <f t="array" aca="1" ref="AR31" ca="1">INDEX(Master!$I$2:'Master'!$I$4384,MATCH($A31&amp;AR$2,Master!$A$2:'Master'!$A$4384&amp;Master!$C$2:'Master'!$C$4384,0))</f>
        <v>99</v>
      </c>
      <c r="AS31" s="21" cm="1">
        <f t="array" aca="1" ref="AS31" ca="1">INDEX(Master!$I$2:'Master'!$I$4384,MATCH($A31&amp;AS$2,Master!$A$2:'Master'!$A$4384&amp;Master!$C$2:'Master'!$C$4384,0))</f>
        <v>99</v>
      </c>
      <c r="AT31" s="21" cm="1">
        <f t="array" aca="1" ref="AT31" ca="1">INDEX(Master!$I$2:'Master'!$I$4384,MATCH($A31&amp;AT$2,Master!$A$2:'Master'!$A$4384&amp;Master!$C$2:'Master'!$C$4384,0))</f>
        <v>99</v>
      </c>
      <c r="AU31" s="21" cm="1">
        <f t="array" aca="1" ref="AU31" ca="1">INDEX(Master!$I$2:'Master'!$I$4384,MATCH($A31&amp;AU$2,Master!$A$2:'Master'!$A$4384&amp;Master!$C$2:'Master'!$C$4384,0))</f>
        <v>99</v>
      </c>
      <c r="AV31" s="21" cm="1">
        <f t="array" aca="1" ref="AV31" ca="1">INDEX(Master!$I$2:'Master'!$I$4384,MATCH($A31&amp;AV$2,Master!$A$2:'Master'!$A$4384&amp;Master!$C$2:'Master'!$C$4384,0))</f>
        <v>99</v>
      </c>
      <c r="AW31" s="21" cm="1">
        <f t="array" aca="1" ref="AW31" ca="1">INDEX(Master!$I$2:'Master'!$I$4384,MATCH($A31&amp;AW$2,Master!$A$2:'Master'!$A$4384&amp;Master!$C$2:'Master'!$C$4384,0))</f>
        <v>99</v>
      </c>
      <c r="AX31" s="21" cm="1">
        <f t="array" aca="1" ref="AX31" ca="1">INDEX(Master!$I$2:'Master'!$I$4384,MATCH($A31&amp;AX$2,Master!$A$2:'Master'!$A$4384&amp;Master!$C$2:'Master'!$C$4384,0))</f>
        <v>99</v>
      </c>
      <c r="AY31" s="21" cm="1">
        <f t="array" aca="1" ref="AY31" ca="1">INDEX(Master!$I$2:'Master'!$I$4384,MATCH($A31&amp;AY$2,Master!$A$2:'Master'!$A$4384&amp;Master!$C$2:'Master'!$C$4384,0))</f>
        <v>99</v>
      </c>
      <c r="AZ31" s="21" cm="1">
        <f t="array" aca="1" ref="AZ31" ca="1">INDEX(Master!$I$2:'Master'!$I$4384,MATCH($A31&amp;AZ$2,Master!$A$2:'Master'!$A$4384&amp;Master!$C$2:'Master'!$C$4384,0))</f>
        <v>99</v>
      </c>
      <c r="BA31" s="21" cm="1">
        <f t="array" aca="1" ref="BA31" ca="1">INDEX(Master!$I$2:'Master'!$I$4384,MATCH($A31&amp;BA$2,Master!$A$2:'Master'!$A$4384&amp;Master!$C$2:'Master'!$C$4384,0))</f>
        <v>99</v>
      </c>
      <c r="BB31" s="21" cm="1">
        <f t="array" aca="1" ref="BB31" ca="1">INDEX(Master!$I$2:'Master'!$I$4384,MATCH($A31&amp;BB$2,Master!$A$2:'Master'!$A$4384&amp;Master!$C$2:'Master'!$C$4384,0))</f>
        <v>99</v>
      </c>
      <c r="BC31" s="21" cm="1">
        <f t="array" aca="1" ref="BC31" ca="1">INDEX(Master!$I$2:'Master'!$I$4384,MATCH($A31&amp;BC$2,Master!$A$2:'Master'!$A$4384&amp;Master!$C$2:'Master'!$C$4384,0))</f>
        <v>99</v>
      </c>
      <c r="BD31" s="21" cm="1">
        <f t="array" aca="1" ref="BD31" ca="1">INDEX(Master!$I$2:'Master'!$I$4384,MATCH($A31&amp;BD$2,Master!$A$2:'Master'!$A$4384&amp;Master!$C$2:'Master'!$C$4384,0))</f>
        <v>99</v>
      </c>
      <c r="BE31" s="21" cm="1">
        <f t="array" aca="1" ref="BE31" ca="1">INDEX(Master!$I$2:'Master'!$I$4384,MATCH($A31&amp;BE$2,Master!$A$2:'Master'!$A$4384&amp;Master!$C$2:'Master'!$C$4384,0))</f>
        <v>99</v>
      </c>
      <c r="BF31" s="21" cm="1">
        <f t="array" aca="1" ref="BF31" ca="1">INDEX(Master!$I$2:'Master'!$I$4384,MATCH($A31&amp;BF$2,Master!$A$2:'Master'!$A$4384&amp;Master!$C$2:'Master'!$C$4384,0))</f>
        <v>99</v>
      </c>
      <c r="BG31" s="21" cm="1">
        <f t="array" aca="1" ref="BG31" ca="1">INDEX(Master!$I$2:'Master'!$I$4384,MATCH($A31&amp;BG$2,Master!$A$2:'Master'!$A$4384&amp;Master!$C$2:'Master'!$C$4384,0))</f>
        <v>99</v>
      </c>
      <c r="BH31" s="21" cm="1">
        <f t="array" aca="1" ref="BH31" ca="1">INDEX(Master!$I$2:'Master'!$I$4384,MATCH($A31&amp;BH$2,Master!$A$2:'Master'!$A$4384&amp;Master!$C$2:'Master'!$C$4384,0))</f>
        <v>99</v>
      </c>
      <c r="BI31" s="21" cm="1">
        <f t="array" aca="1" ref="BI31" ca="1">INDEX(Master!$I$2:'Master'!$I$4384,MATCH($A31&amp;BI$2,Master!$A$2:'Master'!$A$4384&amp;Master!$C$2:'Master'!$C$4384,0))</f>
        <v>99</v>
      </c>
      <c r="BJ31" s="21" cm="1">
        <f t="array" aca="1" ref="BJ31" ca="1">INDEX(Master!$I$2:'Master'!$I$4384,MATCH($A31&amp;BJ$2,Master!$A$2:'Master'!$A$4384&amp;Master!$C$2:'Master'!$C$4384,0))</f>
        <v>99</v>
      </c>
      <c r="BK31" s="21" cm="1">
        <f t="array" aca="1" ref="BK31" ca="1">INDEX(Master!$I$2:'Master'!$I$4384,MATCH($A31&amp;BK$2,Master!$A$2:'Master'!$A$4384&amp;Master!$C$2:'Master'!$C$4384,0))</f>
        <v>99</v>
      </c>
      <c r="BL31" s="21" cm="1">
        <f t="array" aca="1" ref="BL31" ca="1">INDEX(Master!$I$2:'Master'!$I$4384,MATCH($A31&amp;BL$2,Master!$A$2:'Master'!$A$4384&amp;Master!$C$2:'Master'!$C$4384,0))</f>
        <v>99</v>
      </c>
      <c r="BM31" s="21" cm="1">
        <f t="array" aca="1" ref="BM31" ca="1">INDEX(Master!$I$2:'Master'!$I$4384,MATCH($A31&amp;BM$2,Master!$A$2:'Master'!$A$4384&amp;Master!$C$2:'Master'!$C$4384,0))</f>
        <v>99</v>
      </c>
      <c r="BN31" s="21" cm="1">
        <f t="array" aca="1" ref="BN31" ca="1">INDEX(Master!$I$2:'Master'!$I$4384,MATCH($A31&amp;BN$2,Master!$A$2:'Master'!$A$4384&amp;Master!$C$2:'Master'!$C$4384,0))</f>
        <v>99</v>
      </c>
      <c r="BO31" s="21" cm="1">
        <f t="array" aca="1" ref="BO31" ca="1">INDEX(Master!$I$2:'Master'!$I$4384,MATCH($A31&amp;BO$2,Master!$A$2:'Master'!$A$4384&amp;Master!$C$2:'Master'!$C$4384,0))</f>
        <v>99</v>
      </c>
      <c r="BP31" s="21" cm="1">
        <f t="array" aca="1" ref="BP31" ca="1">INDEX(Master!$I$2:'Master'!$I$4384,MATCH($A31&amp;BP$2,Master!$A$2:'Master'!$A$4384&amp;Master!$C$2:'Master'!$C$4384,0))</f>
        <v>99</v>
      </c>
      <c r="BQ31" s="21" cm="1">
        <f t="array" aca="1" ref="BQ31" ca="1">INDEX(Master!$I$2:'Master'!$I$4384,MATCH($A31&amp;BQ$2,Master!$A$2:'Master'!$A$4384&amp;Master!$C$2:'Master'!$C$4384,0))</f>
        <v>99</v>
      </c>
      <c r="BR31" s="21" cm="1">
        <f t="array" aca="1" ref="BR31" ca="1">INDEX(Master!$I$2:'Master'!$I$4384,MATCH($A31&amp;BR$2,Master!$A$2:'Master'!$A$4384&amp;Master!$C$2:'Master'!$C$4384,0))</f>
        <v>99</v>
      </c>
      <c r="BS31" s="21" cm="1">
        <f t="array" aca="1" ref="BS31" ca="1">INDEX(Master!$I$2:'Master'!$I$4384,MATCH($A31&amp;BS$2,Master!$A$2:'Master'!$A$4384&amp;Master!$C$2:'Master'!$C$4384,0))</f>
        <v>99</v>
      </c>
      <c r="BT31" s="21" cm="1">
        <f t="array" aca="1" ref="BT31" ca="1">INDEX(Master!$I$2:'Master'!$I$4384,MATCH($A31&amp;BT$2,Master!$A$2:'Master'!$A$4384&amp;Master!$C$2:'Master'!$C$4384,0))</f>
        <v>99</v>
      </c>
      <c r="BU31" s="21" cm="1">
        <f t="array" aca="1" ref="BU31" ca="1">INDEX(Master!$I$2:'Master'!$I$4384,MATCH($A31&amp;BU$2,Master!$A$2:'Master'!$A$4384&amp;Master!$C$2:'Master'!$C$4384,0))</f>
        <v>99</v>
      </c>
      <c r="BV31" s="21" cm="1">
        <f t="array" aca="1" ref="BV31" ca="1">INDEX(Master!$I$2:'Master'!$I$4384,MATCH($A31&amp;BV$2,Master!$A$2:'Master'!$A$4384&amp;Master!$C$2:'Master'!$C$4384,0))</f>
        <v>99</v>
      </c>
      <c r="BW31" s="21" cm="1">
        <f t="array" aca="1" ref="BW31" ca="1">INDEX(Master!$I$2:'Master'!$I$4384,MATCH($A31&amp;BW$2,Master!$A$2:'Master'!$A$4384&amp;Master!$C$2:'Master'!$C$4384,0))</f>
        <v>99</v>
      </c>
      <c r="BX31" s="21" cm="1">
        <f t="array" aca="1" ref="BX31" ca="1">INDEX(Master!$I$2:'Master'!$I$4384,MATCH($A31&amp;BX$2,Master!$A$2:'Master'!$A$4384&amp;Master!$C$2:'Master'!$C$4384,0))</f>
        <v>99</v>
      </c>
      <c r="BY31" s="21" cm="1">
        <f t="array" aca="1" ref="BY31" ca="1">INDEX(Master!$I$2:'Master'!$I$4384,MATCH($A31&amp;BY$2,Master!$A$2:'Master'!$A$4384&amp;Master!$C$2:'Master'!$C$4384,0))</f>
        <v>99</v>
      </c>
      <c r="BZ31" s="21" cm="1">
        <f t="array" aca="1" ref="BZ31" ca="1">INDEX(Master!$I$2:'Master'!$I$4384,MATCH($A31&amp;BZ$2,Master!$A$2:'Master'!$A$4384&amp;Master!$C$2:'Master'!$C$4384,0))</f>
        <v>99</v>
      </c>
      <c r="CA31" s="21" cm="1">
        <f t="array" aca="1" ref="CA31" ca="1">INDEX(Master!$I$2:'Master'!$I$4384,MATCH($A31&amp;CA$2,Master!$A$2:'Master'!$A$4384&amp;Master!$C$2:'Master'!$C$4384,0))</f>
        <v>99</v>
      </c>
      <c r="CB31" s="21" cm="1">
        <f t="array" aca="1" ref="CB31" ca="1">INDEX(Master!$I$2:'Master'!$I$4384,MATCH($A31&amp;CB$2,Master!$A$2:'Master'!$A$4384&amp;Master!$C$2:'Master'!$C$4384,0))</f>
        <v>99</v>
      </c>
      <c r="CC31" s="21" cm="1">
        <f t="array" aca="1" ref="CC31" ca="1">INDEX(Master!$I$2:'Master'!$I$4384,MATCH($A31&amp;CC$2,Master!$A$2:'Master'!$A$4384&amp;Master!$C$2:'Master'!$C$4384,0))</f>
        <v>99</v>
      </c>
      <c r="CD31" s="21" cm="1">
        <f t="array" aca="1" ref="CD31" ca="1">INDEX(Master!$I$2:'Master'!$I$4384,MATCH($A31&amp;CD$2,Master!$A$2:'Master'!$A$4384&amp;Master!$C$2:'Master'!$C$4384,0))</f>
        <v>99</v>
      </c>
      <c r="CE31" s="21" cm="1">
        <f t="array" aca="1" ref="CE31" ca="1">INDEX(Master!$I$2:'Master'!$I$4384,MATCH($A31&amp;CE$2,Master!$A$2:'Master'!$A$4384&amp;Master!$C$2:'Master'!$C$4384,0))</f>
        <v>99</v>
      </c>
      <c r="CF31" s="21" cm="1">
        <f t="array" aca="1" ref="CF31" ca="1">INDEX(Master!$I$2:'Master'!$I$4384,MATCH($A31&amp;CF$2,Master!$A$2:'Master'!$A$4384&amp;Master!$C$2:'Master'!$C$4384,0))</f>
        <v>99</v>
      </c>
      <c r="CG31" s="21" cm="1">
        <f t="array" aca="1" ref="CG31" ca="1">INDEX(Master!$I$2:'Master'!$I$4384,MATCH($A31&amp;CG$2,Master!$A$2:'Master'!$A$4384&amp;Master!$C$2:'Master'!$C$4384,0))</f>
        <v>99</v>
      </c>
      <c r="CH31" s="21" cm="1">
        <f t="array" aca="1" ref="CH31" ca="1">INDEX(Master!$I$2:'Master'!$I$4384,MATCH($A31&amp;CH$2,Master!$A$2:'Master'!$A$4384&amp;Master!$C$2:'Master'!$C$4384,0))</f>
        <v>99</v>
      </c>
      <c r="CI31" s="21" cm="1">
        <f t="array" aca="1" ref="CI31" ca="1">INDEX(Master!$I$2:'Master'!$I$4384,MATCH($A31&amp;CI$2,Master!$A$2:'Master'!$A$4384&amp;Master!$C$2:'Master'!$C$4384,0))</f>
        <v>99</v>
      </c>
      <c r="CJ31" s="21" cm="1">
        <f t="array" aca="1" ref="CJ31" ca="1">INDEX(Master!$I$2:'Master'!$I$4384,MATCH($A31&amp;CJ$2,Master!$A$2:'Master'!$A$4384&amp;Master!$C$2:'Master'!$C$4384,0))</f>
        <v>99</v>
      </c>
      <c r="CK31" s="21" cm="1">
        <f t="array" aca="1" ref="CK31" ca="1">INDEX(Master!$I$2:'Master'!$I$4384,MATCH($A31&amp;CK$2,Master!$A$2:'Master'!$A$4384&amp;Master!$C$2:'Master'!$C$4384,0))</f>
        <v>99</v>
      </c>
      <c r="CL31" s="21" cm="1">
        <f t="array" aca="1" ref="CL31" ca="1">INDEX(Master!$I$2:'Master'!$I$4384,MATCH($A31&amp;CL$2,Master!$A$2:'Master'!$A$4384&amp;Master!$C$2:'Master'!$C$4384,0))</f>
        <v>99</v>
      </c>
      <c r="CM31" s="21" cm="1">
        <f t="array" aca="1" ref="CM31" ca="1">INDEX(Master!$I$2:'Master'!$I$4384,MATCH($A31&amp;CM$2,Master!$A$2:'Master'!$A$4384&amp;Master!$C$2:'Master'!$C$4384,0))</f>
        <v>99</v>
      </c>
      <c r="CN31" s="21" cm="1">
        <f t="array" aca="1" ref="CN31" ca="1">INDEX(Master!$I$2:'Master'!$I$4384,MATCH($A31&amp;CN$2,Master!$A$2:'Master'!$A$4384&amp;Master!$C$2:'Master'!$C$4384,0))</f>
        <v>99</v>
      </c>
      <c r="CO31" s="21" cm="1">
        <f t="array" aca="1" ref="CO31" ca="1">INDEX(Master!$I$2:'Master'!$I$4384,MATCH($A31&amp;CO$2,Master!$A$2:'Master'!$A$4384&amp;Master!$C$2:'Master'!$C$4384,0))</f>
        <v>99</v>
      </c>
      <c r="CP31" s="21" cm="1">
        <f t="array" aca="1" ref="CP31" ca="1">INDEX(Master!$I$2:'Master'!$I$4384,MATCH($A31&amp;CP$2,Master!$A$2:'Master'!$A$4384&amp;Master!$C$2:'Master'!$C$4384,0))</f>
        <v>99</v>
      </c>
      <c r="CQ31" s="21" cm="1">
        <f t="array" aca="1" ref="CQ31" ca="1">INDEX(Master!$I$2:'Master'!$I$4384,MATCH($A31&amp;CQ$2,Master!$A$2:'Master'!$A$4384&amp;Master!$C$2:'Master'!$C$4384,0))</f>
        <v>99</v>
      </c>
      <c r="CR31" s="21" cm="1">
        <f t="array" aca="1" ref="CR31" ca="1">INDEX(Master!$I$2:'Master'!$I$4384,MATCH($A31&amp;CR$2,Master!$A$2:'Master'!$A$4384&amp;Master!$C$2:'Master'!$C$4384,0))</f>
        <v>99</v>
      </c>
      <c r="CS31" s="21" cm="1">
        <f t="array" aca="1" ref="CS31" ca="1">INDEX(Master!$I$2:'Master'!$I$4384,MATCH($A31&amp;CS$2,Master!$A$2:'Master'!$A$4384&amp;Master!$C$2:'Master'!$C$4384,0))</f>
        <v>99</v>
      </c>
    </row>
    <row r="32" spans="1:97">
      <c r="A32" t="str">
        <f>VLOOKUP(Staff!$A30,Staff!$A$1:A$73,1,FALSE)</f>
        <v>Jonathan Creek</v>
      </c>
      <c r="B32" s="21" cm="1">
        <f t="array" aca="1" ref="B32" ca="1">INDEX(Master!$I$2:'Master'!$I$4384,MATCH($A32&amp;B$2,Master!$A$2:'Master'!$A$4384&amp;Master!$C$2:'Master'!$C$4384,0))</f>
        <v>99</v>
      </c>
      <c r="C32" s="21" cm="1">
        <f t="array" aca="1" ref="C32" ca="1">INDEX(Master!$I$2:'Master'!$I$4384,MATCH($A32&amp;C$2,Master!$A$2:'Master'!$A$4384&amp;Master!$C$2:'Master'!$C$4384,0))</f>
        <v>99</v>
      </c>
      <c r="D32" s="21" cm="1">
        <f t="array" aca="1" ref="D32" ca="1">INDEX(Master!$I$2:'Master'!$I$4384,MATCH($A32&amp;D$2,Master!$A$2:'Master'!$A$4384&amp;Master!$C$2:'Master'!$C$4384,0))</f>
        <v>99</v>
      </c>
      <c r="E32" s="21" cm="1">
        <f t="array" aca="1" ref="E32" ca="1">INDEX(Master!$I$2:'Master'!$I$4384,MATCH($A32&amp;E$2,Master!$A$2:'Master'!$A$4384&amp;Master!$C$2:'Master'!$C$4384,0))</f>
        <v>99</v>
      </c>
      <c r="F32" s="21" cm="1">
        <f t="array" aca="1" ref="F32" ca="1">INDEX(Master!$I$2:'Master'!$I$4384,MATCH($A32&amp;F$2,Master!$A$2:'Master'!$A$4384&amp;Master!$C$2:'Master'!$C$4384,0))</f>
        <v>99</v>
      </c>
      <c r="G32" s="21" cm="1">
        <f t="array" aca="1" ref="G32" ca="1">INDEX(Master!$I$2:'Master'!$I$4384,MATCH($A32&amp;G$2,Master!$A$2:'Master'!$A$4384&amp;Master!$C$2:'Master'!$C$4384,0))</f>
        <v>99</v>
      </c>
      <c r="H32" s="21" cm="1">
        <f t="array" aca="1" ref="H32" ca="1">INDEX(Master!$I$2:'Master'!$I$4384,MATCH($A32&amp;H$2,Master!$A$2:'Master'!$A$4384&amp;Master!$C$2:'Master'!$C$4384,0))</f>
        <v>99</v>
      </c>
      <c r="I32" s="21" cm="1">
        <f t="array" aca="1" ref="I32" ca="1">INDEX(Master!$I$2:'Master'!$I$4384,MATCH($A32&amp;I$2,Master!$A$2:'Master'!$A$4384&amp;Master!$C$2:'Master'!$C$4384,0))</f>
        <v>99</v>
      </c>
      <c r="J32" s="21" cm="1">
        <f t="array" aca="1" ref="J32" ca="1">INDEX(Master!$I$2:'Master'!$I$4384,MATCH($A32&amp;J$2,Master!$A$2:'Master'!$A$4384&amp;Master!$C$2:'Master'!$C$4384,0))</f>
        <v>99</v>
      </c>
      <c r="K32" s="21" cm="1">
        <f t="array" aca="1" ref="K32" ca="1">INDEX(Master!$I$2:'Master'!$I$4384,MATCH($A32&amp;K$2,Master!$A$2:'Master'!$A$4384&amp;Master!$C$2:'Master'!$C$4384,0))</f>
        <v>99</v>
      </c>
      <c r="L32" s="21" cm="1">
        <f t="array" aca="1" ref="L32" ca="1">INDEX(Master!$I$2:'Master'!$I$4384,MATCH($A32&amp;L$2,Master!$A$2:'Master'!$A$4384&amp;Master!$C$2:'Master'!$C$4384,0))</f>
        <v>99</v>
      </c>
      <c r="M32" s="21" cm="1">
        <f t="array" aca="1" ref="M32" ca="1">INDEX(Master!$I$2:'Master'!$I$4384,MATCH($A32&amp;M$2,Master!$A$2:'Master'!$A$4384&amp;Master!$C$2:'Master'!$C$4384,0))</f>
        <v>99</v>
      </c>
      <c r="N32" s="21" cm="1">
        <f t="array" aca="1" ref="N32" ca="1">INDEX(Master!$I$2:'Master'!$I$4384,MATCH($A32&amp;N$2,Master!$A$2:'Master'!$A$4384&amp;Master!$C$2:'Master'!$C$4384,0))</f>
        <v>99</v>
      </c>
      <c r="O32" s="21" cm="1">
        <f t="array" aca="1" ref="O32" ca="1">INDEX(Master!$I$2:'Master'!$I$4384,MATCH($A32&amp;O$2,Master!$A$2:'Master'!$A$4384&amp;Master!$C$2:'Master'!$C$4384,0))</f>
        <v>99</v>
      </c>
      <c r="P32" s="21" cm="1">
        <f t="array" aca="1" ref="P32" ca="1">INDEX(Master!$I$2:'Master'!$I$4384,MATCH($A32&amp;P$2,Master!$A$2:'Master'!$A$4384&amp;Master!$C$2:'Master'!$C$4384,0))</f>
        <v>99</v>
      </c>
      <c r="Q32" s="21" cm="1">
        <f t="array" aca="1" ref="Q32" ca="1">INDEX(Master!$I$2:'Master'!$I$4384,MATCH($A32&amp;Q$2,Master!$A$2:'Master'!$A$4384&amp;Master!$C$2:'Master'!$C$4384,0))</f>
        <v>99</v>
      </c>
      <c r="R32" s="21" cm="1">
        <f t="array" aca="1" ref="R32" ca="1">INDEX(Master!$I$2:'Master'!$I$4384,MATCH($A32&amp;R$2,Master!$A$2:'Master'!$A$4384&amp;Master!$C$2:'Master'!$C$4384,0))</f>
        <v>99</v>
      </c>
      <c r="S32" s="21" cm="1">
        <f t="array" aca="1" ref="S32" ca="1">INDEX(Master!$I$2:'Master'!$I$4384,MATCH($A32&amp;S$2,Master!$A$2:'Master'!$A$4384&amp;Master!$C$2:'Master'!$C$4384,0))</f>
        <v>99</v>
      </c>
      <c r="T32" s="21" cm="1">
        <f t="array" aca="1" ref="T32" ca="1">INDEX(Master!$I$2:'Master'!$I$4384,MATCH($A32&amp;T$2,Master!$A$2:'Master'!$A$4384&amp;Master!$C$2:'Master'!$C$4384,0))</f>
        <v>99</v>
      </c>
      <c r="U32" s="21" cm="1">
        <f t="array" aca="1" ref="U32" ca="1">INDEX(Master!$I$2:'Master'!$I$4384,MATCH($A32&amp;U$2,Master!$A$2:'Master'!$A$4384&amp;Master!$C$2:'Master'!$C$4384,0))</f>
        <v>99</v>
      </c>
      <c r="V32" s="21" cm="1">
        <f t="array" aca="1" ref="V32" ca="1">INDEX(Master!$I$2:'Master'!$I$4384,MATCH($A32&amp;V$2,Master!$A$2:'Master'!$A$4384&amp;Master!$C$2:'Master'!$C$4384,0))</f>
        <v>99</v>
      </c>
      <c r="W32" s="21" cm="1">
        <f t="array" aca="1" ref="W32" ca="1">INDEX(Master!$I$2:'Master'!$I$4384,MATCH($A32&amp;W$2,Master!$A$2:'Master'!$A$4384&amp;Master!$C$2:'Master'!$C$4384,0))</f>
        <v>99</v>
      </c>
      <c r="X32" s="21" cm="1">
        <f t="array" aca="1" ref="X32" ca="1">INDEX(Master!$I$2:'Master'!$I$4384,MATCH($A32&amp;X$2,Master!$A$2:'Master'!$A$4384&amp;Master!$C$2:'Master'!$C$4384,0))</f>
        <v>99</v>
      </c>
      <c r="Y32" s="21" cm="1">
        <f t="array" aca="1" ref="Y32" ca="1">INDEX(Master!$I$2:'Master'!$I$4384,MATCH($A32&amp;Y$2,Master!$A$2:'Master'!$A$4384&amp;Master!$C$2:'Master'!$C$4384,0))</f>
        <v>99</v>
      </c>
      <c r="Z32" s="21" cm="1">
        <f t="array" aca="1" ref="Z32" ca="1">INDEX(Master!$I$2:'Master'!$I$4384,MATCH($A32&amp;Z$2,Master!$A$2:'Master'!$A$4384&amp;Master!$C$2:'Master'!$C$4384,0))</f>
        <v>99</v>
      </c>
      <c r="AA32" s="21" cm="1">
        <f t="array" aca="1" ref="AA32" ca="1">INDEX(Master!$I$2:'Master'!$I$4384,MATCH($A32&amp;AA$2,Master!$A$2:'Master'!$A$4384&amp;Master!$C$2:'Master'!$C$4384,0))</f>
        <v>99</v>
      </c>
      <c r="AB32" s="21" cm="1">
        <f t="array" aca="1" ref="AB32" ca="1">INDEX(Master!$I$2:'Master'!$I$4384,MATCH($A32&amp;AB$2,Master!$A$2:'Master'!$A$4384&amp;Master!$C$2:'Master'!$C$4384,0))</f>
        <v>99</v>
      </c>
      <c r="AC32" s="21" cm="1">
        <f t="array" aca="1" ref="AC32" ca="1">INDEX(Master!$I$2:'Master'!$I$4384,MATCH($A32&amp;AC$2,Master!$A$2:'Master'!$A$4384&amp;Master!$C$2:'Master'!$C$4384,0))</f>
        <v>99</v>
      </c>
      <c r="AD32" s="21" cm="1">
        <f t="array" aca="1" ref="AD32" ca="1">INDEX(Master!$I$2:'Master'!$I$4384,MATCH($A32&amp;AD$2,Master!$A$2:'Master'!$A$4384&amp;Master!$C$2:'Master'!$C$4384,0))</f>
        <v>99</v>
      </c>
      <c r="AE32" s="21" cm="1">
        <f t="array" aca="1" ref="AE32" ca="1">INDEX(Master!$I$2:'Master'!$I$4384,MATCH($A32&amp;AE$2,Master!$A$2:'Master'!$A$4384&amp;Master!$C$2:'Master'!$C$4384,0))</f>
        <v>99</v>
      </c>
      <c r="AF32" s="21" cm="1">
        <f t="array" aca="1" ref="AF32" ca="1">INDEX(Master!$I$2:'Master'!$I$4384,MATCH($A32&amp;AF$2,Master!$A$2:'Master'!$A$4384&amp;Master!$C$2:'Master'!$C$4384,0))</f>
        <v>99</v>
      </c>
      <c r="AG32" s="21" cm="1">
        <f t="array" aca="1" ref="AG32" ca="1">INDEX(Master!$I$2:'Master'!$I$4384,MATCH($A32&amp;AG$2,Master!$A$2:'Master'!$A$4384&amp;Master!$C$2:'Master'!$C$4384,0))</f>
        <v>99</v>
      </c>
      <c r="AH32" s="21" cm="1">
        <f t="array" aca="1" ref="AH32" ca="1">INDEX(Master!$I$2:'Master'!$I$4384,MATCH($A32&amp;AH$2,Master!$A$2:'Master'!$A$4384&amp;Master!$C$2:'Master'!$C$4384,0))</f>
        <v>99</v>
      </c>
      <c r="AI32" s="21" cm="1">
        <f t="array" aca="1" ref="AI32" ca="1">INDEX(Master!$I$2:'Master'!$I$4384,MATCH($A32&amp;AI$2,Master!$A$2:'Master'!$A$4384&amp;Master!$C$2:'Master'!$C$4384,0))</f>
        <v>99</v>
      </c>
      <c r="AJ32" s="21" cm="1">
        <f t="array" aca="1" ref="AJ32" ca="1">INDEX(Master!$I$2:'Master'!$I$4384,MATCH($A32&amp;AJ$2,Master!$A$2:'Master'!$A$4384&amp;Master!$C$2:'Master'!$C$4384,0))</f>
        <v>99</v>
      </c>
      <c r="AK32" s="21" cm="1">
        <f t="array" aca="1" ref="AK32" ca="1">INDEX(Master!$I$2:'Master'!$I$4384,MATCH($A32&amp;AK$2,Master!$A$2:'Master'!$A$4384&amp;Master!$C$2:'Master'!$C$4384,0))</f>
        <v>99</v>
      </c>
      <c r="AL32" s="21" cm="1">
        <f t="array" aca="1" ref="AL32" ca="1">INDEX(Master!$I$2:'Master'!$I$4384,MATCH($A32&amp;AL$2,Master!$A$2:'Master'!$A$4384&amp;Master!$C$2:'Master'!$C$4384,0))</f>
        <v>99</v>
      </c>
      <c r="AM32" s="21" cm="1">
        <f t="array" aca="1" ref="AM32" ca="1">INDEX(Master!$I$2:'Master'!$I$4384,MATCH($A32&amp;AM$2,Master!$A$2:'Master'!$A$4384&amp;Master!$C$2:'Master'!$C$4384,0))</f>
        <v>99</v>
      </c>
      <c r="AN32" s="21" cm="1">
        <f t="array" aca="1" ref="AN32" ca="1">INDEX(Master!$I$2:'Master'!$I$4384,MATCH($A32&amp;AN$2,Master!$A$2:'Master'!$A$4384&amp;Master!$C$2:'Master'!$C$4384,0))</f>
        <v>99</v>
      </c>
      <c r="AO32" s="21" cm="1">
        <f t="array" aca="1" ref="AO32" ca="1">INDEX(Master!$I$2:'Master'!$I$4384,MATCH($A32&amp;AO$2,Master!$A$2:'Master'!$A$4384&amp;Master!$C$2:'Master'!$C$4384,0))</f>
        <v>99</v>
      </c>
      <c r="AP32" s="21" cm="1">
        <f t="array" aca="1" ref="AP32" ca="1">INDEX(Master!$I$2:'Master'!$I$4384,MATCH($A32&amp;AP$2,Master!$A$2:'Master'!$A$4384&amp;Master!$C$2:'Master'!$C$4384,0))</f>
        <v>99</v>
      </c>
      <c r="AQ32" s="21" cm="1">
        <f t="array" aca="1" ref="AQ32" ca="1">INDEX(Master!$I$2:'Master'!$I$4384,MATCH($A32&amp;AQ$2,Master!$A$2:'Master'!$A$4384&amp;Master!$C$2:'Master'!$C$4384,0))</f>
        <v>99</v>
      </c>
      <c r="AR32" s="21" cm="1">
        <f t="array" aca="1" ref="AR32" ca="1">INDEX(Master!$I$2:'Master'!$I$4384,MATCH($A32&amp;AR$2,Master!$A$2:'Master'!$A$4384&amp;Master!$C$2:'Master'!$C$4384,0))</f>
        <v>99</v>
      </c>
      <c r="AS32" s="21" cm="1">
        <f t="array" aca="1" ref="AS32" ca="1">INDEX(Master!$I$2:'Master'!$I$4384,MATCH($A32&amp;AS$2,Master!$A$2:'Master'!$A$4384&amp;Master!$C$2:'Master'!$C$4384,0))</f>
        <v>99</v>
      </c>
      <c r="AT32" s="21" cm="1">
        <f t="array" aca="1" ref="AT32" ca="1">INDEX(Master!$I$2:'Master'!$I$4384,MATCH($A32&amp;AT$2,Master!$A$2:'Master'!$A$4384&amp;Master!$C$2:'Master'!$C$4384,0))</f>
        <v>99</v>
      </c>
      <c r="AU32" s="21" cm="1">
        <f t="array" aca="1" ref="AU32" ca="1">INDEX(Master!$I$2:'Master'!$I$4384,MATCH($A32&amp;AU$2,Master!$A$2:'Master'!$A$4384&amp;Master!$C$2:'Master'!$C$4384,0))</f>
        <v>99</v>
      </c>
      <c r="AV32" s="21" cm="1">
        <f t="array" aca="1" ref="AV32" ca="1">INDEX(Master!$I$2:'Master'!$I$4384,MATCH($A32&amp;AV$2,Master!$A$2:'Master'!$A$4384&amp;Master!$C$2:'Master'!$C$4384,0))</f>
        <v>99</v>
      </c>
      <c r="AW32" s="21" cm="1">
        <f t="array" aca="1" ref="AW32" ca="1">INDEX(Master!$I$2:'Master'!$I$4384,MATCH($A32&amp;AW$2,Master!$A$2:'Master'!$A$4384&amp;Master!$C$2:'Master'!$C$4384,0))</f>
        <v>99</v>
      </c>
      <c r="AX32" s="21" cm="1">
        <f t="array" aca="1" ref="AX32" ca="1">INDEX(Master!$I$2:'Master'!$I$4384,MATCH($A32&amp;AX$2,Master!$A$2:'Master'!$A$4384&amp;Master!$C$2:'Master'!$C$4384,0))</f>
        <v>99</v>
      </c>
      <c r="AY32" s="21" cm="1">
        <f t="array" aca="1" ref="AY32" ca="1">INDEX(Master!$I$2:'Master'!$I$4384,MATCH($A32&amp;AY$2,Master!$A$2:'Master'!$A$4384&amp;Master!$C$2:'Master'!$C$4384,0))</f>
        <v>99</v>
      </c>
      <c r="AZ32" s="21" cm="1">
        <f t="array" aca="1" ref="AZ32" ca="1">INDEX(Master!$I$2:'Master'!$I$4384,MATCH($A32&amp;AZ$2,Master!$A$2:'Master'!$A$4384&amp;Master!$C$2:'Master'!$C$4384,0))</f>
        <v>99</v>
      </c>
      <c r="BA32" s="21" cm="1">
        <f t="array" aca="1" ref="BA32" ca="1">INDEX(Master!$I$2:'Master'!$I$4384,MATCH($A32&amp;BA$2,Master!$A$2:'Master'!$A$4384&amp;Master!$C$2:'Master'!$C$4384,0))</f>
        <v>99</v>
      </c>
      <c r="BB32" s="21" cm="1">
        <f t="array" aca="1" ref="BB32" ca="1">INDEX(Master!$I$2:'Master'!$I$4384,MATCH($A32&amp;BB$2,Master!$A$2:'Master'!$A$4384&amp;Master!$C$2:'Master'!$C$4384,0))</f>
        <v>99</v>
      </c>
      <c r="BC32" s="21" cm="1">
        <f t="array" aca="1" ref="BC32" ca="1">INDEX(Master!$I$2:'Master'!$I$4384,MATCH($A32&amp;BC$2,Master!$A$2:'Master'!$A$4384&amp;Master!$C$2:'Master'!$C$4384,0))</f>
        <v>99</v>
      </c>
      <c r="BD32" s="21" cm="1">
        <f t="array" aca="1" ref="BD32" ca="1">INDEX(Master!$I$2:'Master'!$I$4384,MATCH($A32&amp;BD$2,Master!$A$2:'Master'!$A$4384&amp;Master!$C$2:'Master'!$C$4384,0))</f>
        <v>99</v>
      </c>
      <c r="BE32" s="21" cm="1">
        <f t="array" aca="1" ref="BE32" ca="1">INDEX(Master!$I$2:'Master'!$I$4384,MATCH($A32&amp;BE$2,Master!$A$2:'Master'!$A$4384&amp;Master!$C$2:'Master'!$C$4384,0))</f>
        <v>99</v>
      </c>
      <c r="BF32" s="21" cm="1">
        <f t="array" aca="1" ref="BF32" ca="1">INDEX(Master!$I$2:'Master'!$I$4384,MATCH($A32&amp;BF$2,Master!$A$2:'Master'!$A$4384&amp;Master!$C$2:'Master'!$C$4384,0))</f>
        <v>99</v>
      </c>
      <c r="BG32" s="21" cm="1">
        <f t="array" aca="1" ref="BG32" ca="1">INDEX(Master!$I$2:'Master'!$I$4384,MATCH($A32&amp;BG$2,Master!$A$2:'Master'!$A$4384&amp;Master!$C$2:'Master'!$C$4384,0))</f>
        <v>99</v>
      </c>
      <c r="BH32" s="21" cm="1">
        <f t="array" aca="1" ref="BH32" ca="1">INDEX(Master!$I$2:'Master'!$I$4384,MATCH($A32&amp;BH$2,Master!$A$2:'Master'!$A$4384&amp;Master!$C$2:'Master'!$C$4384,0))</f>
        <v>99</v>
      </c>
      <c r="BI32" s="21" cm="1">
        <f t="array" aca="1" ref="BI32" ca="1">INDEX(Master!$I$2:'Master'!$I$4384,MATCH($A32&amp;BI$2,Master!$A$2:'Master'!$A$4384&amp;Master!$C$2:'Master'!$C$4384,0))</f>
        <v>99</v>
      </c>
      <c r="BJ32" s="21" cm="1">
        <f t="array" aca="1" ref="BJ32" ca="1">INDEX(Master!$I$2:'Master'!$I$4384,MATCH($A32&amp;BJ$2,Master!$A$2:'Master'!$A$4384&amp;Master!$C$2:'Master'!$C$4384,0))</f>
        <v>99</v>
      </c>
      <c r="BK32" s="21" cm="1">
        <f t="array" aca="1" ref="BK32" ca="1">INDEX(Master!$I$2:'Master'!$I$4384,MATCH($A32&amp;BK$2,Master!$A$2:'Master'!$A$4384&amp;Master!$C$2:'Master'!$C$4384,0))</f>
        <v>99</v>
      </c>
      <c r="BL32" s="21" cm="1">
        <f t="array" aca="1" ref="BL32" ca="1">INDEX(Master!$I$2:'Master'!$I$4384,MATCH($A32&amp;BL$2,Master!$A$2:'Master'!$A$4384&amp;Master!$C$2:'Master'!$C$4384,0))</f>
        <v>99</v>
      </c>
      <c r="BM32" s="21" cm="1">
        <f t="array" aca="1" ref="BM32" ca="1">INDEX(Master!$I$2:'Master'!$I$4384,MATCH($A32&amp;BM$2,Master!$A$2:'Master'!$A$4384&amp;Master!$C$2:'Master'!$C$4384,0))</f>
        <v>99</v>
      </c>
      <c r="BN32" s="21" cm="1">
        <f t="array" aca="1" ref="BN32" ca="1">INDEX(Master!$I$2:'Master'!$I$4384,MATCH($A32&amp;BN$2,Master!$A$2:'Master'!$A$4384&amp;Master!$C$2:'Master'!$C$4384,0))</f>
        <v>99</v>
      </c>
      <c r="BO32" s="21" cm="1">
        <f t="array" aca="1" ref="BO32" ca="1">INDEX(Master!$I$2:'Master'!$I$4384,MATCH($A32&amp;BO$2,Master!$A$2:'Master'!$A$4384&amp;Master!$C$2:'Master'!$C$4384,0))</f>
        <v>99</v>
      </c>
      <c r="BP32" s="21" cm="1">
        <f t="array" aca="1" ref="BP32" ca="1">INDEX(Master!$I$2:'Master'!$I$4384,MATCH($A32&amp;BP$2,Master!$A$2:'Master'!$A$4384&amp;Master!$C$2:'Master'!$C$4384,0))</f>
        <v>99</v>
      </c>
      <c r="BQ32" s="21" cm="1">
        <f t="array" aca="1" ref="BQ32" ca="1">INDEX(Master!$I$2:'Master'!$I$4384,MATCH($A32&amp;BQ$2,Master!$A$2:'Master'!$A$4384&amp;Master!$C$2:'Master'!$C$4384,0))</f>
        <v>99</v>
      </c>
      <c r="BR32" s="21" cm="1">
        <f t="array" aca="1" ref="BR32" ca="1">INDEX(Master!$I$2:'Master'!$I$4384,MATCH($A32&amp;BR$2,Master!$A$2:'Master'!$A$4384&amp;Master!$C$2:'Master'!$C$4384,0))</f>
        <v>99</v>
      </c>
      <c r="BS32" s="21" cm="1">
        <f t="array" aca="1" ref="BS32" ca="1">INDEX(Master!$I$2:'Master'!$I$4384,MATCH($A32&amp;BS$2,Master!$A$2:'Master'!$A$4384&amp;Master!$C$2:'Master'!$C$4384,0))</f>
        <v>99</v>
      </c>
      <c r="BT32" s="21" cm="1">
        <f t="array" aca="1" ref="BT32" ca="1">INDEX(Master!$I$2:'Master'!$I$4384,MATCH($A32&amp;BT$2,Master!$A$2:'Master'!$A$4384&amp;Master!$C$2:'Master'!$C$4384,0))</f>
        <v>99</v>
      </c>
      <c r="BU32" s="21" cm="1">
        <f t="array" aca="1" ref="BU32" ca="1">INDEX(Master!$I$2:'Master'!$I$4384,MATCH($A32&amp;BU$2,Master!$A$2:'Master'!$A$4384&amp;Master!$C$2:'Master'!$C$4384,0))</f>
        <v>99</v>
      </c>
      <c r="BV32" s="21" cm="1">
        <f t="array" aca="1" ref="BV32" ca="1">INDEX(Master!$I$2:'Master'!$I$4384,MATCH($A32&amp;BV$2,Master!$A$2:'Master'!$A$4384&amp;Master!$C$2:'Master'!$C$4384,0))</f>
        <v>99</v>
      </c>
      <c r="BW32" s="21" cm="1">
        <f t="array" aca="1" ref="BW32" ca="1">INDEX(Master!$I$2:'Master'!$I$4384,MATCH($A32&amp;BW$2,Master!$A$2:'Master'!$A$4384&amp;Master!$C$2:'Master'!$C$4384,0))</f>
        <v>99</v>
      </c>
      <c r="BX32" s="21" cm="1">
        <f t="array" aca="1" ref="BX32" ca="1">INDEX(Master!$I$2:'Master'!$I$4384,MATCH($A32&amp;BX$2,Master!$A$2:'Master'!$A$4384&amp;Master!$C$2:'Master'!$C$4384,0))</f>
        <v>99</v>
      </c>
      <c r="BY32" s="21" cm="1">
        <f t="array" aca="1" ref="BY32" ca="1">INDEX(Master!$I$2:'Master'!$I$4384,MATCH($A32&amp;BY$2,Master!$A$2:'Master'!$A$4384&amp;Master!$C$2:'Master'!$C$4384,0))</f>
        <v>99</v>
      </c>
      <c r="BZ32" s="21" cm="1">
        <f t="array" aca="1" ref="BZ32" ca="1">INDEX(Master!$I$2:'Master'!$I$4384,MATCH($A32&amp;BZ$2,Master!$A$2:'Master'!$A$4384&amp;Master!$C$2:'Master'!$C$4384,0))</f>
        <v>99</v>
      </c>
      <c r="CA32" s="21" cm="1">
        <f t="array" aca="1" ref="CA32" ca="1">INDEX(Master!$I$2:'Master'!$I$4384,MATCH($A32&amp;CA$2,Master!$A$2:'Master'!$A$4384&amp;Master!$C$2:'Master'!$C$4384,0))</f>
        <v>99</v>
      </c>
      <c r="CB32" s="21" cm="1">
        <f t="array" aca="1" ref="CB32" ca="1">INDEX(Master!$I$2:'Master'!$I$4384,MATCH($A32&amp;CB$2,Master!$A$2:'Master'!$A$4384&amp;Master!$C$2:'Master'!$C$4384,0))</f>
        <v>99</v>
      </c>
      <c r="CC32" s="21" cm="1">
        <f t="array" aca="1" ref="CC32" ca="1">INDEX(Master!$I$2:'Master'!$I$4384,MATCH($A32&amp;CC$2,Master!$A$2:'Master'!$A$4384&amp;Master!$C$2:'Master'!$C$4384,0))</f>
        <v>99</v>
      </c>
      <c r="CD32" s="21" cm="1">
        <f t="array" aca="1" ref="CD32" ca="1">INDEX(Master!$I$2:'Master'!$I$4384,MATCH($A32&amp;CD$2,Master!$A$2:'Master'!$A$4384&amp;Master!$C$2:'Master'!$C$4384,0))</f>
        <v>99</v>
      </c>
      <c r="CE32" s="21" cm="1">
        <f t="array" aca="1" ref="CE32" ca="1">INDEX(Master!$I$2:'Master'!$I$4384,MATCH($A32&amp;CE$2,Master!$A$2:'Master'!$A$4384&amp;Master!$C$2:'Master'!$C$4384,0))</f>
        <v>99</v>
      </c>
      <c r="CF32" s="21" cm="1">
        <f t="array" aca="1" ref="CF32" ca="1">INDEX(Master!$I$2:'Master'!$I$4384,MATCH($A32&amp;CF$2,Master!$A$2:'Master'!$A$4384&amp;Master!$C$2:'Master'!$C$4384,0))</f>
        <v>99</v>
      </c>
      <c r="CG32" s="21" cm="1">
        <f t="array" aca="1" ref="CG32" ca="1">INDEX(Master!$I$2:'Master'!$I$4384,MATCH($A32&amp;CG$2,Master!$A$2:'Master'!$A$4384&amp;Master!$C$2:'Master'!$C$4384,0))</f>
        <v>99</v>
      </c>
      <c r="CH32" s="21" cm="1">
        <f t="array" aca="1" ref="CH32" ca="1">INDEX(Master!$I$2:'Master'!$I$4384,MATCH($A32&amp;CH$2,Master!$A$2:'Master'!$A$4384&amp;Master!$C$2:'Master'!$C$4384,0))</f>
        <v>99</v>
      </c>
      <c r="CI32" s="21" cm="1">
        <f t="array" aca="1" ref="CI32" ca="1">INDEX(Master!$I$2:'Master'!$I$4384,MATCH($A32&amp;CI$2,Master!$A$2:'Master'!$A$4384&amp;Master!$C$2:'Master'!$C$4384,0))</f>
        <v>99</v>
      </c>
      <c r="CJ32" s="21" cm="1">
        <f t="array" aca="1" ref="CJ32" ca="1">INDEX(Master!$I$2:'Master'!$I$4384,MATCH($A32&amp;CJ$2,Master!$A$2:'Master'!$A$4384&amp;Master!$C$2:'Master'!$C$4384,0))</f>
        <v>99</v>
      </c>
      <c r="CK32" s="21" cm="1">
        <f t="array" aca="1" ref="CK32" ca="1">INDEX(Master!$I$2:'Master'!$I$4384,MATCH($A32&amp;CK$2,Master!$A$2:'Master'!$A$4384&amp;Master!$C$2:'Master'!$C$4384,0))</f>
        <v>99</v>
      </c>
      <c r="CL32" s="21" cm="1">
        <f t="array" aca="1" ref="CL32" ca="1">INDEX(Master!$I$2:'Master'!$I$4384,MATCH($A32&amp;CL$2,Master!$A$2:'Master'!$A$4384&amp;Master!$C$2:'Master'!$C$4384,0))</f>
        <v>99</v>
      </c>
      <c r="CM32" s="21" cm="1">
        <f t="array" aca="1" ref="CM32" ca="1">INDEX(Master!$I$2:'Master'!$I$4384,MATCH($A32&amp;CM$2,Master!$A$2:'Master'!$A$4384&amp;Master!$C$2:'Master'!$C$4384,0))</f>
        <v>99</v>
      </c>
      <c r="CN32" s="21" cm="1">
        <f t="array" aca="1" ref="CN32" ca="1">INDEX(Master!$I$2:'Master'!$I$4384,MATCH($A32&amp;CN$2,Master!$A$2:'Master'!$A$4384&amp;Master!$C$2:'Master'!$C$4384,0))</f>
        <v>99</v>
      </c>
      <c r="CO32" s="21" cm="1">
        <f t="array" aca="1" ref="CO32" ca="1">INDEX(Master!$I$2:'Master'!$I$4384,MATCH($A32&amp;CO$2,Master!$A$2:'Master'!$A$4384&amp;Master!$C$2:'Master'!$C$4384,0))</f>
        <v>99</v>
      </c>
      <c r="CP32" s="21" cm="1">
        <f t="array" aca="1" ref="CP32" ca="1">INDEX(Master!$I$2:'Master'!$I$4384,MATCH($A32&amp;CP$2,Master!$A$2:'Master'!$A$4384&amp;Master!$C$2:'Master'!$C$4384,0))</f>
        <v>99</v>
      </c>
      <c r="CQ32" s="21" cm="1">
        <f t="array" aca="1" ref="CQ32" ca="1">INDEX(Master!$I$2:'Master'!$I$4384,MATCH($A32&amp;CQ$2,Master!$A$2:'Master'!$A$4384&amp;Master!$C$2:'Master'!$C$4384,0))</f>
        <v>99</v>
      </c>
      <c r="CR32" s="21" cm="1">
        <f t="array" aca="1" ref="CR32" ca="1">INDEX(Master!$I$2:'Master'!$I$4384,MATCH($A32&amp;CR$2,Master!$A$2:'Master'!$A$4384&amp;Master!$C$2:'Master'!$C$4384,0))</f>
        <v>99</v>
      </c>
      <c r="CS32" s="21" cm="1">
        <f t="array" aca="1" ref="CS32" ca="1">INDEX(Master!$I$2:'Master'!$I$4384,MATCH($A32&amp;CS$2,Master!$A$2:'Master'!$A$4384&amp;Master!$C$2:'Master'!$C$4384,0))</f>
        <v>99</v>
      </c>
    </row>
    <row r="33" spans="1:97">
      <c r="A33" t="str">
        <f>VLOOKUP(Staff!$A31,Staff!$A$1:A$73,1,FALSE)</f>
        <v>Hercule Poirot</v>
      </c>
      <c r="B33" s="21" cm="1">
        <f t="array" aca="1" ref="B33" ca="1">INDEX(Master!$I$2:'Master'!$I$4384,MATCH($A33&amp;B$2,Master!$A$2:'Master'!$A$4384&amp;Master!$C$2:'Master'!$C$4384,0))</f>
        <v>99</v>
      </c>
      <c r="C33" s="21" cm="1">
        <f t="array" aca="1" ref="C33" ca="1">INDEX(Master!$I$2:'Master'!$I$4384,MATCH($A33&amp;C$2,Master!$A$2:'Master'!$A$4384&amp;Master!$C$2:'Master'!$C$4384,0))</f>
        <v>99</v>
      </c>
      <c r="D33" s="21" cm="1">
        <f t="array" aca="1" ref="D33" ca="1">INDEX(Master!$I$2:'Master'!$I$4384,MATCH($A33&amp;D$2,Master!$A$2:'Master'!$A$4384&amp;Master!$C$2:'Master'!$C$4384,0))</f>
        <v>99</v>
      </c>
      <c r="E33" s="21" cm="1">
        <f t="array" aca="1" ref="E33" ca="1">INDEX(Master!$I$2:'Master'!$I$4384,MATCH($A33&amp;E$2,Master!$A$2:'Master'!$A$4384&amp;Master!$C$2:'Master'!$C$4384,0))</f>
        <v>99</v>
      </c>
      <c r="F33" s="21" cm="1">
        <f t="array" aca="1" ref="F33" ca="1">INDEX(Master!$I$2:'Master'!$I$4384,MATCH($A33&amp;F$2,Master!$A$2:'Master'!$A$4384&amp;Master!$C$2:'Master'!$C$4384,0))</f>
        <v>99</v>
      </c>
      <c r="G33" s="21" cm="1">
        <f t="array" aca="1" ref="G33" ca="1">INDEX(Master!$I$2:'Master'!$I$4384,MATCH($A33&amp;G$2,Master!$A$2:'Master'!$A$4384&amp;Master!$C$2:'Master'!$C$4384,0))</f>
        <v>99</v>
      </c>
      <c r="H33" s="21" cm="1">
        <f t="array" aca="1" ref="H33" ca="1">INDEX(Master!$I$2:'Master'!$I$4384,MATCH($A33&amp;H$2,Master!$A$2:'Master'!$A$4384&amp;Master!$C$2:'Master'!$C$4384,0))</f>
        <v>99</v>
      </c>
      <c r="I33" s="21" cm="1">
        <f t="array" aca="1" ref="I33" ca="1">INDEX(Master!$I$2:'Master'!$I$4384,MATCH($A33&amp;I$2,Master!$A$2:'Master'!$A$4384&amp;Master!$C$2:'Master'!$C$4384,0))</f>
        <v>99</v>
      </c>
      <c r="J33" s="21" cm="1">
        <f t="array" aca="1" ref="J33" ca="1">INDEX(Master!$I$2:'Master'!$I$4384,MATCH($A33&amp;J$2,Master!$A$2:'Master'!$A$4384&amp;Master!$C$2:'Master'!$C$4384,0))</f>
        <v>99</v>
      </c>
      <c r="K33" s="21" cm="1">
        <f t="array" aca="1" ref="K33" ca="1">INDEX(Master!$I$2:'Master'!$I$4384,MATCH($A33&amp;K$2,Master!$A$2:'Master'!$A$4384&amp;Master!$C$2:'Master'!$C$4384,0))</f>
        <v>99</v>
      </c>
      <c r="L33" s="21" cm="1">
        <f t="array" aca="1" ref="L33" ca="1">INDEX(Master!$I$2:'Master'!$I$4384,MATCH($A33&amp;L$2,Master!$A$2:'Master'!$A$4384&amp;Master!$C$2:'Master'!$C$4384,0))</f>
        <v>99</v>
      </c>
      <c r="M33" s="21" cm="1">
        <f t="array" aca="1" ref="M33" ca="1">INDEX(Master!$I$2:'Master'!$I$4384,MATCH($A33&amp;M$2,Master!$A$2:'Master'!$A$4384&amp;Master!$C$2:'Master'!$C$4384,0))</f>
        <v>99</v>
      </c>
      <c r="N33" s="21" cm="1">
        <f t="array" aca="1" ref="N33" ca="1">INDEX(Master!$I$2:'Master'!$I$4384,MATCH($A33&amp;N$2,Master!$A$2:'Master'!$A$4384&amp;Master!$C$2:'Master'!$C$4384,0))</f>
        <v>99</v>
      </c>
      <c r="O33" s="21" cm="1">
        <f t="array" aca="1" ref="O33" ca="1">INDEX(Master!$I$2:'Master'!$I$4384,MATCH($A33&amp;O$2,Master!$A$2:'Master'!$A$4384&amp;Master!$C$2:'Master'!$C$4384,0))</f>
        <v>99</v>
      </c>
      <c r="P33" s="21" cm="1">
        <f t="array" aca="1" ref="P33" ca="1">INDEX(Master!$I$2:'Master'!$I$4384,MATCH($A33&amp;P$2,Master!$A$2:'Master'!$A$4384&amp;Master!$C$2:'Master'!$C$4384,0))</f>
        <v>99</v>
      </c>
      <c r="Q33" s="21" cm="1">
        <f t="array" aca="1" ref="Q33" ca="1">INDEX(Master!$I$2:'Master'!$I$4384,MATCH($A33&amp;Q$2,Master!$A$2:'Master'!$A$4384&amp;Master!$C$2:'Master'!$C$4384,0))</f>
        <v>99</v>
      </c>
      <c r="R33" s="21" cm="1">
        <f t="array" aca="1" ref="R33" ca="1">INDEX(Master!$I$2:'Master'!$I$4384,MATCH($A33&amp;R$2,Master!$A$2:'Master'!$A$4384&amp;Master!$C$2:'Master'!$C$4384,0))</f>
        <v>99</v>
      </c>
      <c r="S33" s="21" cm="1">
        <f t="array" aca="1" ref="S33" ca="1">INDEX(Master!$I$2:'Master'!$I$4384,MATCH($A33&amp;S$2,Master!$A$2:'Master'!$A$4384&amp;Master!$C$2:'Master'!$C$4384,0))</f>
        <v>99</v>
      </c>
      <c r="T33" s="21" cm="1">
        <f t="array" aca="1" ref="T33" ca="1">INDEX(Master!$I$2:'Master'!$I$4384,MATCH($A33&amp;T$2,Master!$A$2:'Master'!$A$4384&amp;Master!$C$2:'Master'!$C$4384,0))</f>
        <v>99</v>
      </c>
      <c r="U33" s="21" cm="1">
        <f t="array" aca="1" ref="U33" ca="1">INDEX(Master!$I$2:'Master'!$I$4384,MATCH($A33&amp;U$2,Master!$A$2:'Master'!$A$4384&amp;Master!$C$2:'Master'!$C$4384,0))</f>
        <v>99</v>
      </c>
      <c r="V33" s="21" cm="1">
        <f t="array" aca="1" ref="V33" ca="1">INDEX(Master!$I$2:'Master'!$I$4384,MATCH($A33&amp;V$2,Master!$A$2:'Master'!$A$4384&amp;Master!$C$2:'Master'!$C$4384,0))</f>
        <v>99</v>
      </c>
      <c r="W33" s="21" cm="1">
        <f t="array" aca="1" ref="W33" ca="1">INDEX(Master!$I$2:'Master'!$I$4384,MATCH($A33&amp;W$2,Master!$A$2:'Master'!$A$4384&amp;Master!$C$2:'Master'!$C$4384,0))</f>
        <v>99</v>
      </c>
      <c r="X33" s="21" cm="1">
        <f t="array" aca="1" ref="X33" ca="1">INDEX(Master!$I$2:'Master'!$I$4384,MATCH($A33&amp;X$2,Master!$A$2:'Master'!$A$4384&amp;Master!$C$2:'Master'!$C$4384,0))</f>
        <v>99</v>
      </c>
      <c r="Y33" s="21" cm="1">
        <f t="array" aca="1" ref="Y33" ca="1">INDEX(Master!$I$2:'Master'!$I$4384,MATCH($A33&amp;Y$2,Master!$A$2:'Master'!$A$4384&amp;Master!$C$2:'Master'!$C$4384,0))</f>
        <v>99</v>
      </c>
      <c r="Z33" s="21" cm="1">
        <f t="array" aca="1" ref="Z33" ca="1">INDEX(Master!$I$2:'Master'!$I$4384,MATCH($A33&amp;Z$2,Master!$A$2:'Master'!$A$4384&amp;Master!$C$2:'Master'!$C$4384,0))</f>
        <v>99</v>
      </c>
      <c r="AA33" s="21" cm="1">
        <f t="array" aca="1" ref="AA33" ca="1">INDEX(Master!$I$2:'Master'!$I$4384,MATCH($A33&amp;AA$2,Master!$A$2:'Master'!$A$4384&amp;Master!$C$2:'Master'!$C$4384,0))</f>
        <v>99</v>
      </c>
      <c r="AB33" s="21" cm="1">
        <f t="array" aca="1" ref="AB33" ca="1">INDEX(Master!$I$2:'Master'!$I$4384,MATCH($A33&amp;AB$2,Master!$A$2:'Master'!$A$4384&amp;Master!$C$2:'Master'!$C$4384,0))</f>
        <v>99</v>
      </c>
      <c r="AC33" s="21" cm="1">
        <f t="array" aca="1" ref="AC33" ca="1">INDEX(Master!$I$2:'Master'!$I$4384,MATCH($A33&amp;AC$2,Master!$A$2:'Master'!$A$4384&amp;Master!$C$2:'Master'!$C$4384,0))</f>
        <v>99</v>
      </c>
      <c r="AD33" s="21" cm="1">
        <f t="array" aca="1" ref="AD33" ca="1">INDEX(Master!$I$2:'Master'!$I$4384,MATCH($A33&amp;AD$2,Master!$A$2:'Master'!$A$4384&amp;Master!$C$2:'Master'!$C$4384,0))</f>
        <v>99</v>
      </c>
      <c r="AE33" s="21" cm="1">
        <f t="array" aca="1" ref="AE33" ca="1">INDEX(Master!$I$2:'Master'!$I$4384,MATCH($A33&amp;AE$2,Master!$A$2:'Master'!$A$4384&amp;Master!$C$2:'Master'!$C$4384,0))</f>
        <v>99</v>
      </c>
      <c r="AF33" s="21" cm="1">
        <f t="array" aca="1" ref="AF33" ca="1">INDEX(Master!$I$2:'Master'!$I$4384,MATCH($A33&amp;AF$2,Master!$A$2:'Master'!$A$4384&amp;Master!$C$2:'Master'!$C$4384,0))</f>
        <v>99</v>
      </c>
      <c r="AG33" s="21" cm="1">
        <f t="array" aca="1" ref="AG33" ca="1">INDEX(Master!$I$2:'Master'!$I$4384,MATCH($A33&amp;AG$2,Master!$A$2:'Master'!$A$4384&amp;Master!$C$2:'Master'!$C$4384,0))</f>
        <v>99</v>
      </c>
      <c r="AH33" s="21" cm="1">
        <f t="array" aca="1" ref="AH33" ca="1">INDEX(Master!$I$2:'Master'!$I$4384,MATCH($A33&amp;AH$2,Master!$A$2:'Master'!$A$4384&amp;Master!$C$2:'Master'!$C$4384,0))</f>
        <v>99</v>
      </c>
      <c r="AI33" s="21" cm="1">
        <f t="array" aca="1" ref="AI33" ca="1">INDEX(Master!$I$2:'Master'!$I$4384,MATCH($A33&amp;AI$2,Master!$A$2:'Master'!$A$4384&amp;Master!$C$2:'Master'!$C$4384,0))</f>
        <v>99</v>
      </c>
      <c r="AJ33" s="21" cm="1">
        <f t="array" aca="1" ref="AJ33" ca="1">INDEX(Master!$I$2:'Master'!$I$4384,MATCH($A33&amp;AJ$2,Master!$A$2:'Master'!$A$4384&amp;Master!$C$2:'Master'!$C$4384,0))</f>
        <v>99</v>
      </c>
      <c r="AK33" s="21" cm="1">
        <f t="array" aca="1" ref="AK33" ca="1">INDEX(Master!$I$2:'Master'!$I$4384,MATCH($A33&amp;AK$2,Master!$A$2:'Master'!$A$4384&amp;Master!$C$2:'Master'!$C$4384,0))</f>
        <v>99</v>
      </c>
      <c r="AL33" s="21" cm="1">
        <f t="array" aca="1" ref="AL33" ca="1">INDEX(Master!$I$2:'Master'!$I$4384,MATCH($A33&amp;AL$2,Master!$A$2:'Master'!$A$4384&amp;Master!$C$2:'Master'!$C$4384,0))</f>
        <v>99</v>
      </c>
      <c r="AM33" s="21" cm="1">
        <f t="array" aca="1" ref="AM33" ca="1">INDEX(Master!$I$2:'Master'!$I$4384,MATCH($A33&amp;AM$2,Master!$A$2:'Master'!$A$4384&amp;Master!$C$2:'Master'!$C$4384,0))</f>
        <v>99</v>
      </c>
      <c r="AN33" s="21" cm="1">
        <f t="array" aca="1" ref="AN33" ca="1">INDEX(Master!$I$2:'Master'!$I$4384,MATCH($A33&amp;AN$2,Master!$A$2:'Master'!$A$4384&amp;Master!$C$2:'Master'!$C$4384,0))</f>
        <v>99</v>
      </c>
      <c r="AO33" s="21" cm="1">
        <f t="array" aca="1" ref="AO33" ca="1">INDEX(Master!$I$2:'Master'!$I$4384,MATCH($A33&amp;AO$2,Master!$A$2:'Master'!$A$4384&amp;Master!$C$2:'Master'!$C$4384,0))</f>
        <v>99</v>
      </c>
      <c r="AP33" s="21" cm="1">
        <f t="array" aca="1" ref="AP33" ca="1">INDEX(Master!$I$2:'Master'!$I$4384,MATCH($A33&amp;AP$2,Master!$A$2:'Master'!$A$4384&amp;Master!$C$2:'Master'!$C$4384,0))</f>
        <v>99</v>
      </c>
      <c r="AQ33" s="21" cm="1">
        <f t="array" aca="1" ref="AQ33" ca="1">INDEX(Master!$I$2:'Master'!$I$4384,MATCH($A33&amp;AQ$2,Master!$A$2:'Master'!$A$4384&amp;Master!$C$2:'Master'!$C$4384,0))</f>
        <v>99</v>
      </c>
      <c r="AR33" s="21" cm="1">
        <f t="array" aca="1" ref="AR33" ca="1">INDEX(Master!$I$2:'Master'!$I$4384,MATCH($A33&amp;AR$2,Master!$A$2:'Master'!$A$4384&amp;Master!$C$2:'Master'!$C$4384,0))</f>
        <v>99</v>
      </c>
      <c r="AS33" s="21" cm="1">
        <f t="array" aca="1" ref="AS33" ca="1">INDEX(Master!$I$2:'Master'!$I$4384,MATCH($A33&amp;AS$2,Master!$A$2:'Master'!$A$4384&amp;Master!$C$2:'Master'!$C$4384,0))</f>
        <v>99</v>
      </c>
      <c r="AT33" s="21" cm="1">
        <f t="array" aca="1" ref="AT33" ca="1">INDEX(Master!$I$2:'Master'!$I$4384,MATCH($A33&amp;AT$2,Master!$A$2:'Master'!$A$4384&amp;Master!$C$2:'Master'!$C$4384,0))</f>
        <v>99</v>
      </c>
      <c r="AU33" s="21" cm="1">
        <f t="array" aca="1" ref="AU33" ca="1">INDEX(Master!$I$2:'Master'!$I$4384,MATCH($A33&amp;AU$2,Master!$A$2:'Master'!$A$4384&amp;Master!$C$2:'Master'!$C$4384,0))</f>
        <v>99</v>
      </c>
      <c r="AV33" s="21" cm="1">
        <f t="array" aca="1" ref="AV33" ca="1">INDEX(Master!$I$2:'Master'!$I$4384,MATCH($A33&amp;AV$2,Master!$A$2:'Master'!$A$4384&amp;Master!$C$2:'Master'!$C$4384,0))</f>
        <v>99</v>
      </c>
      <c r="AW33" s="21" cm="1">
        <f t="array" aca="1" ref="AW33" ca="1">INDEX(Master!$I$2:'Master'!$I$4384,MATCH($A33&amp;AW$2,Master!$A$2:'Master'!$A$4384&amp;Master!$C$2:'Master'!$C$4384,0))</f>
        <v>99</v>
      </c>
      <c r="AX33" s="21" cm="1">
        <f t="array" aca="1" ref="AX33" ca="1">INDEX(Master!$I$2:'Master'!$I$4384,MATCH($A33&amp;AX$2,Master!$A$2:'Master'!$A$4384&amp;Master!$C$2:'Master'!$C$4384,0))</f>
        <v>99</v>
      </c>
      <c r="AY33" s="21" cm="1">
        <f t="array" aca="1" ref="AY33" ca="1">INDEX(Master!$I$2:'Master'!$I$4384,MATCH($A33&amp;AY$2,Master!$A$2:'Master'!$A$4384&amp;Master!$C$2:'Master'!$C$4384,0))</f>
        <v>99</v>
      </c>
      <c r="AZ33" s="21" cm="1">
        <f t="array" aca="1" ref="AZ33" ca="1">INDEX(Master!$I$2:'Master'!$I$4384,MATCH($A33&amp;AZ$2,Master!$A$2:'Master'!$A$4384&amp;Master!$C$2:'Master'!$C$4384,0))</f>
        <v>99</v>
      </c>
      <c r="BA33" s="21" cm="1">
        <f t="array" aca="1" ref="BA33" ca="1">INDEX(Master!$I$2:'Master'!$I$4384,MATCH($A33&amp;BA$2,Master!$A$2:'Master'!$A$4384&amp;Master!$C$2:'Master'!$C$4384,0))</f>
        <v>99</v>
      </c>
      <c r="BB33" s="21" cm="1">
        <f t="array" aca="1" ref="BB33" ca="1">INDEX(Master!$I$2:'Master'!$I$4384,MATCH($A33&amp;BB$2,Master!$A$2:'Master'!$A$4384&amp;Master!$C$2:'Master'!$C$4384,0))</f>
        <v>99</v>
      </c>
      <c r="BC33" s="21" cm="1">
        <f t="array" aca="1" ref="BC33" ca="1">INDEX(Master!$I$2:'Master'!$I$4384,MATCH($A33&amp;BC$2,Master!$A$2:'Master'!$A$4384&amp;Master!$C$2:'Master'!$C$4384,0))</f>
        <v>99</v>
      </c>
      <c r="BD33" s="21" cm="1">
        <f t="array" aca="1" ref="BD33" ca="1">INDEX(Master!$I$2:'Master'!$I$4384,MATCH($A33&amp;BD$2,Master!$A$2:'Master'!$A$4384&amp;Master!$C$2:'Master'!$C$4384,0))</f>
        <v>99</v>
      </c>
      <c r="BE33" s="21" cm="1">
        <f t="array" aca="1" ref="BE33" ca="1">INDEX(Master!$I$2:'Master'!$I$4384,MATCH($A33&amp;BE$2,Master!$A$2:'Master'!$A$4384&amp;Master!$C$2:'Master'!$C$4384,0))</f>
        <v>99</v>
      </c>
      <c r="BF33" s="21" cm="1">
        <f t="array" aca="1" ref="BF33" ca="1">INDEX(Master!$I$2:'Master'!$I$4384,MATCH($A33&amp;BF$2,Master!$A$2:'Master'!$A$4384&amp;Master!$C$2:'Master'!$C$4384,0))</f>
        <v>99</v>
      </c>
      <c r="BG33" s="21" cm="1">
        <f t="array" aca="1" ref="BG33" ca="1">INDEX(Master!$I$2:'Master'!$I$4384,MATCH($A33&amp;BG$2,Master!$A$2:'Master'!$A$4384&amp;Master!$C$2:'Master'!$C$4384,0))</f>
        <v>99</v>
      </c>
      <c r="BH33" s="21" cm="1">
        <f t="array" aca="1" ref="BH33" ca="1">INDEX(Master!$I$2:'Master'!$I$4384,MATCH($A33&amp;BH$2,Master!$A$2:'Master'!$A$4384&amp;Master!$C$2:'Master'!$C$4384,0))</f>
        <v>99</v>
      </c>
      <c r="BI33" s="21" cm="1">
        <f t="array" aca="1" ref="BI33" ca="1">INDEX(Master!$I$2:'Master'!$I$4384,MATCH($A33&amp;BI$2,Master!$A$2:'Master'!$A$4384&amp;Master!$C$2:'Master'!$C$4384,0))</f>
        <v>99</v>
      </c>
      <c r="BJ33" s="21" cm="1">
        <f t="array" aca="1" ref="BJ33" ca="1">INDEX(Master!$I$2:'Master'!$I$4384,MATCH($A33&amp;BJ$2,Master!$A$2:'Master'!$A$4384&amp;Master!$C$2:'Master'!$C$4384,0))</f>
        <v>99</v>
      </c>
      <c r="BK33" s="21" cm="1">
        <f t="array" aca="1" ref="BK33" ca="1">INDEX(Master!$I$2:'Master'!$I$4384,MATCH($A33&amp;BK$2,Master!$A$2:'Master'!$A$4384&amp;Master!$C$2:'Master'!$C$4384,0))</f>
        <v>99</v>
      </c>
      <c r="BL33" s="21" cm="1">
        <f t="array" aca="1" ref="BL33" ca="1">INDEX(Master!$I$2:'Master'!$I$4384,MATCH($A33&amp;BL$2,Master!$A$2:'Master'!$A$4384&amp;Master!$C$2:'Master'!$C$4384,0))</f>
        <v>99</v>
      </c>
      <c r="BM33" s="21" cm="1">
        <f t="array" aca="1" ref="BM33" ca="1">INDEX(Master!$I$2:'Master'!$I$4384,MATCH($A33&amp;BM$2,Master!$A$2:'Master'!$A$4384&amp;Master!$C$2:'Master'!$C$4384,0))</f>
        <v>99</v>
      </c>
      <c r="BN33" s="21" cm="1">
        <f t="array" aca="1" ref="BN33" ca="1">INDEX(Master!$I$2:'Master'!$I$4384,MATCH($A33&amp;BN$2,Master!$A$2:'Master'!$A$4384&amp;Master!$C$2:'Master'!$C$4384,0))</f>
        <v>99</v>
      </c>
      <c r="BO33" s="21" cm="1">
        <f t="array" aca="1" ref="BO33" ca="1">INDEX(Master!$I$2:'Master'!$I$4384,MATCH($A33&amp;BO$2,Master!$A$2:'Master'!$A$4384&amp;Master!$C$2:'Master'!$C$4384,0))</f>
        <v>99</v>
      </c>
      <c r="BP33" s="21" cm="1">
        <f t="array" aca="1" ref="BP33" ca="1">INDEX(Master!$I$2:'Master'!$I$4384,MATCH($A33&amp;BP$2,Master!$A$2:'Master'!$A$4384&amp;Master!$C$2:'Master'!$C$4384,0))</f>
        <v>99</v>
      </c>
      <c r="BQ33" s="21" cm="1">
        <f t="array" aca="1" ref="BQ33" ca="1">INDEX(Master!$I$2:'Master'!$I$4384,MATCH($A33&amp;BQ$2,Master!$A$2:'Master'!$A$4384&amp;Master!$C$2:'Master'!$C$4384,0))</f>
        <v>99</v>
      </c>
      <c r="BR33" s="21" cm="1">
        <f t="array" aca="1" ref="BR33" ca="1">INDEX(Master!$I$2:'Master'!$I$4384,MATCH($A33&amp;BR$2,Master!$A$2:'Master'!$A$4384&amp;Master!$C$2:'Master'!$C$4384,0))</f>
        <v>99</v>
      </c>
      <c r="BS33" s="21" cm="1">
        <f t="array" aca="1" ref="BS33" ca="1">INDEX(Master!$I$2:'Master'!$I$4384,MATCH($A33&amp;BS$2,Master!$A$2:'Master'!$A$4384&amp;Master!$C$2:'Master'!$C$4384,0))</f>
        <v>99</v>
      </c>
      <c r="BT33" s="21" cm="1">
        <f t="array" aca="1" ref="BT33" ca="1">INDEX(Master!$I$2:'Master'!$I$4384,MATCH($A33&amp;BT$2,Master!$A$2:'Master'!$A$4384&amp;Master!$C$2:'Master'!$C$4384,0))</f>
        <v>99</v>
      </c>
      <c r="BU33" s="21" cm="1">
        <f t="array" aca="1" ref="BU33" ca="1">INDEX(Master!$I$2:'Master'!$I$4384,MATCH($A33&amp;BU$2,Master!$A$2:'Master'!$A$4384&amp;Master!$C$2:'Master'!$C$4384,0))</f>
        <v>99</v>
      </c>
      <c r="BV33" s="21" cm="1">
        <f t="array" aca="1" ref="BV33" ca="1">INDEX(Master!$I$2:'Master'!$I$4384,MATCH($A33&amp;BV$2,Master!$A$2:'Master'!$A$4384&amp;Master!$C$2:'Master'!$C$4384,0))</f>
        <v>99</v>
      </c>
      <c r="BW33" s="21" cm="1">
        <f t="array" aca="1" ref="BW33" ca="1">INDEX(Master!$I$2:'Master'!$I$4384,MATCH($A33&amp;BW$2,Master!$A$2:'Master'!$A$4384&amp;Master!$C$2:'Master'!$C$4384,0))</f>
        <v>99</v>
      </c>
      <c r="BX33" s="21" cm="1">
        <f t="array" aca="1" ref="BX33" ca="1">INDEX(Master!$I$2:'Master'!$I$4384,MATCH($A33&amp;BX$2,Master!$A$2:'Master'!$A$4384&amp;Master!$C$2:'Master'!$C$4384,0))</f>
        <v>99</v>
      </c>
      <c r="BY33" s="21" cm="1">
        <f t="array" aca="1" ref="BY33" ca="1">INDEX(Master!$I$2:'Master'!$I$4384,MATCH($A33&amp;BY$2,Master!$A$2:'Master'!$A$4384&amp;Master!$C$2:'Master'!$C$4384,0))</f>
        <v>99</v>
      </c>
      <c r="BZ33" s="21" cm="1">
        <f t="array" aca="1" ref="BZ33" ca="1">INDEX(Master!$I$2:'Master'!$I$4384,MATCH($A33&amp;BZ$2,Master!$A$2:'Master'!$A$4384&amp;Master!$C$2:'Master'!$C$4384,0))</f>
        <v>99</v>
      </c>
      <c r="CA33" s="21" cm="1">
        <f t="array" aca="1" ref="CA33" ca="1">INDEX(Master!$I$2:'Master'!$I$4384,MATCH($A33&amp;CA$2,Master!$A$2:'Master'!$A$4384&amp;Master!$C$2:'Master'!$C$4384,0))</f>
        <v>99</v>
      </c>
      <c r="CB33" s="21" cm="1">
        <f t="array" aca="1" ref="CB33" ca="1">INDEX(Master!$I$2:'Master'!$I$4384,MATCH($A33&amp;CB$2,Master!$A$2:'Master'!$A$4384&amp;Master!$C$2:'Master'!$C$4384,0))</f>
        <v>99</v>
      </c>
      <c r="CC33" s="21" cm="1">
        <f t="array" aca="1" ref="CC33" ca="1">INDEX(Master!$I$2:'Master'!$I$4384,MATCH($A33&amp;CC$2,Master!$A$2:'Master'!$A$4384&amp;Master!$C$2:'Master'!$C$4384,0))</f>
        <v>99</v>
      </c>
      <c r="CD33" s="21" cm="1">
        <f t="array" aca="1" ref="CD33" ca="1">INDEX(Master!$I$2:'Master'!$I$4384,MATCH($A33&amp;CD$2,Master!$A$2:'Master'!$A$4384&amp;Master!$C$2:'Master'!$C$4384,0))</f>
        <v>99</v>
      </c>
      <c r="CE33" s="21" cm="1">
        <f t="array" aca="1" ref="CE33" ca="1">INDEX(Master!$I$2:'Master'!$I$4384,MATCH($A33&amp;CE$2,Master!$A$2:'Master'!$A$4384&amp;Master!$C$2:'Master'!$C$4384,0))</f>
        <v>99</v>
      </c>
      <c r="CF33" s="21" cm="1">
        <f t="array" aca="1" ref="CF33" ca="1">INDEX(Master!$I$2:'Master'!$I$4384,MATCH($A33&amp;CF$2,Master!$A$2:'Master'!$A$4384&amp;Master!$C$2:'Master'!$C$4384,0))</f>
        <v>99</v>
      </c>
      <c r="CG33" s="21" cm="1">
        <f t="array" aca="1" ref="CG33" ca="1">INDEX(Master!$I$2:'Master'!$I$4384,MATCH($A33&amp;CG$2,Master!$A$2:'Master'!$A$4384&amp;Master!$C$2:'Master'!$C$4384,0))</f>
        <v>99</v>
      </c>
      <c r="CH33" s="21" cm="1">
        <f t="array" aca="1" ref="CH33" ca="1">INDEX(Master!$I$2:'Master'!$I$4384,MATCH($A33&amp;CH$2,Master!$A$2:'Master'!$A$4384&amp;Master!$C$2:'Master'!$C$4384,0))</f>
        <v>99</v>
      </c>
      <c r="CI33" s="21" cm="1">
        <f t="array" aca="1" ref="CI33" ca="1">INDEX(Master!$I$2:'Master'!$I$4384,MATCH($A33&amp;CI$2,Master!$A$2:'Master'!$A$4384&amp;Master!$C$2:'Master'!$C$4384,0))</f>
        <v>99</v>
      </c>
      <c r="CJ33" s="21" cm="1">
        <f t="array" aca="1" ref="CJ33" ca="1">INDEX(Master!$I$2:'Master'!$I$4384,MATCH($A33&amp;CJ$2,Master!$A$2:'Master'!$A$4384&amp;Master!$C$2:'Master'!$C$4384,0))</f>
        <v>99</v>
      </c>
      <c r="CK33" s="21" cm="1">
        <f t="array" aca="1" ref="CK33" ca="1">INDEX(Master!$I$2:'Master'!$I$4384,MATCH($A33&amp;CK$2,Master!$A$2:'Master'!$A$4384&amp;Master!$C$2:'Master'!$C$4384,0))</f>
        <v>99</v>
      </c>
      <c r="CL33" s="21" cm="1">
        <f t="array" aca="1" ref="CL33" ca="1">INDEX(Master!$I$2:'Master'!$I$4384,MATCH($A33&amp;CL$2,Master!$A$2:'Master'!$A$4384&amp;Master!$C$2:'Master'!$C$4384,0))</f>
        <v>99</v>
      </c>
      <c r="CM33" s="21" cm="1">
        <f t="array" aca="1" ref="CM33" ca="1">INDEX(Master!$I$2:'Master'!$I$4384,MATCH($A33&amp;CM$2,Master!$A$2:'Master'!$A$4384&amp;Master!$C$2:'Master'!$C$4384,0))</f>
        <v>99</v>
      </c>
      <c r="CN33" s="21" cm="1">
        <f t="array" aca="1" ref="CN33" ca="1">INDEX(Master!$I$2:'Master'!$I$4384,MATCH($A33&amp;CN$2,Master!$A$2:'Master'!$A$4384&amp;Master!$C$2:'Master'!$C$4384,0))</f>
        <v>99</v>
      </c>
      <c r="CO33" s="21" cm="1">
        <f t="array" aca="1" ref="CO33" ca="1">INDEX(Master!$I$2:'Master'!$I$4384,MATCH($A33&amp;CO$2,Master!$A$2:'Master'!$A$4384&amp;Master!$C$2:'Master'!$C$4384,0))</f>
        <v>99</v>
      </c>
      <c r="CP33" s="21" cm="1">
        <f t="array" aca="1" ref="CP33" ca="1">INDEX(Master!$I$2:'Master'!$I$4384,MATCH($A33&amp;CP$2,Master!$A$2:'Master'!$A$4384&amp;Master!$C$2:'Master'!$C$4384,0))</f>
        <v>99</v>
      </c>
      <c r="CQ33" s="21" cm="1">
        <f t="array" aca="1" ref="CQ33" ca="1">INDEX(Master!$I$2:'Master'!$I$4384,MATCH($A33&amp;CQ$2,Master!$A$2:'Master'!$A$4384&amp;Master!$C$2:'Master'!$C$4384,0))</f>
        <v>99</v>
      </c>
      <c r="CR33" s="21" cm="1">
        <f t="array" aca="1" ref="CR33" ca="1">INDEX(Master!$I$2:'Master'!$I$4384,MATCH($A33&amp;CR$2,Master!$A$2:'Master'!$A$4384&amp;Master!$C$2:'Master'!$C$4384,0))</f>
        <v>99</v>
      </c>
      <c r="CS33" s="21" cm="1">
        <f t="array" aca="1" ref="CS33" ca="1">INDEX(Master!$I$2:'Master'!$I$4384,MATCH($A33&amp;CS$2,Master!$A$2:'Master'!$A$4384&amp;Master!$C$2:'Master'!$C$4384,0))</f>
        <v>99</v>
      </c>
    </row>
    <row r="34" spans="1:97">
      <c r="A34" t="str">
        <f>VLOOKUP(Staff!$A32,Staff!$A$1:A$73,1,FALSE)</f>
        <v>Stella Gibson</v>
      </c>
      <c r="B34" s="21" cm="1">
        <f t="array" aca="1" ref="B34" ca="1">INDEX(Master!$I$2:'Master'!$I$4384,MATCH($A34&amp;B$2,Master!$A$2:'Master'!$A$4384&amp;Master!$C$2:'Master'!$C$4384,0))</f>
        <v>99</v>
      </c>
      <c r="C34" s="21" cm="1">
        <f t="array" aca="1" ref="C34" ca="1">INDEX(Master!$I$2:'Master'!$I$4384,MATCH($A34&amp;C$2,Master!$A$2:'Master'!$A$4384&amp;Master!$C$2:'Master'!$C$4384,0))</f>
        <v>99</v>
      </c>
      <c r="D34" s="21" cm="1">
        <f t="array" aca="1" ref="D34" ca="1">INDEX(Master!$I$2:'Master'!$I$4384,MATCH($A34&amp;D$2,Master!$A$2:'Master'!$A$4384&amp;Master!$C$2:'Master'!$C$4384,0))</f>
        <v>99</v>
      </c>
      <c r="E34" s="21" cm="1">
        <f t="array" aca="1" ref="E34" ca="1">INDEX(Master!$I$2:'Master'!$I$4384,MATCH($A34&amp;E$2,Master!$A$2:'Master'!$A$4384&amp;Master!$C$2:'Master'!$C$4384,0))</f>
        <v>99</v>
      </c>
      <c r="F34" s="21" cm="1">
        <f t="array" aca="1" ref="F34" ca="1">INDEX(Master!$I$2:'Master'!$I$4384,MATCH($A34&amp;F$2,Master!$A$2:'Master'!$A$4384&amp;Master!$C$2:'Master'!$C$4384,0))</f>
        <v>99</v>
      </c>
      <c r="G34" s="21" cm="1">
        <f t="array" aca="1" ref="G34" ca="1">INDEX(Master!$I$2:'Master'!$I$4384,MATCH($A34&amp;G$2,Master!$A$2:'Master'!$A$4384&amp;Master!$C$2:'Master'!$C$4384,0))</f>
        <v>99</v>
      </c>
      <c r="H34" s="21" cm="1">
        <f t="array" aca="1" ref="H34" ca="1">INDEX(Master!$I$2:'Master'!$I$4384,MATCH($A34&amp;H$2,Master!$A$2:'Master'!$A$4384&amp;Master!$C$2:'Master'!$C$4384,0))</f>
        <v>99</v>
      </c>
      <c r="I34" s="21" cm="1">
        <f t="array" aca="1" ref="I34" ca="1">INDEX(Master!$I$2:'Master'!$I$4384,MATCH($A34&amp;I$2,Master!$A$2:'Master'!$A$4384&amp;Master!$C$2:'Master'!$C$4384,0))</f>
        <v>99</v>
      </c>
      <c r="J34" s="21" cm="1">
        <f t="array" aca="1" ref="J34" ca="1">INDEX(Master!$I$2:'Master'!$I$4384,MATCH($A34&amp;J$2,Master!$A$2:'Master'!$A$4384&amp;Master!$C$2:'Master'!$C$4384,0))</f>
        <v>99</v>
      </c>
      <c r="K34" s="21" cm="1">
        <f t="array" aca="1" ref="K34" ca="1">INDEX(Master!$I$2:'Master'!$I$4384,MATCH($A34&amp;K$2,Master!$A$2:'Master'!$A$4384&amp;Master!$C$2:'Master'!$C$4384,0))</f>
        <v>99</v>
      </c>
      <c r="L34" s="21" cm="1">
        <f t="array" aca="1" ref="L34" ca="1">INDEX(Master!$I$2:'Master'!$I$4384,MATCH($A34&amp;L$2,Master!$A$2:'Master'!$A$4384&amp;Master!$C$2:'Master'!$C$4384,0))</f>
        <v>99</v>
      </c>
      <c r="M34" s="21" cm="1">
        <f t="array" aca="1" ref="M34" ca="1">INDEX(Master!$I$2:'Master'!$I$4384,MATCH($A34&amp;M$2,Master!$A$2:'Master'!$A$4384&amp;Master!$C$2:'Master'!$C$4384,0))</f>
        <v>99</v>
      </c>
      <c r="N34" s="21" cm="1">
        <f t="array" aca="1" ref="N34" ca="1">INDEX(Master!$I$2:'Master'!$I$4384,MATCH($A34&amp;N$2,Master!$A$2:'Master'!$A$4384&amp;Master!$C$2:'Master'!$C$4384,0))</f>
        <v>99</v>
      </c>
      <c r="O34" s="21" cm="1">
        <f t="array" aca="1" ref="O34" ca="1">INDEX(Master!$I$2:'Master'!$I$4384,MATCH($A34&amp;O$2,Master!$A$2:'Master'!$A$4384&amp;Master!$C$2:'Master'!$C$4384,0))</f>
        <v>99</v>
      </c>
      <c r="P34" s="21" cm="1">
        <f t="array" aca="1" ref="P34" ca="1">INDEX(Master!$I$2:'Master'!$I$4384,MATCH($A34&amp;P$2,Master!$A$2:'Master'!$A$4384&amp;Master!$C$2:'Master'!$C$4384,0))</f>
        <v>99</v>
      </c>
      <c r="Q34" s="21" cm="1">
        <f t="array" aca="1" ref="Q34" ca="1">INDEX(Master!$I$2:'Master'!$I$4384,MATCH($A34&amp;Q$2,Master!$A$2:'Master'!$A$4384&amp;Master!$C$2:'Master'!$C$4384,0))</f>
        <v>99</v>
      </c>
      <c r="R34" s="21" cm="1">
        <f t="array" aca="1" ref="R34" ca="1">INDEX(Master!$I$2:'Master'!$I$4384,MATCH($A34&amp;R$2,Master!$A$2:'Master'!$A$4384&amp;Master!$C$2:'Master'!$C$4384,0))</f>
        <v>99</v>
      </c>
      <c r="S34" s="21" cm="1">
        <f t="array" aca="1" ref="S34" ca="1">INDEX(Master!$I$2:'Master'!$I$4384,MATCH($A34&amp;S$2,Master!$A$2:'Master'!$A$4384&amp;Master!$C$2:'Master'!$C$4384,0))</f>
        <v>99</v>
      </c>
      <c r="T34" s="21" cm="1">
        <f t="array" aca="1" ref="T34" ca="1">INDEX(Master!$I$2:'Master'!$I$4384,MATCH($A34&amp;T$2,Master!$A$2:'Master'!$A$4384&amp;Master!$C$2:'Master'!$C$4384,0))</f>
        <v>99</v>
      </c>
      <c r="U34" s="21" cm="1">
        <f t="array" aca="1" ref="U34" ca="1">INDEX(Master!$I$2:'Master'!$I$4384,MATCH($A34&amp;U$2,Master!$A$2:'Master'!$A$4384&amp;Master!$C$2:'Master'!$C$4384,0))</f>
        <v>99</v>
      </c>
      <c r="V34" s="21" cm="1">
        <f t="array" aca="1" ref="V34" ca="1">INDEX(Master!$I$2:'Master'!$I$4384,MATCH($A34&amp;V$2,Master!$A$2:'Master'!$A$4384&amp;Master!$C$2:'Master'!$C$4384,0))</f>
        <v>99</v>
      </c>
      <c r="W34" s="21" cm="1">
        <f t="array" aca="1" ref="W34" ca="1">INDEX(Master!$I$2:'Master'!$I$4384,MATCH($A34&amp;W$2,Master!$A$2:'Master'!$A$4384&amp;Master!$C$2:'Master'!$C$4384,0))</f>
        <v>99</v>
      </c>
      <c r="X34" s="21" cm="1">
        <f t="array" aca="1" ref="X34" ca="1">INDEX(Master!$I$2:'Master'!$I$4384,MATCH($A34&amp;X$2,Master!$A$2:'Master'!$A$4384&amp;Master!$C$2:'Master'!$C$4384,0))</f>
        <v>99</v>
      </c>
      <c r="Y34" s="21" cm="1">
        <f t="array" aca="1" ref="Y34" ca="1">INDEX(Master!$I$2:'Master'!$I$4384,MATCH($A34&amp;Y$2,Master!$A$2:'Master'!$A$4384&amp;Master!$C$2:'Master'!$C$4384,0))</f>
        <v>99</v>
      </c>
      <c r="Z34" s="21" cm="1">
        <f t="array" aca="1" ref="Z34" ca="1">INDEX(Master!$I$2:'Master'!$I$4384,MATCH($A34&amp;Z$2,Master!$A$2:'Master'!$A$4384&amp;Master!$C$2:'Master'!$C$4384,0))</f>
        <v>99</v>
      </c>
      <c r="AA34" s="21" cm="1">
        <f t="array" aca="1" ref="AA34" ca="1">INDEX(Master!$I$2:'Master'!$I$4384,MATCH($A34&amp;AA$2,Master!$A$2:'Master'!$A$4384&amp;Master!$C$2:'Master'!$C$4384,0))</f>
        <v>99</v>
      </c>
      <c r="AB34" s="21" cm="1">
        <f t="array" aca="1" ref="AB34" ca="1">INDEX(Master!$I$2:'Master'!$I$4384,MATCH($A34&amp;AB$2,Master!$A$2:'Master'!$A$4384&amp;Master!$C$2:'Master'!$C$4384,0))</f>
        <v>99</v>
      </c>
      <c r="AC34" s="21" cm="1">
        <f t="array" aca="1" ref="AC34" ca="1">INDEX(Master!$I$2:'Master'!$I$4384,MATCH($A34&amp;AC$2,Master!$A$2:'Master'!$A$4384&amp;Master!$C$2:'Master'!$C$4384,0))</f>
        <v>99</v>
      </c>
      <c r="AD34" s="21" cm="1">
        <f t="array" aca="1" ref="AD34" ca="1">INDEX(Master!$I$2:'Master'!$I$4384,MATCH($A34&amp;AD$2,Master!$A$2:'Master'!$A$4384&amp;Master!$C$2:'Master'!$C$4384,0))</f>
        <v>99</v>
      </c>
      <c r="AE34" s="21" cm="1">
        <f t="array" aca="1" ref="AE34" ca="1">INDEX(Master!$I$2:'Master'!$I$4384,MATCH($A34&amp;AE$2,Master!$A$2:'Master'!$A$4384&amp;Master!$C$2:'Master'!$C$4384,0))</f>
        <v>99</v>
      </c>
      <c r="AF34" s="21" cm="1">
        <f t="array" aca="1" ref="AF34" ca="1">INDEX(Master!$I$2:'Master'!$I$4384,MATCH($A34&amp;AF$2,Master!$A$2:'Master'!$A$4384&amp;Master!$C$2:'Master'!$C$4384,0))</f>
        <v>99</v>
      </c>
      <c r="AG34" s="21" cm="1">
        <f t="array" aca="1" ref="AG34" ca="1">INDEX(Master!$I$2:'Master'!$I$4384,MATCH($A34&amp;AG$2,Master!$A$2:'Master'!$A$4384&amp;Master!$C$2:'Master'!$C$4384,0))</f>
        <v>99</v>
      </c>
      <c r="AH34" s="21" cm="1">
        <f t="array" aca="1" ref="AH34" ca="1">INDEX(Master!$I$2:'Master'!$I$4384,MATCH($A34&amp;AH$2,Master!$A$2:'Master'!$A$4384&amp;Master!$C$2:'Master'!$C$4384,0))</f>
        <v>99</v>
      </c>
      <c r="AI34" s="21" cm="1">
        <f t="array" aca="1" ref="AI34" ca="1">INDEX(Master!$I$2:'Master'!$I$4384,MATCH($A34&amp;AI$2,Master!$A$2:'Master'!$A$4384&amp;Master!$C$2:'Master'!$C$4384,0))</f>
        <v>99</v>
      </c>
      <c r="AJ34" s="21" cm="1">
        <f t="array" aca="1" ref="AJ34" ca="1">INDEX(Master!$I$2:'Master'!$I$4384,MATCH($A34&amp;AJ$2,Master!$A$2:'Master'!$A$4384&amp;Master!$C$2:'Master'!$C$4384,0))</f>
        <v>99</v>
      </c>
      <c r="AK34" s="21" cm="1">
        <f t="array" aca="1" ref="AK34" ca="1">INDEX(Master!$I$2:'Master'!$I$4384,MATCH($A34&amp;AK$2,Master!$A$2:'Master'!$A$4384&amp;Master!$C$2:'Master'!$C$4384,0))</f>
        <v>99</v>
      </c>
      <c r="AL34" s="21" cm="1">
        <f t="array" aca="1" ref="AL34" ca="1">INDEX(Master!$I$2:'Master'!$I$4384,MATCH($A34&amp;AL$2,Master!$A$2:'Master'!$A$4384&amp;Master!$C$2:'Master'!$C$4384,0))</f>
        <v>99</v>
      </c>
      <c r="AM34" s="21" cm="1">
        <f t="array" aca="1" ref="AM34" ca="1">INDEX(Master!$I$2:'Master'!$I$4384,MATCH($A34&amp;AM$2,Master!$A$2:'Master'!$A$4384&amp;Master!$C$2:'Master'!$C$4384,0))</f>
        <v>99</v>
      </c>
      <c r="AN34" s="21" cm="1">
        <f t="array" aca="1" ref="AN34" ca="1">INDEX(Master!$I$2:'Master'!$I$4384,MATCH($A34&amp;AN$2,Master!$A$2:'Master'!$A$4384&amp;Master!$C$2:'Master'!$C$4384,0))</f>
        <v>99</v>
      </c>
      <c r="AO34" s="21" cm="1">
        <f t="array" aca="1" ref="AO34" ca="1">INDEX(Master!$I$2:'Master'!$I$4384,MATCH($A34&amp;AO$2,Master!$A$2:'Master'!$A$4384&amp;Master!$C$2:'Master'!$C$4384,0))</f>
        <v>99</v>
      </c>
      <c r="AP34" s="21" cm="1">
        <f t="array" aca="1" ref="AP34" ca="1">INDEX(Master!$I$2:'Master'!$I$4384,MATCH($A34&amp;AP$2,Master!$A$2:'Master'!$A$4384&amp;Master!$C$2:'Master'!$C$4384,0))</f>
        <v>99</v>
      </c>
      <c r="AQ34" s="21" cm="1">
        <f t="array" aca="1" ref="AQ34" ca="1">INDEX(Master!$I$2:'Master'!$I$4384,MATCH($A34&amp;AQ$2,Master!$A$2:'Master'!$A$4384&amp;Master!$C$2:'Master'!$C$4384,0))</f>
        <v>99</v>
      </c>
      <c r="AR34" s="21" cm="1">
        <f t="array" aca="1" ref="AR34" ca="1">INDEX(Master!$I$2:'Master'!$I$4384,MATCH($A34&amp;AR$2,Master!$A$2:'Master'!$A$4384&amp;Master!$C$2:'Master'!$C$4384,0))</f>
        <v>99</v>
      </c>
      <c r="AS34" s="21" cm="1">
        <f t="array" aca="1" ref="AS34" ca="1">INDEX(Master!$I$2:'Master'!$I$4384,MATCH($A34&amp;AS$2,Master!$A$2:'Master'!$A$4384&amp;Master!$C$2:'Master'!$C$4384,0))</f>
        <v>99</v>
      </c>
      <c r="AT34" s="21" cm="1">
        <f t="array" aca="1" ref="AT34" ca="1">INDEX(Master!$I$2:'Master'!$I$4384,MATCH($A34&amp;AT$2,Master!$A$2:'Master'!$A$4384&amp;Master!$C$2:'Master'!$C$4384,0))</f>
        <v>99</v>
      </c>
      <c r="AU34" s="21" cm="1">
        <f t="array" aca="1" ref="AU34" ca="1">INDEX(Master!$I$2:'Master'!$I$4384,MATCH($A34&amp;AU$2,Master!$A$2:'Master'!$A$4384&amp;Master!$C$2:'Master'!$C$4384,0))</f>
        <v>99</v>
      </c>
      <c r="AV34" s="21" cm="1">
        <f t="array" aca="1" ref="AV34" ca="1">INDEX(Master!$I$2:'Master'!$I$4384,MATCH($A34&amp;AV$2,Master!$A$2:'Master'!$A$4384&amp;Master!$C$2:'Master'!$C$4384,0))</f>
        <v>99</v>
      </c>
      <c r="AW34" s="21" cm="1">
        <f t="array" aca="1" ref="AW34" ca="1">INDEX(Master!$I$2:'Master'!$I$4384,MATCH($A34&amp;AW$2,Master!$A$2:'Master'!$A$4384&amp;Master!$C$2:'Master'!$C$4384,0))</f>
        <v>99</v>
      </c>
      <c r="AX34" s="21" cm="1">
        <f t="array" aca="1" ref="AX34" ca="1">INDEX(Master!$I$2:'Master'!$I$4384,MATCH($A34&amp;AX$2,Master!$A$2:'Master'!$A$4384&amp;Master!$C$2:'Master'!$C$4384,0))</f>
        <v>99</v>
      </c>
      <c r="AY34" s="21" cm="1">
        <f t="array" aca="1" ref="AY34" ca="1">INDEX(Master!$I$2:'Master'!$I$4384,MATCH($A34&amp;AY$2,Master!$A$2:'Master'!$A$4384&amp;Master!$C$2:'Master'!$C$4384,0))</f>
        <v>99</v>
      </c>
      <c r="AZ34" s="21" cm="1">
        <f t="array" aca="1" ref="AZ34" ca="1">INDEX(Master!$I$2:'Master'!$I$4384,MATCH($A34&amp;AZ$2,Master!$A$2:'Master'!$A$4384&amp;Master!$C$2:'Master'!$C$4384,0))</f>
        <v>99</v>
      </c>
      <c r="BA34" s="21" cm="1">
        <f t="array" aca="1" ref="BA34" ca="1">INDEX(Master!$I$2:'Master'!$I$4384,MATCH($A34&amp;BA$2,Master!$A$2:'Master'!$A$4384&amp;Master!$C$2:'Master'!$C$4384,0))</f>
        <v>99</v>
      </c>
      <c r="BB34" s="21" cm="1">
        <f t="array" aca="1" ref="BB34" ca="1">INDEX(Master!$I$2:'Master'!$I$4384,MATCH($A34&amp;BB$2,Master!$A$2:'Master'!$A$4384&amp;Master!$C$2:'Master'!$C$4384,0))</f>
        <v>99</v>
      </c>
      <c r="BC34" s="21" cm="1">
        <f t="array" aca="1" ref="BC34" ca="1">INDEX(Master!$I$2:'Master'!$I$4384,MATCH($A34&amp;BC$2,Master!$A$2:'Master'!$A$4384&amp;Master!$C$2:'Master'!$C$4384,0))</f>
        <v>99</v>
      </c>
      <c r="BD34" s="21" cm="1">
        <f t="array" aca="1" ref="BD34" ca="1">INDEX(Master!$I$2:'Master'!$I$4384,MATCH($A34&amp;BD$2,Master!$A$2:'Master'!$A$4384&amp;Master!$C$2:'Master'!$C$4384,0))</f>
        <v>99</v>
      </c>
      <c r="BE34" s="21" cm="1">
        <f t="array" aca="1" ref="BE34" ca="1">INDEX(Master!$I$2:'Master'!$I$4384,MATCH($A34&amp;BE$2,Master!$A$2:'Master'!$A$4384&amp;Master!$C$2:'Master'!$C$4384,0))</f>
        <v>99</v>
      </c>
      <c r="BF34" s="21" cm="1">
        <f t="array" aca="1" ref="BF34" ca="1">INDEX(Master!$I$2:'Master'!$I$4384,MATCH($A34&amp;BF$2,Master!$A$2:'Master'!$A$4384&amp;Master!$C$2:'Master'!$C$4384,0))</f>
        <v>99</v>
      </c>
      <c r="BG34" s="21" cm="1">
        <f t="array" aca="1" ref="BG34" ca="1">INDEX(Master!$I$2:'Master'!$I$4384,MATCH($A34&amp;BG$2,Master!$A$2:'Master'!$A$4384&amp;Master!$C$2:'Master'!$C$4384,0))</f>
        <v>99</v>
      </c>
      <c r="BH34" s="21" cm="1">
        <f t="array" aca="1" ref="BH34" ca="1">INDEX(Master!$I$2:'Master'!$I$4384,MATCH($A34&amp;BH$2,Master!$A$2:'Master'!$A$4384&amp;Master!$C$2:'Master'!$C$4384,0))</f>
        <v>99</v>
      </c>
      <c r="BI34" s="21" cm="1">
        <f t="array" aca="1" ref="BI34" ca="1">INDEX(Master!$I$2:'Master'!$I$4384,MATCH($A34&amp;BI$2,Master!$A$2:'Master'!$A$4384&amp;Master!$C$2:'Master'!$C$4384,0))</f>
        <v>99</v>
      </c>
      <c r="BJ34" s="21" cm="1">
        <f t="array" aca="1" ref="BJ34" ca="1">INDEX(Master!$I$2:'Master'!$I$4384,MATCH($A34&amp;BJ$2,Master!$A$2:'Master'!$A$4384&amp;Master!$C$2:'Master'!$C$4384,0))</f>
        <v>99</v>
      </c>
      <c r="BK34" s="21" cm="1">
        <f t="array" aca="1" ref="BK34" ca="1">INDEX(Master!$I$2:'Master'!$I$4384,MATCH($A34&amp;BK$2,Master!$A$2:'Master'!$A$4384&amp;Master!$C$2:'Master'!$C$4384,0))</f>
        <v>99</v>
      </c>
      <c r="BL34" s="21" cm="1">
        <f t="array" aca="1" ref="BL34" ca="1">INDEX(Master!$I$2:'Master'!$I$4384,MATCH($A34&amp;BL$2,Master!$A$2:'Master'!$A$4384&amp;Master!$C$2:'Master'!$C$4384,0))</f>
        <v>99</v>
      </c>
      <c r="BM34" s="21" cm="1">
        <f t="array" aca="1" ref="BM34" ca="1">INDEX(Master!$I$2:'Master'!$I$4384,MATCH($A34&amp;BM$2,Master!$A$2:'Master'!$A$4384&amp;Master!$C$2:'Master'!$C$4384,0))</f>
        <v>99</v>
      </c>
      <c r="BN34" s="21" cm="1">
        <f t="array" aca="1" ref="BN34" ca="1">INDEX(Master!$I$2:'Master'!$I$4384,MATCH($A34&amp;BN$2,Master!$A$2:'Master'!$A$4384&amp;Master!$C$2:'Master'!$C$4384,0))</f>
        <v>99</v>
      </c>
      <c r="BO34" s="21" cm="1">
        <f t="array" aca="1" ref="BO34" ca="1">INDEX(Master!$I$2:'Master'!$I$4384,MATCH($A34&amp;BO$2,Master!$A$2:'Master'!$A$4384&amp;Master!$C$2:'Master'!$C$4384,0))</f>
        <v>99</v>
      </c>
      <c r="BP34" s="21" cm="1">
        <f t="array" aca="1" ref="BP34" ca="1">INDEX(Master!$I$2:'Master'!$I$4384,MATCH($A34&amp;BP$2,Master!$A$2:'Master'!$A$4384&amp;Master!$C$2:'Master'!$C$4384,0))</f>
        <v>99</v>
      </c>
      <c r="BQ34" s="21" cm="1">
        <f t="array" aca="1" ref="BQ34" ca="1">INDEX(Master!$I$2:'Master'!$I$4384,MATCH($A34&amp;BQ$2,Master!$A$2:'Master'!$A$4384&amp;Master!$C$2:'Master'!$C$4384,0))</f>
        <v>99</v>
      </c>
      <c r="BR34" s="21" cm="1">
        <f t="array" aca="1" ref="BR34" ca="1">INDEX(Master!$I$2:'Master'!$I$4384,MATCH($A34&amp;BR$2,Master!$A$2:'Master'!$A$4384&amp;Master!$C$2:'Master'!$C$4384,0))</f>
        <v>99</v>
      </c>
      <c r="BS34" s="21" cm="1">
        <f t="array" aca="1" ref="BS34" ca="1">INDEX(Master!$I$2:'Master'!$I$4384,MATCH($A34&amp;BS$2,Master!$A$2:'Master'!$A$4384&amp;Master!$C$2:'Master'!$C$4384,0))</f>
        <v>99</v>
      </c>
      <c r="BT34" s="21" cm="1">
        <f t="array" aca="1" ref="BT34" ca="1">INDEX(Master!$I$2:'Master'!$I$4384,MATCH($A34&amp;BT$2,Master!$A$2:'Master'!$A$4384&amp;Master!$C$2:'Master'!$C$4384,0))</f>
        <v>99</v>
      </c>
      <c r="BU34" s="21" cm="1">
        <f t="array" aca="1" ref="BU34" ca="1">INDEX(Master!$I$2:'Master'!$I$4384,MATCH($A34&amp;BU$2,Master!$A$2:'Master'!$A$4384&amp;Master!$C$2:'Master'!$C$4384,0))</f>
        <v>99</v>
      </c>
      <c r="BV34" s="21" cm="1">
        <f t="array" aca="1" ref="BV34" ca="1">INDEX(Master!$I$2:'Master'!$I$4384,MATCH($A34&amp;BV$2,Master!$A$2:'Master'!$A$4384&amp;Master!$C$2:'Master'!$C$4384,0))</f>
        <v>99</v>
      </c>
      <c r="BW34" s="21" cm="1">
        <f t="array" aca="1" ref="BW34" ca="1">INDEX(Master!$I$2:'Master'!$I$4384,MATCH($A34&amp;BW$2,Master!$A$2:'Master'!$A$4384&amp;Master!$C$2:'Master'!$C$4384,0))</f>
        <v>99</v>
      </c>
      <c r="BX34" s="21" cm="1">
        <f t="array" aca="1" ref="BX34" ca="1">INDEX(Master!$I$2:'Master'!$I$4384,MATCH($A34&amp;BX$2,Master!$A$2:'Master'!$A$4384&amp;Master!$C$2:'Master'!$C$4384,0))</f>
        <v>99</v>
      </c>
      <c r="BY34" s="21" cm="1">
        <f t="array" aca="1" ref="BY34" ca="1">INDEX(Master!$I$2:'Master'!$I$4384,MATCH($A34&amp;BY$2,Master!$A$2:'Master'!$A$4384&amp;Master!$C$2:'Master'!$C$4384,0))</f>
        <v>99</v>
      </c>
      <c r="BZ34" s="21" cm="1">
        <f t="array" aca="1" ref="BZ34" ca="1">INDEX(Master!$I$2:'Master'!$I$4384,MATCH($A34&amp;BZ$2,Master!$A$2:'Master'!$A$4384&amp;Master!$C$2:'Master'!$C$4384,0))</f>
        <v>99</v>
      </c>
      <c r="CA34" s="21" cm="1">
        <f t="array" aca="1" ref="CA34" ca="1">INDEX(Master!$I$2:'Master'!$I$4384,MATCH($A34&amp;CA$2,Master!$A$2:'Master'!$A$4384&amp;Master!$C$2:'Master'!$C$4384,0))</f>
        <v>99</v>
      </c>
      <c r="CB34" s="21" cm="1">
        <f t="array" aca="1" ref="CB34" ca="1">INDEX(Master!$I$2:'Master'!$I$4384,MATCH($A34&amp;CB$2,Master!$A$2:'Master'!$A$4384&amp;Master!$C$2:'Master'!$C$4384,0))</f>
        <v>99</v>
      </c>
      <c r="CC34" s="21" cm="1">
        <f t="array" aca="1" ref="CC34" ca="1">INDEX(Master!$I$2:'Master'!$I$4384,MATCH($A34&amp;CC$2,Master!$A$2:'Master'!$A$4384&amp;Master!$C$2:'Master'!$C$4384,0))</f>
        <v>99</v>
      </c>
      <c r="CD34" s="21" cm="1">
        <f t="array" aca="1" ref="CD34" ca="1">INDEX(Master!$I$2:'Master'!$I$4384,MATCH($A34&amp;CD$2,Master!$A$2:'Master'!$A$4384&amp;Master!$C$2:'Master'!$C$4384,0))</f>
        <v>99</v>
      </c>
      <c r="CE34" s="21" cm="1">
        <f t="array" aca="1" ref="CE34" ca="1">INDEX(Master!$I$2:'Master'!$I$4384,MATCH($A34&amp;CE$2,Master!$A$2:'Master'!$A$4384&amp;Master!$C$2:'Master'!$C$4384,0))</f>
        <v>99</v>
      </c>
      <c r="CF34" s="21" cm="1">
        <f t="array" aca="1" ref="CF34" ca="1">INDEX(Master!$I$2:'Master'!$I$4384,MATCH($A34&amp;CF$2,Master!$A$2:'Master'!$A$4384&amp;Master!$C$2:'Master'!$C$4384,0))</f>
        <v>99</v>
      </c>
      <c r="CG34" s="21" cm="1">
        <f t="array" aca="1" ref="CG34" ca="1">INDEX(Master!$I$2:'Master'!$I$4384,MATCH($A34&amp;CG$2,Master!$A$2:'Master'!$A$4384&amp;Master!$C$2:'Master'!$C$4384,0))</f>
        <v>99</v>
      </c>
      <c r="CH34" s="21" cm="1">
        <f t="array" aca="1" ref="CH34" ca="1">INDEX(Master!$I$2:'Master'!$I$4384,MATCH($A34&amp;CH$2,Master!$A$2:'Master'!$A$4384&amp;Master!$C$2:'Master'!$C$4384,0))</f>
        <v>99</v>
      </c>
      <c r="CI34" s="21" cm="1">
        <f t="array" aca="1" ref="CI34" ca="1">INDEX(Master!$I$2:'Master'!$I$4384,MATCH($A34&amp;CI$2,Master!$A$2:'Master'!$A$4384&amp;Master!$C$2:'Master'!$C$4384,0))</f>
        <v>99</v>
      </c>
      <c r="CJ34" s="21" cm="1">
        <f t="array" aca="1" ref="CJ34" ca="1">INDEX(Master!$I$2:'Master'!$I$4384,MATCH($A34&amp;CJ$2,Master!$A$2:'Master'!$A$4384&amp;Master!$C$2:'Master'!$C$4384,0))</f>
        <v>99</v>
      </c>
      <c r="CK34" s="21" cm="1">
        <f t="array" aca="1" ref="CK34" ca="1">INDEX(Master!$I$2:'Master'!$I$4384,MATCH($A34&amp;CK$2,Master!$A$2:'Master'!$A$4384&amp;Master!$C$2:'Master'!$C$4384,0))</f>
        <v>99</v>
      </c>
      <c r="CL34" s="21" cm="1">
        <f t="array" aca="1" ref="CL34" ca="1">INDEX(Master!$I$2:'Master'!$I$4384,MATCH($A34&amp;CL$2,Master!$A$2:'Master'!$A$4384&amp;Master!$C$2:'Master'!$C$4384,0))</f>
        <v>99</v>
      </c>
      <c r="CM34" s="21" cm="1">
        <f t="array" aca="1" ref="CM34" ca="1">INDEX(Master!$I$2:'Master'!$I$4384,MATCH($A34&amp;CM$2,Master!$A$2:'Master'!$A$4384&amp;Master!$C$2:'Master'!$C$4384,0))</f>
        <v>99</v>
      </c>
      <c r="CN34" s="21" cm="1">
        <f t="array" aca="1" ref="CN34" ca="1">INDEX(Master!$I$2:'Master'!$I$4384,MATCH($A34&amp;CN$2,Master!$A$2:'Master'!$A$4384&amp;Master!$C$2:'Master'!$C$4384,0))</f>
        <v>99</v>
      </c>
      <c r="CO34" s="21" cm="1">
        <f t="array" aca="1" ref="CO34" ca="1">INDEX(Master!$I$2:'Master'!$I$4384,MATCH($A34&amp;CO$2,Master!$A$2:'Master'!$A$4384&amp;Master!$C$2:'Master'!$C$4384,0))</f>
        <v>99</v>
      </c>
      <c r="CP34" s="21" cm="1">
        <f t="array" aca="1" ref="CP34" ca="1">INDEX(Master!$I$2:'Master'!$I$4384,MATCH($A34&amp;CP$2,Master!$A$2:'Master'!$A$4384&amp;Master!$C$2:'Master'!$C$4384,0))</f>
        <v>99</v>
      </c>
      <c r="CQ34" s="21" cm="1">
        <f t="array" aca="1" ref="CQ34" ca="1">INDEX(Master!$I$2:'Master'!$I$4384,MATCH($A34&amp;CQ$2,Master!$A$2:'Master'!$A$4384&amp;Master!$C$2:'Master'!$C$4384,0))</f>
        <v>99</v>
      </c>
      <c r="CR34" s="21" cm="1">
        <f t="array" aca="1" ref="CR34" ca="1">INDEX(Master!$I$2:'Master'!$I$4384,MATCH($A34&amp;CR$2,Master!$A$2:'Master'!$A$4384&amp;Master!$C$2:'Master'!$C$4384,0))</f>
        <v>99</v>
      </c>
      <c r="CS34" s="21" cm="1">
        <f t="array" aca="1" ref="CS34" ca="1">INDEX(Master!$I$2:'Master'!$I$4384,MATCH($A34&amp;CS$2,Master!$A$2:'Master'!$A$4384&amp;Master!$C$2:'Master'!$C$4384,0))</f>
        <v>99</v>
      </c>
    </row>
    <row r="35" spans="1:97">
      <c r="A35" t="str">
        <f>VLOOKUP(Staff!$A33,Staff!$A$1:A$73,1,FALSE)</f>
        <v>Robin Ellacott</v>
      </c>
      <c r="B35" s="21" cm="1">
        <f t="array" aca="1" ref="B35" ca="1">INDEX(Master!$I$2:'Master'!$I$4384,MATCH($A35&amp;B$2,Master!$A$2:'Master'!$A$4384&amp;Master!$C$2:'Master'!$C$4384,0))</f>
        <v>2</v>
      </c>
      <c r="C35" s="21" cm="1">
        <f t="array" aca="1" ref="C35" ca="1">INDEX(Master!$I$2:'Master'!$I$4384,MATCH($A35&amp;C$2,Master!$A$2:'Master'!$A$4384&amp;Master!$C$2:'Master'!$C$4384,0))</f>
        <v>2</v>
      </c>
      <c r="D35" s="21" cm="1">
        <f t="array" aca="1" ref="D35" ca="1">INDEX(Master!$I$2:'Master'!$I$4384,MATCH($A35&amp;D$2,Master!$A$2:'Master'!$A$4384&amp;Master!$C$2:'Master'!$C$4384,0))</f>
        <v>3</v>
      </c>
      <c r="E35" s="21" cm="1">
        <f t="array" aca="1" ref="E35" ca="1">INDEX(Master!$I$2:'Master'!$I$4384,MATCH($A35&amp;E$2,Master!$A$2:'Master'!$A$4384&amp;Master!$C$2:'Master'!$C$4384,0))</f>
        <v>2</v>
      </c>
      <c r="F35" s="21" cm="1">
        <f t="array" aca="1" ref="F35" ca="1">INDEX(Master!$I$2:'Master'!$I$4384,MATCH($A35&amp;F$2,Master!$A$2:'Master'!$A$4384&amp;Master!$C$2:'Master'!$C$4384,0))</f>
        <v>3</v>
      </c>
      <c r="G35" s="21" cm="1">
        <f t="array" aca="1" ref="G35" ca="1">INDEX(Master!$I$2:'Master'!$I$4384,MATCH($A35&amp;G$2,Master!$A$2:'Master'!$A$4384&amp;Master!$C$2:'Master'!$C$4384,0))</f>
        <v>3</v>
      </c>
      <c r="H35" s="21" cm="1">
        <f t="array" aca="1" ref="H35" ca="1">INDEX(Master!$I$2:'Master'!$I$4384,MATCH($A35&amp;H$2,Master!$A$2:'Master'!$A$4384&amp;Master!$C$2:'Master'!$C$4384,0))</f>
        <v>3</v>
      </c>
      <c r="I35" s="21" cm="1">
        <f t="array" aca="1" ref="I35" ca="1">INDEX(Master!$I$2:'Master'!$I$4384,MATCH($A35&amp;I$2,Master!$A$2:'Master'!$A$4384&amp;Master!$C$2:'Master'!$C$4384,0))</f>
        <v>2</v>
      </c>
      <c r="J35" s="21" cm="1">
        <f t="array" aca="1" ref="J35" ca="1">INDEX(Master!$I$2:'Master'!$I$4384,MATCH($A35&amp;J$2,Master!$A$2:'Master'!$A$4384&amp;Master!$C$2:'Master'!$C$4384,0))</f>
        <v>3</v>
      </c>
      <c r="K35" s="21" cm="1">
        <f t="array" aca="1" ref="K35" ca="1">INDEX(Master!$I$2:'Master'!$I$4384,MATCH($A35&amp;K$2,Master!$A$2:'Master'!$A$4384&amp;Master!$C$2:'Master'!$C$4384,0))</f>
        <v>1</v>
      </c>
      <c r="L35" s="21" cm="1">
        <f t="array" aca="1" ref="L35" ca="1">INDEX(Master!$I$2:'Master'!$I$4384,MATCH($A35&amp;L$2,Master!$A$2:'Master'!$A$4384&amp;Master!$C$2:'Master'!$C$4384,0))</f>
        <v>1</v>
      </c>
      <c r="M35" s="21" cm="1">
        <f t="array" aca="1" ref="M35" ca="1">INDEX(Master!$I$2:'Master'!$I$4384,MATCH($A35&amp;M$2,Master!$A$2:'Master'!$A$4384&amp;Master!$C$2:'Master'!$C$4384,0))</f>
        <v>3</v>
      </c>
      <c r="N35" s="21" cm="1">
        <f t="array" aca="1" ref="N35" ca="1">INDEX(Master!$I$2:'Master'!$I$4384,MATCH($A35&amp;N$2,Master!$A$2:'Master'!$A$4384&amp;Master!$C$2:'Master'!$C$4384,0))</f>
        <v>2</v>
      </c>
      <c r="O35" s="21" cm="1">
        <f t="array" aca="1" ref="O35" ca="1">INDEX(Master!$I$2:'Master'!$I$4384,MATCH($A35&amp;O$2,Master!$A$2:'Master'!$A$4384&amp;Master!$C$2:'Master'!$C$4384,0))</f>
        <v>1</v>
      </c>
      <c r="P35" s="21" cm="1">
        <f t="array" aca="1" ref="P35" ca="1">INDEX(Master!$I$2:'Master'!$I$4384,MATCH($A35&amp;P$2,Master!$A$2:'Master'!$A$4384&amp;Master!$C$2:'Master'!$C$4384,0))</f>
        <v>2</v>
      </c>
      <c r="Q35" s="21" cm="1">
        <f t="array" aca="1" ref="Q35" ca="1">INDEX(Master!$I$2:'Master'!$I$4384,MATCH($A35&amp;Q$2,Master!$A$2:'Master'!$A$4384&amp;Master!$C$2:'Master'!$C$4384,0))</f>
        <v>1</v>
      </c>
      <c r="R35" s="21" cm="1">
        <f t="array" aca="1" ref="R35" ca="1">INDEX(Master!$I$2:'Master'!$I$4384,MATCH($A35&amp;R$2,Master!$A$2:'Master'!$A$4384&amp;Master!$C$2:'Master'!$C$4384,0))</f>
        <v>3</v>
      </c>
      <c r="S35" s="21" cm="1">
        <f t="array" aca="1" ref="S35" ca="1">INDEX(Master!$I$2:'Master'!$I$4384,MATCH($A35&amp;S$2,Master!$A$2:'Master'!$A$4384&amp;Master!$C$2:'Master'!$C$4384,0))</f>
        <v>3</v>
      </c>
      <c r="T35" s="21" cm="1">
        <f t="array" aca="1" ref="T35" ca="1">INDEX(Master!$I$2:'Master'!$I$4384,MATCH($A35&amp;T$2,Master!$A$2:'Master'!$A$4384&amp;Master!$C$2:'Master'!$C$4384,0))</f>
        <v>3</v>
      </c>
      <c r="U35" s="21" cm="1">
        <f t="array" aca="1" ref="U35" ca="1">INDEX(Master!$I$2:'Master'!$I$4384,MATCH($A35&amp;U$2,Master!$A$2:'Master'!$A$4384&amp;Master!$C$2:'Master'!$C$4384,0))</f>
        <v>1</v>
      </c>
      <c r="V35" s="21" cm="1">
        <f t="array" aca="1" ref="V35" ca="1">INDEX(Master!$I$2:'Master'!$I$4384,MATCH($A35&amp;V$2,Master!$A$2:'Master'!$A$4384&amp;Master!$C$2:'Master'!$C$4384,0))</f>
        <v>1</v>
      </c>
      <c r="W35" s="21" cm="1">
        <f t="array" aca="1" ref="W35" ca="1">INDEX(Master!$I$2:'Master'!$I$4384,MATCH($A35&amp;W$2,Master!$A$2:'Master'!$A$4384&amp;Master!$C$2:'Master'!$C$4384,0))</f>
        <v>2</v>
      </c>
      <c r="X35" s="21" cm="1">
        <f t="array" aca="1" ref="X35" ca="1">INDEX(Master!$I$2:'Master'!$I$4384,MATCH($A35&amp;X$2,Master!$A$2:'Master'!$A$4384&amp;Master!$C$2:'Master'!$C$4384,0))</f>
        <v>1</v>
      </c>
      <c r="Y35" s="21" cm="1">
        <f t="array" aca="1" ref="Y35" ca="1">INDEX(Master!$I$2:'Master'!$I$4384,MATCH($A35&amp;Y$2,Master!$A$2:'Master'!$A$4384&amp;Master!$C$2:'Master'!$C$4384,0))</f>
        <v>1</v>
      </c>
      <c r="Z35" s="21" cm="1">
        <f t="array" aca="1" ref="Z35" ca="1">INDEX(Master!$I$2:'Master'!$I$4384,MATCH($A35&amp;Z$2,Master!$A$2:'Master'!$A$4384&amp;Master!$C$2:'Master'!$C$4384,0))</f>
        <v>2</v>
      </c>
      <c r="AA35" s="21" cm="1">
        <f t="array" aca="1" ref="AA35" ca="1">INDEX(Master!$I$2:'Master'!$I$4384,MATCH($A35&amp;AA$2,Master!$A$2:'Master'!$A$4384&amp;Master!$C$2:'Master'!$C$4384,0))</f>
        <v>2</v>
      </c>
      <c r="AB35" s="21" cm="1">
        <f t="array" aca="1" ref="AB35" ca="1">INDEX(Master!$I$2:'Master'!$I$4384,MATCH($A35&amp;AB$2,Master!$A$2:'Master'!$A$4384&amp;Master!$C$2:'Master'!$C$4384,0))</f>
        <v>1</v>
      </c>
      <c r="AC35" s="21" cm="1">
        <f t="array" aca="1" ref="AC35" ca="1">INDEX(Master!$I$2:'Master'!$I$4384,MATCH($A35&amp;AC$2,Master!$A$2:'Master'!$A$4384&amp;Master!$C$2:'Master'!$C$4384,0))</f>
        <v>2</v>
      </c>
      <c r="AD35" s="21" cm="1">
        <f t="array" aca="1" ref="AD35" ca="1">INDEX(Master!$I$2:'Master'!$I$4384,MATCH($A35&amp;AD$2,Master!$A$2:'Master'!$A$4384&amp;Master!$C$2:'Master'!$C$4384,0))</f>
        <v>3</v>
      </c>
      <c r="AE35" s="21" cm="1">
        <f t="array" aca="1" ref="AE35" ca="1">INDEX(Master!$I$2:'Master'!$I$4384,MATCH($A35&amp;AE$2,Master!$A$2:'Master'!$A$4384&amp;Master!$C$2:'Master'!$C$4384,0))</f>
        <v>3</v>
      </c>
      <c r="AF35" s="21" cm="1">
        <f t="array" aca="1" ref="AF35" ca="1">INDEX(Master!$I$2:'Master'!$I$4384,MATCH($A35&amp;AF$2,Master!$A$2:'Master'!$A$4384&amp;Master!$C$2:'Master'!$C$4384,0))</f>
        <v>2</v>
      </c>
      <c r="AG35" s="21" cm="1">
        <f t="array" aca="1" ref="AG35" ca="1">INDEX(Master!$I$2:'Master'!$I$4384,MATCH($A35&amp;AG$2,Master!$A$2:'Master'!$A$4384&amp;Master!$C$2:'Master'!$C$4384,0))</f>
        <v>2</v>
      </c>
      <c r="AH35" s="21" cm="1">
        <f t="array" aca="1" ref="AH35" ca="1">INDEX(Master!$I$2:'Master'!$I$4384,MATCH($A35&amp;AH$2,Master!$A$2:'Master'!$A$4384&amp;Master!$C$2:'Master'!$C$4384,0))</f>
        <v>3</v>
      </c>
      <c r="AI35" s="21" cm="1">
        <f t="array" aca="1" ref="AI35" ca="1">INDEX(Master!$I$2:'Master'!$I$4384,MATCH($A35&amp;AI$2,Master!$A$2:'Master'!$A$4384&amp;Master!$C$2:'Master'!$C$4384,0))</f>
        <v>2</v>
      </c>
      <c r="AJ35" s="21" cm="1">
        <f t="array" aca="1" ref="AJ35" ca="1">INDEX(Master!$I$2:'Master'!$I$4384,MATCH($A35&amp;AJ$2,Master!$A$2:'Master'!$A$4384&amp;Master!$C$2:'Master'!$C$4384,0))</f>
        <v>2</v>
      </c>
      <c r="AK35" s="21" cm="1">
        <f t="array" aca="1" ref="AK35" ca="1">INDEX(Master!$I$2:'Master'!$I$4384,MATCH($A35&amp;AK$2,Master!$A$2:'Master'!$A$4384&amp;Master!$C$2:'Master'!$C$4384,0))</f>
        <v>2</v>
      </c>
      <c r="AL35" s="21" cm="1">
        <f t="array" aca="1" ref="AL35" ca="1">INDEX(Master!$I$2:'Master'!$I$4384,MATCH($A35&amp;AL$2,Master!$A$2:'Master'!$A$4384&amp;Master!$C$2:'Master'!$C$4384,0))</f>
        <v>1</v>
      </c>
      <c r="AM35" s="21" cm="1">
        <f t="array" aca="1" ref="AM35" ca="1">INDEX(Master!$I$2:'Master'!$I$4384,MATCH($A35&amp;AM$2,Master!$A$2:'Master'!$A$4384&amp;Master!$C$2:'Master'!$C$4384,0))</f>
        <v>1</v>
      </c>
      <c r="AN35" s="21" cm="1">
        <f t="array" aca="1" ref="AN35" ca="1">INDEX(Master!$I$2:'Master'!$I$4384,MATCH($A35&amp;AN$2,Master!$A$2:'Master'!$A$4384&amp;Master!$C$2:'Master'!$C$4384,0))</f>
        <v>1</v>
      </c>
      <c r="AO35" s="21" cm="1">
        <f t="array" aca="1" ref="AO35" ca="1">INDEX(Master!$I$2:'Master'!$I$4384,MATCH($A35&amp;AO$2,Master!$A$2:'Master'!$A$4384&amp;Master!$C$2:'Master'!$C$4384,0))</f>
        <v>3</v>
      </c>
      <c r="AP35" s="21" cm="1">
        <f t="array" aca="1" ref="AP35" ca="1">INDEX(Master!$I$2:'Master'!$I$4384,MATCH($A35&amp;AP$2,Master!$A$2:'Master'!$A$4384&amp;Master!$C$2:'Master'!$C$4384,0))</f>
        <v>2</v>
      </c>
      <c r="AQ35" s="21" cm="1">
        <f t="array" aca="1" ref="AQ35" ca="1">INDEX(Master!$I$2:'Master'!$I$4384,MATCH($A35&amp;AQ$2,Master!$A$2:'Master'!$A$4384&amp;Master!$C$2:'Master'!$C$4384,0))</f>
        <v>0</v>
      </c>
      <c r="AR35" s="21" cm="1">
        <f t="array" aca="1" ref="AR35" ca="1">INDEX(Master!$I$2:'Master'!$I$4384,MATCH($A35&amp;AR$2,Master!$A$2:'Master'!$A$4384&amp;Master!$C$2:'Master'!$C$4384,0))</f>
        <v>3</v>
      </c>
      <c r="AS35" s="21" cm="1">
        <f t="array" aca="1" ref="AS35" ca="1">INDEX(Master!$I$2:'Master'!$I$4384,MATCH($A35&amp;AS$2,Master!$A$2:'Master'!$A$4384&amp;Master!$C$2:'Master'!$C$4384,0))</f>
        <v>1</v>
      </c>
      <c r="AT35" s="21" cm="1">
        <f t="array" aca="1" ref="AT35" ca="1">INDEX(Master!$I$2:'Master'!$I$4384,MATCH($A35&amp;AT$2,Master!$A$2:'Master'!$A$4384&amp;Master!$C$2:'Master'!$C$4384,0))</f>
        <v>2</v>
      </c>
      <c r="AU35" s="21" cm="1">
        <f t="array" aca="1" ref="AU35" ca="1">INDEX(Master!$I$2:'Master'!$I$4384,MATCH($A35&amp;AU$2,Master!$A$2:'Master'!$A$4384&amp;Master!$C$2:'Master'!$C$4384,0))</f>
        <v>1</v>
      </c>
      <c r="AV35" s="21" cm="1">
        <f t="array" aca="1" ref="AV35" ca="1">INDEX(Master!$I$2:'Master'!$I$4384,MATCH($A35&amp;AV$2,Master!$A$2:'Master'!$A$4384&amp;Master!$C$2:'Master'!$C$4384,0))</f>
        <v>3</v>
      </c>
      <c r="AW35" s="21" cm="1">
        <f t="array" aca="1" ref="AW35" ca="1">INDEX(Master!$I$2:'Master'!$I$4384,MATCH($A35&amp;AW$2,Master!$A$2:'Master'!$A$4384&amp;Master!$C$2:'Master'!$C$4384,0))</f>
        <v>3</v>
      </c>
      <c r="AX35" s="21" cm="1">
        <f t="array" aca="1" ref="AX35" ca="1">INDEX(Master!$I$2:'Master'!$I$4384,MATCH($A35&amp;AX$2,Master!$A$2:'Master'!$A$4384&amp;Master!$C$2:'Master'!$C$4384,0))</f>
        <v>2</v>
      </c>
      <c r="AY35" s="21" cm="1">
        <f t="array" aca="1" ref="AY35" ca="1">INDEX(Master!$I$2:'Master'!$I$4384,MATCH($A35&amp;AY$2,Master!$A$2:'Master'!$A$4384&amp;Master!$C$2:'Master'!$C$4384,0))</f>
        <v>4</v>
      </c>
      <c r="AZ35" s="21" cm="1">
        <f t="array" aca="1" ref="AZ35" ca="1">INDEX(Master!$I$2:'Master'!$I$4384,MATCH($A35&amp;AZ$2,Master!$A$2:'Master'!$A$4384&amp;Master!$C$2:'Master'!$C$4384,0))</f>
        <v>2</v>
      </c>
      <c r="BA35" s="21" cm="1">
        <f t="array" aca="1" ref="BA35" ca="1">INDEX(Master!$I$2:'Master'!$I$4384,MATCH($A35&amp;BA$2,Master!$A$2:'Master'!$A$4384&amp;Master!$C$2:'Master'!$C$4384,0))</f>
        <v>3</v>
      </c>
      <c r="BB35" s="21" cm="1">
        <f t="array" aca="1" ref="BB35" ca="1">INDEX(Master!$I$2:'Master'!$I$4384,MATCH($A35&amp;BB$2,Master!$A$2:'Master'!$A$4384&amp;Master!$C$2:'Master'!$C$4384,0))</f>
        <v>2</v>
      </c>
      <c r="BC35" s="21" cm="1">
        <f t="array" aca="1" ref="BC35" ca="1">INDEX(Master!$I$2:'Master'!$I$4384,MATCH($A35&amp;BC$2,Master!$A$2:'Master'!$A$4384&amp;Master!$C$2:'Master'!$C$4384,0))</f>
        <v>1</v>
      </c>
      <c r="BD35" s="21" cm="1">
        <f t="array" aca="1" ref="BD35" ca="1">INDEX(Master!$I$2:'Master'!$I$4384,MATCH($A35&amp;BD$2,Master!$A$2:'Master'!$A$4384&amp;Master!$C$2:'Master'!$C$4384,0))</f>
        <v>1</v>
      </c>
      <c r="BE35" s="21" cm="1">
        <f t="array" aca="1" ref="BE35" ca="1">INDEX(Master!$I$2:'Master'!$I$4384,MATCH($A35&amp;BE$2,Master!$A$2:'Master'!$A$4384&amp;Master!$C$2:'Master'!$C$4384,0))</f>
        <v>0</v>
      </c>
      <c r="BF35" s="21" cm="1">
        <f t="array" aca="1" ref="BF35" ca="1">INDEX(Master!$I$2:'Master'!$I$4384,MATCH($A35&amp;BF$2,Master!$A$2:'Master'!$A$4384&amp;Master!$C$2:'Master'!$C$4384,0))</f>
        <v>1</v>
      </c>
      <c r="BG35" s="21" cm="1">
        <f t="array" aca="1" ref="BG35" ca="1">INDEX(Master!$I$2:'Master'!$I$4384,MATCH($A35&amp;BG$2,Master!$A$2:'Master'!$A$4384&amp;Master!$C$2:'Master'!$C$4384,0))</f>
        <v>1</v>
      </c>
      <c r="BH35" s="21" cm="1">
        <f t="array" aca="1" ref="BH35" ca="1">INDEX(Master!$I$2:'Master'!$I$4384,MATCH($A35&amp;BH$2,Master!$A$2:'Master'!$A$4384&amp;Master!$C$2:'Master'!$C$4384,0))</f>
        <v>0</v>
      </c>
      <c r="BI35" s="21" cm="1">
        <f t="array" aca="1" ref="BI35" ca="1">INDEX(Master!$I$2:'Master'!$I$4384,MATCH($A35&amp;BI$2,Master!$A$2:'Master'!$A$4384&amp;Master!$C$2:'Master'!$C$4384,0))</f>
        <v>3</v>
      </c>
      <c r="BJ35" s="21" cm="1">
        <f t="array" aca="1" ref="BJ35" ca="1">INDEX(Master!$I$2:'Master'!$I$4384,MATCH($A35&amp;BJ$2,Master!$A$2:'Master'!$A$4384&amp;Master!$C$2:'Master'!$C$4384,0))</f>
        <v>2</v>
      </c>
      <c r="BK35" s="21" cm="1">
        <f t="array" aca="1" ref="BK35" ca="1">INDEX(Master!$I$2:'Master'!$I$4384,MATCH($A35&amp;BK$2,Master!$A$2:'Master'!$A$4384&amp;Master!$C$2:'Master'!$C$4384,0))</f>
        <v>0</v>
      </c>
      <c r="BL35" s="21" cm="1">
        <f t="array" aca="1" ref="BL35" ca="1">INDEX(Master!$I$2:'Master'!$I$4384,MATCH($A35&amp;BL$2,Master!$A$2:'Master'!$A$4384&amp;Master!$C$2:'Master'!$C$4384,0))</f>
        <v>2</v>
      </c>
      <c r="BM35" s="21" cm="1">
        <f t="array" aca="1" ref="BM35" ca="1">INDEX(Master!$I$2:'Master'!$I$4384,MATCH($A35&amp;BM$2,Master!$A$2:'Master'!$A$4384&amp;Master!$C$2:'Master'!$C$4384,0))</f>
        <v>3</v>
      </c>
      <c r="BN35" s="21" cm="1">
        <f t="array" aca="1" ref="BN35" ca="1">INDEX(Master!$I$2:'Master'!$I$4384,MATCH($A35&amp;BN$2,Master!$A$2:'Master'!$A$4384&amp;Master!$C$2:'Master'!$C$4384,0))</f>
        <v>1</v>
      </c>
      <c r="BO35" s="21" cm="1">
        <f t="array" aca="1" ref="BO35" ca="1">INDEX(Master!$I$2:'Master'!$I$4384,MATCH($A35&amp;BO$2,Master!$A$2:'Master'!$A$4384&amp;Master!$C$2:'Master'!$C$4384,0))</f>
        <v>2</v>
      </c>
      <c r="BP35" s="21" cm="1">
        <f t="array" aca="1" ref="BP35" ca="1">INDEX(Master!$I$2:'Master'!$I$4384,MATCH($A35&amp;BP$2,Master!$A$2:'Master'!$A$4384&amp;Master!$C$2:'Master'!$C$4384,0))</f>
        <v>1</v>
      </c>
      <c r="BQ35" s="21" cm="1">
        <f t="array" aca="1" ref="BQ35" ca="1">INDEX(Master!$I$2:'Master'!$I$4384,MATCH($A35&amp;BQ$2,Master!$A$2:'Master'!$A$4384&amp;Master!$C$2:'Master'!$C$4384,0))</f>
        <v>1</v>
      </c>
      <c r="BR35" s="21" cm="1">
        <f t="array" aca="1" ref="BR35" ca="1">INDEX(Master!$I$2:'Master'!$I$4384,MATCH($A35&amp;BR$2,Master!$A$2:'Master'!$A$4384&amp;Master!$C$2:'Master'!$C$4384,0))</f>
        <v>1</v>
      </c>
      <c r="BS35" s="21" cm="1">
        <f t="array" aca="1" ref="BS35" ca="1">INDEX(Master!$I$2:'Master'!$I$4384,MATCH($A35&amp;BS$2,Master!$A$2:'Master'!$A$4384&amp;Master!$C$2:'Master'!$C$4384,0))</f>
        <v>1</v>
      </c>
      <c r="BT35" s="21" cm="1">
        <f t="array" aca="1" ref="BT35" ca="1">INDEX(Master!$I$2:'Master'!$I$4384,MATCH($A35&amp;BT$2,Master!$A$2:'Master'!$A$4384&amp;Master!$C$2:'Master'!$C$4384,0))</f>
        <v>0</v>
      </c>
      <c r="BU35" s="21" cm="1">
        <f t="array" aca="1" ref="BU35" ca="1">INDEX(Master!$I$2:'Master'!$I$4384,MATCH($A35&amp;BU$2,Master!$A$2:'Master'!$A$4384&amp;Master!$C$2:'Master'!$C$4384,0))</f>
        <v>1</v>
      </c>
      <c r="BV35" s="21" cm="1">
        <f t="array" aca="1" ref="BV35" ca="1">INDEX(Master!$I$2:'Master'!$I$4384,MATCH($A35&amp;BV$2,Master!$A$2:'Master'!$A$4384&amp;Master!$C$2:'Master'!$C$4384,0))</f>
        <v>1</v>
      </c>
      <c r="BW35" s="21" cm="1">
        <f t="array" aca="1" ref="BW35" ca="1">INDEX(Master!$I$2:'Master'!$I$4384,MATCH($A35&amp;BW$2,Master!$A$2:'Master'!$A$4384&amp;Master!$C$2:'Master'!$C$4384,0))</f>
        <v>1</v>
      </c>
      <c r="BX35" s="21" cm="1">
        <f t="array" aca="1" ref="BX35" ca="1">INDEX(Master!$I$2:'Master'!$I$4384,MATCH($A35&amp;BX$2,Master!$A$2:'Master'!$A$4384&amp;Master!$C$2:'Master'!$C$4384,0))</f>
        <v>1</v>
      </c>
      <c r="BY35" s="21" cm="1">
        <f t="array" aca="1" ref="BY35" ca="1">INDEX(Master!$I$2:'Master'!$I$4384,MATCH($A35&amp;BY$2,Master!$A$2:'Master'!$A$4384&amp;Master!$C$2:'Master'!$C$4384,0))</f>
        <v>0</v>
      </c>
      <c r="BZ35" s="21" cm="1">
        <f t="array" aca="1" ref="BZ35" ca="1">INDEX(Master!$I$2:'Master'!$I$4384,MATCH($A35&amp;BZ$2,Master!$A$2:'Master'!$A$4384&amp;Master!$C$2:'Master'!$C$4384,0))</f>
        <v>3</v>
      </c>
      <c r="CA35" s="21" cm="1">
        <f t="array" aca="1" ref="CA35" ca="1">INDEX(Master!$I$2:'Master'!$I$4384,MATCH($A35&amp;CA$2,Master!$A$2:'Master'!$A$4384&amp;Master!$C$2:'Master'!$C$4384,0))</f>
        <v>2</v>
      </c>
      <c r="CB35" s="21" cm="1">
        <f t="array" aca="1" ref="CB35" ca="1">INDEX(Master!$I$2:'Master'!$I$4384,MATCH($A35&amp;CB$2,Master!$A$2:'Master'!$A$4384&amp;Master!$C$2:'Master'!$C$4384,0))</f>
        <v>0</v>
      </c>
      <c r="CC35" s="21" cm="1">
        <f t="array" aca="1" ref="CC35" ca="1">INDEX(Master!$I$2:'Master'!$I$4384,MATCH($A35&amp;CC$2,Master!$A$2:'Master'!$A$4384&amp;Master!$C$2:'Master'!$C$4384,0))</f>
        <v>2</v>
      </c>
      <c r="CD35" s="21" cm="1">
        <f t="array" aca="1" ref="CD35" ca="1">INDEX(Master!$I$2:'Master'!$I$4384,MATCH($A35&amp;CD$2,Master!$A$2:'Master'!$A$4384&amp;Master!$C$2:'Master'!$C$4384,0))</f>
        <v>3</v>
      </c>
      <c r="CE35" s="21" cm="1">
        <f t="array" aca="1" ref="CE35" ca="1">INDEX(Master!$I$2:'Master'!$I$4384,MATCH($A35&amp;CE$2,Master!$A$2:'Master'!$A$4384&amp;Master!$C$2:'Master'!$C$4384,0))</f>
        <v>3</v>
      </c>
      <c r="CF35" s="21" cm="1">
        <f t="array" aca="1" ref="CF35" ca="1">INDEX(Master!$I$2:'Master'!$I$4384,MATCH($A35&amp;CF$2,Master!$A$2:'Master'!$A$4384&amp;Master!$C$2:'Master'!$C$4384,0))</f>
        <v>2</v>
      </c>
      <c r="CG35" s="21" cm="1">
        <f t="array" aca="1" ref="CG35" ca="1">INDEX(Master!$I$2:'Master'!$I$4384,MATCH($A35&amp;CG$2,Master!$A$2:'Master'!$A$4384&amp;Master!$C$2:'Master'!$C$4384,0))</f>
        <v>3</v>
      </c>
      <c r="CH35" s="21" cm="1">
        <f t="array" aca="1" ref="CH35" ca="1">INDEX(Master!$I$2:'Master'!$I$4384,MATCH($A35&amp;CH$2,Master!$A$2:'Master'!$A$4384&amp;Master!$C$2:'Master'!$C$4384,0))</f>
        <v>1</v>
      </c>
      <c r="CI35" s="21" cm="1">
        <f t="array" aca="1" ref="CI35" ca="1">INDEX(Master!$I$2:'Master'!$I$4384,MATCH($A35&amp;CI$2,Master!$A$2:'Master'!$A$4384&amp;Master!$C$2:'Master'!$C$4384,0))</f>
        <v>0</v>
      </c>
      <c r="CJ35" s="21" cm="1">
        <f t="array" aca="1" ref="CJ35" ca="1">INDEX(Master!$I$2:'Master'!$I$4384,MATCH($A35&amp;CJ$2,Master!$A$2:'Master'!$A$4384&amp;Master!$C$2:'Master'!$C$4384,0))</f>
        <v>3</v>
      </c>
      <c r="CK35" s="21" cm="1">
        <f t="array" aca="1" ref="CK35" ca="1">INDEX(Master!$I$2:'Master'!$I$4384,MATCH($A35&amp;CK$2,Master!$A$2:'Master'!$A$4384&amp;Master!$C$2:'Master'!$C$4384,0))</f>
        <v>1</v>
      </c>
      <c r="CL35" s="21" cm="1">
        <f t="array" aca="1" ref="CL35" ca="1">INDEX(Master!$I$2:'Master'!$I$4384,MATCH($A35&amp;CL$2,Master!$A$2:'Master'!$A$4384&amp;Master!$C$2:'Master'!$C$4384,0))</f>
        <v>0</v>
      </c>
      <c r="CM35" s="21" cm="1">
        <f t="array" aca="1" ref="CM35" ca="1">INDEX(Master!$I$2:'Master'!$I$4384,MATCH($A35&amp;CM$2,Master!$A$2:'Master'!$A$4384&amp;Master!$C$2:'Master'!$C$4384,0))</f>
        <v>2</v>
      </c>
      <c r="CN35" s="21" cm="1">
        <f t="array" aca="1" ref="CN35" ca="1">INDEX(Master!$I$2:'Master'!$I$4384,MATCH($A35&amp;CN$2,Master!$A$2:'Master'!$A$4384&amp;Master!$C$2:'Master'!$C$4384,0))</f>
        <v>1</v>
      </c>
      <c r="CO35" s="21" cm="1">
        <f t="array" aca="1" ref="CO35" ca="1">INDEX(Master!$I$2:'Master'!$I$4384,MATCH($A35&amp;CO$2,Master!$A$2:'Master'!$A$4384&amp;Master!$C$2:'Master'!$C$4384,0))</f>
        <v>2</v>
      </c>
      <c r="CP35" s="21" cm="1">
        <f t="array" aca="1" ref="CP35" ca="1">INDEX(Master!$I$2:'Master'!$I$4384,MATCH($A35&amp;CP$2,Master!$A$2:'Master'!$A$4384&amp;Master!$C$2:'Master'!$C$4384,0))</f>
        <v>1</v>
      </c>
      <c r="CQ35" s="21" cm="1">
        <f t="array" aca="1" ref="CQ35" ca="1">INDEX(Master!$I$2:'Master'!$I$4384,MATCH($A35&amp;CQ$2,Master!$A$2:'Master'!$A$4384&amp;Master!$C$2:'Master'!$C$4384,0))</f>
        <v>1</v>
      </c>
      <c r="CR35" s="21" cm="1">
        <f t="array" aca="1" ref="CR35" ca="1">INDEX(Master!$I$2:'Master'!$I$4384,MATCH($A35&amp;CR$2,Master!$A$2:'Master'!$A$4384&amp;Master!$C$2:'Master'!$C$4384,0))</f>
        <v>4</v>
      </c>
      <c r="CS35" s="21" cm="1">
        <f t="array" aca="1" ref="CS35" ca="1">INDEX(Master!$I$2:'Master'!$I$4384,MATCH($A35&amp;CS$2,Master!$A$2:'Master'!$A$4384&amp;Master!$C$2:'Master'!$C$4384,0))</f>
        <v>1</v>
      </c>
    </row>
    <row r="36" spans="1:97">
      <c r="A36" t="str">
        <f>VLOOKUP(Staff!$A34,Staff!$A$1:A$73,1,FALSE)</f>
        <v>Adam Dalgliesh</v>
      </c>
      <c r="B36" s="21" cm="1">
        <f t="array" aca="1" ref="B36" ca="1">INDEX(Master!$I$2:'Master'!$I$4384,MATCH($A36&amp;B$2,Master!$A$2:'Master'!$A$4384&amp;Master!$C$2:'Master'!$C$4384,0))</f>
        <v>1</v>
      </c>
      <c r="C36" s="21" cm="1">
        <f t="array" aca="1" ref="C36" ca="1">INDEX(Master!$I$2:'Master'!$I$4384,MATCH($A36&amp;C$2,Master!$A$2:'Master'!$A$4384&amp;Master!$C$2:'Master'!$C$4384,0))</f>
        <v>2</v>
      </c>
      <c r="D36" s="21" cm="1">
        <f t="array" aca="1" ref="D36" ca="1">INDEX(Master!$I$2:'Master'!$I$4384,MATCH($A36&amp;D$2,Master!$A$2:'Master'!$A$4384&amp;Master!$C$2:'Master'!$C$4384,0))</f>
        <v>1</v>
      </c>
      <c r="E36" s="21" cm="1">
        <f t="array" aca="1" ref="E36" ca="1">INDEX(Master!$I$2:'Master'!$I$4384,MATCH($A36&amp;E$2,Master!$A$2:'Master'!$A$4384&amp;Master!$C$2:'Master'!$C$4384,0))</f>
        <v>2</v>
      </c>
      <c r="F36" s="21" cm="1">
        <f t="array" aca="1" ref="F36" ca="1">INDEX(Master!$I$2:'Master'!$I$4384,MATCH($A36&amp;F$2,Master!$A$2:'Master'!$A$4384&amp;Master!$C$2:'Master'!$C$4384,0))</f>
        <v>4</v>
      </c>
      <c r="G36" s="21" cm="1">
        <f t="array" aca="1" ref="G36" ca="1">INDEX(Master!$I$2:'Master'!$I$4384,MATCH($A36&amp;G$2,Master!$A$2:'Master'!$A$4384&amp;Master!$C$2:'Master'!$C$4384,0))</f>
        <v>1</v>
      </c>
      <c r="H36" s="21" cm="1">
        <f t="array" aca="1" ref="H36" ca="1">INDEX(Master!$I$2:'Master'!$I$4384,MATCH($A36&amp;H$2,Master!$A$2:'Master'!$A$4384&amp;Master!$C$2:'Master'!$C$4384,0))</f>
        <v>4</v>
      </c>
      <c r="I36" s="21" cm="1">
        <f t="array" aca="1" ref="I36" ca="1">INDEX(Master!$I$2:'Master'!$I$4384,MATCH($A36&amp;I$2,Master!$A$2:'Master'!$A$4384&amp;Master!$C$2:'Master'!$C$4384,0))</f>
        <v>3</v>
      </c>
      <c r="J36" s="21" cm="1">
        <f t="array" aca="1" ref="J36" ca="1">INDEX(Master!$I$2:'Master'!$I$4384,MATCH($A36&amp;J$2,Master!$A$2:'Master'!$A$4384&amp;Master!$C$2:'Master'!$C$4384,0))</f>
        <v>2</v>
      </c>
      <c r="K36" s="21" cm="1">
        <f t="array" aca="1" ref="K36" ca="1">INDEX(Master!$I$2:'Master'!$I$4384,MATCH($A36&amp;K$2,Master!$A$2:'Master'!$A$4384&amp;Master!$C$2:'Master'!$C$4384,0))</f>
        <v>3</v>
      </c>
      <c r="L36" s="21" cm="1">
        <f t="array" aca="1" ref="L36" ca="1">INDEX(Master!$I$2:'Master'!$I$4384,MATCH($A36&amp;L$2,Master!$A$2:'Master'!$A$4384&amp;Master!$C$2:'Master'!$C$4384,0))</f>
        <v>3</v>
      </c>
      <c r="M36" s="21" cm="1">
        <f t="array" aca="1" ref="M36" ca="1">INDEX(Master!$I$2:'Master'!$I$4384,MATCH($A36&amp;M$2,Master!$A$2:'Master'!$A$4384&amp;Master!$C$2:'Master'!$C$4384,0))</f>
        <v>4</v>
      </c>
      <c r="N36" s="21" cm="1">
        <f t="array" aca="1" ref="N36" ca="1">INDEX(Master!$I$2:'Master'!$I$4384,MATCH($A36&amp;N$2,Master!$A$2:'Master'!$A$4384&amp;Master!$C$2:'Master'!$C$4384,0))</f>
        <v>3</v>
      </c>
      <c r="O36" s="21" cm="1">
        <f t="array" aca="1" ref="O36" ca="1">INDEX(Master!$I$2:'Master'!$I$4384,MATCH($A36&amp;O$2,Master!$A$2:'Master'!$A$4384&amp;Master!$C$2:'Master'!$C$4384,0))</f>
        <v>2</v>
      </c>
      <c r="P36" s="21" cm="1">
        <f t="array" aca="1" ref="P36" ca="1">INDEX(Master!$I$2:'Master'!$I$4384,MATCH($A36&amp;P$2,Master!$A$2:'Master'!$A$4384&amp;Master!$C$2:'Master'!$C$4384,0))</f>
        <v>3</v>
      </c>
      <c r="Q36" s="21" cm="1">
        <f t="array" aca="1" ref="Q36" ca="1">INDEX(Master!$I$2:'Master'!$I$4384,MATCH($A36&amp;Q$2,Master!$A$2:'Master'!$A$4384&amp;Master!$C$2:'Master'!$C$4384,0))</f>
        <v>3</v>
      </c>
      <c r="R36" s="21" cm="1">
        <f t="array" aca="1" ref="R36" ca="1">INDEX(Master!$I$2:'Master'!$I$4384,MATCH($A36&amp;R$2,Master!$A$2:'Master'!$A$4384&amp;Master!$C$2:'Master'!$C$4384,0))</f>
        <v>4</v>
      </c>
      <c r="S36" s="21" cm="1">
        <f t="array" aca="1" ref="S36" ca="1">INDEX(Master!$I$2:'Master'!$I$4384,MATCH($A36&amp;S$2,Master!$A$2:'Master'!$A$4384&amp;Master!$C$2:'Master'!$C$4384,0))</f>
        <v>2</v>
      </c>
      <c r="T36" s="21" cm="1">
        <f t="array" aca="1" ref="T36" ca="1">INDEX(Master!$I$2:'Master'!$I$4384,MATCH($A36&amp;T$2,Master!$A$2:'Master'!$A$4384&amp;Master!$C$2:'Master'!$C$4384,0))</f>
        <v>3</v>
      </c>
      <c r="U36" s="21" cm="1">
        <f t="array" aca="1" ref="U36" ca="1">INDEX(Master!$I$2:'Master'!$I$4384,MATCH($A36&amp;U$2,Master!$A$2:'Master'!$A$4384&amp;Master!$C$2:'Master'!$C$4384,0))</f>
        <v>4</v>
      </c>
      <c r="V36" s="21" cm="1">
        <f t="array" aca="1" ref="V36" ca="1">INDEX(Master!$I$2:'Master'!$I$4384,MATCH($A36&amp;V$2,Master!$A$2:'Master'!$A$4384&amp;Master!$C$2:'Master'!$C$4384,0))</f>
        <v>2</v>
      </c>
      <c r="W36" s="21" cm="1">
        <f t="array" aca="1" ref="W36" ca="1">INDEX(Master!$I$2:'Master'!$I$4384,MATCH($A36&amp;W$2,Master!$A$2:'Master'!$A$4384&amp;Master!$C$2:'Master'!$C$4384,0))</f>
        <v>4</v>
      </c>
      <c r="X36" s="21" cm="1">
        <f t="array" aca="1" ref="X36" ca="1">INDEX(Master!$I$2:'Master'!$I$4384,MATCH($A36&amp;X$2,Master!$A$2:'Master'!$A$4384&amp;Master!$C$2:'Master'!$C$4384,0))</f>
        <v>4</v>
      </c>
      <c r="Y36" s="21" cm="1">
        <f t="array" aca="1" ref="Y36" ca="1">INDEX(Master!$I$2:'Master'!$I$4384,MATCH($A36&amp;Y$2,Master!$A$2:'Master'!$A$4384&amp;Master!$C$2:'Master'!$C$4384,0))</f>
        <v>4</v>
      </c>
      <c r="Z36" s="21" cm="1">
        <f t="array" aca="1" ref="Z36" ca="1">INDEX(Master!$I$2:'Master'!$I$4384,MATCH($A36&amp;Z$2,Master!$A$2:'Master'!$A$4384&amp;Master!$C$2:'Master'!$C$4384,0))</f>
        <v>4</v>
      </c>
      <c r="AA36" s="21" cm="1">
        <f t="array" aca="1" ref="AA36" ca="1">INDEX(Master!$I$2:'Master'!$I$4384,MATCH($A36&amp;AA$2,Master!$A$2:'Master'!$A$4384&amp;Master!$C$2:'Master'!$C$4384,0))</f>
        <v>4</v>
      </c>
      <c r="AB36" s="21" cm="1">
        <f t="array" aca="1" ref="AB36" ca="1">INDEX(Master!$I$2:'Master'!$I$4384,MATCH($A36&amp;AB$2,Master!$A$2:'Master'!$A$4384&amp;Master!$C$2:'Master'!$C$4384,0))</f>
        <v>4</v>
      </c>
      <c r="AC36" s="21" cm="1">
        <f t="array" aca="1" ref="AC36" ca="1">INDEX(Master!$I$2:'Master'!$I$4384,MATCH($A36&amp;AC$2,Master!$A$2:'Master'!$A$4384&amp;Master!$C$2:'Master'!$C$4384,0))</f>
        <v>2</v>
      </c>
      <c r="AD36" s="21" cm="1">
        <f t="array" aca="1" ref="AD36" ca="1">INDEX(Master!$I$2:'Master'!$I$4384,MATCH($A36&amp;AD$2,Master!$A$2:'Master'!$A$4384&amp;Master!$C$2:'Master'!$C$4384,0))</f>
        <v>2</v>
      </c>
      <c r="AE36" s="21" cm="1">
        <f t="array" aca="1" ref="AE36" ca="1">INDEX(Master!$I$2:'Master'!$I$4384,MATCH($A36&amp;AE$2,Master!$A$2:'Master'!$A$4384&amp;Master!$C$2:'Master'!$C$4384,0))</f>
        <v>1</v>
      </c>
      <c r="AF36" s="21" cm="1">
        <f t="array" aca="1" ref="AF36" ca="1">INDEX(Master!$I$2:'Master'!$I$4384,MATCH($A36&amp;AF$2,Master!$A$2:'Master'!$A$4384&amp;Master!$C$2:'Master'!$C$4384,0))</f>
        <v>2</v>
      </c>
      <c r="AG36" s="21" cm="1">
        <f t="array" aca="1" ref="AG36" ca="1">INDEX(Master!$I$2:'Master'!$I$4384,MATCH($A36&amp;AG$2,Master!$A$2:'Master'!$A$4384&amp;Master!$C$2:'Master'!$C$4384,0))</f>
        <v>4</v>
      </c>
      <c r="AH36" s="21" cm="1">
        <f t="array" aca="1" ref="AH36" ca="1">INDEX(Master!$I$2:'Master'!$I$4384,MATCH($A36&amp;AH$2,Master!$A$2:'Master'!$A$4384&amp;Master!$C$2:'Master'!$C$4384,0))</f>
        <v>2</v>
      </c>
      <c r="AI36" s="21" cm="1">
        <f t="array" aca="1" ref="AI36" ca="1">INDEX(Master!$I$2:'Master'!$I$4384,MATCH($A36&amp;AI$2,Master!$A$2:'Master'!$A$4384&amp;Master!$C$2:'Master'!$C$4384,0))</f>
        <v>3</v>
      </c>
      <c r="AJ36" s="21" cm="1">
        <f t="array" aca="1" ref="AJ36" ca="1">INDEX(Master!$I$2:'Master'!$I$4384,MATCH($A36&amp;AJ$2,Master!$A$2:'Master'!$A$4384&amp;Master!$C$2:'Master'!$C$4384,0))</f>
        <v>3</v>
      </c>
      <c r="AK36" s="21" cm="1">
        <f t="array" aca="1" ref="AK36" ca="1">INDEX(Master!$I$2:'Master'!$I$4384,MATCH($A36&amp;AK$2,Master!$A$2:'Master'!$A$4384&amp;Master!$C$2:'Master'!$C$4384,0))</f>
        <v>3</v>
      </c>
      <c r="AL36" s="21" cm="1">
        <f t="array" aca="1" ref="AL36" ca="1">INDEX(Master!$I$2:'Master'!$I$4384,MATCH($A36&amp;AL$2,Master!$A$2:'Master'!$A$4384&amp;Master!$C$2:'Master'!$C$4384,0))</f>
        <v>3</v>
      </c>
      <c r="AM36" s="21" cm="1">
        <f t="array" aca="1" ref="AM36" ca="1">INDEX(Master!$I$2:'Master'!$I$4384,MATCH($A36&amp;AM$2,Master!$A$2:'Master'!$A$4384&amp;Master!$C$2:'Master'!$C$4384,0))</f>
        <v>3</v>
      </c>
      <c r="AN36" s="21" cm="1">
        <f t="array" aca="1" ref="AN36" ca="1">INDEX(Master!$I$2:'Master'!$I$4384,MATCH($A36&amp;AN$2,Master!$A$2:'Master'!$A$4384&amp;Master!$C$2:'Master'!$C$4384,0))</f>
        <v>4</v>
      </c>
      <c r="AO36" s="21" cm="1">
        <f t="array" aca="1" ref="AO36" ca="1">INDEX(Master!$I$2:'Master'!$I$4384,MATCH($A36&amp;AO$2,Master!$A$2:'Master'!$A$4384&amp;Master!$C$2:'Master'!$C$4384,0))</f>
        <v>1</v>
      </c>
      <c r="AP36" s="21" cm="1">
        <f t="array" aca="1" ref="AP36" ca="1">INDEX(Master!$I$2:'Master'!$I$4384,MATCH($A36&amp;AP$2,Master!$A$2:'Master'!$A$4384&amp;Master!$C$2:'Master'!$C$4384,0))</f>
        <v>1</v>
      </c>
      <c r="AQ36" s="21" cm="1">
        <f t="array" aca="1" ref="AQ36" ca="1">INDEX(Master!$I$2:'Master'!$I$4384,MATCH($A36&amp;AQ$2,Master!$A$2:'Master'!$A$4384&amp;Master!$C$2:'Master'!$C$4384,0))</f>
        <v>4</v>
      </c>
      <c r="AR36" s="21" cm="1">
        <f t="array" aca="1" ref="AR36" ca="1">INDEX(Master!$I$2:'Master'!$I$4384,MATCH($A36&amp;AR$2,Master!$A$2:'Master'!$A$4384&amp;Master!$C$2:'Master'!$C$4384,0))</f>
        <v>3</v>
      </c>
      <c r="AS36" s="21" cm="1">
        <f t="array" aca="1" ref="AS36" ca="1">INDEX(Master!$I$2:'Master'!$I$4384,MATCH($A36&amp;AS$2,Master!$A$2:'Master'!$A$4384&amp;Master!$C$2:'Master'!$C$4384,0))</f>
        <v>3</v>
      </c>
      <c r="AT36" s="21" cm="1">
        <f t="array" aca="1" ref="AT36" ca="1">INDEX(Master!$I$2:'Master'!$I$4384,MATCH($A36&amp;AT$2,Master!$A$2:'Master'!$A$4384&amp;Master!$C$2:'Master'!$C$4384,0))</f>
        <v>3</v>
      </c>
      <c r="AU36" s="21" cm="1">
        <f t="array" aca="1" ref="AU36" ca="1">INDEX(Master!$I$2:'Master'!$I$4384,MATCH($A36&amp;AU$2,Master!$A$2:'Master'!$A$4384&amp;Master!$C$2:'Master'!$C$4384,0))</f>
        <v>2</v>
      </c>
      <c r="AV36" s="21" cm="1">
        <f t="array" aca="1" ref="AV36" ca="1">INDEX(Master!$I$2:'Master'!$I$4384,MATCH($A36&amp;AV$2,Master!$A$2:'Master'!$A$4384&amp;Master!$C$2:'Master'!$C$4384,0))</f>
        <v>3</v>
      </c>
      <c r="AW36" s="21" cm="1">
        <f t="array" aca="1" ref="AW36" ca="1">INDEX(Master!$I$2:'Master'!$I$4384,MATCH($A36&amp;AW$2,Master!$A$2:'Master'!$A$4384&amp;Master!$C$2:'Master'!$C$4384,0))</f>
        <v>2</v>
      </c>
      <c r="AX36" s="21" cm="1">
        <f t="array" aca="1" ref="AX36" ca="1">INDEX(Master!$I$2:'Master'!$I$4384,MATCH($A36&amp;AX$2,Master!$A$2:'Master'!$A$4384&amp;Master!$C$2:'Master'!$C$4384,0))</f>
        <v>3</v>
      </c>
      <c r="AY36" s="21" cm="1">
        <f t="array" aca="1" ref="AY36" ca="1">INDEX(Master!$I$2:'Master'!$I$4384,MATCH($A36&amp;AY$2,Master!$A$2:'Master'!$A$4384&amp;Master!$C$2:'Master'!$C$4384,0))</f>
        <v>3</v>
      </c>
      <c r="AZ36" s="21" cm="1">
        <f t="array" aca="1" ref="AZ36" ca="1">INDEX(Master!$I$2:'Master'!$I$4384,MATCH($A36&amp;AZ$2,Master!$A$2:'Master'!$A$4384&amp;Master!$C$2:'Master'!$C$4384,0))</f>
        <v>4</v>
      </c>
      <c r="BA36" s="21" cm="1">
        <f t="array" aca="1" ref="BA36" ca="1">INDEX(Master!$I$2:'Master'!$I$4384,MATCH($A36&amp;BA$2,Master!$A$2:'Master'!$A$4384&amp;Master!$C$2:'Master'!$C$4384,0))</f>
        <v>4</v>
      </c>
      <c r="BB36" s="21" cm="1">
        <f t="array" aca="1" ref="BB36" ca="1">INDEX(Master!$I$2:'Master'!$I$4384,MATCH($A36&amp;BB$2,Master!$A$2:'Master'!$A$4384&amp;Master!$C$2:'Master'!$C$4384,0))</f>
        <v>3</v>
      </c>
      <c r="BC36" s="21" cm="1">
        <f t="array" aca="1" ref="BC36" ca="1">INDEX(Master!$I$2:'Master'!$I$4384,MATCH($A36&amp;BC$2,Master!$A$2:'Master'!$A$4384&amp;Master!$C$2:'Master'!$C$4384,0))</f>
        <v>2</v>
      </c>
      <c r="BD36" s="21" cm="1">
        <f t="array" aca="1" ref="BD36" ca="1">INDEX(Master!$I$2:'Master'!$I$4384,MATCH($A36&amp;BD$2,Master!$A$2:'Master'!$A$4384&amp;Master!$C$2:'Master'!$C$4384,0))</f>
        <v>1</v>
      </c>
      <c r="BE36" s="21" cm="1">
        <f t="array" aca="1" ref="BE36" ca="1">INDEX(Master!$I$2:'Master'!$I$4384,MATCH($A36&amp;BE$2,Master!$A$2:'Master'!$A$4384&amp;Master!$C$2:'Master'!$C$4384,0))</f>
        <v>0</v>
      </c>
      <c r="BF36" s="21" cm="1">
        <f t="array" aca="1" ref="BF36" ca="1">INDEX(Master!$I$2:'Master'!$I$4384,MATCH($A36&amp;BF$2,Master!$A$2:'Master'!$A$4384&amp;Master!$C$2:'Master'!$C$4384,0))</f>
        <v>1</v>
      </c>
      <c r="BG36" s="21" cm="1">
        <f t="array" aca="1" ref="BG36" ca="1">INDEX(Master!$I$2:'Master'!$I$4384,MATCH($A36&amp;BG$2,Master!$A$2:'Master'!$A$4384&amp;Master!$C$2:'Master'!$C$4384,0))</f>
        <v>1</v>
      </c>
      <c r="BH36" s="21" cm="1">
        <f t="array" aca="1" ref="BH36" ca="1">INDEX(Master!$I$2:'Master'!$I$4384,MATCH($A36&amp;BH$2,Master!$A$2:'Master'!$A$4384&amp;Master!$C$2:'Master'!$C$4384,0))</f>
        <v>1</v>
      </c>
      <c r="BI36" s="21" cm="1">
        <f t="array" aca="1" ref="BI36" ca="1">INDEX(Master!$I$2:'Master'!$I$4384,MATCH($A36&amp;BI$2,Master!$A$2:'Master'!$A$4384&amp;Master!$C$2:'Master'!$C$4384,0))</f>
        <v>1</v>
      </c>
      <c r="BJ36" s="21" cm="1">
        <f t="array" aca="1" ref="BJ36" ca="1">INDEX(Master!$I$2:'Master'!$I$4384,MATCH($A36&amp;BJ$2,Master!$A$2:'Master'!$A$4384&amp;Master!$C$2:'Master'!$C$4384,0))</f>
        <v>1</v>
      </c>
      <c r="BK36" s="21" cm="1">
        <f t="array" aca="1" ref="BK36" ca="1">INDEX(Master!$I$2:'Master'!$I$4384,MATCH($A36&amp;BK$2,Master!$A$2:'Master'!$A$4384&amp;Master!$C$2:'Master'!$C$4384,0))</f>
        <v>1</v>
      </c>
      <c r="BL36" s="21" cm="1">
        <f t="array" aca="1" ref="BL36" ca="1">INDEX(Master!$I$2:'Master'!$I$4384,MATCH($A36&amp;BL$2,Master!$A$2:'Master'!$A$4384&amp;Master!$C$2:'Master'!$C$4384,0))</f>
        <v>1</v>
      </c>
      <c r="BM36" s="21" cm="1">
        <f t="array" aca="1" ref="BM36" ca="1">INDEX(Master!$I$2:'Master'!$I$4384,MATCH($A36&amp;BM$2,Master!$A$2:'Master'!$A$4384&amp;Master!$C$2:'Master'!$C$4384,0))</f>
        <v>1</v>
      </c>
      <c r="BN36" s="21" cm="1">
        <f t="array" aca="1" ref="BN36" ca="1">INDEX(Master!$I$2:'Master'!$I$4384,MATCH($A36&amp;BN$2,Master!$A$2:'Master'!$A$4384&amp;Master!$C$2:'Master'!$C$4384,0))</f>
        <v>2</v>
      </c>
      <c r="BO36" s="21" cm="1">
        <f t="array" aca="1" ref="BO36" ca="1">INDEX(Master!$I$2:'Master'!$I$4384,MATCH($A36&amp;BO$2,Master!$A$2:'Master'!$A$4384&amp;Master!$C$2:'Master'!$C$4384,0))</f>
        <v>2</v>
      </c>
      <c r="BP36" s="21" cm="1">
        <f t="array" aca="1" ref="BP36" ca="1">INDEX(Master!$I$2:'Master'!$I$4384,MATCH($A36&amp;BP$2,Master!$A$2:'Master'!$A$4384&amp;Master!$C$2:'Master'!$C$4384,0))</f>
        <v>0</v>
      </c>
      <c r="BQ36" s="21" cm="1">
        <f t="array" aca="1" ref="BQ36" ca="1">INDEX(Master!$I$2:'Master'!$I$4384,MATCH($A36&amp;BQ$2,Master!$A$2:'Master'!$A$4384&amp;Master!$C$2:'Master'!$C$4384,0))</f>
        <v>0</v>
      </c>
      <c r="BR36" s="21" cm="1">
        <f t="array" aca="1" ref="BR36" ca="1">INDEX(Master!$I$2:'Master'!$I$4384,MATCH($A36&amp;BR$2,Master!$A$2:'Master'!$A$4384&amp;Master!$C$2:'Master'!$C$4384,0))</f>
        <v>0</v>
      </c>
      <c r="BS36" s="21" cm="1">
        <f t="array" aca="1" ref="BS36" ca="1">INDEX(Master!$I$2:'Master'!$I$4384,MATCH($A36&amp;BS$2,Master!$A$2:'Master'!$A$4384&amp;Master!$C$2:'Master'!$C$4384,0))</f>
        <v>2</v>
      </c>
      <c r="BT36" s="21" cm="1">
        <f t="array" aca="1" ref="BT36" ca="1">INDEX(Master!$I$2:'Master'!$I$4384,MATCH($A36&amp;BT$2,Master!$A$2:'Master'!$A$4384&amp;Master!$C$2:'Master'!$C$4384,0))</f>
        <v>1</v>
      </c>
      <c r="BU36" s="21" cm="1">
        <f t="array" aca="1" ref="BU36" ca="1">INDEX(Master!$I$2:'Master'!$I$4384,MATCH($A36&amp;BU$2,Master!$A$2:'Master'!$A$4384&amp;Master!$C$2:'Master'!$C$4384,0))</f>
        <v>3</v>
      </c>
      <c r="BV36" s="21" cm="1">
        <f t="array" aca="1" ref="BV36" ca="1">INDEX(Master!$I$2:'Master'!$I$4384,MATCH($A36&amp;BV$2,Master!$A$2:'Master'!$A$4384&amp;Master!$C$2:'Master'!$C$4384,0))</f>
        <v>1</v>
      </c>
      <c r="BW36" s="21" cm="1">
        <f t="array" aca="1" ref="BW36" ca="1">INDEX(Master!$I$2:'Master'!$I$4384,MATCH($A36&amp;BW$2,Master!$A$2:'Master'!$A$4384&amp;Master!$C$2:'Master'!$C$4384,0))</f>
        <v>1</v>
      </c>
      <c r="BX36" s="21" cm="1">
        <f t="array" aca="1" ref="BX36" ca="1">INDEX(Master!$I$2:'Master'!$I$4384,MATCH($A36&amp;BX$2,Master!$A$2:'Master'!$A$4384&amp;Master!$C$2:'Master'!$C$4384,0))</f>
        <v>1</v>
      </c>
      <c r="BY36" s="21" cm="1">
        <f t="array" aca="1" ref="BY36" ca="1">INDEX(Master!$I$2:'Master'!$I$4384,MATCH($A36&amp;BY$2,Master!$A$2:'Master'!$A$4384&amp;Master!$C$2:'Master'!$C$4384,0))</f>
        <v>1</v>
      </c>
      <c r="BZ36" s="21" cm="1">
        <f t="array" aca="1" ref="BZ36" ca="1">INDEX(Master!$I$2:'Master'!$I$4384,MATCH($A36&amp;BZ$2,Master!$A$2:'Master'!$A$4384&amp;Master!$C$2:'Master'!$C$4384,0))</f>
        <v>1</v>
      </c>
      <c r="CA36" s="21" cm="1">
        <f t="array" aca="1" ref="CA36" ca="1">INDEX(Master!$I$2:'Master'!$I$4384,MATCH($A36&amp;CA$2,Master!$A$2:'Master'!$A$4384&amp;Master!$C$2:'Master'!$C$4384,0))</f>
        <v>1</v>
      </c>
      <c r="CB36" s="21" cm="1">
        <f t="array" aca="1" ref="CB36" ca="1">INDEX(Master!$I$2:'Master'!$I$4384,MATCH($A36&amp;CB$2,Master!$A$2:'Master'!$A$4384&amp;Master!$C$2:'Master'!$C$4384,0))</f>
        <v>1</v>
      </c>
      <c r="CC36" s="21" cm="1">
        <f t="array" aca="1" ref="CC36" ca="1">INDEX(Master!$I$2:'Master'!$I$4384,MATCH($A36&amp;CC$2,Master!$A$2:'Master'!$A$4384&amp;Master!$C$2:'Master'!$C$4384,0))</f>
        <v>1</v>
      </c>
      <c r="CD36" s="21" cm="1">
        <f t="array" aca="1" ref="CD36" ca="1">INDEX(Master!$I$2:'Master'!$I$4384,MATCH($A36&amp;CD$2,Master!$A$2:'Master'!$A$4384&amp;Master!$C$2:'Master'!$C$4384,0))</f>
        <v>1</v>
      </c>
      <c r="CE36" s="21" cm="1">
        <f t="array" aca="1" ref="CE36" ca="1">INDEX(Master!$I$2:'Master'!$I$4384,MATCH($A36&amp;CE$2,Master!$A$2:'Master'!$A$4384&amp;Master!$C$2:'Master'!$C$4384,0))</f>
        <v>1</v>
      </c>
      <c r="CF36" s="21" cm="1">
        <f t="array" aca="1" ref="CF36" ca="1">INDEX(Master!$I$2:'Master'!$I$4384,MATCH($A36&amp;CF$2,Master!$A$2:'Master'!$A$4384&amp;Master!$C$2:'Master'!$C$4384,0))</f>
        <v>1</v>
      </c>
      <c r="CG36" s="21" cm="1">
        <f t="array" aca="1" ref="CG36" ca="1">INDEX(Master!$I$2:'Master'!$I$4384,MATCH($A36&amp;CG$2,Master!$A$2:'Master'!$A$4384&amp;Master!$C$2:'Master'!$C$4384,0))</f>
        <v>1</v>
      </c>
      <c r="CH36" s="21" cm="1">
        <f t="array" aca="1" ref="CH36" ca="1">INDEX(Master!$I$2:'Master'!$I$4384,MATCH($A36&amp;CH$2,Master!$A$2:'Master'!$A$4384&amp;Master!$C$2:'Master'!$C$4384,0))</f>
        <v>1</v>
      </c>
      <c r="CI36" s="21" cm="1">
        <f t="array" aca="1" ref="CI36" ca="1">INDEX(Master!$I$2:'Master'!$I$4384,MATCH($A36&amp;CI$2,Master!$A$2:'Master'!$A$4384&amp;Master!$C$2:'Master'!$C$4384,0))</f>
        <v>2</v>
      </c>
      <c r="CJ36" s="21" cm="1">
        <f t="array" aca="1" ref="CJ36" ca="1">INDEX(Master!$I$2:'Master'!$I$4384,MATCH($A36&amp;CJ$2,Master!$A$2:'Master'!$A$4384&amp;Master!$C$2:'Master'!$C$4384,0))</f>
        <v>1</v>
      </c>
      <c r="CK36" s="21" cm="1">
        <f t="array" aca="1" ref="CK36" ca="1">INDEX(Master!$I$2:'Master'!$I$4384,MATCH($A36&amp;CK$2,Master!$A$2:'Master'!$A$4384&amp;Master!$C$2:'Master'!$C$4384,0))</f>
        <v>0</v>
      </c>
      <c r="CL36" s="21" cm="1">
        <f t="array" aca="1" ref="CL36" ca="1">INDEX(Master!$I$2:'Master'!$I$4384,MATCH($A36&amp;CL$2,Master!$A$2:'Master'!$A$4384&amp;Master!$C$2:'Master'!$C$4384,0))</f>
        <v>0</v>
      </c>
      <c r="CM36" s="21" cm="1">
        <f t="array" aca="1" ref="CM36" ca="1">INDEX(Master!$I$2:'Master'!$I$4384,MATCH($A36&amp;CM$2,Master!$A$2:'Master'!$A$4384&amp;Master!$C$2:'Master'!$C$4384,0))</f>
        <v>0</v>
      </c>
      <c r="CN36" s="21" cm="1">
        <f t="array" aca="1" ref="CN36" ca="1">INDEX(Master!$I$2:'Master'!$I$4384,MATCH($A36&amp;CN$2,Master!$A$2:'Master'!$A$4384&amp;Master!$C$2:'Master'!$C$4384,0))</f>
        <v>0</v>
      </c>
      <c r="CO36" s="21" cm="1">
        <f t="array" aca="1" ref="CO36" ca="1">INDEX(Master!$I$2:'Master'!$I$4384,MATCH($A36&amp;CO$2,Master!$A$2:'Master'!$A$4384&amp;Master!$C$2:'Master'!$C$4384,0))</f>
        <v>0</v>
      </c>
      <c r="CP36" s="21" cm="1">
        <f t="array" aca="1" ref="CP36" ca="1">INDEX(Master!$I$2:'Master'!$I$4384,MATCH($A36&amp;CP$2,Master!$A$2:'Master'!$A$4384&amp;Master!$C$2:'Master'!$C$4384,0))</f>
        <v>0</v>
      </c>
      <c r="CQ36" s="21" cm="1">
        <f t="array" aca="1" ref="CQ36" ca="1">INDEX(Master!$I$2:'Master'!$I$4384,MATCH($A36&amp;CQ$2,Master!$A$2:'Master'!$A$4384&amp;Master!$C$2:'Master'!$C$4384,0))</f>
        <v>0</v>
      </c>
      <c r="CR36" s="21" cm="1">
        <f t="array" aca="1" ref="CR36" ca="1">INDEX(Master!$I$2:'Master'!$I$4384,MATCH($A36&amp;CR$2,Master!$A$2:'Master'!$A$4384&amp;Master!$C$2:'Master'!$C$4384,0))</f>
        <v>1</v>
      </c>
      <c r="CS36" s="21" cm="1">
        <f t="array" aca="1" ref="CS36" ca="1">INDEX(Master!$I$2:'Master'!$I$4384,MATCH($A36&amp;CS$2,Master!$A$2:'Master'!$A$4384&amp;Master!$C$2:'Master'!$C$4384,0))</f>
        <v>0</v>
      </c>
    </row>
    <row r="38" spans="1:97">
      <c r="A38" t="s">
        <v>387</v>
      </c>
      <c r="B38">
        <f ca="1">COUNTIF('Competence Heatmap'!B$4:B$36,4)</f>
        <v>2</v>
      </c>
      <c r="C38">
        <f ca="1">COUNTIF('Competence Heatmap'!C$4:C$36,4)</f>
        <v>8</v>
      </c>
      <c r="D38">
        <f ca="1">COUNTIF('Competence Heatmap'!D$4:D$36,4)</f>
        <v>7</v>
      </c>
      <c r="E38">
        <f ca="1">COUNTIF('Competence Heatmap'!E$4:E$36,4)</f>
        <v>3</v>
      </c>
      <c r="F38">
        <f ca="1">COUNTIF('Competence Heatmap'!F$4:F$36,4)</f>
        <v>2</v>
      </c>
      <c r="G38">
        <f ca="1">COUNTIF('Competence Heatmap'!G$4:G$36,4)</f>
        <v>3</v>
      </c>
      <c r="H38">
        <f ca="1">COUNTIF('Competence Heatmap'!H$4:H$36,4)</f>
        <v>2</v>
      </c>
      <c r="I38">
        <f ca="1">COUNTIF('Competence Heatmap'!I$4:I$36,4)</f>
        <v>0</v>
      </c>
      <c r="J38">
        <f ca="1">COUNTIF('Competence Heatmap'!J$4:J$36,4)</f>
        <v>1</v>
      </c>
      <c r="K38">
        <f ca="1">COUNTIF('Competence Heatmap'!K$4:K$36,4)</f>
        <v>2</v>
      </c>
      <c r="L38">
        <f ca="1">COUNTIF('Competence Heatmap'!L$4:L$36,4)</f>
        <v>3</v>
      </c>
      <c r="M38">
        <f ca="1">COUNTIF('Competence Heatmap'!M$4:M$36,4)</f>
        <v>2</v>
      </c>
      <c r="N38">
        <f ca="1">COUNTIF('Competence Heatmap'!N$4:N$36,4)</f>
        <v>1</v>
      </c>
      <c r="O38">
        <f ca="1">COUNTIF('Competence Heatmap'!O$4:O$36,4)</f>
        <v>2</v>
      </c>
      <c r="P38">
        <f ca="1">COUNTIF('Competence Heatmap'!P$4:P$36,4)</f>
        <v>1</v>
      </c>
      <c r="Q38">
        <f ca="1">COUNTIF('Competence Heatmap'!Q$4:Q$36,4)</f>
        <v>1</v>
      </c>
      <c r="R38">
        <f ca="1">COUNTIF('Competence Heatmap'!R$4:R$36,4)</f>
        <v>2</v>
      </c>
      <c r="S38">
        <f ca="1">COUNTIF('Competence Heatmap'!S$4:S$36,4)</f>
        <v>1</v>
      </c>
      <c r="T38">
        <f ca="1">COUNTIF('Competence Heatmap'!T$4:T$36,4)</f>
        <v>2</v>
      </c>
      <c r="U38">
        <f ca="1">COUNTIF('Competence Heatmap'!U$4:U$36,4)</f>
        <v>1</v>
      </c>
      <c r="V38">
        <f ca="1">COUNTIF('Competence Heatmap'!V$4:V$36,4)</f>
        <v>0</v>
      </c>
      <c r="W38">
        <f ca="1">COUNTIF('Competence Heatmap'!W$4:W$36,4)</f>
        <v>4</v>
      </c>
      <c r="X38">
        <f ca="1">COUNTIF('Competence Heatmap'!X$4:X$36,4)</f>
        <v>1</v>
      </c>
      <c r="Y38">
        <f ca="1">COUNTIF('Competence Heatmap'!Y$4:Y$36,4)</f>
        <v>1</v>
      </c>
      <c r="Z38">
        <f ca="1">COUNTIF('Competence Heatmap'!Z$4:Z$36,4)</f>
        <v>1</v>
      </c>
      <c r="AA38">
        <f ca="1">COUNTIF('Competence Heatmap'!AA$4:AA$36,4)</f>
        <v>1</v>
      </c>
      <c r="AB38">
        <f ca="1">COUNTIF('Competence Heatmap'!AB$4:AB$36,4)</f>
        <v>1</v>
      </c>
      <c r="AC38">
        <f ca="1">COUNTIF('Competence Heatmap'!AC$4:AC$36,4)</f>
        <v>0</v>
      </c>
      <c r="AD38">
        <f ca="1">COUNTIF('Competence Heatmap'!AD$4:AD$36,4)</f>
        <v>0</v>
      </c>
      <c r="AE38">
        <f ca="1">COUNTIF('Competence Heatmap'!AE$4:AE$36,4)</f>
        <v>0</v>
      </c>
      <c r="AF38">
        <f ca="1">COUNTIF('Competence Heatmap'!AF$4:AF$36,4)</f>
        <v>0</v>
      </c>
      <c r="AG38">
        <f ca="1">COUNTIF('Competence Heatmap'!AG$4:AG$36,4)</f>
        <v>2</v>
      </c>
      <c r="AH38">
        <f ca="1">COUNTIF('Competence Heatmap'!AH$4:AH$36,4)</f>
        <v>1</v>
      </c>
      <c r="AI38">
        <f ca="1">COUNTIF('Competence Heatmap'!AI$4:AI$36,4)</f>
        <v>1</v>
      </c>
      <c r="AJ38">
        <f ca="1">COUNTIF('Competence Heatmap'!AJ$4:AJ$36,4)</f>
        <v>4</v>
      </c>
      <c r="AK38">
        <f ca="1">COUNTIF('Competence Heatmap'!AK$4:AK$36,4)</f>
        <v>0</v>
      </c>
      <c r="AL38">
        <f ca="1">COUNTIF('Competence Heatmap'!AL$4:AL$36,4)</f>
        <v>0</v>
      </c>
      <c r="AM38">
        <f ca="1">COUNTIF('Competence Heatmap'!AM$4:AM$36,4)</f>
        <v>0</v>
      </c>
      <c r="AN38">
        <f ca="1">COUNTIF('Competence Heatmap'!AN$4:AN$36,4)</f>
        <v>1</v>
      </c>
      <c r="AO38">
        <f ca="1">COUNTIF('Competence Heatmap'!AO$4:AO$36,4)</f>
        <v>0</v>
      </c>
      <c r="AP38">
        <f ca="1">COUNTIF('Competence Heatmap'!AP$4:AP$36,4)</f>
        <v>0</v>
      </c>
      <c r="AQ38">
        <f ca="1">COUNTIF('Competence Heatmap'!AQ$4:AQ$36,4)</f>
        <v>1</v>
      </c>
      <c r="AR38">
        <f ca="1">COUNTIF('Competence Heatmap'!AR$4:AR$36,4)</f>
        <v>1</v>
      </c>
      <c r="AS38">
        <f ca="1">COUNTIF('Competence Heatmap'!AS$4:AS$36,4)</f>
        <v>1</v>
      </c>
      <c r="AT38">
        <f ca="1">COUNTIF('Competence Heatmap'!AT$4:AT$36,4)</f>
        <v>3</v>
      </c>
      <c r="AU38">
        <f ca="1">COUNTIF('Competence Heatmap'!AU$4:AU$36,4)</f>
        <v>0</v>
      </c>
      <c r="AV38">
        <f ca="1">COUNTIF('Competence Heatmap'!AV$4:AV$36,4)</f>
        <v>1</v>
      </c>
      <c r="AW38">
        <f ca="1">COUNTIF('Competence Heatmap'!AW$4:AW$36,4)</f>
        <v>0</v>
      </c>
      <c r="AX38">
        <f ca="1">COUNTIF('Competence Heatmap'!AX$4:AX$36,4)</f>
        <v>7</v>
      </c>
      <c r="AY38">
        <f ca="1">COUNTIF('Competence Heatmap'!AY$4:AY$36,4)</f>
        <v>2</v>
      </c>
      <c r="AZ38">
        <f ca="1">COUNTIF('Competence Heatmap'!AZ$4:AZ$36,4)</f>
        <v>1</v>
      </c>
      <c r="BA38">
        <f ca="1">COUNTIF('Competence Heatmap'!BA$4:BA$36,4)</f>
        <v>4</v>
      </c>
      <c r="BB38">
        <f ca="1">COUNTIF('Competence Heatmap'!BB$4:BB$36,4)</f>
        <v>0</v>
      </c>
      <c r="BC38">
        <f ca="1">COUNTIF('Competence Heatmap'!BC$4:BC$36,4)</f>
        <v>0</v>
      </c>
      <c r="BD38">
        <f ca="1">COUNTIF('Competence Heatmap'!BD$4:BD$36,4)</f>
        <v>2</v>
      </c>
      <c r="BE38">
        <f ca="1">COUNTIF('Competence Heatmap'!BE$4:BE$36,4)</f>
        <v>0</v>
      </c>
      <c r="BF38">
        <f ca="1">COUNTIF('Competence Heatmap'!BF$4:BF$36,4)</f>
        <v>1</v>
      </c>
      <c r="BG38">
        <f ca="1">COUNTIF('Competence Heatmap'!BG$4:BG$36,4)</f>
        <v>0</v>
      </c>
      <c r="BH38">
        <f ca="1">COUNTIF('Competence Heatmap'!BH$4:BH$36,4)</f>
        <v>2</v>
      </c>
      <c r="BI38">
        <f ca="1">COUNTIF('Competence Heatmap'!BI$4:BI$36,4)</f>
        <v>0</v>
      </c>
      <c r="BJ38">
        <f ca="1">COUNTIF('Competence Heatmap'!BJ$4:BJ$36,4)</f>
        <v>0</v>
      </c>
      <c r="BK38">
        <f ca="1">COUNTIF('Competence Heatmap'!BK$4:BK$36,4)</f>
        <v>0</v>
      </c>
      <c r="BL38">
        <f ca="1">COUNTIF('Competence Heatmap'!BL$4:BL$36,4)</f>
        <v>0</v>
      </c>
      <c r="BM38">
        <f ca="1">COUNTIF('Competence Heatmap'!BM$4:BM$36,4)</f>
        <v>1</v>
      </c>
      <c r="BN38">
        <f ca="1">COUNTIF('Competence Heatmap'!BN$4:BN$36,4)</f>
        <v>2</v>
      </c>
      <c r="BO38">
        <f ca="1">COUNTIF('Competence Heatmap'!BO$4:BO$36,4)</f>
        <v>2</v>
      </c>
      <c r="BP38">
        <f ca="1">COUNTIF('Competence Heatmap'!BP$4:BP$36,4)</f>
        <v>1</v>
      </c>
      <c r="BQ38">
        <f ca="1">COUNTIF('Competence Heatmap'!BQ$4:BQ$36,4)</f>
        <v>2</v>
      </c>
      <c r="BR38">
        <f ca="1">COUNTIF('Competence Heatmap'!BR$4:BR$36,4)</f>
        <v>1</v>
      </c>
      <c r="BS38">
        <f ca="1">COUNTIF('Competence Heatmap'!BS$4:BS$36,4)</f>
        <v>2</v>
      </c>
      <c r="BT38">
        <f ca="1">COUNTIF('Competence Heatmap'!BT$4:BT$36,4)</f>
        <v>1</v>
      </c>
      <c r="BU38">
        <f ca="1">COUNTIF('Competence Heatmap'!BU$4:BU$36,4)</f>
        <v>1</v>
      </c>
      <c r="BV38">
        <f ca="1">COUNTIF('Competence Heatmap'!BV$4:BV$36,4)</f>
        <v>1</v>
      </c>
      <c r="BW38">
        <f ca="1">COUNTIF('Competence Heatmap'!BW$4:BW$36,4)</f>
        <v>1</v>
      </c>
      <c r="BX38">
        <f ca="1">COUNTIF('Competence Heatmap'!BX$4:BX$36,4)</f>
        <v>0</v>
      </c>
      <c r="BY38">
        <f ca="1">COUNTIF('Competence Heatmap'!BY$4:BY$36,4)</f>
        <v>2</v>
      </c>
      <c r="BZ38">
        <f ca="1">COUNTIF('Competence Heatmap'!BZ$4:BZ$36,4)</f>
        <v>0</v>
      </c>
      <c r="CA38">
        <f ca="1">COUNTIF('Competence Heatmap'!CA$4:CA$36,4)</f>
        <v>0</v>
      </c>
      <c r="CB38">
        <f ca="1">COUNTIF('Competence Heatmap'!CB$4:CB$36,4)</f>
        <v>0</v>
      </c>
      <c r="CC38">
        <f ca="1">COUNTIF('Competence Heatmap'!CC$4:CC$36,4)</f>
        <v>0</v>
      </c>
      <c r="CD38">
        <f ca="1">COUNTIF('Competence Heatmap'!CD$4:CD$36,4)</f>
        <v>1</v>
      </c>
      <c r="CE38">
        <f ca="1">COUNTIF('Competence Heatmap'!CE$4:CE$36,4)</f>
        <v>0</v>
      </c>
      <c r="CF38">
        <f ca="1">COUNTIF('Competence Heatmap'!CF$4:CF$36,4)</f>
        <v>0</v>
      </c>
      <c r="CG38">
        <f ca="1">COUNTIF('Competence Heatmap'!CG$4:CG$36,4)</f>
        <v>0</v>
      </c>
      <c r="CH38">
        <f ca="1">COUNTIF('Competence Heatmap'!CH$4:CH$36,4)</f>
        <v>1</v>
      </c>
      <c r="CI38">
        <f ca="1">COUNTIF('Competence Heatmap'!CI$4:CI$36,4)</f>
        <v>1</v>
      </c>
      <c r="CJ38">
        <f ca="1">COUNTIF('Competence Heatmap'!CJ$4:CJ$36,4)</f>
        <v>0</v>
      </c>
      <c r="CK38">
        <f ca="1">COUNTIF('Competence Heatmap'!CK$4:CK$36,4)</f>
        <v>0</v>
      </c>
      <c r="CL38">
        <f ca="1">COUNTIF('Competence Heatmap'!CL$4:CL$36,4)</f>
        <v>1</v>
      </c>
      <c r="CM38">
        <f ca="1">COUNTIF('Competence Heatmap'!CM$4:CM$36,4)</f>
        <v>1</v>
      </c>
      <c r="CN38">
        <f ca="1">COUNTIF('Competence Heatmap'!CN$4:CN$36,4)</f>
        <v>0</v>
      </c>
      <c r="CO38">
        <f ca="1">COUNTIF('Competence Heatmap'!CO$4:CO$36,4)</f>
        <v>0</v>
      </c>
      <c r="CP38">
        <f ca="1">COUNTIF('Competence Heatmap'!CP$4:CP$36,4)</f>
        <v>0</v>
      </c>
      <c r="CQ38">
        <f ca="1">COUNTIF('Competence Heatmap'!CQ$4:CQ$36,4)</f>
        <v>0</v>
      </c>
      <c r="CR38">
        <f ca="1">COUNTIF('Competence Heatmap'!CR$4:CR$36,4)</f>
        <v>2</v>
      </c>
      <c r="CS38">
        <f ca="1">COUNTIF('Competence Heatmap'!CS$4:CS$36,4)</f>
        <v>0</v>
      </c>
    </row>
    <row r="39" spans="1:97">
      <c r="A39" t="s">
        <v>388</v>
      </c>
      <c r="B39">
        <f ca="1">COUNTIF('Competence Heatmap'!B$4:B$36,3)</f>
        <v>11</v>
      </c>
      <c r="C39">
        <f ca="1">COUNTIF('Competence Heatmap'!C$4:C$36,3)</f>
        <v>11</v>
      </c>
      <c r="D39">
        <f ca="1">COUNTIF('Competence Heatmap'!D$4:D$36,3)</f>
        <v>11</v>
      </c>
      <c r="E39">
        <f ca="1">COUNTIF('Competence Heatmap'!E$4:E$36,3)</f>
        <v>12</v>
      </c>
      <c r="F39">
        <f ca="1">COUNTIF('Competence Heatmap'!F$4:F$36,3)</f>
        <v>17</v>
      </c>
      <c r="G39">
        <f ca="1">COUNTIF('Competence Heatmap'!G$4:G$36,3)</f>
        <v>12</v>
      </c>
      <c r="H39">
        <f ca="1">COUNTIF('Competence Heatmap'!H$4:H$36,3)</f>
        <v>13</v>
      </c>
      <c r="I39">
        <f ca="1">COUNTIF('Competence Heatmap'!I$4:I$36,3)</f>
        <v>11</v>
      </c>
      <c r="J39">
        <f ca="1">COUNTIF('Competence Heatmap'!J$4:J$36,3)</f>
        <v>8</v>
      </c>
      <c r="K39">
        <f ca="1">COUNTIF('Competence Heatmap'!K$4:K$36,3)</f>
        <v>6</v>
      </c>
      <c r="L39">
        <f ca="1">COUNTIF('Competence Heatmap'!L$4:L$36,3)</f>
        <v>4</v>
      </c>
      <c r="M39">
        <f ca="1">COUNTIF('Competence Heatmap'!M$4:M$36,3)</f>
        <v>8</v>
      </c>
      <c r="N39">
        <f ca="1">COUNTIF('Competence Heatmap'!N$4:N$36,3)</f>
        <v>2</v>
      </c>
      <c r="O39">
        <f ca="1">COUNTIF('Competence Heatmap'!O$4:O$36,3)</f>
        <v>2</v>
      </c>
      <c r="P39">
        <f ca="1">COUNTIF('Competence Heatmap'!P$4:P$36,3)</f>
        <v>11</v>
      </c>
      <c r="Q39">
        <f ca="1">COUNTIF('Competence Heatmap'!Q$4:Q$36,3)</f>
        <v>10</v>
      </c>
      <c r="R39">
        <f ca="1">COUNTIF('Competence Heatmap'!R$4:R$36,3)</f>
        <v>6</v>
      </c>
      <c r="S39">
        <f ca="1">COUNTIF('Competence Heatmap'!S$4:S$36,3)</f>
        <v>4</v>
      </c>
      <c r="T39">
        <f ca="1">COUNTIF('Competence Heatmap'!T$4:T$36,3)</f>
        <v>10</v>
      </c>
      <c r="U39">
        <f ca="1">COUNTIF('Competence Heatmap'!U$4:U$36,3)</f>
        <v>7</v>
      </c>
      <c r="V39">
        <f ca="1">COUNTIF('Competence Heatmap'!V$4:V$36,3)</f>
        <v>6</v>
      </c>
      <c r="W39">
        <f ca="1">COUNTIF('Competence Heatmap'!W$4:W$36,3)</f>
        <v>9</v>
      </c>
      <c r="X39">
        <f ca="1">COUNTIF('Competence Heatmap'!X$4:X$36,3)</f>
        <v>3</v>
      </c>
      <c r="Y39">
        <f ca="1">COUNTIF('Competence Heatmap'!Y$4:Y$36,3)</f>
        <v>5</v>
      </c>
      <c r="Z39">
        <f ca="1">COUNTIF('Competence Heatmap'!Z$4:Z$36,3)</f>
        <v>3</v>
      </c>
      <c r="AA39">
        <f ca="1">COUNTIF('Competence Heatmap'!AA$4:AA$36,3)</f>
        <v>0</v>
      </c>
      <c r="AB39">
        <f ca="1">COUNTIF('Competence Heatmap'!AB$4:AB$36,3)</f>
        <v>3</v>
      </c>
      <c r="AC39">
        <f ca="1">COUNTIF('Competence Heatmap'!AC$4:AC$36,3)</f>
        <v>4</v>
      </c>
      <c r="AD39">
        <f ca="1">COUNTIF('Competence Heatmap'!AD$4:AD$36,3)</f>
        <v>4</v>
      </c>
      <c r="AE39">
        <f ca="1">COUNTIF('Competence Heatmap'!AE$4:AE$36,3)</f>
        <v>5</v>
      </c>
      <c r="AF39">
        <f ca="1">COUNTIF('Competence Heatmap'!AF$4:AF$36,3)</f>
        <v>1</v>
      </c>
      <c r="AG39">
        <f ca="1">COUNTIF('Competence Heatmap'!AG$4:AG$36,3)</f>
        <v>0</v>
      </c>
      <c r="AH39">
        <f ca="1">COUNTIF('Competence Heatmap'!AH$4:AH$36,3)</f>
        <v>7</v>
      </c>
      <c r="AI39">
        <f ca="1">COUNTIF('Competence Heatmap'!AI$4:AI$36,3)</f>
        <v>4</v>
      </c>
      <c r="AJ39">
        <f ca="1">COUNTIF('Competence Heatmap'!AJ$4:AJ$36,3)</f>
        <v>6</v>
      </c>
      <c r="AK39">
        <f ca="1">COUNTIF('Competence Heatmap'!AK$4:AK$36,3)</f>
        <v>3</v>
      </c>
      <c r="AL39">
        <f ca="1">COUNTIF('Competence Heatmap'!AL$4:AL$36,3)</f>
        <v>4</v>
      </c>
      <c r="AM39">
        <f ca="1">COUNTIF('Competence Heatmap'!AM$4:AM$36,3)</f>
        <v>6</v>
      </c>
      <c r="AN39">
        <f ca="1">COUNTIF('Competence Heatmap'!AN$4:AN$36,3)</f>
        <v>5</v>
      </c>
      <c r="AO39">
        <f ca="1">COUNTIF('Competence Heatmap'!AO$4:AO$36,3)</f>
        <v>1</v>
      </c>
      <c r="AP39">
        <f ca="1">COUNTIF('Competence Heatmap'!AP$4:AP$36,3)</f>
        <v>5</v>
      </c>
      <c r="AQ39">
        <f ca="1">COUNTIF('Competence Heatmap'!AQ$4:AQ$36,3)</f>
        <v>6</v>
      </c>
      <c r="AR39">
        <f ca="1">COUNTIF('Competence Heatmap'!AR$4:AR$36,3)</f>
        <v>5</v>
      </c>
      <c r="AS39">
        <f ca="1">COUNTIF('Competence Heatmap'!AS$4:AS$36,3)</f>
        <v>5</v>
      </c>
      <c r="AT39">
        <f ca="1">COUNTIF('Competence Heatmap'!AT$4:AT$36,3)</f>
        <v>6</v>
      </c>
      <c r="AU39">
        <f ca="1">COUNTIF('Competence Heatmap'!AU$4:AU$36,3)</f>
        <v>4</v>
      </c>
      <c r="AV39">
        <f ca="1">COUNTIF('Competence Heatmap'!AV$4:AV$36,3)</f>
        <v>9</v>
      </c>
      <c r="AW39">
        <f ca="1">COUNTIF('Competence Heatmap'!AW$4:AW$36,3)</f>
        <v>3</v>
      </c>
      <c r="AX39">
        <f ca="1">COUNTIF('Competence Heatmap'!AX$4:AX$36,3)</f>
        <v>9</v>
      </c>
      <c r="AY39">
        <f ca="1">COUNTIF('Competence Heatmap'!AY$4:AY$36,3)</f>
        <v>14</v>
      </c>
      <c r="AZ39">
        <f ca="1">COUNTIF('Competence Heatmap'!AZ$4:AZ$36,3)</f>
        <v>6</v>
      </c>
      <c r="BA39">
        <f ca="1">COUNTIF('Competence Heatmap'!BA$4:BA$36,3)</f>
        <v>7</v>
      </c>
      <c r="BB39">
        <f ca="1">COUNTIF('Competence Heatmap'!BB$4:BB$36,3)</f>
        <v>9</v>
      </c>
      <c r="BC39">
        <f ca="1">COUNTIF('Competence Heatmap'!BC$4:BC$36,3)</f>
        <v>6</v>
      </c>
      <c r="BD39">
        <f ca="1">COUNTIF('Competence Heatmap'!BD$4:BD$36,3)</f>
        <v>7</v>
      </c>
      <c r="BE39">
        <f ca="1">COUNTIF('Competence Heatmap'!BE$4:BE$36,3)</f>
        <v>1</v>
      </c>
      <c r="BF39">
        <f ca="1">COUNTIF('Competence Heatmap'!BF$4:BF$36,3)</f>
        <v>1</v>
      </c>
      <c r="BG39">
        <f ca="1">COUNTIF('Competence Heatmap'!BG$4:BG$36,3)</f>
        <v>3</v>
      </c>
      <c r="BH39">
        <f ca="1">COUNTIF('Competence Heatmap'!BH$4:BH$36,3)</f>
        <v>2</v>
      </c>
      <c r="BI39">
        <f ca="1">COUNTIF('Competence Heatmap'!BI$4:BI$36,3)</f>
        <v>3</v>
      </c>
      <c r="BJ39">
        <f ca="1">COUNTIF('Competence Heatmap'!BJ$4:BJ$36,3)</f>
        <v>3</v>
      </c>
      <c r="BK39">
        <f ca="1">COUNTIF('Competence Heatmap'!BK$4:BK$36,3)</f>
        <v>5</v>
      </c>
      <c r="BL39">
        <f ca="1">COUNTIF('Competence Heatmap'!BL$4:BL$36,3)</f>
        <v>3</v>
      </c>
      <c r="BM39">
        <f ca="1">COUNTIF('Competence Heatmap'!BM$4:BM$36,3)</f>
        <v>2</v>
      </c>
      <c r="BN39">
        <f ca="1">COUNTIF('Competence Heatmap'!BN$4:BN$36,3)</f>
        <v>1</v>
      </c>
      <c r="BO39">
        <f ca="1">COUNTIF('Competence Heatmap'!BO$4:BO$36,3)</f>
        <v>3</v>
      </c>
      <c r="BP39">
        <f ca="1">COUNTIF('Competence Heatmap'!BP$4:BP$36,3)</f>
        <v>2</v>
      </c>
      <c r="BQ39">
        <f ca="1">COUNTIF('Competence Heatmap'!BQ$4:BQ$36,3)</f>
        <v>1</v>
      </c>
      <c r="BR39">
        <f ca="1">COUNTIF('Competence Heatmap'!BR$4:BR$36,3)</f>
        <v>2</v>
      </c>
      <c r="BS39">
        <f ca="1">COUNTIF('Competence Heatmap'!BS$4:BS$36,3)</f>
        <v>3</v>
      </c>
      <c r="BT39">
        <f ca="1">COUNTIF('Competence Heatmap'!BT$4:BT$36,3)</f>
        <v>5</v>
      </c>
      <c r="BU39">
        <f ca="1">COUNTIF('Competence Heatmap'!BU$4:BU$36,3)</f>
        <v>2</v>
      </c>
      <c r="BV39">
        <f ca="1">COUNTIF('Competence Heatmap'!BV$4:BV$36,3)</f>
        <v>2</v>
      </c>
      <c r="BW39">
        <f ca="1">COUNTIF('Competence Heatmap'!BW$4:BW$36,3)</f>
        <v>1</v>
      </c>
      <c r="BX39">
        <f ca="1">COUNTIF('Competence Heatmap'!BX$4:BX$36,3)</f>
        <v>3</v>
      </c>
      <c r="BY39">
        <f ca="1">COUNTIF('Competence Heatmap'!BY$4:BY$36,3)</f>
        <v>2</v>
      </c>
      <c r="BZ39">
        <f ca="1">COUNTIF('Competence Heatmap'!BZ$4:BZ$36,3)</f>
        <v>3</v>
      </c>
      <c r="CA39">
        <f ca="1">COUNTIF('Competence Heatmap'!CA$4:CA$36,3)</f>
        <v>3</v>
      </c>
      <c r="CB39">
        <f ca="1">COUNTIF('Competence Heatmap'!CB$4:CB$36,3)</f>
        <v>5</v>
      </c>
      <c r="CC39">
        <f ca="1">COUNTIF('Competence Heatmap'!CC$4:CC$36,3)</f>
        <v>3</v>
      </c>
      <c r="CD39">
        <f ca="1">COUNTIF('Competence Heatmap'!CD$4:CD$36,3)</f>
        <v>2</v>
      </c>
      <c r="CE39">
        <f ca="1">COUNTIF('Competence Heatmap'!CE$4:CE$36,3)</f>
        <v>3</v>
      </c>
      <c r="CF39">
        <f ca="1">COUNTIF('Competence Heatmap'!CF$4:CF$36,3)</f>
        <v>1</v>
      </c>
      <c r="CG39">
        <f ca="1">COUNTIF('Competence Heatmap'!CG$4:CG$36,3)</f>
        <v>6</v>
      </c>
      <c r="CH39">
        <f ca="1">COUNTIF('Competence Heatmap'!CH$4:CH$36,3)</f>
        <v>2</v>
      </c>
      <c r="CI39">
        <f ca="1">COUNTIF('Competence Heatmap'!CI$4:CI$36,3)</f>
        <v>1</v>
      </c>
      <c r="CJ39">
        <f ca="1">COUNTIF('Competence Heatmap'!CJ$4:CJ$36,3)</f>
        <v>1</v>
      </c>
      <c r="CK39">
        <f ca="1">COUNTIF('Competence Heatmap'!CK$4:CK$36,3)</f>
        <v>0</v>
      </c>
      <c r="CL39">
        <f ca="1">COUNTIF('Competence Heatmap'!CL$4:CL$36,3)</f>
        <v>3</v>
      </c>
      <c r="CM39">
        <f ca="1">COUNTIF('Competence Heatmap'!CM$4:CM$36,3)</f>
        <v>2</v>
      </c>
      <c r="CN39">
        <f ca="1">COUNTIF('Competence Heatmap'!CN$4:CN$36,3)</f>
        <v>0</v>
      </c>
      <c r="CO39">
        <f ca="1">COUNTIF('Competence Heatmap'!CO$4:CO$36,3)</f>
        <v>2</v>
      </c>
      <c r="CP39">
        <f ca="1">COUNTIF('Competence Heatmap'!CP$4:CP$36,3)</f>
        <v>0</v>
      </c>
      <c r="CQ39">
        <f ca="1">COUNTIF('Competence Heatmap'!CQ$4:CQ$36,3)</f>
        <v>0</v>
      </c>
      <c r="CR39">
        <f ca="1">COUNTIF('Competence Heatmap'!CR$4:CR$36,3)</f>
        <v>2</v>
      </c>
      <c r="CS39">
        <f ca="1">COUNTIF('Competence Heatmap'!CS$4:CS$36,3)</f>
        <v>4</v>
      </c>
    </row>
    <row r="40" spans="1:97">
      <c r="A40" t="s">
        <v>389</v>
      </c>
      <c r="B40">
        <f ca="1">COUNTIF('Competence Heatmap'!B$4:B$36,2)</f>
        <v>8</v>
      </c>
      <c r="C40">
        <f ca="1">COUNTIF('Competence Heatmap'!C$4:C$36,2)</f>
        <v>4</v>
      </c>
      <c r="D40">
        <f ca="1">COUNTIF('Competence Heatmap'!D$4:D$36,2)</f>
        <v>4</v>
      </c>
      <c r="E40">
        <f ca="1">COUNTIF('Competence Heatmap'!E$4:E$36,2)</f>
        <v>7</v>
      </c>
      <c r="F40">
        <f ca="1">COUNTIF('Competence Heatmap'!F$4:F$36,2)</f>
        <v>5</v>
      </c>
      <c r="G40">
        <f ca="1">COUNTIF('Competence Heatmap'!G$4:G$36,2)</f>
        <v>6</v>
      </c>
      <c r="H40">
        <f ca="1">COUNTIF('Competence Heatmap'!H$4:H$36,2)</f>
        <v>7</v>
      </c>
      <c r="I40">
        <f ca="1">COUNTIF('Competence Heatmap'!I$4:I$36,2)</f>
        <v>12</v>
      </c>
      <c r="J40">
        <f ca="1">COUNTIF('Competence Heatmap'!J$4:J$36,2)</f>
        <v>9</v>
      </c>
      <c r="K40">
        <f ca="1">COUNTIF('Competence Heatmap'!K$4:K$36,2)</f>
        <v>8</v>
      </c>
      <c r="L40">
        <f ca="1">COUNTIF('Competence Heatmap'!L$4:L$36,2)</f>
        <v>8</v>
      </c>
      <c r="M40">
        <f ca="1">COUNTIF('Competence Heatmap'!M$4:M$36,2)</f>
        <v>5</v>
      </c>
      <c r="N40">
        <f ca="1">COUNTIF('Competence Heatmap'!N$4:N$36,2)</f>
        <v>8</v>
      </c>
      <c r="O40">
        <f ca="1">COUNTIF('Competence Heatmap'!O$4:O$36,2)</f>
        <v>9</v>
      </c>
      <c r="P40">
        <f ca="1">COUNTIF('Competence Heatmap'!P$4:P$36,2)</f>
        <v>10</v>
      </c>
      <c r="Q40">
        <f ca="1">COUNTIF('Competence Heatmap'!Q$4:Q$36,2)</f>
        <v>6</v>
      </c>
      <c r="R40">
        <f ca="1">COUNTIF('Competence Heatmap'!R$4:R$36,2)</f>
        <v>8</v>
      </c>
      <c r="S40">
        <f ca="1">COUNTIF('Competence Heatmap'!S$4:S$36,2)</f>
        <v>8</v>
      </c>
      <c r="T40">
        <f ca="1">COUNTIF('Competence Heatmap'!T$4:T$36,2)</f>
        <v>6</v>
      </c>
      <c r="U40">
        <f ca="1">COUNTIF('Competence Heatmap'!U$4:U$36,2)</f>
        <v>8</v>
      </c>
      <c r="V40">
        <f ca="1">COUNTIF('Competence Heatmap'!V$4:V$36,2)</f>
        <v>5</v>
      </c>
      <c r="W40">
        <f ca="1">COUNTIF('Competence Heatmap'!W$4:W$36,2)</f>
        <v>9</v>
      </c>
      <c r="X40">
        <f ca="1">COUNTIF('Competence Heatmap'!X$4:X$36,2)</f>
        <v>4</v>
      </c>
      <c r="Y40">
        <f ca="1">COUNTIF('Competence Heatmap'!Y$4:Y$36,2)</f>
        <v>6</v>
      </c>
      <c r="Z40">
        <f ca="1">COUNTIF('Competence Heatmap'!Z$4:Z$36,2)</f>
        <v>5</v>
      </c>
      <c r="AA40">
        <f ca="1">COUNTIF('Competence Heatmap'!AA$4:AA$36,2)</f>
        <v>6</v>
      </c>
      <c r="AB40">
        <f ca="1">COUNTIF('Competence Heatmap'!AB$4:AB$36,2)</f>
        <v>4</v>
      </c>
      <c r="AC40">
        <f ca="1">COUNTIF('Competence Heatmap'!AC$4:AC$36,2)</f>
        <v>9</v>
      </c>
      <c r="AD40">
        <f ca="1">COUNTIF('Competence Heatmap'!AD$4:AD$36,2)</f>
        <v>5</v>
      </c>
      <c r="AE40">
        <f ca="1">COUNTIF('Competence Heatmap'!AE$4:AE$36,2)</f>
        <v>1</v>
      </c>
      <c r="AF40">
        <f ca="1">COUNTIF('Competence Heatmap'!AF$4:AF$36,2)</f>
        <v>5</v>
      </c>
      <c r="AG40">
        <f ca="1">COUNTIF('Competence Heatmap'!AG$4:AG$36,2)</f>
        <v>3</v>
      </c>
      <c r="AH40">
        <f ca="1">COUNTIF('Competence Heatmap'!AH$4:AH$36,2)</f>
        <v>14</v>
      </c>
      <c r="AI40">
        <f ca="1">COUNTIF('Competence Heatmap'!AI$4:AI$36,2)</f>
        <v>7</v>
      </c>
      <c r="AJ40">
        <f ca="1">COUNTIF('Competence Heatmap'!AJ$4:AJ$36,2)</f>
        <v>9</v>
      </c>
      <c r="AK40">
        <f ca="1">COUNTIF('Competence Heatmap'!AK$4:AK$36,2)</f>
        <v>5</v>
      </c>
      <c r="AL40">
        <f ca="1">COUNTIF('Competence Heatmap'!AL$4:AL$36,2)</f>
        <v>7</v>
      </c>
      <c r="AM40">
        <f ca="1">COUNTIF('Competence Heatmap'!AM$4:AM$36,2)</f>
        <v>12</v>
      </c>
      <c r="AN40">
        <f ca="1">COUNTIF('Competence Heatmap'!AN$4:AN$36,2)</f>
        <v>4</v>
      </c>
      <c r="AO40">
        <f ca="1">COUNTIF('Competence Heatmap'!AO$4:AO$36,2)</f>
        <v>3</v>
      </c>
      <c r="AP40">
        <f ca="1">COUNTIF('Competence Heatmap'!AP$4:AP$36,2)</f>
        <v>5</v>
      </c>
      <c r="AQ40">
        <f ca="1">COUNTIF('Competence Heatmap'!AQ$4:AQ$36,2)</f>
        <v>5</v>
      </c>
      <c r="AR40">
        <f ca="1">COUNTIF('Competence Heatmap'!AR$4:AR$36,2)</f>
        <v>3</v>
      </c>
      <c r="AS40">
        <f ca="1">COUNTIF('Competence Heatmap'!AS$4:AS$36,2)</f>
        <v>0</v>
      </c>
      <c r="AT40">
        <f ca="1">COUNTIF('Competence Heatmap'!AT$4:AT$36,2)</f>
        <v>6</v>
      </c>
      <c r="AU40">
        <f ca="1">COUNTIF('Competence Heatmap'!AU$4:AU$36,2)</f>
        <v>7</v>
      </c>
      <c r="AV40">
        <f ca="1">COUNTIF('Competence Heatmap'!AV$4:AV$36,2)</f>
        <v>3</v>
      </c>
      <c r="AW40">
        <f ca="1">COUNTIF('Competence Heatmap'!AW$4:AW$36,2)</f>
        <v>8</v>
      </c>
      <c r="AX40">
        <f ca="1">COUNTIF('Competence Heatmap'!AX$4:AX$36,2)</f>
        <v>5</v>
      </c>
      <c r="AY40">
        <f ca="1">COUNTIF('Competence Heatmap'!AY$4:AY$36,2)</f>
        <v>7</v>
      </c>
      <c r="AZ40">
        <f ca="1">COUNTIF('Competence Heatmap'!AZ$4:AZ$36,2)</f>
        <v>6</v>
      </c>
      <c r="BA40">
        <f ca="1">COUNTIF('Competence Heatmap'!BA$4:BA$36,2)</f>
        <v>6</v>
      </c>
      <c r="BB40">
        <f ca="1">COUNTIF('Competence Heatmap'!BB$4:BB$36,2)</f>
        <v>5</v>
      </c>
      <c r="BC40">
        <f ca="1">COUNTIF('Competence Heatmap'!BC$4:BC$36,2)</f>
        <v>11</v>
      </c>
      <c r="BD40">
        <f ca="1">COUNTIF('Competence Heatmap'!BD$4:BD$36,2)</f>
        <v>9</v>
      </c>
      <c r="BE40">
        <f ca="1">COUNTIF('Competence Heatmap'!BE$4:BE$36,2)</f>
        <v>1</v>
      </c>
      <c r="BF40">
        <f ca="1">COUNTIF('Competence Heatmap'!BF$4:BF$36,2)</f>
        <v>2</v>
      </c>
      <c r="BG40">
        <f ca="1">COUNTIF('Competence Heatmap'!BG$4:BG$36,2)</f>
        <v>3</v>
      </c>
      <c r="BH40">
        <f ca="1">COUNTIF('Competence Heatmap'!BH$4:BH$36,2)</f>
        <v>2</v>
      </c>
      <c r="BI40">
        <f ca="1">COUNTIF('Competence Heatmap'!BI$4:BI$36,2)</f>
        <v>4</v>
      </c>
      <c r="BJ40">
        <f ca="1">COUNTIF('Competence Heatmap'!BJ$4:BJ$36,2)</f>
        <v>5</v>
      </c>
      <c r="BK40">
        <f ca="1">COUNTIF('Competence Heatmap'!BK$4:BK$36,2)</f>
        <v>4</v>
      </c>
      <c r="BL40">
        <f ca="1">COUNTIF('Competence Heatmap'!BL$4:BL$36,2)</f>
        <v>4</v>
      </c>
      <c r="BM40">
        <f ca="1">COUNTIF('Competence Heatmap'!BM$4:BM$36,2)</f>
        <v>3</v>
      </c>
      <c r="BN40">
        <f ca="1">COUNTIF('Competence Heatmap'!BN$4:BN$36,2)</f>
        <v>5</v>
      </c>
      <c r="BO40">
        <f ca="1">COUNTIF('Competence Heatmap'!BO$4:BO$36,2)</f>
        <v>8</v>
      </c>
      <c r="BP40">
        <f ca="1">COUNTIF('Competence Heatmap'!BP$4:BP$36,2)</f>
        <v>3</v>
      </c>
      <c r="BQ40">
        <f ca="1">COUNTIF('Competence Heatmap'!BQ$4:BQ$36,2)</f>
        <v>3</v>
      </c>
      <c r="BR40">
        <f ca="1">COUNTIF('Competence Heatmap'!BR$4:BR$36,2)</f>
        <v>3</v>
      </c>
      <c r="BS40">
        <f ca="1">COUNTIF('Competence Heatmap'!BS$4:BS$36,2)</f>
        <v>4</v>
      </c>
      <c r="BT40">
        <f ca="1">COUNTIF('Competence Heatmap'!BT$4:BT$36,2)</f>
        <v>5</v>
      </c>
      <c r="BU40">
        <f ca="1">COUNTIF('Competence Heatmap'!BU$4:BU$36,2)</f>
        <v>4</v>
      </c>
      <c r="BV40">
        <f ca="1">COUNTIF('Competence Heatmap'!BV$4:BV$36,2)</f>
        <v>4</v>
      </c>
      <c r="BW40">
        <f ca="1">COUNTIF('Competence Heatmap'!BW$4:BW$36,2)</f>
        <v>2</v>
      </c>
      <c r="BX40">
        <f ca="1">COUNTIF('Competence Heatmap'!BX$4:BX$36,2)</f>
        <v>3</v>
      </c>
      <c r="BY40">
        <f ca="1">COUNTIF('Competence Heatmap'!BY$4:BY$36,2)</f>
        <v>2</v>
      </c>
      <c r="BZ40">
        <f ca="1">COUNTIF('Competence Heatmap'!BZ$4:BZ$36,2)</f>
        <v>4</v>
      </c>
      <c r="CA40">
        <f ca="1">COUNTIF('Competence Heatmap'!CA$4:CA$36,2)</f>
        <v>5</v>
      </c>
      <c r="CB40">
        <f ca="1">COUNTIF('Competence Heatmap'!CB$4:CB$36,2)</f>
        <v>4</v>
      </c>
      <c r="CC40">
        <f ca="1">COUNTIF('Competence Heatmap'!CC$4:CC$36,2)</f>
        <v>4</v>
      </c>
      <c r="CD40">
        <f ca="1">COUNTIF('Competence Heatmap'!CD$4:CD$36,2)</f>
        <v>3</v>
      </c>
      <c r="CE40">
        <f ca="1">COUNTIF('Competence Heatmap'!CE$4:CE$36,2)</f>
        <v>5</v>
      </c>
      <c r="CF40">
        <f ca="1">COUNTIF('Competence Heatmap'!CF$4:CF$36,2)</f>
        <v>7</v>
      </c>
      <c r="CG40">
        <f ca="1">COUNTIF('Competence Heatmap'!CG$4:CG$36,2)</f>
        <v>11</v>
      </c>
      <c r="CH40">
        <f ca="1">COUNTIF('Competence Heatmap'!CH$4:CH$36,2)</f>
        <v>3</v>
      </c>
      <c r="CI40">
        <f ca="1">COUNTIF('Competence Heatmap'!CI$4:CI$36,2)</f>
        <v>15</v>
      </c>
      <c r="CJ40">
        <f ca="1">COUNTIF('Competence Heatmap'!CJ$4:CJ$36,2)</f>
        <v>4</v>
      </c>
      <c r="CK40">
        <f ca="1">COUNTIF('Competence Heatmap'!CK$4:CK$36,2)</f>
        <v>5</v>
      </c>
      <c r="CL40">
        <f ca="1">COUNTIF('Competence Heatmap'!CL$4:CL$36,2)</f>
        <v>3</v>
      </c>
      <c r="CM40">
        <f ca="1">COUNTIF('Competence Heatmap'!CM$4:CM$36,2)</f>
        <v>3</v>
      </c>
      <c r="CN40">
        <f ca="1">COUNTIF('Competence Heatmap'!CN$4:CN$36,2)</f>
        <v>2</v>
      </c>
      <c r="CO40">
        <f ca="1">COUNTIF('Competence Heatmap'!CO$4:CO$36,2)</f>
        <v>2</v>
      </c>
      <c r="CP40">
        <f ca="1">COUNTIF('Competence Heatmap'!CP$4:CP$36,2)</f>
        <v>4</v>
      </c>
      <c r="CQ40">
        <f ca="1">COUNTIF('Competence Heatmap'!CQ$4:CQ$36,2)</f>
        <v>8</v>
      </c>
      <c r="CR40">
        <f ca="1">COUNTIF('Competence Heatmap'!CR$4:CR$36,2)</f>
        <v>7</v>
      </c>
      <c r="CS40">
        <f ca="1">COUNTIF('Competence Heatmap'!CS$4:CS$36,2)</f>
        <v>6</v>
      </c>
    </row>
    <row r="41" spans="1:97">
      <c r="A41" t="s">
        <v>390</v>
      </c>
      <c r="B41">
        <f ca="1">COUNTIF('Competence Heatmap'!B$4:B$36,4)</f>
        <v>2</v>
      </c>
      <c r="C41">
        <f ca="1">COUNTIF('Competence Heatmap'!C$4:C$36,4)</f>
        <v>8</v>
      </c>
      <c r="D41">
        <f ca="1">COUNTIF('Competence Heatmap'!D$4:D$36,4)</f>
        <v>7</v>
      </c>
      <c r="E41">
        <f ca="1">COUNTIF('Competence Heatmap'!E$4:E$36,4)</f>
        <v>3</v>
      </c>
      <c r="F41">
        <f ca="1">COUNTIF('Competence Heatmap'!F$4:F$36,4)</f>
        <v>2</v>
      </c>
      <c r="G41">
        <f ca="1">COUNTIF('Competence Heatmap'!G$4:G$36,4)</f>
        <v>3</v>
      </c>
      <c r="H41">
        <f ca="1">COUNTIF('Competence Heatmap'!H$4:H$36,4)</f>
        <v>2</v>
      </c>
      <c r="I41">
        <f ca="1">COUNTIF('Competence Heatmap'!I$4:I$36,4)</f>
        <v>0</v>
      </c>
      <c r="J41">
        <f ca="1">COUNTIF('Competence Heatmap'!J$4:J$36,4)</f>
        <v>1</v>
      </c>
      <c r="K41">
        <f ca="1">COUNTIF('Competence Heatmap'!K$4:K$36,4)</f>
        <v>2</v>
      </c>
      <c r="L41">
        <f ca="1">COUNTIF('Competence Heatmap'!L$4:L$36,4)</f>
        <v>3</v>
      </c>
      <c r="M41">
        <f ca="1">COUNTIF('Competence Heatmap'!M$4:M$36,4)</f>
        <v>2</v>
      </c>
      <c r="N41">
        <f ca="1">COUNTIF('Competence Heatmap'!N$4:N$36,4)</f>
        <v>1</v>
      </c>
      <c r="O41">
        <f ca="1">COUNTIF('Competence Heatmap'!O$4:O$36,4)</f>
        <v>2</v>
      </c>
      <c r="P41">
        <f ca="1">COUNTIF('Competence Heatmap'!P$4:P$36,4)</f>
        <v>1</v>
      </c>
      <c r="Q41">
        <f ca="1">COUNTIF('Competence Heatmap'!Q$4:Q$36,4)</f>
        <v>1</v>
      </c>
      <c r="R41">
        <f ca="1">COUNTIF('Competence Heatmap'!R$4:R$36,4)</f>
        <v>2</v>
      </c>
      <c r="S41">
        <f ca="1">COUNTIF('Competence Heatmap'!S$4:S$36,4)</f>
        <v>1</v>
      </c>
      <c r="T41">
        <f ca="1">COUNTIF('Competence Heatmap'!T$4:T$36,4)</f>
        <v>2</v>
      </c>
      <c r="U41">
        <f ca="1">COUNTIF('Competence Heatmap'!U$4:U$36,4)</f>
        <v>1</v>
      </c>
      <c r="V41">
        <f ca="1">COUNTIF('Competence Heatmap'!V$4:V$36,4)</f>
        <v>0</v>
      </c>
      <c r="W41">
        <f ca="1">COUNTIF('Competence Heatmap'!W$4:W$36,4)</f>
        <v>4</v>
      </c>
      <c r="X41">
        <f ca="1">COUNTIF('Competence Heatmap'!X$4:X$36,4)</f>
        <v>1</v>
      </c>
      <c r="Y41">
        <f ca="1">COUNTIF('Competence Heatmap'!Y$4:Y$36,4)</f>
        <v>1</v>
      </c>
      <c r="Z41">
        <f ca="1">COUNTIF('Competence Heatmap'!Z$4:Z$36,4)</f>
        <v>1</v>
      </c>
      <c r="AA41">
        <f ca="1">COUNTIF('Competence Heatmap'!AA$4:AA$36,4)</f>
        <v>1</v>
      </c>
      <c r="AB41">
        <f ca="1">COUNTIF('Competence Heatmap'!AB$4:AB$36,4)</f>
        <v>1</v>
      </c>
      <c r="AC41">
        <f ca="1">COUNTIF('Competence Heatmap'!AC$4:AC$36,4)</f>
        <v>0</v>
      </c>
      <c r="AD41">
        <f ca="1">COUNTIF('Competence Heatmap'!AD$4:AD$36,4)</f>
        <v>0</v>
      </c>
      <c r="AE41">
        <f ca="1">COUNTIF('Competence Heatmap'!AE$4:AE$36,4)</f>
        <v>0</v>
      </c>
      <c r="AF41">
        <f ca="1">COUNTIF('Competence Heatmap'!AF$4:AF$36,4)</f>
        <v>0</v>
      </c>
      <c r="AG41">
        <f ca="1">COUNTIF('Competence Heatmap'!AG$4:AG$36,4)</f>
        <v>2</v>
      </c>
      <c r="AH41">
        <f ca="1">COUNTIF('Competence Heatmap'!AH$4:AH$36,4)</f>
        <v>1</v>
      </c>
      <c r="AI41">
        <f ca="1">COUNTIF('Competence Heatmap'!AI$4:AI$36,4)</f>
        <v>1</v>
      </c>
      <c r="AJ41">
        <f ca="1">COUNTIF('Competence Heatmap'!AJ$4:AJ$36,4)</f>
        <v>4</v>
      </c>
      <c r="AK41">
        <f ca="1">COUNTIF('Competence Heatmap'!AK$4:AK$36,4)</f>
        <v>0</v>
      </c>
      <c r="AL41">
        <f ca="1">COUNTIF('Competence Heatmap'!AL$4:AL$36,4)</f>
        <v>0</v>
      </c>
      <c r="AM41">
        <f ca="1">COUNTIF('Competence Heatmap'!AM$4:AM$36,4)</f>
        <v>0</v>
      </c>
      <c r="AN41">
        <f ca="1">COUNTIF('Competence Heatmap'!AN$4:AN$36,4)</f>
        <v>1</v>
      </c>
      <c r="AO41">
        <f ca="1">COUNTIF('Competence Heatmap'!AO$4:AO$36,4)</f>
        <v>0</v>
      </c>
      <c r="AP41">
        <f ca="1">COUNTIF('Competence Heatmap'!AP$4:AP$36,4)</f>
        <v>0</v>
      </c>
      <c r="AQ41">
        <f ca="1">COUNTIF('Competence Heatmap'!AQ$4:AQ$36,4)</f>
        <v>1</v>
      </c>
      <c r="AR41">
        <f ca="1">COUNTIF('Competence Heatmap'!AR$4:AR$36,4)</f>
        <v>1</v>
      </c>
      <c r="AS41">
        <f ca="1">COUNTIF('Competence Heatmap'!AS$4:AS$36,4)</f>
        <v>1</v>
      </c>
      <c r="AT41">
        <f ca="1">COUNTIF('Competence Heatmap'!AT$4:AT$36,4)</f>
        <v>3</v>
      </c>
      <c r="AU41">
        <f ca="1">COUNTIF('Competence Heatmap'!AU$4:AU$36,4)</f>
        <v>0</v>
      </c>
      <c r="AV41">
        <f ca="1">COUNTIF('Competence Heatmap'!AV$4:AV$36,4)</f>
        <v>1</v>
      </c>
      <c r="AW41">
        <f ca="1">COUNTIF('Competence Heatmap'!AW$4:AW$36,4)</f>
        <v>0</v>
      </c>
      <c r="AX41">
        <f ca="1">COUNTIF('Competence Heatmap'!AX$4:AX$36,4)</f>
        <v>7</v>
      </c>
      <c r="AY41">
        <f ca="1">COUNTIF('Competence Heatmap'!AY$4:AY$36,4)</f>
        <v>2</v>
      </c>
      <c r="AZ41">
        <f ca="1">COUNTIF('Competence Heatmap'!AZ$4:AZ$36,4)</f>
        <v>1</v>
      </c>
      <c r="BA41">
        <f ca="1">COUNTIF('Competence Heatmap'!BA$4:BA$36,4)</f>
        <v>4</v>
      </c>
      <c r="BB41">
        <f ca="1">COUNTIF('Competence Heatmap'!BB$4:BB$36,4)</f>
        <v>0</v>
      </c>
      <c r="BC41">
        <f ca="1">COUNTIF('Competence Heatmap'!BC$4:BC$36,4)</f>
        <v>0</v>
      </c>
      <c r="BD41">
        <f ca="1">COUNTIF('Competence Heatmap'!BD$4:BD$36,4)</f>
        <v>2</v>
      </c>
      <c r="BE41">
        <f ca="1">COUNTIF('Competence Heatmap'!BE$4:BE$36,4)</f>
        <v>0</v>
      </c>
      <c r="BF41">
        <f ca="1">COUNTIF('Competence Heatmap'!BF$4:BF$36,4)</f>
        <v>1</v>
      </c>
      <c r="BG41">
        <f ca="1">COUNTIF('Competence Heatmap'!BG$4:BG$36,4)</f>
        <v>0</v>
      </c>
      <c r="BH41">
        <f ca="1">COUNTIF('Competence Heatmap'!BH$4:BH$36,4)</f>
        <v>2</v>
      </c>
      <c r="BI41">
        <f ca="1">COUNTIF('Competence Heatmap'!BI$4:BI$36,4)</f>
        <v>0</v>
      </c>
      <c r="BJ41">
        <f ca="1">COUNTIF('Competence Heatmap'!BJ$4:BJ$36,4)</f>
        <v>0</v>
      </c>
      <c r="BK41">
        <f ca="1">COUNTIF('Competence Heatmap'!BK$4:BK$36,4)</f>
        <v>0</v>
      </c>
      <c r="BL41">
        <f ca="1">COUNTIF('Competence Heatmap'!BL$4:BL$36,4)</f>
        <v>0</v>
      </c>
      <c r="BM41">
        <f ca="1">COUNTIF('Competence Heatmap'!BM$4:BM$36,4)</f>
        <v>1</v>
      </c>
      <c r="BN41">
        <f ca="1">COUNTIF('Competence Heatmap'!BN$4:BN$36,4)</f>
        <v>2</v>
      </c>
      <c r="BO41">
        <f ca="1">COUNTIF('Competence Heatmap'!BO$4:BO$36,4)</f>
        <v>2</v>
      </c>
      <c r="BP41">
        <f ca="1">COUNTIF('Competence Heatmap'!BP$4:BP$36,4)</f>
        <v>1</v>
      </c>
      <c r="BQ41">
        <f ca="1">COUNTIF('Competence Heatmap'!BQ$4:BQ$36,4)</f>
        <v>2</v>
      </c>
      <c r="BR41">
        <f ca="1">COUNTIF('Competence Heatmap'!BR$4:BR$36,4)</f>
        <v>1</v>
      </c>
      <c r="BS41">
        <f ca="1">COUNTIF('Competence Heatmap'!BS$4:BS$36,4)</f>
        <v>2</v>
      </c>
      <c r="BT41">
        <f ca="1">COUNTIF('Competence Heatmap'!BT$4:BT$36,4)</f>
        <v>1</v>
      </c>
      <c r="BU41">
        <f ca="1">COUNTIF('Competence Heatmap'!BU$4:BU$36,4)</f>
        <v>1</v>
      </c>
      <c r="BV41">
        <f ca="1">COUNTIF('Competence Heatmap'!BV$4:BV$36,4)</f>
        <v>1</v>
      </c>
      <c r="BW41">
        <f ca="1">COUNTIF('Competence Heatmap'!BW$4:BW$36,4)</f>
        <v>1</v>
      </c>
      <c r="BX41">
        <f ca="1">COUNTIF('Competence Heatmap'!BX$4:BX$36,4)</f>
        <v>0</v>
      </c>
      <c r="BY41">
        <f ca="1">COUNTIF('Competence Heatmap'!BY$4:BY$36,4)</f>
        <v>2</v>
      </c>
      <c r="BZ41">
        <f ca="1">COUNTIF('Competence Heatmap'!BZ$4:BZ$36,4)</f>
        <v>0</v>
      </c>
      <c r="CA41">
        <f ca="1">COUNTIF('Competence Heatmap'!CA$4:CA$36,4)</f>
        <v>0</v>
      </c>
      <c r="CB41">
        <f ca="1">COUNTIF('Competence Heatmap'!CB$4:CB$36,4)</f>
        <v>0</v>
      </c>
      <c r="CC41">
        <f ca="1">COUNTIF('Competence Heatmap'!CC$4:CC$36,4)</f>
        <v>0</v>
      </c>
      <c r="CD41">
        <f ca="1">COUNTIF('Competence Heatmap'!CD$4:CD$36,4)</f>
        <v>1</v>
      </c>
      <c r="CE41">
        <f ca="1">COUNTIF('Competence Heatmap'!CE$4:CE$36,4)</f>
        <v>0</v>
      </c>
      <c r="CF41">
        <f ca="1">COUNTIF('Competence Heatmap'!CF$4:CF$36,4)</f>
        <v>0</v>
      </c>
      <c r="CG41">
        <f ca="1">COUNTIF('Competence Heatmap'!CG$4:CG$36,4)</f>
        <v>0</v>
      </c>
      <c r="CH41">
        <f ca="1">COUNTIF('Competence Heatmap'!CH$4:CH$36,4)</f>
        <v>1</v>
      </c>
      <c r="CI41">
        <f ca="1">COUNTIF('Competence Heatmap'!CI$4:CI$36,4)</f>
        <v>1</v>
      </c>
      <c r="CJ41">
        <f ca="1">COUNTIF('Competence Heatmap'!CJ$4:CJ$36,4)</f>
        <v>0</v>
      </c>
      <c r="CK41">
        <f ca="1">COUNTIF('Competence Heatmap'!CK$4:CK$36,4)</f>
        <v>0</v>
      </c>
      <c r="CL41">
        <f ca="1">COUNTIF('Competence Heatmap'!CL$4:CL$36,4)</f>
        <v>1</v>
      </c>
      <c r="CM41">
        <f ca="1">COUNTIF('Competence Heatmap'!CM$4:CM$36,4)</f>
        <v>1</v>
      </c>
      <c r="CN41">
        <f ca="1">COUNTIF('Competence Heatmap'!CN$4:CN$36,4)</f>
        <v>0</v>
      </c>
      <c r="CO41">
        <f ca="1">COUNTIF('Competence Heatmap'!CO$4:CO$36,4)</f>
        <v>0</v>
      </c>
      <c r="CP41">
        <f ca="1">COUNTIF('Competence Heatmap'!CP$4:CP$36,4)</f>
        <v>0</v>
      </c>
      <c r="CQ41">
        <f ca="1">COUNTIF('Competence Heatmap'!CQ$4:CQ$36,4)</f>
        <v>0</v>
      </c>
      <c r="CR41">
        <f ca="1">COUNTIF('Competence Heatmap'!CR$4:CR$36,4)</f>
        <v>2</v>
      </c>
      <c r="CS41">
        <f ca="1">COUNTIF('Competence Heatmap'!CS$4:CS$36,4)</f>
        <v>0</v>
      </c>
    </row>
    <row r="42" spans="1:97">
      <c r="A42" t="s">
        <v>391</v>
      </c>
      <c r="B42">
        <f ca="1">COUNTIF('Competence Heatmap'!B$4:B$36,1)</f>
        <v>2</v>
      </c>
      <c r="C42">
        <f ca="1">COUNTIF('Competence Heatmap'!C$4:C$36,1)</f>
        <v>1</v>
      </c>
      <c r="D42">
        <f ca="1">COUNTIF('Competence Heatmap'!D$4:D$36,1)</f>
        <v>1</v>
      </c>
      <c r="E42">
        <f ca="1">COUNTIF('Competence Heatmap'!E$4:E$36,1)</f>
        <v>2</v>
      </c>
      <c r="F42">
        <f ca="1">COUNTIF('Competence Heatmap'!F$4:F$36,1)</f>
        <v>0</v>
      </c>
      <c r="G42">
        <f ca="1">COUNTIF('Competence Heatmap'!G$4:G$36,1)</f>
        <v>3</v>
      </c>
      <c r="H42">
        <f ca="1">COUNTIF('Competence Heatmap'!H$4:H$36,1)</f>
        <v>2</v>
      </c>
      <c r="I42">
        <f ca="1">COUNTIF('Competence Heatmap'!I$4:I$36,1)</f>
        <v>1</v>
      </c>
      <c r="J42">
        <f ca="1">COUNTIF('Competence Heatmap'!J$4:J$36,1)</f>
        <v>5</v>
      </c>
      <c r="K42">
        <f ca="1">COUNTIF('Competence Heatmap'!K$4:K$36,1)</f>
        <v>8</v>
      </c>
      <c r="L42">
        <f ca="1">COUNTIF('Competence Heatmap'!L$4:L$36,1)</f>
        <v>5</v>
      </c>
      <c r="M42">
        <f ca="1">COUNTIF('Competence Heatmap'!M$4:M$36,1)</f>
        <v>9</v>
      </c>
      <c r="N42">
        <f ca="1">COUNTIF('Competence Heatmap'!N$4:N$36,1)</f>
        <v>12</v>
      </c>
      <c r="O42">
        <f ca="1">COUNTIF('Competence Heatmap'!O$4:O$36,1)</f>
        <v>10</v>
      </c>
      <c r="P42">
        <f ca="1">COUNTIF('Competence Heatmap'!P$4:P$36,1)</f>
        <v>2</v>
      </c>
      <c r="Q42">
        <f ca="1">COUNTIF('Competence Heatmap'!Q$4:Q$36,1)</f>
        <v>6</v>
      </c>
      <c r="R42">
        <f ca="1">COUNTIF('Competence Heatmap'!R$4:R$36,1)</f>
        <v>5</v>
      </c>
      <c r="S42">
        <f ca="1">COUNTIF('Competence Heatmap'!S$4:S$36,1)</f>
        <v>7</v>
      </c>
      <c r="T42">
        <f ca="1">COUNTIF('Competence Heatmap'!T$4:T$36,1)</f>
        <v>2</v>
      </c>
      <c r="U42">
        <f ca="1">COUNTIF('Competence Heatmap'!U$4:U$36,1)</f>
        <v>8</v>
      </c>
      <c r="V42">
        <f ca="1">COUNTIF('Competence Heatmap'!V$4:V$36,1)</f>
        <v>13</v>
      </c>
      <c r="W42">
        <f ca="1">COUNTIF('Competence Heatmap'!W$4:W$36,1)</f>
        <v>2</v>
      </c>
      <c r="X42">
        <f ca="1">COUNTIF('Competence Heatmap'!X$4:X$36,1)</f>
        <v>8</v>
      </c>
      <c r="Y42">
        <f ca="1">COUNTIF('Competence Heatmap'!Y$4:Y$36,1)</f>
        <v>6</v>
      </c>
      <c r="Z42">
        <f ca="1">COUNTIF('Competence Heatmap'!Z$4:Z$36,1)</f>
        <v>7</v>
      </c>
      <c r="AA42">
        <f ca="1">COUNTIF('Competence Heatmap'!AA$4:AA$36,1)</f>
        <v>6</v>
      </c>
      <c r="AB42">
        <f ca="1">COUNTIF('Competence Heatmap'!AB$4:AB$36,1)</f>
        <v>11</v>
      </c>
      <c r="AC42">
        <f ca="1">COUNTIF('Competence Heatmap'!AC$4:AC$36,1)</f>
        <v>7</v>
      </c>
      <c r="AD42">
        <f ca="1">COUNTIF('Competence Heatmap'!AD$4:AD$36,1)</f>
        <v>8</v>
      </c>
      <c r="AE42">
        <f ca="1">COUNTIF('Competence Heatmap'!AE$4:AE$36,1)</f>
        <v>13</v>
      </c>
      <c r="AF42">
        <f ca="1">COUNTIF('Competence Heatmap'!AF$4:AF$36,1)</f>
        <v>16</v>
      </c>
      <c r="AG42">
        <f ca="1">COUNTIF('Competence Heatmap'!AG$4:AG$36,1)</f>
        <v>13</v>
      </c>
      <c r="AH42">
        <f ca="1">COUNTIF('Competence Heatmap'!AH$4:AH$36,1)</f>
        <v>2</v>
      </c>
      <c r="AI42">
        <f ca="1">COUNTIF('Competence Heatmap'!AI$4:AI$36,1)</f>
        <v>12</v>
      </c>
      <c r="AJ42">
        <f ca="1">COUNTIF('Competence Heatmap'!AJ$4:AJ$36,1)</f>
        <v>5</v>
      </c>
      <c r="AK42">
        <f ca="1">COUNTIF('Competence Heatmap'!AK$4:AK$36,1)</f>
        <v>8</v>
      </c>
      <c r="AL42">
        <f ca="1">COUNTIF('Competence Heatmap'!AL$4:AL$36,1)</f>
        <v>8</v>
      </c>
      <c r="AM42">
        <f ca="1">COUNTIF('Competence Heatmap'!AM$4:AM$36,1)</f>
        <v>3</v>
      </c>
      <c r="AN42">
        <f ca="1">COUNTIF('Competence Heatmap'!AN$4:AN$36,1)</f>
        <v>8</v>
      </c>
      <c r="AO42">
        <f ca="1">COUNTIF('Competence Heatmap'!AO$4:AO$36,1)</f>
        <v>8</v>
      </c>
      <c r="AP42">
        <f ca="1">COUNTIF('Competence Heatmap'!AP$4:AP$36,1)</f>
        <v>9</v>
      </c>
      <c r="AQ42">
        <f ca="1">COUNTIF('Competence Heatmap'!AQ$4:AQ$36,1)</f>
        <v>7</v>
      </c>
      <c r="AR42">
        <f ca="1">COUNTIF('Competence Heatmap'!AR$4:AR$36,1)</f>
        <v>8</v>
      </c>
      <c r="AS42">
        <f ca="1">COUNTIF('Competence Heatmap'!AS$4:AS$36,1)</f>
        <v>6</v>
      </c>
      <c r="AT42">
        <f ca="1">COUNTIF('Competence Heatmap'!AT$4:AT$36,1)</f>
        <v>6</v>
      </c>
      <c r="AU42">
        <f ca="1">COUNTIF('Competence Heatmap'!AU$4:AU$36,1)</f>
        <v>7</v>
      </c>
      <c r="AV42">
        <f ca="1">COUNTIF('Competence Heatmap'!AV$4:AV$36,1)</f>
        <v>6</v>
      </c>
      <c r="AW42">
        <f ca="1">COUNTIF('Competence Heatmap'!AW$4:AW$36,1)</f>
        <v>4</v>
      </c>
      <c r="AX42">
        <f ca="1">COUNTIF('Competence Heatmap'!AX$4:AX$36,1)</f>
        <v>2</v>
      </c>
      <c r="AY42">
        <f ca="1">COUNTIF('Competence Heatmap'!AY$4:AY$36,1)</f>
        <v>1</v>
      </c>
      <c r="AZ42">
        <f ca="1">COUNTIF('Competence Heatmap'!AZ$4:AZ$36,1)</f>
        <v>5</v>
      </c>
      <c r="BA42">
        <f ca="1">COUNTIF('Competence Heatmap'!BA$4:BA$36,1)</f>
        <v>4</v>
      </c>
      <c r="BB42">
        <f ca="1">COUNTIF('Competence Heatmap'!BB$4:BB$36,1)</f>
        <v>8</v>
      </c>
      <c r="BC42">
        <f ca="1">COUNTIF('Competence Heatmap'!BC$4:BC$36,1)</f>
        <v>4</v>
      </c>
      <c r="BD42">
        <f ca="1">COUNTIF('Competence Heatmap'!BD$4:BD$36,1)</f>
        <v>5</v>
      </c>
      <c r="BE42">
        <f ca="1">COUNTIF('Competence Heatmap'!BE$4:BE$36,1)</f>
        <v>14</v>
      </c>
      <c r="BF42">
        <f ca="1">COUNTIF('Competence Heatmap'!BF$4:BF$36,1)</f>
        <v>18</v>
      </c>
      <c r="BG42">
        <f ca="1">COUNTIF('Competence Heatmap'!BG$4:BG$36,1)</f>
        <v>9</v>
      </c>
      <c r="BH42">
        <f ca="1">COUNTIF('Competence Heatmap'!BH$4:BH$36,1)</f>
        <v>7</v>
      </c>
      <c r="BI42">
        <f ca="1">COUNTIF('Competence Heatmap'!BI$4:BI$36,1)</f>
        <v>10</v>
      </c>
      <c r="BJ42">
        <f ca="1">COUNTIF('Competence Heatmap'!BJ$4:BJ$36,1)</f>
        <v>8</v>
      </c>
      <c r="BK42">
        <f ca="1">COUNTIF('Competence Heatmap'!BK$4:BK$36,1)</f>
        <v>13</v>
      </c>
      <c r="BL42">
        <f ca="1">COUNTIF('Competence Heatmap'!BL$4:BL$36,1)</f>
        <v>12</v>
      </c>
      <c r="BM42">
        <f ca="1">COUNTIF('Competence Heatmap'!BM$4:BM$36,1)</f>
        <v>15</v>
      </c>
      <c r="BN42">
        <f ca="1">COUNTIF('Competence Heatmap'!BN$4:BN$36,1)</f>
        <v>11</v>
      </c>
      <c r="BO42">
        <f ca="1">COUNTIF('Competence Heatmap'!BO$4:BO$36,1)</f>
        <v>7</v>
      </c>
      <c r="BP42">
        <f ca="1">COUNTIF('Competence Heatmap'!BP$4:BP$36,1)</f>
        <v>6</v>
      </c>
      <c r="BQ42">
        <f ca="1">COUNTIF('Competence Heatmap'!BQ$4:BQ$36,1)</f>
        <v>12</v>
      </c>
      <c r="BR42">
        <f ca="1">COUNTIF('Competence Heatmap'!BR$4:BR$36,1)</f>
        <v>9</v>
      </c>
      <c r="BS42">
        <f ca="1">COUNTIF('Competence Heatmap'!BS$4:BS$36,1)</f>
        <v>9</v>
      </c>
      <c r="BT42">
        <f ca="1">COUNTIF('Competence Heatmap'!BT$4:BT$36,1)</f>
        <v>10</v>
      </c>
      <c r="BU42">
        <f ca="1">COUNTIF('Competence Heatmap'!BU$4:BU$36,1)</f>
        <v>7</v>
      </c>
      <c r="BV42">
        <f ca="1">COUNTIF('Competence Heatmap'!BV$4:BV$36,1)</f>
        <v>12</v>
      </c>
      <c r="BW42">
        <f ca="1">COUNTIF('Competence Heatmap'!BW$4:BW$36,1)</f>
        <v>18</v>
      </c>
      <c r="BX42">
        <f ca="1">COUNTIF('Competence Heatmap'!BX$4:BX$36,1)</f>
        <v>9</v>
      </c>
      <c r="BY42">
        <f ca="1">COUNTIF('Competence Heatmap'!BY$4:BY$36,1)</f>
        <v>7</v>
      </c>
      <c r="BZ42">
        <f ca="1">COUNTIF('Competence Heatmap'!BZ$4:BZ$36,1)</f>
        <v>10</v>
      </c>
      <c r="CA42">
        <f ca="1">COUNTIF('Competence Heatmap'!CA$4:CA$36,1)</f>
        <v>8</v>
      </c>
      <c r="CB42">
        <f ca="1">COUNTIF('Competence Heatmap'!CB$4:CB$36,1)</f>
        <v>13</v>
      </c>
      <c r="CC42">
        <f ca="1">COUNTIF('Competence Heatmap'!CC$4:CC$36,1)</f>
        <v>12</v>
      </c>
      <c r="CD42">
        <f ca="1">COUNTIF('Competence Heatmap'!CD$4:CD$36,1)</f>
        <v>15</v>
      </c>
      <c r="CE42">
        <f ca="1">COUNTIF('Competence Heatmap'!CE$4:CE$36,1)</f>
        <v>13</v>
      </c>
      <c r="CF42">
        <f ca="1">COUNTIF('Competence Heatmap'!CF$4:CF$36,1)</f>
        <v>12</v>
      </c>
      <c r="CG42">
        <f ca="1">COUNTIF('Competence Heatmap'!CG$4:CG$36,1)</f>
        <v>5</v>
      </c>
      <c r="CH42">
        <f ca="1">COUNTIF('Competence Heatmap'!CH$4:CH$36,1)</f>
        <v>12</v>
      </c>
      <c r="CI42">
        <f ca="1">COUNTIF('Competence Heatmap'!CI$4:CI$36,1)</f>
        <v>5</v>
      </c>
      <c r="CJ42">
        <f ca="1">COUNTIF('Competence Heatmap'!CJ$4:CJ$36,1)</f>
        <v>13</v>
      </c>
      <c r="CK42">
        <f ca="1">COUNTIF('Competence Heatmap'!CK$4:CK$36,1)</f>
        <v>6</v>
      </c>
      <c r="CL42">
        <f ca="1">COUNTIF('Competence Heatmap'!CL$4:CL$36,1)</f>
        <v>6</v>
      </c>
      <c r="CM42">
        <f ca="1">COUNTIF('Competence Heatmap'!CM$4:CM$36,1)</f>
        <v>7</v>
      </c>
      <c r="CN42">
        <f ca="1">COUNTIF('Competence Heatmap'!CN$4:CN$36,1)</f>
        <v>7</v>
      </c>
      <c r="CO42">
        <f ca="1">COUNTIF('Competence Heatmap'!CO$4:CO$36,1)</f>
        <v>4</v>
      </c>
      <c r="CP42">
        <f ca="1">COUNTIF('Competence Heatmap'!CP$4:CP$36,1)</f>
        <v>8</v>
      </c>
      <c r="CQ42">
        <f ca="1">COUNTIF('Competence Heatmap'!CQ$4:CQ$36,1)</f>
        <v>7</v>
      </c>
      <c r="CR42">
        <f ca="1">COUNTIF('Competence Heatmap'!CR$4:CR$36,1)</f>
        <v>8</v>
      </c>
      <c r="CS42">
        <f ca="1">COUNTIF('Competence Heatmap'!CS$4:CS$36,1)</f>
        <v>10</v>
      </c>
    </row>
    <row r="43" spans="1:97">
      <c r="A43" t="s">
        <v>392</v>
      </c>
      <c r="B43">
        <f ca="1">COUNTIF('Competence Heatmap'!B$4:B$36,#N/A)</f>
        <v>0</v>
      </c>
      <c r="C43">
        <f ca="1">COUNTIF('Competence Heatmap'!C$4:C$36,#N/A)</f>
        <v>0</v>
      </c>
      <c r="D43">
        <f ca="1">COUNTIF('Competence Heatmap'!D$4:D$36,#N/A)</f>
        <v>0</v>
      </c>
      <c r="E43">
        <f ca="1">COUNTIF('Competence Heatmap'!E$4:E$36,#N/A)</f>
        <v>0</v>
      </c>
      <c r="F43">
        <f ca="1">COUNTIF('Competence Heatmap'!F$4:F$36,#N/A)</f>
        <v>0</v>
      </c>
      <c r="G43">
        <f ca="1">COUNTIF('Competence Heatmap'!G$4:G$36,#N/A)</f>
        <v>0</v>
      </c>
      <c r="H43">
        <f ca="1">COUNTIF('Competence Heatmap'!H$4:H$36,#N/A)</f>
        <v>0</v>
      </c>
      <c r="I43">
        <f ca="1">COUNTIF('Competence Heatmap'!I$4:I$36,#N/A)</f>
        <v>0</v>
      </c>
      <c r="J43">
        <f ca="1">COUNTIF('Competence Heatmap'!J$4:J$36,#N/A)</f>
        <v>0</v>
      </c>
      <c r="K43">
        <f ca="1">COUNTIF('Competence Heatmap'!K$4:K$36,#N/A)</f>
        <v>0</v>
      </c>
      <c r="L43">
        <f ca="1">COUNTIF('Competence Heatmap'!L$4:L$36,#N/A)</f>
        <v>0</v>
      </c>
      <c r="M43">
        <f ca="1">COUNTIF('Competence Heatmap'!M$4:M$36,#N/A)</f>
        <v>0</v>
      </c>
      <c r="N43">
        <f ca="1">COUNTIF('Competence Heatmap'!N$4:N$36,#N/A)</f>
        <v>0</v>
      </c>
      <c r="O43">
        <f ca="1">COUNTIF('Competence Heatmap'!O$4:O$36,#N/A)</f>
        <v>0</v>
      </c>
      <c r="P43">
        <f ca="1">COUNTIF('Competence Heatmap'!P$4:P$36,#N/A)</f>
        <v>0</v>
      </c>
      <c r="Q43">
        <f ca="1">COUNTIF('Competence Heatmap'!Q$4:Q$36,#N/A)</f>
        <v>0</v>
      </c>
      <c r="R43">
        <f ca="1">COUNTIF('Competence Heatmap'!R$4:R$36,#N/A)</f>
        <v>0</v>
      </c>
      <c r="S43">
        <f ca="1">COUNTIF('Competence Heatmap'!S$4:S$36,#N/A)</f>
        <v>0</v>
      </c>
      <c r="T43">
        <f ca="1">COUNTIF('Competence Heatmap'!T$4:T$36,#N/A)</f>
        <v>0</v>
      </c>
      <c r="U43">
        <f ca="1">COUNTIF('Competence Heatmap'!U$4:U$36,#N/A)</f>
        <v>0</v>
      </c>
      <c r="V43">
        <f ca="1">COUNTIF('Competence Heatmap'!V$4:V$36,#N/A)</f>
        <v>0</v>
      </c>
      <c r="W43">
        <f ca="1">COUNTIF('Competence Heatmap'!W$4:W$36,#N/A)</f>
        <v>0</v>
      </c>
      <c r="X43">
        <f ca="1">COUNTIF('Competence Heatmap'!X$4:X$36,#N/A)</f>
        <v>0</v>
      </c>
      <c r="Y43">
        <f ca="1">COUNTIF('Competence Heatmap'!Y$4:Y$36,#N/A)</f>
        <v>0</v>
      </c>
      <c r="Z43">
        <f ca="1">COUNTIF('Competence Heatmap'!Z$4:Z$36,#N/A)</f>
        <v>0</v>
      </c>
      <c r="AA43">
        <f ca="1">COUNTIF('Competence Heatmap'!AA$4:AA$36,#N/A)</f>
        <v>0</v>
      </c>
      <c r="AB43">
        <f ca="1">COUNTIF('Competence Heatmap'!AB$4:AB$36,#N/A)</f>
        <v>0</v>
      </c>
      <c r="AC43">
        <f ca="1">COUNTIF('Competence Heatmap'!AC$4:AC$36,#N/A)</f>
        <v>0</v>
      </c>
      <c r="AD43">
        <f ca="1">COUNTIF('Competence Heatmap'!AD$4:AD$36,#N/A)</f>
        <v>0</v>
      </c>
      <c r="AE43">
        <f ca="1">COUNTIF('Competence Heatmap'!AE$4:AE$36,#N/A)</f>
        <v>0</v>
      </c>
      <c r="AF43">
        <f ca="1">COUNTIF('Competence Heatmap'!AF$4:AF$36,#N/A)</f>
        <v>0</v>
      </c>
      <c r="AG43">
        <f ca="1">COUNTIF('Competence Heatmap'!AG$4:AG$36,#N/A)</f>
        <v>0</v>
      </c>
      <c r="AH43">
        <f ca="1">COUNTIF('Competence Heatmap'!AH$4:AH$36,#N/A)</f>
        <v>0</v>
      </c>
      <c r="AI43">
        <f ca="1">COUNTIF('Competence Heatmap'!AI$4:AI$36,#N/A)</f>
        <v>0</v>
      </c>
      <c r="AJ43">
        <f ca="1">COUNTIF('Competence Heatmap'!AJ$4:AJ$36,#N/A)</f>
        <v>0</v>
      </c>
      <c r="AK43">
        <f ca="1">COUNTIF('Competence Heatmap'!AK$4:AK$36,#N/A)</f>
        <v>0</v>
      </c>
      <c r="AL43">
        <f ca="1">COUNTIF('Competence Heatmap'!AL$4:AL$36,#N/A)</f>
        <v>0</v>
      </c>
      <c r="AM43">
        <f ca="1">COUNTIF('Competence Heatmap'!AM$4:AM$36,#N/A)</f>
        <v>0</v>
      </c>
      <c r="AN43">
        <f ca="1">COUNTIF('Competence Heatmap'!AN$4:AN$36,#N/A)</f>
        <v>0</v>
      </c>
      <c r="AO43">
        <f ca="1">COUNTIF('Competence Heatmap'!AO$4:AO$36,#N/A)</f>
        <v>0</v>
      </c>
      <c r="AP43">
        <f ca="1">COUNTIF('Competence Heatmap'!AP$4:AP$36,#N/A)</f>
        <v>0</v>
      </c>
      <c r="AQ43">
        <f ca="1">COUNTIF('Competence Heatmap'!AQ$4:AQ$36,#N/A)</f>
        <v>0</v>
      </c>
      <c r="AR43">
        <f ca="1">COUNTIF('Competence Heatmap'!AR$4:AR$36,#N/A)</f>
        <v>0</v>
      </c>
      <c r="AS43">
        <f ca="1">COUNTIF('Competence Heatmap'!AS$4:AS$36,#N/A)</f>
        <v>0</v>
      </c>
      <c r="AT43">
        <f ca="1">COUNTIF('Competence Heatmap'!AT$4:AT$36,#N/A)</f>
        <v>0</v>
      </c>
      <c r="AU43">
        <f ca="1">COUNTIF('Competence Heatmap'!AU$4:AU$36,#N/A)</f>
        <v>0</v>
      </c>
      <c r="AV43">
        <f ca="1">COUNTIF('Competence Heatmap'!AV$4:AV$36,#N/A)</f>
        <v>0</v>
      </c>
      <c r="AW43">
        <f ca="1">COUNTIF('Competence Heatmap'!AW$4:AW$36,#N/A)</f>
        <v>0</v>
      </c>
      <c r="AX43">
        <f ca="1">COUNTIF('Competence Heatmap'!AX$4:AX$36,#N/A)</f>
        <v>0</v>
      </c>
      <c r="AY43">
        <f ca="1">COUNTIF('Competence Heatmap'!AY$4:AY$36,#N/A)</f>
        <v>0</v>
      </c>
      <c r="AZ43">
        <f ca="1">COUNTIF('Competence Heatmap'!AZ$4:AZ$36,#N/A)</f>
        <v>0</v>
      </c>
      <c r="BA43">
        <f ca="1">COUNTIF('Competence Heatmap'!BA$4:BA$36,#N/A)</f>
        <v>0</v>
      </c>
      <c r="BB43">
        <f ca="1">COUNTIF('Competence Heatmap'!BB$4:BB$36,#N/A)</f>
        <v>0</v>
      </c>
      <c r="BC43">
        <f ca="1">COUNTIF('Competence Heatmap'!BC$4:BC$36,#N/A)</f>
        <v>0</v>
      </c>
      <c r="BD43">
        <f ca="1">COUNTIF('Competence Heatmap'!BD$4:BD$36,#N/A)</f>
        <v>0</v>
      </c>
      <c r="BE43">
        <f ca="1">COUNTIF('Competence Heatmap'!BE$4:BE$36,#N/A)</f>
        <v>0</v>
      </c>
      <c r="BF43">
        <f ca="1">COUNTIF('Competence Heatmap'!BF$4:BF$36,#N/A)</f>
        <v>0</v>
      </c>
      <c r="BG43">
        <f ca="1">COUNTIF('Competence Heatmap'!BG$4:BG$36,#N/A)</f>
        <v>0</v>
      </c>
      <c r="BH43">
        <f ca="1">COUNTIF('Competence Heatmap'!BH$4:BH$36,#N/A)</f>
        <v>0</v>
      </c>
      <c r="BI43">
        <f ca="1">COUNTIF('Competence Heatmap'!BI$4:BI$36,#N/A)</f>
        <v>0</v>
      </c>
      <c r="BJ43">
        <f ca="1">COUNTIF('Competence Heatmap'!BJ$4:BJ$36,#N/A)</f>
        <v>0</v>
      </c>
      <c r="BK43">
        <f ca="1">COUNTIF('Competence Heatmap'!BK$4:BK$36,#N/A)</f>
        <v>0</v>
      </c>
      <c r="BL43">
        <f ca="1">COUNTIF('Competence Heatmap'!BL$4:BL$36,#N/A)</f>
        <v>0</v>
      </c>
      <c r="BM43">
        <f ca="1">COUNTIF('Competence Heatmap'!BM$4:BM$36,#N/A)</f>
        <v>0</v>
      </c>
      <c r="BN43">
        <f ca="1">COUNTIF('Competence Heatmap'!BN$4:BN$36,#N/A)</f>
        <v>0</v>
      </c>
      <c r="BO43">
        <f ca="1">COUNTIF('Competence Heatmap'!BO$4:BO$36,#N/A)</f>
        <v>0</v>
      </c>
      <c r="BP43">
        <f ca="1">COUNTIF('Competence Heatmap'!BP$4:BP$36,#N/A)</f>
        <v>0</v>
      </c>
      <c r="BQ43">
        <f ca="1">COUNTIF('Competence Heatmap'!BQ$4:BQ$36,#N/A)</f>
        <v>0</v>
      </c>
      <c r="BR43">
        <f ca="1">COUNTIF('Competence Heatmap'!BR$4:BR$36,#N/A)</f>
        <v>0</v>
      </c>
      <c r="BS43">
        <f ca="1">COUNTIF('Competence Heatmap'!BS$4:BS$36,#N/A)</f>
        <v>0</v>
      </c>
      <c r="BT43">
        <f ca="1">COUNTIF('Competence Heatmap'!BT$4:BT$36,#N/A)</f>
        <v>0</v>
      </c>
      <c r="BU43">
        <f ca="1">COUNTIF('Competence Heatmap'!BU$4:BU$36,#N/A)</f>
        <v>0</v>
      </c>
      <c r="BV43">
        <f ca="1">COUNTIF('Competence Heatmap'!BV$4:BV$36,#N/A)</f>
        <v>0</v>
      </c>
      <c r="BW43">
        <f ca="1">COUNTIF('Competence Heatmap'!BW$4:BW$36,#N/A)</f>
        <v>0</v>
      </c>
      <c r="BX43">
        <f ca="1">COUNTIF('Competence Heatmap'!BX$4:BX$36,#N/A)</f>
        <v>0</v>
      </c>
      <c r="BY43">
        <f ca="1">COUNTIF('Competence Heatmap'!BY$4:BY$36,#N/A)</f>
        <v>0</v>
      </c>
      <c r="BZ43">
        <f ca="1">COUNTIF('Competence Heatmap'!BZ$4:BZ$36,#N/A)</f>
        <v>0</v>
      </c>
      <c r="CA43">
        <f ca="1">COUNTIF('Competence Heatmap'!CA$4:CA$36,#N/A)</f>
        <v>0</v>
      </c>
      <c r="CB43">
        <f ca="1">COUNTIF('Competence Heatmap'!CB$4:CB$36,#N/A)</f>
        <v>0</v>
      </c>
      <c r="CC43">
        <f ca="1">COUNTIF('Competence Heatmap'!CC$4:CC$36,#N/A)</f>
        <v>0</v>
      </c>
      <c r="CD43">
        <f ca="1">COUNTIF('Competence Heatmap'!CD$4:CD$36,#N/A)</f>
        <v>0</v>
      </c>
      <c r="CE43">
        <f ca="1">COUNTIF('Competence Heatmap'!CE$4:CE$36,#N/A)</f>
        <v>0</v>
      </c>
      <c r="CF43">
        <f ca="1">COUNTIF('Competence Heatmap'!CF$4:CF$36,#N/A)</f>
        <v>0</v>
      </c>
      <c r="CG43">
        <f ca="1">COUNTIF('Competence Heatmap'!CG$4:CG$36,#N/A)</f>
        <v>0</v>
      </c>
      <c r="CH43">
        <f ca="1">COUNTIF('Competence Heatmap'!CH$4:CH$36,#N/A)</f>
        <v>0</v>
      </c>
      <c r="CI43">
        <f ca="1">COUNTIF('Competence Heatmap'!CI$4:CI$36,#N/A)</f>
        <v>0</v>
      </c>
      <c r="CJ43">
        <f ca="1">COUNTIF('Competence Heatmap'!CJ$4:CJ$36,#N/A)</f>
        <v>0</v>
      </c>
      <c r="CK43">
        <f ca="1">COUNTIF('Competence Heatmap'!CK$4:CK$36,#N/A)</f>
        <v>0</v>
      </c>
      <c r="CL43">
        <f ca="1">COUNTIF('Competence Heatmap'!CL$4:CL$36,#N/A)</f>
        <v>0</v>
      </c>
      <c r="CM43">
        <f ca="1">COUNTIF('Competence Heatmap'!CM$4:CM$36,#N/A)</f>
        <v>0</v>
      </c>
      <c r="CN43">
        <f ca="1">COUNTIF('Competence Heatmap'!CN$4:CN$36,#N/A)</f>
        <v>0</v>
      </c>
      <c r="CO43">
        <f ca="1">COUNTIF('Competence Heatmap'!CO$4:CO$36,#N/A)</f>
        <v>0</v>
      </c>
      <c r="CP43">
        <f ca="1">COUNTIF('Competence Heatmap'!CP$4:CP$36,#N/A)</f>
        <v>0</v>
      </c>
      <c r="CQ43">
        <f ca="1">COUNTIF('Competence Heatmap'!CQ$4:CQ$36,#N/A)</f>
        <v>0</v>
      </c>
      <c r="CR43">
        <f ca="1">COUNTIF('Competence Heatmap'!CR$4:CR$36,#N/A)</f>
        <v>0</v>
      </c>
      <c r="CS43">
        <f ca="1">COUNTIF('Competence Heatmap'!CS$4:CS$36,#N/A)</f>
        <v>0</v>
      </c>
    </row>
  </sheetData>
  <mergeCells count="7">
    <mergeCell ref="CK1:CS1"/>
    <mergeCell ref="B1:J1"/>
    <mergeCell ref="K1:O1"/>
    <mergeCell ref="P1:BE1"/>
    <mergeCell ref="BF1:BM1"/>
    <mergeCell ref="BN1:CD1"/>
    <mergeCell ref="CE1:CJ1"/>
  </mergeCells>
  <phoneticPr fontId="3" type="noConversion"/>
  <conditionalFormatting sqref="B4:CS36">
    <cfRule type="cellIs" dxfId="12" priority="49" operator="equal">
      <formula>NULL</formula>
    </cfRule>
    <cfRule type="cellIs" dxfId="11" priority="50" operator="equal">
      <formula>0</formula>
    </cfRule>
    <cfRule type="cellIs" dxfId="10" priority="51" operator="equal">
      <formula>1</formula>
    </cfRule>
    <cfRule type="cellIs" dxfId="9" priority="52" operator="equal">
      <formula>2</formula>
    </cfRule>
    <cfRule type="cellIs" dxfId="8" priority="53" operator="equal">
      <formula>3</formula>
    </cfRule>
    <cfRule type="cellIs" dxfId="7" priority="54" operator="equal">
      <formula>4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3317-828C-4780-B4B6-1CD3A44F39C3}">
  <dimension ref="A1:L97"/>
  <sheetViews>
    <sheetView workbookViewId="0">
      <selection activeCell="C2" sqref="C2"/>
    </sheetView>
  </sheetViews>
  <sheetFormatPr defaultRowHeight="15"/>
  <cols>
    <col min="1" max="1" width="13.7109375" style="2" customWidth="1"/>
    <col min="2" max="2" width="29.140625" bestFit="1" customWidth="1"/>
    <col min="3" max="12" width="9.140625" style="2"/>
  </cols>
  <sheetData>
    <row r="1" spans="1:12" ht="30">
      <c r="A1" s="149" t="s">
        <v>393</v>
      </c>
      <c r="B1" s="5" t="s">
        <v>394</v>
      </c>
      <c r="C1" s="149" t="s">
        <v>395</v>
      </c>
      <c r="D1" s="149" t="s">
        <v>396</v>
      </c>
      <c r="E1" s="149" t="s">
        <v>397</v>
      </c>
      <c r="F1" s="149" t="s">
        <v>398</v>
      </c>
      <c r="G1" s="149" t="s">
        <v>399</v>
      </c>
      <c r="H1" s="149" t="s">
        <v>400</v>
      </c>
      <c r="I1" s="149" t="s">
        <v>401</v>
      </c>
      <c r="J1" s="149" t="s">
        <v>402</v>
      </c>
      <c r="K1" s="149" t="s">
        <v>403</v>
      </c>
      <c r="L1" s="5" t="s">
        <v>156</v>
      </c>
    </row>
    <row r="2" spans="1:12">
      <c r="A2" s="2" t="s">
        <v>376</v>
      </c>
      <c r="B2" s="140" t="s">
        <v>106</v>
      </c>
      <c r="C2" s="2">
        <f ca="1">COUNTIF('Skills Gap Heatmap'!B$4:B$37,"-4")</f>
        <v>0</v>
      </c>
      <c r="D2" s="2">
        <f ca="1">COUNTIF('Skills Gap Heatmap'!B$4:B$37,"-3")</f>
        <v>2</v>
      </c>
      <c r="E2" s="2">
        <f ca="1">COUNTIF('Skills Gap Heatmap'!B$4:B$37,"-2")</f>
        <v>2</v>
      </c>
      <c r="F2" s="2">
        <f ca="1">COUNTIF('Skills Gap Heatmap'!B$4:B$37,"-1")</f>
        <v>5</v>
      </c>
      <c r="G2" s="2">
        <f ca="1">COUNTIF('Skills Gap Heatmap'!B$4:B$37,"0")</f>
        <v>9</v>
      </c>
      <c r="H2" s="2">
        <f ca="1">COUNTIF('Skills Gap Heatmap'!B$4:B$37,"1")</f>
        <v>4</v>
      </c>
      <c r="I2" s="2">
        <f ca="1">COUNTIF('Skills Gap Heatmap'!B$4:B$37,"2")</f>
        <v>1</v>
      </c>
      <c r="J2" s="2">
        <f ca="1">COUNTIF('Skills Gap Heatmap'!B$4:B$37,"3")</f>
        <v>2</v>
      </c>
      <c r="K2" s="2">
        <f ca="1">COUNTIF('Skills Gap Heatmap'!B$4:B$37,"4")</f>
        <v>0</v>
      </c>
      <c r="L2" s="2">
        <f ca="1">COUNTIF('Skills Gap Heatmap'!B$4:B$37,"#N/A")</f>
        <v>0</v>
      </c>
    </row>
    <row r="3" spans="1:12">
      <c r="A3" s="2" t="s">
        <v>376</v>
      </c>
      <c r="B3" s="140" t="s">
        <v>115</v>
      </c>
      <c r="C3" s="2">
        <f ca="1">COUNTIF('Skills Gap Heatmap'!C$4:C$37,"-4")</f>
        <v>0</v>
      </c>
      <c r="D3" s="2">
        <f ca="1">COUNTIF('Skills Gap Heatmap'!C$4:C$37,"-3")</f>
        <v>0</v>
      </c>
      <c r="E3" s="2">
        <f ca="1">COUNTIF('Skills Gap Heatmap'!C$4:C$37,"-2")</f>
        <v>1</v>
      </c>
      <c r="F3" s="2">
        <f ca="1">COUNTIF('Skills Gap Heatmap'!C$4:C$37,"-1")</f>
        <v>4</v>
      </c>
      <c r="G3" s="2">
        <f ca="1">COUNTIF('Skills Gap Heatmap'!C$4:C$37,"0")</f>
        <v>7</v>
      </c>
      <c r="H3" s="2">
        <f ca="1">COUNTIF('Skills Gap Heatmap'!C$4:C$37,"1")</f>
        <v>7</v>
      </c>
      <c r="I3" s="2">
        <f ca="1">COUNTIF('Skills Gap Heatmap'!C$4:C$37,"2")</f>
        <v>3</v>
      </c>
      <c r="J3" s="2">
        <f ca="1">COUNTIF('Skills Gap Heatmap'!C$4:C$37,"3")</f>
        <v>2</v>
      </c>
      <c r="K3" s="2">
        <f ca="1">COUNTIF('Skills Gap Heatmap'!C$4:C$37,"4")</f>
        <v>1</v>
      </c>
      <c r="L3" s="2">
        <f ca="1">COUNTIF('Skills Gap Heatmap'!C$4:C$37,"#N/A")</f>
        <v>0</v>
      </c>
    </row>
    <row r="4" spans="1:12">
      <c r="A4" s="2" t="s">
        <v>376</v>
      </c>
      <c r="B4" s="140" t="s">
        <v>112</v>
      </c>
      <c r="C4" s="2">
        <f ca="1">COUNTIF('Skills Gap Heatmap'!D$4:D$37,"-4")</f>
        <v>0</v>
      </c>
      <c r="D4" s="2">
        <f ca="1">COUNTIF('Skills Gap Heatmap'!D$4:D$37,"-3")</f>
        <v>1</v>
      </c>
      <c r="E4" s="2">
        <f ca="1">COUNTIF('Skills Gap Heatmap'!D$4:D$37,"-2")</f>
        <v>2</v>
      </c>
      <c r="F4" s="2">
        <f ca="1">COUNTIF('Skills Gap Heatmap'!D$4:D$37,"-1")</f>
        <v>2</v>
      </c>
      <c r="G4" s="2">
        <f ca="1">COUNTIF('Skills Gap Heatmap'!D$4:D$37,"0")</f>
        <v>10</v>
      </c>
      <c r="H4" s="2">
        <f ca="1">COUNTIF('Skills Gap Heatmap'!D$4:D$37,"1")</f>
        <v>5</v>
      </c>
      <c r="I4" s="2">
        <f ca="1">COUNTIF('Skills Gap Heatmap'!D$4:D$37,"2")</f>
        <v>2</v>
      </c>
      <c r="J4" s="2">
        <f ca="1">COUNTIF('Skills Gap Heatmap'!D$4:D$37,"3")</f>
        <v>2</v>
      </c>
      <c r="K4" s="2">
        <f ca="1">COUNTIF('Skills Gap Heatmap'!D$4:D$37,"4")</f>
        <v>1</v>
      </c>
      <c r="L4" s="2">
        <f ca="1">COUNTIF('Skills Gap Heatmap'!D$4:D$37,"#N/A")</f>
        <v>0</v>
      </c>
    </row>
    <row r="5" spans="1:12">
      <c r="A5" s="2" t="s">
        <v>376</v>
      </c>
      <c r="B5" s="140" t="s">
        <v>124</v>
      </c>
      <c r="C5" s="2">
        <f ca="1">COUNTIF('Skills Gap Heatmap'!E$4:E$37,"-4")</f>
        <v>0</v>
      </c>
      <c r="D5" s="2">
        <f ca="1">COUNTIF('Skills Gap Heatmap'!E$4:E$37,"-3")</f>
        <v>0</v>
      </c>
      <c r="E5" s="2">
        <f ca="1">COUNTIF('Skills Gap Heatmap'!E$4:E$37,"-2")</f>
        <v>1</v>
      </c>
      <c r="F5" s="2">
        <f ca="1">COUNTIF('Skills Gap Heatmap'!E$4:E$37,"-1")</f>
        <v>4</v>
      </c>
      <c r="G5" s="2">
        <f ca="1">COUNTIF('Skills Gap Heatmap'!E$4:E$37,"0")</f>
        <v>11</v>
      </c>
      <c r="H5" s="2">
        <f ca="1">COUNTIF('Skills Gap Heatmap'!E$4:E$37,"1")</f>
        <v>9</v>
      </c>
      <c r="I5" s="2">
        <f ca="1">COUNTIF('Skills Gap Heatmap'!E$4:E$37,"2")</f>
        <v>0</v>
      </c>
      <c r="J5" s="2">
        <f ca="1">COUNTIF('Skills Gap Heatmap'!E$4:E$37,"3")</f>
        <v>0</v>
      </c>
      <c r="K5" s="2">
        <f ca="1">COUNTIF('Skills Gap Heatmap'!E$4:E$37,"4")</f>
        <v>0</v>
      </c>
      <c r="L5" s="2">
        <f ca="1">COUNTIF('Skills Gap Heatmap'!E$4:E$37,"#N/A")</f>
        <v>0</v>
      </c>
    </row>
    <row r="6" spans="1:12">
      <c r="A6" s="2" t="s">
        <v>376</v>
      </c>
      <c r="B6" s="140" t="s">
        <v>121</v>
      </c>
      <c r="C6" s="2">
        <f ca="1">COUNTIF('Skills Gap Heatmap'!F$4:F$37,"-4")</f>
        <v>0</v>
      </c>
      <c r="D6" s="2">
        <f ca="1">COUNTIF('Skills Gap Heatmap'!F$4:F$37,"-3")</f>
        <v>0</v>
      </c>
      <c r="E6" s="2">
        <f ca="1">COUNTIF('Skills Gap Heatmap'!F$4:F$37,"-2")</f>
        <v>0</v>
      </c>
      <c r="F6" s="2">
        <f ca="1">COUNTIF('Skills Gap Heatmap'!F$4:F$37,"-1")</f>
        <v>4</v>
      </c>
      <c r="G6" s="2">
        <f ca="1">COUNTIF('Skills Gap Heatmap'!F$4:F$37,"0")</f>
        <v>12</v>
      </c>
      <c r="H6" s="2">
        <f ca="1">COUNTIF('Skills Gap Heatmap'!F$4:F$37,"1")</f>
        <v>6</v>
      </c>
      <c r="I6" s="2">
        <f ca="1">COUNTIF('Skills Gap Heatmap'!F$4:F$37,"2")</f>
        <v>0</v>
      </c>
      <c r="J6" s="2">
        <f ca="1">COUNTIF('Skills Gap Heatmap'!F$4:F$37,"3")</f>
        <v>3</v>
      </c>
      <c r="K6" s="2">
        <f ca="1">COUNTIF('Skills Gap Heatmap'!F$4:F$37,"4")</f>
        <v>0</v>
      </c>
      <c r="L6" s="2">
        <f ca="1">COUNTIF('Skills Gap Heatmap'!F$4:F$37,"#N/A")</f>
        <v>0</v>
      </c>
    </row>
    <row r="7" spans="1:12">
      <c r="A7" s="2" t="s">
        <v>376</v>
      </c>
      <c r="B7" s="140" t="s">
        <v>127</v>
      </c>
      <c r="C7" s="2">
        <f ca="1">COUNTIF('Skills Gap Heatmap'!G$4:G$37,"-4")</f>
        <v>0</v>
      </c>
      <c r="D7" s="2">
        <f ca="1">COUNTIF('Skills Gap Heatmap'!G$4:G$37,"-3")</f>
        <v>0</v>
      </c>
      <c r="E7" s="2">
        <f ca="1">COUNTIF('Skills Gap Heatmap'!G$4:G$37,"-2")</f>
        <v>0</v>
      </c>
      <c r="F7" s="2">
        <f ca="1">COUNTIF('Skills Gap Heatmap'!G$4:G$37,"-1")</f>
        <v>6</v>
      </c>
      <c r="G7" s="2">
        <f ca="1">COUNTIF('Skills Gap Heatmap'!G$4:G$37,"0")</f>
        <v>6</v>
      </c>
      <c r="H7" s="2">
        <f ca="1">COUNTIF('Skills Gap Heatmap'!G$4:G$37,"1")</f>
        <v>12</v>
      </c>
      <c r="I7" s="2">
        <f ca="1">COUNTIF('Skills Gap Heatmap'!G$4:G$37,"2")</f>
        <v>0</v>
      </c>
      <c r="J7" s="2">
        <f ca="1">COUNTIF('Skills Gap Heatmap'!G$4:G$37,"3")</f>
        <v>1</v>
      </c>
      <c r="K7" s="2">
        <f ca="1">COUNTIF('Skills Gap Heatmap'!G$4:G$37,"4")</f>
        <v>0</v>
      </c>
      <c r="L7" s="2">
        <f ca="1">COUNTIF('Skills Gap Heatmap'!G$4:G$37,"#N/A")</f>
        <v>0</v>
      </c>
    </row>
    <row r="8" spans="1:12">
      <c r="A8" s="2" t="s">
        <v>376</v>
      </c>
      <c r="B8" s="140" t="s">
        <v>109</v>
      </c>
      <c r="C8" s="2">
        <f ca="1">COUNTIF('Skills Gap Heatmap'!H$4:H$37,"-4")</f>
        <v>0</v>
      </c>
      <c r="D8" s="2">
        <f ca="1">COUNTIF('Skills Gap Heatmap'!H$4:H$37,"-3")</f>
        <v>0</v>
      </c>
      <c r="E8" s="2">
        <f ca="1">COUNTIF('Skills Gap Heatmap'!H$4:H$37,"-2")</f>
        <v>2</v>
      </c>
      <c r="F8" s="2">
        <f ca="1">COUNTIF('Skills Gap Heatmap'!H$4:H$37,"-1")</f>
        <v>6</v>
      </c>
      <c r="G8" s="2">
        <f ca="1">COUNTIF('Skills Gap Heatmap'!H$4:H$37,"0")</f>
        <v>9</v>
      </c>
      <c r="H8" s="2">
        <f ca="1">COUNTIF('Skills Gap Heatmap'!H$4:H$37,"1")</f>
        <v>6</v>
      </c>
      <c r="I8" s="2">
        <f ca="1">COUNTIF('Skills Gap Heatmap'!H$4:H$37,"2")</f>
        <v>1</v>
      </c>
      <c r="J8" s="2">
        <f ca="1">COUNTIF('Skills Gap Heatmap'!H$4:H$37,"3")</f>
        <v>1</v>
      </c>
      <c r="K8" s="2">
        <f ca="1">COUNTIF('Skills Gap Heatmap'!H$4:H$37,"4")</f>
        <v>0</v>
      </c>
      <c r="L8" s="2">
        <f ca="1">COUNTIF('Skills Gap Heatmap'!H$4:H$37,"#N/A")</f>
        <v>0</v>
      </c>
    </row>
    <row r="9" spans="1:12">
      <c r="A9" s="2" t="s">
        <v>376</v>
      </c>
      <c r="B9" s="140" t="s">
        <v>118</v>
      </c>
      <c r="C9" s="2">
        <f ca="1">COUNTIF('Skills Gap Heatmap'!I$4:I$37,"-4")</f>
        <v>0</v>
      </c>
      <c r="D9" s="2">
        <f ca="1">COUNTIF('Skills Gap Heatmap'!I$4:I$37,"-3")</f>
        <v>0</v>
      </c>
      <c r="E9" s="2">
        <f ca="1">COUNTIF('Skills Gap Heatmap'!I$4:I$37,"-2")</f>
        <v>0</v>
      </c>
      <c r="F9" s="2">
        <f ca="1">COUNTIF('Skills Gap Heatmap'!I$4:I$37,"-1")</f>
        <v>10</v>
      </c>
      <c r="G9" s="2">
        <f ca="1">COUNTIF('Skills Gap Heatmap'!I$4:I$37,"0")</f>
        <v>10</v>
      </c>
      <c r="H9" s="2">
        <f ca="1">COUNTIF('Skills Gap Heatmap'!I$4:I$37,"1")</f>
        <v>2</v>
      </c>
      <c r="I9" s="2">
        <f ca="1">COUNTIF('Skills Gap Heatmap'!I$4:I$37,"2")</f>
        <v>2</v>
      </c>
      <c r="J9" s="2">
        <f ca="1">COUNTIF('Skills Gap Heatmap'!I$4:I$37,"3")</f>
        <v>1</v>
      </c>
      <c r="K9" s="2">
        <f ca="1">COUNTIF('Skills Gap Heatmap'!I$4:I$37,"4")</f>
        <v>0</v>
      </c>
      <c r="L9" s="2">
        <f ca="1">COUNTIF('Skills Gap Heatmap'!I$4:I$37,"#N/A")</f>
        <v>0</v>
      </c>
    </row>
    <row r="10" spans="1:12">
      <c r="A10" s="2" t="s">
        <v>376</v>
      </c>
      <c r="B10" s="140" t="s">
        <v>130</v>
      </c>
      <c r="C10" s="2">
        <f ca="1">COUNTIF('Skills Gap Heatmap'!J$4:J$37,"-4")</f>
        <v>0</v>
      </c>
      <c r="D10" s="2">
        <f ca="1">COUNTIF('Skills Gap Heatmap'!J$4:J$37,"-3")</f>
        <v>0</v>
      </c>
      <c r="E10" s="2">
        <f ca="1">COUNTIF('Skills Gap Heatmap'!J$4:J$37,"-2")</f>
        <v>4</v>
      </c>
      <c r="F10" s="2">
        <f ca="1">COUNTIF('Skills Gap Heatmap'!J$4:J$37,"-1")</f>
        <v>7</v>
      </c>
      <c r="G10" s="2">
        <f ca="1">COUNTIF('Skills Gap Heatmap'!J$4:J$37,"0")</f>
        <v>10</v>
      </c>
      <c r="H10" s="2">
        <f ca="1">COUNTIF('Skills Gap Heatmap'!J$4:J$37,"1")</f>
        <v>3</v>
      </c>
      <c r="I10" s="2">
        <f ca="1">COUNTIF('Skills Gap Heatmap'!J$4:J$37,"2")</f>
        <v>0</v>
      </c>
      <c r="J10" s="2">
        <f ca="1">COUNTIF('Skills Gap Heatmap'!J$4:J$37,"3")</f>
        <v>1</v>
      </c>
      <c r="K10" s="2">
        <f ca="1">COUNTIF('Skills Gap Heatmap'!J$4:J$37,"4")</f>
        <v>0</v>
      </c>
      <c r="L10" s="2">
        <f ca="1">COUNTIF('Skills Gap Heatmap'!J$4:J$37,"#N/A")</f>
        <v>0</v>
      </c>
    </row>
    <row r="11" spans="1:12">
      <c r="A11" s="2" t="s">
        <v>374</v>
      </c>
      <c r="B11" s="141" t="s">
        <v>133</v>
      </c>
      <c r="C11" s="2">
        <f ca="1">COUNTIF('Skills Gap Heatmap'!K$4:K$37,"-4")</f>
        <v>0</v>
      </c>
      <c r="D11" s="2">
        <f ca="1">COUNTIF('Skills Gap Heatmap'!K$4:K$37,"-3")</f>
        <v>1</v>
      </c>
      <c r="E11" s="2">
        <f ca="1">COUNTIF('Skills Gap Heatmap'!K$4:K$37,"-2")</f>
        <v>2</v>
      </c>
      <c r="F11" s="2">
        <f ca="1">COUNTIF('Skills Gap Heatmap'!K$4:K$37,"-1")</f>
        <v>9</v>
      </c>
      <c r="G11" s="2">
        <f ca="1">COUNTIF('Skills Gap Heatmap'!K$4:K$37,"0")</f>
        <v>9</v>
      </c>
      <c r="H11" s="2">
        <f ca="1">COUNTIF('Skills Gap Heatmap'!K$4:K$37,"1")</f>
        <v>1</v>
      </c>
      <c r="I11" s="2">
        <f ca="1">COUNTIF('Skills Gap Heatmap'!K$4:K$37,"2")</f>
        <v>3</v>
      </c>
      <c r="J11" s="2">
        <f ca="1">COUNTIF('Skills Gap Heatmap'!K$4:K$37,"3")</f>
        <v>0</v>
      </c>
      <c r="K11" s="2">
        <f ca="1">COUNTIF('Skills Gap Heatmap'!K$4:K$37,"4")</f>
        <v>0</v>
      </c>
      <c r="L11" s="2">
        <f ca="1">COUNTIF('Skills Gap Heatmap'!K$4:K$37,"#N/A")</f>
        <v>0</v>
      </c>
    </row>
    <row r="12" spans="1:12">
      <c r="A12" s="2" t="s">
        <v>374</v>
      </c>
      <c r="B12" s="141" t="s">
        <v>136</v>
      </c>
      <c r="C12" s="2">
        <f ca="1">COUNTIF('Skills Gap Heatmap'!L$4:L$37,"-4")</f>
        <v>0</v>
      </c>
      <c r="D12" s="2">
        <f ca="1">COUNTIF('Skills Gap Heatmap'!L$4:L$37,"-3")</f>
        <v>1</v>
      </c>
      <c r="E12" s="2">
        <f ca="1">COUNTIF('Skills Gap Heatmap'!L$4:L$37,"-2")</f>
        <v>8</v>
      </c>
      <c r="F12" s="2">
        <f ca="1">COUNTIF('Skills Gap Heatmap'!L$4:L$37,"-1")</f>
        <v>2</v>
      </c>
      <c r="G12" s="2">
        <f ca="1">COUNTIF('Skills Gap Heatmap'!L$4:L$37,"0")</f>
        <v>7</v>
      </c>
      <c r="H12" s="2">
        <f ca="1">COUNTIF('Skills Gap Heatmap'!L$4:L$37,"1")</f>
        <v>2</v>
      </c>
      <c r="I12" s="2">
        <f ca="1">COUNTIF('Skills Gap Heatmap'!L$4:L$37,"2")</f>
        <v>3</v>
      </c>
      <c r="J12" s="2">
        <f ca="1">COUNTIF('Skills Gap Heatmap'!L$4:L$37,"3")</f>
        <v>2</v>
      </c>
      <c r="K12" s="2">
        <f ca="1">COUNTIF('Skills Gap Heatmap'!L$4:L$37,"4")</f>
        <v>0</v>
      </c>
      <c r="L12" s="2">
        <f ca="1">COUNTIF('Skills Gap Heatmap'!L$4:L$37,"#N/A")</f>
        <v>0</v>
      </c>
    </row>
    <row r="13" spans="1:12">
      <c r="A13" s="2" t="s">
        <v>374</v>
      </c>
      <c r="B13" s="142" t="s">
        <v>139</v>
      </c>
      <c r="C13" s="2">
        <f ca="1">COUNTIF('Skills Gap Heatmap'!M$4:M$37,"-4")</f>
        <v>0</v>
      </c>
      <c r="D13" s="2">
        <f ca="1">COUNTIF('Skills Gap Heatmap'!M$4:M$37,"-3")</f>
        <v>0</v>
      </c>
      <c r="E13" s="2">
        <f ca="1">COUNTIF('Skills Gap Heatmap'!M$4:M$37,"-2")</f>
        <v>6</v>
      </c>
      <c r="F13" s="2">
        <f ca="1">COUNTIF('Skills Gap Heatmap'!M$4:M$37,"-1")</f>
        <v>4</v>
      </c>
      <c r="G13" s="2">
        <f ca="1">COUNTIF('Skills Gap Heatmap'!M$4:M$37,"0")</f>
        <v>8</v>
      </c>
      <c r="H13" s="2">
        <f ca="1">COUNTIF('Skills Gap Heatmap'!M$4:M$37,"1")</f>
        <v>5</v>
      </c>
      <c r="I13" s="2">
        <f ca="1">COUNTIF('Skills Gap Heatmap'!M$4:M$37,"2")</f>
        <v>2</v>
      </c>
      <c r="J13" s="2">
        <f ca="1">COUNTIF('Skills Gap Heatmap'!M$4:M$37,"3")</f>
        <v>0</v>
      </c>
      <c r="K13" s="2">
        <f ca="1">COUNTIF('Skills Gap Heatmap'!M$4:M$37,"4")</f>
        <v>0</v>
      </c>
      <c r="L13" s="2">
        <f ca="1">COUNTIF('Skills Gap Heatmap'!M$4:M$37,"#N/A")</f>
        <v>0</v>
      </c>
    </row>
    <row r="14" spans="1:12">
      <c r="A14" s="2" t="s">
        <v>374</v>
      </c>
      <c r="B14" s="141" t="s">
        <v>142</v>
      </c>
      <c r="C14" s="2">
        <f ca="1">COUNTIF('Skills Gap Heatmap'!N$4:N$37,"-4")</f>
        <v>0</v>
      </c>
      <c r="D14" s="2">
        <f ca="1">COUNTIF('Skills Gap Heatmap'!N$4:N$37,"-3")</f>
        <v>0</v>
      </c>
      <c r="E14" s="2">
        <f ca="1">COUNTIF('Skills Gap Heatmap'!N$4:N$37,"-2")</f>
        <v>6</v>
      </c>
      <c r="F14" s="2">
        <f ca="1">COUNTIF('Skills Gap Heatmap'!N$4:N$37,"-1")</f>
        <v>10</v>
      </c>
      <c r="G14" s="2">
        <f ca="1">COUNTIF('Skills Gap Heatmap'!N$4:N$37,"0")</f>
        <v>6</v>
      </c>
      <c r="H14" s="2">
        <f ca="1">COUNTIF('Skills Gap Heatmap'!N$4:N$37,"1")</f>
        <v>2</v>
      </c>
      <c r="I14" s="2">
        <f ca="1">COUNTIF('Skills Gap Heatmap'!N$4:N$37,"2")</f>
        <v>1</v>
      </c>
      <c r="J14" s="2">
        <f ca="1">COUNTIF('Skills Gap Heatmap'!N$4:N$37,"3")</f>
        <v>0</v>
      </c>
      <c r="K14" s="2">
        <f ca="1">COUNTIF('Skills Gap Heatmap'!N$4:N$37,"4")</f>
        <v>0</v>
      </c>
      <c r="L14" s="2">
        <f ca="1">COUNTIF('Skills Gap Heatmap'!N$4:N$37,"#N/A")</f>
        <v>0</v>
      </c>
    </row>
    <row r="15" spans="1:12">
      <c r="A15" s="2" t="s">
        <v>374</v>
      </c>
      <c r="B15" s="141" t="s">
        <v>145</v>
      </c>
      <c r="C15" s="2">
        <f ca="1">COUNTIF('Skills Gap Heatmap'!O$4:O$37,"-4")</f>
        <v>0</v>
      </c>
      <c r="D15" s="2">
        <f ca="1">COUNTIF('Skills Gap Heatmap'!O$4:O$37,"-3")</f>
        <v>1</v>
      </c>
      <c r="E15" s="2">
        <f ca="1">COUNTIF('Skills Gap Heatmap'!O$4:O$37,"-2")</f>
        <v>5</v>
      </c>
      <c r="F15" s="2">
        <f ca="1">COUNTIF('Skills Gap Heatmap'!O$4:O$37,"-1")</f>
        <v>10</v>
      </c>
      <c r="G15" s="2">
        <f ca="1">COUNTIF('Skills Gap Heatmap'!O$4:O$37,"0")</f>
        <v>3</v>
      </c>
      <c r="H15" s="2">
        <f ca="1">COUNTIF('Skills Gap Heatmap'!O$4:O$37,"1")</f>
        <v>5</v>
      </c>
      <c r="I15" s="2">
        <f ca="1">COUNTIF('Skills Gap Heatmap'!O$4:O$37,"2")</f>
        <v>1</v>
      </c>
      <c r="J15" s="2">
        <f ca="1">COUNTIF('Skills Gap Heatmap'!O$4:O$37,"3")</f>
        <v>0</v>
      </c>
      <c r="K15" s="2">
        <f ca="1">COUNTIF('Skills Gap Heatmap'!O$4:O$37,"4")</f>
        <v>0</v>
      </c>
      <c r="L15" s="2">
        <f ca="1">COUNTIF('Skills Gap Heatmap'!O$4:O$37,"#N/A")</f>
        <v>0</v>
      </c>
    </row>
    <row r="16" spans="1:12">
      <c r="A16" s="2" t="s">
        <v>375</v>
      </c>
      <c r="B16" s="143" t="s">
        <v>148</v>
      </c>
      <c r="C16" s="2">
        <f ca="1">COUNTIF('Skills Gap Heatmap'!P$4:P$37,"-4")</f>
        <v>0</v>
      </c>
      <c r="D16" s="2">
        <f ca="1">COUNTIF('Skills Gap Heatmap'!P$4:P$37,"-3")</f>
        <v>0</v>
      </c>
      <c r="E16" s="2">
        <f ca="1">COUNTIF('Skills Gap Heatmap'!P$4:P$37,"-2")</f>
        <v>0</v>
      </c>
      <c r="F16" s="2">
        <f ca="1">COUNTIF('Skills Gap Heatmap'!P$4:P$37,"-1")</f>
        <v>7</v>
      </c>
      <c r="G16" s="2">
        <f ca="1">COUNTIF('Skills Gap Heatmap'!P$4:P$37,"0")</f>
        <v>10</v>
      </c>
      <c r="H16" s="2">
        <f ca="1">COUNTIF('Skills Gap Heatmap'!P$4:P$37,"1")</f>
        <v>6</v>
      </c>
      <c r="I16" s="2">
        <f ca="1">COUNTIF('Skills Gap Heatmap'!P$4:P$37,"2")</f>
        <v>0</v>
      </c>
      <c r="J16" s="2">
        <f ca="1">COUNTIF('Skills Gap Heatmap'!P$4:P$37,"3")</f>
        <v>2</v>
      </c>
      <c r="K16" s="2">
        <f ca="1">COUNTIF('Skills Gap Heatmap'!P$4:P$37,"4")</f>
        <v>0</v>
      </c>
      <c r="L16" s="2">
        <f ca="1">COUNTIF('Skills Gap Heatmap'!P$4:P$37,"#N/A")</f>
        <v>0</v>
      </c>
    </row>
    <row r="17" spans="1:12">
      <c r="A17" s="2" t="s">
        <v>375</v>
      </c>
      <c r="B17" s="143" t="s">
        <v>151</v>
      </c>
      <c r="C17" s="2">
        <f ca="1">COUNTIF('Skills Gap Heatmap'!Q$4:Q$37,"-4")</f>
        <v>0</v>
      </c>
      <c r="D17" s="2">
        <f ca="1">COUNTIF('Skills Gap Heatmap'!Q$4:Q$37,"-3")</f>
        <v>0</v>
      </c>
      <c r="E17" s="2">
        <f ca="1">COUNTIF('Skills Gap Heatmap'!Q$4:Q$37,"-2")</f>
        <v>1</v>
      </c>
      <c r="F17" s="2">
        <f ca="1">COUNTIF('Skills Gap Heatmap'!Q$4:Q$37,"-1")</f>
        <v>5</v>
      </c>
      <c r="G17" s="2">
        <f ca="1">COUNTIF('Skills Gap Heatmap'!Q$4:Q$37,"0")</f>
        <v>13</v>
      </c>
      <c r="H17" s="2">
        <f ca="1">COUNTIF('Skills Gap Heatmap'!Q$4:Q$37,"1")</f>
        <v>4</v>
      </c>
      <c r="I17" s="2">
        <f ca="1">COUNTIF('Skills Gap Heatmap'!Q$4:Q$37,"2")</f>
        <v>1</v>
      </c>
      <c r="J17" s="2">
        <f ca="1">COUNTIF('Skills Gap Heatmap'!Q$4:Q$37,"3")</f>
        <v>0</v>
      </c>
      <c r="K17" s="2">
        <f ca="1">COUNTIF('Skills Gap Heatmap'!Q$4:Q$37,"4")</f>
        <v>1</v>
      </c>
      <c r="L17" s="2">
        <f ca="1">COUNTIF('Skills Gap Heatmap'!Q$4:Q$37,"#N/A")</f>
        <v>0</v>
      </c>
    </row>
    <row r="18" spans="1:12">
      <c r="A18" s="2" t="s">
        <v>375</v>
      </c>
      <c r="B18" s="143" t="s">
        <v>154</v>
      </c>
      <c r="C18" s="2">
        <f ca="1">COUNTIF('Skills Gap Heatmap'!R$4:R$37,"-4")</f>
        <v>0</v>
      </c>
      <c r="D18" s="2">
        <f ca="1">COUNTIF('Skills Gap Heatmap'!R$4:R$37,"-3")</f>
        <v>0</v>
      </c>
      <c r="E18" s="2">
        <f ca="1">COUNTIF('Skills Gap Heatmap'!R$4:R$37,"-2")</f>
        <v>3</v>
      </c>
      <c r="F18" s="2">
        <f ca="1">COUNTIF('Skills Gap Heatmap'!R$4:R$37,"-1")</f>
        <v>4</v>
      </c>
      <c r="G18" s="2">
        <f ca="1">COUNTIF('Skills Gap Heatmap'!R$4:R$37,"0")</f>
        <v>11</v>
      </c>
      <c r="H18" s="2">
        <f ca="1">COUNTIF('Skills Gap Heatmap'!R$4:R$37,"1")</f>
        <v>4</v>
      </c>
      <c r="I18" s="2">
        <f ca="1">COUNTIF('Skills Gap Heatmap'!R$4:R$37,"2")</f>
        <v>1</v>
      </c>
      <c r="J18" s="2">
        <f ca="1">COUNTIF('Skills Gap Heatmap'!R$4:R$37,"3")</f>
        <v>1</v>
      </c>
      <c r="K18" s="2">
        <f ca="1">COUNTIF('Skills Gap Heatmap'!R$4:R$37,"4")</f>
        <v>1</v>
      </c>
      <c r="L18" s="2">
        <f ca="1">COUNTIF('Skills Gap Heatmap'!R$4:R$37,"#N/A")</f>
        <v>0</v>
      </c>
    </row>
    <row r="19" spans="1:12">
      <c r="A19" s="2" t="s">
        <v>375</v>
      </c>
      <c r="B19" s="143" t="s">
        <v>158</v>
      </c>
      <c r="C19" s="2">
        <f ca="1">COUNTIF('Skills Gap Heatmap'!S$4:S$37,"-4")</f>
        <v>0</v>
      </c>
      <c r="D19" s="2">
        <f ca="1">COUNTIF('Skills Gap Heatmap'!S$4:S$37,"-3")</f>
        <v>1</v>
      </c>
      <c r="E19" s="2">
        <f ca="1">COUNTIF('Skills Gap Heatmap'!S$4:S$37,"-2")</f>
        <v>2</v>
      </c>
      <c r="F19" s="2">
        <f ca="1">COUNTIF('Skills Gap Heatmap'!S$4:S$37,"-1")</f>
        <v>7</v>
      </c>
      <c r="G19" s="2">
        <f ca="1">COUNTIF('Skills Gap Heatmap'!S$4:S$37,"0")</f>
        <v>9</v>
      </c>
      <c r="H19" s="2">
        <f ca="1">COUNTIF('Skills Gap Heatmap'!S$4:S$37,"1")</f>
        <v>3</v>
      </c>
      <c r="I19" s="2">
        <f ca="1">COUNTIF('Skills Gap Heatmap'!S$4:S$37,"2")</f>
        <v>2</v>
      </c>
      <c r="J19" s="2">
        <f ca="1">COUNTIF('Skills Gap Heatmap'!S$4:S$37,"3")</f>
        <v>0</v>
      </c>
      <c r="K19" s="2">
        <f ca="1">COUNTIF('Skills Gap Heatmap'!S$4:S$37,"4")</f>
        <v>1</v>
      </c>
      <c r="L19" s="2">
        <f ca="1">COUNTIF('Skills Gap Heatmap'!S$4:S$37,"#N/A")</f>
        <v>0</v>
      </c>
    </row>
    <row r="20" spans="1:12" ht="30">
      <c r="A20" s="2" t="s">
        <v>375</v>
      </c>
      <c r="B20" s="143" t="s">
        <v>161</v>
      </c>
      <c r="C20" s="2">
        <f ca="1">COUNTIF('Skills Gap Heatmap'!T$4:T$37,"-4")</f>
        <v>0</v>
      </c>
      <c r="D20" s="2">
        <f ca="1">COUNTIF('Skills Gap Heatmap'!T$4:T$37,"-3")</f>
        <v>1</v>
      </c>
      <c r="E20" s="2">
        <f ca="1">COUNTIF('Skills Gap Heatmap'!T$4:T$37,"-2")</f>
        <v>3</v>
      </c>
      <c r="F20" s="2">
        <f ca="1">COUNTIF('Skills Gap Heatmap'!T$4:T$37,"-1")</f>
        <v>1</v>
      </c>
      <c r="G20" s="2">
        <f ca="1">COUNTIF('Skills Gap Heatmap'!T$4:T$37,"0")</f>
        <v>14</v>
      </c>
      <c r="H20" s="2">
        <f ca="1">COUNTIF('Skills Gap Heatmap'!T$4:T$37,"1")</f>
        <v>2</v>
      </c>
      <c r="I20" s="2">
        <f ca="1">COUNTIF('Skills Gap Heatmap'!T$4:T$37,"2")</f>
        <v>1</v>
      </c>
      <c r="J20" s="2">
        <f ca="1">COUNTIF('Skills Gap Heatmap'!T$4:T$37,"3")</f>
        <v>2</v>
      </c>
      <c r="K20" s="2">
        <f ca="1">COUNTIF('Skills Gap Heatmap'!T$4:T$37,"4")</f>
        <v>1</v>
      </c>
      <c r="L20" s="2">
        <f ca="1">COUNTIF('Skills Gap Heatmap'!T$4:T$37,"#N/A")</f>
        <v>0</v>
      </c>
    </row>
    <row r="21" spans="1:12">
      <c r="A21" s="2" t="s">
        <v>375</v>
      </c>
      <c r="B21" s="143" t="s">
        <v>164</v>
      </c>
      <c r="C21" s="2">
        <f ca="1">COUNTIF('Skills Gap Heatmap'!U$4:U$37,"-4")</f>
        <v>0</v>
      </c>
      <c r="D21" s="2">
        <f ca="1">COUNTIF('Skills Gap Heatmap'!U$4:U$37,"-3")</f>
        <v>0</v>
      </c>
      <c r="E21" s="2">
        <f ca="1">COUNTIF('Skills Gap Heatmap'!U$4:U$37,"-2")</f>
        <v>2</v>
      </c>
      <c r="F21" s="2">
        <f ca="1">COUNTIF('Skills Gap Heatmap'!U$4:U$37,"-1")</f>
        <v>8</v>
      </c>
      <c r="G21" s="2">
        <f ca="1">COUNTIF('Skills Gap Heatmap'!U$4:U$37,"0")</f>
        <v>4</v>
      </c>
      <c r="H21" s="2">
        <f ca="1">COUNTIF('Skills Gap Heatmap'!U$4:U$37,"1")</f>
        <v>5</v>
      </c>
      <c r="I21" s="2">
        <f ca="1">COUNTIF('Skills Gap Heatmap'!U$4:U$37,"2")</f>
        <v>3</v>
      </c>
      <c r="J21" s="2">
        <f ca="1">COUNTIF('Skills Gap Heatmap'!U$4:U$37,"3")</f>
        <v>3</v>
      </c>
      <c r="K21" s="2">
        <f ca="1">COUNTIF('Skills Gap Heatmap'!U$4:U$37,"4")</f>
        <v>0</v>
      </c>
      <c r="L21" s="2">
        <f ca="1">COUNTIF('Skills Gap Heatmap'!U$4:U$37,"#N/A")</f>
        <v>0</v>
      </c>
    </row>
    <row r="22" spans="1:12">
      <c r="A22" s="2" t="s">
        <v>375</v>
      </c>
      <c r="B22" s="143" t="s">
        <v>234</v>
      </c>
      <c r="C22" s="2">
        <f ca="1">COUNTIF('Skills Gap Heatmap'!V$4:V$37,"-4")</f>
        <v>0</v>
      </c>
      <c r="D22" s="2">
        <f ca="1">COUNTIF('Skills Gap Heatmap'!V$4:V$37,"-3")</f>
        <v>0</v>
      </c>
      <c r="E22" s="2">
        <f ca="1">COUNTIF('Skills Gap Heatmap'!V$4:V$37,"-2")</f>
        <v>3</v>
      </c>
      <c r="F22" s="2">
        <f ca="1">COUNTIF('Skills Gap Heatmap'!V$4:V$37,"-1")</f>
        <v>5</v>
      </c>
      <c r="G22" s="2">
        <f ca="1">COUNTIF('Skills Gap Heatmap'!V$4:V$37,"0")</f>
        <v>7</v>
      </c>
      <c r="H22" s="2">
        <f ca="1">COUNTIF('Skills Gap Heatmap'!V$4:V$37,"1")</f>
        <v>8</v>
      </c>
      <c r="I22" s="2">
        <f ca="1">COUNTIF('Skills Gap Heatmap'!V$4:V$37,"2")</f>
        <v>1</v>
      </c>
      <c r="J22" s="2">
        <f ca="1">COUNTIF('Skills Gap Heatmap'!V$4:V$37,"3")</f>
        <v>1</v>
      </c>
      <c r="K22" s="2">
        <f ca="1">COUNTIF('Skills Gap Heatmap'!V$4:V$37,"4")</f>
        <v>0</v>
      </c>
      <c r="L22" s="2">
        <f ca="1">COUNTIF('Skills Gap Heatmap'!V$4:V$37,"#N/A")</f>
        <v>0</v>
      </c>
    </row>
    <row r="23" spans="1:12">
      <c r="A23" s="2" t="s">
        <v>375</v>
      </c>
      <c r="B23" s="143" t="s">
        <v>237</v>
      </c>
      <c r="C23" s="2">
        <f ca="1">COUNTIF('Skills Gap Heatmap'!W$4:W$37,"-4")</f>
        <v>0</v>
      </c>
      <c r="D23" s="2">
        <f ca="1">COUNTIF('Skills Gap Heatmap'!W$4:W$37,"-3")</f>
        <v>0</v>
      </c>
      <c r="E23" s="2">
        <f ca="1">COUNTIF('Skills Gap Heatmap'!W$4:W$37,"-2")</f>
        <v>0</v>
      </c>
      <c r="F23" s="2">
        <f ca="1">COUNTIF('Skills Gap Heatmap'!W$4:W$37,"-1")</f>
        <v>4</v>
      </c>
      <c r="G23" s="2">
        <f ca="1">COUNTIF('Skills Gap Heatmap'!W$4:W$37,"0")</f>
        <v>4</v>
      </c>
      <c r="H23" s="2">
        <f ca="1">COUNTIF('Skills Gap Heatmap'!W$4:W$37,"1")</f>
        <v>5</v>
      </c>
      <c r="I23" s="2">
        <f ca="1">COUNTIF('Skills Gap Heatmap'!W$4:W$37,"2")</f>
        <v>11</v>
      </c>
      <c r="J23" s="2">
        <f ca="1">COUNTIF('Skills Gap Heatmap'!W$4:W$37,"3")</f>
        <v>0</v>
      </c>
      <c r="K23" s="2">
        <f ca="1">COUNTIF('Skills Gap Heatmap'!W$4:W$37,"4")</f>
        <v>1</v>
      </c>
      <c r="L23" s="2">
        <f ca="1">COUNTIF('Skills Gap Heatmap'!W$4:W$37,"#N/A")</f>
        <v>0</v>
      </c>
    </row>
    <row r="24" spans="1:12">
      <c r="A24" s="2" t="s">
        <v>375</v>
      </c>
      <c r="B24" s="143" t="s">
        <v>240</v>
      </c>
      <c r="C24" s="2">
        <f ca="1">COUNTIF('Skills Gap Heatmap'!X$4:X$37,"-4")</f>
        <v>0</v>
      </c>
      <c r="D24" s="2">
        <f ca="1">COUNTIF('Skills Gap Heatmap'!X$4:X$37,"-3")</f>
        <v>1</v>
      </c>
      <c r="E24" s="2">
        <f ca="1">COUNTIF('Skills Gap Heatmap'!X$4:X$37,"-2")</f>
        <v>3</v>
      </c>
      <c r="F24" s="2">
        <f ca="1">COUNTIF('Skills Gap Heatmap'!X$4:X$37,"-1")</f>
        <v>2</v>
      </c>
      <c r="G24" s="2">
        <f ca="1">COUNTIF('Skills Gap Heatmap'!X$4:X$37,"0")</f>
        <v>6</v>
      </c>
      <c r="H24" s="2">
        <f ca="1">COUNTIF('Skills Gap Heatmap'!X$4:X$37,"1")</f>
        <v>6</v>
      </c>
      <c r="I24" s="2">
        <f ca="1">COUNTIF('Skills Gap Heatmap'!X$4:X$37,"2")</f>
        <v>3</v>
      </c>
      <c r="J24" s="2">
        <f ca="1">COUNTIF('Skills Gap Heatmap'!X$4:X$37,"3")</f>
        <v>3</v>
      </c>
      <c r="K24" s="2">
        <f ca="1">COUNTIF('Skills Gap Heatmap'!X$4:X$37,"4")</f>
        <v>1</v>
      </c>
      <c r="L24" s="2">
        <f ca="1">COUNTIF('Skills Gap Heatmap'!X$4:X$37,"#N/A")</f>
        <v>0</v>
      </c>
    </row>
    <row r="25" spans="1:12">
      <c r="A25" s="2" t="s">
        <v>375</v>
      </c>
      <c r="B25" s="143" t="s">
        <v>243</v>
      </c>
      <c r="C25" s="2">
        <f ca="1">COUNTIF('Skills Gap Heatmap'!Y$4:Y$37,"-4")</f>
        <v>0</v>
      </c>
      <c r="D25" s="2">
        <f ca="1">COUNTIF('Skills Gap Heatmap'!Y$4:Y$37,"-3")</f>
        <v>0</v>
      </c>
      <c r="E25" s="2">
        <f ca="1">COUNTIF('Skills Gap Heatmap'!Y$4:Y$37,"-2")</f>
        <v>1</v>
      </c>
      <c r="F25" s="2">
        <f ca="1">COUNTIF('Skills Gap Heatmap'!Y$4:Y$37,"-1")</f>
        <v>2</v>
      </c>
      <c r="G25" s="2">
        <f ca="1">COUNTIF('Skills Gap Heatmap'!Y$4:Y$37,"0")</f>
        <v>5</v>
      </c>
      <c r="H25" s="2">
        <f ca="1">COUNTIF('Skills Gap Heatmap'!Y$4:Y$37,"1")</f>
        <v>7</v>
      </c>
      <c r="I25" s="2">
        <f ca="1">COUNTIF('Skills Gap Heatmap'!Y$4:Y$37,"2")</f>
        <v>5</v>
      </c>
      <c r="J25" s="2">
        <f ca="1">COUNTIF('Skills Gap Heatmap'!Y$4:Y$37,"3")</f>
        <v>4</v>
      </c>
      <c r="K25" s="2">
        <f ca="1">COUNTIF('Skills Gap Heatmap'!Y$4:Y$37,"4")</f>
        <v>1</v>
      </c>
      <c r="L25" s="2">
        <f ca="1">COUNTIF('Skills Gap Heatmap'!Y$4:Y$37,"#N/A")</f>
        <v>0</v>
      </c>
    </row>
    <row r="26" spans="1:12">
      <c r="A26" s="2" t="s">
        <v>375</v>
      </c>
      <c r="B26" s="143" t="s">
        <v>246</v>
      </c>
      <c r="C26" s="2">
        <f ca="1">COUNTIF('Skills Gap Heatmap'!Z$4:Z$37,"-4")</f>
        <v>0</v>
      </c>
      <c r="D26" s="2">
        <f ca="1">COUNTIF('Skills Gap Heatmap'!Z$4:Z$37,"-3")</f>
        <v>0</v>
      </c>
      <c r="E26" s="2">
        <f ca="1">COUNTIF('Skills Gap Heatmap'!Z$4:Z$37,"-2")</f>
        <v>1</v>
      </c>
      <c r="F26" s="2">
        <f ca="1">COUNTIF('Skills Gap Heatmap'!Z$4:Z$37,"-1")</f>
        <v>3</v>
      </c>
      <c r="G26" s="2">
        <f ca="1">COUNTIF('Skills Gap Heatmap'!Z$4:Z$37,"0")</f>
        <v>9</v>
      </c>
      <c r="H26" s="2">
        <f ca="1">COUNTIF('Skills Gap Heatmap'!Z$4:Z$37,"1")</f>
        <v>6</v>
      </c>
      <c r="I26" s="2">
        <f ca="1">COUNTIF('Skills Gap Heatmap'!Z$4:Z$37,"2")</f>
        <v>2</v>
      </c>
      <c r="J26" s="2">
        <f ca="1">COUNTIF('Skills Gap Heatmap'!Z$4:Z$37,"3")</f>
        <v>3</v>
      </c>
      <c r="K26" s="2">
        <f ca="1">COUNTIF('Skills Gap Heatmap'!Z$4:Z$37,"4")</f>
        <v>1</v>
      </c>
      <c r="L26" s="2">
        <f ca="1">COUNTIF('Skills Gap Heatmap'!Z$4:Z$37,"#N/A")</f>
        <v>0</v>
      </c>
    </row>
    <row r="27" spans="1:12">
      <c r="A27" s="2" t="s">
        <v>375</v>
      </c>
      <c r="B27" s="143" t="s">
        <v>249</v>
      </c>
      <c r="C27" s="2">
        <f ca="1">COUNTIF('Skills Gap Heatmap'!AA$4:AA$37,"-4")</f>
        <v>0</v>
      </c>
      <c r="D27" s="2">
        <f ca="1">COUNTIF('Skills Gap Heatmap'!AA$4:AA$37,"-3")</f>
        <v>1</v>
      </c>
      <c r="E27" s="2">
        <f ca="1">COUNTIF('Skills Gap Heatmap'!AA$4:AA$37,"-2")</f>
        <v>2</v>
      </c>
      <c r="F27" s="2">
        <f ca="1">COUNTIF('Skills Gap Heatmap'!AA$4:AA$37,"-1")</f>
        <v>7</v>
      </c>
      <c r="G27" s="2">
        <f ca="1">COUNTIF('Skills Gap Heatmap'!AA$4:AA$37,"0")</f>
        <v>6</v>
      </c>
      <c r="H27" s="2">
        <f ca="1">COUNTIF('Skills Gap Heatmap'!AA$4:AA$37,"1")</f>
        <v>2</v>
      </c>
      <c r="I27" s="2">
        <f ca="1">COUNTIF('Skills Gap Heatmap'!AA$4:AA$37,"2")</f>
        <v>6</v>
      </c>
      <c r="J27" s="2">
        <f ca="1">COUNTIF('Skills Gap Heatmap'!AA$4:AA$37,"3")</f>
        <v>0</v>
      </c>
      <c r="K27" s="2">
        <f ca="1">COUNTIF('Skills Gap Heatmap'!AA$4:AA$37,"4")</f>
        <v>1</v>
      </c>
      <c r="L27" s="2">
        <f ca="1">COUNTIF('Skills Gap Heatmap'!AA$4:AA$37,"#N/A")</f>
        <v>0</v>
      </c>
    </row>
    <row r="28" spans="1:12">
      <c r="A28" s="2" t="s">
        <v>375</v>
      </c>
      <c r="B28" s="143" t="s">
        <v>252</v>
      </c>
      <c r="C28" s="2">
        <f ca="1">COUNTIF('Skills Gap Heatmap'!AB$4:AB$37,"-4")</f>
        <v>0</v>
      </c>
      <c r="D28" s="2">
        <f ca="1">COUNTIF('Skills Gap Heatmap'!AB$4:AB$37,"-3")</f>
        <v>0</v>
      </c>
      <c r="E28" s="2">
        <f ca="1">COUNTIF('Skills Gap Heatmap'!AB$4:AB$37,"-2")</f>
        <v>1</v>
      </c>
      <c r="F28" s="2">
        <f ca="1">COUNTIF('Skills Gap Heatmap'!AB$4:AB$37,"-1")</f>
        <v>3</v>
      </c>
      <c r="G28" s="2">
        <f ca="1">COUNTIF('Skills Gap Heatmap'!AB$4:AB$37,"0")</f>
        <v>7</v>
      </c>
      <c r="H28" s="2">
        <f ca="1">COUNTIF('Skills Gap Heatmap'!AB$4:AB$37,"1")</f>
        <v>7</v>
      </c>
      <c r="I28" s="2">
        <f ca="1">COUNTIF('Skills Gap Heatmap'!AB$4:AB$37,"2")</f>
        <v>3</v>
      </c>
      <c r="J28" s="2">
        <f ca="1">COUNTIF('Skills Gap Heatmap'!AB$4:AB$37,"3")</f>
        <v>3</v>
      </c>
      <c r="K28" s="2">
        <f ca="1">COUNTIF('Skills Gap Heatmap'!AB$4:AB$37,"4")</f>
        <v>1</v>
      </c>
      <c r="L28" s="2">
        <f ca="1">COUNTIF('Skills Gap Heatmap'!AB$4:AB$37,"#N/A")</f>
        <v>0</v>
      </c>
    </row>
    <row r="29" spans="1:12">
      <c r="A29" s="2" t="s">
        <v>375</v>
      </c>
      <c r="B29" s="143" t="s">
        <v>255</v>
      </c>
      <c r="C29" s="2">
        <f ca="1">COUNTIF('Skills Gap Heatmap'!AC$4:AC$37,"-4")</f>
        <v>0</v>
      </c>
      <c r="D29" s="2">
        <f ca="1">COUNTIF('Skills Gap Heatmap'!AC$4:AC$37,"-3")</f>
        <v>0</v>
      </c>
      <c r="E29" s="2">
        <f ca="1">COUNTIF('Skills Gap Heatmap'!AC$4:AC$37,"-2")</f>
        <v>0</v>
      </c>
      <c r="F29" s="2">
        <f ca="1">COUNTIF('Skills Gap Heatmap'!AC$4:AC$37,"-1")</f>
        <v>6</v>
      </c>
      <c r="G29" s="2">
        <f ca="1">COUNTIF('Skills Gap Heatmap'!AC$4:AC$37,"0")</f>
        <v>7</v>
      </c>
      <c r="H29" s="2">
        <f ca="1">COUNTIF('Skills Gap Heatmap'!AC$4:AC$37,"1")</f>
        <v>5</v>
      </c>
      <c r="I29" s="2">
        <f ca="1">COUNTIF('Skills Gap Heatmap'!AC$4:AC$37,"2")</f>
        <v>4</v>
      </c>
      <c r="J29" s="2">
        <f ca="1">COUNTIF('Skills Gap Heatmap'!AC$4:AC$37,"3")</f>
        <v>3</v>
      </c>
      <c r="K29" s="2">
        <f ca="1">COUNTIF('Skills Gap Heatmap'!AC$4:AC$37,"4")</f>
        <v>0</v>
      </c>
      <c r="L29" s="2">
        <f ca="1">COUNTIF('Skills Gap Heatmap'!AC$4:AC$37,"#N/A")</f>
        <v>0</v>
      </c>
    </row>
    <row r="30" spans="1:12">
      <c r="A30" s="2" t="s">
        <v>375</v>
      </c>
      <c r="B30" s="143" t="s">
        <v>258</v>
      </c>
      <c r="C30" s="2">
        <f ca="1">COUNTIF('Skills Gap Heatmap'!AD$4:AD$37,"-4")</f>
        <v>0</v>
      </c>
      <c r="D30" s="2">
        <f ca="1">COUNTIF('Skills Gap Heatmap'!AD$4:AD$37,"-3")</f>
        <v>0</v>
      </c>
      <c r="E30" s="2">
        <f ca="1">COUNTIF('Skills Gap Heatmap'!AD$4:AD$37,"-2")</f>
        <v>2</v>
      </c>
      <c r="F30" s="2">
        <f ca="1">COUNTIF('Skills Gap Heatmap'!AD$4:AD$37,"-1")</f>
        <v>4</v>
      </c>
      <c r="G30" s="2">
        <f ca="1">COUNTIF('Skills Gap Heatmap'!AD$4:AD$37,"0")</f>
        <v>6</v>
      </c>
      <c r="H30" s="2">
        <f ca="1">COUNTIF('Skills Gap Heatmap'!AD$4:AD$37,"1")</f>
        <v>5</v>
      </c>
      <c r="I30" s="2">
        <f ca="1">COUNTIF('Skills Gap Heatmap'!AD$4:AD$37,"2")</f>
        <v>4</v>
      </c>
      <c r="J30" s="2">
        <f ca="1">COUNTIF('Skills Gap Heatmap'!AD$4:AD$37,"3")</f>
        <v>4</v>
      </c>
      <c r="K30" s="2">
        <f ca="1">COUNTIF('Skills Gap Heatmap'!AD$4:AD$37,"4")</f>
        <v>0</v>
      </c>
      <c r="L30" s="2">
        <f ca="1">COUNTIF('Skills Gap Heatmap'!AD$4:AD$37,"#N/A")</f>
        <v>0</v>
      </c>
    </row>
    <row r="31" spans="1:12">
      <c r="A31" s="2" t="s">
        <v>375</v>
      </c>
      <c r="B31" s="143" t="s">
        <v>261</v>
      </c>
      <c r="C31" s="2">
        <f ca="1">COUNTIF('Skills Gap Heatmap'!AE$4:AE$37,"-4")</f>
        <v>0</v>
      </c>
      <c r="D31" s="2">
        <f ca="1">COUNTIF('Skills Gap Heatmap'!AE$4:AE$37,"-3")</f>
        <v>0</v>
      </c>
      <c r="E31" s="2">
        <f ca="1">COUNTIF('Skills Gap Heatmap'!AE$4:AE$37,"-2")</f>
        <v>2</v>
      </c>
      <c r="F31" s="2">
        <f ca="1">COUNTIF('Skills Gap Heatmap'!AE$4:AE$37,"-1")</f>
        <v>2</v>
      </c>
      <c r="G31" s="2">
        <f ca="1">COUNTIF('Skills Gap Heatmap'!AE$4:AE$37,"0")</f>
        <v>7</v>
      </c>
      <c r="H31" s="2">
        <f ca="1">COUNTIF('Skills Gap Heatmap'!AE$4:AE$37,"1")</f>
        <v>11</v>
      </c>
      <c r="I31" s="2">
        <f ca="1">COUNTIF('Skills Gap Heatmap'!AE$4:AE$37,"2")</f>
        <v>1</v>
      </c>
      <c r="J31" s="2">
        <f ca="1">COUNTIF('Skills Gap Heatmap'!AE$4:AE$37,"3")</f>
        <v>2</v>
      </c>
      <c r="K31" s="2">
        <f ca="1">COUNTIF('Skills Gap Heatmap'!AE$4:AE$37,"4")</f>
        <v>0</v>
      </c>
      <c r="L31" s="2">
        <f ca="1">COUNTIF('Skills Gap Heatmap'!AE$4:AE$37,"#N/A")</f>
        <v>0</v>
      </c>
    </row>
    <row r="32" spans="1:12">
      <c r="A32" s="2" t="s">
        <v>375</v>
      </c>
      <c r="B32" s="143" t="s">
        <v>264</v>
      </c>
      <c r="C32" s="2">
        <f ca="1">COUNTIF('Skills Gap Heatmap'!AF$4:AF$37,"-4")</f>
        <v>0</v>
      </c>
      <c r="D32" s="2">
        <f ca="1">COUNTIF('Skills Gap Heatmap'!AF$4:AF$37,"-3")</f>
        <v>0</v>
      </c>
      <c r="E32" s="2">
        <f ca="1">COUNTIF('Skills Gap Heatmap'!AF$4:AF$37,"-2")</f>
        <v>0</v>
      </c>
      <c r="F32" s="2">
        <f ca="1">COUNTIF('Skills Gap Heatmap'!AF$4:AF$37,"-1")</f>
        <v>4</v>
      </c>
      <c r="G32" s="2">
        <f ca="1">COUNTIF('Skills Gap Heatmap'!AF$4:AF$37,"0")</f>
        <v>6</v>
      </c>
      <c r="H32" s="2">
        <f ca="1">COUNTIF('Skills Gap Heatmap'!AF$4:AF$37,"1")</f>
        <v>13</v>
      </c>
      <c r="I32" s="2">
        <f ca="1">COUNTIF('Skills Gap Heatmap'!AF$4:AF$37,"2")</f>
        <v>2</v>
      </c>
      <c r="J32" s="2">
        <f ca="1">COUNTIF('Skills Gap Heatmap'!AF$4:AF$37,"3")</f>
        <v>0</v>
      </c>
      <c r="K32" s="2">
        <f ca="1">COUNTIF('Skills Gap Heatmap'!AF$4:AF$37,"4")</f>
        <v>0</v>
      </c>
      <c r="L32" s="2">
        <f ca="1">COUNTIF('Skills Gap Heatmap'!AF$4:AF$37,"#N/A")</f>
        <v>0</v>
      </c>
    </row>
    <row r="33" spans="1:12">
      <c r="A33" s="2" t="s">
        <v>375</v>
      </c>
      <c r="B33" s="143" t="s">
        <v>51</v>
      </c>
      <c r="C33" s="2">
        <f ca="1">COUNTIF('Skills Gap Heatmap'!AG$4:AG$37,"-4")</f>
        <v>0</v>
      </c>
      <c r="D33" s="2">
        <f ca="1">COUNTIF('Skills Gap Heatmap'!AG$4:AG$37,"-3")</f>
        <v>0</v>
      </c>
      <c r="E33" s="2">
        <f ca="1">COUNTIF('Skills Gap Heatmap'!AG$4:AG$37,"-2")</f>
        <v>1</v>
      </c>
      <c r="F33" s="2">
        <f ca="1">COUNTIF('Skills Gap Heatmap'!AG$4:AG$37,"-1")</f>
        <v>5</v>
      </c>
      <c r="G33" s="2">
        <f ca="1">COUNTIF('Skills Gap Heatmap'!AG$4:AG$37,"0")</f>
        <v>9</v>
      </c>
      <c r="H33" s="2">
        <f ca="1">COUNTIF('Skills Gap Heatmap'!AG$4:AG$37,"1")</f>
        <v>7</v>
      </c>
      <c r="I33" s="2">
        <f ca="1">COUNTIF('Skills Gap Heatmap'!AG$4:AG$37,"2")</f>
        <v>2</v>
      </c>
      <c r="J33" s="2">
        <f ca="1">COUNTIF('Skills Gap Heatmap'!AG$4:AG$37,"3")</f>
        <v>1</v>
      </c>
      <c r="K33" s="2">
        <f ca="1">COUNTIF('Skills Gap Heatmap'!AG$4:AG$37,"4")</f>
        <v>0</v>
      </c>
      <c r="L33" s="2">
        <f ca="1">COUNTIF('Skills Gap Heatmap'!AG$4:AG$37,"#N/A")</f>
        <v>0</v>
      </c>
    </row>
    <row r="34" spans="1:12">
      <c r="A34" s="2" t="s">
        <v>375</v>
      </c>
      <c r="B34" s="143" t="s">
        <v>267</v>
      </c>
      <c r="C34" s="2">
        <f ca="1">COUNTIF('Skills Gap Heatmap'!AH$4:AH$37,"-4")</f>
        <v>0</v>
      </c>
      <c r="D34" s="2">
        <f ca="1">COUNTIF('Skills Gap Heatmap'!AH$4:AH$37,"-3")</f>
        <v>0</v>
      </c>
      <c r="E34" s="2">
        <f ca="1">COUNTIF('Skills Gap Heatmap'!AH$4:AH$37,"-2")</f>
        <v>2</v>
      </c>
      <c r="F34" s="2">
        <f ca="1">COUNTIF('Skills Gap Heatmap'!AH$4:AH$37,"-1")</f>
        <v>2</v>
      </c>
      <c r="G34" s="2">
        <f ca="1">COUNTIF('Skills Gap Heatmap'!AH$4:AH$37,"0")</f>
        <v>3</v>
      </c>
      <c r="H34" s="2">
        <f ca="1">COUNTIF('Skills Gap Heatmap'!AH$4:AH$37,"1")</f>
        <v>7</v>
      </c>
      <c r="I34" s="2">
        <f ca="1">COUNTIF('Skills Gap Heatmap'!AH$4:AH$37,"2")</f>
        <v>7</v>
      </c>
      <c r="J34" s="2">
        <f ca="1">COUNTIF('Skills Gap Heatmap'!AH$4:AH$37,"3")</f>
        <v>4</v>
      </c>
      <c r="K34" s="2">
        <f ca="1">COUNTIF('Skills Gap Heatmap'!AH$4:AH$37,"4")</f>
        <v>0</v>
      </c>
      <c r="L34" s="2">
        <f ca="1">COUNTIF('Skills Gap Heatmap'!AH$4:AH$37,"#N/A")</f>
        <v>0</v>
      </c>
    </row>
    <row r="35" spans="1:12">
      <c r="A35" s="2" t="s">
        <v>375</v>
      </c>
      <c r="B35" s="143" t="s">
        <v>270</v>
      </c>
      <c r="C35" s="2">
        <f ca="1">COUNTIF('Skills Gap Heatmap'!AI$4:AI$37,"-4")</f>
        <v>0</v>
      </c>
      <c r="D35" s="2">
        <f ca="1">COUNTIF('Skills Gap Heatmap'!AI$4:AI$37,"-3")</f>
        <v>0</v>
      </c>
      <c r="E35" s="2">
        <f ca="1">COUNTIF('Skills Gap Heatmap'!AI$4:AI$37,"-2")</f>
        <v>0</v>
      </c>
      <c r="F35" s="2">
        <f ca="1">COUNTIF('Skills Gap Heatmap'!AI$4:AI$37,"-1")</f>
        <v>4</v>
      </c>
      <c r="G35" s="2">
        <f ca="1">COUNTIF('Skills Gap Heatmap'!AI$4:AI$37,"0")</f>
        <v>6</v>
      </c>
      <c r="H35" s="2">
        <f ca="1">COUNTIF('Skills Gap Heatmap'!AI$4:AI$37,"1")</f>
        <v>9</v>
      </c>
      <c r="I35" s="2">
        <f ca="1">COUNTIF('Skills Gap Heatmap'!AI$4:AI$37,"2")</f>
        <v>4</v>
      </c>
      <c r="J35" s="2">
        <f ca="1">COUNTIF('Skills Gap Heatmap'!AI$4:AI$37,"3")</f>
        <v>2</v>
      </c>
      <c r="K35" s="2">
        <f ca="1">COUNTIF('Skills Gap Heatmap'!AI$4:AI$37,"4")</f>
        <v>0</v>
      </c>
      <c r="L35" s="2">
        <f ca="1">COUNTIF('Skills Gap Heatmap'!AI$4:AI$37,"#N/A")</f>
        <v>0</v>
      </c>
    </row>
    <row r="36" spans="1:12">
      <c r="A36" s="2" t="s">
        <v>375</v>
      </c>
      <c r="B36" s="143" t="s">
        <v>50</v>
      </c>
      <c r="C36" s="2">
        <f ca="1">COUNTIF('Skills Gap Heatmap'!AJ$4:AJ$37,"-4")</f>
        <v>0</v>
      </c>
      <c r="D36" s="2">
        <f ca="1">COUNTIF('Skills Gap Heatmap'!AJ$4:AJ$37,"-3")</f>
        <v>0</v>
      </c>
      <c r="E36" s="2">
        <f ca="1">COUNTIF('Skills Gap Heatmap'!AJ$4:AJ$37,"-2")</f>
        <v>1</v>
      </c>
      <c r="F36" s="2">
        <f ca="1">COUNTIF('Skills Gap Heatmap'!AJ$4:AJ$37,"-1")</f>
        <v>1</v>
      </c>
      <c r="G36" s="2">
        <f ca="1">COUNTIF('Skills Gap Heatmap'!AJ$4:AJ$37,"0")</f>
        <v>3</v>
      </c>
      <c r="H36" s="2">
        <f ca="1">COUNTIF('Skills Gap Heatmap'!AJ$4:AJ$37,"1")</f>
        <v>8</v>
      </c>
      <c r="I36" s="2">
        <f ca="1">COUNTIF('Skills Gap Heatmap'!AJ$4:AJ$37,"2")</f>
        <v>6</v>
      </c>
      <c r="J36" s="2">
        <f ca="1">COUNTIF('Skills Gap Heatmap'!AJ$4:AJ$37,"3")</f>
        <v>4</v>
      </c>
      <c r="K36" s="2">
        <f ca="1">COUNTIF('Skills Gap Heatmap'!AJ$4:AJ$37,"4")</f>
        <v>2</v>
      </c>
      <c r="L36" s="2">
        <f ca="1">COUNTIF('Skills Gap Heatmap'!AJ$4:AJ$37,"#N/A")</f>
        <v>0</v>
      </c>
    </row>
    <row r="37" spans="1:12">
      <c r="A37" s="2" t="s">
        <v>375</v>
      </c>
      <c r="B37" s="143" t="s">
        <v>275</v>
      </c>
      <c r="C37" s="2">
        <f ca="1">COUNTIF('Skills Gap Heatmap'!AK$4:AK$37,"-4")</f>
        <v>0</v>
      </c>
      <c r="D37" s="2">
        <f ca="1">COUNTIF('Skills Gap Heatmap'!AK$4:AK$37,"-3")</f>
        <v>0</v>
      </c>
      <c r="E37" s="2">
        <f ca="1">COUNTIF('Skills Gap Heatmap'!AK$4:AK$37,"-2")</f>
        <v>3</v>
      </c>
      <c r="F37" s="2">
        <f ca="1">COUNTIF('Skills Gap Heatmap'!AK$4:AK$37,"-1")</f>
        <v>3</v>
      </c>
      <c r="G37" s="2">
        <f ca="1">COUNTIF('Skills Gap Heatmap'!AK$4:AK$37,"0")</f>
        <v>6</v>
      </c>
      <c r="H37" s="2">
        <f ca="1">COUNTIF('Skills Gap Heatmap'!AK$4:AK$37,"1")</f>
        <v>8</v>
      </c>
      <c r="I37" s="2">
        <f ca="1">COUNTIF('Skills Gap Heatmap'!AK$4:AK$37,"2")</f>
        <v>3</v>
      </c>
      <c r="J37" s="2">
        <f ca="1">COUNTIF('Skills Gap Heatmap'!AK$4:AK$37,"3")</f>
        <v>2</v>
      </c>
      <c r="K37" s="2">
        <f ca="1">COUNTIF('Skills Gap Heatmap'!AK$4:AK$37,"4")</f>
        <v>0</v>
      </c>
      <c r="L37" s="2">
        <f ca="1">COUNTIF('Skills Gap Heatmap'!AK$4:AK$37,"#N/A")</f>
        <v>0</v>
      </c>
    </row>
    <row r="38" spans="1:12">
      <c r="A38" s="2" t="s">
        <v>375</v>
      </c>
      <c r="B38" s="143" t="s">
        <v>278</v>
      </c>
      <c r="C38" s="2">
        <f ca="1">COUNTIF('Skills Gap Heatmap'!AL$4:AL$37,"-4")</f>
        <v>0</v>
      </c>
      <c r="D38" s="2">
        <f ca="1">COUNTIF('Skills Gap Heatmap'!AL$4:AL$37,"-3")</f>
        <v>0</v>
      </c>
      <c r="E38" s="2">
        <f ca="1">COUNTIF('Skills Gap Heatmap'!AL$4:AL$37,"-2")</f>
        <v>1</v>
      </c>
      <c r="F38" s="2">
        <f ca="1">COUNTIF('Skills Gap Heatmap'!AL$4:AL$37,"-1")</f>
        <v>2</v>
      </c>
      <c r="G38" s="2">
        <f ca="1">COUNTIF('Skills Gap Heatmap'!AL$4:AL$37,"0")</f>
        <v>6</v>
      </c>
      <c r="H38" s="2">
        <f ca="1">COUNTIF('Skills Gap Heatmap'!AL$4:AL$37,"1")</f>
        <v>7</v>
      </c>
      <c r="I38" s="2">
        <f ca="1">COUNTIF('Skills Gap Heatmap'!AL$4:AL$37,"2")</f>
        <v>6</v>
      </c>
      <c r="J38" s="2">
        <f ca="1">COUNTIF('Skills Gap Heatmap'!AL$4:AL$37,"3")</f>
        <v>3</v>
      </c>
      <c r="K38" s="2">
        <f ca="1">COUNTIF('Skills Gap Heatmap'!AL$4:AL$37,"4")</f>
        <v>0</v>
      </c>
      <c r="L38" s="2">
        <f ca="1">COUNTIF('Skills Gap Heatmap'!AL$4:AL$37,"#N/A")</f>
        <v>0</v>
      </c>
    </row>
    <row r="39" spans="1:12">
      <c r="A39" s="2" t="s">
        <v>375</v>
      </c>
      <c r="B39" s="143" t="s">
        <v>281</v>
      </c>
      <c r="C39" s="2">
        <f ca="1">COUNTIF('Skills Gap Heatmap'!AM$4:AM$37,"-4")</f>
        <v>0</v>
      </c>
      <c r="D39" s="2">
        <f ca="1">COUNTIF('Skills Gap Heatmap'!AM$4:AM$37,"-3")</f>
        <v>0</v>
      </c>
      <c r="E39" s="2">
        <f ca="1">COUNTIF('Skills Gap Heatmap'!AM$4:AM$37,"-2")</f>
        <v>0</v>
      </c>
      <c r="F39" s="2">
        <f ca="1">COUNTIF('Skills Gap Heatmap'!AM$4:AM$37,"-1")</f>
        <v>3</v>
      </c>
      <c r="G39" s="2">
        <f ca="1">COUNTIF('Skills Gap Heatmap'!AM$4:AM$37,"0")</f>
        <v>7</v>
      </c>
      <c r="H39" s="2">
        <f ca="1">COUNTIF('Skills Gap Heatmap'!AM$4:AM$37,"1")</f>
        <v>2</v>
      </c>
      <c r="I39" s="2">
        <f ca="1">COUNTIF('Skills Gap Heatmap'!AM$4:AM$37,"2")</f>
        <v>7</v>
      </c>
      <c r="J39" s="2">
        <f ca="1">COUNTIF('Skills Gap Heatmap'!AM$4:AM$37,"3")</f>
        <v>6</v>
      </c>
      <c r="K39" s="2">
        <f ca="1">COUNTIF('Skills Gap Heatmap'!AM$4:AM$37,"4")</f>
        <v>0</v>
      </c>
      <c r="L39" s="2">
        <f ca="1">COUNTIF('Skills Gap Heatmap'!AM$4:AM$37,"#N/A")</f>
        <v>0</v>
      </c>
    </row>
    <row r="40" spans="1:12" ht="30">
      <c r="A40" s="2" t="s">
        <v>375</v>
      </c>
      <c r="B40" s="143" t="s">
        <v>284</v>
      </c>
      <c r="C40" s="2">
        <f ca="1">COUNTIF('Skills Gap Heatmap'!AN$4:AN$37,"-4")</f>
        <v>0</v>
      </c>
      <c r="D40" s="2">
        <f ca="1">COUNTIF('Skills Gap Heatmap'!AN$4:AN$37,"-3")</f>
        <v>0</v>
      </c>
      <c r="E40" s="2">
        <f ca="1">COUNTIF('Skills Gap Heatmap'!AN$4:AN$37,"-2")</f>
        <v>3</v>
      </c>
      <c r="F40" s="2">
        <f ca="1">COUNTIF('Skills Gap Heatmap'!AN$4:AN$37,"-1")</f>
        <v>1</v>
      </c>
      <c r="G40" s="2">
        <f ca="1">COUNTIF('Skills Gap Heatmap'!AN$4:AN$37,"0")</f>
        <v>7</v>
      </c>
      <c r="H40" s="2">
        <f ca="1">COUNTIF('Skills Gap Heatmap'!AN$4:AN$37,"1")</f>
        <v>7</v>
      </c>
      <c r="I40" s="2">
        <f ca="1">COUNTIF('Skills Gap Heatmap'!AN$4:AN$37,"2")</f>
        <v>3</v>
      </c>
      <c r="J40" s="2">
        <f ca="1">COUNTIF('Skills Gap Heatmap'!AN$4:AN$37,"3")</f>
        <v>4</v>
      </c>
      <c r="K40" s="2">
        <f ca="1">COUNTIF('Skills Gap Heatmap'!AN$4:AN$37,"4")</f>
        <v>0</v>
      </c>
      <c r="L40" s="2">
        <f ca="1">COUNTIF('Skills Gap Heatmap'!AN$4:AN$37,"#N/A")</f>
        <v>0</v>
      </c>
    </row>
    <row r="41" spans="1:12" ht="30">
      <c r="A41" s="2" t="s">
        <v>375</v>
      </c>
      <c r="B41" s="143" t="s">
        <v>287</v>
      </c>
      <c r="C41" s="2">
        <f ca="1">COUNTIF('Skills Gap Heatmap'!AO$4:AO$37,"-4")</f>
        <v>0</v>
      </c>
      <c r="D41" s="2">
        <f ca="1">COUNTIF('Skills Gap Heatmap'!AO$4:AO$37,"-3")</f>
        <v>1</v>
      </c>
      <c r="E41" s="2">
        <f ca="1">COUNTIF('Skills Gap Heatmap'!AO$4:AO$37,"-2")</f>
        <v>2</v>
      </c>
      <c r="F41" s="2">
        <f ca="1">COUNTIF('Skills Gap Heatmap'!AO$4:AO$37,"-1")</f>
        <v>2</v>
      </c>
      <c r="G41" s="2">
        <f ca="1">COUNTIF('Skills Gap Heatmap'!AO$4:AO$37,"0")</f>
        <v>10</v>
      </c>
      <c r="H41" s="2">
        <f ca="1">COUNTIF('Skills Gap Heatmap'!AO$4:AO$37,"1")</f>
        <v>7</v>
      </c>
      <c r="I41" s="2">
        <f ca="1">COUNTIF('Skills Gap Heatmap'!AO$4:AO$37,"2")</f>
        <v>3</v>
      </c>
      <c r="J41" s="2">
        <f ca="1">COUNTIF('Skills Gap Heatmap'!AO$4:AO$37,"3")</f>
        <v>0</v>
      </c>
      <c r="K41" s="2">
        <f ca="1">COUNTIF('Skills Gap Heatmap'!AO$4:AO$37,"4")</f>
        <v>0</v>
      </c>
      <c r="L41" s="2">
        <f ca="1">COUNTIF('Skills Gap Heatmap'!AO$4:AO$37,"#N/A")</f>
        <v>0</v>
      </c>
    </row>
    <row r="42" spans="1:12" ht="30">
      <c r="A42" s="2" t="s">
        <v>375</v>
      </c>
      <c r="B42" s="143" t="s">
        <v>290</v>
      </c>
      <c r="C42" s="2">
        <f ca="1">COUNTIF('Skills Gap Heatmap'!AP$4:AP$37,"-4")</f>
        <v>0</v>
      </c>
      <c r="D42" s="2">
        <f ca="1">COUNTIF('Skills Gap Heatmap'!AP$4:AP$37,"-3")</f>
        <v>0</v>
      </c>
      <c r="E42" s="2">
        <f ca="1">COUNTIF('Skills Gap Heatmap'!AP$4:AP$37,"-2")</f>
        <v>2</v>
      </c>
      <c r="F42" s="2">
        <f ca="1">COUNTIF('Skills Gap Heatmap'!AP$4:AP$37,"-1")</f>
        <v>4</v>
      </c>
      <c r="G42" s="2">
        <f ca="1">COUNTIF('Skills Gap Heatmap'!AP$4:AP$37,"0")</f>
        <v>7</v>
      </c>
      <c r="H42" s="2">
        <f ca="1">COUNTIF('Skills Gap Heatmap'!AP$4:AP$37,"1")</f>
        <v>6</v>
      </c>
      <c r="I42" s="2">
        <f ca="1">COUNTIF('Skills Gap Heatmap'!AP$4:AP$37,"2")</f>
        <v>3</v>
      </c>
      <c r="J42" s="2">
        <f ca="1">COUNTIF('Skills Gap Heatmap'!AP$4:AP$37,"3")</f>
        <v>3</v>
      </c>
      <c r="K42" s="2">
        <f ca="1">COUNTIF('Skills Gap Heatmap'!AP$4:AP$37,"4")</f>
        <v>0</v>
      </c>
      <c r="L42" s="2">
        <f ca="1">COUNTIF('Skills Gap Heatmap'!AP$4:AP$37,"#N/A")</f>
        <v>0</v>
      </c>
    </row>
    <row r="43" spans="1:12">
      <c r="A43" s="2" t="s">
        <v>375</v>
      </c>
      <c r="B43" s="143" t="s">
        <v>293</v>
      </c>
      <c r="C43" s="2">
        <f ca="1">COUNTIF('Skills Gap Heatmap'!AQ$4:AQ$37,"-4")</f>
        <v>0</v>
      </c>
      <c r="D43" s="2">
        <f ca="1">COUNTIF('Skills Gap Heatmap'!AQ$4:AQ$37,"-3")</f>
        <v>0</v>
      </c>
      <c r="E43" s="2">
        <f ca="1">COUNTIF('Skills Gap Heatmap'!AQ$4:AQ$37,"-2")</f>
        <v>0</v>
      </c>
      <c r="F43" s="2">
        <f ca="1">COUNTIF('Skills Gap Heatmap'!AQ$4:AQ$37,"-1")</f>
        <v>3</v>
      </c>
      <c r="G43" s="2">
        <f ca="1">COUNTIF('Skills Gap Heatmap'!AQ$4:AQ$37,"0")</f>
        <v>8</v>
      </c>
      <c r="H43" s="2">
        <f ca="1">COUNTIF('Skills Gap Heatmap'!AQ$4:AQ$37,"1")</f>
        <v>5</v>
      </c>
      <c r="I43" s="2">
        <f ca="1">COUNTIF('Skills Gap Heatmap'!AQ$4:AQ$37,"2")</f>
        <v>6</v>
      </c>
      <c r="J43" s="2">
        <f ca="1">COUNTIF('Skills Gap Heatmap'!AQ$4:AQ$37,"3")</f>
        <v>3</v>
      </c>
      <c r="K43" s="2">
        <f ca="1">COUNTIF('Skills Gap Heatmap'!AQ$4:AQ$37,"4")</f>
        <v>0</v>
      </c>
      <c r="L43" s="2">
        <f ca="1">COUNTIF('Skills Gap Heatmap'!AQ$4:AQ$37,"#N/A")</f>
        <v>0</v>
      </c>
    </row>
    <row r="44" spans="1:12">
      <c r="A44" s="2" t="s">
        <v>375</v>
      </c>
      <c r="B44" s="143" t="s">
        <v>296</v>
      </c>
      <c r="C44" s="2">
        <f ca="1">COUNTIF('Skills Gap Heatmap'!AR$4:AR$37,"-4")</f>
        <v>0</v>
      </c>
      <c r="D44" s="2">
        <f ca="1">COUNTIF('Skills Gap Heatmap'!AR$4:AR$37,"-3")</f>
        <v>0</v>
      </c>
      <c r="E44" s="2">
        <f ca="1">COUNTIF('Skills Gap Heatmap'!AR$4:AR$37,"-2")</f>
        <v>0</v>
      </c>
      <c r="F44" s="2">
        <f ca="1">COUNTIF('Skills Gap Heatmap'!AR$4:AR$37,"-1")</f>
        <v>5</v>
      </c>
      <c r="G44" s="2">
        <f ca="1">COUNTIF('Skills Gap Heatmap'!AR$4:AR$37,"0")</f>
        <v>5</v>
      </c>
      <c r="H44" s="2">
        <f ca="1">COUNTIF('Skills Gap Heatmap'!AR$4:AR$37,"1")</f>
        <v>9</v>
      </c>
      <c r="I44" s="2">
        <f ca="1">COUNTIF('Skills Gap Heatmap'!AR$4:AR$37,"2")</f>
        <v>2</v>
      </c>
      <c r="J44" s="2">
        <f ca="1">COUNTIF('Skills Gap Heatmap'!AR$4:AR$37,"3")</f>
        <v>3</v>
      </c>
      <c r="K44" s="2">
        <f ca="1">COUNTIF('Skills Gap Heatmap'!AR$4:AR$37,"4")</f>
        <v>1</v>
      </c>
      <c r="L44" s="2">
        <f ca="1">COUNTIF('Skills Gap Heatmap'!AR$4:AR$37,"#N/A")</f>
        <v>0</v>
      </c>
    </row>
    <row r="45" spans="1:12">
      <c r="A45" s="2" t="s">
        <v>375</v>
      </c>
      <c r="B45" s="143" t="s">
        <v>299</v>
      </c>
      <c r="C45" s="2">
        <f ca="1">COUNTIF('Skills Gap Heatmap'!AS$4:AS$37,"-4")</f>
        <v>0</v>
      </c>
      <c r="D45" s="2">
        <f ca="1">COUNTIF('Skills Gap Heatmap'!AS$4:AS$37,"-3")</f>
        <v>0</v>
      </c>
      <c r="E45" s="2">
        <f ca="1">COUNTIF('Skills Gap Heatmap'!AS$4:AS$37,"-2")</f>
        <v>4</v>
      </c>
      <c r="F45" s="2">
        <f ca="1">COUNTIF('Skills Gap Heatmap'!AS$4:AS$37,"-1")</f>
        <v>1</v>
      </c>
      <c r="G45" s="2">
        <f ca="1">COUNTIF('Skills Gap Heatmap'!AS$4:AS$37,"0")</f>
        <v>10</v>
      </c>
      <c r="H45" s="2">
        <f ca="1">COUNTIF('Skills Gap Heatmap'!AS$4:AS$37,"1")</f>
        <v>7</v>
      </c>
      <c r="I45" s="2">
        <f ca="1">COUNTIF('Skills Gap Heatmap'!AS$4:AS$37,"2")</f>
        <v>0</v>
      </c>
      <c r="J45" s="2">
        <f ca="1">COUNTIF('Skills Gap Heatmap'!AS$4:AS$37,"3")</f>
        <v>2</v>
      </c>
      <c r="K45" s="2">
        <f ca="1">COUNTIF('Skills Gap Heatmap'!AS$4:AS$37,"4")</f>
        <v>1</v>
      </c>
      <c r="L45" s="2">
        <f ca="1">COUNTIF('Skills Gap Heatmap'!AS$4:AS$37,"#N/A")</f>
        <v>0</v>
      </c>
    </row>
    <row r="46" spans="1:12">
      <c r="A46" s="2" t="s">
        <v>375</v>
      </c>
      <c r="B46" s="143" t="s">
        <v>302</v>
      </c>
      <c r="C46" s="2">
        <f ca="1">COUNTIF('Skills Gap Heatmap'!AT$4:AT$37,"-4")</f>
        <v>0</v>
      </c>
      <c r="D46" s="2">
        <f ca="1">COUNTIF('Skills Gap Heatmap'!AT$4:AT$37,"-3")</f>
        <v>0</v>
      </c>
      <c r="E46" s="2">
        <f ca="1">COUNTIF('Skills Gap Heatmap'!AT$4:AT$37,"-2")</f>
        <v>3</v>
      </c>
      <c r="F46" s="2">
        <f ca="1">COUNTIF('Skills Gap Heatmap'!AT$4:AT$37,"-1")</f>
        <v>4</v>
      </c>
      <c r="G46" s="2">
        <f ca="1">COUNTIF('Skills Gap Heatmap'!AT$4:AT$37,"0")</f>
        <v>2</v>
      </c>
      <c r="H46" s="2">
        <f ca="1">COUNTIF('Skills Gap Heatmap'!AT$4:AT$37,"1")</f>
        <v>6</v>
      </c>
      <c r="I46" s="2">
        <f ca="1">COUNTIF('Skills Gap Heatmap'!AT$4:AT$37,"2")</f>
        <v>4</v>
      </c>
      <c r="J46" s="2">
        <f ca="1">COUNTIF('Skills Gap Heatmap'!AT$4:AT$37,"3")</f>
        <v>3</v>
      </c>
      <c r="K46" s="2">
        <f ca="1">COUNTIF('Skills Gap Heatmap'!AT$4:AT$37,"4")</f>
        <v>3</v>
      </c>
      <c r="L46" s="2">
        <f ca="1">COUNTIF('Skills Gap Heatmap'!AT$4:AT$37,"#N/A")</f>
        <v>0</v>
      </c>
    </row>
    <row r="47" spans="1:12" ht="30">
      <c r="A47" s="2" t="s">
        <v>375</v>
      </c>
      <c r="B47" s="143" t="s">
        <v>305</v>
      </c>
      <c r="C47" s="2">
        <f ca="1">COUNTIF('Skills Gap Heatmap'!AU$4:AU$37,"-4")</f>
        <v>0</v>
      </c>
      <c r="D47" s="2">
        <f ca="1">COUNTIF('Skills Gap Heatmap'!AU$4:AU$37,"-3")</f>
        <v>1</v>
      </c>
      <c r="E47" s="2">
        <f ca="1">COUNTIF('Skills Gap Heatmap'!AU$4:AU$37,"-2")</f>
        <v>3</v>
      </c>
      <c r="F47" s="2">
        <f ca="1">COUNTIF('Skills Gap Heatmap'!AU$4:AU$37,"-1")</f>
        <v>2</v>
      </c>
      <c r="G47" s="2">
        <f ca="1">COUNTIF('Skills Gap Heatmap'!AU$4:AU$37,"0")</f>
        <v>6</v>
      </c>
      <c r="H47" s="2">
        <f ca="1">COUNTIF('Skills Gap Heatmap'!AU$4:AU$37,"1")</f>
        <v>5</v>
      </c>
      <c r="I47" s="2">
        <f ca="1">COUNTIF('Skills Gap Heatmap'!AU$4:AU$37,"2")</f>
        <v>6</v>
      </c>
      <c r="J47" s="2">
        <f ca="1">COUNTIF('Skills Gap Heatmap'!AU$4:AU$37,"3")</f>
        <v>2</v>
      </c>
      <c r="K47" s="2">
        <f ca="1">COUNTIF('Skills Gap Heatmap'!AU$4:AU$37,"4")</f>
        <v>0</v>
      </c>
      <c r="L47" s="2">
        <f ca="1">COUNTIF('Skills Gap Heatmap'!AU$4:AU$37,"#N/A")</f>
        <v>0</v>
      </c>
    </row>
    <row r="48" spans="1:12">
      <c r="A48" s="2" t="s">
        <v>375</v>
      </c>
      <c r="B48" s="143" t="s">
        <v>308</v>
      </c>
      <c r="C48" s="2">
        <f ca="1">COUNTIF('Skills Gap Heatmap'!AV$4:AV$37,"-4")</f>
        <v>0</v>
      </c>
      <c r="D48" s="2">
        <f ca="1">COUNTIF('Skills Gap Heatmap'!AV$4:AV$37,"-3")</f>
        <v>0</v>
      </c>
      <c r="E48" s="2">
        <f ca="1">COUNTIF('Skills Gap Heatmap'!AV$4:AV$37,"-2")</f>
        <v>1</v>
      </c>
      <c r="F48" s="2">
        <f ca="1">COUNTIF('Skills Gap Heatmap'!AV$4:AV$37,"-1")</f>
        <v>5</v>
      </c>
      <c r="G48" s="2">
        <f ca="1">COUNTIF('Skills Gap Heatmap'!AV$4:AV$37,"0")</f>
        <v>4</v>
      </c>
      <c r="H48" s="2">
        <f ca="1">COUNTIF('Skills Gap Heatmap'!AV$4:AV$37,"1")</f>
        <v>8</v>
      </c>
      <c r="I48" s="2">
        <f ca="1">COUNTIF('Skills Gap Heatmap'!AV$4:AV$37,"2")</f>
        <v>4</v>
      </c>
      <c r="J48" s="2">
        <f ca="1">COUNTIF('Skills Gap Heatmap'!AV$4:AV$37,"3")</f>
        <v>3</v>
      </c>
      <c r="K48" s="2">
        <f ca="1">COUNTIF('Skills Gap Heatmap'!AV$4:AV$37,"4")</f>
        <v>0</v>
      </c>
      <c r="L48" s="2">
        <f ca="1">COUNTIF('Skills Gap Heatmap'!AV$4:AV$37,"#N/A")</f>
        <v>0</v>
      </c>
    </row>
    <row r="49" spans="1:12" ht="30">
      <c r="A49" s="2" t="s">
        <v>375</v>
      </c>
      <c r="B49" s="143" t="s">
        <v>311</v>
      </c>
      <c r="C49" s="2">
        <f ca="1">COUNTIF('Skills Gap Heatmap'!AW$4:AW$37,"-4")</f>
        <v>0</v>
      </c>
      <c r="D49" s="2">
        <f ca="1">COUNTIF('Skills Gap Heatmap'!AW$4:AW$37,"-3")</f>
        <v>0</v>
      </c>
      <c r="E49" s="2">
        <f ca="1">COUNTIF('Skills Gap Heatmap'!AW$4:AW$37,"-2")</f>
        <v>0</v>
      </c>
      <c r="F49" s="2">
        <f ca="1">COUNTIF('Skills Gap Heatmap'!AW$4:AW$37,"-1")</f>
        <v>3</v>
      </c>
      <c r="G49" s="2">
        <f ca="1">COUNTIF('Skills Gap Heatmap'!AW$4:AW$37,"0")</f>
        <v>11</v>
      </c>
      <c r="H49" s="2">
        <f ca="1">COUNTIF('Skills Gap Heatmap'!AW$4:AW$37,"1")</f>
        <v>5</v>
      </c>
      <c r="I49" s="2">
        <f ca="1">COUNTIF('Skills Gap Heatmap'!AW$4:AW$37,"2")</f>
        <v>6</v>
      </c>
      <c r="J49" s="2">
        <f ca="1">COUNTIF('Skills Gap Heatmap'!AW$4:AW$37,"3")</f>
        <v>0</v>
      </c>
      <c r="K49" s="2">
        <f ca="1">COUNTIF('Skills Gap Heatmap'!AW$4:AW$37,"4")</f>
        <v>0</v>
      </c>
      <c r="L49" s="2">
        <f ca="1">COUNTIF('Skills Gap Heatmap'!AW$4:AW$37,"#N/A")</f>
        <v>0</v>
      </c>
    </row>
    <row r="50" spans="1:12" ht="30">
      <c r="A50" s="2" t="s">
        <v>375</v>
      </c>
      <c r="B50" s="143" t="s">
        <v>314</v>
      </c>
      <c r="C50" s="2">
        <f ca="1">COUNTIF('Skills Gap Heatmap'!AX$4:AX$37,"-4")</f>
        <v>0</v>
      </c>
      <c r="D50" s="2">
        <f ca="1">COUNTIF('Skills Gap Heatmap'!AX$4:AX$37,"-3")</f>
        <v>0</v>
      </c>
      <c r="E50" s="2">
        <f ca="1">COUNTIF('Skills Gap Heatmap'!AX$4:AX$37,"-2")</f>
        <v>1</v>
      </c>
      <c r="F50" s="2">
        <f ca="1">COUNTIF('Skills Gap Heatmap'!AX$4:AX$37,"-1")</f>
        <v>2</v>
      </c>
      <c r="G50" s="2">
        <f ca="1">COUNTIF('Skills Gap Heatmap'!AX$4:AX$37,"0")</f>
        <v>2</v>
      </c>
      <c r="H50" s="2">
        <f ca="1">COUNTIF('Skills Gap Heatmap'!AX$4:AX$37,"1")</f>
        <v>4</v>
      </c>
      <c r="I50" s="2">
        <f ca="1">COUNTIF('Skills Gap Heatmap'!AX$4:AX$37,"2")</f>
        <v>5</v>
      </c>
      <c r="J50" s="2">
        <f ca="1">COUNTIF('Skills Gap Heatmap'!AX$4:AX$37,"3")</f>
        <v>7</v>
      </c>
      <c r="K50" s="2">
        <f ca="1">COUNTIF('Skills Gap Heatmap'!AX$4:AX$37,"4")</f>
        <v>4</v>
      </c>
      <c r="L50" s="2">
        <f ca="1">COUNTIF('Skills Gap Heatmap'!AX$4:AX$37,"#N/A")</f>
        <v>0</v>
      </c>
    </row>
    <row r="51" spans="1:12">
      <c r="A51" s="2" t="s">
        <v>375</v>
      </c>
      <c r="B51" s="143" t="s">
        <v>317</v>
      </c>
      <c r="C51" s="2">
        <f ca="1">COUNTIF('Skills Gap Heatmap'!AY$4:AY$37,"-4")</f>
        <v>0</v>
      </c>
      <c r="D51" s="2">
        <f ca="1">COUNTIF('Skills Gap Heatmap'!AY$4:AY$37,"-3")</f>
        <v>0</v>
      </c>
      <c r="E51" s="2">
        <f ca="1">COUNTIF('Skills Gap Heatmap'!AY$4:AY$37,"-2")</f>
        <v>0</v>
      </c>
      <c r="F51" s="2">
        <f ca="1">COUNTIF('Skills Gap Heatmap'!AY$4:AY$37,"-1")</f>
        <v>1</v>
      </c>
      <c r="G51" s="2">
        <f ca="1">COUNTIF('Skills Gap Heatmap'!AY$4:AY$37,"0")</f>
        <v>4</v>
      </c>
      <c r="H51" s="2">
        <f ca="1">COUNTIF('Skills Gap Heatmap'!AY$4:AY$37,"1")</f>
        <v>9</v>
      </c>
      <c r="I51" s="2">
        <f ca="1">COUNTIF('Skills Gap Heatmap'!AY$4:AY$37,"2")</f>
        <v>4</v>
      </c>
      <c r="J51" s="2">
        <f ca="1">COUNTIF('Skills Gap Heatmap'!AY$4:AY$37,"3")</f>
        <v>6</v>
      </c>
      <c r="K51" s="2">
        <f ca="1">COUNTIF('Skills Gap Heatmap'!AY$4:AY$37,"4")</f>
        <v>1</v>
      </c>
      <c r="L51" s="2">
        <f ca="1">COUNTIF('Skills Gap Heatmap'!AY$4:AY$37,"#N/A")</f>
        <v>0</v>
      </c>
    </row>
    <row r="52" spans="1:12">
      <c r="A52" s="2" t="s">
        <v>375</v>
      </c>
      <c r="B52" s="143" t="s">
        <v>320</v>
      </c>
      <c r="C52" s="2">
        <f ca="1">COUNTIF('Skills Gap Heatmap'!AZ$4:AZ$37,"-4")</f>
        <v>0</v>
      </c>
      <c r="D52" s="2">
        <f ca="1">COUNTIF('Skills Gap Heatmap'!AZ$4:AZ$37,"-3")</f>
        <v>0</v>
      </c>
      <c r="E52" s="2">
        <f ca="1">COUNTIF('Skills Gap Heatmap'!AZ$4:AZ$37,"-2")</f>
        <v>2</v>
      </c>
      <c r="F52" s="2">
        <f ca="1">COUNTIF('Skills Gap Heatmap'!AZ$4:AZ$37,"-1")</f>
        <v>3</v>
      </c>
      <c r="G52" s="2">
        <f ca="1">COUNTIF('Skills Gap Heatmap'!AZ$4:AZ$37,"0")</f>
        <v>8</v>
      </c>
      <c r="H52" s="2">
        <f ca="1">COUNTIF('Skills Gap Heatmap'!AZ$4:AZ$37,"1")</f>
        <v>3</v>
      </c>
      <c r="I52" s="2">
        <f ca="1">COUNTIF('Skills Gap Heatmap'!AZ$4:AZ$37,"2")</f>
        <v>6</v>
      </c>
      <c r="J52" s="2">
        <f ca="1">COUNTIF('Skills Gap Heatmap'!AZ$4:AZ$37,"3")</f>
        <v>3</v>
      </c>
      <c r="K52" s="2">
        <f ca="1">COUNTIF('Skills Gap Heatmap'!AZ$4:AZ$37,"4")</f>
        <v>0</v>
      </c>
      <c r="L52" s="2">
        <f ca="1">COUNTIF('Skills Gap Heatmap'!AZ$4:AZ$37,"#N/A")</f>
        <v>0</v>
      </c>
    </row>
    <row r="53" spans="1:12">
      <c r="A53" s="2" t="s">
        <v>375</v>
      </c>
      <c r="B53" s="143" t="s">
        <v>323</v>
      </c>
      <c r="C53" s="2">
        <f ca="1">COUNTIF('Skills Gap Heatmap'!BA$4:BA$37,"-4")</f>
        <v>0</v>
      </c>
      <c r="D53" s="2">
        <f ca="1">COUNTIF('Skills Gap Heatmap'!BA$4:BA$37,"-3")</f>
        <v>0</v>
      </c>
      <c r="E53" s="2">
        <f ca="1">COUNTIF('Skills Gap Heatmap'!BA$4:BA$37,"-2")</f>
        <v>1</v>
      </c>
      <c r="F53" s="2">
        <f ca="1">COUNTIF('Skills Gap Heatmap'!BA$4:BA$37,"-1")</f>
        <v>2</v>
      </c>
      <c r="G53" s="2">
        <f ca="1">COUNTIF('Skills Gap Heatmap'!BA$4:BA$37,"0")</f>
        <v>5</v>
      </c>
      <c r="H53" s="2">
        <f ca="1">COUNTIF('Skills Gap Heatmap'!BA$4:BA$37,"1")</f>
        <v>3</v>
      </c>
      <c r="I53" s="2">
        <f ca="1">COUNTIF('Skills Gap Heatmap'!BA$4:BA$37,"2")</f>
        <v>6</v>
      </c>
      <c r="J53" s="2">
        <f ca="1">COUNTIF('Skills Gap Heatmap'!BA$4:BA$37,"3")</f>
        <v>6</v>
      </c>
      <c r="K53" s="2">
        <f ca="1">COUNTIF('Skills Gap Heatmap'!BA$4:BA$37,"4")</f>
        <v>2</v>
      </c>
      <c r="L53" s="2">
        <f ca="1">COUNTIF('Skills Gap Heatmap'!BA$4:BA$37,"#N/A")</f>
        <v>0</v>
      </c>
    </row>
    <row r="54" spans="1:12" ht="30">
      <c r="A54" s="2" t="s">
        <v>375</v>
      </c>
      <c r="B54" s="143" t="s">
        <v>326</v>
      </c>
      <c r="C54" s="2">
        <f ca="1">COUNTIF('Skills Gap Heatmap'!BB$4:BB$37,"-4")</f>
        <v>0</v>
      </c>
      <c r="D54" s="2">
        <f ca="1">COUNTIF('Skills Gap Heatmap'!BB$4:BB$37,"-3")</f>
        <v>0</v>
      </c>
      <c r="E54" s="2">
        <f ca="1">COUNTIF('Skills Gap Heatmap'!BB$4:BB$37,"-2")</f>
        <v>0</v>
      </c>
      <c r="F54" s="2">
        <f ca="1">COUNTIF('Skills Gap Heatmap'!BB$4:BB$37,"-1")</f>
        <v>2</v>
      </c>
      <c r="G54" s="2">
        <f ca="1">COUNTIF('Skills Gap Heatmap'!BB$4:BB$37,"0")</f>
        <v>6</v>
      </c>
      <c r="H54" s="2">
        <f ca="1">COUNTIF('Skills Gap Heatmap'!BB$4:BB$37,"1")</f>
        <v>7</v>
      </c>
      <c r="I54" s="2">
        <f ca="1">COUNTIF('Skills Gap Heatmap'!BB$4:BB$37,"2")</f>
        <v>6</v>
      </c>
      <c r="J54" s="2">
        <f ca="1">COUNTIF('Skills Gap Heatmap'!BB$4:BB$37,"3")</f>
        <v>4</v>
      </c>
      <c r="K54" s="2">
        <f ca="1">COUNTIF('Skills Gap Heatmap'!BB$4:BB$37,"4")</f>
        <v>0</v>
      </c>
      <c r="L54" s="2">
        <f ca="1">COUNTIF('Skills Gap Heatmap'!BB$4:BB$37,"#N/A")</f>
        <v>0</v>
      </c>
    </row>
    <row r="55" spans="1:12">
      <c r="A55" s="2" t="s">
        <v>375</v>
      </c>
      <c r="B55" s="143" t="s">
        <v>328</v>
      </c>
      <c r="C55" s="2">
        <f ca="1">COUNTIF('Skills Gap Heatmap'!BC$4:BC$37,"-4")</f>
        <v>0</v>
      </c>
      <c r="D55" s="2">
        <f ca="1">COUNTIF('Skills Gap Heatmap'!BC$4:BC$37,"-3")</f>
        <v>0</v>
      </c>
      <c r="E55" s="2">
        <f ca="1">COUNTIF('Skills Gap Heatmap'!BC$4:BC$37,"-2")</f>
        <v>0</v>
      </c>
      <c r="F55" s="2">
        <f ca="1">COUNTIF('Skills Gap Heatmap'!BC$4:BC$37,"-1")</f>
        <v>4</v>
      </c>
      <c r="G55" s="2">
        <f ca="1">COUNTIF('Skills Gap Heatmap'!BC$4:BC$37,"0")</f>
        <v>6</v>
      </c>
      <c r="H55" s="2">
        <f ca="1">COUNTIF('Skills Gap Heatmap'!BC$4:BC$37,"1")</f>
        <v>7</v>
      </c>
      <c r="I55" s="2">
        <f ca="1">COUNTIF('Skills Gap Heatmap'!BC$4:BC$37,"2")</f>
        <v>5</v>
      </c>
      <c r="J55" s="2">
        <f ca="1">COUNTIF('Skills Gap Heatmap'!BC$4:BC$37,"3")</f>
        <v>3</v>
      </c>
      <c r="K55" s="2">
        <f ca="1">COUNTIF('Skills Gap Heatmap'!BC$4:BC$37,"4")</f>
        <v>0</v>
      </c>
      <c r="L55" s="2">
        <f ca="1">COUNTIF('Skills Gap Heatmap'!BC$4:BC$37,"#N/A")</f>
        <v>0</v>
      </c>
    </row>
    <row r="56" spans="1:12">
      <c r="A56" s="2" t="s">
        <v>375</v>
      </c>
      <c r="B56" s="143" t="s">
        <v>330</v>
      </c>
      <c r="C56" s="2">
        <f ca="1">COUNTIF('Skills Gap Heatmap'!BD$4:BD$37,"-4")</f>
        <v>0</v>
      </c>
      <c r="D56" s="2">
        <f ca="1">COUNTIF('Skills Gap Heatmap'!BD$4:BD$37,"-3")</f>
        <v>0</v>
      </c>
      <c r="E56" s="2">
        <f ca="1">COUNTIF('Skills Gap Heatmap'!BD$4:BD$37,"-2")</f>
        <v>0</v>
      </c>
      <c r="F56" s="2">
        <f ca="1">COUNTIF('Skills Gap Heatmap'!BD$4:BD$37,"-1")</f>
        <v>2</v>
      </c>
      <c r="G56" s="2">
        <f ca="1">COUNTIF('Skills Gap Heatmap'!BD$4:BD$37,"0")</f>
        <v>2</v>
      </c>
      <c r="H56" s="2">
        <f ca="1">COUNTIF('Skills Gap Heatmap'!BD$4:BD$37,"1")</f>
        <v>6</v>
      </c>
      <c r="I56" s="2">
        <f ca="1">COUNTIF('Skills Gap Heatmap'!BD$4:BD$37,"2")</f>
        <v>6</v>
      </c>
      <c r="J56" s="2">
        <f ca="1">COUNTIF('Skills Gap Heatmap'!BD$4:BD$37,"3")</f>
        <v>8</v>
      </c>
      <c r="K56" s="2">
        <f ca="1">COUNTIF('Skills Gap Heatmap'!BD$4:BD$37,"4")</f>
        <v>1</v>
      </c>
      <c r="L56" s="2">
        <f ca="1">COUNTIF('Skills Gap Heatmap'!BD$4:BD$37,"#N/A")</f>
        <v>0</v>
      </c>
    </row>
    <row r="57" spans="1:12">
      <c r="A57" s="2" t="s">
        <v>375</v>
      </c>
      <c r="B57" s="143" t="s">
        <v>332</v>
      </c>
      <c r="C57" s="2">
        <f ca="1">COUNTIF('Skills Gap Heatmap'!BE$4:BE$37,"-4")</f>
        <v>0</v>
      </c>
      <c r="D57" s="2">
        <f ca="1">COUNTIF('Skills Gap Heatmap'!BE$4:BE$37,"-3")</f>
        <v>0</v>
      </c>
      <c r="E57" s="2">
        <f ca="1">COUNTIF('Skills Gap Heatmap'!BE$4:BE$37,"-2")</f>
        <v>1</v>
      </c>
      <c r="F57" s="2">
        <f ca="1">COUNTIF('Skills Gap Heatmap'!BE$4:BE$37,"-1")</f>
        <v>0</v>
      </c>
      <c r="G57" s="2">
        <f ca="1">COUNTIF('Skills Gap Heatmap'!BE$4:BE$37,"0")</f>
        <v>11</v>
      </c>
      <c r="H57" s="2">
        <f ca="1">COUNTIF('Skills Gap Heatmap'!BE$4:BE$37,"1")</f>
        <v>10</v>
      </c>
      <c r="I57" s="2">
        <f ca="1">COUNTIF('Skills Gap Heatmap'!BE$4:BE$37,"2")</f>
        <v>2</v>
      </c>
      <c r="J57" s="2">
        <f ca="1">COUNTIF('Skills Gap Heatmap'!BE$4:BE$37,"3")</f>
        <v>1</v>
      </c>
      <c r="K57" s="2">
        <f ca="1">COUNTIF('Skills Gap Heatmap'!BE$4:BE$37,"4")</f>
        <v>0</v>
      </c>
      <c r="L57" s="2">
        <f ca="1">COUNTIF('Skills Gap Heatmap'!BE$4:BE$37,"#N/A")</f>
        <v>0</v>
      </c>
    </row>
    <row r="58" spans="1:12">
      <c r="A58" s="2" t="s">
        <v>49</v>
      </c>
      <c r="B58" s="144" t="s">
        <v>211</v>
      </c>
      <c r="C58" s="2">
        <f ca="1">COUNTIF('Skills Gap Heatmap'!BF$4:BF$37,"-4")</f>
        <v>0</v>
      </c>
      <c r="D58" s="2">
        <f ca="1">COUNTIF('Skills Gap Heatmap'!BF$4:BF$37,"-3")</f>
        <v>0</v>
      </c>
      <c r="E58" s="2">
        <f ca="1">COUNTIF('Skills Gap Heatmap'!BF$4:BF$37,"-2")</f>
        <v>8</v>
      </c>
      <c r="F58" s="2">
        <f ca="1">COUNTIF('Skills Gap Heatmap'!BF$4:BF$37,"-1")</f>
        <v>4</v>
      </c>
      <c r="G58" s="2">
        <f ca="1">COUNTIF('Skills Gap Heatmap'!BF$4:BF$37,"0")</f>
        <v>7</v>
      </c>
      <c r="H58" s="2">
        <f ca="1">COUNTIF('Skills Gap Heatmap'!BF$4:BF$37,"1")</f>
        <v>6</v>
      </c>
      <c r="I58" s="2">
        <f ca="1">COUNTIF('Skills Gap Heatmap'!BF$4:BF$37,"2")</f>
        <v>0</v>
      </c>
      <c r="J58" s="2">
        <f ca="1">COUNTIF('Skills Gap Heatmap'!BF$4:BF$37,"3")</f>
        <v>0</v>
      </c>
      <c r="K58" s="2">
        <f ca="1">COUNTIF('Skills Gap Heatmap'!BF$4:BF$37,"4")</f>
        <v>0</v>
      </c>
      <c r="L58" s="2">
        <f ca="1">COUNTIF('Skills Gap Heatmap'!BF$4:BF$37,"#N/A")</f>
        <v>0</v>
      </c>
    </row>
    <row r="59" spans="1:12">
      <c r="A59" s="2" t="s">
        <v>49</v>
      </c>
      <c r="B59" s="144" t="s">
        <v>214</v>
      </c>
      <c r="C59" s="2">
        <f ca="1">COUNTIF('Skills Gap Heatmap'!BG$4:BG$37,"-4")</f>
        <v>0</v>
      </c>
      <c r="D59" s="2">
        <f ca="1">COUNTIF('Skills Gap Heatmap'!BG$4:BG$37,"-3")</f>
        <v>2</v>
      </c>
      <c r="E59" s="2">
        <f ca="1">COUNTIF('Skills Gap Heatmap'!BG$4:BG$37,"-2")</f>
        <v>8</v>
      </c>
      <c r="F59" s="2">
        <f ca="1">COUNTIF('Skills Gap Heatmap'!BG$4:BG$37,"-1")</f>
        <v>4</v>
      </c>
      <c r="G59" s="2">
        <f ca="1">COUNTIF('Skills Gap Heatmap'!BG$4:BG$37,"0")</f>
        <v>5</v>
      </c>
      <c r="H59" s="2">
        <f ca="1">COUNTIF('Skills Gap Heatmap'!BG$4:BG$37,"1")</f>
        <v>5</v>
      </c>
      <c r="I59" s="2">
        <f ca="1">COUNTIF('Skills Gap Heatmap'!BG$4:BG$37,"2")</f>
        <v>1</v>
      </c>
      <c r="J59" s="2">
        <f ca="1">COUNTIF('Skills Gap Heatmap'!BG$4:BG$37,"3")</f>
        <v>0</v>
      </c>
      <c r="K59" s="2">
        <f ca="1">COUNTIF('Skills Gap Heatmap'!BG$4:BG$37,"4")</f>
        <v>0</v>
      </c>
      <c r="L59" s="2">
        <f ca="1">COUNTIF('Skills Gap Heatmap'!BG$4:BG$37,"#N/A")</f>
        <v>0</v>
      </c>
    </row>
    <row r="60" spans="1:12">
      <c r="A60" s="2" t="s">
        <v>49</v>
      </c>
      <c r="B60" s="144" t="s">
        <v>217</v>
      </c>
      <c r="C60" s="2">
        <f ca="1">COUNTIF('Skills Gap Heatmap'!BH$4:BH$37,"-4")</f>
        <v>0</v>
      </c>
      <c r="D60" s="2">
        <f ca="1">COUNTIF('Skills Gap Heatmap'!BH$4:BH$37,"-3")</f>
        <v>1</v>
      </c>
      <c r="E60" s="2">
        <f ca="1">COUNTIF('Skills Gap Heatmap'!BH$4:BH$37,"-2")</f>
        <v>6</v>
      </c>
      <c r="F60" s="2">
        <f ca="1">COUNTIF('Skills Gap Heatmap'!BH$4:BH$37,"-1")</f>
        <v>5</v>
      </c>
      <c r="G60" s="2">
        <f ca="1">COUNTIF('Skills Gap Heatmap'!BH$4:BH$37,"0")</f>
        <v>7</v>
      </c>
      <c r="H60" s="2">
        <f ca="1">COUNTIF('Skills Gap Heatmap'!BH$4:BH$37,"1")</f>
        <v>4</v>
      </c>
      <c r="I60" s="2">
        <f ca="1">COUNTIF('Skills Gap Heatmap'!BH$4:BH$37,"2")</f>
        <v>1</v>
      </c>
      <c r="J60" s="2">
        <f ca="1">COUNTIF('Skills Gap Heatmap'!BH$4:BH$37,"3")</f>
        <v>0</v>
      </c>
      <c r="K60" s="2">
        <f ca="1">COUNTIF('Skills Gap Heatmap'!BH$4:BH$37,"4")</f>
        <v>1</v>
      </c>
      <c r="L60" s="2">
        <f ca="1">COUNTIF('Skills Gap Heatmap'!BH$4:BH$37,"#N/A")</f>
        <v>0</v>
      </c>
    </row>
    <row r="61" spans="1:12">
      <c r="A61" s="2" t="s">
        <v>49</v>
      </c>
      <c r="B61" s="144" t="s">
        <v>49</v>
      </c>
      <c r="C61" s="2">
        <f ca="1">COUNTIF('Skills Gap Heatmap'!BI$4:BI$37,"-4")</f>
        <v>0</v>
      </c>
      <c r="D61" s="2">
        <f ca="1">COUNTIF('Skills Gap Heatmap'!BI$4:BI$37,"-3")</f>
        <v>0</v>
      </c>
      <c r="E61" s="2">
        <f ca="1">COUNTIF('Skills Gap Heatmap'!BI$4:BI$37,"-2")</f>
        <v>4</v>
      </c>
      <c r="F61" s="2">
        <f ca="1">COUNTIF('Skills Gap Heatmap'!BI$4:BI$37,"-1")</f>
        <v>6</v>
      </c>
      <c r="G61" s="2">
        <f ca="1">COUNTIF('Skills Gap Heatmap'!BI$4:BI$37,"0")</f>
        <v>12</v>
      </c>
      <c r="H61" s="2">
        <f ca="1">COUNTIF('Skills Gap Heatmap'!BI$4:BI$37,"1")</f>
        <v>1</v>
      </c>
      <c r="I61" s="2">
        <f ca="1">COUNTIF('Skills Gap Heatmap'!BI$4:BI$37,"2")</f>
        <v>2</v>
      </c>
      <c r="J61" s="2">
        <f ca="1">COUNTIF('Skills Gap Heatmap'!BI$4:BI$37,"3")</f>
        <v>0</v>
      </c>
      <c r="K61" s="2">
        <f ca="1">COUNTIF('Skills Gap Heatmap'!BI$4:BI$37,"4")</f>
        <v>0</v>
      </c>
      <c r="L61" s="2">
        <f ca="1">COUNTIF('Skills Gap Heatmap'!BI$4:BI$37,"#N/A")</f>
        <v>0</v>
      </c>
    </row>
    <row r="62" spans="1:12">
      <c r="A62" s="2" t="s">
        <v>49</v>
      </c>
      <c r="B62" s="144" t="s">
        <v>222</v>
      </c>
      <c r="C62" s="2">
        <f ca="1">COUNTIF('Skills Gap Heatmap'!BJ$4:BJ$37,"-4")</f>
        <v>0</v>
      </c>
      <c r="D62" s="2">
        <f ca="1">COUNTIF('Skills Gap Heatmap'!BJ$4:BJ$37,"-3")</f>
        <v>0</v>
      </c>
      <c r="E62" s="2">
        <f ca="1">COUNTIF('Skills Gap Heatmap'!BJ$4:BJ$37,"-2")</f>
        <v>3</v>
      </c>
      <c r="F62" s="2">
        <f ca="1">COUNTIF('Skills Gap Heatmap'!BJ$4:BJ$37,"-1")</f>
        <v>5</v>
      </c>
      <c r="G62" s="2">
        <f ca="1">COUNTIF('Skills Gap Heatmap'!BJ$4:BJ$37,"0")</f>
        <v>9</v>
      </c>
      <c r="H62" s="2">
        <f ca="1">COUNTIF('Skills Gap Heatmap'!BJ$4:BJ$37,"1")</f>
        <v>4</v>
      </c>
      <c r="I62" s="2">
        <f ca="1">COUNTIF('Skills Gap Heatmap'!BJ$4:BJ$37,"2")</f>
        <v>3</v>
      </c>
      <c r="J62" s="2">
        <f ca="1">COUNTIF('Skills Gap Heatmap'!BJ$4:BJ$37,"3")</f>
        <v>1</v>
      </c>
      <c r="K62" s="2">
        <f ca="1">COUNTIF('Skills Gap Heatmap'!BJ$4:BJ$37,"4")</f>
        <v>0</v>
      </c>
      <c r="L62" s="2">
        <f ca="1">COUNTIF('Skills Gap Heatmap'!BJ$4:BJ$37,"#N/A")</f>
        <v>0</v>
      </c>
    </row>
    <row r="63" spans="1:12">
      <c r="A63" s="2" t="s">
        <v>49</v>
      </c>
      <c r="B63" s="144" t="s">
        <v>225</v>
      </c>
      <c r="C63" s="2">
        <f ca="1">COUNTIF('Skills Gap Heatmap'!BK$4:BK$37,"-4")</f>
        <v>0</v>
      </c>
      <c r="D63" s="2">
        <f ca="1">COUNTIF('Skills Gap Heatmap'!BK$4:BK$37,"-3")</f>
        <v>1</v>
      </c>
      <c r="E63" s="2">
        <f ca="1">COUNTIF('Skills Gap Heatmap'!BK$4:BK$37,"-2")</f>
        <v>2</v>
      </c>
      <c r="F63" s="2">
        <f ca="1">COUNTIF('Skills Gap Heatmap'!BK$4:BK$37,"-1")</f>
        <v>2</v>
      </c>
      <c r="G63" s="2">
        <f ca="1">COUNTIF('Skills Gap Heatmap'!BK$4:BK$37,"0")</f>
        <v>10</v>
      </c>
      <c r="H63" s="2">
        <f ca="1">COUNTIF('Skills Gap Heatmap'!BK$4:BK$37,"1")</f>
        <v>5</v>
      </c>
      <c r="I63" s="2">
        <f ca="1">COUNTIF('Skills Gap Heatmap'!BK$4:BK$37,"2")</f>
        <v>2</v>
      </c>
      <c r="J63" s="2">
        <f ca="1">COUNTIF('Skills Gap Heatmap'!BK$4:BK$37,"3")</f>
        <v>3</v>
      </c>
      <c r="K63" s="2">
        <f ca="1">COUNTIF('Skills Gap Heatmap'!BK$4:BK$37,"4")</f>
        <v>0</v>
      </c>
      <c r="L63" s="2">
        <f ca="1">COUNTIF('Skills Gap Heatmap'!BK$4:BK$37,"#N/A")</f>
        <v>0</v>
      </c>
    </row>
    <row r="64" spans="1:12">
      <c r="A64" s="2" t="s">
        <v>49</v>
      </c>
      <c r="B64" s="144" t="s">
        <v>228</v>
      </c>
      <c r="C64" s="2">
        <f ca="1">COUNTIF('Skills Gap Heatmap'!BL$4:BL$37,"-4")</f>
        <v>0</v>
      </c>
      <c r="D64" s="2">
        <f ca="1">COUNTIF('Skills Gap Heatmap'!BL$4:BL$37,"-3")</f>
        <v>1</v>
      </c>
      <c r="E64" s="2">
        <f ca="1">COUNTIF('Skills Gap Heatmap'!BL$4:BL$37,"-2")</f>
        <v>4</v>
      </c>
      <c r="F64" s="2">
        <f ca="1">COUNTIF('Skills Gap Heatmap'!BL$4:BL$37,"-1")</f>
        <v>2</v>
      </c>
      <c r="G64" s="2">
        <f ca="1">COUNTIF('Skills Gap Heatmap'!BL$4:BL$37,"0")</f>
        <v>9</v>
      </c>
      <c r="H64" s="2">
        <f ca="1">COUNTIF('Skills Gap Heatmap'!BL$4:BL$37,"1")</f>
        <v>6</v>
      </c>
      <c r="I64" s="2">
        <f ca="1">COUNTIF('Skills Gap Heatmap'!BL$4:BL$37,"2")</f>
        <v>2</v>
      </c>
      <c r="J64" s="2">
        <f ca="1">COUNTIF('Skills Gap Heatmap'!BL$4:BL$37,"3")</f>
        <v>1</v>
      </c>
      <c r="K64" s="2">
        <f ca="1">COUNTIF('Skills Gap Heatmap'!BL$4:BL$37,"4")</f>
        <v>0</v>
      </c>
      <c r="L64" s="2">
        <f ca="1">COUNTIF('Skills Gap Heatmap'!BL$4:BL$37,"#N/A")</f>
        <v>0</v>
      </c>
    </row>
    <row r="65" spans="1:12">
      <c r="A65" s="2" t="s">
        <v>49</v>
      </c>
      <c r="B65" s="144" t="s">
        <v>231</v>
      </c>
      <c r="C65" s="2">
        <f ca="1">COUNTIF('Skills Gap Heatmap'!BM$4:BM$37,"-4")</f>
        <v>0</v>
      </c>
      <c r="D65" s="2">
        <f ca="1">COUNTIF('Skills Gap Heatmap'!BM$4:BM$37,"-3")</f>
        <v>1</v>
      </c>
      <c r="E65" s="2">
        <f ca="1">COUNTIF('Skills Gap Heatmap'!BM$4:BM$37,"-2")</f>
        <v>1</v>
      </c>
      <c r="F65" s="2">
        <f ca="1">COUNTIF('Skills Gap Heatmap'!BM$4:BM$37,"-1")</f>
        <v>2</v>
      </c>
      <c r="G65" s="2">
        <f ca="1">COUNTIF('Skills Gap Heatmap'!BM$4:BM$37,"0")</f>
        <v>10</v>
      </c>
      <c r="H65" s="2">
        <f ca="1">COUNTIF('Skills Gap Heatmap'!BM$4:BM$37,"1")</f>
        <v>8</v>
      </c>
      <c r="I65" s="2">
        <f ca="1">COUNTIF('Skills Gap Heatmap'!BM$4:BM$37,"2")</f>
        <v>3</v>
      </c>
      <c r="J65" s="2">
        <f ca="1">COUNTIF('Skills Gap Heatmap'!BM$4:BM$37,"3")</f>
        <v>0</v>
      </c>
      <c r="K65" s="2">
        <f ca="1">COUNTIF('Skills Gap Heatmap'!BM$4:BM$37,"4")</f>
        <v>0</v>
      </c>
      <c r="L65" s="2">
        <f ca="1">COUNTIF('Skills Gap Heatmap'!BM$4:BM$37,"#N/A")</f>
        <v>0</v>
      </c>
    </row>
    <row r="66" spans="1:12">
      <c r="A66" s="2" t="s">
        <v>378</v>
      </c>
      <c r="B66" s="145" t="s">
        <v>185</v>
      </c>
      <c r="C66" s="2">
        <f ca="1">COUNTIF('Skills Gap Heatmap'!BN$4:BN$37,"-4")</f>
        <v>0</v>
      </c>
      <c r="D66" s="2">
        <f ca="1">COUNTIF('Skills Gap Heatmap'!BN$4:BN$37,"-3")</f>
        <v>1</v>
      </c>
      <c r="E66" s="2">
        <f ca="1">COUNTIF('Skills Gap Heatmap'!BN$4:BN$37,"-2")</f>
        <v>3</v>
      </c>
      <c r="F66" s="2">
        <f ca="1">COUNTIF('Skills Gap Heatmap'!BN$4:BN$37,"-1")</f>
        <v>9</v>
      </c>
      <c r="G66" s="2">
        <f ca="1">COUNTIF('Skills Gap Heatmap'!BN$4:BN$37,"0")</f>
        <v>5</v>
      </c>
      <c r="H66" s="2">
        <f ca="1">COUNTIF('Skills Gap Heatmap'!BN$4:BN$37,"1")</f>
        <v>6</v>
      </c>
      <c r="I66" s="2">
        <f ca="1">COUNTIF('Skills Gap Heatmap'!BN$4:BN$37,"2")</f>
        <v>0</v>
      </c>
      <c r="J66" s="2">
        <f ca="1">COUNTIF('Skills Gap Heatmap'!BN$4:BN$37,"3")</f>
        <v>0</v>
      </c>
      <c r="K66" s="2">
        <f ca="1">COUNTIF('Skills Gap Heatmap'!BN$4:BN$37,"4")</f>
        <v>1</v>
      </c>
      <c r="L66" s="2">
        <f ca="1">COUNTIF('Skills Gap Heatmap'!BN$4:BN$37,"#N/A")</f>
        <v>0</v>
      </c>
    </row>
    <row r="67" spans="1:12">
      <c r="A67" s="2" t="s">
        <v>378</v>
      </c>
      <c r="B67" s="145" t="s">
        <v>188</v>
      </c>
      <c r="C67" s="2">
        <f ca="1">COUNTIF('Skills Gap Heatmap'!BO$4:BO$37,"-4")</f>
        <v>0</v>
      </c>
      <c r="D67" s="2">
        <f ca="1">COUNTIF('Skills Gap Heatmap'!BO$4:BO$37,"-3")</f>
        <v>1</v>
      </c>
      <c r="E67" s="2">
        <f ca="1">COUNTIF('Skills Gap Heatmap'!BO$4:BO$37,"-2")</f>
        <v>3</v>
      </c>
      <c r="F67" s="2">
        <f ca="1">COUNTIF('Skills Gap Heatmap'!BO$4:BO$37,"-1")</f>
        <v>7</v>
      </c>
      <c r="G67" s="2">
        <f ca="1">COUNTIF('Skills Gap Heatmap'!BO$4:BO$37,"0")</f>
        <v>3</v>
      </c>
      <c r="H67" s="2">
        <f ca="1">COUNTIF('Skills Gap Heatmap'!BO$4:BO$37,"1")</f>
        <v>5</v>
      </c>
      <c r="I67" s="2">
        <f ca="1">COUNTIF('Skills Gap Heatmap'!BO$4:BO$37,"2")</f>
        <v>4</v>
      </c>
      <c r="J67" s="2">
        <f ca="1">COUNTIF('Skills Gap Heatmap'!BO$4:BO$37,"3")</f>
        <v>2</v>
      </c>
      <c r="K67" s="2">
        <f ca="1">COUNTIF('Skills Gap Heatmap'!BO$4:BO$37,"4")</f>
        <v>0</v>
      </c>
      <c r="L67" s="2">
        <f ca="1">COUNTIF('Skills Gap Heatmap'!BO$4:BO$37,"#N/A")</f>
        <v>0</v>
      </c>
    </row>
    <row r="68" spans="1:12" ht="30">
      <c r="A68" s="2" t="s">
        <v>378</v>
      </c>
      <c r="B68" s="145" t="s">
        <v>191</v>
      </c>
      <c r="C68" s="2">
        <f ca="1">COUNTIF('Skills Gap Heatmap'!BP$4:BP$37,"-4")</f>
        <v>0</v>
      </c>
      <c r="D68" s="2">
        <f ca="1">COUNTIF('Skills Gap Heatmap'!BP$4:BP$37,"-3")</f>
        <v>1</v>
      </c>
      <c r="E68" s="2">
        <f ca="1">COUNTIF('Skills Gap Heatmap'!BP$4:BP$37,"-2")</f>
        <v>4</v>
      </c>
      <c r="F68" s="2">
        <f ca="1">COUNTIF('Skills Gap Heatmap'!BP$4:BP$37,"-1")</f>
        <v>4</v>
      </c>
      <c r="G68" s="2">
        <f ca="1">COUNTIF('Skills Gap Heatmap'!BP$4:BP$37,"0")</f>
        <v>9</v>
      </c>
      <c r="H68" s="2">
        <f ca="1">COUNTIF('Skills Gap Heatmap'!BP$4:BP$37,"1")</f>
        <v>3</v>
      </c>
      <c r="I68" s="2">
        <f ca="1">COUNTIF('Skills Gap Heatmap'!BP$4:BP$37,"2")</f>
        <v>3</v>
      </c>
      <c r="J68" s="2">
        <f ca="1">COUNTIF('Skills Gap Heatmap'!BP$4:BP$37,"3")</f>
        <v>1</v>
      </c>
      <c r="K68" s="2">
        <f ca="1">COUNTIF('Skills Gap Heatmap'!BP$4:BP$37,"4")</f>
        <v>0</v>
      </c>
      <c r="L68" s="2">
        <f ca="1">COUNTIF('Skills Gap Heatmap'!BP$4:BP$37,"#N/A")</f>
        <v>0</v>
      </c>
    </row>
    <row r="69" spans="1:12" ht="30">
      <c r="A69" s="2" t="s">
        <v>378</v>
      </c>
      <c r="B69" s="145" t="s">
        <v>194</v>
      </c>
      <c r="C69" s="2">
        <f ca="1">COUNTIF('Skills Gap Heatmap'!BQ$4:BQ$37,"-4")</f>
        <v>0</v>
      </c>
      <c r="D69" s="2">
        <f ca="1">COUNTIF('Skills Gap Heatmap'!BQ$4:BQ$37,"-3")</f>
        <v>1</v>
      </c>
      <c r="E69" s="2">
        <f ca="1">COUNTIF('Skills Gap Heatmap'!BQ$4:BQ$37,"-2")</f>
        <v>2</v>
      </c>
      <c r="F69" s="2">
        <f ca="1">COUNTIF('Skills Gap Heatmap'!BQ$4:BQ$37,"-1")</f>
        <v>3</v>
      </c>
      <c r="G69" s="2">
        <f ca="1">COUNTIF('Skills Gap Heatmap'!BQ$4:BQ$37,"0")</f>
        <v>10</v>
      </c>
      <c r="H69" s="2">
        <f ca="1">COUNTIF('Skills Gap Heatmap'!BQ$4:BQ$37,"1")</f>
        <v>5</v>
      </c>
      <c r="I69" s="2">
        <f ca="1">COUNTIF('Skills Gap Heatmap'!BQ$4:BQ$37,"2")</f>
        <v>2</v>
      </c>
      <c r="J69" s="2">
        <f ca="1">COUNTIF('Skills Gap Heatmap'!BQ$4:BQ$37,"3")</f>
        <v>1</v>
      </c>
      <c r="K69" s="2">
        <f ca="1">COUNTIF('Skills Gap Heatmap'!BQ$4:BQ$37,"4")</f>
        <v>1</v>
      </c>
      <c r="L69" s="2">
        <f ca="1">COUNTIF('Skills Gap Heatmap'!BQ$4:BQ$37,"#N/A")</f>
        <v>0</v>
      </c>
    </row>
    <row r="70" spans="1:12" ht="30">
      <c r="A70" s="2" t="s">
        <v>378</v>
      </c>
      <c r="B70" s="145" t="s">
        <v>197</v>
      </c>
      <c r="C70" s="2">
        <f ca="1">COUNTIF('Skills Gap Heatmap'!BR$4:BR$37,"-4")</f>
        <v>0</v>
      </c>
      <c r="D70" s="2">
        <f ca="1">COUNTIF('Skills Gap Heatmap'!BR$4:BR$37,"-3")</f>
        <v>2</v>
      </c>
      <c r="E70" s="2">
        <f ca="1">COUNTIF('Skills Gap Heatmap'!BR$4:BR$37,"-2")</f>
        <v>2</v>
      </c>
      <c r="F70" s="2">
        <f ca="1">COUNTIF('Skills Gap Heatmap'!BR$4:BR$37,"-1")</f>
        <v>3</v>
      </c>
      <c r="G70" s="2">
        <f ca="1">COUNTIF('Skills Gap Heatmap'!BR$4:BR$37,"0")</f>
        <v>7</v>
      </c>
      <c r="H70" s="2">
        <f ca="1">COUNTIF('Skills Gap Heatmap'!BR$4:BR$37,"1")</f>
        <v>8</v>
      </c>
      <c r="I70" s="2">
        <f ca="1">COUNTIF('Skills Gap Heatmap'!BR$4:BR$37,"2")</f>
        <v>2</v>
      </c>
      <c r="J70" s="2">
        <f ca="1">COUNTIF('Skills Gap Heatmap'!BR$4:BR$37,"3")</f>
        <v>0</v>
      </c>
      <c r="K70" s="2">
        <f ca="1">COUNTIF('Skills Gap Heatmap'!BR$4:BR$37,"4")</f>
        <v>1</v>
      </c>
      <c r="L70" s="2">
        <f ca="1">COUNTIF('Skills Gap Heatmap'!BR$4:BR$37,"#N/A")</f>
        <v>0</v>
      </c>
    </row>
    <row r="71" spans="1:12">
      <c r="A71" s="2" t="s">
        <v>378</v>
      </c>
      <c r="B71" s="145" t="s">
        <v>200</v>
      </c>
      <c r="C71" s="2">
        <f ca="1">COUNTIF('Skills Gap Heatmap'!BS$4:BS$37,"-4")</f>
        <v>0</v>
      </c>
      <c r="D71" s="2">
        <f ca="1">COUNTIF('Skills Gap Heatmap'!BS$4:BS$37,"-3")</f>
        <v>0</v>
      </c>
      <c r="E71" s="2">
        <f ca="1">COUNTIF('Skills Gap Heatmap'!BS$4:BS$37,"-2")</f>
        <v>3</v>
      </c>
      <c r="F71" s="2">
        <f ca="1">COUNTIF('Skills Gap Heatmap'!BS$4:BS$37,"-1")</f>
        <v>2</v>
      </c>
      <c r="G71" s="2">
        <f ca="1">COUNTIF('Skills Gap Heatmap'!BS$4:BS$37,"0")</f>
        <v>9</v>
      </c>
      <c r="H71" s="2">
        <f ca="1">COUNTIF('Skills Gap Heatmap'!BS$4:BS$37,"1")</f>
        <v>7</v>
      </c>
      <c r="I71" s="2">
        <f ca="1">COUNTIF('Skills Gap Heatmap'!BS$4:BS$37,"2")</f>
        <v>2</v>
      </c>
      <c r="J71" s="2">
        <f ca="1">COUNTIF('Skills Gap Heatmap'!BS$4:BS$37,"3")</f>
        <v>2</v>
      </c>
      <c r="K71" s="2">
        <f ca="1">COUNTIF('Skills Gap Heatmap'!BS$4:BS$37,"4")</f>
        <v>0</v>
      </c>
      <c r="L71" s="2">
        <f ca="1">COUNTIF('Skills Gap Heatmap'!BS$4:BS$37,"#N/A")</f>
        <v>0</v>
      </c>
    </row>
    <row r="72" spans="1:12">
      <c r="A72" s="2" t="s">
        <v>378</v>
      </c>
      <c r="B72" s="145" t="s">
        <v>203</v>
      </c>
      <c r="C72" s="2">
        <f ca="1">COUNTIF('Skills Gap Heatmap'!BT$4:BT$37,"-4")</f>
        <v>0</v>
      </c>
      <c r="D72" s="2">
        <f ca="1">COUNTIF('Skills Gap Heatmap'!BT$4:BT$37,"-3")</f>
        <v>1</v>
      </c>
      <c r="E72" s="2">
        <f ca="1">COUNTIF('Skills Gap Heatmap'!BT$4:BT$37,"-2")</f>
        <v>0</v>
      </c>
      <c r="F72" s="2">
        <f ca="1">COUNTIF('Skills Gap Heatmap'!BT$4:BT$37,"-1")</f>
        <v>6</v>
      </c>
      <c r="G72" s="2">
        <f ca="1">COUNTIF('Skills Gap Heatmap'!BT$4:BT$37,"0")</f>
        <v>8</v>
      </c>
      <c r="H72" s="2">
        <f ca="1">COUNTIF('Skills Gap Heatmap'!BT$4:BT$37,"1")</f>
        <v>7</v>
      </c>
      <c r="I72" s="2">
        <f ca="1">COUNTIF('Skills Gap Heatmap'!BT$4:BT$37,"2")</f>
        <v>2</v>
      </c>
      <c r="J72" s="2">
        <f ca="1">COUNTIF('Skills Gap Heatmap'!BT$4:BT$37,"3")</f>
        <v>1</v>
      </c>
      <c r="K72" s="2">
        <f ca="1">COUNTIF('Skills Gap Heatmap'!BT$4:BT$37,"4")</f>
        <v>0</v>
      </c>
      <c r="L72" s="2">
        <f ca="1">COUNTIF('Skills Gap Heatmap'!BT$4:BT$37,"#N/A")</f>
        <v>0</v>
      </c>
    </row>
    <row r="73" spans="1:12">
      <c r="A73" s="2" t="s">
        <v>378</v>
      </c>
      <c r="B73" s="145" t="s">
        <v>206</v>
      </c>
      <c r="C73" s="2">
        <f ca="1">COUNTIF('Skills Gap Heatmap'!BU$4:BU$37,"-4")</f>
        <v>0</v>
      </c>
      <c r="D73" s="2">
        <f ca="1">COUNTIF('Skills Gap Heatmap'!BU$4:BU$37,"-3")</f>
        <v>2</v>
      </c>
      <c r="E73" s="2">
        <f ca="1">COUNTIF('Skills Gap Heatmap'!BU$4:BU$37,"-2")</f>
        <v>2</v>
      </c>
      <c r="F73" s="2">
        <f ca="1">COUNTIF('Skills Gap Heatmap'!BU$4:BU$37,"-1")</f>
        <v>5</v>
      </c>
      <c r="G73" s="2">
        <f ca="1">COUNTIF('Skills Gap Heatmap'!BU$4:BU$37,"0")</f>
        <v>7</v>
      </c>
      <c r="H73" s="2">
        <f ca="1">COUNTIF('Skills Gap Heatmap'!BU$4:BU$37,"1")</f>
        <v>7</v>
      </c>
      <c r="I73" s="2">
        <f ca="1">COUNTIF('Skills Gap Heatmap'!BU$4:BU$37,"2")</f>
        <v>1</v>
      </c>
      <c r="J73" s="2">
        <f ca="1">COUNTIF('Skills Gap Heatmap'!BU$4:BU$37,"3")</f>
        <v>0</v>
      </c>
      <c r="K73" s="2">
        <f ca="1">COUNTIF('Skills Gap Heatmap'!BU$4:BU$37,"4")</f>
        <v>1</v>
      </c>
      <c r="L73" s="2">
        <f ca="1">COUNTIF('Skills Gap Heatmap'!BU$4:BU$37,"#N/A")</f>
        <v>0</v>
      </c>
    </row>
    <row r="74" spans="1:12">
      <c r="A74" s="2" t="s">
        <v>378</v>
      </c>
      <c r="B74" s="145" t="s">
        <v>208</v>
      </c>
      <c r="C74" s="2">
        <f ca="1">COUNTIF('Skills Gap Heatmap'!BV$4:BV$37,"-4")</f>
        <v>0</v>
      </c>
      <c r="D74" s="2">
        <f ca="1">COUNTIF('Skills Gap Heatmap'!BV$4:BV$37,"-3")</f>
        <v>0</v>
      </c>
      <c r="E74" s="2">
        <f ca="1">COUNTIF('Skills Gap Heatmap'!BV$4:BV$37,"-2")</f>
        <v>3</v>
      </c>
      <c r="F74" s="2">
        <f ca="1">COUNTIF('Skills Gap Heatmap'!BV$4:BV$37,"-1")</f>
        <v>9</v>
      </c>
      <c r="G74" s="2">
        <f ca="1">COUNTIF('Skills Gap Heatmap'!BV$4:BV$37,"0")</f>
        <v>7</v>
      </c>
      <c r="H74" s="2">
        <f ca="1">COUNTIF('Skills Gap Heatmap'!BV$4:BV$37,"1")</f>
        <v>4</v>
      </c>
      <c r="I74" s="2">
        <f ca="1">COUNTIF('Skills Gap Heatmap'!BV$4:BV$37,"2")</f>
        <v>0</v>
      </c>
      <c r="J74" s="2">
        <f ca="1">COUNTIF('Skills Gap Heatmap'!BV$4:BV$37,"3")</f>
        <v>1</v>
      </c>
      <c r="K74" s="2">
        <f ca="1">COUNTIF('Skills Gap Heatmap'!BV$4:BV$37,"4")</f>
        <v>1</v>
      </c>
      <c r="L74" s="2">
        <f ca="1">COUNTIF('Skills Gap Heatmap'!BV$4:BV$37,"#N/A")</f>
        <v>0</v>
      </c>
    </row>
    <row r="75" spans="1:12">
      <c r="A75" s="2" t="s">
        <v>378</v>
      </c>
      <c r="B75" s="145" t="s">
        <v>211</v>
      </c>
      <c r="C75" s="2">
        <f ca="1">COUNTIF('Skills Gap Heatmap'!BW$4:BW$37,"-4")</f>
        <v>0</v>
      </c>
      <c r="D75" s="2">
        <f ca="1">COUNTIF('Skills Gap Heatmap'!BW$4:BW$37,"-3")</f>
        <v>0</v>
      </c>
      <c r="E75" s="2">
        <f ca="1">COUNTIF('Skills Gap Heatmap'!BW$4:BW$37,"-2")</f>
        <v>8</v>
      </c>
      <c r="F75" s="2">
        <f ca="1">COUNTIF('Skills Gap Heatmap'!BW$4:BW$37,"-1")</f>
        <v>4</v>
      </c>
      <c r="G75" s="2">
        <f ca="1">COUNTIF('Skills Gap Heatmap'!BW$4:BW$37,"0")</f>
        <v>7</v>
      </c>
      <c r="H75" s="2">
        <f ca="1">COUNTIF('Skills Gap Heatmap'!BW$4:BW$37,"1")</f>
        <v>6</v>
      </c>
      <c r="I75" s="2">
        <f ca="1">COUNTIF('Skills Gap Heatmap'!BW$4:BW$37,"2")</f>
        <v>0</v>
      </c>
      <c r="J75" s="2">
        <f ca="1">COUNTIF('Skills Gap Heatmap'!BW$4:BW$37,"3")</f>
        <v>0</v>
      </c>
      <c r="K75" s="2">
        <f ca="1">COUNTIF('Skills Gap Heatmap'!BW$4:BW$37,"4")</f>
        <v>0</v>
      </c>
      <c r="L75" s="2">
        <f ca="1">COUNTIF('Skills Gap Heatmap'!BW$4:BW$37,"#N/A")</f>
        <v>0</v>
      </c>
    </row>
    <row r="76" spans="1:12">
      <c r="A76" s="2" t="s">
        <v>378</v>
      </c>
      <c r="B76" s="145" t="s">
        <v>214</v>
      </c>
      <c r="C76" s="2">
        <f ca="1">COUNTIF('Skills Gap Heatmap'!BX$4:BX$37,"-4")</f>
        <v>0</v>
      </c>
      <c r="D76" s="2">
        <f ca="1">COUNTIF('Skills Gap Heatmap'!BX$4:BX$37,"-3")</f>
        <v>2</v>
      </c>
      <c r="E76" s="2">
        <f ca="1">COUNTIF('Skills Gap Heatmap'!BX$4:BX$37,"-2")</f>
        <v>8</v>
      </c>
      <c r="F76" s="2">
        <f ca="1">COUNTIF('Skills Gap Heatmap'!BX$4:BX$37,"-1")</f>
        <v>4</v>
      </c>
      <c r="G76" s="2">
        <f ca="1">COUNTIF('Skills Gap Heatmap'!BX$4:BX$37,"0")</f>
        <v>5</v>
      </c>
      <c r="H76" s="2">
        <f ca="1">COUNTIF('Skills Gap Heatmap'!BX$4:BX$37,"1")</f>
        <v>5</v>
      </c>
      <c r="I76" s="2">
        <f ca="1">COUNTIF('Skills Gap Heatmap'!BX$4:BX$37,"2")</f>
        <v>1</v>
      </c>
      <c r="J76" s="2">
        <f ca="1">COUNTIF('Skills Gap Heatmap'!BX$4:BX$37,"3")</f>
        <v>0</v>
      </c>
      <c r="K76" s="2">
        <f ca="1">COUNTIF('Skills Gap Heatmap'!BX$4:BX$37,"4")</f>
        <v>0</v>
      </c>
      <c r="L76" s="2">
        <f ca="1">COUNTIF('Skills Gap Heatmap'!BX$4:BX$37,"#N/A")</f>
        <v>0</v>
      </c>
    </row>
    <row r="77" spans="1:12">
      <c r="A77" s="2" t="s">
        <v>378</v>
      </c>
      <c r="B77" s="145" t="s">
        <v>217</v>
      </c>
      <c r="C77" s="2">
        <f ca="1">COUNTIF('Skills Gap Heatmap'!BY$4:BY$37,"-4")</f>
        <v>0</v>
      </c>
      <c r="D77" s="2">
        <f ca="1">COUNTIF('Skills Gap Heatmap'!BY$4:BY$37,"-3")</f>
        <v>1</v>
      </c>
      <c r="E77" s="2">
        <f ca="1">COUNTIF('Skills Gap Heatmap'!BY$4:BY$37,"-2")</f>
        <v>6</v>
      </c>
      <c r="F77" s="2">
        <f ca="1">COUNTIF('Skills Gap Heatmap'!BY$4:BY$37,"-1")</f>
        <v>5</v>
      </c>
      <c r="G77" s="2">
        <f ca="1">COUNTIF('Skills Gap Heatmap'!BY$4:BY$37,"0")</f>
        <v>7</v>
      </c>
      <c r="H77" s="2">
        <f ca="1">COUNTIF('Skills Gap Heatmap'!BY$4:BY$37,"1")</f>
        <v>4</v>
      </c>
      <c r="I77" s="2">
        <f ca="1">COUNTIF('Skills Gap Heatmap'!BY$4:BY$37,"2")</f>
        <v>1</v>
      </c>
      <c r="J77" s="2">
        <f ca="1">COUNTIF('Skills Gap Heatmap'!BY$4:BY$37,"3")</f>
        <v>0</v>
      </c>
      <c r="K77" s="2">
        <f ca="1">COUNTIF('Skills Gap Heatmap'!BY$4:BY$37,"4")</f>
        <v>1</v>
      </c>
      <c r="L77" s="2">
        <f ca="1">COUNTIF('Skills Gap Heatmap'!BY$4:BY$37,"#N/A")</f>
        <v>0</v>
      </c>
    </row>
    <row r="78" spans="1:12">
      <c r="A78" s="2" t="s">
        <v>378</v>
      </c>
      <c r="B78" s="145" t="s">
        <v>49</v>
      </c>
      <c r="C78" s="2">
        <f ca="1">COUNTIF('Skills Gap Heatmap'!BZ$4:BZ$37,"-4")</f>
        <v>0</v>
      </c>
      <c r="D78" s="2">
        <f ca="1">COUNTIF('Skills Gap Heatmap'!BZ$4:BZ$37,"-3")</f>
        <v>0</v>
      </c>
      <c r="E78" s="2">
        <f ca="1">COUNTIF('Skills Gap Heatmap'!BZ$4:BZ$37,"-2")</f>
        <v>4</v>
      </c>
      <c r="F78" s="2">
        <f ca="1">COUNTIF('Skills Gap Heatmap'!BZ$4:BZ$37,"-1")</f>
        <v>6</v>
      </c>
      <c r="G78" s="2">
        <f ca="1">COUNTIF('Skills Gap Heatmap'!BZ$4:BZ$37,"0")</f>
        <v>12</v>
      </c>
      <c r="H78" s="2">
        <f ca="1">COUNTIF('Skills Gap Heatmap'!BZ$4:BZ$37,"1")</f>
        <v>1</v>
      </c>
      <c r="I78" s="2">
        <f ca="1">COUNTIF('Skills Gap Heatmap'!BZ$4:BZ$37,"2")</f>
        <v>2</v>
      </c>
      <c r="J78" s="2">
        <f ca="1">COUNTIF('Skills Gap Heatmap'!BZ$4:BZ$37,"3")</f>
        <v>0</v>
      </c>
      <c r="K78" s="2">
        <f ca="1">COUNTIF('Skills Gap Heatmap'!BZ$4:BZ$37,"4")</f>
        <v>0</v>
      </c>
      <c r="L78" s="2">
        <f ca="1">COUNTIF('Skills Gap Heatmap'!BZ$4:BZ$37,"#N/A")</f>
        <v>0</v>
      </c>
    </row>
    <row r="79" spans="1:12">
      <c r="A79" s="2" t="s">
        <v>378</v>
      </c>
      <c r="B79" s="145" t="s">
        <v>222</v>
      </c>
      <c r="C79" s="2">
        <f ca="1">COUNTIF('Skills Gap Heatmap'!CA$4:CA$37,"-4")</f>
        <v>0</v>
      </c>
      <c r="D79" s="2">
        <f ca="1">COUNTIF('Skills Gap Heatmap'!CA$4:CA$37,"-3")</f>
        <v>0</v>
      </c>
      <c r="E79" s="2">
        <f ca="1">COUNTIF('Skills Gap Heatmap'!CA$4:CA$37,"-2")</f>
        <v>3</v>
      </c>
      <c r="F79" s="2">
        <f ca="1">COUNTIF('Skills Gap Heatmap'!CA$4:CA$37,"-1")</f>
        <v>5</v>
      </c>
      <c r="G79" s="2">
        <f ca="1">COUNTIF('Skills Gap Heatmap'!CA$4:CA$37,"0")</f>
        <v>9</v>
      </c>
      <c r="H79" s="2">
        <f ca="1">COUNTIF('Skills Gap Heatmap'!CA$4:CA$37,"1")</f>
        <v>4</v>
      </c>
      <c r="I79" s="2">
        <f ca="1">COUNTIF('Skills Gap Heatmap'!CA$4:CA$37,"2")</f>
        <v>3</v>
      </c>
      <c r="J79" s="2">
        <f ca="1">COUNTIF('Skills Gap Heatmap'!CA$4:CA$37,"3")</f>
        <v>1</v>
      </c>
      <c r="K79" s="2">
        <f ca="1">COUNTIF('Skills Gap Heatmap'!CA$4:CA$37,"4")</f>
        <v>0</v>
      </c>
      <c r="L79" s="2">
        <f ca="1">COUNTIF('Skills Gap Heatmap'!CA$4:CA$37,"#N/A")</f>
        <v>0</v>
      </c>
    </row>
    <row r="80" spans="1:12">
      <c r="A80" s="2" t="s">
        <v>378</v>
      </c>
      <c r="B80" s="145" t="s">
        <v>225</v>
      </c>
      <c r="C80" s="2">
        <f ca="1">COUNTIF('Skills Gap Heatmap'!CB$4:CB$37,"-4")</f>
        <v>0</v>
      </c>
      <c r="D80" s="2">
        <f ca="1">COUNTIF('Skills Gap Heatmap'!CB$4:CB$37,"-3")</f>
        <v>1</v>
      </c>
      <c r="E80" s="2">
        <f ca="1">COUNTIF('Skills Gap Heatmap'!CB$4:CB$37,"-2")</f>
        <v>2</v>
      </c>
      <c r="F80" s="2">
        <f ca="1">COUNTIF('Skills Gap Heatmap'!CB$4:CB$37,"-1")</f>
        <v>2</v>
      </c>
      <c r="G80" s="2">
        <f ca="1">COUNTIF('Skills Gap Heatmap'!CB$4:CB$37,"0")</f>
        <v>10</v>
      </c>
      <c r="H80" s="2">
        <f ca="1">COUNTIF('Skills Gap Heatmap'!CB$4:CB$37,"1")</f>
        <v>5</v>
      </c>
      <c r="I80" s="2">
        <f ca="1">COUNTIF('Skills Gap Heatmap'!CB$4:CB$37,"2")</f>
        <v>2</v>
      </c>
      <c r="J80" s="2">
        <f ca="1">COUNTIF('Skills Gap Heatmap'!CB$4:CB$37,"3")</f>
        <v>3</v>
      </c>
      <c r="K80" s="2">
        <f ca="1">COUNTIF('Skills Gap Heatmap'!CB$4:CB$37,"4")</f>
        <v>0</v>
      </c>
      <c r="L80" s="2">
        <f ca="1">COUNTIF('Skills Gap Heatmap'!CB$4:CB$37,"#N/A")</f>
        <v>0</v>
      </c>
    </row>
    <row r="81" spans="1:12" hidden="1">
      <c r="A81" s="2" t="s">
        <v>378</v>
      </c>
      <c r="B81" s="145" t="s">
        <v>228</v>
      </c>
      <c r="C81" s="2">
        <f ca="1">COUNTIF('Skills Gap Heatmap'!CC$4:CC$37,"-4")</f>
        <v>0</v>
      </c>
      <c r="D81" s="2">
        <f ca="1">COUNTIF('Skills Gap Heatmap'!CC$4:CC$37,"-3")</f>
        <v>1</v>
      </c>
      <c r="E81" s="2">
        <f ca="1">COUNTIF('Skills Gap Heatmap'!CC$4:CC$37,"-2")</f>
        <v>4</v>
      </c>
      <c r="F81" s="2">
        <f ca="1">COUNTIF('Skills Gap Heatmap'!CC$4:CC$37,"-1")</f>
        <v>2</v>
      </c>
      <c r="G81" s="2">
        <f ca="1">COUNTIF('Skills Gap Heatmap'!CC$4:CC$37,"0")</f>
        <v>9</v>
      </c>
      <c r="H81" s="2">
        <f ca="1">COUNTIF('Skills Gap Heatmap'!CC$4:CC$37,"1")</f>
        <v>6</v>
      </c>
      <c r="I81" s="2">
        <f ca="1">COUNTIF('Skills Gap Heatmap'!CC$4:CC$37,"2")</f>
        <v>2</v>
      </c>
      <c r="J81" s="2">
        <f ca="1">COUNTIF('Skills Gap Heatmap'!CC$4:CC$37,"3")</f>
        <v>1</v>
      </c>
      <c r="K81" s="2">
        <f ca="1">COUNTIF('Skills Gap Heatmap'!CC$4:CC$37,"4")</f>
        <v>0</v>
      </c>
      <c r="L81" s="2">
        <f ca="1">COUNTIF('Skills Gap Heatmap'!CC$4:CC$37,"#N/A")</f>
        <v>0</v>
      </c>
    </row>
    <row r="82" spans="1:12">
      <c r="A82" s="2" t="s">
        <v>378</v>
      </c>
      <c r="B82" s="145" t="s">
        <v>231</v>
      </c>
      <c r="C82" s="2">
        <f ca="1">COUNTIF('Skills Gap Heatmap'!CD$4:CD$37,"-4")</f>
        <v>0</v>
      </c>
      <c r="D82" s="2">
        <f ca="1">COUNTIF('Skills Gap Heatmap'!CD$4:CD$37,"-3")</f>
        <v>1</v>
      </c>
      <c r="E82" s="2">
        <f ca="1">COUNTIF('Skills Gap Heatmap'!CD$4:CD$37,"-2")</f>
        <v>1</v>
      </c>
      <c r="F82" s="2">
        <f ca="1">COUNTIF('Skills Gap Heatmap'!CD$4:CD$37,"-1")</f>
        <v>2</v>
      </c>
      <c r="G82" s="2">
        <f ca="1">COUNTIF('Skills Gap Heatmap'!CD$4:CD$37,"0")</f>
        <v>10</v>
      </c>
      <c r="H82" s="2">
        <f ca="1">COUNTIF('Skills Gap Heatmap'!CD$4:CD$37,"1")</f>
        <v>8</v>
      </c>
      <c r="I82" s="2">
        <f ca="1">COUNTIF('Skills Gap Heatmap'!CD$4:CD$37,"2")</f>
        <v>3</v>
      </c>
      <c r="J82" s="2">
        <f ca="1">COUNTIF('Skills Gap Heatmap'!CD$4:CD$37,"3")</f>
        <v>0</v>
      </c>
      <c r="K82" s="2">
        <f ca="1">COUNTIF('Skills Gap Heatmap'!CD$4:CD$37,"4")</f>
        <v>0</v>
      </c>
      <c r="L82" s="2">
        <f ca="1">COUNTIF('Skills Gap Heatmap'!CD$4:CD$37,"#N/A")</f>
        <v>0</v>
      </c>
    </row>
    <row r="83" spans="1:12">
      <c r="A83" s="2" t="s">
        <v>377</v>
      </c>
      <c r="B83" s="146" t="s">
        <v>167</v>
      </c>
      <c r="C83" s="2">
        <f ca="1">COUNTIF('Skills Gap Heatmap'!CE$4:CE$37,"-4")</f>
        <v>0</v>
      </c>
      <c r="D83" s="2">
        <f ca="1">COUNTIF('Skills Gap Heatmap'!CE$4:CE$37,"-3")</f>
        <v>2</v>
      </c>
      <c r="E83" s="2">
        <f ca="1">COUNTIF('Skills Gap Heatmap'!CE$4:CE$37,"-2")</f>
        <v>3</v>
      </c>
      <c r="F83" s="2">
        <f ca="1">COUNTIF('Skills Gap Heatmap'!CE$4:CE$37,"-1")</f>
        <v>5</v>
      </c>
      <c r="G83" s="2">
        <f ca="1">COUNTIF('Skills Gap Heatmap'!CE$4:CE$37,"0")</f>
        <v>6</v>
      </c>
      <c r="H83" s="2">
        <f ca="1">COUNTIF('Skills Gap Heatmap'!CE$4:CE$37,"1")</f>
        <v>7</v>
      </c>
      <c r="I83" s="2">
        <f ca="1">COUNTIF('Skills Gap Heatmap'!CE$4:CE$37,"2")</f>
        <v>2</v>
      </c>
      <c r="J83" s="2">
        <f ca="1">COUNTIF('Skills Gap Heatmap'!CE$4:CE$37,"3")</f>
        <v>0</v>
      </c>
      <c r="K83" s="2">
        <f ca="1">COUNTIF('Skills Gap Heatmap'!CE$4:CE$37,"4")</f>
        <v>0</v>
      </c>
      <c r="L83" s="2">
        <f ca="1">COUNTIF('Skills Gap Heatmap'!CE$4:CE$37,"#N/A")</f>
        <v>0</v>
      </c>
    </row>
    <row r="84" spans="1:12">
      <c r="A84" s="2" t="s">
        <v>377</v>
      </c>
      <c r="B84" s="147" t="s">
        <v>170</v>
      </c>
      <c r="C84" s="2">
        <f ca="1">COUNTIF('Skills Gap Heatmap'!CF$4:CF$37,"-4")</f>
        <v>0</v>
      </c>
      <c r="D84" s="2">
        <f ca="1">COUNTIF('Skills Gap Heatmap'!CF$4:CF$37,"-3")</f>
        <v>2</v>
      </c>
      <c r="E84" s="2">
        <f ca="1">COUNTIF('Skills Gap Heatmap'!CF$4:CF$37,"-2")</f>
        <v>4</v>
      </c>
      <c r="F84" s="2">
        <f ca="1">COUNTIF('Skills Gap Heatmap'!CF$4:CF$37,"-1")</f>
        <v>5</v>
      </c>
      <c r="G84" s="2">
        <f ca="1">COUNTIF('Skills Gap Heatmap'!CF$4:CF$37,"0")</f>
        <v>8</v>
      </c>
      <c r="H84" s="2">
        <f ca="1">COUNTIF('Skills Gap Heatmap'!CF$4:CF$37,"1")</f>
        <v>5</v>
      </c>
      <c r="I84" s="2">
        <f ca="1">COUNTIF('Skills Gap Heatmap'!CF$4:CF$37,"2")</f>
        <v>1</v>
      </c>
      <c r="J84" s="2">
        <f ca="1">COUNTIF('Skills Gap Heatmap'!CF$4:CF$37,"3")</f>
        <v>0</v>
      </c>
      <c r="K84" s="2">
        <f ca="1">COUNTIF('Skills Gap Heatmap'!CF$4:CF$37,"4")</f>
        <v>0</v>
      </c>
      <c r="L84" s="2">
        <f ca="1">COUNTIF('Skills Gap Heatmap'!CF$4:CF$37,"#N/A")</f>
        <v>0</v>
      </c>
    </row>
    <row r="85" spans="1:12">
      <c r="A85" s="2" t="s">
        <v>377</v>
      </c>
      <c r="B85" s="146" t="s">
        <v>173</v>
      </c>
      <c r="C85" s="2">
        <f ca="1">COUNTIF('Skills Gap Heatmap'!CG$4:CG$37,"-4")</f>
        <v>0</v>
      </c>
      <c r="D85" s="2">
        <f ca="1">COUNTIF('Skills Gap Heatmap'!CG$4:CG$37,"-3")</f>
        <v>1</v>
      </c>
      <c r="E85" s="2">
        <f ca="1">COUNTIF('Skills Gap Heatmap'!CG$4:CG$37,"-2")</f>
        <v>1</v>
      </c>
      <c r="F85" s="2">
        <f ca="1">COUNTIF('Skills Gap Heatmap'!CG$4:CG$37,"-1")</f>
        <v>8</v>
      </c>
      <c r="G85" s="2">
        <f ca="1">COUNTIF('Skills Gap Heatmap'!CG$4:CG$37,"0")</f>
        <v>8</v>
      </c>
      <c r="H85" s="2">
        <f ca="1">COUNTIF('Skills Gap Heatmap'!CG$4:CG$37,"1")</f>
        <v>5</v>
      </c>
      <c r="I85" s="2">
        <f ca="1">COUNTIF('Skills Gap Heatmap'!CG$4:CG$37,"2")</f>
        <v>1</v>
      </c>
      <c r="J85" s="2">
        <f ca="1">COUNTIF('Skills Gap Heatmap'!CG$4:CG$37,"3")</f>
        <v>1</v>
      </c>
      <c r="K85" s="2">
        <f ca="1">COUNTIF('Skills Gap Heatmap'!CG$4:CG$37,"4")</f>
        <v>0</v>
      </c>
      <c r="L85" s="2">
        <f ca="1">COUNTIF('Skills Gap Heatmap'!CG$4:CG$37,"#N/A")</f>
        <v>0</v>
      </c>
    </row>
    <row r="86" spans="1:12">
      <c r="A86" s="2" t="s">
        <v>377</v>
      </c>
      <c r="B86" s="146" t="s">
        <v>176</v>
      </c>
      <c r="C86" s="2">
        <f ca="1">COUNTIF('Skills Gap Heatmap'!CH$4:CH$37,"-4")</f>
        <v>0</v>
      </c>
      <c r="D86" s="2">
        <f ca="1">COUNTIF('Skills Gap Heatmap'!CH$4:CH$37,"-3")</f>
        <v>3</v>
      </c>
      <c r="E86" s="2">
        <f ca="1">COUNTIF('Skills Gap Heatmap'!CH$4:CH$37,"-2")</f>
        <v>4</v>
      </c>
      <c r="F86" s="2">
        <f ca="1">COUNTIF('Skills Gap Heatmap'!CH$4:CH$37,"-1")</f>
        <v>7</v>
      </c>
      <c r="G86" s="2">
        <f ca="1">COUNTIF('Skills Gap Heatmap'!CH$4:CH$37,"0")</f>
        <v>4</v>
      </c>
      <c r="H86" s="2">
        <f ca="1">COUNTIF('Skills Gap Heatmap'!CH$4:CH$37,"1")</f>
        <v>5</v>
      </c>
      <c r="I86" s="2">
        <f ca="1">COUNTIF('Skills Gap Heatmap'!CH$4:CH$37,"2")</f>
        <v>1</v>
      </c>
      <c r="J86" s="2">
        <f ca="1">COUNTIF('Skills Gap Heatmap'!CH$4:CH$37,"3")</f>
        <v>0</v>
      </c>
      <c r="K86" s="2">
        <f ca="1">COUNTIF('Skills Gap Heatmap'!CH$4:CH$37,"4")</f>
        <v>1</v>
      </c>
      <c r="L86" s="2">
        <f ca="1">COUNTIF('Skills Gap Heatmap'!CH$4:CH$37,"#N/A")</f>
        <v>0</v>
      </c>
    </row>
    <row r="87" spans="1:12">
      <c r="A87" s="2" t="s">
        <v>377</v>
      </c>
      <c r="B87" s="147" t="s">
        <v>179</v>
      </c>
      <c r="C87" s="2">
        <f ca="1">COUNTIF('Skills Gap Heatmap'!CI$4:CI$37,"-4")</f>
        <v>1</v>
      </c>
      <c r="D87" s="2">
        <f ca="1">COUNTIF('Skills Gap Heatmap'!CI$4:CI$37,"-3")</f>
        <v>1</v>
      </c>
      <c r="E87" s="2">
        <f ca="1">COUNTIF('Skills Gap Heatmap'!CI$4:CI$37,"-2")</f>
        <v>3</v>
      </c>
      <c r="F87" s="2">
        <f ca="1">COUNTIF('Skills Gap Heatmap'!CI$4:CI$37,"-1")</f>
        <v>6</v>
      </c>
      <c r="G87" s="2">
        <f ca="1">COUNTIF('Skills Gap Heatmap'!CI$4:CI$37,"0")</f>
        <v>6</v>
      </c>
      <c r="H87" s="2">
        <f ca="1">COUNTIF('Skills Gap Heatmap'!CI$4:CI$37,"1")</f>
        <v>5</v>
      </c>
      <c r="I87" s="2">
        <f ca="1">COUNTIF('Skills Gap Heatmap'!CI$4:CI$37,"2")</f>
        <v>3</v>
      </c>
      <c r="J87" s="2">
        <f ca="1">COUNTIF('Skills Gap Heatmap'!CI$4:CI$37,"3")</f>
        <v>0</v>
      </c>
      <c r="K87" s="2">
        <f ca="1">COUNTIF('Skills Gap Heatmap'!CI$4:CI$37,"4")</f>
        <v>0</v>
      </c>
      <c r="L87" s="2">
        <f ca="1">COUNTIF('Skills Gap Heatmap'!CI$4:CI$37,"#N/A")</f>
        <v>0</v>
      </c>
    </row>
    <row r="88" spans="1:12">
      <c r="A88" s="2" t="s">
        <v>377</v>
      </c>
      <c r="B88" s="146" t="s">
        <v>182</v>
      </c>
      <c r="C88" s="2">
        <f ca="1">COUNTIF('Skills Gap Heatmap'!CJ$4:CJ$37,"-4")</f>
        <v>0</v>
      </c>
      <c r="D88" s="2">
        <f ca="1">COUNTIF('Skills Gap Heatmap'!CJ$4:CJ$37,"-3")</f>
        <v>3</v>
      </c>
      <c r="E88" s="2">
        <f ca="1">COUNTIF('Skills Gap Heatmap'!CJ$4:CJ$37,"-2")</f>
        <v>1</v>
      </c>
      <c r="F88" s="2">
        <f ca="1">COUNTIF('Skills Gap Heatmap'!CJ$4:CJ$37,"-1")</f>
        <v>5</v>
      </c>
      <c r="G88" s="2">
        <f ca="1">COUNTIF('Skills Gap Heatmap'!CJ$4:CJ$37,"0")</f>
        <v>6</v>
      </c>
      <c r="H88" s="2">
        <f ca="1">COUNTIF('Skills Gap Heatmap'!CJ$4:CJ$37,"1")</f>
        <v>7</v>
      </c>
      <c r="I88" s="2">
        <f ca="1">COUNTIF('Skills Gap Heatmap'!CJ$4:CJ$37,"2")</f>
        <v>2</v>
      </c>
      <c r="J88" s="2">
        <f ca="1">COUNTIF('Skills Gap Heatmap'!CJ$4:CJ$37,"3")</f>
        <v>1</v>
      </c>
      <c r="K88" s="2">
        <f ca="1">COUNTIF('Skills Gap Heatmap'!CJ$4:CJ$37,"4")</f>
        <v>0</v>
      </c>
      <c r="L88" s="2">
        <f ca="1">COUNTIF('Skills Gap Heatmap'!CJ$4:CJ$37,"#N/A")</f>
        <v>0</v>
      </c>
    </row>
    <row r="89" spans="1:12">
      <c r="A89" s="2" t="s">
        <v>373</v>
      </c>
      <c r="B89" s="148" t="s">
        <v>334</v>
      </c>
      <c r="C89" s="2">
        <f ca="1">COUNTIF('Skills Gap Heatmap'!CK$4:CK$37,"-4")</f>
        <v>0</v>
      </c>
      <c r="D89" s="2">
        <f ca="1">COUNTIF('Skills Gap Heatmap'!CK$4:CK$37,"-3")</f>
        <v>0</v>
      </c>
      <c r="E89" s="2">
        <f ca="1">COUNTIF('Skills Gap Heatmap'!CK$4:CK$37,"-2")</f>
        <v>2</v>
      </c>
      <c r="F89" s="2">
        <f ca="1">COUNTIF('Skills Gap Heatmap'!CK$4:CK$37,"-1")</f>
        <v>3</v>
      </c>
      <c r="G89" s="2">
        <f ca="1">COUNTIF('Skills Gap Heatmap'!CK$4:CK$37,"0")</f>
        <v>12</v>
      </c>
      <c r="H89" s="2">
        <f ca="1">COUNTIF('Skills Gap Heatmap'!CK$4:CK$37,"1")</f>
        <v>5</v>
      </c>
      <c r="I89" s="2">
        <f ca="1">COUNTIF('Skills Gap Heatmap'!CK$4:CK$37,"2")</f>
        <v>3</v>
      </c>
      <c r="J89" s="2">
        <f ca="1">COUNTIF('Skills Gap Heatmap'!CK$4:CK$37,"3")</f>
        <v>0</v>
      </c>
      <c r="K89" s="2">
        <f ca="1">COUNTIF('Skills Gap Heatmap'!CK$4:CK$37,"4")</f>
        <v>0</v>
      </c>
      <c r="L89" s="2">
        <f ca="1">COUNTIF('Skills Gap Heatmap'!CK$4:CK$37,"#N/A")</f>
        <v>0</v>
      </c>
    </row>
    <row r="90" spans="1:12">
      <c r="A90" s="2" t="s">
        <v>373</v>
      </c>
      <c r="B90" s="148" t="s">
        <v>337</v>
      </c>
      <c r="C90" s="2">
        <f ca="1">COUNTIF('Skills Gap Heatmap'!CL$4:CL$37,"-4")</f>
        <v>0</v>
      </c>
      <c r="D90" s="2">
        <f ca="1">COUNTIF('Skills Gap Heatmap'!CL$4:CL$37,"-3")</f>
        <v>0</v>
      </c>
      <c r="E90" s="2">
        <f ca="1">COUNTIF('Skills Gap Heatmap'!CL$4:CL$37,"-2")</f>
        <v>3</v>
      </c>
      <c r="F90" s="2">
        <f ca="1">COUNTIF('Skills Gap Heatmap'!CL$4:CL$37,"-1")</f>
        <v>1</v>
      </c>
      <c r="G90" s="2">
        <f ca="1">COUNTIF('Skills Gap Heatmap'!CL$4:CL$37,"0")</f>
        <v>8</v>
      </c>
      <c r="H90" s="2">
        <f ca="1">COUNTIF('Skills Gap Heatmap'!CL$4:CL$37,"1")</f>
        <v>6</v>
      </c>
      <c r="I90" s="2">
        <f ca="1">COUNTIF('Skills Gap Heatmap'!CL$4:CL$37,"2")</f>
        <v>3</v>
      </c>
      <c r="J90" s="2">
        <f ca="1">COUNTIF('Skills Gap Heatmap'!CL$4:CL$37,"3")</f>
        <v>3</v>
      </c>
      <c r="K90" s="2">
        <f ca="1">COUNTIF('Skills Gap Heatmap'!CL$4:CL$37,"4")</f>
        <v>1</v>
      </c>
      <c r="L90" s="2">
        <f ca="1">COUNTIF('Skills Gap Heatmap'!CL$4:CL$37,"#N/A")</f>
        <v>0</v>
      </c>
    </row>
    <row r="91" spans="1:12">
      <c r="A91" s="2" t="s">
        <v>373</v>
      </c>
      <c r="B91" s="148" t="s">
        <v>340</v>
      </c>
      <c r="C91" s="2">
        <f ca="1">COUNTIF('Skills Gap Heatmap'!CM$4:CM$37,"-4")</f>
        <v>0</v>
      </c>
      <c r="D91" s="2">
        <f ca="1">COUNTIF('Skills Gap Heatmap'!CM$4:CM$37,"-3")</f>
        <v>0</v>
      </c>
      <c r="E91" s="2">
        <f ca="1">COUNTIF('Skills Gap Heatmap'!CM$4:CM$37,"-2")</f>
        <v>3</v>
      </c>
      <c r="F91" s="2">
        <f ca="1">COUNTIF('Skills Gap Heatmap'!CM$4:CM$37,"-1")</f>
        <v>1</v>
      </c>
      <c r="G91" s="2">
        <f ca="1">COUNTIF('Skills Gap Heatmap'!CM$4:CM$37,"0")</f>
        <v>10</v>
      </c>
      <c r="H91" s="2">
        <f ca="1">COUNTIF('Skills Gap Heatmap'!CM$4:CM$37,"1")</f>
        <v>6</v>
      </c>
      <c r="I91" s="2">
        <f ca="1">COUNTIF('Skills Gap Heatmap'!CM$4:CM$37,"2")</f>
        <v>2</v>
      </c>
      <c r="J91" s="2">
        <f ca="1">COUNTIF('Skills Gap Heatmap'!CM$4:CM$37,"3")</f>
        <v>2</v>
      </c>
      <c r="K91" s="2">
        <f ca="1">COUNTIF('Skills Gap Heatmap'!CM$4:CM$37,"4")</f>
        <v>1</v>
      </c>
      <c r="L91" s="2">
        <f ca="1">COUNTIF('Skills Gap Heatmap'!CM$4:CM$37,"#N/A")</f>
        <v>0</v>
      </c>
    </row>
    <row r="92" spans="1:12">
      <c r="A92" s="2" t="s">
        <v>373</v>
      </c>
      <c r="B92" s="148" t="s">
        <v>343</v>
      </c>
      <c r="C92" s="2">
        <f ca="1">COUNTIF('Skills Gap Heatmap'!CN$4:CN$37,"-4")</f>
        <v>0</v>
      </c>
      <c r="D92" s="2">
        <f ca="1">COUNTIF('Skills Gap Heatmap'!CN$4:CN$37,"-3")</f>
        <v>0</v>
      </c>
      <c r="E92" s="2">
        <f ca="1">COUNTIF('Skills Gap Heatmap'!CN$4:CN$37,"-2")</f>
        <v>4</v>
      </c>
      <c r="F92" s="2">
        <f ca="1">COUNTIF('Skills Gap Heatmap'!CN$4:CN$37,"-1")</f>
        <v>1</v>
      </c>
      <c r="G92" s="2">
        <f ca="1">COUNTIF('Skills Gap Heatmap'!CN$4:CN$37,"0")</f>
        <v>11</v>
      </c>
      <c r="H92" s="2">
        <f ca="1">COUNTIF('Skills Gap Heatmap'!CN$4:CN$37,"1")</f>
        <v>7</v>
      </c>
      <c r="I92" s="2">
        <f ca="1">COUNTIF('Skills Gap Heatmap'!CN$4:CN$37,"2")</f>
        <v>2</v>
      </c>
      <c r="J92" s="2">
        <f ca="1">COUNTIF('Skills Gap Heatmap'!CN$4:CN$37,"3")</f>
        <v>0</v>
      </c>
      <c r="K92" s="2">
        <f ca="1">COUNTIF('Skills Gap Heatmap'!CN$4:CN$37,"4")</f>
        <v>0</v>
      </c>
      <c r="L92" s="2">
        <f ca="1">COUNTIF('Skills Gap Heatmap'!CN$4:CN$37,"#N/A")</f>
        <v>0</v>
      </c>
    </row>
    <row r="93" spans="1:12">
      <c r="A93" s="2" t="s">
        <v>373</v>
      </c>
      <c r="B93" s="148" t="s">
        <v>346</v>
      </c>
      <c r="C93" s="2">
        <f ca="1">COUNTIF('Skills Gap Heatmap'!CO$4:CO$37,"-4")</f>
        <v>0</v>
      </c>
      <c r="D93" s="2">
        <f ca="1">COUNTIF('Skills Gap Heatmap'!CO$4:CO$37,"-3")</f>
        <v>0</v>
      </c>
      <c r="E93" s="2">
        <f ca="1">COUNTIF('Skills Gap Heatmap'!CO$4:CO$37,"-2")</f>
        <v>5</v>
      </c>
      <c r="F93" s="2">
        <f ca="1">COUNTIF('Skills Gap Heatmap'!CO$4:CO$37,"-1")</f>
        <v>2</v>
      </c>
      <c r="G93" s="2">
        <f ca="1">COUNTIF('Skills Gap Heatmap'!CO$4:CO$37,"0")</f>
        <v>14</v>
      </c>
      <c r="H93" s="2">
        <f ca="1">COUNTIF('Skills Gap Heatmap'!CO$4:CO$37,"1")</f>
        <v>1</v>
      </c>
      <c r="I93" s="2">
        <f ca="1">COUNTIF('Skills Gap Heatmap'!CO$4:CO$37,"2")</f>
        <v>1</v>
      </c>
      <c r="J93" s="2">
        <f ca="1">COUNTIF('Skills Gap Heatmap'!CO$4:CO$37,"3")</f>
        <v>2</v>
      </c>
      <c r="K93" s="2">
        <f ca="1">COUNTIF('Skills Gap Heatmap'!CO$4:CO$37,"4")</f>
        <v>0</v>
      </c>
      <c r="L93" s="2">
        <f ca="1">COUNTIF('Skills Gap Heatmap'!CO$4:CO$37,"#N/A")</f>
        <v>0</v>
      </c>
    </row>
    <row r="94" spans="1:12">
      <c r="A94" s="2" t="s">
        <v>373</v>
      </c>
      <c r="B94" s="148" t="s">
        <v>349</v>
      </c>
      <c r="C94" s="2">
        <f ca="1">COUNTIF('Skills Gap Heatmap'!CP$4:CP$37,"-4")</f>
        <v>0</v>
      </c>
      <c r="D94" s="2">
        <f ca="1">COUNTIF('Skills Gap Heatmap'!CP$4:CP$37,"-3")</f>
        <v>0</v>
      </c>
      <c r="E94" s="2">
        <f ca="1">COUNTIF('Skills Gap Heatmap'!CP$4:CP$37,"-2")</f>
        <v>4</v>
      </c>
      <c r="F94" s="2">
        <f ca="1">COUNTIF('Skills Gap Heatmap'!CP$4:CP$37,"-1")</f>
        <v>4</v>
      </c>
      <c r="G94" s="2">
        <f ca="1">COUNTIF('Skills Gap Heatmap'!CP$4:CP$37,"0")</f>
        <v>8</v>
      </c>
      <c r="H94" s="2">
        <f ca="1">COUNTIF('Skills Gap Heatmap'!CP$4:CP$37,"1")</f>
        <v>5</v>
      </c>
      <c r="I94" s="2">
        <f ca="1">COUNTIF('Skills Gap Heatmap'!CP$4:CP$37,"2")</f>
        <v>4</v>
      </c>
      <c r="J94" s="2">
        <f ca="1">COUNTIF('Skills Gap Heatmap'!CP$4:CP$37,"3")</f>
        <v>0</v>
      </c>
      <c r="K94" s="2">
        <f ca="1">COUNTIF('Skills Gap Heatmap'!CP$4:CP$37,"4")</f>
        <v>0</v>
      </c>
      <c r="L94" s="2">
        <f ca="1">COUNTIF('Skills Gap Heatmap'!CP$4:CP$37,"#N/A")</f>
        <v>0</v>
      </c>
    </row>
    <row r="95" spans="1:12">
      <c r="A95" s="2" t="s">
        <v>373</v>
      </c>
      <c r="B95" s="148" t="s">
        <v>352</v>
      </c>
      <c r="C95" s="2">
        <f ca="1">COUNTIF('Skills Gap Heatmap'!CQ$4:CQ$37,"-4")</f>
        <v>0</v>
      </c>
      <c r="D95" s="2">
        <f ca="1">COUNTIF('Skills Gap Heatmap'!CQ$4:CQ$37,"-3")</f>
        <v>0</v>
      </c>
      <c r="E95" s="2">
        <f ca="1">COUNTIF('Skills Gap Heatmap'!CQ$4:CQ$37,"-2")</f>
        <v>2</v>
      </c>
      <c r="F95" s="2">
        <f ca="1">COUNTIF('Skills Gap Heatmap'!CQ$4:CQ$37,"-1")</f>
        <v>2</v>
      </c>
      <c r="G95" s="2">
        <f ca="1">COUNTIF('Skills Gap Heatmap'!CQ$4:CQ$37,"0")</f>
        <v>10</v>
      </c>
      <c r="H95" s="2">
        <f ca="1">COUNTIF('Skills Gap Heatmap'!CQ$4:CQ$37,"1")</f>
        <v>4</v>
      </c>
      <c r="I95" s="2">
        <f ca="1">COUNTIF('Skills Gap Heatmap'!CQ$4:CQ$37,"2")</f>
        <v>7</v>
      </c>
      <c r="J95" s="2">
        <f ca="1">COUNTIF('Skills Gap Heatmap'!CQ$4:CQ$37,"3")</f>
        <v>0</v>
      </c>
      <c r="K95" s="2">
        <f ca="1">COUNTIF('Skills Gap Heatmap'!CQ$4:CQ$37,"4")</f>
        <v>0</v>
      </c>
      <c r="L95" s="2">
        <f ca="1">COUNTIF('Skills Gap Heatmap'!CQ$4:CQ$37,"#N/A")</f>
        <v>0</v>
      </c>
    </row>
    <row r="96" spans="1:12">
      <c r="A96" s="2" t="s">
        <v>373</v>
      </c>
      <c r="B96" s="148" t="s">
        <v>355</v>
      </c>
      <c r="C96" s="2">
        <f ca="1">COUNTIF('Skills Gap Heatmap'!CR$4:CR$37,"-4")</f>
        <v>0</v>
      </c>
      <c r="D96" s="2">
        <f ca="1">COUNTIF('Skills Gap Heatmap'!CR$4:CR$37,"-3")</f>
        <v>0</v>
      </c>
      <c r="E96" s="2">
        <f ca="1">COUNTIF('Skills Gap Heatmap'!CR$4:CR$37,"-2")</f>
        <v>0</v>
      </c>
      <c r="F96" s="2">
        <f ca="1">COUNTIF('Skills Gap Heatmap'!CR$4:CR$37,"-1")</f>
        <v>2</v>
      </c>
      <c r="G96" s="2">
        <f ca="1">COUNTIF('Skills Gap Heatmap'!CR$4:CR$37,"0")</f>
        <v>7</v>
      </c>
      <c r="H96" s="2">
        <f ca="1">COUNTIF('Skills Gap Heatmap'!CR$4:CR$37,"1")</f>
        <v>7</v>
      </c>
      <c r="I96" s="2">
        <f ca="1">COUNTIF('Skills Gap Heatmap'!CR$4:CR$37,"2")</f>
        <v>6</v>
      </c>
      <c r="J96" s="2">
        <f ca="1">COUNTIF('Skills Gap Heatmap'!CR$4:CR$37,"3")</f>
        <v>3</v>
      </c>
      <c r="K96" s="2">
        <f ca="1">COUNTIF('Skills Gap Heatmap'!CR$4:CR$37,"4")</f>
        <v>0</v>
      </c>
      <c r="L96" s="2">
        <f ca="1">COUNTIF('Skills Gap Heatmap'!CR$4:CR$37,"#N/A")</f>
        <v>0</v>
      </c>
    </row>
    <row r="97" spans="1:12">
      <c r="A97" s="2" t="s">
        <v>373</v>
      </c>
      <c r="B97" s="148" t="s">
        <v>358</v>
      </c>
      <c r="C97" s="2">
        <f ca="1">COUNTIF('Skills Gap Heatmap'!CS$4:CS$37,"-4")</f>
        <v>0</v>
      </c>
      <c r="D97" s="2">
        <f ca="1">COUNTIF('Skills Gap Heatmap'!CS$4:CS$37,"-3")</f>
        <v>1</v>
      </c>
      <c r="E97" s="2">
        <f ca="1">COUNTIF('Skills Gap Heatmap'!CS$4:CS$37,"-2")</f>
        <v>2</v>
      </c>
      <c r="F97" s="2">
        <f ca="1">COUNTIF('Skills Gap Heatmap'!CS$4:CS$37,"-1")</f>
        <v>1</v>
      </c>
      <c r="G97" s="2">
        <f ca="1">COUNTIF('Skills Gap Heatmap'!CS$4:CS$37,"0")</f>
        <v>6</v>
      </c>
      <c r="H97" s="2">
        <f ca="1">COUNTIF('Skills Gap Heatmap'!CS$4:CS$37,"1")</f>
        <v>8</v>
      </c>
      <c r="I97" s="2">
        <f ca="1">COUNTIF('Skills Gap Heatmap'!CS$4:CS$37,"2")</f>
        <v>6</v>
      </c>
      <c r="J97" s="2">
        <f ca="1">COUNTIF('Skills Gap Heatmap'!CS$4:CS$37,"3")</f>
        <v>1</v>
      </c>
      <c r="K97" s="2">
        <f ca="1">COUNTIF('Skills Gap Heatmap'!CS$4:CS$37,"4")</f>
        <v>0</v>
      </c>
      <c r="L97" s="2">
        <f ca="1">COUNTIF('Skills Gap Heatmap'!CS$4:CS$37,"#N/A")</f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34A9-9855-4996-A030-E845ECE2ED9C}">
  <dimension ref="A1:CS37"/>
  <sheetViews>
    <sheetView topLeftCell="A5" zoomScale="78" zoomScaleNormal="96" workbookViewId="0">
      <selection activeCell="A3" sqref="A3:XFD3"/>
    </sheetView>
  </sheetViews>
  <sheetFormatPr defaultRowHeight="15"/>
  <cols>
    <col min="1" max="1" width="24.140625" bestFit="1" customWidth="1"/>
    <col min="2" max="2" width="18.85546875" style="2" customWidth="1"/>
    <col min="3" max="3" width="9.140625" style="2" customWidth="1"/>
    <col min="4" max="4" width="8" style="2" customWidth="1"/>
    <col min="5" max="5" width="9.85546875" style="2" customWidth="1"/>
    <col min="6" max="11" width="9.140625" style="2" customWidth="1"/>
    <col min="12" max="95" width="9.140625" customWidth="1"/>
    <col min="96" max="96" width="5.5703125" customWidth="1"/>
    <col min="97" max="97" width="8.140625" customWidth="1"/>
  </cols>
  <sheetData>
    <row r="1" spans="1:97">
      <c r="A1" s="17" t="s">
        <v>393</v>
      </c>
      <c r="B1" s="212" t="s">
        <v>376</v>
      </c>
      <c r="C1" s="212"/>
      <c r="D1" s="212"/>
      <c r="E1" s="212"/>
      <c r="F1" s="212"/>
      <c r="G1" s="212"/>
      <c r="H1" s="212"/>
      <c r="I1" s="212"/>
      <c r="J1" s="212"/>
      <c r="K1" s="209" t="s">
        <v>374</v>
      </c>
      <c r="L1" s="210"/>
      <c r="M1" s="210"/>
      <c r="N1" s="210"/>
      <c r="O1" s="211"/>
      <c r="P1" s="213" t="s">
        <v>384</v>
      </c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4" t="s">
        <v>385</v>
      </c>
      <c r="BG1" s="214"/>
      <c r="BH1" s="214"/>
      <c r="BI1" s="214"/>
      <c r="BJ1" s="214"/>
      <c r="BK1" s="214"/>
      <c r="BL1" s="214"/>
      <c r="BM1" s="214"/>
      <c r="BN1" s="215" t="s">
        <v>404</v>
      </c>
      <c r="BO1" s="215"/>
      <c r="BP1" s="215"/>
      <c r="BQ1" s="215"/>
      <c r="BR1" s="215"/>
      <c r="BS1" s="215"/>
      <c r="BT1" s="215"/>
      <c r="BU1" s="215"/>
      <c r="BV1" s="215"/>
      <c r="BW1" s="215"/>
      <c r="BX1" s="215"/>
      <c r="BY1" s="215"/>
      <c r="BZ1" s="215"/>
      <c r="CA1" s="215"/>
      <c r="CB1" s="215"/>
      <c r="CC1" s="215"/>
      <c r="CD1" s="215"/>
      <c r="CE1" s="207" t="s">
        <v>377</v>
      </c>
      <c r="CF1" s="207"/>
      <c r="CG1" s="207"/>
      <c r="CH1" s="207"/>
      <c r="CI1" s="207"/>
      <c r="CJ1" s="207"/>
      <c r="CK1" s="208" t="s">
        <v>373</v>
      </c>
      <c r="CL1" s="208"/>
      <c r="CM1" s="208"/>
      <c r="CN1" s="208"/>
      <c r="CO1" s="208"/>
      <c r="CP1" s="208"/>
      <c r="CQ1" s="208"/>
      <c r="CR1" s="208"/>
      <c r="CS1" s="208"/>
    </row>
    <row r="2" spans="1:97" s="9" customFormat="1" ht="146.1" customHeight="1">
      <c r="A2" s="23" t="s">
        <v>386</v>
      </c>
      <c r="B2" s="162" t="s">
        <v>106</v>
      </c>
      <c r="C2" s="162" t="s">
        <v>115</v>
      </c>
      <c r="D2" s="162" t="s">
        <v>112</v>
      </c>
      <c r="E2" s="162" t="s">
        <v>124</v>
      </c>
      <c r="F2" s="162" t="s">
        <v>121</v>
      </c>
      <c r="G2" s="162" t="s">
        <v>127</v>
      </c>
      <c r="H2" s="162" t="s">
        <v>109</v>
      </c>
      <c r="I2" s="162" t="s">
        <v>118</v>
      </c>
      <c r="J2" s="162" t="s">
        <v>130</v>
      </c>
      <c r="K2" s="31" t="s">
        <v>133</v>
      </c>
      <c r="L2" s="31" t="s">
        <v>136</v>
      </c>
      <c r="M2" s="32" t="s">
        <v>139</v>
      </c>
      <c r="N2" s="31" t="s">
        <v>142</v>
      </c>
      <c r="O2" s="31" t="s">
        <v>145</v>
      </c>
      <c r="P2" s="30" t="s">
        <v>148</v>
      </c>
      <c r="Q2" s="30" t="s">
        <v>151</v>
      </c>
      <c r="R2" s="30" t="s">
        <v>154</v>
      </c>
      <c r="S2" s="30" t="s">
        <v>158</v>
      </c>
      <c r="T2" s="30" t="s">
        <v>161</v>
      </c>
      <c r="U2" s="30" t="s">
        <v>164</v>
      </c>
      <c r="V2" s="30" t="s">
        <v>234</v>
      </c>
      <c r="W2" s="30" t="s">
        <v>237</v>
      </c>
      <c r="X2" s="30" t="s">
        <v>240</v>
      </c>
      <c r="Y2" s="30" t="s">
        <v>243</v>
      </c>
      <c r="Z2" s="30" t="s">
        <v>246</v>
      </c>
      <c r="AA2" s="30" t="s">
        <v>249</v>
      </c>
      <c r="AB2" s="30" t="s">
        <v>252</v>
      </c>
      <c r="AC2" s="30" t="s">
        <v>255</v>
      </c>
      <c r="AD2" s="30" t="s">
        <v>258</v>
      </c>
      <c r="AE2" s="30" t="s">
        <v>261</v>
      </c>
      <c r="AF2" s="30" t="s">
        <v>264</v>
      </c>
      <c r="AG2" s="30" t="s">
        <v>51</v>
      </c>
      <c r="AH2" s="30" t="s">
        <v>267</v>
      </c>
      <c r="AI2" s="30" t="s">
        <v>270</v>
      </c>
      <c r="AJ2" s="30" t="s">
        <v>50</v>
      </c>
      <c r="AK2" s="30" t="s">
        <v>275</v>
      </c>
      <c r="AL2" s="30" t="s">
        <v>278</v>
      </c>
      <c r="AM2" s="30" t="s">
        <v>281</v>
      </c>
      <c r="AN2" s="30" t="s">
        <v>284</v>
      </c>
      <c r="AO2" s="30" t="s">
        <v>287</v>
      </c>
      <c r="AP2" s="30" t="s">
        <v>290</v>
      </c>
      <c r="AQ2" s="30" t="s">
        <v>293</v>
      </c>
      <c r="AR2" s="30" t="s">
        <v>296</v>
      </c>
      <c r="AS2" s="30" t="s">
        <v>299</v>
      </c>
      <c r="AT2" s="30" t="s">
        <v>302</v>
      </c>
      <c r="AU2" s="30" t="s">
        <v>305</v>
      </c>
      <c r="AV2" s="30" t="s">
        <v>308</v>
      </c>
      <c r="AW2" s="30" t="s">
        <v>311</v>
      </c>
      <c r="AX2" s="30" t="s">
        <v>314</v>
      </c>
      <c r="AY2" s="30" t="s">
        <v>317</v>
      </c>
      <c r="AZ2" s="30" t="s">
        <v>320</v>
      </c>
      <c r="BA2" s="30" t="s">
        <v>323</v>
      </c>
      <c r="BB2" s="30" t="s">
        <v>326</v>
      </c>
      <c r="BC2" s="30" t="s">
        <v>328</v>
      </c>
      <c r="BD2" s="30" t="s">
        <v>330</v>
      </c>
      <c r="BE2" s="30" t="s">
        <v>332</v>
      </c>
      <c r="BF2" s="29" t="s">
        <v>211</v>
      </c>
      <c r="BG2" s="29" t="s">
        <v>214</v>
      </c>
      <c r="BH2" s="29" t="s">
        <v>217</v>
      </c>
      <c r="BI2" s="29" t="s">
        <v>49</v>
      </c>
      <c r="BJ2" s="29" t="s">
        <v>222</v>
      </c>
      <c r="BK2" s="29" t="s">
        <v>225</v>
      </c>
      <c r="BL2" s="29" t="s">
        <v>228</v>
      </c>
      <c r="BM2" s="29" t="s">
        <v>231</v>
      </c>
      <c r="BN2" s="28" t="s">
        <v>185</v>
      </c>
      <c r="BO2" s="28" t="s">
        <v>188</v>
      </c>
      <c r="BP2" s="28" t="s">
        <v>191</v>
      </c>
      <c r="BQ2" s="28" t="s">
        <v>194</v>
      </c>
      <c r="BR2" s="28" t="s">
        <v>197</v>
      </c>
      <c r="BS2" s="28" t="s">
        <v>200</v>
      </c>
      <c r="BT2" s="28" t="s">
        <v>203</v>
      </c>
      <c r="BU2" s="28" t="s">
        <v>206</v>
      </c>
      <c r="BV2" s="28" t="s">
        <v>208</v>
      </c>
      <c r="BW2" s="28" t="s">
        <v>211</v>
      </c>
      <c r="BX2" s="28" t="s">
        <v>214</v>
      </c>
      <c r="BY2" s="28" t="s">
        <v>217</v>
      </c>
      <c r="BZ2" s="28" t="s">
        <v>49</v>
      </c>
      <c r="CA2" s="28" t="s">
        <v>222</v>
      </c>
      <c r="CB2" s="28" t="s">
        <v>225</v>
      </c>
      <c r="CC2" s="28" t="s">
        <v>228</v>
      </c>
      <c r="CD2" s="28" t="s">
        <v>231</v>
      </c>
      <c r="CE2" s="26" t="s">
        <v>167</v>
      </c>
      <c r="CF2" s="27" t="s">
        <v>170</v>
      </c>
      <c r="CG2" s="26" t="s">
        <v>173</v>
      </c>
      <c r="CH2" s="26" t="s">
        <v>176</v>
      </c>
      <c r="CI2" s="27" t="s">
        <v>179</v>
      </c>
      <c r="CJ2" s="26" t="s">
        <v>182</v>
      </c>
      <c r="CK2" s="25" t="s">
        <v>334</v>
      </c>
      <c r="CL2" s="25" t="s">
        <v>337</v>
      </c>
      <c r="CM2" s="25" t="s">
        <v>340</v>
      </c>
      <c r="CN2" s="25" t="s">
        <v>343</v>
      </c>
      <c r="CO2" s="25" t="s">
        <v>346</v>
      </c>
      <c r="CP2" s="25" t="s">
        <v>349</v>
      </c>
      <c r="CQ2" s="25" t="s">
        <v>352</v>
      </c>
      <c r="CR2" s="25" t="s">
        <v>355</v>
      </c>
      <c r="CS2" s="25" t="s">
        <v>358</v>
      </c>
    </row>
    <row r="3" spans="1:97">
      <c r="A3" s="22"/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</row>
    <row r="4" spans="1:97">
      <c r="A4" s="22" t="str">
        <f>VLOOKUP(Staff!$A1,Staff!$A$1:A$73,1,FALSE)</f>
        <v>Steve Arnott</v>
      </c>
      <c r="B4" s="21" cm="1">
        <f t="array" aca="1" ref="B4" ca="1">INDEX(Master!$H$2:'Master'!$H$4384,MATCH($A4&amp;B$2,Master!$A$2:'Master'!$A$4384&amp;Master!$C$2:'Master'!$C$4384,0))</f>
        <v>1</v>
      </c>
      <c r="C4" s="21" cm="1">
        <f t="array" aca="1" ref="C4" ca="1">INDEX(Master!$H$2:'Master'!$H$4384,MATCH($A4&amp;C$2,Master!$A$2:'Master'!$A$4384&amp;Master!$C$2:'Master'!$C$4384,0))</f>
        <v>1</v>
      </c>
      <c r="D4" s="21" cm="1">
        <f t="array" aca="1" ref="D4" ca="1">INDEX(Master!$H$2:'Master'!$H$4384,MATCH($A4&amp;D$2,Master!$A$2:'Master'!$A$4384&amp;Master!$C$2:'Master'!$C$4384,0))</f>
        <v>0</v>
      </c>
      <c r="E4" s="21" cm="1">
        <f t="array" aca="1" ref="E4" ca="1">INDEX(Master!$H$2:'Master'!$H$4384,MATCH($A4&amp;E$2,Master!$A$2:'Master'!$A$4384&amp;Master!$C$2:'Master'!$C$4384,0))</f>
        <v>0</v>
      </c>
      <c r="F4" s="21" cm="1">
        <f t="array" aca="1" ref="F4" ca="1">INDEX(Master!$H$2:'Master'!$H$4384,MATCH($A4&amp;F$2,Master!$A$2:'Master'!$A$4384&amp;Master!$C$2:'Master'!$C$4384,0))</f>
        <v>0</v>
      </c>
      <c r="G4" s="21" cm="1">
        <f t="array" aca="1" ref="G4" ca="1">INDEX(Master!$H$2:'Master'!$H$4384,MATCH($A4&amp;G$2,Master!$A$2:'Master'!$A$4384&amp;Master!$C$2:'Master'!$C$4384,0))</f>
        <v>0</v>
      </c>
      <c r="H4" s="21" cm="1">
        <f t="array" aca="1" ref="H4" ca="1">INDEX(Master!$H$2:'Master'!$H$4384,MATCH($A4&amp;H$2,Master!$A$2:'Master'!$A$4384&amp;Master!$C$2:'Master'!$C$4384,0))</f>
        <v>0</v>
      </c>
      <c r="I4" s="21" cm="1">
        <f t="array" aca="1" ref="I4" ca="1">INDEX(Master!$H$2:'Master'!$H$4384,MATCH($A4&amp;I$2,Master!$A$2:'Master'!$A$4384&amp;Master!$C$2:'Master'!$C$4384,0))</f>
        <v>0</v>
      </c>
      <c r="J4" s="21" cm="1">
        <f t="array" aca="1" ref="J4" ca="1">INDEX(Master!$H$2:'Master'!$H$4384,MATCH($A4&amp;J$2,Master!$A$2:'Master'!$A$4384&amp;Master!$C$2:'Master'!$C$4384,0))</f>
        <v>-1</v>
      </c>
      <c r="K4" s="21" cm="1">
        <f t="array" aca="1" ref="K4" ca="1">INDEX(Master!$H$2:'Master'!$H$4384,MATCH($A4&amp;K$2,Master!$A$2:'Master'!$A$4384&amp;Master!$C$2:'Master'!$C$4384,0))</f>
        <v>0</v>
      </c>
      <c r="L4" s="21" cm="1">
        <f t="array" aca="1" ref="L4" ca="1">INDEX(Master!$H$2:'Master'!$H$4384,MATCH($A4&amp;L$2,Master!$A$2:'Master'!$A$4384&amp;Master!$C$2:'Master'!$C$4384,0))</f>
        <v>2</v>
      </c>
      <c r="M4" s="21" cm="1">
        <f t="array" aca="1" ref="M4" ca="1">INDEX(Master!$H$2:'Master'!$H$4384,MATCH($A4&amp;M$2,Master!$A$2:'Master'!$A$4384&amp;Master!$C$2:'Master'!$C$4384,0))</f>
        <v>1</v>
      </c>
      <c r="N4" s="21" cm="1">
        <f t="array" aca="1" ref="N4" ca="1">INDEX(Master!$H$2:'Master'!$H$4384,MATCH($A4&amp;N$2,Master!$A$2:'Master'!$A$4384&amp;Master!$C$2:'Master'!$C$4384,0))</f>
        <v>0</v>
      </c>
      <c r="O4" s="21" cm="1">
        <f t="array" aca="1" ref="O4" ca="1">INDEX(Master!$H$2:'Master'!$H$4384,MATCH($A4&amp;O$2,Master!$A$2:'Master'!$A$4384&amp;Master!$C$2:'Master'!$C$4384,0))</f>
        <v>0</v>
      </c>
      <c r="P4" s="21" cm="1">
        <f t="array" aca="1" ref="P4" ca="1">INDEX(Master!$H$2:'Master'!$H$4384,MATCH($A4&amp;P$2,Master!$A$2:'Master'!$A$4384&amp;Master!$C$2:'Master'!$C$4384,0))</f>
        <v>0</v>
      </c>
      <c r="Q4" s="21" cm="1">
        <f t="array" aca="1" ref="Q4" ca="1">INDEX(Master!$H$2:'Master'!$H$4384,MATCH($A4&amp;Q$2,Master!$A$2:'Master'!$A$4384&amp;Master!$C$2:'Master'!$C$4384,0))</f>
        <v>-1</v>
      </c>
      <c r="R4" s="21" cm="1">
        <f t="array" aca="1" ref="R4" ca="1">INDEX(Master!$H$2:'Master'!$H$4384,MATCH($A4&amp;R$2,Master!$A$2:'Master'!$A$4384&amp;Master!$C$2:'Master'!$C$4384,0))</f>
        <v>0</v>
      </c>
      <c r="S4" s="21" cm="1">
        <f t="array" aca="1" ref="S4" ca="1">INDEX(Master!$H$2:'Master'!$H$4384,MATCH($A4&amp;S$2,Master!$A$2:'Master'!$A$4384&amp;Master!$C$2:'Master'!$C$4384,0))</f>
        <v>-1</v>
      </c>
      <c r="T4" s="21" cm="1">
        <f t="array" aca="1" ref="T4" ca="1">INDEX(Master!$H$2:'Master'!$H$4384,MATCH($A4&amp;T$2,Master!$A$2:'Master'!$A$4384&amp;Master!$C$2:'Master'!$C$4384,0))</f>
        <v>0</v>
      </c>
      <c r="U4" s="21" cm="1">
        <f t="array" aca="1" ref="U4" ca="1">INDEX(Master!$H$2:'Master'!$H$4384,MATCH($A4&amp;U$2,Master!$A$2:'Master'!$A$4384&amp;Master!$C$2:'Master'!$C$4384,0))</f>
        <v>1</v>
      </c>
      <c r="V4" s="21" cm="1">
        <f t="array" aca="1" ref="V4" ca="1">INDEX(Master!$H$2:'Master'!$H$4384,MATCH($A4&amp;V$2,Master!$A$2:'Master'!$A$4384&amp;Master!$C$2:'Master'!$C$4384,0))</f>
        <v>0</v>
      </c>
      <c r="W4" s="21" cm="1">
        <f t="array" aca="1" ref="W4" ca="1">INDEX(Master!$H$2:'Master'!$H$4384,MATCH($A4&amp;W$2,Master!$A$2:'Master'!$A$4384&amp;Master!$C$2:'Master'!$C$4384,0))</f>
        <v>2</v>
      </c>
      <c r="X4" s="21" cm="1">
        <f t="array" aca="1" ref="X4" ca="1">INDEX(Master!$H$2:'Master'!$H$4384,MATCH($A4&amp;X$2,Master!$A$2:'Master'!$A$4384&amp;Master!$C$2:'Master'!$C$4384,0))</f>
        <v>1</v>
      </c>
      <c r="Y4" s="21" cm="1">
        <f t="array" aca="1" ref="Y4" ca="1">INDEX(Master!$H$2:'Master'!$H$4384,MATCH($A4&amp;Y$2,Master!$A$2:'Master'!$A$4384&amp;Master!$C$2:'Master'!$C$4384,0))</f>
        <v>3</v>
      </c>
      <c r="Z4" s="21" cm="1">
        <f t="array" aca="1" ref="Z4" ca="1">INDEX(Master!$H$2:'Master'!$H$4384,MATCH($A4&amp;Z$2,Master!$A$2:'Master'!$A$4384&amp;Master!$C$2:'Master'!$C$4384,0))</f>
        <v>3</v>
      </c>
      <c r="AA4" s="21" cm="1">
        <f t="array" aca="1" ref="AA4" ca="1">INDEX(Master!$H$2:'Master'!$H$4384,MATCH($A4&amp;AA$2,Master!$A$2:'Master'!$A$4384&amp;Master!$C$2:'Master'!$C$4384,0))</f>
        <v>2</v>
      </c>
      <c r="AB4" s="21" cm="1">
        <f t="array" aca="1" ref="AB4" ca="1">INDEX(Master!$H$2:'Master'!$H$4384,MATCH($A4&amp;AB$2,Master!$A$2:'Master'!$A$4384&amp;Master!$C$2:'Master'!$C$4384,0))</f>
        <v>3</v>
      </c>
      <c r="AC4" s="21" cm="1">
        <f t="array" aca="1" ref="AC4" ca="1">INDEX(Master!$H$2:'Master'!$H$4384,MATCH($A4&amp;AC$2,Master!$A$2:'Master'!$A$4384&amp;Master!$C$2:'Master'!$C$4384,0))</f>
        <v>3</v>
      </c>
      <c r="AD4" s="21" cm="1">
        <f t="array" aca="1" ref="AD4" ca="1">INDEX(Master!$H$2:'Master'!$H$4384,MATCH($A4&amp;AD$2,Master!$A$2:'Master'!$A$4384&amp;Master!$C$2:'Master'!$C$4384,0))</f>
        <v>3</v>
      </c>
      <c r="AE4" s="21" cm="1">
        <f t="array" aca="1" ref="AE4" ca="1">INDEX(Master!$H$2:'Master'!$H$4384,MATCH($A4&amp;AE$2,Master!$A$2:'Master'!$A$4384&amp;Master!$C$2:'Master'!$C$4384,0))</f>
        <v>3</v>
      </c>
      <c r="AF4" s="21" cm="1">
        <f t="array" aca="1" ref="AF4" ca="1">INDEX(Master!$H$2:'Master'!$H$4384,MATCH($A4&amp;AF$2,Master!$A$2:'Master'!$A$4384&amp;Master!$C$2:'Master'!$C$4384,0))</f>
        <v>2</v>
      </c>
      <c r="AG4" s="21" cm="1">
        <f t="array" aca="1" ref="AG4" ca="1">INDEX(Master!$H$2:'Master'!$H$4384,MATCH($A4&amp;AG$2,Master!$A$2:'Master'!$A$4384&amp;Master!$C$2:'Master'!$C$4384,0))</f>
        <v>3</v>
      </c>
      <c r="AH4" s="21" cm="1">
        <f t="array" aca="1" ref="AH4" ca="1">INDEX(Master!$H$2:'Master'!$H$4384,MATCH($A4&amp;AH$2,Master!$A$2:'Master'!$A$4384&amp;Master!$C$2:'Master'!$C$4384,0))</f>
        <v>1</v>
      </c>
      <c r="AI4" s="21" cm="1">
        <f t="array" aca="1" ref="AI4" ca="1">INDEX(Master!$H$2:'Master'!$H$4384,MATCH($A4&amp;AI$2,Master!$A$2:'Master'!$A$4384&amp;Master!$C$2:'Master'!$C$4384,0))</f>
        <v>3</v>
      </c>
      <c r="AJ4" s="21" cm="1">
        <f t="array" aca="1" ref="AJ4" ca="1">INDEX(Master!$H$2:'Master'!$H$4384,MATCH($A4&amp;AJ$2,Master!$A$2:'Master'!$A$4384&amp;Master!$C$2:'Master'!$C$4384,0))</f>
        <v>2</v>
      </c>
      <c r="AK4" s="21" cm="1">
        <f t="array" aca="1" ref="AK4" ca="1">INDEX(Master!$H$2:'Master'!$H$4384,MATCH($A4&amp;AK$2,Master!$A$2:'Master'!$A$4384&amp;Master!$C$2:'Master'!$C$4384,0))</f>
        <v>3</v>
      </c>
      <c r="AL4" s="21" cm="1">
        <f t="array" aca="1" ref="AL4" ca="1">INDEX(Master!$H$2:'Master'!$H$4384,MATCH($A4&amp;AL$2,Master!$A$2:'Master'!$A$4384&amp;Master!$C$2:'Master'!$C$4384,0))</f>
        <v>2</v>
      </c>
      <c r="AM4" s="21" cm="1">
        <f t="array" aca="1" ref="AM4" ca="1">INDEX(Master!$H$2:'Master'!$H$4384,MATCH($A4&amp;AM$2,Master!$A$2:'Master'!$A$4384&amp;Master!$C$2:'Master'!$C$4384,0))</f>
        <v>0</v>
      </c>
      <c r="AN4" s="21" cm="1">
        <f t="array" aca="1" ref="AN4" ca="1">INDEX(Master!$H$2:'Master'!$H$4384,MATCH($A4&amp;AN$2,Master!$A$2:'Master'!$A$4384&amp;Master!$C$2:'Master'!$C$4384,0))</f>
        <v>2</v>
      </c>
      <c r="AO4" s="21" cm="1">
        <f t="array" aca="1" ref="AO4" ca="1">INDEX(Master!$H$2:'Master'!$H$4384,MATCH($A4&amp;AO$2,Master!$A$2:'Master'!$A$4384&amp;Master!$C$2:'Master'!$C$4384,0))</f>
        <v>2</v>
      </c>
      <c r="AP4" s="21" cm="1">
        <f t="array" aca="1" ref="AP4" ca="1">INDEX(Master!$H$2:'Master'!$H$4384,MATCH($A4&amp;AP$2,Master!$A$2:'Master'!$A$4384&amp;Master!$C$2:'Master'!$C$4384,0))</f>
        <v>3</v>
      </c>
      <c r="AQ4" s="21" cm="1">
        <f t="array" aca="1" ref="AQ4" ca="1">INDEX(Master!$H$2:'Master'!$H$4384,MATCH($A4&amp;AQ$2,Master!$A$2:'Master'!$A$4384&amp;Master!$C$2:'Master'!$C$4384,0))</f>
        <v>3</v>
      </c>
      <c r="AR4" s="21" cm="1">
        <f t="array" aca="1" ref="AR4" ca="1">INDEX(Master!$H$2:'Master'!$H$4384,MATCH($A4&amp;AR$2,Master!$A$2:'Master'!$A$4384&amp;Master!$C$2:'Master'!$C$4384,0))</f>
        <v>4</v>
      </c>
      <c r="AS4" s="21" cm="1">
        <f t="array" aca="1" ref="AS4" ca="1">INDEX(Master!$H$2:'Master'!$H$4384,MATCH($A4&amp;AS$2,Master!$A$2:'Master'!$A$4384&amp;Master!$C$2:'Master'!$C$4384,0))</f>
        <v>4</v>
      </c>
      <c r="AT4" s="21" cm="1">
        <f t="array" aca="1" ref="AT4" ca="1">INDEX(Master!$H$2:'Master'!$H$4384,MATCH($A4&amp;AT$2,Master!$A$2:'Master'!$A$4384&amp;Master!$C$2:'Master'!$C$4384,0))</f>
        <v>4</v>
      </c>
      <c r="AU4" s="21" cm="1">
        <f t="array" aca="1" ref="AU4" ca="1">INDEX(Master!$H$2:'Master'!$H$4384,MATCH($A4&amp;AU$2,Master!$A$2:'Master'!$A$4384&amp;Master!$C$2:'Master'!$C$4384,0))</f>
        <v>2</v>
      </c>
      <c r="AV4" s="21" cm="1">
        <f t="array" aca="1" ref="AV4" ca="1">INDEX(Master!$H$2:'Master'!$H$4384,MATCH($A4&amp;AV$2,Master!$A$2:'Master'!$A$4384&amp;Master!$C$2:'Master'!$C$4384,0))</f>
        <v>3</v>
      </c>
      <c r="AW4" s="21" cm="1">
        <f t="array" aca="1" ref="AW4" ca="1">INDEX(Master!$H$2:'Master'!$H$4384,MATCH($A4&amp;AW$2,Master!$A$2:'Master'!$A$4384&amp;Master!$C$2:'Master'!$C$4384,0))</f>
        <v>2</v>
      </c>
      <c r="AX4" s="21" cm="1">
        <f t="array" aca="1" ref="AX4" ca="1">INDEX(Master!$H$2:'Master'!$H$4384,MATCH($A4&amp;AX$2,Master!$A$2:'Master'!$A$4384&amp;Master!$C$2:'Master'!$C$4384,0))</f>
        <v>1</v>
      </c>
      <c r="AY4" s="21" cm="1">
        <f t="array" aca="1" ref="AY4" ca="1">INDEX(Master!$H$2:'Master'!$H$4384,MATCH($A4&amp;AY$2,Master!$A$2:'Master'!$A$4384&amp;Master!$C$2:'Master'!$C$4384,0))</f>
        <v>1</v>
      </c>
      <c r="AZ4" s="21" cm="1">
        <f t="array" aca="1" ref="AZ4" ca="1">INDEX(Master!$H$2:'Master'!$H$4384,MATCH($A4&amp;AZ$2,Master!$A$2:'Master'!$A$4384&amp;Master!$C$2:'Master'!$C$4384,0))</f>
        <v>3</v>
      </c>
      <c r="BA4" s="21" cm="1">
        <f t="array" aca="1" ref="BA4" ca="1">INDEX(Master!$H$2:'Master'!$H$4384,MATCH($A4&amp;BA$2,Master!$A$2:'Master'!$A$4384&amp;Master!$C$2:'Master'!$C$4384,0))</f>
        <v>3</v>
      </c>
      <c r="BB4" s="21" cm="1">
        <f t="array" aca="1" ref="BB4" ca="1">INDEX(Master!$H$2:'Master'!$H$4384,MATCH($A4&amp;BB$2,Master!$A$2:'Master'!$A$4384&amp;Master!$C$2:'Master'!$C$4384,0))</f>
        <v>0</v>
      </c>
      <c r="BC4" s="21" cm="1">
        <f t="array" aca="1" ref="BC4" ca="1">INDEX(Master!$H$2:'Master'!$H$4384,MATCH($A4&amp;BC$2,Master!$A$2:'Master'!$A$4384&amp;Master!$C$2:'Master'!$C$4384,0))</f>
        <v>0</v>
      </c>
      <c r="BD4" s="21" cm="1">
        <f t="array" aca="1" ref="BD4" ca="1">INDEX(Master!$H$2:'Master'!$H$4384,MATCH($A4&amp;BD$2,Master!$A$2:'Master'!$A$4384&amp;Master!$C$2:'Master'!$C$4384,0))</f>
        <v>0</v>
      </c>
      <c r="BE4" s="21" cm="1">
        <f t="array" aca="1" ref="BE4" ca="1">INDEX(Master!$H$2:'Master'!$H$4384,MATCH($A4&amp;BE$2,Master!$A$2:'Master'!$A$4384&amp;Master!$C$2:'Master'!$C$4384,0))</f>
        <v>0</v>
      </c>
      <c r="BF4" s="21" cm="1">
        <f t="array" aca="1" ref="BF4" ca="1">INDEX(Master!$H$2:'Master'!$H$4384,MATCH($A4&amp;BF$2,Master!$A$2:'Master'!$A$4384&amp;Master!$C$2:'Master'!$C$4384,0))</f>
        <v>0</v>
      </c>
      <c r="BG4" s="21" cm="1">
        <f t="array" aca="1" ref="BG4" ca="1">INDEX(Master!$H$2:'Master'!$H$4384,MATCH($A4&amp;BG$2,Master!$A$2:'Master'!$A$4384&amp;Master!$C$2:'Master'!$C$4384,0))</f>
        <v>1</v>
      </c>
      <c r="BH4" s="21" cm="1">
        <f t="array" aca="1" ref="BH4" ca="1">INDEX(Master!$H$2:'Master'!$H$4384,MATCH($A4&amp;BH$2,Master!$A$2:'Master'!$A$4384&amp;Master!$C$2:'Master'!$C$4384,0))</f>
        <v>1</v>
      </c>
      <c r="BI4" s="21" cm="1">
        <f t="array" aca="1" ref="BI4" ca="1">INDEX(Master!$H$2:'Master'!$H$4384,MATCH($A4&amp;BI$2,Master!$A$2:'Master'!$A$4384&amp;Master!$C$2:'Master'!$C$4384,0))</f>
        <v>1</v>
      </c>
      <c r="BJ4" s="21" cm="1">
        <f t="array" aca="1" ref="BJ4" ca="1">INDEX(Master!$H$2:'Master'!$H$4384,MATCH($A4&amp;BJ$2,Master!$A$2:'Master'!$A$4384&amp;Master!$C$2:'Master'!$C$4384,0))</f>
        <v>0</v>
      </c>
      <c r="BK4" s="21" cm="1">
        <f t="array" aca="1" ref="BK4" ca="1">INDEX(Master!$H$2:'Master'!$H$4384,MATCH($A4&amp;BK$2,Master!$A$2:'Master'!$A$4384&amp;Master!$C$2:'Master'!$C$4384,0))</f>
        <v>0</v>
      </c>
      <c r="BL4" s="21" cm="1">
        <f t="array" aca="1" ref="BL4" ca="1">INDEX(Master!$H$2:'Master'!$H$4384,MATCH($A4&amp;BL$2,Master!$A$2:'Master'!$A$4384&amp;Master!$C$2:'Master'!$C$4384,0))</f>
        <v>0</v>
      </c>
      <c r="BM4" s="21" cm="1">
        <f t="array" aca="1" ref="BM4" ca="1">INDEX(Master!$H$2:'Master'!$H$4384,MATCH($A4&amp;BM$2,Master!$A$2:'Master'!$A$4384&amp;Master!$C$2:'Master'!$C$4384,0))</f>
        <v>2</v>
      </c>
      <c r="BN4" s="21" cm="1">
        <f t="array" aca="1" ref="BN4" ca="1">INDEX(Master!$H$2:'Master'!$H$4384,MATCH($A4&amp;BN$2,Master!$A$2:'Master'!$A$4384&amp;Master!$C$2:'Master'!$C$4384,0))</f>
        <v>1</v>
      </c>
      <c r="BO4" s="21" cm="1">
        <f t="array" aca="1" ref="BO4" ca="1">INDEX(Master!$H$2:'Master'!$H$4384,MATCH($A4&amp;BO$2,Master!$A$2:'Master'!$A$4384&amp;Master!$C$2:'Master'!$C$4384,0))</f>
        <v>3</v>
      </c>
      <c r="BP4" s="21" cm="1">
        <f t="array" aca="1" ref="BP4" ca="1">INDEX(Master!$H$2:'Master'!$H$4384,MATCH($A4&amp;BP$2,Master!$A$2:'Master'!$A$4384&amp;Master!$C$2:'Master'!$C$4384,0))</f>
        <v>2</v>
      </c>
      <c r="BQ4" s="21" cm="1">
        <f t="array" aca="1" ref="BQ4" ca="1">INDEX(Master!$H$2:'Master'!$H$4384,MATCH($A4&amp;BQ$2,Master!$A$2:'Master'!$A$4384&amp;Master!$C$2:'Master'!$C$4384,0))</f>
        <v>3</v>
      </c>
      <c r="BR4" s="21" cm="1">
        <f t="array" aca="1" ref="BR4" ca="1">INDEX(Master!$H$2:'Master'!$H$4384,MATCH($A4&amp;BR$2,Master!$A$2:'Master'!$A$4384&amp;Master!$C$2:'Master'!$C$4384,0))</f>
        <v>1</v>
      </c>
      <c r="BS4" s="21" cm="1">
        <f t="array" aca="1" ref="BS4" ca="1">INDEX(Master!$H$2:'Master'!$H$4384,MATCH($A4&amp;BS$2,Master!$A$2:'Master'!$A$4384&amp;Master!$C$2:'Master'!$C$4384,0))</f>
        <v>2</v>
      </c>
      <c r="BT4" s="21" cm="1">
        <f t="array" aca="1" ref="BT4" ca="1">INDEX(Master!$H$2:'Master'!$H$4384,MATCH($A4&amp;BT$2,Master!$A$2:'Master'!$A$4384&amp;Master!$C$2:'Master'!$C$4384,0))</f>
        <v>0</v>
      </c>
      <c r="BU4" s="21" cm="1">
        <f t="array" aca="1" ref="BU4" ca="1">INDEX(Master!$H$2:'Master'!$H$4384,MATCH($A4&amp;BU$2,Master!$A$2:'Master'!$A$4384&amp;Master!$C$2:'Master'!$C$4384,0))</f>
        <v>1</v>
      </c>
      <c r="BV4" s="21" cm="1">
        <f t="array" aca="1" ref="BV4" ca="1">INDEX(Master!$H$2:'Master'!$H$4384,MATCH($A4&amp;BV$2,Master!$A$2:'Master'!$A$4384&amp;Master!$C$2:'Master'!$C$4384,0))</f>
        <v>0</v>
      </c>
      <c r="BW4" s="21" cm="1">
        <f t="array" aca="1" ref="BW4" ca="1">INDEX(Master!$H$2:'Master'!$H$4384,MATCH($A4&amp;BW$2,Master!$A$2:'Master'!$A$4384&amp;Master!$C$2:'Master'!$C$4384,0))</f>
        <v>0</v>
      </c>
      <c r="BX4" s="21" cm="1">
        <f t="array" aca="1" ref="BX4" ca="1">INDEX(Master!$H$2:'Master'!$H$4384,MATCH($A4&amp;BX$2,Master!$A$2:'Master'!$A$4384&amp;Master!$C$2:'Master'!$C$4384,0))</f>
        <v>1</v>
      </c>
      <c r="BY4" s="21" cm="1">
        <f t="array" aca="1" ref="BY4" ca="1">INDEX(Master!$H$2:'Master'!$H$4384,MATCH($A4&amp;BY$2,Master!$A$2:'Master'!$A$4384&amp;Master!$C$2:'Master'!$C$4384,0))</f>
        <v>1</v>
      </c>
      <c r="BZ4" s="21" cm="1">
        <f t="array" aca="1" ref="BZ4" ca="1">INDEX(Master!$H$2:'Master'!$H$4384,MATCH($A4&amp;BZ$2,Master!$A$2:'Master'!$A$4384&amp;Master!$C$2:'Master'!$C$4384,0))</f>
        <v>1</v>
      </c>
      <c r="CA4" s="21" cm="1">
        <f t="array" aca="1" ref="CA4" ca="1">INDEX(Master!$H$2:'Master'!$H$4384,MATCH($A4&amp;CA$2,Master!$A$2:'Master'!$A$4384&amp;Master!$C$2:'Master'!$C$4384,0))</f>
        <v>0</v>
      </c>
      <c r="CB4" s="21" cm="1">
        <f t="array" aca="1" ref="CB4" ca="1">INDEX(Master!$H$2:'Master'!$H$4384,MATCH($A4&amp;CB$2,Master!$A$2:'Master'!$A$4384&amp;Master!$C$2:'Master'!$C$4384,0))</f>
        <v>0</v>
      </c>
      <c r="CC4" s="21" cm="1">
        <f t="array" aca="1" ref="CC4" ca="1">INDEX(Master!$H$2:'Master'!$H$4384,MATCH($A4&amp;CC$2,Master!$A$2:'Master'!$A$4384&amp;Master!$C$2:'Master'!$C$4384,0))</f>
        <v>0</v>
      </c>
      <c r="CD4" s="21" cm="1">
        <f t="array" aca="1" ref="CD4" ca="1">INDEX(Master!$H$2:'Master'!$H$4384,MATCH($A4&amp;CD$2,Master!$A$2:'Master'!$A$4384&amp;Master!$C$2:'Master'!$C$4384,0))</f>
        <v>2</v>
      </c>
      <c r="CE4" s="21" cm="1">
        <f t="array" aca="1" ref="CE4" ca="1">INDEX(Master!$H$2:'Master'!$H$4384,MATCH($A4&amp;CE$2,Master!$A$2:'Master'!$A$4384&amp;Master!$C$2:'Master'!$C$4384,0))</f>
        <v>1</v>
      </c>
      <c r="CF4" s="21" cm="1">
        <f t="array" aca="1" ref="CF4" ca="1">INDEX(Master!$H$2:'Master'!$H$4384,MATCH($A4&amp;CF$2,Master!$A$2:'Master'!$A$4384&amp;Master!$C$2:'Master'!$C$4384,0))</f>
        <v>1</v>
      </c>
      <c r="CG4" s="21" cm="1">
        <f t="array" aca="1" ref="CG4" ca="1">INDEX(Master!$H$2:'Master'!$H$4384,MATCH($A4&amp;CG$2,Master!$A$2:'Master'!$A$4384&amp;Master!$C$2:'Master'!$C$4384,0))</f>
        <v>0</v>
      </c>
      <c r="CH4" s="21" cm="1">
        <f t="array" aca="1" ref="CH4" ca="1">INDEX(Master!$H$2:'Master'!$H$4384,MATCH($A4&amp;CH$2,Master!$A$2:'Master'!$A$4384&amp;Master!$C$2:'Master'!$C$4384,0))</f>
        <v>4</v>
      </c>
      <c r="CI4" s="21" cm="1">
        <f t="array" aca="1" ref="CI4" ca="1">INDEX(Master!$H$2:'Master'!$H$4384,MATCH($A4&amp;CI$2,Master!$A$2:'Master'!$A$4384&amp;Master!$C$2:'Master'!$C$4384,0))</f>
        <v>2</v>
      </c>
      <c r="CJ4" s="21" cm="1">
        <f t="array" aca="1" ref="CJ4" ca="1">INDEX(Master!$H$2:'Master'!$H$4384,MATCH($A4&amp;CJ$2,Master!$A$2:'Master'!$A$4384&amp;Master!$C$2:'Master'!$C$4384,0))</f>
        <v>2</v>
      </c>
      <c r="CK4" s="21" cm="1">
        <f t="array" aca="1" ref="CK4" ca="1">INDEX(Master!$H$2:'Master'!$H$4384,MATCH($A4&amp;CK$2,Master!$A$2:'Master'!$A$4384&amp;Master!$C$2:'Master'!$C$4384,0))</f>
        <v>2</v>
      </c>
      <c r="CL4" s="21" cm="1">
        <f t="array" aca="1" ref="CL4" ca="1">INDEX(Master!$H$2:'Master'!$H$4384,MATCH($A4&amp;CL$2,Master!$A$2:'Master'!$A$4384&amp;Master!$C$2:'Master'!$C$4384,0))</f>
        <v>3</v>
      </c>
      <c r="CM4" s="21" cm="1">
        <f t="array" aca="1" ref="CM4" ca="1">INDEX(Master!$H$2:'Master'!$H$4384,MATCH($A4&amp;CM$2,Master!$A$2:'Master'!$A$4384&amp;Master!$C$2:'Master'!$C$4384,0))</f>
        <v>4</v>
      </c>
      <c r="CN4" s="21" cm="1">
        <f t="array" aca="1" ref="CN4" ca="1">INDEX(Master!$H$2:'Master'!$H$4384,MATCH($A4&amp;CN$2,Master!$A$2:'Master'!$A$4384&amp;Master!$C$2:'Master'!$C$4384,0))</f>
        <v>1</v>
      </c>
      <c r="CO4" s="21" cm="1">
        <f t="array" aca="1" ref="CO4" ca="1">INDEX(Master!$H$2:'Master'!$H$4384,MATCH($A4&amp;CO$2,Master!$A$2:'Master'!$A$4384&amp;Master!$C$2:'Master'!$C$4384,0))</f>
        <v>3</v>
      </c>
      <c r="CP4" s="21" cm="1">
        <f t="array" aca="1" ref="CP4" ca="1">INDEX(Master!$H$2:'Master'!$H$4384,MATCH($A4&amp;CP$2,Master!$A$2:'Master'!$A$4384&amp;Master!$C$2:'Master'!$C$4384,0))</f>
        <v>2</v>
      </c>
      <c r="CQ4" s="21" cm="1">
        <f t="array" aca="1" ref="CQ4" ca="1">INDEX(Master!$H$2:'Master'!$H$4384,MATCH($A4&amp;CQ$2,Master!$A$2:'Master'!$A$4384&amp;Master!$C$2:'Master'!$C$4384,0))</f>
        <v>2</v>
      </c>
      <c r="CR4" s="21" cm="1">
        <f t="array" aca="1" ref="CR4" ca="1">INDEX(Master!$H$2:'Master'!$H$4384,MATCH($A4&amp;CR$2,Master!$A$2:'Master'!$A$4384&amp;Master!$C$2:'Master'!$C$4384,0))</f>
        <v>3</v>
      </c>
      <c r="CS4" s="21" cm="1">
        <f t="array" aca="1" ref="CS4" ca="1">INDEX(Master!$H$2:'Master'!$H$4384,MATCH($A4&amp;CS$2,Master!$A$2:'Master'!$A$4384&amp;Master!$C$2:'Master'!$C$4384,0))</f>
        <v>1</v>
      </c>
    </row>
    <row r="5" spans="1:97">
      <c r="A5" s="22" t="str">
        <f>VLOOKUP(Staff!$A2,Staff!$A$1:A$73,1,FALSE)</f>
        <v>Humphrey Goodman</v>
      </c>
      <c r="B5" s="21" cm="1">
        <f t="array" aca="1" ref="B5" ca="1">INDEX(Master!$H$2:'Master'!$H$4384,MATCH($A5&amp;B$2,Master!$A$2:'Master'!$A$4384&amp;Master!$C$2:'Master'!$C$4384,0))</f>
        <v>0</v>
      </c>
      <c r="C5" s="21" cm="1">
        <f t="array" aca="1" ref="C5" ca="1">INDEX(Master!$H$2:'Master'!$H$4384,MATCH($A5&amp;C$2,Master!$A$2:'Master'!$A$4384&amp;Master!$C$2:'Master'!$C$4384,0))</f>
        <v>1</v>
      </c>
      <c r="D5" s="21" cm="1">
        <f t="array" aca="1" ref="D5" ca="1">INDEX(Master!$H$2:'Master'!$H$4384,MATCH($A5&amp;D$2,Master!$A$2:'Master'!$A$4384&amp;Master!$C$2:'Master'!$C$4384,0))</f>
        <v>3</v>
      </c>
      <c r="E5" s="21" cm="1">
        <f t="array" aca="1" ref="E5" ca="1">INDEX(Master!$H$2:'Master'!$H$4384,MATCH($A5&amp;E$2,Master!$A$2:'Master'!$A$4384&amp;Master!$C$2:'Master'!$C$4384,0))</f>
        <v>0</v>
      </c>
      <c r="F5" s="21" cm="1">
        <f t="array" aca="1" ref="F5" ca="1">INDEX(Master!$H$2:'Master'!$H$4384,MATCH($A5&amp;F$2,Master!$A$2:'Master'!$A$4384&amp;Master!$C$2:'Master'!$C$4384,0))</f>
        <v>0</v>
      </c>
      <c r="G5" s="21" cm="1">
        <f t="array" aca="1" ref="G5" ca="1">INDEX(Master!$H$2:'Master'!$H$4384,MATCH($A5&amp;G$2,Master!$A$2:'Master'!$A$4384&amp;Master!$C$2:'Master'!$C$4384,0))</f>
        <v>1</v>
      </c>
      <c r="H5" s="21" cm="1">
        <f t="array" aca="1" ref="H5" ca="1">INDEX(Master!$H$2:'Master'!$H$4384,MATCH($A5&amp;H$2,Master!$A$2:'Master'!$A$4384&amp;Master!$C$2:'Master'!$C$4384,0))</f>
        <v>-1</v>
      </c>
      <c r="I5" s="21" cm="1">
        <f t="array" aca="1" ref="I5" ca="1">INDEX(Master!$H$2:'Master'!$H$4384,MATCH($A5&amp;I$2,Master!$A$2:'Master'!$A$4384&amp;Master!$C$2:'Master'!$C$4384,0))</f>
        <v>0</v>
      </c>
      <c r="J5" s="21" cm="1">
        <f t="array" aca="1" ref="J5" ca="1">INDEX(Master!$H$2:'Master'!$H$4384,MATCH($A5&amp;J$2,Master!$A$2:'Master'!$A$4384&amp;Master!$C$2:'Master'!$C$4384,0))</f>
        <v>0</v>
      </c>
      <c r="K5" s="21" cm="1">
        <f t="array" aca="1" ref="K5" ca="1">INDEX(Master!$H$2:'Master'!$H$4384,MATCH($A5&amp;K$2,Master!$A$2:'Master'!$A$4384&amp;Master!$C$2:'Master'!$C$4384,0))</f>
        <v>0</v>
      </c>
      <c r="L5" s="21" cm="1">
        <f t="array" aca="1" ref="L5" ca="1">INDEX(Master!$H$2:'Master'!$H$4384,MATCH($A5&amp;L$2,Master!$A$2:'Master'!$A$4384&amp;Master!$C$2:'Master'!$C$4384,0))</f>
        <v>0</v>
      </c>
      <c r="M5" s="21" cm="1">
        <f t="array" aca="1" ref="M5" ca="1">INDEX(Master!$H$2:'Master'!$H$4384,MATCH($A5&amp;M$2,Master!$A$2:'Master'!$A$4384&amp;Master!$C$2:'Master'!$C$4384,0))</f>
        <v>1</v>
      </c>
      <c r="N5" s="21" cm="1">
        <f t="array" aca="1" ref="N5" ca="1">INDEX(Master!$H$2:'Master'!$H$4384,MATCH($A5&amp;N$2,Master!$A$2:'Master'!$A$4384&amp;Master!$C$2:'Master'!$C$4384,0))</f>
        <v>2</v>
      </c>
      <c r="O5" s="21" cm="1">
        <f t="array" aca="1" ref="O5" ca="1">INDEX(Master!$H$2:'Master'!$H$4384,MATCH($A5&amp;O$2,Master!$A$2:'Master'!$A$4384&amp;Master!$C$2:'Master'!$C$4384,0))</f>
        <v>2</v>
      </c>
      <c r="P5" s="21" cm="1">
        <f t="array" aca="1" ref="P5" ca="1">INDEX(Master!$H$2:'Master'!$H$4384,MATCH($A5&amp;P$2,Master!$A$2:'Master'!$A$4384&amp;Master!$C$2:'Master'!$C$4384,0))</f>
        <v>3</v>
      </c>
      <c r="Q5" s="21" cm="1">
        <f t="array" aca="1" ref="Q5" ca="1">INDEX(Master!$H$2:'Master'!$H$4384,MATCH($A5&amp;Q$2,Master!$A$2:'Master'!$A$4384&amp;Master!$C$2:'Master'!$C$4384,0))</f>
        <v>4</v>
      </c>
      <c r="R5" s="21" cm="1">
        <f t="array" aca="1" ref="R5" ca="1">INDEX(Master!$H$2:'Master'!$H$4384,MATCH($A5&amp;R$2,Master!$A$2:'Master'!$A$4384&amp;Master!$C$2:'Master'!$C$4384,0))</f>
        <v>4</v>
      </c>
      <c r="S5" s="21" cm="1">
        <f t="array" aca="1" ref="S5" ca="1">INDEX(Master!$H$2:'Master'!$H$4384,MATCH($A5&amp;S$2,Master!$A$2:'Master'!$A$4384&amp;Master!$C$2:'Master'!$C$4384,0))</f>
        <v>4</v>
      </c>
      <c r="T5" s="21" cm="1">
        <f t="array" aca="1" ref="T5" ca="1">INDEX(Master!$H$2:'Master'!$H$4384,MATCH($A5&amp;T$2,Master!$A$2:'Master'!$A$4384&amp;Master!$C$2:'Master'!$C$4384,0))</f>
        <v>4</v>
      </c>
      <c r="U5" s="21" cm="1">
        <f t="array" aca="1" ref="U5" ca="1">INDEX(Master!$H$2:'Master'!$H$4384,MATCH($A5&amp;U$2,Master!$A$2:'Master'!$A$4384&amp;Master!$C$2:'Master'!$C$4384,0))</f>
        <v>3</v>
      </c>
      <c r="V5" s="21" cm="1">
        <f t="array" aca="1" ref="V5" ca="1">INDEX(Master!$H$2:'Master'!$H$4384,MATCH($A5&amp;V$2,Master!$A$2:'Master'!$A$4384&amp;Master!$C$2:'Master'!$C$4384,0))</f>
        <v>1</v>
      </c>
      <c r="W5" s="21" cm="1">
        <f t="array" aca="1" ref="W5" ca="1">INDEX(Master!$H$2:'Master'!$H$4384,MATCH($A5&amp;W$2,Master!$A$2:'Master'!$A$4384&amp;Master!$C$2:'Master'!$C$4384,0))</f>
        <v>4</v>
      </c>
      <c r="X5" s="21" cm="1">
        <f t="array" aca="1" ref="X5" ca="1">INDEX(Master!$H$2:'Master'!$H$4384,MATCH($A5&amp;X$2,Master!$A$2:'Master'!$A$4384&amp;Master!$C$2:'Master'!$C$4384,0))</f>
        <v>3</v>
      </c>
      <c r="Y5" s="21" cm="1">
        <f t="array" aca="1" ref="Y5" ca="1">INDEX(Master!$H$2:'Master'!$H$4384,MATCH($A5&amp;Y$2,Master!$A$2:'Master'!$A$4384&amp;Master!$C$2:'Master'!$C$4384,0))</f>
        <v>3</v>
      </c>
      <c r="Z5" s="21" cm="1">
        <f t="array" aca="1" ref="Z5" ca="1">INDEX(Master!$H$2:'Master'!$H$4384,MATCH($A5&amp;Z$2,Master!$A$2:'Master'!$A$4384&amp;Master!$C$2:'Master'!$C$4384,0))</f>
        <v>0</v>
      </c>
      <c r="AA5" s="21" cm="1">
        <f t="array" aca="1" ref="AA5" ca="1">INDEX(Master!$H$2:'Master'!$H$4384,MATCH($A5&amp;AA$2,Master!$A$2:'Master'!$A$4384&amp;Master!$C$2:'Master'!$C$4384,0))</f>
        <v>-1</v>
      </c>
      <c r="AB5" s="21" cm="1">
        <f t="array" aca="1" ref="AB5" ca="1">INDEX(Master!$H$2:'Master'!$H$4384,MATCH($A5&amp;AB$2,Master!$A$2:'Master'!$A$4384&amp;Master!$C$2:'Master'!$C$4384,0))</f>
        <v>0</v>
      </c>
      <c r="AC5" s="21" cm="1">
        <f t="array" aca="1" ref="AC5" ca="1">INDEX(Master!$H$2:'Master'!$H$4384,MATCH($A5&amp;AC$2,Master!$A$2:'Master'!$A$4384&amp;Master!$C$2:'Master'!$C$4384,0))</f>
        <v>0</v>
      </c>
      <c r="AD5" s="21" cm="1">
        <f t="array" aca="1" ref="AD5" ca="1">INDEX(Master!$H$2:'Master'!$H$4384,MATCH($A5&amp;AD$2,Master!$A$2:'Master'!$A$4384&amp;Master!$C$2:'Master'!$C$4384,0))</f>
        <v>-1</v>
      </c>
      <c r="AE5" s="21" cm="1">
        <f t="array" aca="1" ref="AE5" ca="1">INDEX(Master!$H$2:'Master'!$H$4384,MATCH($A5&amp;AE$2,Master!$A$2:'Master'!$A$4384&amp;Master!$C$2:'Master'!$C$4384,0))</f>
        <v>1</v>
      </c>
      <c r="AF5" s="21" cm="1">
        <f t="array" aca="1" ref="AF5" ca="1">INDEX(Master!$H$2:'Master'!$H$4384,MATCH($A5&amp;AF$2,Master!$A$2:'Master'!$A$4384&amp;Master!$C$2:'Master'!$C$4384,0))</f>
        <v>0</v>
      </c>
      <c r="AG5" s="21" cm="1">
        <f t="array" aca="1" ref="AG5" ca="1">INDEX(Master!$H$2:'Master'!$H$4384,MATCH($A5&amp;AG$2,Master!$A$2:'Master'!$A$4384&amp;Master!$C$2:'Master'!$C$4384,0))</f>
        <v>-2</v>
      </c>
      <c r="AH5" s="21" cm="1">
        <f t="array" aca="1" ref="AH5" ca="1">INDEX(Master!$H$2:'Master'!$H$4384,MATCH($A5&amp;AH$2,Master!$A$2:'Master'!$A$4384&amp;Master!$C$2:'Master'!$C$4384,0))</f>
        <v>1</v>
      </c>
      <c r="AI5" s="21" cm="1">
        <f t="array" aca="1" ref="AI5" ca="1">INDEX(Master!$H$2:'Master'!$H$4384,MATCH($A5&amp;AI$2,Master!$A$2:'Master'!$A$4384&amp;Master!$C$2:'Master'!$C$4384,0))</f>
        <v>2</v>
      </c>
      <c r="AJ5" s="21" cm="1">
        <f t="array" aca="1" ref="AJ5" ca="1">INDEX(Master!$H$2:'Master'!$H$4384,MATCH($A5&amp;AJ$2,Master!$A$2:'Master'!$A$4384&amp;Master!$C$2:'Master'!$C$4384,0))</f>
        <v>4</v>
      </c>
      <c r="AK5" s="21" cm="1">
        <f t="array" aca="1" ref="AK5" ca="1">INDEX(Master!$H$2:'Master'!$H$4384,MATCH($A5&amp;AK$2,Master!$A$2:'Master'!$A$4384&amp;Master!$C$2:'Master'!$C$4384,0))</f>
        <v>0</v>
      </c>
      <c r="AL5" s="21" cm="1">
        <f t="array" aca="1" ref="AL5" ca="1">INDEX(Master!$H$2:'Master'!$H$4384,MATCH($A5&amp;AL$2,Master!$A$2:'Master'!$A$4384&amp;Master!$C$2:'Master'!$C$4384,0))</f>
        <v>3</v>
      </c>
      <c r="AM5" s="21" cm="1">
        <f t="array" aca="1" ref="AM5" ca="1">INDEX(Master!$H$2:'Master'!$H$4384,MATCH($A5&amp;AM$2,Master!$A$2:'Master'!$A$4384&amp;Master!$C$2:'Master'!$C$4384,0))</f>
        <v>3</v>
      </c>
      <c r="AN5" s="21" cm="1">
        <f t="array" aca="1" ref="AN5" ca="1">INDEX(Master!$H$2:'Master'!$H$4384,MATCH($A5&amp;AN$2,Master!$A$2:'Master'!$A$4384&amp;Master!$C$2:'Master'!$C$4384,0))</f>
        <v>0</v>
      </c>
      <c r="AO5" s="21" cm="1">
        <f t="array" aca="1" ref="AO5" ca="1">INDEX(Master!$H$2:'Master'!$H$4384,MATCH($A5&amp;AO$2,Master!$A$2:'Master'!$A$4384&amp;Master!$C$2:'Master'!$C$4384,0))</f>
        <v>0</v>
      </c>
      <c r="AP5" s="21" cm="1">
        <f t="array" aca="1" ref="AP5" ca="1">INDEX(Master!$H$2:'Master'!$H$4384,MATCH($A5&amp;AP$2,Master!$A$2:'Master'!$A$4384&amp;Master!$C$2:'Master'!$C$4384,0))</f>
        <v>0</v>
      </c>
      <c r="AQ5" s="21" cm="1">
        <f t="array" aca="1" ref="AQ5" ca="1">INDEX(Master!$H$2:'Master'!$H$4384,MATCH($A5&amp;AQ$2,Master!$A$2:'Master'!$A$4384&amp;Master!$C$2:'Master'!$C$4384,0))</f>
        <v>0</v>
      </c>
      <c r="AR5" s="21" cm="1">
        <f t="array" aca="1" ref="AR5" ca="1">INDEX(Master!$H$2:'Master'!$H$4384,MATCH($A5&amp;AR$2,Master!$A$2:'Master'!$A$4384&amp;Master!$C$2:'Master'!$C$4384,0))</f>
        <v>0</v>
      </c>
      <c r="AS5" s="21" cm="1">
        <f t="array" aca="1" ref="AS5" ca="1">INDEX(Master!$H$2:'Master'!$H$4384,MATCH($A5&amp;AS$2,Master!$A$2:'Master'!$A$4384&amp;Master!$C$2:'Master'!$C$4384,0))</f>
        <v>0</v>
      </c>
      <c r="AT5" s="21" cm="1">
        <f t="array" aca="1" ref="AT5" ca="1">INDEX(Master!$H$2:'Master'!$H$4384,MATCH($A5&amp;AT$2,Master!$A$2:'Master'!$A$4384&amp;Master!$C$2:'Master'!$C$4384,0))</f>
        <v>1</v>
      </c>
      <c r="AU5" s="21" cm="1">
        <f t="array" aca="1" ref="AU5" ca="1">INDEX(Master!$H$2:'Master'!$H$4384,MATCH($A5&amp;AU$2,Master!$A$2:'Master'!$A$4384&amp;Master!$C$2:'Master'!$C$4384,0))</f>
        <v>0</v>
      </c>
      <c r="AV5" s="21" cm="1">
        <f t="array" aca="1" ref="AV5" ca="1">INDEX(Master!$H$2:'Master'!$H$4384,MATCH($A5&amp;AV$2,Master!$A$2:'Master'!$A$4384&amp;Master!$C$2:'Master'!$C$4384,0))</f>
        <v>1</v>
      </c>
      <c r="AW5" s="21" cm="1">
        <f t="array" aca="1" ref="AW5" ca="1">INDEX(Master!$H$2:'Master'!$H$4384,MATCH($A5&amp;AW$2,Master!$A$2:'Master'!$A$4384&amp;Master!$C$2:'Master'!$C$4384,0))</f>
        <v>0</v>
      </c>
      <c r="AX5" s="21" cm="1">
        <f t="array" aca="1" ref="AX5" ca="1">INDEX(Master!$H$2:'Master'!$H$4384,MATCH($A5&amp;AX$2,Master!$A$2:'Master'!$A$4384&amp;Master!$C$2:'Master'!$C$4384,0))</f>
        <v>3</v>
      </c>
      <c r="AY5" s="21" cm="1">
        <f t="array" aca="1" ref="AY5" ca="1">INDEX(Master!$H$2:'Master'!$H$4384,MATCH($A5&amp;AY$2,Master!$A$2:'Master'!$A$4384&amp;Master!$C$2:'Master'!$C$4384,0))</f>
        <v>2</v>
      </c>
      <c r="AZ5" s="21" cm="1">
        <f t="array" aca="1" ref="AZ5" ca="1">INDEX(Master!$H$2:'Master'!$H$4384,MATCH($A5&amp;AZ$2,Master!$A$2:'Master'!$A$4384&amp;Master!$C$2:'Master'!$C$4384,0))</f>
        <v>2</v>
      </c>
      <c r="BA5" s="21" cm="1">
        <f t="array" aca="1" ref="BA5" ca="1">INDEX(Master!$H$2:'Master'!$H$4384,MATCH($A5&amp;BA$2,Master!$A$2:'Master'!$A$4384&amp;Master!$C$2:'Master'!$C$4384,0))</f>
        <v>2</v>
      </c>
      <c r="BB5" s="21" cm="1">
        <f t="array" aca="1" ref="BB5" ca="1">INDEX(Master!$H$2:'Master'!$H$4384,MATCH($A5&amp;BB$2,Master!$A$2:'Master'!$A$4384&amp;Master!$C$2:'Master'!$C$4384,0))</f>
        <v>3</v>
      </c>
      <c r="BC5" s="21" cm="1">
        <f t="array" aca="1" ref="BC5" ca="1">INDEX(Master!$H$2:'Master'!$H$4384,MATCH($A5&amp;BC$2,Master!$A$2:'Master'!$A$4384&amp;Master!$C$2:'Master'!$C$4384,0))</f>
        <v>1</v>
      </c>
      <c r="BD5" s="21" cm="1">
        <f t="array" aca="1" ref="BD5" ca="1">INDEX(Master!$H$2:'Master'!$H$4384,MATCH($A5&amp;BD$2,Master!$A$2:'Master'!$A$4384&amp;Master!$C$2:'Master'!$C$4384,0))</f>
        <v>4</v>
      </c>
      <c r="BE5" s="21" cm="1">
        <f t="array" aca="1" ref="BE5" ca="1">INDEX(Master!$H$2:'Master'!$H$4384,MATCH($A5&amp;BE$2,Master!$A$2:'Master'!$A$4384&amp;Master!$C$2:'Master'!$C$4384,0))</f>
        <v>2</v>
      </c>
      <c r="BF5" s="21" cm="1">
        <f t="array" aca="1" ref="BF5" ca="1">INDEX(Master!$H$2:'Master'!$H$4384,MATCH($A5&amp;BF$2,Master!$A$2:'Master'!$A$4384&amp;Master!$C$2:'Master'!$C$4384,0))</f>
        <v>1</v>
      </c>
      <c r="BG5" s="21" cm="1">
        <f t="array" aca="1" ref="BG5" ca="1">INDEX(Master!$H$2:'Master'!$H$4384,MATCH($A5&amp;BG$2,Master!$A$2:'Master'!$A$4384&amp;Master!$C$2:'Master'!$C$4384,0))</f>
        <v>1</v>
      </c>
      <c r="BH5" s="21" cm="1">
        <f t="array" aca="1" ref="BH5" ca="1">INDEX(Master!$H$2:'Master'!$H$4384,MATCH($A5&amp;BH$2,Master!$A$2:'Master'!$A$4384&amp;Master!$C$2:'Master'!$C$4384,0))</f>
        <v>2</v>
      </c>
      <c r="BI5" s="21" cm="1">
        <f t="array" aca="1" ref="BI5" ca="1">INDEX(Master!$H$2:'Master'!$H$4384,MATCH($A5&amp;BI$2,Master!$A$2:'Master'!$A$4384&amp;Master!$C$2:'Master'!$C$4384,0))</f>
        <v>0</v>
      </c>
      <c r="BJ5" s="21" cm="1">
        <f t="array" aca="1" ref="BJ5" ca="1">INDEX(Master!$H$2:'Master'!$H$4384,MATCH($A5&amp;BJ$2,Master!$A$2:'Master'!$A$4384&amp;Master!$C$2:'Master'!$C$4384,0))</f>
        <v>2</v>
      </c>
      <c r="BK5" s="21" cm="1">
        <f t="array" aca="1" ref="BK5" ca="1">INDEX(Master!$H$2:'Master'!$H$4384,MATCH($A5&amp;BK$2,Master!$A$2:'Master'!$A$4384&amp;Master!$C$2:'Master'!$C$4384,0))</f>
        <v>2</v>
      </c>
      <c r="BL5" s="21" cm="1">
        <f t="array" aca="1" ref="BL5" ca="1">INDEX(Master!$H$2:'Master'!$H$4384,MATCH($A5&amp;BL$2,Master!$A$2:'Master'!$A$4384&amp;Master!$C$2:'Master'!$C$4384,0))</f>
        <v>2</v>
      </c>
      <c r="BM5" s="21" cm="1">
        <f t="array" aca="1" ref="BM5" ca="1">INDEX(Master!$H$2:'Master'!$H$4384,MATCH($A5&amp;BM$2,Master!$A$2:'Master'!$A$4384&amp;Master!$C$2:'Master'!$C$4384,0))</f>
        <v>2</v>
      </c>
      <c r="BN5" s="21" cm="1">
        <f t="array" aca="1" ref="BN5" ca="1">INDEX(Master!$H$2:'Master'!$H$4384,MATCH($A5&amp;BN$2,Master!$A$2:'Master'!$A$4384&amp;Master!$C$2:'Master'!$C$4384,0))</f>
        <v>4</v>
      </c>
      <c r="BO5" s="21" cm="1">
        <f t="array" aca="1" ref="BO5" ca="1">INDEX(Master!$H$2:'Master'!$H$4384,MATCH($A5&amp;BO$2,Master!$A$2:'Master'!$A$4384&amp;Master!$C$2:'Master'!$C$4384,0))</f>
        <v>2</v>
      </c>
      <c r="BP5" s="21" cm="1">
        <f t="array" aca="1" ref="BP5" ca="1">INDEX(Master!$H$2:'Master'!$H$4384,MATCH($A5&amp;BP$2,Master!$A$2:'Master'!$A$4384&amp;Master!$C$2:'Master'!$C$4384,0))</f>
        <v>3</v>
      </c>
      <c r="BQ5" s="21" cm="1">
        <f t="array" aca="1" ref="BQ5" ca="1">INDEX(Master!$H$2:'Master'!$H$4384,MATCH($A5&amp;BQ$2,Master!$A$2:'Master'!$A$4384&amp;Master!$C$2:'Master'!$C$4384,0))</f>
        <v>4</v>
      </c>
      <c r="BR5" s="21" cm="1">
        <f t="array" aca="1" ref="BR5" ca="1">INDEX(Master!$H$2:'Master'!$H$4384,MATCH($A5&amp;BR$2,Master!$A$2:'Master'!$A$4384&amp;Master!$C$2:'Master'!$C$4384,0))</f>
        <v>4</v>
      </c>
      <c r="BS5" s="21" cm="1">
        <f t="array" aca="1" ref="BS5" ca="1">INDEX(Master!$H$2:'Master'!$H$4384,MATCH($A5&amp;BS$2,Master!$A$2:'Master'!$A$4384&amp;Master!$C$2:'Master'!$C$4384,0))</f>
        <v>3</v>
      </c>
      <c r="BT5" s="21" cm="1">
        <f t="array" aca="1" ref="BT5" ca="1">INDEX(Master!$H$2:'Master'!$H$4384,MATCH($A5&amp;BT$2,Master!$A$2:'Master'!$A$4384&amp;Master!$C$2:'Master'!$C$4384,0))</f>
        <v>2</v>
      </c>
      <c r="BU5" s="21" cm="1">
        <f t="array" aca="1" ref="BU5" ca="1">INDEX(Master!$H$2:'Master'!$H$4384,MATCH($A5&amp;BU$2,Master!$A$2:'Master'!$A$4384&amp;Master!$C$2:'Master'!$C$4384,0))</f>
        <v>4</v>
      </c>
      <c r="BV5" s="21" cm="1">
        <f t="array" aca="1" ref="BV5" ca="1">INDEX(Master!$H$2:'Master'!$H$4384,MATCH($A5&amp;BV$2,Master!$A$2:'Master'!$A$4384&amp;Master!$C$2:'Master'!$C$4384,0))</f>
        <v>4</v>
      </c>
      <c r="BW5" s="21" cm="1">
        <f t="array" aca="1" ref="BW5" ca="1">INDEX(Master!$H$2:'Master'!$H$4384,MATCH($A5&amp;BW$2,Master!$A$2:'Master'!$A$4384&amp;Master!$C$2:'Master'!$C$4384,0))</f>
        <v>1</v>
      </c>
      <c r="BX5" s="21" cm="1">
        <f t="array" aca="1" ref="BX5" ca="1">INDEX(Master!$H$2:'Master'!$H$4384,MATCH($A5&amp;BX$2,Master!$A$2:'Master'!$A$4384&amp;Master!$C$2:'Master'!$C$4384,0))</f>
        <v>1</v>
      </c>
      <c r="BY5" s="21" cm="1">
        <f t="array" aca="1" ref="BY5" ca="1">INDEX(Master!$H$2:'Master'!$H$4384,MATCH($A5&amp;BY$2,Master!$A$2:'Master'!$A$4384&amp;Master!$C$2:'Master'!$C$4384,0))</f>
        <v>2</v>
      </c>
      <c r="BZ5" s="21" cm="1">
        <f t="array" aca="1" ref="BZ5" ca="1">INDEX(Master!$H$2:'Master'!$H$4384,MATCH($A5&amp;BZ$2,Master!$A$2:'Master'!$A$4384&amp;Master!$C$2:'Master'!$C$4384,0))</f>
        <v>0</v>
      </c>
      <c r="CA5" s="21" cm="1">
        <f t="array" aca="1" ref="CA5" ca="1">INDEX(Master!$H$2:'Master'!$H$4384,MATCH($A5&amp;CA$2,Master!$A$2:'Master'!$A$4384&amp;Master!$C$2:'Master'!$C$4384,0))</f>
        <v>2</v>
      </c>
      <c r="CB5" s="21" cm="1">
        <f t="array" aca="1" ref="CB5" ca="1">INDEX(Master!$H$2:'Master'!$H$4384,MATCH($A5&amp;CB$2,Master!$A$2:'Master'!$A$4384&amp;Master!$C$2:'Master'!$C$4384,0))</f>
        <v>2</v>
      </c>
      <c r="CC5" s="21" cm="1">
        <f t="array" aca="1" ref="CC5" ca="1">INDEX(Master!$H$2:'Master'!$H$4384,MATCH($A5&amp;CC$2,Master!$A$2:'Master'!$A$4384&amp;Master!$C$2:'Master'!$C$4384,0))</f>
        <v>2</v>
      </c>
      <c r="CD5" s="21" cm="1">
        <f t="array" aca="1" ref="CD5" ca="1">INDEX(Master!$H$2:'Master'!$H$4384,MATCH($A5&amp;CD$2,Master!$A$2:'Master'!$A$4384&amp;Master!$C$2:'Master'!$C$4384,0))</f>
        <v>2</v>
      </c>
      <c r="CE5" s="21" cm="1">
        <f t="array" aca="1" ref="CE5" ca="1">INDEX(Master!$H$2:'Master'!$H$4384,MATCH($A5&amp;CE$2,Master!$A$2:'Master'!$A$4384&amp;Master!$C$2:'Master'!$C$4384,0))</f>
        <v>2</v>
      </c>
      <c r="CF5" s="21" cm="1">
        <f t="array" aca="1" ref="CF5" ca="1">INDEX(Master!$H$2:'Master'!$H$4384,MATCH($A5&amp;CF$2,Master!$A$2:'Master'!$A$4384&amp;Master!$C$2:'Master'!$C$4384,0))</f>
        <v>0</v>
      </c>
      <c r="CG5" s="21" cm="1">
        <f t="array" aca="1" ref="CG5" ca="1">INDEX(Master!$H$2:'Master'!$H$4384,MATCH($A5&amp;CG$2,Master!$A$2:'Master'!$A$4384&amp;Master!$C$2:'Master'!$C$4384,0))</f>
        <v>0</v>
      </c>
      <c r="CH5" s="21" cm="1">
        <f t="array" aca="1" ref="CH5" ca="1">INDEX(Master!$H$2:'Master'!$H$4384,MATCH($A5&amp;CH$2,Master!$A$2:'Master'!$A$4384&amp;Master!$C$2:'Master'!$C$4384,0))</f>
        <v>-1</v>
      </c>
      <c r="CI5" s="21" cm="1">
        <f t="array" aca="1" ref="CI5" ca="1">INDEX(Master!$H$2:'Master'!$H$4384,MATCH($A5&amp;CI$2,Master!$A$2:'Master'!$A$4384&amp;Master!$C$2:'Master'!$C$4384,0))</f>
        <v>-1</v>
      </c>
      <c r="CJ5" s="21" cm="1">
        <f t="array" aca="1" ref="CJ5" ca="1">INDEX(Master!$H$2:'Master'!$H$4384,MATCH($A5&amp;CJ$2,Master!$A$2:'Master'!$A$4384&amp;Master!$C$2:'Master'!$C$4384,0))</f>
        <v>-1</v>
      </c>
      <c r="CK5" s="21" cm="1">
        <f t="array" aca="1" ref="CK5" ca="1">INDEX(Master!$H$2:'Master'!$H$4384,MATCH($A5&amp;CK$2,Master!$A$2:'Master'!$A$4384&amp;Master!$C$2:'Master'!$C$4384,0))</f>
        <v>2</v>
      </c>
      <c r="CL5" s="21" cm="1">
        <f t="array" aca="1" ref="CL5" ca="1">INDEX(Master!$H$2:'Master'!$H$4384,MATCH($A5&amp;CL$2,Master!$A$2:'Master'!$A$4384&amp;Master!$C$2:'Master'!$C$4384,0))</f>
        <v>4</v>
      </c>
      <c r="CM5" s="21" cm="1">
        <f t="array" aca="1" ref="CM5" ca="1">INDEX(Master!$H$2:'Master'!$H$4384,MATCH($A5&amp;CM$2,Master!$A$2:'Master'!$A$4384&amp;Master!$C$2:'Master'!$C$4384,0))</f>
        <v>3</v>
      </c>
      <c r="CN5" s="21" cm="1">
        <f t="array" aca="1" ref="CN5" ca="1">INDEX(Master!$H$2:'Master'!$H$4384,MATCH($A5&amp;CN$2,Master!$A$2:'Master'!$A$4384&amp;Master!$C$2:'Master'!$C$4384,0))</f>
        <v>1</v>
      </c>
      <c r="CO5" s="21" cm="1">
        <f t="array" aca="1" ref="CO5" ca="1">INDEX(Master!$H$2:'Master'!$H$4384,MATCH($A5&amp;CO$2,Master!$A$2:'Master'!$A$4384&amp;Master!$C$2:'Master'!$C$4384,0))</f>
        <v>1</v>
      </c>
      <c r="CP5" s="21" cm="1">
        <f t="array" aca="1" ref="CP5" ca="1">INDEX(Master!$H$2:'Master'!$H$4384,MATCH($A5&amp;CP$2,Master!$A$2:'Master'!$A$4384&amp;Master!$C$2:'Master'!$C$4384,0))</f>
        <v>2</v>
      </c>
      <c r="CQ5" s="21" cm="1">
        <f t="array" aca="1" ref="CQ5" ca="1">INDEX(Master!$H$2:'Master'!$H$4384,MATCH($A5&amp;CQ$2,Master!$A$2:'Master'!$A$4384&amp;Master!$C$2:'Master'!$C$4384,0))</f>
        <v>2</v>
      </c>
      <c r="CR5" s="21" cm="1">
        <f t="array" aca="1" ref="CR5" ca="1">INDEX(Master!$H$2:'Master'!$H$4384,MATCH($A5&amp;CR$2,Master!$A$2:'Master'!$A$4384&amp;Master!$C$2:'Master'!$C$4384,0))</f>
        <v>2</v>
      </c>
      <c r="CS5" s="21" cm="1">
        <f t="array" aca="1" ref="CS5" ca="1">INDEX(Master!$H$2:'Master'!$H$4384,MATCH($A5&amp;CS$2,Master!$A$2:'Master'!$A$4384&amp;Master!$C$2:'Master'!$C$4384,0))</f>
        <v>2</v>
      </c>
    </row>
    <row r="6" spans="1:97">
      <c r="A6" s="22" t="str">
        <f>VLOOKUP(Staff!$A3,Staff!$A$1:A$73,1,FALSE)</f>
        <v>Ted Hastings</v>
      </c>
      <c r="B6" s="21" cm="1">
        <f t="array" aca="1" ref="B6" ca="1">INDEX(Master!$H$2:'Master'!$H$4384,MATCH($A6&amp;B$2,Master!$A$2:'Master'!$A$4384&amp;Master!$C$2:'Master'!$C$4384,0))</f>
        <v>0</v>
      </c>
      <c r="C6" s="21" cm="1">
        <f t="array" aca="1" ref="C6" ca="1">INDEX(Master!$H$2:'Master'!$H$4384,MATCH($A6&amp;C$2,Master!$A$2:'Master'!$A$4384&amp;Master!$C$2:'Master'!$C$4384,0))</f>
        <v>1</v>
      </c>
      <c r="D6" s="21" cm="1">
        <f t="array" aca="1" ref="D6" ca="1">INDEX(Master!$H$2:'Master'!$H$4384,MATCH($A6&amp;D$2,Master!$A$2:'Master'!$A$4384&amp;Master!$C$2:'Master'!$C$4384,0))</f>
        <v>1</v>
      </c>
      <c r="E6" s="21" cm="1">
        <f t="array" aca="1" ref="E6" ca="1">INDEX(Master!$H$2:'Master'!$H$4384,MATCH($A6&amp;E$2,Master!$A$2:'Master'!$A$4384&amp;Master!$C$2:'Master'!$C$4384,0))</f>
        <v>-1</v>
      </c>
      <c r="F6" s="21" cm="1">
        <f t="array" aca="1" ref="F6" ca="1">INDEX(Master!$H$2:'Master'!$H$4384,MATCH($A6&amp;F$2,Master!$A$2:'Master'!$A$4384&amp;Master!$C$2:'Master'!$C$4384,0))</f>
        <v>1</v>
      </c>
      <c r="G6" s="21" cm="1">
        <f t="array" aca="1" ref="G6" ca="1">INDEX(Master!$H$2:'Master'!$H$4384,MATCH($A6&amp;G$2,Master!$A$2:'Master'!$A$4384&amp;Master!$C$2:'Master'!$C$4384,0))</f>
        <v>0</v>
      </c>
      <c r="H6" s="21" cm="1">
        <f t="array" aca="1" ref="H6" ca="1">INDEX(Master!$H$2:'Master'!$H$4384,MATCH($A6&amp;H$2,Master!$A$2:'Master'!$A$4384&amp;Master!$C$2:'Master'!$C$4384,0))</f>
        <v>1</v>
      </c>
      <c r="I6" s="21" cm="1">
        <f t="array" aca="1" ref="I6" ca="1">INDEX(Master!$H$2:'Master'!$H$4384,MATCH($A6&amp;I$2,Master!$A$2:'Master'!$A$4384&amp;Master!$C$2:'Master'!$C$4384,0))</f>
        <v>-1</v>
      </c>
      <c r="J6" s="21" cm="1">
        <f t="array" aca="1" ref="J6" ca="1">INDEX(Master!$H$2:'Master'!$H$4384,MATCH($A6&amp;J$2,Master!$A$2:'Master'!$A$4384&amp;Master!$C$2:'Master'!$C$4384,0))</f>
        <v>0</v>
      </c>
      <c r="K6" s="21" cm="1">
        <f t="array" aca="1" ref="K6" ca="1">INDEX(Master!$H$2:'Master'!$H$4384,MATCH($A6&amp;K$2,Master!$A$2:'Master'!$A$4384&amp;Master!$C$2:'Master'!$C$4384,0))</f>
        <v>0</v>
      </c>
      <c r="L6" s="21" cm="1">
        <f t="array" aca="1" ref="L6" ca="1">INDEX(Master!$H$2:'Master'!$H$4384,MATCH($A6&amp;L$2,Master!$A$2:'Master'!$A$4384&amp;Master!$C$2:'Master'!$C$4384,0))</f>
        <v>1</v>
      </c>
      <c r="M6" s="21" cm="1">
        <f t="array" aca="1" ref="M6" ca="1">INDEX(Master!$H$2:'Master'!$H$4384,MATCH($A6&amp;M$2,Master!$A$2:'Master'!$A$4384&amp;Master!$C$2:'Master'!$C$4384,0))</f>
        <v>0</v>
      </c>
      <c r="N6" s="21" cm="1">
        <f t="array" aca="1" ref="N6" ca="1">INDEX(Master!$H$2:'Master'!$H$4384,MATCH($A6&amp;N$2,Master!$A$2:'Master'!$A$4384&amp;Master!$C$2:'Master'!$C$4384,0))</f>
        <v>0</v>
      </c>
      <c r="O6" s="21" cm="1">
        <f t="array" aca="1" ref="O6" ca="1">INDEX(Master!$H$2:'Master'!$H$4384,MATCH($A6&amp;O$2,Master!$A$2:'Master'!$A$4384&amp;Master!$C$2:'Master'!$C$4384,0))</f>
        <v>-1</v>
      </c>
      <c r="P6" s="21" cm="1">
        <f t="array" aca="1" ref="P6" ca="1">INDEX(Master!$H$2:'Master'!$H$4384,MATCH($A6&amp;P$2,Master!$A$2:'Master'!$A$4384&amp;Master!$C$2:'Master'!$C$4384,0))</f>
        <v>0</v>
      </c>
      <c r="Q6" s="21" cm="1">
        <f t="array" aca="1" ref="Q6" ca="1">INDEX(Master!$H$2:'Master'!$H$4384,MATCH($A6&amp;Q$2,Master!$A$2:'Master'!$A$4384&amp;Master!$C$2:'Master'!$C$4384,0))</f>
        <v>0</v>
      </c>
      <c r="R6" s="21" cm="1">
        <f t="array" aca="1" ref="R6" ca="1">INDEX(Master!$H$2:'Master'!$H$4384,MATCH($A6&amp;R$2,Master!$A$2:'Master'!$A$4384&amp;Master!$C$2:'Master'!$C$4384,0))</f>
        <v>0</v>
      </c>
      <c r="S6" s="21" cm="1">
        <f t="array" aca="1" ref="S6" ca="1">INDEX(Master!$H$2:'Master'!$H$4384,MATCH($A6&amp;S$2,Master!$A$2:'Master'!$A$4384&amp;Master!$C$2:'Master'!$C$4384,0))</f>
        <v>1</v>
      </c>
      <c r="T6" s="21" cm="1">
        <f t="array" aca="1" ref="T6" ca="1">INDEX(Master!$H$2:'Master'!$H$4384,MATCH($A6&amp;T$2,Master!$A$2:'Master'!$A$4384&amp;Master!$C$2:'Master'!$C$4384,0))</f>
        <v>0</v>
      </c>
      <c r="U6" s="21" cm="1">
        <f t="array" aca="1" ref="U6" ca="1">INDEX(Master!$H$2:'Master'!$H$4384,MATCH($A6&amp;U$2,Master!$A$2:'Master'!$A$4384&amp;Master!$C$2:'Master'!$C$4384,0))</f>
        <v>2</v>
      </c>
      <c r="V6" s="21" cm="1">
        <f t="array" aca="1" ref="V6" ca="1">INDEX(Master!$H$2:'Master'!$H$4384,MATCH($A6&amp;V$2,Master!$A$2:'Master'!$A$4384&amp;Master!$C$2:'Master'!$C$4384,0))</f>
        <v>1</v>
      </c>
      <c r="W6" s="21" cm="1">
        <f t="array" aca="1" ref="W6" ca="1">INDEX(Master!$H$2:'Master'!$H$4384,MATCH($A6&amp;W$2,Master!$A$2:'Master'!$A$4384&amp;Master!$C$2:'Master'!$C$4384,0))</f>
        <v>0</v>
      </c>
      <c r="X6" s="21" cm="1">
        <f t="array" aca="1" ref="X6" ca="1">INDEX(Master!$H$2:'Master'!$H$4384,MATCH($A6&amp;X$2,Master!$A$2:'Master'!$A$4384&amp;Master!$C$2:'Master'!$C$4384,0))</f>
        <v>0</v>
      </c>
      <c r="Y6" s="21" cm="1">
        <f t="array" aca="1" ref="Y6" ca="1">INDEX(Master!$H$2:'Master'!$H$4384,MATCH($A6&amp;Y$2,Master!$A$2:'Master'!$A$4384&amp;Master!$C$2:'Master'!$C$4384,0))</f>
        <v>0</v>
      </c>
      <c r="Z6" s="21" cm="1">
        <f t="array" aca="1" ref="Z6" ca="1">INDEX(Master!$H$2:'Master'!$H$4384,MATCH($A6&amp;Z$2,Master!$A$2:'Master'!$A$4384&amp;Master!$C$2:'Master'!$C$4384,0))</f>
        <v>0</v>
      </c>
      <c r="AA6" s="21" cm="1">
        <f t="array" aca="1" ref="AA6" ca="1">INDEX(Master!$H$2:'Master'!$H$4384,MATCH($A6&amp;AA$2,Master!$A$2:'Master'!$A$4384&amp;Master!$C$2:'Master'!$C$4384,0))</f>
        <v>0</v>
      </c>
      <c r="AB6" s="21" cm="1">
        <f t="array" aca="1" ref="AB6" ca="1">INDEX(Master!$H$2:'Master'!$H$4384,MATCH($A6&amp;AB$2,Master!$A$2:'Master'!$A$4384&amp;Master!$C$2:'Master'!$C$4384,0))</f>
        <v>0</v>
      </c>
      <c r="AC6" s="21" cm="1">
        <f t="array" aca="1" ref="AC6" ca="1">INDEX(Master!$H$2:'Master'!$H$4384,MATCH($A6&amp;AC$2,Master!$A$2:'Master'!$A$4384&amp;Master!$C$2:'Master'!$C$4384,0))</f>
        <v>0</v>
      </c>
      <c r="AD6" s="21" cm="1">
        <f t="array" aca="1" ref="AD6" ca="1">INDEX(Master!$H$2:'Master'!$H$4384,MATCH($A6&amp;AD$2,Master!$A$2:'Master'!$A$4384&amp;Master!$C$2:'Master'!$C$4384,0))</f>
        <v>0</v>
      </c>
      <c r="AE6" s="21" cm="1">
        <f t="array" aca="1" ref="AE6" ca="1">INDEX(Master!$H$2:'Master'!$H$4384,MATCH($A6&amp;AE$2,Master!$A$2:'Master'!$A$4384&amp;Master!$C$2:'Master'!$C$4384,0))</f>
        <v>0</v>
      </c>
      <c r="AF6" s="21" cm="1">
        <f t="array" aca="1" ref="AF6" ca="1">INDEX(Master!$H$2:'Master'!$H$4384,MATCH($A6&amp;AF$2,Master!$A$2:'Master'!$A$4384&amp;Master!$C$2:'Master'!$C$4384,0))</f>
        <v>1</v>
      </c>
      <c r="AG6" s="21" cm="1">
        <f t="array" aca="1" ref="AG6" ca="1">INDEX(Master!$H$2:'Master'!$H$4384,MATCH($A6&amp;AG$2,Master!$A$2:'Master'!$A$4384&amp;Master!$C$2:'Master'!$C$4384,0))</f>
        <v>1</v>
      </c>
      <c r="AH6" s="21" cm="1">
        <f t="array" aca="1" ref="AH6" ca="1">INDEX(Master!$H$2:'Master'!$H$4384,MATCH($A6&amp;AH$2,Master!$A$2:'Master'!$A$4384&amp;Master!$C$2:'Master'!$C$4384,0))</f>
        <v>0</v>
      </c>
      <c r="AI6" s="21" cm="1">
        <f t="array" aca="1" ref="AI6" ca="1">INDEX(Master!$H$2:'Master'!$H$4384,MATCH($A6&amp;AI$2,Master!$A$2:'Master'!$A$4384&amp;Master!$C$2:'Master'!$C$4384,0))</f>
        <v>-1</v>
      </c>
      <c r="AJ6" s="21" cm="1">
        <f t="array" aca="1" ref="AJ6" ca="1">INDEX(Master!$H$2:'Master'!$H$4384,MATCH($A6&amp;AJ$2,Master!$A$2:'Master'!$A$4384&amp;Master!$C$2:'Master'!$C$4384,0))</f>
        <v>1</v>
      </c>
      <c r="AK6" s="21" cm="1">
        <f t="array" aca="1" ref="AK6" ca="1">INDEX(Master!$H$2:'Master'!$H$4384,MATCH($A6&amp;AK$2,Master!$A$2:'Master'!$A$4384&amp;Master!$C$2:'Master'!$C$4384,0))</f>
        <v>-2</v>
      </c>
      <c r="AL6" s="21" cm="1">
        <f t="array" aca="1" ref="AL6" ca="1">INDEX(Master!$H$2:'Master'!$H$4384,MATCH($A6&amp;AL$2,Master!$A$2:'Master'!$A$4384&amp;Master!$C$2:'Master'!$C$4384,0))</f>
        <v>1</v>
      </c>
      <c r="AM6" s="21" cm="1">
        <f t="array" aca="1" ref="AM6" ca="1">INDEX(Master!$H$2:'Master'!$H$4384,MATCH($A6&amp;AM$2,Master!$A$2:'Master'!$A$4384&amp;Master!$C$2:'Master'!$C$4384,0))</f>
        <v>2</v>
      </c>
      <c r="AN6" s="21" cm="1">
        <f t="array" aca="1" ref="AN6" ca="1">INDEX(Master!$H$2:'Master'!$H$4384,MATCH($A6&amp;AN$2,Master!$A$2:'Master'!$A$4384&amp;Master!$C$2:'Master'!$C$4384,0))</f>
        <v>0</v>
      </c>
      <c r="AO6" s="21" cm="1">
        <f t="array" aca="1" ref="AO6" ca="1">INDEX(Master!$H$2:'Master'!$H$4384,MATCH($A6&amp;AO$2,Master!$A$2:'Master'!$A$4384&amp;Master!$C$2:'Master'!$C$4384,0))</f>
        <v>0</v>
      </c>
      <c r="AP6" s="21" cm="1">
        <f t="array" aca="1" ref="AP6" ca="1">INDEX(Master!$H$2:'Master'!$H$4384,MATCH($A6&amp;AP$2,Master!$A$2:'Master'!$A$4384&amp;Master!$C$2:'Master'!$C$4384,0))</f>
        <v>0</v>
      </c>
      <c r="AQ6" s="21" cm="1">
        <f t="array" aca="1" ref="AQ6" ca="1">INDEX(Master!$H$2:'Master'!$H$4384,MATCH($A6&amp;AQ$2,Master!$A$2:'Master'!$A$4384&amp;Master!$C$2:'Master'!$C$4384,0))</f>
        <v>0</v>
      </c>
      <c r="AR6" s="21" cm="1">
        <f t="array" aca="1" ref="AR6" ca="1">INDEX(Master!$H$2:'Master'!$H$4384,MATCH($A6&amp;AR$2,Master!$A$2:'Master'!$A$4384&amp;Master!$C$2:'Master'!$C$4384,0))</f>
        <v>0</v>
      </c>
      <c r="AS6" s="21" cm="1">
        <f t="array" aca="1" ref="AS6" ca="1">INDEX(Master!$H$2:'Master'!$H$4384,MATCH($A6&amp;AS$2,Master!$A$2:'Master'!$A$4384&amp;Master!$C$2:'Master'!$C$4384,0))</f>
        <v>0</v>
      </c>
      <c r="AT6" s="21" cm="1">
        <f t="array" aca="1" ref="AT6" ca="1">INDEX(Master!$H$2:'Master'!$H$4384,MATCH($A6&amp;AT$2,Master!$A$2:'Master'!$A$4384&amp;Master!$C$2:'Master'!$C$4384,0))</f>
        <v>-1</v>
      </c>
      <c r="AU6" s="21" cm="1">
        <f t="array" aca="1" ref="AU6" ca="1">INDEX(Master!$H$2:'Master'!$H$4384,MATCH($A6&amp;AU$2,Master!$A$2:'Master'!$A$4384&amp;Master!$C$2:'Master'!$C$4384,0))</f>
        <v>-2</v>
      </c>
      <c r="AV6" s="21" cm="1">
        <f t="array" aca="1" ref="AV6" ca="1">INDEX(Master!$H$2:'Master'!$H$4384,MATCH($A6&amp;AV$2,Master!$A$2:'Master'!$A$4384&amp;Master!$C$2:'Master'!$C$4384,0))</f>
        <v>-1</v>
      </c>
      <c r="AW6" s="21" cm="1">
        <f t="array" aca="1" ref="AW6" ca="1">INDEX(Master!$H$2:'Master'!$H$4384,MATCH($A6&amp;AW$2,Master!$A$2:'Master'!$A$4384&amp;Master!$C$2:'Master'!$C$4384,0))</f>
        <v>-1</v>
      </c>
      <c r="AX6" s="21" cm="1">
        <f t="array" aca="1" ref="AX6" ca="1">INDEX(Master!$H$2:'Master'!$H$4384,MATCH($A6&amp;AX$2,Master!$A$2:'Master'!$A$4384&amp;Master!$C$2:'Master'!$C$4384,0))</f>
        <v>2</v>
      </c>
      <c r="AY6" s="21" cm="1">
        <f t="array" aca="1" ref="AY6" ca="1">INDEX(Master!$H$2:'Master'!$H$4384,MATCH($A6&amp;AY$2,Master!$A$2:'Master'!$A$4384&amp;Master!$C$2:'Master'!$C$4384,0))</f>
        <v>2</v>
      </c>
      <c r="AZ6" s="21" cm="1">
        <f t="array" aca="1" ref="AZ6" ca="1">INDEX(Master!$H$2:'Master'!$H$4384,MATCH($A6&amp;AZ$2,Master!$A$2:'Master'!$A$4384&amp;Master!$C$2:'Master'!$C$4384,0))</f>
        <v>0</v>
      </c>
      <c r="BA6" s="21" cm="1">
        <f t="array" aca="1" ref="BA6" ca="1">INDEX(Master!$H$2:'Master'!$H$4384,MATCH($A6&amp;BA$2,Master!$A$2:'Master'!$A$4384&amp;Master!$C$2:'Master'!$C$4384,0))</f>
        <v>1</v>
      </c>
      <c r="BB6" s="21" cm="1">
        <f t="array" aca="1" ref="BB6" ca="1">INDEX(Master!$H$2:'Master'!$H$4384,MATCH($A6&amp;BB$2,Master!$A$2:'Master'!$A$4384&amp;Master!$C$2:'Master'!$C$4384,0))</f>
        <v>1</v>
      </c>
      <c r="BC6" s="21" cm="1">
        <f t="array" aca="1" ref="BC6" ca="1">INDEX(Master!$H$2:'Master'!$H$4384,MATCH($A6&amp;BC$2,Master!$A$2:'Master'!$A$4384&amp;Master!$C$2:'Master'!$C$4384,0))</f>
        <v>2</v>
      </c>
      <c r="BD6" s="21" cm="1">
        <f t="array" aca="1" ref="BD6" ca="1">INDEX(Master!$H$2:'Master'!$H$4384,MATCH($A6&amp;BD$2,Master!$A$2:'Master'!$A$4384&amp;Master!$C$2:'Master'!$C$4384,0))</f>
        <v>3</v>
      </c>
      <c r="BE6" s="21" cm="1">
        <f t="array" aca="1" ref="BE6" ca="1">INDEX(Master!$H$2:'Master'!$H$4384,MATCH($A6&amp;BE$2,Master!$A$2:'Master'!$A$4384&amp;Master!$C$2:'Master'!$C$4384,0))</f>
        <v>1</v>
      </c>
      <c r="BF6" s="21" cm="1">
        <f t="array" aca="1" ref="BF6" ca="1">INDEX(Master!$H$2:'Master'!$H$4384,MATCH($A6&amp;BF$2,Master!$A$2:'Master'!$A$4384&amp;Master!$C$2:'Master'!$C$4384,0))</f>
        <v>1</v>
      </c>
      <c r="BG6" s="21" cm="1">
        <f t="array" aca="1" ref="BG6" ca="1">INDEX(Master!$H$2:'Master'!$H$4384,MATCH($A6&amp;BG$2,Master!$A$2:'Master'!$A$4384&amp;Master!$C$2:'Master'!$C$4384,0))</f>
        <v>1</v>
      </c>
      <c r="BH6" s="21" cm="1">
        <f t="array" aca="1" ref="BH6" ca="1">INDEX(Master!$H$2:'Master'!$H$4384,MATCH($A6&amp;BH$2,Master!$A$2:'Master'!$A$4384&amp;Master!$C$2:'Master'!$C$4384,0))</f>
        <v>0</v>
      </c>
      <c r="BI6" s="21" cm="1">
        <f t="array" aca="1" ref="BI6" ca="1">INDEX(Master!$H$2:'Master'!$H$4384,MATCH($A6&amp;BI$2,Master!$A$2:'Master'!$A$4384&amp;Master!$C$2:'Master'!$C$4384,0))</f>
        <v>0</v>
      </c>
      <c r="BJ6" s="21" cm="1">
        <f t="array" aca="1" ref="BJ6" ca="1">INDEX(Master!$H$2:'Master'!$H$4384,MATCH($A6&amp;BJ$2,Master!$A$2:'Master'!$A$4384&amp;Master!$C$2:'Master'!$C$4384,0))</f>
        <v>0</v>
      </c>
      <c r="BK6" s="21" cm="1">
        <f t="array" aca="1" ref="BK6" ca="1">INDEX(Master!$H$2:'Master'!$H$4384,MATCH($A6&amp;BK$2,Master!$A$2:'Master'!$A$4384&amp;Master!$C$2:'Master'!$C$4384,0))</f>
        <v>-1</v>
      </c>
      <c r="BL6" s="21" cm="1">
        <f t="array" aca="1" ref="BL6" ca="1">INDEX(Master!$H$2:'Master'!$H$4384,MATCH($A6&amp;BL$2,Master!$A$2:'Master'!$A$4384&amp;Master!$C$2:'Master'!$C$4384,0))</f>
        <v>0</v>
      </c>
      <c r="BM6" s="21" cm="1">
        <f t="array" aca="1" ref="BM6" ca="1">INDEX(Master!$H$2:'Master'!$H$4384,MATCH($A6&amp;BM$2,Master!$A$2:'Master'!$A$4384&amp;Master!$C$2:'Master'!$C$4384,0))</f>
        <v>0</v>
      </c>
      <c r="BN6" s="21" cm="1">
        <f t="array" aca="1" ref="BN6" ca="1">INDEX(Master!$H$2:'Master'!$H$4384,MATCH($A6&amp;BN$2,Master!$A$2:'Master'!$A$4384&amp;Master!$C$2:'Master'!$C$4384,0))</f>
        <v>-1</v>
      </c>
      <c r="BO6" s="21" cm="1">
        <f t="array" aca="1" ref="BO6" ca="1">INDEX(Master!$H$2:'Master'!$H$4384,MATCH($A6&amp;BO$2,Master!$A$2:'Master'!$A$4384&amp;Master!$C$2:'Master'!$C$4384,0))</f>
        <v>0</v>
      </c>
      <c r="BP6" s="21" cm="1">
        <f t="array" aca="1" ref="BP6" ca="1">INDEX(Master!$H$2:'Master'!$H$4384,MATCH($A6&amp;BP$2,Master!$A$2:'Master'!$A$4384&amp;Master!$C$2:'Master'!$C$4384,0))</f>
        <v>-1</v>
      </c>
      <c r="BQ6" s="21" cm="1">
        <f t="array" aca="1" ref="BQ6" ca="1">INDEX(Master!$H$2:'Master'!$H$4384,MATCH($A6&amp;BQ$2,Master!$A$2:'Master'!$A$4384&amp;Master!$C$2:'Master'!$C$4384,0))</f>
        <v>-1</v>
      </c>
      <c r="BR6" s="21" cm="1">
        <f t="array" aca="1" ref="BR6" ca="1">INDEX(Master!$H$2:'Master'!$H$4384,MATCH($A6&amp;BR$2,Master!$A$2:'Master'!$A$4384&amp;Master!$C$2:'Master'!$C$4384,0))</f>
        <v>0</v>
      </c>
      <c r="BS6" s="21" cm="1">
        <f t="array" aca="1" ref="BS6" ca="1">INDEX(Master!$H$2:'Master'!$H$4384,MATCH($A6&amp;BS$2,Master!$A$2:'Master'!$A$4384&amp;Master!$C$2:'Master'!$C$4384,0))</f>
        <v>1</v>
      </c>
      <c r="BT6" s="21" cm="1">
        <f t="array" aca="1" ref="BT6" ca="1">INDEX(Master!$H$2:'Master'!$H$4384,MATCH($A6&amp;BT$2,Master!$A$2:'Master'!$A$4384&amp;Master!$C$2:'Master'!$C$4384,0))</f>
        <v>1</v>
      </c>
      <c r="BU6" s="21" cm="1">
        <f t="array" aca="1" ref="BU6" ca="1">INDEX(Master!$H$2:'Master'!$H$4384,MATCH($A6&amp;BU$2,Master!$A$2:'Master'!$A$4384&amp;Master!$C$2:'Master'!$C$4384,0))</f>
        <v>0</v>
      </c>
      <c r="BV6" s="21" cm="1">
        <f t="array" aca="1" ref="BV6" ca="1">INDEX(Master!$H$2:'Master'!$H$4384,MATCH($A6&amp;BV$2,Master!$A$2:'Master'!$A$4384&amp;Master!$C$2:'Master'!$C$4384,0))</f>
        <v>1</v>
      </c>
      <c r="BW6" s="21" cm="1">
        <f t="array" aca="1" ref="BW6" ca="1">INDEX(Master!$H$2:'Master'!$H$4384,MATCH($A6&amp;BW$2,Master!$A$2:'Master'!$A$4384&amp;Master!$C$2:'Master'!$C$4384,0))</f>
        <v>1</v>
      </c>
      <c r="BX6" s="21" cm="1">
        <f t="array" aca="1" ref="BX6" ca="1">INDEX(Master!$H$2:'Master'!$H$4384,MATCH($A6&amp;BX$2,Master!$A$2:'Master'!$A$4384&amp;Master!$C$2:'Master'!$C$4384,0))</f>
        <v>1</v>
      </c>
      <c r="BY6" s="21" cm="1">
        <f t="array" aca="1" ref="BY6" ca="1">INDEX(Master!$H$2:'Master'!$H$4384,MATCH($A6&amp;BY$2,Master!$A$2:'Master'!$A$4384&amp;Master!$C$2:'Master'!$C$4384,0))</f>
        <v>0</v>
      </c>
      <c r="BZ6" s="21" cm="1">
        <f t="array" aca="1" ref="BZ6" ca="1">INDEX(Master!$H$2:'Master'!$H$4384,MATCH($A6&amp;BZ$2,Master!$A$2:'Master'!$A$4384&amp;Master!$C$2:'Master'!$C$4384,0))</f>
        <v>0</v>
      </c>
      <c r="CA6" s="21" cm="1">
        <f t="array" aca="1" ref="CA6" ca="1">INDEX(Master!$H$2:'Master'!$H$4384,MATCH($A6&amp;CA$2,Master!$A$2:'Master'!$A$4384&amp;Master!$C$2:'Master'!$C$4384,0))</f>
        <v>0</v>
      </c>
      <c r="CB6" s="21" cm="1">
        <f t="array" aca="1" ref="CB6" ca="1">INDEX(Master!$H$2:'Master'!$H$4384,MATCH($A6&amp;CB$2,Master!$A$2:'Master'!$A$4384&amp;Master!$C$2:'Master'!$C$4384,0))</f>
        <v>-1</v>
      </c>
      <c r="CC6" s="21" cm="1">
        <f t="array" aca="1" ref="CC6" ca="1">INDEX(Master!$H$2:'Master'!$H$4384,MATCH($A6&amp;CC$2,Master!$A$2:'Master'!$A$4384&amp;Master!$C$2:'Master'!$C$4384,0))</f>
        <v>0</v>
      </c>
      <c r="CD6" s="21" cm="1">
        <f t="array" aca="1" ref="CD6" ca="1">INDEX(Master!$H$2:'Master'!$H$4384,MATCH($A6&amp;CD$2,Master!$A$2:'Master'!$A$4384&amp;Master!$C$2:'Master'!$C$4384,0))</f>
        <v>0</v>
      </c>
      <c r="CE6" s="21" cm="1">
        <f t="array" aca="1" ref="CE6" ca="1">INDEX(Master!$H$2:'Master'!$H$4384,MATCH($A6&amp;CE$2,Master!$A$2:'Master'!$A$4384&amp;Master!$C$2:'Master'!$C$4384,0))</f>
        <v>0</v>
      </c>
      <c r="CF6" s="21" cm="1">
        <f t="array" aca="1" ref="CF6" ca="1">INDEX(Master!$H$2:'Master'!$H$4384,MATCH($A6&amp;CF$2,Master!$A$2:'Master'!$A$4384&amp;Master!$C$2:'Master'!$C$4384,0))</f>
        <v>1</v>
      </c>
      <c r="CG6" s="21" cm="1">
        <f t="array" aca="1" ref="CG6" ca="1">INDEX(Master!$H$2:'Master'!$H$4384,MATCH($A6&amp;CG$2,Master!$A$2:'Master'!$A$4384&amp;Master!$C$2:'Master'!$C$4384,0))</f>
        <v>1</v>
      </c>
      <c r="CH6" s="21" cm="1">
        <f t="array" aca="1" ref="CH6" ca="1">INDEX(Master!$H$2:'Master'!$H$4384,MATCH($A6&amp;CH$2,Master!$A$2:'Master'!$A$4384&amp;Master!$C$2:'Master'!$C$4384,0))</f>
        <v>1</v>
      </c>
      <c r="CI6" s="21" cm="1">
        <f t="array" aca="1" ref="CI6" ca="1">INDEX(Master!$H$2:'Master'!$H$4384,MATCH($A6&amp;CI$2,Master!$A$2:'Master'!$A$4384&amp;Master!$C$2:'Master'!$C$4384,0))</f>
        <v>1</v>
      </c>
      <c r="CJ6" s="21" cm="1">
        <f t="array" aca="1" ref="CJ6" ca="1">INDEX(Master!$H$2:'Master'!$H$4384,MATCH($A6&amp;CJ$2,Master!$A$2:'Master'!$A$4384&amp;Master!$C$2:'Master'!$C$4384,0))</f>
        <v>0</v>
      </c>
      <c r="CK6" s="21" cm="1">
        <f t="array" aca="1" ref="CK6" ca="1">INDEX(Master!$H$2:'Master'!$H$4384,MATCH($A6&amp;CK$2,Master!$A$2:'Master'!$A$4384&amp;Master!$C$2:'Master'!$C$4384,0))</f>
        <v>0</v>
      </c>
      <c r="CL6" s="21" cm="1">
        <f t="array" aca="1" ref="CL6" ca="1">INDEX(Master!$H$2:'Master'!$H$4384,MATCH($A6&amp;CL$2,Master!$A$2:'Master'!$A$4384&amp;Master!$C$2:'Master'!$C$4384,0))</f>
        <v>0</v>
      </c>
      <c r="CM6" s="21" cm="1">
        <f t="array" aca="1" ref="CM6" ca="1">INDEX(Master!$H$2:'Master'!$H$4384,MATCH($A6&amp;CM$2,Master!$A$2:'Master'!$A$4384&amp;Master!$C$2:'Master'!$C$4384,0))</f>
        <v>0</v>
      </c>
      <c r="CN6" s="21" cm="1">
        <f t="array" aca="1" ref="CN6" ca="1">INDEX(Master!$H$2:'Master'!$H$4384,MATCH($A6&amp;CN$2,Master!$A$2:'Master'!$A$4384&amp;Master!$C$2:'Master'!$C$4384,0))</f>
        <v>0</v>
      </c>
      <c r="CO6" s="21" cm="1">
        <f t="array" aca="1" ref="CO6" ca="1">INDEX(Master!$H$2:'Master'!$H$4384,MATCH($A6&amp;CO$2,Master!$A$2:'Master'!$A$4384&amp;Master!$C$2:'Master'!$C$4384,0))</f>
        <v>0</v>
      </c>
      <c r="CP6" s="21" cm="1">
        <f t="array" aca="1" ref="CP6" ca="1">INDEX(Master!$H$2:'Master'!$H$4384,MATCH($A6&amp;CP$2,Master!$A$2:'Master'!$A$4384&amp;Master!$C$2:'Master'!$C$4384,0))</f>
        <v>0</v>
      </c>
      <c r="CQ6" s="21" cm="1">
        <f t="array" aca="1" ref="CQ6" ca="1">INDEX(Master!$H$2:'Master'!$H$4384,MATCH($A6&amp;CQ$2,Master!$A$2:'Master'!$A$4384&amp;Master!$C$2:'Master'!$C$4384,0))</f>
        <v>0</v>
      </c>
      <c r="CR6" s="21" cm="1">
        <f t="array" aca="1" ref="CR6" ca="1">INDEX(Master!$H$2:'Master'!$H$4384,MATCH($A6&amp;CR$2,Master!$A$2:'Master'!$A$4384&amp;Master!$C$2:'Master'!$C$4384,0))</f>
        <v>0</v>
      </c>
      <c r="CS6" s="21" cm="1">
        <f t="array" aca="1" ref="CS6" ca="1">INDEX(Master!$H$2:'Master'!$H$4384,MATCH($A6&amp;CS$2,Master!$A$2:'Master'!$A$4384&amp;Master!$C$2:'Master'!$C$4384,0))</f>
        <v>0</v>
      </c>
    </row>
    <row r="7" spans="1:97">
      <c r="A7" s="22" t="str">
        <f>VLOOKUP(Staff!$A4,Staff!$A$1:A$73,1,FALSE)</f>
        <v>Neville Parker</v>
      </c>
      <c r="B7" s="21" cm="1">
        <f t="array" aca="1" ref="B7" ca="1">INDEX(Master!$H$2:'Master'!$H$4384,MATCH($A7&amp;B$2,Master!$A$2:'Master'!$A$4384&amp;Master!$C$2:'Master'!$C$4384,0))</f>
        <v>99</v>
      </c>
      <c r="C7" s="21" cm="1">
        <f t="array" aca="1" ref="C7" ca="1">INDEX(Master!$H$2:'Master'!$H$4384,MATCH($A7&amp;C$2,Master!$A$2:'Master'!$A$4384&amp;Master!$C$2:'Master'!$C$4384,0))</f>
        <v>99</v>
      </c>
      <c r="D7" s="21" cm="1">
        <f t="array" aca="1" ref="D7" ca="1">INDEX(Master!$H$2:'Master'!$H$4384,MATCH($A7&amp;D$2,Master!$A$2:'Master'!$A$4384&amp;Master!$C$2:'Master'!$C$4384,0))</f>
        <v>99</v>
      </c>
      <c r="E7" s="21" cm="1">
        <f t="array" aca="1" ref="E7" ca="1">INDEX(Master!$H$2:'Master'!$H$4384,MATCH($A7&amp;E$2,Master!$A$2:'Master'!$A$4384&amp;Master!$C$2:'Master'!$C$4384,0))</f>
        <v>97</v>
      </c>
      <c r="F7" s="21" cm="1">
        <f t="array" aca="1" ref="F7" ca="1">INDEX(Master!$H$2:'Master'!$H$4384,MATCH($A7&amp;F$2,Master!$A$2:'Master'!$A$4384&amp;Master!$C$2:'Master'!$C$4384,0))</f>
        <v>99</v>
      </c>
      <c r="G7" s="21" cm="1">
        <f t="array" aca="1" ref="G7" ca="1">INDEX(Master!$H$2:'Master'!$H$4384,MATCH($A7&amp;G$2,Master!$A$2:'Master'!$A$4384&amp;Master!$C$2:'Master'!$C$4384,0))</f>
        <v>97</v>
      </c>
      <c r="H7" s="21" cm="1">
        <f t="array" aca="1" ref="H7" ca="1">INDEX(Master!$H$2:'Master'!$H$4384,MATCH($A7&amp;H$2,Master!$A$2:'Master'!$A$4384&amp;Master!$C$2:'Master'!$C$4384,0))</f>
        <v>99</v>
      </c>
      <c r="I7" s="21" cm="1">
        <f t="array" aca="1" ref="I7" ca="1">INDEX(Master!$H$2:'Master'!$H$4384,MATCH($A7&amp;I$2,Master!$A$2:'Master'!$A$4384&amp;Master!$C$2:'Master'!$C$4384,0))</f>
        <v>99</v>
      </c>
      <c r="J7" s="21" cm="1">
        <f t="array" aca="1" ref="J7" ca="1">INDEX(Master!$H$2:'Master'!$H$4384,MATCH($A7&amp;J$2,Master!$A$2:'Master'!$A$4384&amp;Master!$C$2:'Master'!$C$4384,0))</f>
        <v>96</v>
      </c>
      <c r="K7" s="21" cm="1">
        <f t="array" aca="1" ref="K7" ca="1">INDEX(Master!$H$2:'Master'!$H$4384,MATCH($A7&amp;K$2,Master!$A$2:'Master'!$A$4384&amp;Master!$C$2:'Master'!$C$4384,0))</f>
        <v>97</v>
      </c>
      <c r="L7" s="21" cm="1">
        <f t="array" aca="1" ref="L7" ca="1">INDEX(Master!$H$2:'Master'!$H$4384,MATCH($A7&amp;L$2,Master!$A$2:'Master'!$A$4384&amp;Master!$C$2:'Master'!$C$4384,0))</f>
        <v>97</v>
      </c>
      <c r="M7" s="21" cm="1">
        <f t="array" aca="1" ref="M7" ca="1">INDEX(Master!$H$2:'Master'!$H$4384,MATCH($A7&amp;M$2,Master!$A$2:'Master'!$A$4384&amp;Master!$C$2:'Master'!$C$4384,0))</f>
        <v>96</v>
      </c>
      <c r="N7" s="21" cm="1">
        <f t="array" aca="1" ref="N7" ca="1">INDEX(Master!$H$2:'Master'!$H$4384,MATCH($A7&amp;N$2,Master!$A$2:'Master'!$A$4384&amp;Master!$C$2:'Master'!$C$4384,0))</f>
        <v>97</v>
      </c>
      <c r="O7" s="21" cm="1">
        <f t="array" aca="1" ref="O7" ca="1">INDEX(Master!$H$2:'Master'!$H$4384,MATCH($A7&amp;O$2,Master!$A$2:'Master'!$A$4384&amp;Master!$C$2:'Master'!$C$4384,0))</f>
        <v>97</v>
      </c>
      <c r="P7" s="21" cm="1">
        <f t="array" aca="1" ref="P7" ca="1">INDEX(Master!$H$2:'Master'!$H$4384,MATCH($A7&amp;P$2,Master!$A$2:'Master'!$A$4384&amp;Master!$C$2:'Master'!$C$4384,0))</f>
        <v>97</v>
      </c>
      <c r="Q7" s="21" cm="1">
        <f t="array" aca="1" ref="Q7" ca="1">INDEX(Master!$H$2:'Master'!$H$4384,MATCH($A7&amp;Q$2,Master!$A$2:'Master'!$A$4384&amp;Master!$C$2:'Master'!$C$4384,0))</f>
        <v>98</v>
      </c>
      <c r="R7" s="21" cm="1">
        <f t="array" aca="1" ref="R7" ca="1">INDEX(Master!$H$2:'Master'!$H$4384,MATCH($A7&amp;R$2,Master!$A$2:'Master'!$A$4384&amp;Master!$C$2:'Master'!$C$4384,0))</f>
        <v>99</v>
      </c>
      <c r="S7" s="21" cm="1">
        <f t="array" aca="1" ref="S7" ca="1">INDEX(Master!$H$2:'Master'!$H$4384,MATCH($A7&amp;S$2,Master!$A$2:'Master'!$A$4384&amp;Master!$C$2:'Master'!$C$4384,0))</f>
        <v>99</v>
      </c>
      <c r="T7" s="21" cm="1">
        <f t="array" aca="1" ref="T7" ca="1">INDEX(Master!$H$2:'Master'!$H$4384,MATCH($A7&amp;T$2,Master!$A$2:'Master'!$A$4384&amp;Master!$C$2:'Master'!$C$4384,0))</f>
        <v>98</v>
      </c>
      <c r="U7" s="21" cm="1">
        <f t="array" aca="1" ref="U7" ca="1">INDEX(Master!$H$2:'Master'!$H$4384,MATCH($A7&amp;U$2,Master!$A$2:'Master'!$A$4384&amp;Master!$C$2:'Master'!$C$4384,0))</f>
        <v>99</v>
      </c>
      <c r="V7" s="21" cm="1">
        <f t="array" aca="1" ref="V7" ca="1">INDEX(Master!$H$2:'Master'!$H$4384,MATCH($A7&amp;V$2,Master!$A$2:'Master'!$A$4384&amp;Master!$C$2:'Master'!$C$4384,0))</f>
        <v>97</v>
      </c>
      <c r="W7" s="21" cm="1">
        <f t="array" aca="1" ref="W7" ca="1">INDEX(Master!$H$2:'Master'!$H$4384,MATCH($A7&amp;W$2,Master!$A$2:'Master'!$A$4384&amp;Master!$C$2:'Master'!$C$4384,0))</f>
        <v>98</v>
      </c>
      <c r="X7" s="21" cm="1">
        <f t="array" aca="1" ref="X7" ca="1">INDEX(Master!$H$2:'Master'!$H$4384,MATCH($A7&amp;X$2,Master!$A$2:'Master'!$A$4384&amp;Master!$C$2:'Master'!$C$4384,0))</f>
        <v>99</v>
      </c>
      <c r="Y7" s="21" cm="1">
        <f t="array" aca="1" ref="Y7" ca="1">INDEX(Master!$H$2:'Master'!$H$4384,MATCH($A7&amp;Y$2,Master!$A$2:'Master'!$A$4384&amp;Master!$C$2:'Master'!$C$4384,0))</f>
        <v>99</v>
      </c>
      <c r="Z7" s="21" cm="1">
        <f t="array" aca="1" ref="Z7" ca="1">INDEX(Master!$H$2:'Master'!$H$4384,MATCH($A7&amp;Z$2,Master!$A$2:'Master'!$A$4384&amp;Master!$C$2:'Master'!$C$4384,0))</f>
        <v>97</v>
      </c>
      <c r="AA7" s="21" cm="1">
        <f t="array" aca="1" ref="AA7" ca="1">INDEX(Master!$H$2:'Master'!$H$4384,MATCH($A7&amp;AA$2,Master!$A$2:'Master'!$A$4384&amp;Master!$C$2:'Master'!$C$4384,0))</f>
        <v>97</v>
      </c>
      <c r="AB7" s="21" cm="1">
        <f t="array" aca="1" ref="AB7" ca="1">INDEX(Master!$H$2:'Master'!$H$4384,MATCH($A7&amp;AB$2,Master!$A$2:'Master'!$A$4384&amp;Master!$C$2:'Master'!$C$4384,0))</f>
        <v>98</v>
      </c>
      <c r="AC7" s="21" cm="1">
        <f t="array" aca="1" ref="AC7" ca="1">INDEX(Master!$H$2:'Master'!$H$4384,MATCH($A7&amp;AC$2,Master!$A$2:'Master'!$A$4384&amp;Master!$C$2:'Master'!$C$4384,0))</f>
        <v>97</v>
      </c>
      <c r="AD7" s="21" cm="1">
        <f t="array" aca="1" ref="AD7" ca="1">INDEX(Master!$H$2:'Master'!$H$4384,MATCH($A7&amp;AD$2,Master!$A$2:'Master'!$A$4384&amp;Master!$C$2:'Master'!$C$4384,0))</f>
        <v>98</v>
      </c>
      <c r="AE7" s="21" cm="1">
        <f t="array" aca="1" ref="AE7" ca="1">INDEX(Master!$H$2:'Master'!$H$4384,MATCH($A7&amp;AE$2,Master!$A$2:'Master'!$A$4384&amp;Master!$C$2:'Master'!$C$4384,0))</f>
        <v>99</v>
      </c>
      <c r="AF7" s="21" cm="1">
        <f t="array" aca="1" ref="AF7" ca="1">INDEX(Master!$H$2:'Master'!$H$4384,MATCH($A7&amp;AF$2,Master!$A$2:'Master'!$A$4384&amp;Master!$C$2:'Master'!$C$4384,0))</f>
        <v>99</v>
      </c>
      <c r="AG7" s="21" cm="1">
        <f t="array" aca="1" ref="AG7" ca="1">INDEX(Master!$H$2:'Master'!$H$4384,MATCH($A7&amp;AG$2,Master!$A$2:'Master'!$A$4384&amp;Master!$C$2:'Master'!$C$4384,0))</f>
        <v>99</v>
      </c>
      <c r="AH7" s="21" cm="1">
        <f t="array" aca="1" ref="AH7" ca="1">INDEX(Master!$H$2:'Master'!$H$4384,MATCH($A7&amp;AH$2,Master!$A$2:'Master'!$A$4384&amp;Master!$C$2:'Master'!$C$4384,0))</f>
        <v>99</v>
      </c>
      <c r="AI7" s="21" cm="1">
        <f t="array" aca="1" ref="AI7" ca="1">INDEX(Master!$H$2:'Master'!$H$4384,MATCH($A7&amp;AI$2,Master!$A$2:'Master'!$A$4384&amp;Master!$C$2:'Master'!$C$4384,0))</f>
        <v>99</v>
      </c>
      <c r="AJ7" s="21" cm="1">
        <f t="array" aca="1" ref="AJ7" ca="1">INDEX(Master!$H$2:'Master'!$H$4384,MATCH($A7&amp;AJ$2,Master!$A$2:'Master'!$A$4384&amp;Master!$C$2:'Master'!$C$4384,0))</f>
        <v>99</v>
      </c>
      <c r="AK7" s="21" cm="1">
        <f t="array" aca="1" ref="AK7" ca="1">INDEX(Master!$H$2:'Master'!$H$4384,MATCH($A7&amp;AK$2,Master!$A$2:'Master'!$A$4384&amp;Master!$C$2:'Master'!$C$4384,0))</f>
        <v>99</v>
      </c>
      <c r="AL7" s="21" cm="1">
        <f t="array" aca="1" ref="AL7" ca="1">INDEX(Master!$H$2:'Master'!$H$4384,MATCH($A7&amp;AL$2,Master!$A$2:'Master'!$A$4384&amp;Master!$C$2:'Master'!$C$4384,0))</f>
        <v>99</v>
      </c>
      <c r="AM7" s="21" cm="1">
        <f t="array" aca="1" ref="AM7" ca="1">INDEX(Master!$H$2:'Master'!$H$4384,MATCH($A7&amp;AM$2,Master!$A$2:'Master'!$A$4384&amp;Master!$C$2:'Master'!$C$4384,0))</f>
        <v>99</v>
      </c>
      <c r="AN7" s="21" cm="1">
        <f t="array" aca="1" ref="AN7" ca="1">INDEX(Master!$H$2:'Master'!$H$4384,MATCH($A7&amp;AN$2,Master!$A$2:'Master'!$A$4384&amp;Master!$C$2:'Master'!$C$4384,0))</f>
        <v>99</v>
      </c>
      <c r="AO7" s="21" cm="1">
        <f t="array" aca="1" ref="AO7" ca="1">INDEX(Master!$H$2:'Master'!$H$4384,MATCH($A7&amp;AO$2,Master!$A$2:'Master'!$A$4384&amp;Master!$C$2:'Master'!$C$4384,0))</f>
        <v>98</v>
      </c>
      <c r="AP7" s="21" cm="1">
        <f t="array" aca="1" ref="AP7" ca="1">INDEX(Master!$H$2:'Master'!$H$4384,MATCH($A7&amp;AP$2,Master!$A$2:'Master'!$A$4384&amp;Master!$C$2:'Master'!$C$4384,0))</f>
        <v>97</v>
      </c>
      <c r="AQ7" s="21" cm="1">
        <f t="array" aca="1" ref="AQ7" ca="1">INDEX(Master!$H$2:'Master'!$H$4384,MATCH($A7&amp;AQ$2,Master!$A$2:'Master'!$A$4384&amp;Master!$C$2:'Master'!$C$4384,0))</f>
        <v>98</v>
      </c>
      <c r="AR7" s="21" cm="1">
        <f t="array" aca="1" ref="AR7" ca="1">INDEX(Master!$H$2:'Master'!$H$4384,MATCH($A7&amp;AR$2,Master!$A$2:'Master'!$A$4384&amp;Master!$C$2:'Master'!$C$4384,0))</f>
        <v>98</v>
      </c>
      <c r="AS7" s="21" cm="1">
        <f t="array" aca="1" ref="AS7" ca="1">INDEX(Master!$H$2:'Master'!$H$4384,MATCH($A7&amp;AS$2,Master!$A$2:'Master'!$A$4384&amp;Master!$C$2:'Master'!$C$4384,0))</f>
        <v>99</v>
      </c>
      <c r="AT7" s="21" cm="1">
        <f t="array" aca="1" ref="AT7" ca="1">INDEX(Master!$H$2:'Master'!$H$4384,MATCH($A7&amp;AT$2,Master!$A$2:'Master'!$A$4384&amp;Master!$C$2:'Master'!$C$4384,0))</f>
        <v>99</v>
      </c>
      <c r="AU7" s="21" cm="1">
        <f t="array" aca="1" ref="AU7" ca="1">INDEX(Master!$H$2:'Master'!$H$4384,MATCH($A7&amp;AU$2,Master!$A$2:'Master'!$A$4384&amp;Master!$C$2:'Master'!$C$4384,0))</f>
        <v>99</v>
      </c>
      <c r="AV7" s="21" cm="1">
        <f t="array" aca="1" ref="AV7" ca="1">INDEX(Master!$H$2:'Master'!$H$4384,MATCH($A7&amp;AV$2,Master!$A$2:'Master'!$A$4384&amp;Master!$C$2:'Master'!$C$4384,0))</f>
        <v>97</v>
      </c>
      <c r="AW7" s="21" cm="1">
        <f t="array" aca="1" ref="AW7" ca="1">INDEX(Master!$H$2:'Master'!$H$4384,MATCH($A7&amp;AW$2,Master!$A$2:'Master'!$A$4384&amp;Master!$C$2:'Master'!$C$4384,0))</f>
        <v>99</v>
      </c>
      <c r="AX7" s="21" cm="1">
        <f t="array" aca="1" ref="AX7" ca="1">INDEX(Master!$H$2:'Master'!$H$4384,MATCH($A7&amp;AX$2,Master!$A$2:'Master'!$A$4384&amp;Master!$C$2:'Master'!$C$4384,0))</f>
        <v>99</v>
      </c>
      <c r="AY7" s="21" cm="1">
        <f t="array" aca="1" ref="AY7" ca="1">INDEX(Master!$H$2:'Master'!$H$4384,MATCH($A7&amp;AY$2,Master!$A$2:'Master'!$A$4384&amp;Master!$C$2:'Master'!$C$4384,0))</f>
        <v>99</v>
      </c>
      <c r="AZ7" s="21" cm="1">
        <f t="array" aca="1" ref="AZ7" ca="1">INDEX(Master!$H$2:'Master'!$H$4384,MATCH($A7&amp;AZ$2,Master!$A$2:'Master'!$A$4384&amp;Master!$C$2:'Master'!$C$4384,0))</f>
        <v>98</v>
      </c>
      <c r="BA7" s="21" cm="1">
        <f t="array" aca="1" ref="BA7" ca="1">INDEX(Master!$H$2:'Master'!$H$4384,MATCH($A7&amp;BA$2,Master!$A$2:'Master'!$A$4384&amp;Master!$C$2:'Master'!$C$4384,0))</f>
        <v>99</v>
      </c>
      <c r="BB7" s="21" cm="1">
        <f t="array" aca="1" ref="BB7" ca="1">INDEX(Master!$H$2:'Master'!$H$4384,MATCH($A7&amp;BB$2,Master!$A$2:'Master'!$A$4384&amp;Master!$C$2:'Master'!$C$4384,0))</f>
        <v>99</v>
      </c>
      <c r="BC7" s="21" cm="1">
        <f t="array" aca="1" ref="BC7" ca="1">INDEX(Master!$H$2:'Master'!$H$4384,MATCH($A7&amp;BC$2,Master!$A$2:'Master'!$A$4384&amp;Master!$C$2:'Master'!$C$4384,0))</f>
        <v>99</v>
      </c>
      <c r="BD7" s="21" cm="1">
        <f t="array" aca="1" ref="BD7" ca="1">INDEX(Master!$H$2:'Master'!$H$4384,MATCH($A7&amp;BD$2,Master!$A$2:'Master'!$A$4384&amp;Master!$C$2:'Master'!$C$4384,0))</f>
        <v>99</v>
      </c>
      <c r="BE7" s="21" cm="1">
        <f t="array" aca="1" ref="BE7" ca="1">INDEX(Master!$H$2:'Master'!$H$4384,MATCH($A7&amp;BE$2,Master!$A$2:'Master'!$A$4384&amp;Master!$C$2:'Master'!$C$4384,0))</f>
        <v>99</v>
      </c>
      <c r="BF7" s="21" cm="1">
        <f t="array" aca="1" ref="BF7" ca="1">INDEX(Master!$H$2:'Master'!$H$4384,MATCH($A7&amp;BF$2,Master!$A$2:'Master'!$A$4384&amp;Master!$C$2:'Master'!$C$4384,0))</f>
        <v>99</v>
      </c>
      <c r="BG7" s="21" cm="1">
        <f t="array" aca="1" ref="BG7" ca="1">INDEX(Master!$H$2:'Master'!$H$4384,MATCH($A7&amp;BG$2,Master!$A$2:'Master'!$A$4384&amp;Master!$C$2:'Master'!$C$4384,0))</f>
        <v>97</v>
      </c>
      <c r="BH7" s="21" cm="1">
        <f t="array" aca="1" ref="BH7" ca="1">INDEX(Master!$H$2:'Master'!$H$4384,MATCH($A7&amp;BH$2,Master!$A$2:'Master'!$A$4384&amp;Master!$C$2:'Master'!$C$4384,0))</f>
        <v>99</v>
      </c>
      <c r="BI7" s="21" cm="1">
        <f t="array" aca="1" ref="BI7" ca="1">INDEX(Master!$H$2:'Master'!$H$4384,MATCH($A7&amp;BI$2,Master!$A$2:'Master'!$A$4384&amp;Master!$C$2:'Master'!$C$4384,0))</f>
        <v>98</v>
      </c>
      <c r="BJ7" s="21" cm="1">
        <f t="array" aca="1" ref="BJ7" ca="1">INDEX(Master!$H$2:'Master'!$H$4384,MATCH($A7&amp;BJ$2,Master!$A$2:'Master'!$A$4384&amp;Master!$C$2:'Master'!$C$4384,0))</f>
        <v>99</v>
      </c>
      <c r="BK7" s="21" cm="1">
        <f t="array" aca="1" ref="BK7" ca="1">INDEX(Master!$H$2:'Master'!$H$4384,MATCH($A7&amp;BK$2,Master!$A$2:'Master'!$A$4384&amp;Master!$C$2:'Master'!$C$4384,0))</f>
        <v>98</v>
      </c>
      <c r="BL7" s="21" cm="1">
        <f t="array" aca="1" ref="BL7" ca="1">INDEX(Master!$H$2:'Master'!$H$4384,MATCH($A7&amp;BL$2,Master!$A$2:'Master'!$A$4384&amp;Master!$C$2:'Master'!$C$4384,0))</f>
        <v>98</v>
      </c>
      <c r="BM7" s="21" cm="1">
        <f t="array" aca="1" ref="BM7" ca="1">INDEX(Master!$H$2:'Master'!$H$4384,MATCH($A7&amp;BM$2,Master!$A$2:'Master'!$A$4384&amp;Master!$C$2:'Master'!$C$4384,0))</f>
        <v>98</v>
      </c>
      <c r="BN7" s="21" cm="1">
        <f t="array" aca="1" ref="BN7" ca="1">INDEX(Master!$H$2:'Master'!$H$4384,MATCH($A7&amp;BN$2,Master!$A$2:'Master'!$A$4384&amp;Master!$C$2:'Master'!$C$4384,0))</f>
        <v>99</v>
      </c>
      <c r="BO7" s="21" cm="1">
        <f t="array" aca="1" ref="BO7" ca="1">INDEX(Master!$H$2:'Master'!$H$4384,MATCH($A7&amp;BO$2,Master!$A$2:'Master'!$A$4384&amp;Master!$C$2:'Master'!$C$4384,0))</f>
        <v>99</v>
      </c>
      <c r="BP7" s="21" cm="1">
        <f t="array" aca="1" ref="BP7" ca="1">INDEX(Master!$H$2:'Master'!$H$4384,MATCH($A7&amp;BP$2,Master!$A$2:'Master'!$A$4384&amp;Master!$C$2:'Master'!$C$4384,0))</f>
        <v>99</v>
      </c>
      <c r="BQ7" s="21" cm="1">
        <f t="array" aca="1" ref="BQ7" ca="1">INDEX(Master!$H$2:'Master'!$H$4384,MATCH($A7&amp;BQ$2,Master!$A$2:'Master'!$A$4384&amp;Master!$C$2:'Master'!$C$4384,0))</f>
        <v>98</v>
      </c>
      <c r="BR7" s="21" cm="1">
        <f t="array" aca="1" ref="BR7" ca="1">INDEX(Master!$H$2:'Master'!$H$4384,MATCH($A7&amp;BR$2,Master!$A$2:'Master'!$A$4384&amp;Master!$C$2:'Master'!$C$4384,0))</f>
        <v>99</v>
      </c>
      <c r="BS7" s="21" cm="1">
        <f t="array" aca="1" ref="BS7" ca="1">INDEX(Master!$H$2:'Master'!$H$4384,MATCH($A7&amp;BS$2,Master!$A$2:'Master'!$A$4384&amp;Master!$C$2:'Master'!$C$4384,0))</f>
        <v>99</v>
      </c>
      <c r="BT7" s="21" cm="1">
        <f t="array" aca="1" ref="BT7" ca="1">INDEX(Master!$H$2:'Master'!$H$4384,MATCH($A7&amp;BT$2,Master!$A$2:'Master'!$A$4384&amp;Master!$C$2:'Master'!$C$4384,0))</f>
        <v>99</v>
      </c>
      <c r="BU7" s="21" cm="1">
        <f t="array" aca="1" ref="BU7" ca="1">INDEX(Master!$H$2:'Master'!$H$4384,MATCH($A7&amp;BU$2,Master!$A$2:'Master'!$A$4384&amp;Master!$C$2:'Master'!$C$4384,0))</f>
        <v>99</v>
      </c>
      <c r="BV7" s="21" cm="1">
        <f t="array" aca="1" ref="BV7" ca="1">INDEX(Master!$H$2:'Master'!$H$4384,MATCH($A7&amp;BV$2,Master!$A$2:'Master'!$A$4384&amp;Master!$C$2:'Master'!$C$4384,0))</f>
        <v>97</v>
      </c>
      <c r="BW7" s="21" cm="1">
        <f t="array" aca="1" ref="BW7" ca="1">INDEX(Master!$H$2:'Master'!$H$4384,MATCH($A7&amp;BW$2,Master!$A$2:'Master'!$A$4384&amp;Master!$C$2:'Master'!$C$4384,0))</f>
        <v>99</v>
      </c>
      <c r="BX7" s="21" cm="1">
        <f t="array" aca="1" ref="BX7" ca="1">INDEX(Master!$H$2:'Master'!$H$4384,MATCH($A7&amp;BX$2,Master!$A$2:'Master'!$A$4384&amp;Master!$C$2:'Master'!$C$4384,0))</f>
        <v>97</v>
      </c>
      <c r="BY7" s="21" cm="1">
        <f t="array" aca="1" ref="BY7" ca="1">INDEX(Master!$H$2:'Master'!$H$4384,MATCH($A7&amp;BY$2,Master!$A$2:'Master'!$A$4384&amp;Master!$C$2:'Master'!$C$4384,0))</f>
        <v>99</v>
      </c>
      <c r="BZ7" s="21" cm="1">
        <f t="array" aca="1" ref="BZ7" ca="1">INDEX(Master!$H$2:'Master'!$H$4384,MATCH($A7&amp;BZ$2,Master!$A$2:'Master'!$A$4384&amp;Master!$C$2:'Master'!$C$4384,0))</f>
        <v>98</v>
      </c>
      <c r="CA7" s="21" cm="1">
        <f t="array" aca="1" ref="CA7" ca="1">INDEX(Master!$H$2:'Master'!$H$4384,MATCH($A7&amp;CA$2,Master!$A$2:'Master'!$A$4384&amp;Master!$C$2:'Master'!$C$4384,0))</f>
        <v>99</v>
      </c>
      <c r="CB7" s="21" cm="1">
        <f t="array" aca="1" ref="CB7" ca="1">INDEX(Master!$H$2:'Master'!$H$4384,MATCH($A7&amp;CB$2,Master!$A$2:'Master'!$A$4384&amp;Master!$C$2:'Master'!$C$4384,0))</f>
        <v>98</v>
      </c>
      <c r="CC7" s="21" cm="1">
        <f t="array" aca="1" ref="CC7" ca="1">INDEX(Master!$H$2:'Master'!$H$4384,MATCH($A7&amp;CC$2,Master!$A$2:'Master'!$A$4384&amp;Master!$C$2:'Master'!$C$4384,0))</f>
        <v>98</v>
      </c>
      <c r="CD7" s="21" cm="1">
        <f t="array" aca="1" ref="CD7" ca="1">INDEX(Master!$H$2:'Master'!$H$4384,MATCH($A7&amp;CD$2,Master!$A$2:'Master'!$A$4384&amp;Master!$C$2:'Master'!$C$4384,0))</f>
        <v>98</v>
      </c>
      <c r="CE7" s="21" cm="1">
        <f t="array" aca="1" ref="CE7" ca="1">INDEX(Master!$H$2:'Master'!$H$4384,MATCH($A7&amp;CE$2,Master!$A$2:'Master'!$A$4384&amp;Master!$C$2:'Master'!$C$4384,0))</f>
        <v>98</v>
      </c>
      <c r="CF7" s="21" cm="1">
        <f t="array" aca="1" ref="CF7" ca="1">INDEX(Master!$H$2:'Master'!$H$4384,MATCH($A7&amp;CF$2,Master!$A$2:'Master'!$A$4384&amp;Master!$C$2:'Master'!$C$4384,0))</f>
        <v>98</v>
      </c>
      <c r="CG7" s="21" cm="1">
        <f t="array" aca="1" ref="CG7" ca="1">INDEX(Master!$H$2:'Master'!$H$4384,MATCH($A7&amp;CG$2,Master!$A$2:'Master'!$A$4384&amp;Master!$C$2:'Master'!$C$4384,0))</f>
        <v>98</v>
      </c>
      <c r="CH7" s="21" cm="1">
        <f t="array" aca="1" ref="CH7" ca="1">INDEX(Master!$H$2:'Master'!$H$4384,MATCH($A7&amp;CH$2,Master!$A$2:'Master'!$A$4384&amp;Master!$C$2:'Master'!$C$4384,0))</f>
        <v>98</v>
      </c>
      <c r="CI7" s="21" cm="1">
        <f t="array" aca="1" ref="CI7" ca="1">INDEX(Master!$H$2:'Master'!$H$4384,MATCH($A7&amp;CI$2,Master!$A$2:'Master'!$A$4384&amp;Master!$C$2:'Master'!$C$4384,0))</f>
        <v>98</v>
      </c>
      <c r="CJ7" s="21" cm="1">
        <f t="array" aca="1" ref="CJ7" ca="1">INDEX(Master!$H$2:'Master'!$H$4384,MATCH($A7&amp;CJ$2,Master!$A$2:'Master'!$A$4384&amp;Master!$C$2:'Master'!$C$4384,0))</f>
        <v>99</v>
      </c>
      <c r="CK7" s="21" cm="1">
        <f t="array" aca="1" ref="CK7" ca="1">INDEX(Master!$H$2:'Master'!$H$4384,MATCH($A7&amp;CK$2,Master!$A$2:'Master'!$A$4384&amp;Master!$C$2:'Master'!$C$4384,0))</f>
        <v>99</v>
      </c>
      <c r="CL7" s="21" cm="1">
        <f t="array" aca="1" ref="CL7" ca="1">INDEX(Master!$H$2:'Master'!$H$4384,MATCH($A7&amp;CL$2,Master!$A$2:'Master'!$A$4384&amp;Master!$C$2:'Master'!$C$4384,0))</f>
        <v>99</v>
      </c>
      <c r="CM7" s="21" cm="1">
        <f t="array" aca="1" ref="CM7" ca="1">INDEX(Master!$H$2:'Master'!$H$4384,MATCH($A7&amp;CM$2,Master!$A$2:'Master'!$A$4384&amp;Master!$C$2:'Master'!$C$4384,0))</f>
        <v>99</v>
      </c>
      <c r="CN7" s="21" cm="1">
        <f t="array" aca="1" ref="CN7" ca="1">INDEX(Master!$H$2:'Master'!$H$4384,MATCH($A7&amp;CN$2,Master!$A$2:'Master'!$A$4384&amp;Master!$C$2:'Master'!$C$4384,0))</f>
        <v>97</v>
      </c>
      <c r="CO7" s="21" cm="1">
        <f t="array" aca="1" ref="CO7" ca="1">INDEX(Master!$H$2:'Master'!$H$4384,MATCH($A7&amp;CO$2,Master!$A$2:'Master'!$A$4384&amp;Master!$C$2:'Master'!$C$4384,0))</f>
        <v>97</v>
      </c>
      <c r="CP7" s="21" cm="1">
        <f t="array" aca="1" ref="CP7" ca="1">INDEX(Master!$H$2:'Master'!$H$4384,MATCH($A7&amp;CP$2,Master!$A$2:'Master'!$A$4384&amp;Master!$C$2:'Master'!$C$4384,0))</f>
        <v>97</v>
      </c>
      <c r="CQ7" s="21" cm="1">
        <f t="array" aca="1" ref="CQ7" ca="1">INDEX(Master!$H$2:'Master'!$H$4384,MATCH($A7&amp;CQ$2,Master!$A$2:'Master'!$A$4384&amp;Master!$C$2:'Master'!$C$4384,0))</f>
        <v>99</v>
      </c>
      <c r="CR7" s="21" cm="1">
        <f t="array" aca="1" ref="CR7" ca="1">INDEX(Master!$H$2:'Master'!$H$4384,MATCH($A7&amp;CR$2,Master!$A$2:'Master'!$A$4384&amp;Master!$C$2:'Master'!$C$4384,0))</f>
        <v>99</v>
      </c>
      <c r="CS7" s="21" cm="1">
        <f t="array" aca="1" ref="CS7" ca="1">INDEX(Master!$H$2:'Master'!$H$4384,MATCH($A7&amp;CS$2,Master!$A$2:'Master'!$A$4384&amp;Master!$C$2:'Master'!$C$4384,0))</f>
        <v>98</v>
      </c>
    </row>
    <row r="8" spans="1:97">
      <c r="A8" s="22" t="str">
        <f>VLOOKUP(Staff!$A5,Staff!$A$1:A$73,1,FALSE)</f>
        <v>Christopher Foyle</v>
      </c>
      <c r="B8" s="21" cm="1">
        <f t="array" aca="1" ref="B8" ca="1">INDEX(Master!$H$2:'Master'!$H$4384,MATCH($A8&amp;B$2,Master!$A$2:'Master'!$A$4384&amp;Master!$C$2:'Master'!$C$4384,0))</f>
        <v>2</v>
      </c>
      <c r="C8" s="21" cm="1">
        <f t="array" aca="1" ref="C8" ca="1">INDEX(Master!$H$2:'Master'!$H$4384,MATCH($A8&amp;C$2,Master!$A$2:'Master'!$A$4384&amp;Master!$C$2:'Master'!$C$4384,0))</f>
        <v>3</v>
      </c>
      <c r="D8" s="21" cm="1">
        <f t="array" aca="1" ref="D8" ca="1">INDEX(Master!$H$2:'Master'!$H$4384,MATCH($A8&amp;D$2,Master!$A$2:'Master'!$A$4384&amp;Master!$C$2:'Master'!$C$4384,0))</f>
        <v>2</v>
      </c>
      <c r="E8" s="21" cm="1">
        <f t="array" aca="1" ref="E8" ca="1">INDEX(Master!$H$2:'Master'!$H$4384,MATCH($A8&amp;E$2,Master!$A$2:'Master'!$A$4384&amp;Master!$C$2:'Master'!$C$4384,0))</f>
        <v>1</v>
      </c>
      <c r="F8" s="21" cm="1">
        <f t="array" aca="1" ref="F8" ca="1">INDEX(Master!$H$2:'Master'!$H$4384,MATCH($A8&amp;F$2,Master!$A$2:'Master'!$A$4384&amp;Master!$C$2:'Master'!$C$4384,0))</f>
        <v>3</v>
      </c>
      <c r="G8" s="21" cm="1">
        <f t="array" aca="1" ref="G8" ca="1">INDEX(Master!$H$2:'Master'!$H$4384,MATCH($A8&amp;G$2,Master!$A$2:'Master'!$A$4384&amp;Master!$C$2:'Master'!$C$4384,0))</f>
        <v>3</v>
      </c>
      <c r="H8" s="21" cm="1">
        <f t="array" aca="1" ref="H8" ca="1">INDEX(Master!$H$2:'Master'!$H$4384,MATCH($A8&amp;H$2,Master!$A$2:'Master'!$A$4384&amp;Master!$C$2:'Master'!$C$4384,0))</f>
        <v>1</v>
      </c>
      <c r="I8" s="21" cm="1">
        <f t="array" aca="1" ref="I8" ca="1">INDEX(Master!$H$2:'Master'!$H$4384,MATCH($A8&amp;I$2,Master!$A$2:'Master'!$A$4384&amp;Master!$C$2:'Master'!$C$4384,0))</f>
        <v>2</v>
      </c>
      <c r="J8" s="21" cm="1">
        <f t="array" aca="1" ref="J8" ca="1">INDEX(Master!$H$2:'Master'!$H$4384,MATCH($A8&amp;J$2,Master!$A$2:'Master'!$A$4384&amp;Master!$C$2:'Master'!$C$4384,0))</f>
        <v>3</v>
      </c>
      <c r="K8" s="21" cm="1">
        <f t="array" aca="1" ref="K8" ca="1">INDEX(Master!$H$2:'Master'!$H$4384,MATCH($A8&amp;K$2,Master!$A$2:'Master'!$A$4384&amp;Master!$C$2:'Master'!$C$4384,0))</f>
        <v>2</v>
      </c>
      <c r="L8" s="21" cm="1">
        <f t="array" aca="1" ref="L8" ca="1">INDEX(Master!$H$2:'Master'!$H$4384,MATCH($A8&amp;L$2,Master!$A$2:'Master'!$A$4384&amp;Master!$C$2:'Master'!$C$4384,0))</f>
        <v>1</v>
      </c>
      <c r="M8" s="21" cm="1">
        <f t="array" aca="1" ref="M8" ca="1">INDEX(Master!$H$2:'Master'!$H$4384,MATCH($A8&amp;M$2,Master!$A$2:'Master'!$A$4384&amp;Master!$C$2:'Master'!$C$4384,0))</f>
        <v>1</v>
      </c>
      <c r="N8" s="21" cm="1">
        <f t="array" aca="1" ref="N8" ca="1">INDEX(Master!$H$2:'Master'!$H$4384,MATCH($A8&amp;N$2,Master!$A$2:'Master'!$A$4384&amp;Master!$C$2:'Master'!$C$4384,0))</f>
        <v>1</v>
      </c>
      <c r="O8" s="21" cm="1">
        <f t="array" aca="1" ref="O8" ca="1">INDEX(Master!$H$2:'Master'!$H$4384,MATCH($A8&amp;O$2,Master!$A$2:'Master'!$A$4384&amp;Master!$C$2:'Master'!$C$4384,0))</f>
        <v>1</v>
      </c>
      <c r="P8" s="21" cm="1">
        <f t="array" aca="1" ref="P8" ca="1">INDEX(Master!$H$2:'Master'!$H$4384,MATCH($A8&amp;P$2,Master!$A$2:'Master'!$A$4384&amp;Master!$C$2:'Master'!$C$4384,0))</f>
        <v>0</v>
      </c>
      <c r="Q8" s="21" cm="1">
        <f t="array" aca="1" ref="Q8" ca="1">INDEX(Master!$H$2:'Master'!$H$4384,MATCH($A8&amp;Q$2,Master!$A$2:'Master'!$A$4384&amp;Master!$C$2:'Master'!$C$4384,0))</f>
        <v>0</v>
      </c>
      <c r="R8" s="21" cm="1">
        <f t="array" aca="1" ref="R8" ca="1">INDEX(Master!$H$2:'Master'!$H$4384,MATCH($A8&amp;R$2,Master!$A$2:'Master'!$A$4384&amp;Master!$C$2:'Master'!$C$4384,0))</f>
        <v>0</v>
      </c>
      <c r="S8" s="21" cm="1">
        <f t="array" aca="1" ref="S8" ca="1">INDEX(Master!$H$2:'Master'!$H$4384,MATCH($A8&amp;S$2,Master!$A$2:'Master'!$A$4384&amp;Master!$C$2:'Master'!$C$4384,0))</f>
        <v>1</v>
      </c>
      <c r="T8" s="21" cm="1">
        <f t="array" aca="1" ref="T8" ca="1">INDEX(Master!$H$2:'Master'!$H$4384,MATCH($A8&amp;T$2,Master!$A$2:'Master'!$A$4384&amp;Master!$C$2:'Master'!$C$4384,0))</f>
        <v>3</v>
      </c>
      <c r="U8" s="21" cm="1">
        <f t="array" aca="1" ref="U8" ca="1">INDEX(Master!$H$2:'Master'!$H$4384,MATCH($A8&amp;U$2,Master!$A$2:'Master'!$A$4384&amp;Master!$C$2:'Master'!$C$4384,0))</f>
        <v>0</v>
      </c>
      <c r="V8" s="21" cm="1">
        <f t="array" aca="1" ref="V8" ca="1">INDEX(Master!$H$2:'Master'!$H$4384,MATCH($A8&amp;V$2,Master!$A$2:'Master'!$A$4384&amp;Master!$C$2:'Master'!$C$4384,0))</f>
        <v>1</v>
      </c>
      <c r="W8" s="21" cm="1">
        <f t="array" aca="1" ref="W8" ca="1">INDEX(Master!$H$2:'Master'!$H$4384,MATCH($A8&amp;W$2,Master!$A$2:'Master'!$A$4384&amp;Master!$C$2:'Master'!$C$4384,0))</f>
        <v>2</v>
      </c>
      <c r="X8" s="21" cm="1">
        <f t="array" aca="1" ref="X8" ca="1">INDEX(Master!$H$2:'Master'!$H$4384,MATCH($A8&amp;X$2,Master!$A$2:'Master'!$A$4384&amp;Master!$C$2:'Master'!$C$4384,0))</f>
        <v>0</v>
      </c>
      <c r="Y8" s="21" cm="1">
        <f t="array" aca="1" ref="Y8" ca="1">INDEX(Master!$H$2:'Master'!$H$4384,MATCH($A8&amp;Y$2,Master!$A$2:'Master'!$A$4384&amp;Master!$C$2:'Master'!$C$4384,0))</f>
        <v>2</v>
      </c>
      <c r="Z8" s="21" cm="1">
        <f t="array" aca="1" ref="Z8" ca="1">INDEX(Master!$H$2:'Master'!$H$4384,MATCH($A8&amp;Z$2,Master!$A$2:'Master'!$A$4384&amp;Master!$C$2:'Master'!$C$4384,0))</f>
        <v>1</v>
      </c>
      <c r="AA8" s="21" cm="1">
        <f t="array" aca="1" ref="AA8" ca="1">INDEX(Master!$H$2:'Master'!$H$4384,MATCH($A8&amp;AA$2,Master!$A$2:'Master'!$A$4384&amp;Master!$C$2:'Master'!$C$4384,0))</f>
        <v>1</v>
      </c>
      <c r="AB8" s="21" cm="1">
        <f t="array" aca="1" ref="AB8" ca="1">INDEX(Master!$H$2:'Master'!$H$4384,MATCH($A8&amp;AB$2,Master!$A$2:'Master'!$A$4384&amp;Master!$C$2:'Master'!$C$4384,0))</f>
        <v>1</v>
      </c>
      <c r="AC8" s="21" cm="1">
        <f t="array" aca="1" ref="AC8" ca="1">INDEX(Master!$H$2:'Master'!$H$4384,MATCH($A8&amp;AC$2,Master!$A$2:'Master'!$A$4384&amp;Master!$C$2:'Master'!$C$4384,0))</f>
        <v>2</v>
      </c>
      <c r="AD8" s="21" cm="1">
        <f t="array" aca="1" ref="AD8" ca="1">INDEX(Master!$H$2:'Master'!$H$4384,MATCH($A8&amp;AD$2,Master!$A$2:'Master'!$A$4384&amp;Master!$C$2:'Master'!$C$4384,0))</f>
        <v>-2</v>
      </c>
      <c r="AE8" s="21" cm="1">
        <f t="array" aca="1" ref="AE8" ca="1">INDEX(Master!$H$2:'Master'!$H$4384,MATCH($A8&amp;AE$2,Master!$A$2:'Master'!$A$4384&amp;Master!$C$2:'Master'!$C$4384,0))</f>
        <v>-1</v>
      </c>
      <c r="AF8" s="21" cm="1">
        <f t="array" aca="1" ref="AF8" ca="1">INDEX(Master!$H$2:'Master'!$H$4384,MATCH($A8&amp;AF$2,Master!$A$2:'Master'!$A$4384&amp;Master!$C$2:'Master'!$C$4384,0))</f>
        <v>1</v>
      </c>
      <c r="AG8" s="21" cm="1">
        <f t="array" aca="1" ref="AG8" ca="1">INDEX(Master!$H$2:'Master'!$H$4384,MATCH($A8&amp;AG$2,Master!$A$2:'Master'!$A$4384&amp;Master!$C$2:'Master'!$C$4384,0))</f>
        <v>2</v>
      </c>
      <c r="AH8" s="21" cm="1">
        <f t="array" aca="1" ref="AH8" ca="1">INDEX(Master!$H$2:'Master'!$H$4384,MATCH($A8&amp;AH$2,Master!$A$2:'Master'!$A$4384&amp;Master!$C$2:'Master'!$C$4384,0))</f>
        <v>3</v>
      </c>
      <c r="AI8" s="21" cm="1">
        <f t="array" aca="1" ref="AI8" ca="1">INDEX(Master!$H$2:'Master'!$H$4384,MATCH($A8&amp;AI$2,Master!$A$2:'Master'!$A$4384&amp;Master!$C$2:'Master'!$C$4384,0))</f>
        <v>1</v>
      </c>
      <c r="AJ8" s="21" cm="1">
        <f t="array" aca="1" ref="AJ8" ca="1">INDEX(Master!$H$2:'Master'!$H$4384,MATCH($A8&amp;AJ$2,Master!$A$2:'Master'!$A$4384&amp;Master!$C$2:'Master'!$C$4384,0))</f>
        <v>1</v>
      </c>
      <c r="AK8" s="21" cm="1">
        <f t="array" aca="1" ref="AK8" ca="1">INDEX(Master!$H$2:'Master'!$H$4384,MATCH($A8&amp;AK$2,Master!$A$2:'Master'!$A$4384&amp;Master!$C$2:'Master'!$C$4384,0))</f>
        <v>3</v>
      </c>
      <c r="AL8" s="21" cm="1">
        <f t="array" aca="1" ref="AL8" ca="1">INDEX(Master!$H$2:'Master'!$H$4384,MATCH($A8&amp;AL$2,Master!$A$2:'Master'!$A$4384&amp;Master!$C$2:'Master'!$C$4384,0))</f>
        <v>3</v>
      </c>
      <c r="AM8" s="21" cm="1">
        <f t="array" aca="1" ref="AM8" ca="1">INDEX(Master!$H$2:'Master'!$H$4384,MATCH($A8&amp;AM$2,Master!$A$2:'Master'!$A$4384&amp;Master!$C$2:'Master'!$C$4384,0))</f>
        <v>3</v>
      </c>
      <c r="AN8" s="21" cm="1">
        <f t="array" aca="1" ref="AN8" ca="1">INDEX(Master!$H$2:'Master'!$H$4384,MATCH($A8&amp;AN$2,Master!$A$2:'Master'!$A$4384&amp;Master!$C$2:'Master'!$C$4384,0))</f>
        <v>0</v>
      </c>
      <c r="AO8" s="21" cm="1">
        <f t="array" aca="1" ref="AO8" ca="1">INDEX(Master!$H$2:'Master'!$H$4384,MATCH($A8&amp;AO$2,Master!$A$2:'Master'!$A$4384&amp;Master!$C$2:'Master'!$C$4384,0))</f>
        <v>0</v>
      </c>
      <c r="AP8" s="21" cm="1">
        <f t="array" aca="1" ref="AP8" ca="1">INDEX(Master!$H$2:'Master'!$H$4384,MATCH($A8&amp;AP$2,Master!$A$2:'Master'!$A$4384&amp;Master!$C$2:'Master'!$C$4384,0))</f>
        <v>-1</v>
      </c>
      <c r="AQ8" s="21" cm="1">
        <f t="array" aca="1" ref="AQ8" ca="1">INDEX(Master!$H$2:'Master'!$H$4384,MATCH($A8&amp;AQ$2,Master!$A$2:'Master'!$A$4384&amp;Master!$C$2:'Master'!$C$4384,0))</f>
        <v>2</v>
      </c>
      <c r="AR8" s="21" cm="1">
        <f t="array" aca="1" ref="AR8" ca="1">INDEX(Master!$H$2:'Master'!$H$4384,MATCH($A8&amp;AR$2,Master!$A$2:'Master'!$A$4384&amp;Master!$C$2:'Master'!$C$4384,0))</f>
        <v>-1</v>
      </c>
      <c r="AS8" s="21" cm="1">
        <f t="array" aca="1" ref="AS8" ca="1">INDEX(Master!$H$2:'Master'!$H$4384,MATCH($A8&amp;AS$2,Master!$A$2:'Master'!$A$4384&amp;Master!$C$2:'Master'!$C$4384,0))</f>
        <v>-2</v>
      </c>
      <c r="AT8" s="21" cm="1">
        <f t="array" aca="1" ref="AT8" ca="1">INDEX(Master!$H$2:'Master'!$H$4384,MATCH($A8&amp;AT$2,Master!$A$2:'Master'!$A$4384&amp;Master!$C$2:'Master'!$C$4384,0))</f>
        <v>1</v>
      </c>
      <c r="AU8" s="21" cm="1">
        <f t="array" aca="1" ref="AU8" ca="1">INDEX(Master!$H$2:'Master'!$H$4384,MATCH($A8&amp;AU$2,Master!$A$2:'Master'!$A$4384&amp;Master!$C$2:'Master'!$C$4384,0))</f>
        <v>0</v>
      </c>
      <c r="AV8" s="21" cm="1">
        <f t="array" aca="1" ref="AV8" ca="1">INDEX(Master!$H$2:'Master'!$H$4384,MATCH($A8&amp;AV$2,Master!$A$2:'Master'!$A$4384&amp;Master!$C$2:'Master'!$C$4384,0))</f>
        <v>1</v>
      </c>
      <c r="AW8" s="21" cm="1">
        <f t="array" aca="1" ref="AW8" ca="1">INDEX(Master!$H$2:'Master'!$H$4384,MATCH($A8&amp;AW$2,Master!$A$2:'Master'!$A$4384&amp;Master!$C$2:'Master'!$C$4384,0))</f>
        <v>-1</v>
      </c>
      <c r="AX8" s="21" cm="1">
        <f t="array" aca="1" ref="AX8" ca="1">INDEX(Master!$H$2:'Master'!$H$4384,MATCH($A8&amp;AX$2,Master!$A$2:'Master'!$A$4384&amp;Master!$C$2:'Master'!$C$4384,0))</f>
        <v>4</v>
      </c>
      <c r="AY8" s="21" cm="1">
        <f t="array" aca="1" ref="AY8" ca="1">INDEX(Master!$H$2:'Master'!$H$4384,MATCH($A8&amp;AY$2,Master!$A$2:'Master'!$A$4384&amp;Master!$C$2:'Master'!$C$4384,0))</f>
        <v>1</v>
      </c>
      <c r="AZ8" s="21" cm="1">
        <f t="array" aca="1" ref="AZ8" ca="1">INDEX(Master!$H$2:'Master'!$H$4384,MATCH($A8&amp;AZ$2,Master!$A$2:'Master'!$A$4384&amp;Master!$C$2:'Master'!$C$4384,0))</f>
        <v>0</v>
      </c>
      <c r="BA8" s="21" cm="1">
        <f t="array" aca="1" ref="BA8" ca="1">INDEX(Master!$H$2:'Master'!$H$4384,MATCH($A8&amp;BA$2,Master!$A$2:'Master'!$A$4384&amp;Master!$C$2:'Master'!$C$4384,0))</f>
        <v>2</v>
      </c>
      <c r="BB8" s="21" cm="1">
        <f t="array" aca="1" ref="BB8" ca="1">INDEX(Master!$H$2:'Master'!$H$4384,MATCH($A8&amp;BB$2,Master!$A$2:'Master'!$A$4384&amp;Master!$C$2:'Master'!$C$4384,0))</f>
        <v>2</v>
      </c>
      <c r="BC8" s="21" cm="1">
        <f t="array" aca="1" ref="BC8" ca="1">INDEX(Master!$H$2:'Master'!$H$4384,MATCH($A8&amp;BC$2,Master!$A$2:'Master'!$A$4384&amp;Master!$C$2:'Master'!$C$4384,0))</f>
        <v>1</v>
      </c>
      <c r="BD8" s="21" cm="1">
        <f t="array" aca="1" ref="BD8" ca="1">INDEX(Master!$H$2:'Master'!$H$4384,MATCH($A8&amp;BD$2,Master!$A$2:'Master'!$A$4384&amp;Master!$C$2:'Master'!$C$4384,0))</f>
        <v>3</v>
      </c>
      <c r="BE8" s="21" cm="1">
        <f t="array" aca="1" ref="BE8" ca="1">INDEX(Master!$H$2:'Master'!$H$4384,MATCH($A8&amp;BE$2,Master!$A$2:'Master'!$A$4384&amp;Master!$C$2:'Master'!$C$4384,0))</f>
        <v>3</v>
      </c>
      <c r="BF8" s="21" cm="1">
        <f t="array" aca="1" ref="BF8" ca="1">INDEX(Master!$H$2:'Master'!$H$4384,MATCH($A8&amp;BF$2,Master!$A$2:'Master'!$A$4384&amp;Master!$C$2:'Master'!$C$4384,0))</f>
        <v>-1</v>
      </c>
      <c r="BG8" s="21" cm="1">
        <f t="array" aca="1" ref="BG8" ca="1">INDEX(Master!$H$2:'Master'!$H$4384,MATCH($A8&amp;BG$2,Master!$A$2:'Master'!$A$4384&amp;Master!$C$2:'Master'!$C$4384,0))</f>
        <v>-2</v>
      </c>
      <c r="BH8" s="21" cm="1">
        <f t="array" aca="1" ref="BH8" ca="1">INDEX(Master!$H$2:'Master'!$H$4384,MATCH($A8&amp;BH$2,Master!$A$2:'Master'!$A$4384&amp;Master!$C$2:'Master'!$C$4384,0))</f>
        <v>-1</v>
      </c>
      <c r="BI8" s="21" cm="1">
        <f t="array" aca="1" ref="BI8" ca="1">INDEX(Master!$H$2:'Master'!$H$4384,MATCH($A8&amp;BI$2,Master!$A$2:'Master'!$A$4384&amp;Master!$C$2:'Master'!$C$4384,0))</f>
        <v>-1</v>
      </c>
      <c r="BJ8" s="21" cm="1">
        <f t="array" aca="1" ref="BJ8" ca="1">INDEX(Master!$H$2:'Master'!$H$4384,MATCH($A8&amp;BJ$2,Master!$A$2:'Master'!$A$4384&amp;Master!$C$2:'Master'!$C$4384,0))</f>
        <v>-1</v>
      </c>
      <c r="BK8" s="21" cm="1">
        <f t="array" aca="1" ref="BK8" ca="1">INDEX(Master!$H$2:'Master'!$H$4384,MATCH($A8&amp;BK$2,Master!$A$2:'Master'!$A$4384&amp;Master!$C$2:'Master'!$C$4384,0))</f>
        <v>2</v>
      </c>
      <c r="BL8" s="21" cm="1">
        <f t="array" aca="1" ref="BL8" ca="1">INDEX(Master!$H$2:'Master'!$H$4384,MATCH($A8&amp;BL$2,Master!$A$2:'Master'!$A$4384&amp;Master!$C$2:'Master'!$C$4384,0))</f>
        <v>0</v>
      </c>
      <c r="BM8" s="21" cm="1">
        <f t="array" aca="1" ref="BM8" ca="1">INDEX(Master!$H$2:'Master'!$H$4384,MATCH($A8&amp;BM$2,Master!$A$2:'Master'!$A$4384&amp;Master!$C$2:'Master'!$C$4384,0))</f>
        <v>0</v>
      </c>
      <c r="BN8" s="21" cm="1">
        <f t="array" aca="1" ref="BN8" ca="1">INDEX(Master!$H$2:'Master'!$H$4384,MATCH($A8&amp;BN$2,Master!$A$2:'Master'!$A$4384&amp;Master!$C$2:'Master'!$C$4384,0))</f>
        <v>1</v>
      </c>
      <c r="BO8" s="21" cm="1">
        <f t="array" aca="1" ref="BO8" ca="1">INDEX(Master!$H$2:'Master'!$H$4384,MATCH($A8&amp;BO$2,Master!$A$2:'Master'!$A$4384&amp;Master!$C$2:'Master'!$C$4384,0))</f>
        <v>1</v>
      </c>
      <c r="BP8" s="21" cm="1">
        <f t="array" aca="1" ref="BP8" ca="1">INDEX(Master!$H$2:'Master'!$H$4384,MATCH($A8&amp;BP$2,Master!$A$2:'Master'!$A$4384&amp;Master!$C$2:'Master'!$C$4384,0))</f>
        <v>0</v>
      </c>
      <c r="BQ8" s="21" cm="1">
        <f t="array" aca="1" ref="BQ8" ca="1">INDEX(Master!$H$2:'Master'!$H$4384,MATCH($A8&amp;BQ$2,Master!$A$2:'Master'!$A$4384&amp;Master!$C$2:'Master'!$C$4384,0))</f>
        <v>1</v>
      </c>
      <c r="BR8" s="21" cm="1">
        <f t="array" aca="1" ref="BR8" ca="1">INDEX(Master!$H$2:'Master'!$H$4384,MATCH($A8&amp;BR$2,Master!$A$2:'Master'!$A$4384&amp;Master!$C$2:'Master'!$C$4384,0))</f>
        <v>0</v>
      </c>
      <c r="BS8" s="21" cm="1">
        <f t="array" aca="1" ref="BS8" ca="1">INDEX(Master!$H$2:'Master'!$H$4384,MATCH($A8&amp;BS$2,Master!$A$2:'Master'!$A$4384&amp;Master!$C$2:'Master'!$C$4384,0))</f>
        <v>0</v>
      </c>
      <c r="BT8" s="21" cm="1">
        <f t="array" aca="1" ref="BT8" ca="1">INDEX(Master!$H$2:'Master'!$H$4384,MATCH($A8&amp;BT$2,Master!$A$2:'Master'!$A$4384&amp;Master!$C$2:'Master'!$C$4384,0))</f>
        <v>1</v>
      </c>
      <c r="BU8" s="21" cm="1">
        <f t="array" aca="1" ref="BU8" ca="1">INDEX(Master!$H$2:'Master'!$H$4384,MATCH($A8&amp;BU$2,Master!$A$2:'Master'!$A$4384&amp;Master!$C$2:'Master'!$C$4384,0))</f>
        <v>1</v>
      </c>
      <c r="BV8" s="21" cm="1">
        <f t="array" aca="1" ref="BV8" ca="1">INDEX(Master!$H$2:'Master'!$H$4384,MATCH($A8&amp;BV$2,Master!$A$2:'Master'!$A$4384&amp;Master!$C$2:'Master'!$C$4384,0))</f>
        <v>0</v>
      </c>
      <c r="BW8" s="21" cm="1">
        <f t="array" aca="1" ref="BW8" ca="1">INDEX(Master!$H$2:'Master'!$H$4384,MATCH($A8&amp;BW$2,Master!$A$2:'Master'!$A$4384&amp;Master!$C$2:'Master'!$C$4384,0))</f>
        <v>-1</v>
      </c>
      <c r="BX8" s="21" cm="1">
        <f t="array" aca="1" ref="BX8" ca="1">INDEX(Master!$H$2:'Master'!$H$4384,MATCH($A8&amp;BX$2,Master!$A$2:'Master'!$A$4384&amp;Master!$C$2:'Master'!$C$4384,0))</f>
        <v>-2</v>
      </c>
      <c r="BY8" s="21" cm="1">
        <f t="array" aca="1" ref="BY8" ca="1">INDEX(Master!$H$2:'Master'!$H$4384,MATCH($A8&amp;BY$2,Master!$A$2:'Master'!$A$4384&amp;Master!$C$2:'Master'!$C$4384,0))</f>
        <v>-1</v>
      </c>
      <c r="BZ8" s="21" cm="1">
        <f t="array" aca="1" ref="BZ8" ca="1">INDEX(Master!$H$2:'Master'!$H$4384,MATCH($A8&amp;BZ$2,Master!$A$2:'Master'!$A$4384&amp;Master!$C$2:'Master'!$C$4384,0))</f>
        <v>-1</v>
      </c>
      <c r="CA8" s="21" cm="1">
        <f t="array" aca="1" ref="CA8" ca="1">INDEX(Master!$H$2:'Master'!$H$4384,MATCH($A8&amp;CA$2,Master!$A$2:'Master'!$A$4384&amp;Master!$C$2:'Master'!$C$4384,0))</f>
        <v>-1</v>
      </c>
      <c r="CB8" s="21" cm="1">
        <f t="array" aca="1" ref="CB8" ca="1">INDEX(Master!$H$2:'Master'!$H$4384,MATCH($A8&amp;CB$2,Master!$A$2:'Master'!$A$4384&amp;Master!$C$2:'Master'!$C$4384,0))</f>
        <v>2</v>
      </c>
      <c r="CC8" s="21" cm="1">
        <f t="array" aca="1" ref="CC8" ca="1">INDEX(Master!$H$2:'Master'!$H$4384,MATCH($A8&amp;CC$2,Master!$A$2:'Master'!$A$4384&amp;Master!$C$2:'Master'!$C$4384,0))</f>
        <v>0</v>
      </c>
      <c r="CD8" s="21" cm="1">
        <f t="array" aca="1" ref="CD8" ca="1">INDEX(Master!$H$2:'Master'!$H$4384,MATCH($A8&amp;CD$2,Master!$A$2:'Master'!$A$4384&amp;Master!$C$2:'Master'!$C$4384,0))</f>
        <v>0</v>
      </c>
      <c r="CE8" s="21" cm="1">
        <f t="array" aca="1" ref="CE8" ca="1">INDEX(Master!$H$2:'Master'!$H$4384,MATCH($A8&amp;CE$2,Master!$A$2:'Master'!$A$4384&amp;Master!$C$2:'Master'!$C$4384,0))</f>
        <v>1</v>
      </c>
      <c r="CF8" s="21" cm="1">
        <f t="array" aca="1" ref="CF8" ca="1">INDEX(Master!$H$2:'Master'!$H$4384,MATCH($A8&amp;CF$2,Master!$A$2:'Master'!$A$4384&amp;Master!$C$2:'Master'!$C$4384,0))</f>
        <v>2</v>
      </c>
      <c r="CG8" s="21" cm="1">
        <f t="array" aca="1" ref="CG8" ca="1">INDEX(Master!$H$2:'Master'!$H$4384,MATCH($A8&amp;CG$2,Master!$A$2:'Master'!$A$4384&amp;Master!$C$2:'Master'!$C$4384,0))</f>
        <v>3</v>
      </c>
      <c r="CH8" s="21" cm="1">
        <f t="array" aca="1" ref="CH8" ca="1">INDEX(Master!$H$2:'Master'!$H$4384,MATCH($A8&amp;CH$2,Master!$A$2:'Master'!$A$4384&amp;Master!$C$2:'Master'!$C$4384,0))</f>
        <v>1</v>
      </c>
      <c r="CI8" s="21" cm="1">
        <f t="array" aca="1" ref="CI8" ca="1">INDEX(Master!$H$2:'Master'!$H$4384,MATCH($A8&amp;CI$2,Master!$A$2:'Master'!$A$4384&amp;Master!$C$2:'Master'!$C$4384,0))</f>
        <v>2</v>
      </c>
      <c r="CJ8" s="21" cm="1">
        <f t="array" aca="1" ref="CJ8" ca="1">INDEX(Master!$H$2:'Master'!$H$4384,MATCH($A8&amp;CJ$2,Master!$A$2:'Master'!$A$4384&amp;Master!$C$2:'Master'!$C$4384,0))</f>
        <v>1</v>
      </c>
      <c r="CK8" s="21" cm="1">
        <f t="array" aca="1" ref="CK8" ca="1">INDEX(Master!$H$2:'Master'!$H$4384,MATCH($A8&amp;CK$2,Master!$A$2:'Master'!$A$4384&amp;Master!$C$2:'Master'!$C$4384,0))</f>
        <v>1</v>
      </c>
      <c r="CL8" s="21" cm="1">
        <f t="array" aca="1" ref="CL8" ca="1">INDEX(Master!$H$2:'Master'!$H$4384,MATCH($A8&amp;CL$2,Master!$A$2:'Master'!$A$4384&amp;Master!$C$2:'Master'!$C$4384,0))</f>
        <v>1</v>
      </c>
      <c r="CM8" s="21" cm="1">
        <f t="array" aca="1" ref="CM8" ca="1">INDEX(Master!$H$2:'Master'!$H$4384,MATCH($A8&amp;CM$2,Master!$A$2:'Master'!$A$4384&amp;Master!$C$2:'Master'!$C$4384,0))</f>
        <v>-2</v>
      </c>
      <c r="CN8" s="21" cm="1">
        <f t="array" aca="1" ref="CN8" ca="1">INDEX(Master!$H$2:'Master'!$H$4384,MATCH($A8&amp;CN$2,Master!$A$2:'Master'!$A$4384&amp;Master!$C$2:'Master'!$C$4384,0))</f>
        <v>-2</v>
      </c>
      <c r="CO8" s="21" cm="1">
        <f t="array" aca="1" ref="CO8" ca="1">INDEX(Master!$H$2:'Master'!$H$4384,MATCH($A8&amp;CO$2,Master!$A$2:'Master'!$A$4384&amp;Master!$C$2:'Master'!$C$4384,0))</f>
        <v>-2</v>
      </c>
      <c r="CP8" s="21" cm="1">
        <f t="array" aca="1" ref="CP8" ca="1">INDEX(Master!$H$2:'Master'!$H$4384,MATCH($A8&amp;CP$2,Master!$A$2:'Master'!$A$4384&amp;Master!$C$2:'Master'!$C$4384,0))</f>
        <v>0</v>
      </c>
      <c r="CQ8" s="21" cm="1">
        <f t="array" aca="1" ref="CQ8" ca="1">INDEX(Master!$H$2:'Master'!$H$4384,MATCH($A8&amp;CQ$2,Master!$A$2:'Master'!$A$4384&amp;Master!$C$2:'Master'!$C$4384,0))</f>
        <v>-2</v>
      </c>
      <c r="CR8" s="21" cm="1">
        <f t="array" aca="1" ref="CR8" ca="1">INDEX(Master!$H$2:'Master'!$H$4384,MATCH($A8&amp;CR$2,Master!$A$2:'Master'!$A$4384&amp;Master!$C$2:'Master'!$C$4384,0))</f>
        <v>2</v>
      </c>
      <c r="CS8" s="21" cm="1">
        <f t="array" aca="1" ref="CS8" ca="1">INDEX(Master!$H$2:'Master'!$H$4384,MATCH($A8&amp;CS$2,Master!$A$2:'Master'!$A$4384&amp;Master!$C$2:'Master'!$C$4384,0))</f>
        <v>1</v>
      </c>
    </row>
    <row r="9" spans="1:97">
      <c r="A9" s="22" t="str">
        <f>VLOOKUP(Staff!$A6,Staff!$A$1:A$73,1,FALSE)</f>
        <v>Robbie Lewis</v>
      </c>
      <c r="B9" s="21" cm="1">
        <f t="array" aca="1" ref="B9" ca="1">INDEX(Master!$H$2:'Master'!$H$4384,MATCH($A9&amp;B$2,Master!$A$2:'Master'!$A$4384&amp;Master!$C$2:'Master'!$C$4384,0))</f>
        <v>-1</v>
      </c>
      <c r="C9" s="21" cm="1">
        <f t="array" aca="1" ref="C9" ca="1">INDEX(Master!$H$2:'Master'!$H$4384,MATCH($A9&amp;C$2,Master!$A$2:'Master'!$A$4384&amp;Master!$C$2:'Master'!$C$4384,0))</f>
        <v>1</v>
      </c>
      <c r="D9" s="21" cm="1">
        <f t="array" aca="1" ref="D9" ca="1">INDEX(Master!$H$2:'Master'!$H$4384,MATCH($A9&amp;D$2,Master!$A$2:'Master'!$A$4384&amp;Master!$C$2:'Master'!$C$4384,0))</f>
        <v>0</v>
      </c>
      <c r="E9" s="21" cm="1">
        <f t="array" aca="1" ref="E9" ca="1">INDEX(Master!$H$2:'Master'!$H$4384,MATCH($A9&amp;E$2,Master!$A$2:'Master'!$A$4384&amp;Master!$C$2:'Master'!$C$4384,0))</f>
        <v>0</v>
      </c>
      <c r="F9" s="21" cm="1">
        <f t="array" aca="1" ref="F9" ca="1">INDEX(Master!$H$2:'Master'!$H$4384,MATCH($A9&amp;F$2,Master!$A$2:'Master'!$A$4384&amp;Master!$C$2:'Master'!$C$4384,0))</f>
        <v>-1</v>
      </c>
      <c r="G9" s="21" cm="1">
        <f t="array" aca="1" ref="G9" ca="1">INDEX(Master!$H$2:'Master'!$H$4384,MATCH($A9&amp;G$2,Master!$A$2:'Master'!$A$4384&amp;Master!$C$2:'Master'!$C$4384,0))</f>
        <v>1</v>
      </c>
      <c r="H9" s="21" cm="1">
        <f t="array" aca="1" ref="H9" ca="1">INDEX(Master!$H$2:'Master'!$H$4384,MATCH($A9&amp;H$2,Master!$A$2:'Master'!$A$4384&amp;Master!$C$2:'Master'!$C$4384,0))</f>
        <v>1</v>
      </c>
      <c r="I9" s="21" cm="1">
        <f t="array" aca="1" ref="I9" ca="1">INDEX(Master!$H$2:'Master'!$H$4384,MATCH($A9&amp;I$2,Master!$A$2:'Master'!$A$4384&amp;Master!$C$2:'Master'!$C$4384,0))</f>
        <v>-1</v>
      </c>
      <c r="J9" s="21" cm="1">
        <f t="array" aca="1" ref="J9" ca="1">INDEX(Master!$H$2:'Master'!$H$4384,MATCH($A9&amp;J$2,Master!$A$2:'Master'!$A$4384&amp;Master!$C$2:'Master'!$C$4384,0))</f>
        <v>-1</v>
      </c>
      <c r="K9" s="21" cm="1">
        <f t="array" aca="1" ref="K9" ca="1">INDEX(Master!$H$2:'Master'!$H$4384,MATCH($A9&amp;K$2,Master!$A$2:'Master'!$A$4384&amp;Master!$C$2:'Master'!$C$4384,0))</f>
        <v>0</v>
      </c>
      <c r="L9" s="21" cm="1">
        <f t="array" aca="1" ref="L9" ca="1">INDEX(Master!$H$2:'Master'!$H$4384,MATCH($A9&amp;L$2,Master!$A$2:'Master'!$A$4384&amp;Master!$C$2:'Master'!$C$4384,0))</f>
        <v>-1</v>
      </c>
      <c r="M9" s="21" cm="1">
        <f t="array" aca="1" ref="M9" ca="1">INDEX(Master!$H$2:'Master'!$H$4384,MATCH($A9&amp;M$2,Master!$A$2:'Master'!$A$4384&amp;Master!$C$2:'Master'!$C$4384,0))</f>
        <v>-1</v>
      </c>
      <c r="N9" s="21" cm="1">
        <f t="array" aca="1" ref="N9" ca="1">INDEX(Master!$H$2:'Master'!$H$4384,MATCH($A9&amp;N$2,Master!$A$2:'Master'!$A$4384&amp;Master!$C$2:'Master'!$C$4384,0))</f>
        <v>-1</v>
      </c>
      <c r="O9" s="21" cm="1">
        <f t="array" aca="1" ref="O9" ca="1">INDEX(Master!$H$2:'Master'!$H$4384,MATCH($A9&amp;O$2,Master!$A$2:'Master'!$A$4384&amp;Master!$C$2:'Master'!$C$4384,0))</f>
        <v>-2</v>
      </c>
      <c r="P9" s="21" cm="1">
        <f t="array" aca="1" ref="P9" ca="1">INDEX(Master!$H$2:'Master'!$H$4384,MATCH($A9&amp;P$2,Master!$A$2:'Master'!$A$4384&amp;Master!$C$2:'Master'!$C$4384,0))</f>
        <v>1</v>
      </c>
      <c r="Q9" s="21" cm="1">
        <f t="array" aca="1" ref="Q9" ca="1">INDEX(Master!$H$2:'Master'!$H$4384,MATCH($A9&amp;Q$2,Master!$A$2:'Master'!$A$4384&amp;Master!$C$2:'Master'!$C$4384,0))</f>
        <v>0</v>
      </c>
      <c r="R9" s="21" cm="1">
        <f t="array" aca="1" ref="R9" ca="1">INDEX(Master!$H$2:'Master'!$H$4384,MATCH($A9&amp;R$2,Master!$A$2:'Master'!$A$4384&amp;Master!$C$2:'Master'!$C$4384,0))</f>
        <v>-2</v>
      </c>
      <c r="S9" s="21" cm="1">
        <f t="array" aca="1" ref="S9" ca="1">INDEX(Master!$H$2:'Master'!$H$4384,MATCH($A9&amp;S$2,Master!$A$2:'Master'!$A$4384&amp;Master!$C$2:'Master'!$C$4384,0))</f>
        <v>-3</v>
      </c>
      <c r="T9" s="21" cm="1">
        <f t="array" aca="1" ref="T9" ca="1">INDEX(Master!$H$2:'Master'!$H$4384,MATCH($A9&amp;T$2,Master!$A$2:'Master'!$A$4384&amp;Master!$C$2:'Master'!$C$4384,0))</f>
        <v>0</v>
      </c>
      <c r="U9" s="21" cm="1">
        <f t="array" aca="1" ref="U9" ca="1">INDEX(Master!$H$2:'Master'!$H$4384,MATCH($A9&amp;U$2,Master!$A$2:'Master'!$A$4384&amp;Master!$C$2:'Master'!$C$4384,0))</f>
        <v>1</v>
      </c>
      <c r="V9" s="21" cm="1">
        <f t="array" aca="1" ref="V9" ca="1">INDEX(Master!$H$2:'Master'!$H$4384,MATCH($A9&amp;V$2,Master!$A$2:'Master'!$A$4384&amp;Master!$C$2:'Master'!$C$4384,0))</f>
        <v>1</v>
      </c>
      <c r="W9" s="21" cm="1">
        <f t="array" aca="1" ref="W9" ca="1">INDEX(Master!$H$2:'Master'!$H$4384,MATCH($A9&amp;W$2,Master!$A$2:'Master'!$A$4384&amp;Master!$C$2:'Master'!$C$4384,0))</f>
        <v>2</v>
      </c>
      <c r="X9" s="21" cm="1">
        <f t="array" aca="1" ref="X9" ca="1">INDEX(Master!$H$2:'Master'!$H$4384,MATCH($A9&amp;X$2,Master!$A$2:'Master'!$A$4384&amp;Master!$C$2:'Master'!$C$4384,0))</f>
        <v>0</v>
      </c>
      <c r="Y9" s="21" cm="1">
        <f t="array" aca="1" ref="Y9" ca="1">INDEX(Master!$H$2:'Master'!$H$4384,MATCH($A9&amp;Y$2,Master!$A$2:'Master'!$A$4384&amp;Master!$C$2:'Master'!$C$4384,0))</f>
        <v>-2</v>
      </c>
      <c r="Z9" s="21" cm="1">
        <f t="array" aca="1" ref="Z9" ca="1">INDEX(Master!$H$2:'Master'!$H$4384,MATCH($A9&amp;Z$2,Master!$A$2:'Master'!$A$4384&amp;Master!$C$2:'Master'!$C$4384,0))</f>
        <v>0</v>
      </c>
      <c r="AA9" s="21" cm="1">
        <f t="array" aca="1" ref="AA9" ca="1">INDEX(Master!$H$2:'Master'!$H$4384,MATCH($A9&amp;AA$2,Master!$A$2:'Master'!$A$4384&amp;Master!$C$2:'Master'!$C$4384,0))</f>
        <v>-1</v>
      </c>
      <c r="AB9" s="21" cm="1">
        <f t="array" aca="1" ref="AB9" ca="1">INDEX(Master!$H$2:'Master'!$H$4384,MATCH($A9&amp;AB$2,Master!$A$2:'Master'!$A$4384&amp;Master!$C$2:'Master'!$C$4384,0))</f>
        <v>-1</v>
      </c>
      <c r="AC9" s="21" cm="1">
        <f t="array" aca="1" ref="AC9" ca="1">INDEX(Master!$H$2:'Master'!$H$4384,MATCH($A9&amp;AC$2,Master!$A$2:'Master'!$A$4384&amp;Master!$C$2:'Master'!$C$4384,0))</f>
        <v>-1</v>
      </c>
      <c r="AD9" s="21" cm="1">
        <f t="array" aca="1" ref="AD9" ca="1">INDEX(Master!$H$2:'Master'!$H$4384,MATCH($A9&amp;AD$2,Master!$A$2:'Master'!$A$4384&amp;Master!$C$2:'Master'!$C$4384,0))</f>
        <v>-1</v>
      </c>
      <c r="AE9" s="21" cm="1">
        <f t="array" aca="1" ref="AE9" ca="1">INDEX(Master!$H$2:'Master'!$H$4384,MATCH($A9&amp;AE$2,Master!$A$2:'Master'!$A$4384&amp;Master!$C$2:'Master'!$C$4384,0))</f>
        <v>0</v>
      </c>
      <c r="AF9" s="21" cm="1">
        <f t="array" aca="1" ref="AF9" ca="1">INDEX(Master!$H$2:'Master'!$H$4384,MATCH($A9&amp;AF$2,Master!$A$2:'Master'!$A$4384&amp;Master!$C$2:'Master'!$C$4384,0))</f>
        <v>1</v>
      </c>
      <c r="AG9" s="21" cm="1">
        <f t="array" aca="1" ref="AG9" ca="1">INDEX(Master!$H$2:'Master'!$H$4384,MATCH($A9&amp;AG$2,Master!$A$2:'Master'!$A$4384&amp;Master!$C$2:'Master'!$C$4384,0))</f>
        <v>-1</v>
      </c>
      <c r="AH9" s="21" cm="1">
        <f t="array" aca="1" ref="AH9" ca="1">INDEX(Master!$H$2:'Master'!$H$4384,MATCH($A9&amp;AH$2,Master!$A$2:'Master'!$A$4384&amp;Master!$C$2:'Master'!$C$4384,0))</f>
        <v>2</v>
      </c>
      <c r="AI9" s="21" cm="1">
        <f t="array" aca="1" ref="AI9" ca="1">INDEX(Master!$H$2:'Master'!$H$4384,MATCH($A9&amp;AI$2,Master!$A$2:'Master'!$A$4384&amp;Master!$C$2:'Master'!$C$4384,0))</f>
        <v>1</v>
      </c>
      <c r="AJ9" s="21" cm="1">
        <f t="array" aca="1" ref="AJ9" ca="1">INDEX(Master!$H$2:'Master'!$H$4384,MATCH($A9&amp;AJ$2,Master!$A$2:'Master'!$A$4384&amp;Master!$C$2:'Master'!$C$4384,0))</f>
        <v>2</v>
      </c>
      <c r="AK9" s="21" cm="1">
        <f t="array" aca="1" ref="AK9" ca="1">INDEX(Master!$H$2:'Master'!$H$4384,MATCH($A9&amp;AK$2,Master!$A$2:'Master'!$A$4384&amp;Master!$C$2:'Master'!$C$4384,0))</f>
        <v>0</v>
      </c>
      <c r="AL9" s="21" cm="1">
        <f t="array" aca="1" ref="AL9" ca="1">INDEX(Master!$H$2:'Master'!$H$4384,MATCH($A9&amp;AL$2,Master!$A$2:'Master'!$A$4384&amp;Master!$C$2:'Master'!$C$4384,0))</f>
        <v>1</v>
      </c>
      <c r="AM9" s="21" cm="1">
        <f t="array" aca="1" ref="AM9" ca="1">INDEX(Master!$H$2:'Master'!$H$4384,MATCH($A9&amp;AM$2,Master!$A$2:'Master'!$A$4384&amp;Master!$C$2:'Master'!$C$4384,0))</f>
        <v>3</v>
      </c>
      <c r="AN9" s="21" cm="1">
        <f t="array" aca="1" ref="AN9" ca="1">INDEX(Master!$H$2:'Master'!$H$4384,MATCH($A9&amp;AN$2,Master!$A$2:'Master'!$A$4384&amp;Master!$C$2:'Master'!$C$4384,0))</f>
        <v>0</v>
      </c>
      <c r="AO9" s="21" cm="1">
        <f t="array" aca="1" ref="AO9" ca="1">INDEX(Master!$H$2:'Master'!$H$4384,MATCH($A9&amp;AO$2,Master!$A$2:'Master'!$A$4384&amp;Master!$C$2:'Master'!$C$4384,0))</f>
        <v>0</v>
      </c>
      <c r="AP9" s="21" cm="1">
        <f t="array" aca="1" ref="AP9" ca="1">INDEX(Master!$H$2:'Master'!$H$4384,MATCH($A9&amp;AP$2,Master!$A$2:'Master'!$A$4384&amp;Master!$C$2:'Master'!$C$4384,0))</f>
        <v>1</v>
      </c>
      <c r="AQ9" s="21" cm="1">
        <f t="array" aca="1" ref="AQ9" ca="1">INDEX(Master!$H$2:'Master'!$H$4384,MATCH($A9&amp;AQ$2,Master!$A$2:'Master'!$A$4384&amp;Master!$C$2:'Master'!$C$4384,0))</f>
        <v>1</v>
      </c>
      <c r="AR9" s="21" cm="1">
        <f t="array" aca="1" ref="AR9" ca="1">INDEX(Master!$H$2:'Master'!$H$4384,MATCH($A9&amp;AR$2,Master!$A$2:'Master'!$A$4384&amp;Master!$C$2:'Master'!$C$4384,0))</f>
        <v>0</v>
      </c>
      <c r="AS9" s="21" cm="1">
        <f t="array" aca="1" ref="AS9" ca="1">INDEX(Master!$H$2:'Master'!$H$4384,MATCH($A9&amp;AS$2,Master!$A$2:'Master'!$A$4384&amp;Master!$C$2:'Master'!$C$4384,0))</f>
        <v>0</v>
      </c>
      <c r="AT9" s="21" cm="1">
        <f t="array" aca="1" ref="AT9" ca="1">INDEX(Master!$H$2:'Master'!$H$4384,MATCH($A9&amp;AT$2,Master!$A$2:'Master'!$A$4384&amp;Master!$C$2:'Master'!$C$4384,0))</f>
        <v>2</v>
      </c>
      <c r="AU9" s="21" cm="1">
        <f t="array" aca="1" ref="AU9" ca="1">INDEX(Master!$H$2:'Master'!$H$4384,MATCH($A9&amp;AU$2,Master!$A$2:'Master'!$A$4384&amp;Master!$C$2:'Master'!$C$4384,0))</f>
        <v>1</v>
      </c>
      <c r="AV9" s="21" cm="1">
        <f t="array" aca="1" ref="AV9" ca="1">INDEX(Master!$H$2:'Master'!$H$4384,MATCH($A9&amp;AV$2,Master!$A$2:'Master'!$A$4384&amp;Master!$C$2:'Master'!$C$4384,0))</f>
        <v>0</v>
      </c>
      <c r="AW9" s="21" cm="1">
        <f t="array" aca="1" ref="AW9" ca="1">INDEX(Master!$H$2:'Master'!$H$4384,MATCH($A9&amp;AW$2,Master!$A$2:'Master'!$A$4384&amp;Master!$C$2:'Master'!$C$4384,0))</f>
        <v>0</v>
      </c>
      <c r="AX9" s="21" cm="1">
        <f t="array" aca="1" ref="AX9" ca="1">INDEX(Master!$H$2:'Master'!$H$4384,MATCH($A9&amp;AX$2,Master!$A$2:'Master'!$A$4384&amp;Master!$C$2:'Master'!$C$4384,0))</f>
        <v>3</v>
      </c>
      <c r="AY9" s="21" cm="1">
        <f t="array" aca="1" ref="AY9" ca="1">INDEX(Master!$H$2:'Master'!$H$4384,MATCH($A9&amp;AY$2,Master!$A$2:'Master'!$A$4384&amp;Master!$C$2:'Master'!$C$4384,0))</f>
        <v>1</v>
      </c>
      <c r="AZ9" s="21" cm="1">
        <f t="array" aca="1" ref="AZ9" ca="1">INDEX(Master!$H$2:'Master'!$H$4384,MATCH($A9&amp;AZ$2,Master!$A$2:'Master'!$A$4384&amp;Master!$C$2:'Master'!$C$4384,0))</f>
        <v>1</v>
      </c>
      <c r="BA9" s="21" cm="1">
        <f t="array" aca="1" ref="BA9" ca="1">INDEX(Master!$H$2:'Master'!$H$4384,MATCH($A9&amp;BA$2,Master!$A$2:'Master'!$A$4384&amp;Master!$C$2:'Master'!$C$4384,0))</f>
        <v>1</v>
      </c>
      <c r="BB9" s="21" cm="1">
        <f t="array" aca="1" ref="BB9" ca="1">INDEX(Master!$H$2:'Master'!$H$4384,MATCH($A9&amp;BB$2,Master!$A$2:'Master'!$A$4384&amp;Master!$C$2:'Master'!$C$4384,0))</f>
        <v>1</v>
      </c>
      <c r="BC9" s="21" cm="1">
        <f t="array" aca="1" ref="BC9" ca="1">INDEX(Master!$H$2:'Master'!$H$4384,MATCH($A9&amp;BC$2,Master!$A$2:'Master'!$A$4384&amp;Master!$C$2:'Master'!$C$4384,0))</f>
        <v>2</v>
      </c>
      <c r="BD9" s="21" cm="1">
        <f t="array" aca="1" ref="BD9" ca="1">INDEX(Master!$H$2:'Master'!$H$4384,MATCH($A9&amp;BD$2,Master!$A$2:'Master'!$A$4384&amp;Master!$C$2:'Master'!$C$4384,0))</f>
        <v>3</v>
      </c>
      <c r="BE9" s="21" cm="1">
        <f t="array" aca="1" ref="BE9" ca="1">INDEX(Master!$H$2:'Master'!$H$4384,MATCH($A9&amp;BE$2,Master!$A$2:'Master'!$A$4384&amp;Master!$C$2:'Master'!$C$4384,0))</f>
        <v>0</v>
      </c>
      <c r="BF9" s="21" cm="1">
        <f t="array" aca="1" ref="BF9" ca="1">INDEX(Master!$H$2:'Master'!$H$4384,MATCH($A9&amp;BF$2,Master!$A$2:'Master'!$A$4384&amp;Master!$C$2:'Master'!$C$4384,0))</f>
        <v>0</v>
      </c>
      <c r="BG9" s="21" cm="1">
        <f t="array" aca="1" ref="BG9" ca="1">INDEX(Master!$H$2:'Master'!$H$4384,MATCH($A9&amp;BG$2,Master!$A$2:'Master'!$A$4384&amp;Master!$C$2:'Master'!$C$4384,0))</f>
        <v>0</v>
      </c>
      <c r="BH9" s="21" cm="1">
        <f t="array" aca="1" ref="BH9" ca="1">INDEX(Master!$H$2:'Master'!$H$4384,MATCH($A9&amp;BH$2,Master!$A$2:'Master'!$A$4384&amp;Master!$C$2:'Master'!$C$4384,0))</f>
        <v>0</v>
      </c>
      <c r="BI9" s="21" cm="1">
        <f t="array" aca="1" ref="BI9" ca="1">INDEX(Master!$H$2:'Master'!$H$4384,MATCH($A9&amp;BI$2,Master!$A$2:'Master'!$A$4384&amp;Master!$C$2:'Master'!$C$4384,0))</f>
        <v>-1</v>
      </c>
      <c r="BJ9" s="21" cm="1">
        <f t="array" aca="1" ref="BJ9" ca="1">INDEX(Master!$H$2:'Master'!$H$4384,MATCH($A9&amp;BJ$2,Master!$A$2:'Master'!$A$4384&amp;Master!$C$2:'Master'!$C$4384,0))</f>
        <v>0</v>
      </c>
      <c r="BK9" s="21" cm="1">
        <f t="array" aca="1" ref="BK9" ca="1">INDEX(Master!$H$2:'Master'!$H$4384,MATCH($A9&amp;BK$2,Master!$A$2:'Master'!$A$4384&amp;Master!$C$2:'Master'!$C$4384,0))</f>
        <v>1</v>
      </c>
      <c r="BL9" s="21" cm="1">
        <f t="array" aca="1" ref="BL9" ca="1">INDEX(Master!$H$2:'Master'!$H$4384,MATCH($A9&amp;BL$2,Master!$A$2:'Master'!$A$4384&amp;Master!$C$2:'Master'!$C$4384,0))</f>
        <v>1</v>
      </c>
      <c r="BM9" s="21" cm="1">
        <f t="array" aca="1" ref="BM9" ca="1">INDEX(Master!$H$2:'Master'!$H$4384,MATCH($A9&amp;BM$2,Master!$A$2:'Master'!$A$4384&amp;Master!$C$2:'Master'!$C$4384,0))</f>
        <v>1</v>
      </c>
      <c r="BN9" s="21" cm="1">
        <f t="array" aca="1" ref="BN9" ca="1">INDEX(Master!$H$2:'Master'!$H$4384,MATCH($A9&amp;BN$2,Master!$A$2:'Master'!$A$4384&amp;Master!$C$2:'Master'!$C$4384,0))</f>
        <v>-1</v>
      </c>
      <c r="BO9" s="21" cm="1">
        <f t="array" aca="1" ref="BO9" ca="1">INDEX(Master!$H$2:'Master'!$H$4384,MATCH($A9&amp;BO$2,Master!$A$2:'Master'!$A$4384&amp;Master!$C$2:'Master'!$C$4384,0))</f>
        <v>1</v>
      </c>
      <c r="BP9" s="21" cm="1">
        <f t="array" aca="1" ref="BP9" ca="1">INDEX(Master!$H$2:'Master'!$H$4384,MATCH($A9&amp;BP$2,Master!$A$2:'Master'!$A$4384&amp;Master!$C$2:'Master'!$C$4384,0))</f>
        <v>1</v>
      </c>
      <c r="BQ9" s="21" cm="1">
        <f t="array" aca="1" ref="BQ9" ca="1">INDEX(Master!$H$2:'Master'!$H$4384,MATCH($A9&amp;BQ$2,Master!$A$2:'Master'!$A$4384&amp;Master!$C$2:'Master'!$C$4384,0))</f>
        <v>0</v>
      </c>
      <c r="BR9" s="21" cm="1">
        <f t="array" aca="1" ref="BR9" ca="1">INDEX(Master!$H$2:'Master'!$H$4384,MATCH($A9&amp;BR$2,Master!$A$2:'Master'!$A$4384&amp;Master!$C$2:'Master'!$C$4384,0))</f>
        <v>1</v>
      </c>
      <c r="BS9" s="21" cm="1">
        <f t="array" aca="1" ref="BS9" ca="1">INDEX(Master!$H$2:'Master'!$H$4384,MATCH($A9&amp;BS$2,Master!$A$2:'Master'!$A$4384&amp;Master!$C$2:'Master'!$C$4384,0))</f>
        <v>0</v>
      </c>
      <c r="BT9" s="21" cm="1">
        <f t="array" aca="1" ref="BT9" ca="1">INDEX(Master!$H$2:'Master'!$H$4384,MATCH($A9&amp;BT$2,Master!$A$2:'Master'!$A$4384&amp;Master!$C$2:'Master'!$C$4384,0))</f>
        <v>1</v>
      </c>
      <c r="BU9" s="21" cm="1">
        <f t="array" aca="1" ref="BU9" ca="1">INDEX(Master!$H$2:'Master'!$H$4384,MATCH($A9&amp;BU$2,Master!$A$2:'Master'!$A$4384&amp;Master!$C$2:'Master'!$C$4384,0))</f>
        <v>0</v>
      </c>
      <c r="BV9" s="21" cm="1">
        <f t="array" aca="1" ref="BV9" ca="1">INDEX(Master!$H$2:'Master'!$H$4384,MATCH($A9&amp;BV$2,Master!$A$2:'Master'!$A$4384&amp;Master!$C$2:'Master'!$C$4384,0))</f>
        <v>1</v>
      </c>
      <c r="BW9" s="21" cm="1">
        <f t="array" aca="1" ref="BW9" ca="1">INDEX(Master!$H$2:'Master'!$H$4384,MATCH($A9&amp;BW$2,Master!$A$2:'Master'!$A$4384&amp;Master!$C$2:'Master'!$C$4384,0))</f>
        <v>0</v>
      </c>
      <c r="BX9" s="21" cm="1">
        <f t="array" aca="1" ref="BX9" ca="1">INDEX(Master!$H$2:'Master'!$H$4384,MATCH($A9&amp;BX$2,Master!$A$2:'Master'!$A$4384&amp;Master!$C$2:'Master'!$C$4384,0))</f>
        <v>0</v>
      </c>
      <c r="BY9" s="21" cm="1">
        <f t="array" aca="1" ref="BY9" ca="1">INDEX(Master!$H$2:'Master'!$H$4384,MATCH($A9&amp;BY$2,Master!$A$2:'Master'!$A$4384&amp;Master!$C$2:'Master'!$C$4384,0))</f>
        <v>0</v>
      </c>
      <c r="BZ9" s="21" cm="1">
        <f t="array" aca="1" ref="BZ9" ca="1">INDEX(Master!$H$2:'Master'!$H$4384,MATCH($A9&amp;BZ$2,Master!$A$2:'Master'!$A$4384&amp;Master!$C$2:'Master'!$C$4384,0))</f>
        <v>-1</v>
      </c>
      <c r="CA9" s="21" cm="1">
        <f t="array" aca="1" ref="CA9" ca="1">INDEX(Master!$H$2:'Master'!$H$4384,MATCH($A9&amp;CA$2,Master!$A$2:'Master'!$A$4384&amp;Master!$C$2:'Master'!$C$4384,0))</f>
        <v>0</v>
      </c>
      <c r="CB9" s="21" cm="1">
        <f t="array" aca="1" ref="CB9" ca="1">INDEX(Master!$H$2:'Master'!$H$4384,MATCH($A9&amp;CB$2,Master!$A$2:'Master'!$A$4384&amp;Master!$C$2:'Master'!$C$4384,0))</f>
        <v>1</v>
      </c>
      <c r="CC9" s="21" cm="1">
        <f t="array" aca="1" ref="CC9" ca="1">INDEX(Master!$H$2:'Master'!$H$4384,MATCH($A9&amp;CC$2,Master!$A$2:'Master'!$A$4384&amp;Master!$C$2:'Master'!$C$4384,0))</f>
        <v>1</v>
      </c>
      <c r="CD9" s="21" cm="1">
        <f t="array" aca="1" ref="CD9" ca="1">INDEX(Master!$H$2:'Master'!$H$4384,MATCH($A9&amp;CD$2,Master!$A$2:'Master'!$A$4384&amp;Master!$C$2:'Master'!$C$4384,0))</f>
        <v>1</v>
      </c>
      <c r="CE9" s="21" cm="1">
        <f t="array" aca="1" ref="CE9" ca="1">INDEX(Master!$H$2:'Master'!$H$4384,MATCH($A9&amp;CE$2,Master!$A$2:'Master'!$A$4384&amp;Master!$C$2:'Master'!$C$4384,0))</f>
        <v>2</v>
      </c>
      <c r="CF9" s="21" cm="1">
        <f t="array" aca="1" ref="CF9" ca="1">INDEX(Master!$H$2:'Master'!$H$4384,MATCH($A9&amp;CF$2,Master!$A$2:'Master'!$A$4384&amp;Master!$C$2:'Master'!$C$4384,0))</f>
        <v>-2</v>
      </c>
      <c r="CG9" s="21" cm="1">
        <f t="array" aca="1" ref="CG9" ca="1">INDEX(Master!$H$2:'Master'!$H$4384,MATCH($A9&amp;CG$2,Master!$A$2:'Master'!$A$4384&amp;Master!$C$2:'Master'!$C$4384,0))</f>
        <v>0</v>
      </c>
      <c r="CH9" s="21" cm="1">
        <f t="array" aca="1" ref="CH9" ca="1">INDEX(Master!$H$2:'Master'!$H$4384,MATCH($A9&amp;CH$2,Master!$A$2:'Master'!$A$4384&amp;Master!$C$2:'Master'!$C$4384,0))</f>
        <v>1</v>
      </c>
      <c r="CI9" s="21" cm="1">
        <f t="array" aca="1" ref="CI9" ca="1">INDEX(Master!$H$2:'Master'!$H$4384,MATCH($A9&amp;CI$2,Master!$A$2:'Master'!$A$4384&amp;Master!$C$2:'Master'!$C$4384,0))</f>
        <v>0</v>
      </c>
      <c r="CJ9" s="21" cm="1">
        <f t="array" aca="1" ref="CJ9" ca="1">INDEX(Master!$H$2:'Master'!$H$4384,MATCH($A9&amp;CJ$2,Master!$A$2:'Master'!$A$4384&amp;Master!$C$2:'Master'!$C$4384,0))</f>
        <v>0</v>
      </c>
      <c r="CK9" s="21" cm="1">
        <f t="array" aca="1" ref="CK9" ca="1">INDEX(Master!$H$2:'Master'!$H$4384,MATCH($A9&amp;CK$2,Master!$A$2:'Master'!$A$4384&amp;Master!$C$2:'Master'!$C$4384,0))</f>
        <v>1</v>
      </c>
      <c r="CL9" s="21" cm="1">
        <f t="array" aca="1" ref="CL9" ca="1">INDEX(Master!$H$2:'Master'!$H$4384,MATCH($A9&amp;CL$2,Master!$A$2:'Master'!$A$4384&amp;Master!$C$2:'Master'!$C$4384,0))</f>
        <v>1</v>
      </c>
      <c r="CM9" s="21" cm="1">
        <f t="array" aca="1" ref="CM9" ca="1">INDEX(Master!$H$2:'Master'!$H$4384,MATCH($A9&amp;CM$2,Master!$A$2:'Master'!$A$4384&amp;Master!$C$2:'Master'!$C$4384,0))</f>
        <v>1</v>
      </c>
      <c r="CN9" s="21" cm="1">
        <f t="array" aca="1" ref="CN9" ca="1">INDEX(Master!$H$2:'Master'!$H$4384,MATCH($A9&amp;CN$2,Master!$A$2:'Master'!$A$4384&amp;Master!$C$2:'Master'!$C$4384,0))</f>
        <v>1</v>
      </c>
      <c r="CO9" s="21" cm="1">
        <f t="array" aca="1" ref="CO9" ca="1">INDEX(Master!$H$2:'Master'!$H$4384,MATCH($A9&amp;CO$2,Master!$A$2:'Master'!$A$4384&amp;Master!$C$2:'Master'!$C$4384,0))</f>
        <v>0</v>
      </c>
      <c r="CP9" s="21" cm="1">
        <f t="array" aca="1" ref="CP9" ca="1">INDEX(Master!$H$2:'Master'!$H$4384,MATCH($A9&amp;CP$2,Master!$A$2:'Master'!$A$4384&amp;Master!$C$2:'Master'!$C$4384,0))</f>
        <v>1</v>
      </c>
      <c r="CQ9" s="21" cm="1">
        <f t="array" aca="1" ref="CQ9" ca="1">INDEX(Master!$H$2:'Master'!$H$4384,MATCH($A9&amp;CQ$2,Master!$A$2:'Master'!$A$4384&amp;Master!$C$2:'Master'!$C$4384,0))</f>
        <v>0</v>
      </c>
      <c r="CR9" s="21" cm="1">
        <f t="array" aca="1" ref="CR9" ca="1">INDEX(Master!$H$2:'Master'!$H$4384,MATCH($A9&amp;CR$2,Master!$A$2:'Master'!$A$4384&amp;Master!$C$2:'Master'!$C$4384,0))</f>
        <v>0</v>
      </c>
      <c r="CS9" s="21" cm="1">
        <f t="array" aca="1" ref="CS9" ca="1">INDEX(Master!$H$2:'Master'!$H$4384,MATCH($A9&amp;CS$2,Master!$A$2:'Master'!$A$4384&amp;Master!$C$2:'Master'!$C$4384,0))</f>
        <v>1</v>
      </c>
    </row>
    <row r="10" spans="1:97">
      <c r="A10" s="22" t="s">
        <v>381</v>
      </c>
      <c r="B10" s="21" cm="1">
        <f t="array" aca="1" ref="B10" ca="1">INDEX(Master!$H$2:'Master'!$H$4384,MATCH($A10&amp;B$2,Master!$A$2:'Master'!$A$4384&amp;Master!$C$2:'Master'!$C$4384,0))</f>
        <v>3</v>
      </c>
      <c r="C10" s="21" cm="1">
        <f t="array" aca="1" ref="C10" ca="1">INDEX(Master!$H$2:'Master'!$H$4384,MATCH($A10&amp;C$2,Master!$A$2:'Master'!$A$4384&amp;Master!$C$2:'Master'!$C$4384,0))</f>
        <v>4</v>
      </c>
      <c r="D10" s="21" cm="1">
        <f t="array" aca="1" ref="D10" ca="1">INDEX(Master!$H$2:'Master'!$H$4384,MATCH($A10&amp;D$2,Master!$A$2:'Master'!$A$4384&amp;Master!$C$2:'Master'!$C$4384,0))</f>
        <v>4</v>
      </c>
      <c r="E10" s="21" cm="1">
        <f t="array" aca="1" ref="E10" ca="1">INDEX(Master!$H$2:'Master'!$H$4384,MATCH($A10&amp;E$2,Master!$A$2:'Master'!$A$4384&amp;Master!$C$2:'Master'!$C$4384,0))</f>
        <v>1</v>
      </c>
      <c r="F10" s="21" cm="1">
        <f t="array" aca="1" ref="F10" ca="1">INDEX(Master!$H$2:'Master'!$H$4384,MATCH($A10&amp;F$2,Master!$A$2:'Master'!$A$4384&amp;Master!$C$2:'Master'!$C$4384,0))</f>
        <v>3</v>
      </c>
      <c r="G10" s="21" cm="1">
        <f t="array" aca="1" ref="G10" ca="1">INDEX(Master!$H$2:'Master'!$H$4384,MATCH($A10&amp;G$2,Master!$A$2:'Master'!$A$4384&amp;Master!$C$2:'Master'!$C$4384,0))</f>
        <v>1</v>
      </c>
      <c r="H10" s="21" cm="1">
        <f t="array" aca="1" ref="H10" ca="1">INDEX(Master!$H$2:'Master'!$H$4384,MATCH($A10&amp;H$2,Master!$A$2:'Master'!$A$4384&amp;Master!$C$2:'Master'!$C$4384,0))</f>
        <v>3</v>
      </c>
      <c r="I10" s="21" cm="1">
        <f t="array" aca="1" ref="I10" ca="1">INDEX(Master!$H$2:'Master'!$H$4384,MATCH($A10&amp;I$2,Master!$A$2:'Master'!$A$4384&amp;Master!$C$2:'Master'!$C$4384,0))</f>
        <v>3</v>
      </c>
      <c r="J10" s="21" cm="1">
        <f t="array" aca="1" ref="J10" ca="1">INDEX(Master!$H$2:'Master'!$H$4384,MATCH($A10&amp;J$2,Master!$A$2:'Master'!$A$4384&amp;Master!$C$2:'Master'!$C$4384,0))</f>
        <v>0</v>
      </c>
      <c r="K10" s="21" cm="1">
        <f t="array" aca="1" ref="K10" ca="1">INDEX(Master!$H$2:'Master'!$H$4384,MATCH($A10&amp;K$2,Master!$A$2:'Master'!$A$4384&amp;Master!$C$2:'Master'!$C$4384,0))</f>
        <v>-1</v>
      </c>
      <c r="L10" s="21" cm="1">
        <f t="array" aca="1" ref="L10" ca="1">INDEX(Master!$H$2:'Master'!$H$4384,MATCH($A10&amp;L$2,Master!$A$2:'Master'!$A$4384&amp;Master!$C$2:'Master'!$C$4384,0))</f>
        <v>-2</v>
      </c>
      <c r="M10" s="21" cm="1">
        <f t="array" aca="1" ref="M10" ca="1">INDEX(Master!$H$2:'Master'!$H$4384,MATCH($A10&amp;M$2,Master!$A$2:'Master'!$A$4384&amp;Master!$C$2:'Master'!$C$4384,0))</f>
        <v>-2</v>
      </c>
      <c r="N10" s="21" cm="1">
        <f t="array" aca="1" ref="N10" ca="1">INDEX(Master!$H$2:'Master'!$H$4384,MATCH($A10&amp;N$2,Master!$A$2:'Master'!$A$4384&amp;Master!$C$2:'Master'!$C$4384,0))</f>
        <v>-1</v>
      </c>
      <c r="O10" s="21" cm="1">
        <f t="array" aca="1" ref="O10" ca="1">INDEX(Master!$H$2:'Master'!$H$4384,MATCH($A10&amp;O$2,Master!$A$2:'Master'!$A$4384&amp;Master!$C$2:'Master'!$C$4384,0))</f>
        <v>-1</v>
      </c>
      <c r="P10" s="21" cm="1">
        <f t="array" aca="1" ref="P10" ca="1">INDEX(Master!$H$2:'Master'!$H$4384,MATCH($A10&amp;P$2,Master!$A$2:'Master'!$A$4384&amp;Master!$C$2:'Master'!$C$4384,0))</f>
        <v>1</v>
      </c>
      <c r="Q10" s="21" cm="1">
        <f t="array" aca="1" ref="Q10" ca="1">INDEX(Master!$H$2:'Master'!$H$4384,MATCH($A10&amp;Q$2,Master!$A$2:'Master'!$A$4384&amp;Master!$C$2:'Master'!$C$4384,0))</f>
        <v>0</v>
      </c>
      <c r="R10" s="21" cm="1">
        <f t="array" aca="1" ref="R10" ca="1">INDEX(Master!$H$2:'Master'!$H$4384,MATCH($A10&amp;R$2,Master!$A$2:'Master'!$A$4384&amp;Master!$C$2:'Master'!$C$4384,0))</f>
        <v>0</v>
      </c>
      <c r="S10" s="21" cm="1">
        <f t="array" aca="1" ref="S10" ca="1">INDEX(Master!$H$2:'Master'!$H$4384,MATCH($A10&amp;S$2,Master!$A$2:'Master'!$A$4384&amp;Master!$C$2:'Master'!$C$4384,0))</f>
        <v>0</v>
      </c>
      <c r="T10" s="21" cm="1">
        <f t="array" aca="1" ref="T10" ca="1">INDEX(Master!$H$2:'Master'!$H$4384,MATCH($A10&amp;T$2,Master!$A$2:'Master'!$A$4384&amp;Master!$C$2:'Master'!$C$4384,0))</f>
        <v>0</v>
      </c>
      <c r="U10" s="21" cm="1">
        <f t="array" aca="1" ref="U10" ca="1">INDEX(Master!$H$2:'Master'!$H$4384,MATCH($A10&amp;U$2,Master!$A$2:'Master'!$A$4384&amp;Master!$C$2:'Master'!$C$4384,0))</f>
        <v>3</v>
      </c>
      <c r="V10" s="21" cm="1">
        <f t="array" aca="1" ref="V10" ca="1">INDEX(Master!$H$2:'Master'!$H$4384,MATCH($A10&amp;V$2,Master!$A$2:'Master'!$A$4384&amp;Master!$C$2:'Master'!$C$4384,0))</f>
        <v>-1</v>
      </c>
      <c r="W10" s="21" cm="1">
        <f t="array" aca="1" ref="W10" ca="1">INDEX(Master!$H$2:'Master'!$H$4384,MATCH($A10&amp;W$2,Master!$A$2:'Master'!$A$4384&amp;Master!$C$2:'Master'!$C$4384,0))</f>
        <v>2</v>
      </c>
      <c r="X10" s="21" cm="1">
        <f t="array" aca="1" ref="X10" ca="1">INDEX(Master!$H$2:'Master'!$H$4384,MATCH($A10&amp;X$2,Master!$A$2:'Master'!$A$4384&amp;Master!$C$2:'Master'!$C$4384,0))</f>
        <v>0</v>
      </c>
      <c r="Y10" s="21" cm="1">
        <f t="array" aca="1" ref="Y10" ca="1">INDEX(Master!$H$2:'Master'!$H$4384,MATCH($A10&amp;Y$2,Master!$A$2:'Master'!$A$4384&amp;Master!$C$2:'Master'!$C$4384,0))</f>
        <v>0</v>
      </c>
      <c r="Z10" s="21" cm="1">
        <f t="array" aca="1" ref="Z10" ca="1">INDEX(Master!$H$2:'Master'!$H$4384,MATCH($A10&amp;Z$2,Master!$A$2:'Master'!$A$4384&amp;Master!$C$2:'Master'!$C$4384,0))</f>
        <v>-2</v>
      </c>
      <c r="AA10" s="21" cm="1">
        <f t="array" aca="1" ref="AA10" ca="1">INDEX(Master!$H$2:'Master'!$H$4384,MATCH($A10&amp;AA$2,Master!$A$2:'Master'!$A$4384&amp;Master!$C$2:'Master'!$C$4384,0))</f>
        <v>-2</v>
      </c>
      <c r="AB10" s="21" cm="1">
        <f t="array" aca="1" ref="AB10" ca="1">INDEX(Master!$H$2:'Master'!$H$4384,MATCH($A10&amp;AB$2,Master!$A$2:'Master'!$A$4384&amp;Master!$C$2:'Master'!$C$4384,0))</f>
        <v>-1</v>
      </c>
      <c r="AC10" s="21" cm="1">
        <f t="array" aca="1" ref="AC10" ca="1">INDEX(Master!$H$2:'Master'!$H$4384,MATCH($A10&amp;AC$2,Master!$A$2:'Master'!$A$4384&amp;Master!$C$2:'Master'!$C$4384,0))</f>
        <v>-1</v>
      </c>
      <c r="AD10" s="21" cm="1">
        <f t="array" aca="1" ref="AD10" ca="1">INDEX(Master!$H$2:'Master'!$H$4384,MATCH($A10&amp;AD$2,Master!$A$2:'Master'!$A$4384&amp;Master!$C$2:'Master'!$C$4384,0))</f>
        <v>-1</v>
      </c>
      <c r="AE10" s="21" cm="1">
        <f t="array" aca="1" ref="AE10" ca="1">INDEX(Master!$H$2:'Master'!$H$4384,MATCH($A10&amp;AE$2,Master!$A$2:'Master'!$A$4384&amp;Master!$C$2:'Master'!$C$4384,0))</f>
        <v>0</v>
      </c>
      <c r="AF10" s="21" cm="1">
        <f t="array" aca="1" ref="AF10" ca="1">INDEX(Master!$H$2:'Master'!$H$4384,MATCH($A10&amp;AF$2,Master!$A$2:'Master'!$A$4384&amp;Master!$C$2:'Master'!$C$4384,0))</f>
        <v>1</v>
      </c>
      <c r="AG10" s="21" cm="1">
        <f t="array" aca="1" ref="AG10" ca="1">INDEX(Master!$H$2:'Master'!$H$4384,MATCH($A10&amp;AG$2,Master!$A$2:'Master'!$A$4384&amp;Master!$C$2:'Master'!$C$4384,0))</f>
        <v>0</v>
      </c>
      <c r="AH10" s="21" cm="1">
        <f t="array" aca="1" ref="AH10" ca="1">INDEX(Master!$H$2:'Master'!$H$4384,MATCH($A10&amp;AH$2,Master!$A$2:'Master'!$A$4384&amp;Master!$C$2:'Master'!$C$4384,0))</f>
        <v>3</v>
      </c>
      <c r="AI10" s="21" cm="1">
        <f t="array" aca="1" ref="AI10" ca="1">INDEX(Master!$H$2:'Master'!$H$4384,MATCH($A10&amp;AI$2,Master!$A$2:'Master'!$A$4384&amp;Master!$C$2:'Master'!$C$4384,0))</f>
        <v>1</v>
      </c>
      <c r="AJ10" s="21" cm="1">
        <f t="array" aca="1" ref="AJ10" ca="1">INDEX(Master!$H$2:'Master'!$H$4384,MATCH($A10&amp;AJ$2,Master!$A$2:'Master'!$A$4384&amp;Master!$C$2:'Master'!$C$4384,0))</f>
        <v>3</v>
      </c>
      <c r="AK10" s="21" cm="1">
        <f t="array" aca="1" ref="AK10" ca="1">INDEX(Master!$H$2:'Master'!$H$4384,MATCH($A10&amp;AK$2,Master!$A$2:'Master'!$A$4384&amp;Master!$C$2:'Master'!$C$4384,0))</f>
        <v>0</v>
      </c>
      <c r="AL10" s="21" cm="1">
        <f t="array" aca="1" ref="AL10" ca="1">INDEX(Master!$H$2:'Master'!$H$4384,MATCH($A10&amp;AL$2,Master!$A$2:'Master'!$A$4384&amp;Master!$C$2:'Master'!$C$4384,0))</f>
        <v>3</v>
      </c>
      <c r="AM10" s="21" cm="1">
        <f t="array" aca="1" ref="AM10" ca="1">INDEX(Master!$H$2:'Master'!$H$4384,MATCH($A10&amp;AM$2,Master!$A$2:'Master'!$A$4384&amp;Master!$C$2:'Master'!$C$4384,0))</f>
        <v>3</v>
      </c>
      <c r="AN10" s="21" cm="1">
        <f t="array" aca="1" ref="AN10" ca="1">INDEX(Master!$H$2:'Master'!$H$4384,MATCH($A10&amp;AN$2,Master!$A$2:'Master'!$A$4384&amp;Master!$C$2:'Master'!$C$4384,0))</f>
        <v>0</v>
      </c>
      <c r="AO10" s="21" cm="1">
        <f t="array" aca="1" ref="AO10" ca="1">INDEX(Master!$H$2:'Master'!$H$4384,MATCH($A10&amp;AO$2,Master!$A$2:'Master'!$A$4384&amp;Master!$C$2:'Master'!$C$4384,0))</f>
        <v>-1</v>
      </c>
      <c r="AP10" s="21" cm="1">
        <f t="array" aca="1" ref="AP10" ca="1">INDEX(Master!$H$2:'Master'!$H$4384,MATCH($A10&amp;AP$2,Master!$A$2:'Master'!$A$4384&amp;Master!$C$2:'Master'!$C$4384,0))</f>
        <v>-1</v>
      </c>
      <c r="AQ10" s="21" cm="1">
        <f t="array" aca="1" ref="AQ10" ca="1">INDEX(Master!$H$2:'Master'!$H$4384,MATCH($A10&amp;AQ$2,Master!$A$2:'Master'!$A$4384&amp;Master!$C$2:'Master'!$C$4384,0))</f>
        <v>-1</v>
      </c>
      <c r="AR10" s="21" cm="1">
        <f t="array" aca="1" ref="AR10" ca="1">INDEX(Master!$H$2:'Master'!$H$4384,MATCH($A10&amp;AR$2,Master!$A$2:'Master'!$A$4384&amp;Master!$C$2:'Master'!$C$4384,0))</f>
        <v>-1</v>
      </c>
      <c r="AS10" s="21" cm="1">
        <f t="array" aca="1" ref="AS10" ca="1">INDEX(Master!$H$2:'Master'!$H$4384,MATCH($A10&amp;AS$2,Master!$A$2:'Master'!$A$4384&amp;Master!$C$2:'Master'!$C$4384,0))</f>
        <v>0</v>
      </c>
      <c r="AT10" s="21" cm="1">
        <f t="array" aca="1" ref="AT10" ca="1">INDEX(Master!$H$2:'Master'!$H$4384,MATCH($A10&amp;AT$2,Master!$A$2:'Master'!$A$4384&amp;Master!$C$2:'Master'!$C$4384,0))</f>
        <v>1</v>
      </c>
      <c r="AU10" s="21" cm="1">
        <f t="array" aca="1" ref="AU10" ca="1">INDEX(Master!$H$2:'Master'!$H$4384,MATCH($A10&amp;AU$2,Master!$A$2:'Master'!$A$4384&amp;Master!$C$2:'Master'!$C$4384,0))</f>
        <v>0</v>
      </c>
      <c r="AV10" s="21" cm="1">
        <f t="array" aca="1" ref="AV10" ca="1">INDEX(Master!$H$2:'Master'!$H$4384,MATCH($A10&amp;AV$2,Master!$A$2:'Master'!$A$4384&amp;Master!$C$2:'Master'!$C$4384,0))</f>
        <v>-2</v>
      </c>
      <c r="AW10" s="21" cm="1">
        <f t="array" aca="1" ref="AW10" ca="1">INDEX(Master!$H$2:'Master'!$H$4384,MATCH($A10&amp;AW$2,Master!$A$2:'Master'!$A$4384&amp;Master!$C$2:'Master'!$C$4384,0))</f>
        <v>0</v>
      </c>
      <c r="AX10" s="21" cm="1">
        <f t="array" aca="1" ref="AX10" ca="1">INDEX(Master!$H$2:'Master'!$H$4384,MATCH($A10&amp;AX$2,Master!$A$2:'Master'!$A$4384&amp;Master!$C$2:'Master'!$C$4384,0))</f>
        <v>4</v>
      </c>
      <c r="AY10" s="21" cm="1">
        <f t="array" aca="1" ref="AY10" ca="1">INDEX(Master!$H$2:'Master'!$H$4384,MATCH($A10&amp;AY$2,Master!$A$2:'Master'!$A$4384&amp;Master!$C$2:'Master'!$C$4384,0))</f>
        <v>3</v>
      </c>
      <c r="AZ10" s="21" cm="1">
        <f t="array" aca="1" ref="AZ10" ca="1">INDEX(Master!$H$2:'Master'!$H$4384,MATCH($A10&amp;AZ$2,Master!$A$2:'Master'!$A$4384&amp;Master!$C$2:'Master'!$C$4384,0))</f>
        <v>-1</v>
      </c>
      <c r="BA10" s="21" cm="1">
        <f t="array" aca="1" ref="BA10" ca="1">INDEX(Master!$H$2:'Master'!$H$4384,MATCH($A10&amp;BA$2,Master!$A$2:'Master'!$A$4384&amp;Master!$C$2:'Master'!$C$4384,0))</f>
        <v>0</v>
      </c>
      <c r="BB10" s="21" cm="1">
        <f t="array" aca="1" ref="BB10" ca="1">INDEX(Master!$H$2:'Master'!$H$4384,MATCH($A10&amp;BB$2,Master!$A$2:'Master'!$A$4384&amp;Master!$C$2:'Master'!$C$4384,0))</f>
        <v>0</v>
      </c>
      <c r="BC10" s="21" cm="1">
        <f t="array" aca="1" ref="BC10" ca="1">INDEX(Master!$H$2:'Master'!$H$4384,MATCH($A10&amp;BC$2,Master!$A$2:'Master'!$A$4384&amp;Master!$C$2:'Master'!$C$4384,0))</f>
        <v>3</v>
      </c>
      <c r="BD10" s="21" cm="1">
        <f t="array" aca="1" ref="BD10" ca="1">INDEX(Master!$H$2:'Master'!$H$4384,MATCH($A10&amp;BD$2,Master!$A$2:'Master'!$A$4384&amp;Master!$C$2:'Master'!$C$4384,0))</f>
        <v>3</v>
      </c>
      <c r="BE10" s="21" cm="1">
        <f t="array" aca="1" ref="BE10" ca="1">INDEX(Master!$H$2:'Master'!$H$4384,MATCH($A10&amp;BE$2,Master!$A$2:'Master'!$A$4384&amp;Master!$C$2:'Master'!$C$4384,0))</f>
        <v>1</v>
      </c>
      <c r="BF10" s="21" cm="1">
        <f t="array" aca="1" ref="BF10" ca="1">INDEX(Master!$H$2:'Master'!$H$4384,MATCH($A10&amp;BF$2,Master!$A$2:'Master'!$A$4384&amp;Master!$C$2:'Master'!$C$4384,0))</f>
        <v>1</v>
      </c>
      <c r="BG10" s="21" cm="1">
        <f t="array" aca="1" ref="BG10" ca="1">INDEX(Master!$H$2:'Master'!$H$4384,MATCH($A10&amp;BG$2,Master!$A$2:'Master'!$A$4384&amp;Master!$C$2:'Master'!$C$4384,0))</f>
        <v>-1</v>
      </c>
      <c r="BH10" s="21" cm="1">
        <f t="array" aca="1" ref="BH10" ca="1">INDEX(Master!$H$2:'Master'!$H$4384,MATCH($A10&amp;BH$2,Master!$A$2:'Master'!$A$4384&amp;Master!$C$2:'Master'!$C$4384,0))</f>
        <v>4</v>
      </c>
      <c r="BI10" s="21" cm="1">
        <f t="array" aca="1" ref="BI10" ca="1">INDEX(Master!$H$2:'Master'!$H$4384,MATCH($A10&amp;BI$2,Master!$A$2:'Master'!$A$4384&amp;Master!$C$2:'Master'!$C$4384,0))</f>
        <v>0</v>
      </c>
      <c r="BJ10" s="21" cm="1">
        <f t="array" aca="1" ref="BJ10" ca="1">INDEX(Master!$H$2:'Master'!$H$4384,MATCH($A10&amp;BJ$2,Master!$A$2:'Master'!$A$4384&amp;Master!$C$2:'Master'!$C$4384,0))</f>
        <v>0</v>
      </c>
      <c r="BK10" s="21" cm="1">
        <f t="array" aca="1" ref="BK10" ca="1">INDEX(Master!$H$2:'Master'!$H$4384,MATCH($A10&amp;BK$2,Master!$A$2:'Master'!$A$4384&amp;Master!$C$2:'Master'!$C$4384,0))</f>
        <v>0</v>
      </c>
      <c r="BL10" s="21" cm="1">
        <f t="array" aca="1" ref="BL10" ca="1">INDEX(Master!$H$2:'Master'!$H$4384,MATCH($A10&amp;BL$2,Master!$A$2:'Master'!$A$4384&amp;Master!$C$2:'Master'!$C$4384,0))</f>
        <v>-1</v>
      </c>
      <c r="BM10" s="21" cm="1">
        <f t="array" aca="1" ref="BM10" ca="1">INDEX(Master!$H$2:'Master'!$H$4384,MATCH($A10&amp;BM$2,Master!$A$2:'Master'!$A$4384&amp;Master!$C$2:'Master'!$C$4384,0))</f>
        <v>0</v>
      </c>
      <c r="BN10" s="21" cm="1">
        <f t="array" aca="1" ref="BN10" ca="1">INDEX(Master!$H$2:'Master'!$H$4384,MATCH($A10&amp;BN$2,Master!$A$2:'Master'!$A$4384&amp;Master!$C$2:'Master'!$C$4384,0))</f>
        <v>1</v>
      </c>
      <c r="BO10" s="21" cm="1">
        <f t="array" aca="1" ref="BO10" ca="1">INDEX(Master!$H$2:'Master'!$H$4384,MATCH($A10&amp;BO$2,Master!$A$2:'Master'!$A$4384&amp;Master!$C$2:'Master'!$C$4384,0))</f>
        <v>3</v>
      </c>
      <c r="BP10" s="21" cm="1">
        <f t="array" aca="1" ref="BP10" ca="1">INDEX(Master!$H$2:'Master'!$H$4384,MATCH($A10&amp;BP$2,Master!$A$2:'Master'!$A$4384&amp;Master!$C$2:'Master'!$C$4384,0))</f>
        <v>0</v>
      </c>
      <c r="BQ10" s="21" cm="1">
        <f t="array" aca="1" ref="BQ10" ca="1">INDEX(Master!$H$2:'Master'!$H$4384,MATCH($A10&amp;BQ$2,Master!$A$2:'Master'!$A$4384&amp;Master!$C$2:'Master'!$C$4384,0))</f>
        <v>0</v>
      </c>
      <c r="BR10" s="21" cm="1">
        <f t="array" aca="1" ref="BR10" ca="1">INDEX(Master!$H$2:'Master'!$H$4384,MATCH($A10&amp;BR$2,Master!$A$2:'Master'!$A$4384&amp;Master!$C$2:'Master'!$C$4384,0))</f>
        <v>1</v>
      </c>
      <c r="BS10" s="21" cm="1">
        <f t="array" aca="1" ref="BS10" ca="1">INDEX(Master!$H$2:'Master'!$H$4384,MATCH($A10&amp;BS$2,Master!$A$2:'Master'!$A$4384&amp;Master!$C$2:'Master'!$C$4384,0))</f>
        <v>1</v>
      </c>
      <c r="BT10" s="21" cm="1">
        <f t="array" aca="1" ref="BT10" ca="1">INDEX(Master!$H$2:'Master'!$H$4384,MATCH($A10&amp;BT$2,Master!$A$2:'Master'!$A$4384&amp;Master!$C$2:'Master'!$C$4384,0))</f>
        <v>3</v>
      </c>
      <c r="BU10" s="21" cm="1">
        <f t="array" aca="1" ref="BU10" ca="1">INDEX(Master!$H$2:'Master'!$H$4384,MATCH($A10&amp;BU$2,Master!$A$2:'Master'!$A$4384&amp;Master!$C$2:'Master'!$C$4384,0))</f>
        <v>0</v>
      </c>
      <c r="BV10" s="21" cm="1">
        <f t="array" aca="1" ref="BV10" ca="1">INDEX(Master!$H$2:'Master'!$H$4384,MATCH($A10&amp;BV$2,Master!$A$2:'Master'!$A$4384&amp;Master!$C$2:'Master'!$C$4384,0))</f>
        <v>-1</v>
      </c>
      <c r="BW10" s="21" cm="1">
        <f t="array" aca="1" ref="BW10" ca="1">INDEX(Master!$H$2:'Master'!$H$4384,MATCH($A10&amp;BW$2,Master!$A$2:'Master'!$A$4384&amp;Master!$C$2:'Master'!$C$4384,0))</f>
        <v>1</v>
      </c>
      <c r="BX10" s="21" cm="1">
        <f t="array" aca="1" ref="BX10" ca="1">INDEX(Master!$H$2:'Master'!$H$4384,MATCH($A10&amp;BX$2,Master!$A$2:'Master'!$A$4384&amp;Master!$C$2:'Master'!$C$4384,0))</f>
        <v>-1</v>
      </c>
      <c r="BY10" s="21" cm="1">
        <f t="array" aca="1" ref="BY10" ca="1">INDEX(Master!$H$2:'Master'!$H$4384,MATCH($A10&amp;BY$2,Master!$A$2:'Master'!$A$4384&amp;Master!$C$2:'Master'!$C$4384,0))</f>
        <v>4</v>
      </c>
      <c r="BZ10" s="21" cm="1">
        <f t="array" aca="1" ref="BZ10" ca="1">INDEX(Master!$H$2:'Master'!$H$4384,MATCH($A10&amp;BZ$2,Master!$A$2:'Master'!$A$4384&amp;Master!$C$2:'Master'!$C$4384,0))</f>
        <v>0</v>
      </c>
      <c r="CA10" s="21" cm="1">
        <f t="array" aca="1" ref="CA10" ca="1">INDEX(Master!$H$2:'Master'!$H$4384,MATCH($A10&amp;CA$2,Master!$A$2:'Master'!$A$4384&amp;Master!$C$2:'Master'!$C$4384,0))</f>
        <v>0</v>
      </c>
      <c r="CB10" s="21" cm="1">
        <f t="array" aca="1" ref="CB10" ca="1">INDEX(Master!$H$2:'Master'!$H$4384,MATCH($A10&amp;CB$2,Master!$A$2:'Master'!$A$4384&amp;Master!$C$2:'Master'!$C$4384,0))</f>
        <v>0</v>
      </c>
      <c r="CC10" s="21" cm="1">
        <f t="array" aca="1" ref="CC10" ca="1">INDEX(Master!$H$2:'Master'!$H$4384,MATCH($A10&amp;CC$2,Master!$A$2:'Master'!$A$4384&amp;Master!$C$2:'Master'!$C$4384,0))</f>
        <v>-1</v>
      </c>
      <c r="CD10" s="21" cm="1">
        <f t="array" aca="1" ref="CD10" ca="1">INDEX(Master!$H$2:'Master'!$H$4384,MATCH($A10&amp;CD$2,Master!$A$2:'Master'!$A$4384&amp;Master!$C$2:'Master'!$C$4384,0))</f>
        <v>0</v>
      </c>
      <c r="CE10" s="21" cm="1">
        <f t="array" aca="1" ref="CE10" ca="1">INDEX(Master!$H$2:'Master'!$H$4384,MATCH($A10&amp;CE$2,Master!$A$2:'Master'!$A$4384&amp;Master!$C$2:'Master'!$C$4384,0))</f>
        <v>0</v>
      </c>
      <c r="CF10" s="21" cm="1">
        <f t="array" aca="1" ref="CF10" ca="1">INDEX(Master!$H$2:'Master'!$H$4384,MATCH($A10&amp;CF$2,Master!$A$2:'Master'!$A$4384&amp;Master!$C$2:'Master'!$C$4384,0))</f>
        <v>-1</v>
      </c>
      <c r="CG10" s="21" cm="1">
        <f t="array" aca="1" ref="CG10" ca="1">INDEX(Master!$H$2:'Master'!$H$4384,MATCH($A10&amp;CG$2,Master!$A$2:'Master'!$A$4384&amp;Master!$C$2:'Master'!$C$4384,0))</f>
        <v>0</v>
      </c>
      <c r="CH10" s="21" cm="1">
        <f t="array" aca="1" ref="CH10" ca="1">INDEX(Master!$H$2:'Master'!$H$4384,MATCH($A10&amp;CH$2,Master!$A$2:'Master'!$A$4384&amp;Master!$C$2:'Master'!$C$4384,0))</f>
        <v>-1</v>
      </c>
      <c r="CI10" s="21" cm="1">
        <f t="array" aca="1" ref="CI10" ca="1">INDEX(Master!$H$2:'Master'!$H$4384,MATCH($A10&amp;CI$2,Master!$A$2:'Master'!$A$4384&amp;Master!$C$2:'Master'!$C$4384,0))</f>
        <v>0</v>
      </c>
      <c r="CJ10" s="21" cm="1">
        <f t="array" aca="1" ref="CJ10" ca="1">INDEX(Master!$H$2:'Master'!$H$4384,MATCH($A10&amp;CJ$2,Master!$A$2:'Master'!$A$4384&amp;Master!$C$2:'Master'!$C$4384,0))</f>
        <v>0</v>
      </c>
      <c r="CK10" s="21" cm="1">
        <f t="array" aca="1" ref="CK10" ca="1">INDEX(Master!$H$2:'Master'!$H$4384,MATCH($A10&amp;CK$2,Master!$A$2:'Master'!$A$4384&amp;Master!$C$2:'Master'!$C$4384,0))</f>
        <v>0</v>
      </c>
      <c r="CL10" s="21" cm="1">
        <f t="array" aca="1" ref="CL10" ca="1">INDEX(Master!$H$2:'Master'!$H$4384,MATCH($A10&amp;CL$2,Master!$A$2:'Master'!$A$4384&amp;Master!$C$2:'Master'!$C$4384,0))</f>
        <v>0</v>
      </c>
      <c r="CM10" s="21" cm="1">
        <f t="array" aca="1" ref="CM10" ca="1">INDEX(Master!$H$2:'Master'!$H$4384,MATCH($A10&amp;CM$2,Master!$A$2:'Master'!$A$4384&amp;Master!$C$2:'Master'!$C$4384,0))</f>
        <v>0</v>
      </c>
      <c r="CN10" s="21" cm="1">
        <f t="array" aca="1" ref="CN10" ca="1">INDEX(Master!$H$2:'Master'!$H$4384,MATCH($A10&amp;CN$2,Master!$A$2:'Master'!$A$4384&amp;Master!$C$2:'Master'!$C$4384,0))</f>
        <v>-2</v>
      </c>
      <c r="CO10" s="21" cm="1">
        <f t="array" aca="1" ref="CO10" ca="1">INDEX(Master!$H$2:'Master'!$H$4384,MATCH($A10&amp;CO$2,Master!$A$2:'Master'!$A$4384&amp;Master!$C$2:'Master'!$C$4384,0))</f>
        <v>-2</v>
      </c>
      <c r="CP10" s="21" cm="1">
        <f t="array" aca="1" ref="CP10" ca="1">INDEX(Master!$H$2:'Master'!$H$4384,MATCH($A10&amp;CP$2,Master!$A$2:'Master'!$A$4384&amp;Master!$C$2:'Master'!$C$4384,0))</f>
        <v>-2</v>
      </c>
      <c r="CQ10" s="21" cm="1">
        <f t="array" aca="1" ref="CQ10" ca="1">INDEX(Master!$H$2:'Master'!$H$4384,MATCH($A10&amp;CQ$2,Master!$A$2:'Master'!$A$4384&amp;Master!$C$2:'Master'!$C$4384,0))</f>
        <v>0</v>
      </c>
      <c r="CR10" s="21" cm="1">
        <f t="array" aca="1" ref="CR10" ca="1">INDEX(Master!$H$2:'Master'!$H$4384,MATCH($A10&amp;CR$2,Master!$A$2:'Master'!$A$4384&amp;Master!$C$2:'Master'!$C$4384,0))</f>
        <v>3</v>
      </c>
      <c r="CS10" s="21" cm="1">
        <f t="array" aca="1" ref="CS10" ca="1">INDEX(Master!$H$2:'Master'!$H$4384,MATCH($A10&amp;CS$2,Master!$A$2:'Master'!$A$4384&amp;Master!$C$2:'Master'!$C$4384,0))</f>
        <v>-1</v>
      </c>
    </row>
    <row r="11" spans="1:97">
      <c r="A11" s="22" t="str">
        <f>VLOOKUP(Staff!$A8,Staff!$A$1:A$73,1,FALSE)</f>
        <v>Kate Fleming</v>
      </c>
      <c r="B11" s="21" cm="1">
        <f t="array" aca="1" ref="B11" ca="1">INDEX(Master!$H$2:'Master'!$H$4384,MATCH($A11&amp;B$2,Master!$A$2:'Master'!$A$4384&amp;Master!$C$2:'Master'!$C$4384,0))</f>
        <v>1</v>
      </c>
      <c r="C11" s="21" cm="1">
        <f t="array" aca="1" ref="C11" ca="1">INDEX(Master!$H$2:'Master'!$H$4384,MATCH($A11&amp;C$2,Master!$A$2:'Master'!$A$4384&amp;Master!$C$2:'Master'!$C$4384,0))</f>
        <v>1</v>
      </c>
      <c r="D11" s="21" cm="1">
        <f t="array" aca="1" ref="D11" ca="1">INDEX(Master!$H$2:'Master'!$H$4384,MATCH($A11&amp;D$2,Master!$A$2:'Master'!$A$4384&amp;Master!$C$2:'Master'!$C$4384,0))</f>
        <v>1</v>
      </c>
      <c r="E11" s="21" cm="1">
        <f t="array" aca="1" ref="E11" ca="1">INDEX(Master!$H$2:'Master'!$H$4384,MATCH($A11&amp;E$2,Master!$A$2:'Master'!$A$4384&amp;Master!$C$2:'Master'!$C$4384,0))</f>
        <v>0</v>
      </c>
      <c r="F11" s="21" cm="1">
        <f t="array" aca="1" ref="F11" ca="1">INDEX(Master!$H$2:'Master'!$H$4384,MATCH($A11&amp;F$2,Master!$A$2:'Master'!$A$4384&amp;Master!$C$2:'Master'!$C$4384,0))</f>
        <v>0</v>
      </c>
      <c r="G11" s="21" cm="1">
        <f t="array" aca="1" ref="G11" ca="1">INDEX(Master!$H$2:'Master'!$H$4384,MATCH($A11&amp;G$2,Master!$A$2:'Master'!$A$4384&amp;Master!$C$2:'Master'!$C$4384,0))</f>
        <v>0</v>
      </c>
      <c r="H11" s="21" cm="1">
        <f t="array" aca="1" ref="H11" ca="1">INDEX(Master!$H$2:'Master'!$H$4384,MATCH($A11&amp;H$2,Master!$A$2:'Master'!$A$4384&amp;Master!$C$2:'Master'!$C$4384,0))</f>
        <v>1</v>
      </c>
      <c r="I11" s="21" cm="1">
        <f t="array" aca="1" ref="I11" ca="1">INDEX(Master!$H$2:'Master'!$H$4384,MATCH($A11&amp;I$2,Master!$A$2:'Master'!$A$4384&amp;Master!$C$2:'Master'!$C$4384,0))</f>
        <v>0</v>
      </c>
      <c r="J11" s="21" cm="1">
        <f t="array" aca="1" ref="J11" ca="1">INDEX(Master!$H$2:'Master'!$H$4384,MATCH($A11&amp;J$2,Master!$A$2:'Master'!$A$4384&amp;Master!$C$2:'Master'!$C$4384,0))</f>
        <v>0</v>
      </c>
      <c r="K11" s="21" cm="1">
        <f t="array" aca="1" ref="K11" ca="1">INDEX(Master!$H$2:'Master'!$H$4384,MATCH($A11&amp;K$2,Master!$A$2:'Master'!$A$4384&amp;Master!$C$2:'Master'!$C$4384,0))</f>
        <v>-1</v>
      </c>
      <c r="L11" s="21" cm="1">
        <f t="array" aca="1" ref="L11" ca="1">INDEX(Master!$H$2:'Master'!$H$4384,MATCH($A11&amp;L$2,Master!$A$2:'Master'!$A$4384&amp;Master!$C$2:'Master'!$C$4384,0))</f>
        <v>0</v>
      </c>
      <c r="M11" s="21" cm="1">
        <f t="array" aca="1" ref="M11" ca="1">INDEX(Master!$H$2:'Master'!$H$4384,MATCH($A11&amp;M$2,Master!$A$2:'Master'!$A$4384&amp;Master!$C$2:'Master'!$C$4384,0))</f>
        <v>-1</v>
      </c>
      <c r="N11" s="21" cm="1">
        <f t="array" aca="1" ref="N11" ca="1">INDEX(Master!$H$2:'Master'!$H$4384,MATCH($A11&amp;N$2,Master!$A$2:'Master'!$A$4384&amp;Master!$C$2:'Master'!$C$4384,0))</f>
        <v>0</v>
      </c>
      <c r="O11" s="21" cm="1">
        <f t="array" aca="1" ref="O11" ca="1">INDEX(Master!$H$2:'Master'!$H$4384,MATCH($A11&amp;O$2,Master!$A$2:'Master'!$A$4384&amp;Master!$C$2:'Master'!$C$4384,0))</f>
        <v>1</v>
      </c>
      <c r="P11" s="21" cm="1">
        <f t="array" aca="1" ref="P11" ca="1">INDEX(Master!$H$2:'Master'!$H$4384,MATCH($A11&amp;P$2,Master!$A$2:'Master'!$A$4384&amp;Master!$C$2:'Master'!$C$4384,0))</f>
        <v>3</v>
      </c>
      <c r="Q11" s="21" cm="1">
        <f t="array" aca="1" ref="Q11" ca="1">INDEX(Master!$H$2:'Master'!$H$4384,MATCH($A11&amp;Q$2,Master!$A$2:'Master'!$A$4384&amp;Master!$C$2:'Master'!$C$4384,0))</f>
        <v>2</v>
      </c>
      <c r="R11" s="21" cm="1">
        <f t="array" aca="1" ref="R11" ca="1">INDEX(Master!$H$2:'Master'!$H$4384,MATCH($A11&amp;R$2,Master!$A$2:'Master'!$A$4384&amp;Master!$C$2:'Master'!$C$4384,0))</f>
        <v>0</v>
      </c>
      <c r="S11" s="21" cm="1">
        <f t="array" aca="1" ref="S11" ca="1">INDEX(Master!$H$2:'Master'!$H$4384,MATCH($A11&amp;S$2,Master!$A$2:'Master'!$A$4384&amp;Master!$C$2:'Master'!$C$4384,0))</f>
        <v>2</v>
      </c>
      <c r="T11" s="21" cm="1">
        <f t="array" aca="1" ref="T11" ca="1">INDEX(Master!$H$2:'Master'!$H$4384,MATCH($A11&amp;T$2,Master!$A$2:'Master'!$A$4384&amp;Master!$C$2:'Master'!$C$4384,0))</f>
        <v>3</v>
      </c>
      <c r="U11" s="21" cm="1">
        <f t="array" aca="1" ref="U11" ca="1">INDEX(Master!$H$2:'Master'!$H$4384,MATCH($A11&amp;U$2,Master!$A$2:'Master'!$A$4384&amp;Master!$C$2:'Master'!$C$4384,0))</f>
        <v>2</v>
      </c>
      <c r="V11" s="21" cm="1">
        <f t="array" aca="1" ref="V11" ca="1">INDEX(Master!$H$2:'Master'!$H$4384,MATCH($A11&amp;V$2,Master!$A$2:'Master'!$A$4384&amp;Master!$C$2:'Master'!$C$4384,0))</f>
        <v>0</v>
      </c>
      <c r="W11" s="21" cm="1">
        <f t="array" aca="1" ref="W11" ca="1">INDEX(Master!$H$2:'Master'!$H$4384,MATCH($A11&amp;W$2,Master!$A$2:'Master'!$A$4384&amp;Master!$C$2:'Master'!$C$4384,0))</f>
        <v>-1</v>
      </c>
      <c r="X11" s="21" cm="1">
        <f t="array" aca="1" ref="X11" ca="1">INDEX(Master!$H$2:'Master'!$H$4384,MATCH($A11&amp;X$2,Master!$A$2:'Master'!$A$4384&amp;Master!$C$2:'Master'!$C$4384,0))</f>
        <v>-2</v>
      </c>
      <c r="Y11" s="21" cm="1">
        <f t="array" aca="1" ref="Y11" ca="1">INDEX(Master!$H$2:'Master'!$H$4384,MATCH($A11&amp;Y$2,Master!$A$2:'Master'!$A$4384&amp;Master!$C$2:'Master'!$C$4384,0))</f>
        <v>0</v>
      </c>
      <c r="Z11" s="21" cm="1">
        <f t="array" aca="1" ref="Z11" ca="1">INDEX(Master!$H$2:'Master'!$H$4384,MATCH($A11&amp;Z$2,Master!$A$2:'Master'!$A$4384&amp;Master!$C$2:'Master'!$C$4384,0))</f>
        <v>0</v>
      </c>
      <c r="AA11" s="21" cm="1">
        <f t="array" aca="1" ref="AA11" ca="1">INDEX(Master!$H$2:'Master'!$H$4384,MATCH($A11&amp;AA$2,Master!$A$2:'Master'!$A$4384&amp;Master!$C$2:'Master'!$C$4384,0))</f>
        <v>-2</v>
      </c>
      <c r="AB11" s="21" cm="1">
        <f t="array" aca="1" ref="AB11" ca="1">INDEX(Master!$H$2:'Master'!$H$4384,MATCH($A11&amp;AB$2,Master!$A$2:'Master'!$A$4384&amp;Master!$C$2:'Master'!$C$4384,0))</f>
        <v>1</v>
      </c>
      <c r="AC11" s="21" cm="1">
        <f t="array" aca="1" ref="AC11" ca="1">INDEX(Master!$H$2:'Master'!$H$4384,MATCH($A11&amp;AC$2,Master!$A$2:'Master'!$A$4384&amp;Master!$C$2:'Master'!$C$4384,0))</f>
        <v>1</v>
      </c>
      <c r="AD11" s="21" cm="1">
        <f t="array" aca="1" ref="AD11" ca="1">INDEX(Master!$H$2:'Master'!$H$4384,MATCH($A11&amp;AD$2,Master!$A$2:'Master'!$A$4384&amp;Master!$C$2:'Master'!$C$4384,0))</f>
        <v>0</v>
      </c>
      <c r="AE11" s="21" cm="1">
        <f t="array" aca="1" ref="AE11" ca="1">INDEX(Master!$H$2:'Master'!$H$4384,MATCH($A11&amp;AE$2,Master!$A$2:'Master'!$A$4384&amp;Master!$C$2:'Master'!$C$4384,0))</f>
        <v>-1</v>
      </c>
      <c r="AF11" s="21" cm="1">
        <f t="array" aca="1" ref="AF11" ca="1">INDEX(Master!$H$2:'Master'!$H$4384,MATCH($A11&amp;AF$2,Master!$A$2:'Master'!$A$4384&amp;Master!$C$2:'Master'!$C$4384,0))</f>
        <v>0</v>
      </c>
      <c r="AG11" s="21" cm="1">
        <f t="array" aca="1" ref="AG11" ca="1">INDEX(Master!$H$2:'Master'!$H$4384,MATCH($A11&amp;AG$2,Master!$A$2:'Master'!$A$4384&amp;Master!$C$2:'Master'!$C$4384,0))</f>
        <v>0</v>
      </c>
      <c r="AH11" s="21" cm="1">
        <f t="array" aca="1" ref="AH11" ca="1">INDEX(Master!$H$2:'Master'!$H$4384,MATCH($A11&amp;AH$2,Master!$A$2:'Master'!$A$4384&amp;Master!$C$2:'Master'!$C$4384,0))</f>
        <v>2</v>
      </c>
      <c r="AI11" s="21" cm="1">
        <f t="array" aca="1" ref="AI11" ca="1">INDEX(Master!$H$2:'Master'!$H$4384,MATCH($A11&amp;AI$2,Master!$A$2:'Master'!$A$4384&amp;Master!$C$2:'Master'!$C$4384,0))</f>
        <v>0</v>
      </c>
      <c r="AJ11" s="21" cm="1">
        <f t="array" aca="1" ref="AJ11" ca="1">INDEX(Master!$H$2:'Master'!$H$4384,MATCH($A11&amp;AJ$2,Master!$A$2:'Master'!$A$4384&amp;Master!$C$2:'Master'!$C$4384,0))</f>
        <v>1</v>
      </c>
      <c r="AK11" s="21" cm="1">
        <f t="array" aca="1" ref="AK11" ca="1">INDEX(Master!$H$2:'Master'!$H$4384,MATCH($A11&amp;AK$2,Master!$A$2:'Master'!$A$4384&amp;Master!$C$2:'Master'!$C$4384,0))</f>
        <v>-1</v>
      </c>
      <c r="AL11" s="21" cm="1">
        <f t="array" aca="1" ref="AL11" ca="1">INDEX(Master!$H$2:'Master'!$H$4384,MATCH($A11&amp;AL$2,Master!$A$2:'Master'!$A$4384&amp;Master!$C$2:'Master'!$C$4384,0))</f>
        <v>0</v>
      </c>
      <c r="AM11" s="21" cm="1">
        <f t="array" aca="1" ref="AM11" ca="1">INDEX(Master!$H$2:'Master'!$H$4384,MATCH($A11&amp;AM$2,Master!$A$2:'Master'!$A$4384&amp;Master!$C$2:'Master'!$C$4384,0))</f>
        <v>2</v>
      </c>
      <c r="AN11" s="21" cm="1">
        <f t="array" aca="1" ref="AN11" ca="1">INDEX(Master!$H$2:'Master'!$H$4384,MATCH($A11&amp;AN$2,Master!$A$2:'Master'!$A$4384&amp;Master!$C$2:'Master'!$C$4384,0))</f>
        <v>0</v>
      </c>
      <c r="AO11" s="21" cm="1">
        <f t="array" aca="1" ref="AO11" ca="1">INDEX(Master!$H$2:'Master'!$H$4384,MATCH($A11&amp;AO$2,Master!$A$2:'Master'!$A$4384&amp;Master!$C$2:'Master'!$C$4384,0))</f>
        <v>0</v>
      </c>
      <c r="AP11" s="21" cm="1">
        <f t="array" aca="1" ref="AP11" ca="1">INDEX(Master!$H$2:'Master'!$H$4384,MATCH($A11&amp;AP$2,Master!$A$2:'Master'!$A$4384&amp;Master!$C$2:'Master'!$C$4384,0))</f>
        <v>1</v>
      </c>
      <c r="AQ11" s="21" cm="1">
        <f t="array" aca="1" ref="AQ11" ca="1">INDEX(Master!$H$2:'Master'!$H$4384,MATCH($A11&amp;AQ$2,Master!$A$2:'Master'!$A$4384&amp;Master!$C$2:'Master'!$C$4384,0))</f>
        <v>0</v>
      </c>
      <c r="AR11" s="21" cm="1">
        <f t="array" aca="1" ref="AR11" ca="1">INDEX(Master!$H$2:'Master'!$H$4384,MATCH($A11&amp;AR$2,Master!$A$2:'Master'!$A$4384&amp;Master!$C$2:'Master'!$C$4384,0))</f>
        <v>0</v>
      </c>
      <c r="AS11" s="21" cm="1">
        <f t="array" aca="1" ref="AS11" ca="1">INDEX(Master!$H$2:'Master'!$H$4384,MATCH($A11&amp;AS$2,Master!$A$2:'Master'!$A$4384&amp;Master!$C$2:'Master'!$C$4384,0))</f>
        <v>0</v>
      </c>
      <c r="AT11" s="21" cm="1">
        <f t="array" aca="1" ref="AT11" ca="1">INDEX(Master!$H$2:'Master'!$H$4384,MATCH($A11&amp;AT$2,Master!$A$2:'Master'!$A$4384&amp;Master!$C$2:'Master'!$C$4384,0))</f>
        <v>0</v>
      </c>
      <c r="AU11" s="21" cm="1">
        <f t="array" aca="1" ref="AU11" ca="1">INDEX(Master!$H$2:'Master'!$H$4384,MATCH($A11&amp;AU$2,Master!$A$2:'Master'!$A$4384&amp;Master!$C$2:'Master'!$C$4384,0))</f>
        <v>0</v>
      </c>
      <c r="AV11" s="21" cm="1">
        <f t="array" aca="1" ref="AV11" ca="1">INDEX(Master!$H$2:'Master'!$H$4384,MATCH($A11&amp;AV$2,Master!$A$2:'Master'!$A$4384&amp;Master!$C$2:'Master'!$C$4384,0))</f>
        <v>0</v>
      </c>
      <c r="AW11" s="21" cm="1">
        <f t="array" aca="1" ref="AW11" ca="1">INDEX(Master!$H$2:'Master'!$H$4384,MATCH($A11&amp;AW$2,Master!$A$2:'Master'!$A$4384&amp;Master!$C$2:'Master'!$C$4384,0))</f>
        <v>0</v>
      </c>
      <c r="AX11" s="21" cm="1">
        <f t="array" aca="1" ref="AX11" ca="1">INDEX(Master!$H$2:'Master'!$H$4384,MATCH($A11&amp;AX$2,Master!$A$2:'Master'!$A$4384&amp;Master!$C$2:'Master'!$C$4384,0))</f>
        <v>3</v>
      </c>
      <c r="AY11" s="21" cm="1">
        <f t="array" aca="1" ref="AY11" ca="1">INDEX(Master!$H$2:'Master'!$H$4384,MATCH($A11&amp;AY$2,Master!$A$2:'Master'!$A$4384&amp;Master!$C$2:'Master'!$C$4384,0))</f>
        <v>0</v>
      </c>
      <c r="AZ11" s="21" cm="1">
        <f t="array" aca="1" ref="AZ11" ca="1">INDEX(Master!$H$2:'Master'!$H$4384,MATCH($A11&amp;AZ$2,Master!$A$2:'Master'!$A$4384&amp;Master!$C$2:'Master'!$C$4384,0))</f>
        <v>0</v>
      </c>
      <c r="BA11" s="21" cm="1">
        <f t="array" aca="1" ref="BA11" ca="1">INDEX(Master!$H$2:'Master'!$H$4384,MATCH($A11&amp;BA$2,Master!$A$2:'Master'!$A$4384&amp;Master!$C$2:'Master'!$C$4384,0))</f>
        <v>0</v>
      </c>
      <c r="BB11" s="21" cm="1">
        <f t="array" aca="1" ref="BB11" ca="1">INDEX(Master!$H$2:'Master'!$H$4384,MATCH($A11&amp;BB$2,Master!$A$2:'Master'!$A$4384&amp;Master!$C$2:'Master'!$C$4384,0))</f>
        <v>0</v>
      </c>
      <c r="BC11" s="21" cm="1">
        <f t="array" aca="1" ref="BC11" ca="1">INDEX(Master!$H$2:'Master'!$H$4384,MATCH($A11&amp;BC$2,Master!$A$2:'Master'!$A$4384&amp;Master!$C$2:'Master'!$C$4384,0))</f>
        <v>2</v>
      </c>
      <c r="BD11" s="21" cm="1">
        <f t="array" aca="1" ref="BD11" ca="1">INDEX(Master!$H$2:'Master'!$H$4384,MATCH($A11&amp;BD$2,Master!$A$2:'Master'!$A$4384&amp;Master!$C$2:'Master'!$C$4384,0))</f>
        <v>3</v>
      </c>
      <c r="BE11" s="21" cm="1">
        <f t="array" aca="1" ref="BE11" ca="1">INDEX(Master!$H$2:'Master'!$H$4384,MATCH($A11&amp;BE$2,Master!$A$2:'Master'!$A$4384&amp;Master!$C$2:'Master'!$C$4384,0))</f>
        <v>1</v>
      </c>
      <c r="BF11" s="21" cm="1">
        <f t="array" aca="1" ref="BF11" ca="1">INDEX(Master!$H$2:'Master'!$H$4384,MATCH($A11&amp;BF$2,Master!$A$2:'Master'!$A$4384&amp;Master!$C$2:'Master'!$C$4384,0))</f>
        <v>1</v>
      </c>
      <c r="BG11" s="21" cm="1">
        <f t="array" aca="1" ref="BG11" ca="1">INDEX(Master!$H$2:'Master'!$H$4384,MATCH($A11&amp;BG$2,Master!$A$2:'Master'!$A$4384&amp;Master!$C$2:'Master'!$C$4384,0))</f>
        <v>-1</v>
      </c>
      <c r="BH11" s="21" cm="1">
        <f t="array" aca="1" ref="BH11" ca="1">INDEX(Master!$H$2:'Master'!$H$4384,MATCH($A11&amp;BH$2,Master!$A$2:'Master'!$A$4384&amp;Master!$C$2:'Master'!$C$4384,0))</f>
        <v>-1</v>
      </c>
      <c r="BI11" s="21" cm="1">
        <f t="array" aca="1" ref="BI11" ca="1">INDEX(Master!$H$2:'Master'!$H$4384,MATCH($A11&amp;BI$2,Master!$A$2:'Master'!$A$4384&amp;Master!$C$2:'Master'!$C$4384,0))</f>
        <v>2</v>
      </c>
      <c r="BJ11" s="21" cm="1">
        <f t="array" aca="1" ref="BJ11" ca="1">INDEX(Master!$H$2:'Master'!$H$4384,MATCH($A11&amp;BJ$2,Master!$A$2:'Master'!$A$4384&amp;Master!$C$2:'Master'!$C$4384,0))</f>
        <v>2</v>
      </c>
      <c r="BK11" s="21" cm="1">
        <f t="array" aca="1" ref="BK11" ca="1">INDEX(Master!$H$2:'Master'!$H$4384,MATCH($A11&amp;BK$2,Master!$A$2:'Master'!$A$4384&amp;Master!$C$2:'Master'!$C$4384,0))</f>
        <v>3</v>
      </c>
      <c r="BL11" s="21" cm="1">
        <f t="array" aca="1" ref="BL11" ca="1">INDEX(Master!$H$2:'Master'!$H$4384,MATCH($A11&amp;BL$2,Master!$A$2:'Master'!$A$4384&amp;Master!$C$2:'Master'!$C$4384,0))</f>
        <v>2</v>
      </c>
      <c r="BM11" s="21" cm="1">
        <f t="array" aca="1" ref="BM11" ca="1">INDEX(Master!$H$2:'Master'!$H$4384,MATCH($A11&amp;BM$2,Master!$A$2:'Master'!$A$4384&amp;Master!$C$2:'Master'!$C$4384,0))</f>
        <v>1</v>
      </c>
      <c r="BN11" s="21" cm="1">
        <f t="array" aca="1" ref="BN11" ca="1">INDEX(Master!$H$2:'Master'!$H$4384,MATCH($A11&amp;BN$2,Master!$A$2:'Master'!$A$4384&amp;Master!$C$2:'Master'!$C$4384,0))</f>
        <v>0</v>
      </c>
      <c r="BO11" s="21" cm="1">
        <f t="array" aca="1" ref="BO11" ca="1">INDEX(Master!$H$2:'Master'!$H$4384,MATCH($A11&amp;BO$2,Master!$A$2:'Master'!$A$4384&amp;Master!$C$2:'Master'!$C$4384,0))</f>
        <v>2</v>
      </c>
      <c r="BP11" s="21" cm="1">
        <f t="array" aca="1" ref="BP11" ca="1">INDEX(Master!$H$2:'Master'!$H$4384,MATCH($A11&amp;BP$2,Master!$A$2:'Master'!$A$4384&amp;Master!$C$2:'Master'!$C$4384,0))</f>
        <v>2</v>
      </c>
      <c r="BQ11" s="21" cm="1">
        <f t="array" aca="1" ref="BQ11" ca="1">INDEX(Master!$H$2:'Master'!$H$4384,MATCH($A11&amp;BQ$2,Master!$A$2:'Master'!$A$4384&amp;Master!$C$2:'Master'!$C$4384,0))</f>
        <v>2</v>
      </c>
      <c r="BR11" s="21" cm="1">
        <f t="array" aca="1" ref="BR11" ca="1">INDEX(Master!$H$2:'Master'!$H$4384,MATCH($A11&amp;BR$2,Master!$A$2:'Master'!$A$4384&amp;Master!$C$2:'Master'!$C$4384,0))</f>
        <v>2</v>
      </c>
      <c r="BS11" s="21" cm="1">
        <f t="array" aca="1" ref="BS11" ca="1">INDEX(Master!$H$2:'Master'!$H$4384,MATCH($A11&amp;BS$2,Master!$A$2:'Master'!$A$4384&amp;Master!$C$2:'Master'!$C$4384,0))</f>
        <v>3</v>
      </c>
      <c r="BT11" s="21" cm="1">
        <f t="array" aca="1" ref="BT11" ca="1">INDEX(Master!$H$2:'Master'!$H$4384,MATCH($A11&amp;BT$2,Master!$A$2:'Master'!$A$4384&amp;Master!$C$2:'Master'!$C$4384,0))</f>
        <v>2</v>
      </c>
      <c r="BU11" s="21" cm="1">
        <f t="array" aca="1" ref="BU11" ca="1">INDEX(Master!$H$2:'Master'!$H$4384,MATCH($A11&amp;BU$2,Master!$A$2:'Master'!$A$4384&amp;Master!$C$2:'Master'!$C$4384,0))</f>
        <v>2</v>
      </c>
      <c r="BV11" s="21" cm="1">
        <f t="array" aca="1" ref="BV11" ca="1">INDEX(Master!$H$2:'Master'!$H$4384,MATCH($A11&amp;BV$2,Master!$A$2:'Master'!$A$4384&amp;Master!$C$2:'Master'!$C$4384,0))</f>
        <v>3</v>
      </c>
      <c r="BW11" s="21" cm="1">
        <f t="array" aca="1" ref="BW11" ca="1">INDEX(Master!$H$2:'Master'!$H$4384,MATCH($A11&amp;BW$2,Master!$A$2:'Master'!$A$4384&amp;Master!$C$2:'Master'!$C$4384,0))</f>
        <v>1</v>
      </c>
      <c r="BX11" s="21" cm="1">
        <f t="array" aca="1" ref="BX11" ca="1">INDEX(Master!$H$2:'Master'!$H$4384,MATCH($A11&amp;BX$2,Master!$A$2:'Master'!$A$4384&amp;Master!$C$2:'Master'!$C$4384,0))</f>
        <v>-1</v>
      </c>
      <c r="BY11" s="21" cm="1">
        <f t="array" aca="1" ref="BY11" ca="1">INDEX(Master!$H$2:'Master'!$H$4384,MATCH($A11&amp;BY$2,Master!$A$2:'Master'!$A$4384&amp;Master!$C$2:'Master'!$C$4384,0))</f>
        <v>-1</v>
      </c>
      <c r="BZ11" s="21" cm="1">
        <f t="array" aca="1" ref="BZ11" ca="1">INDEX(Master!$H$2:'Master'!$H$4384,MATCH($A11&amp;BZ$2,Master!$A$2:'Master'!$A$4384&amp;Master!$C$2:'Master'!$C$4384,0))</f>
        <v>2</v>
      </c>
      <c r="CA11" s="21" cm="1">
        <f t="array" aca="1" ref="CA11" ca="1">INDEX(Master!$H$2:'Master'!$H$4384,MATCH($A11&amp;CA$2,Master!$A$2:'Master'!$A$4384&amp;Master!$C$2:'Master'!$C$4384,0))</f>
        <v>2</v>
      </c>
      <c r="CB11" s="21" cm="1">
        <f t="array" aca="1" ref="CB11" ca="1">INDEX(Master!$H$2:'Master'!$H$4384,MATCH($A11&amp;CB$2,Master!$A$2:'Master'!$A$4384&amp;Master!$C$2:'Master'!$C$4384,0))</f>
        <v>3</v>
      </c>
      <c r="CC11" s="21" cm="1">
        <f t="array" aca="1" ref="CC11" ca="1">INDEX(Master!$H$2:'Master'!$H$4384,MATCH($A11&amp;CC$2,Master!$A$2:'Master'!$A$4384&amp;Master!$C$2:'Master'!$C$4384,0))</f>
        <v>2</v>
      </c>
      <c r="CD11" s="21" cm="1">
        <f t="array" aca="1" ref="CD11" ca="1">INDEX(Master!$H$2:'Master'!$H$4384,MATCH($A11&amp;CD$2,Master!$A$2:'Master'!$A$4384&amp;Master!$C$2:'Master'!$C$4384,0))</f>
        <v>1</v>
      </c>
      <c r="CE11" s="21" cm="1">
        <f t="array" aca="1" ref="CE11" ca="1">INDEX(Master!$H$2:'Master'!$H$4384,MATCH($A11&amp;CE$2,Master!$A$2:'Master'!$A$4384&amp;Master!$C$2:'Master'!$C$4384,0))</f>
        <v>0</v>
      </c>
      <c r="CF11" s="21" cm="1">
        <f t="array" aca="1" ref="CF11" ca="1">INDEX(Master!$H$2:'Master'!$H$4384,MATCH($A11&amp;CF$2,Master!$A$2:'Master'!$A$4384&amp;Master!$C$2:'Master'!$C$4384,0))</f>
        <v>0</v>
      </c>
      <c r="CG11" s="21" cm="1">
        <f t="array" aca="1" ref="CG11" ca="1">INDEX(Master!$H$2:'Master'!$H$4384,MATCH($A11&amp;CG$2,Master!$A$2:'Master'!$A$4384&amp;Master!$C$2:'Master'!$C$4384,0))</f>
        <v>1</v>
      </c>
      <c r="CH11" s="21" cm="1">
        <f t="array" aca="1" ref="CH11" ca="1">INDEX(Master!$H$2:'Master'!$H$4384,MATCH($A11&amp;CH$2,Master!$A$2:'Master'!$A$4384&amp;Master!$C$2:'Master'!$C$4384,0))</f>
        <v>-1</v>
      </c>
      <c r="CI11" s="21" cm="1">
        <f t="array" aca="1" ref="CI11" ca="1">INDEX(Master!$H$2:'Master'!$H$4384,MATCH($A11&amp;CI$2,Master!$A$2:'Master'!$A$4384&amp;Master!$C$2:'Master'!$C$4384,0))</f>
        <v>2</v>
      </c>
      <c r="CJ11" s="21" cm="1">
        <f t="array" aca="1" ref="CJ11" ca="1">INDEX(Master!$H$2:'Master'!$H$4384,MATCH($A11&amp;CJ$2,Master!$A$2:'Master'!$A$4384&amp;Master!$C$2:'Master'!$C$4384,0))</f>
        <v>0</v>
      </c>
      <c r="CK11" s="21" cm="1">
        <f t="array" aca="1" ref="CK11" ca="1">INDEX(Master!$H$2:'Master'!$H$4384,MATCH($A11&amp;CK$2,Master!$A$2:'Master'!$A$4384&amp;Master!$C$2:'Master'!$C$4384,0))</f>
        <v>0</v>
      </c>
      <c r="CL11" s="21" cm="1">
        <f t="array" aca="1" ref="CL11" ca="1">INDEX(Master!$H$2:'Master'!$H$4384,MATCH($A11&amp;CL$2,Master!$A$2:'Master'!$A$4384&amp;Master!$C$2:'Master'!$C$4384,0))</f>
        <v>1</v>
      </c>
      <c r="CM11" s="21" cm="1">
        <f t="array" aca="1" ref="CM11" ca="1">INDEX(Master!$H$2:'Master'!$H$4384,MATCH($A11&amp;CM$2,Master!$A$2:'Master'!$A$4384&amp;Master!$C$2:'Master'!$C$4384,0))</f>
        <v>1</v>
      </c>
      <c r="CN11" s="21" cm="1">
        <f t="array" aca="1" ref="CN11" ca="1">INDEX(Master!$H$2:'Master'!$H$4384,MATCH($A11&amp;CN$2,Master!$A$2:'Master'!$A$4384&amp;Master!$C$2:'Master'!$C$4384,0))</f>
        <v>0</v>
      </c>
      <c r="CO11" s="21" cm="1">
        <f t="array" aca="1" ref="CO11" ca="1">INDEX(Master!$H$2:'Master'!$H$4384,MATCH($A11&amp;CO$2,Master!$A$2:'Master'!$A$4384&amp;Master!$C$2:'Master'!$C$4384,0))</f>
        <v>0</v>
      </c>
      <c r="CP11" s="21" cm="1">
        <f t="array" aca="1" ref="CP11" ca="1">INDEX(Master!$H$2:'Master'!$H$4384,MATCH($A11&amp;CP$2,Master!$A$2:'Master'!$A$4384&amp;Master!$C$2:'Master'!$C$4384,0))</f>
        <v>-1</v>
      </c>
      <c r="CQ11" s="21" cm="1">
        <f t="array" aca="1" ref="CQ11" ca="1">INDEX(Master!$H$2:'Master'!$H$4384,MATCH($A11&amp;CQ$2,Master!$A$2:'Master'!$A$4384&amp;Master!$C$2:'Master'!$C$4384,0))</f>
        <v>0</v>
      </c>
      <c r="CR11" s="21" cm="1">
        <f t="array" aca="1" ref="CR11" ca="1">INDEX(Master!$H$2:'Master'!$H$4384,MATCH($A11&amp;CR$2,Master!$A$2:'Master'!$A$4384&amp;Master!$C$2:'Master'!$C$4384,0))</f>
        <v>1</v>
      </c>
      <c r="CS11" s="21" cm="1">
        <f t="array" aca="1" ref="CS11" ca="1">INDEX(Master!$H$2:'Master'!$H$4384,MATCH($A11&amp;CS$2,Master!$A$2:'Master'!$A$4384&amp;Master!$C$2:'Master'!$C$4384,0))</f>
        <v>2</v>
      </c>
    </row>
    <row r="12" spans="1:97">
      <c r="A12" s="22" t="str">
        <f>VLOOKUP(Staff!$A9,Staff!$A$1:A$73,1,FALSE)</f>
        <v>Ellie Miller</v>
      </c>
      <c r="B12" s="21" cm="1">
        <f t="array" aca="1" ref="B12" ca="1">INDEX(Master!$H$2:'Master'!$H$4384,MATCH($A12&amp;B$2,Master!$A$2:'Master'!$A$4384&amp;Master!$C$2:'Master'!$C$4384,0))</f>
        <v>0</v>
      </c>
      <c r="C12" s="21" cm="1">
        <f t="array" aca="1" ref="C12" ca="1">INDEX(Master!$H$2:'Master'!$H$4384,MATCH($A12&amp;C$2,Master!$A$2:'Master'!$A$4384&amp;Master!$C$2:'Master'!$C$4384,0))</f>
        <v>2</v>
      </c>
      <c r="D12" s="21" cm="1">
        <f t="array" aca="1" ref="D12" ca="1">INDEX(Master!$H$2:'Master'!$H$4384,MATCH($A12&amp;D$2,Master!$A$2:'Master'!$A$4384&amp;Master!$C$2:'Master'!$C$4384,0))</f>
        <v>1</v>
      </c>
      <c r="E12" s="21" cm="1">
        <f t="array" aca="1" ref="E12" ca="1">INDEX(Master!$H$2:'Master'!$H$4384,MATCH($A12&amp;E$2,Master!$A$2:'Master'!$A$4384&amp;Master!$C$2:'Master'!$C$4384,0))</f>
        <v>1</v>
      </c>
      <c r="F12" s="21" cm="1">
        <f t="array" aca="1" ref="F12" ca="1">INDEX(Master!$H$2:'Master'!$H$4384,MATCH($A12&amp;F$2,Master!$A$2:'Master'!$A$4384&amp;Master!$C$2:'Master'!$C$4384,0))</f>
        <v>1</v>
      </c>
      <c r="G12" s="21" cm="1">
        <f t="array" aca="1" ref="G12" ca="1">INDEX(Master!$H$2:'Master'!$H$4384,MATCH($A12&amp;G$2,Master!$A$2:'Master'!$A$4384&amp;Master!$C$2:'Master'!$C$4384,0))</f>
        <v>1</v>
      </c>
      <c r="H12" s="21" cm="1">
        <f t="array" aca="1" ref="H12" ca="1">INDEX(Master!$H$2:'Master'!$H$4384,MATCH($A12&amp;H$2,Master!$A$2:'Master'!$A$4384&amp;Master!$C$2:'Master'!$C$4384,0))</f>
        <v>0</v>
      </c>
      <c r="I12" s="21" cm="1">
        <f t="array" aca="1" ref="I12" ca="1">INDEX(Master!$H$2:'Master'!$H$4384,MATCH($A12&amp;I$2,Master!$A$2:'Master'!$A$4384&amp;Master!$C$2:'Master'!$C$4384,0))</f>
        <v>-1</v>
      </c>
      <c r="J12" s="21" cm="1">
        <f t="array" aca="1" ref="J12" ca="1">INDEX(Master!$H$2:'Master'!$H$4384,MATCH($A12&amp;J$2,Master!$A$2:'Master'!$A$4384&amp;Master!$C$2:'Master'!$C$4384,0))</f>
        <v>1</v>
      </c>
      <c r="K12" s="21" cm="1">
        <f t="array" aca="1" ref="K12" ca="1">INDEX(Master!$H$2:'Master'!$H$4384,MATCH($A12&amp;K$2,Master!$A$2:'Master'!$A$4384&amp;Master!$C$2:'Master'!$C$4384,0))</f>
        <v>2</v>
      </c>
      <c r="L12" s="21" cm="1">
        <f t="array" aca="1" ref="L12" ca="1">INDEX(Master!$H$2:'Master'!$H$4384,MATCH($A12&amp;L$2,Master!$A$2:'Master'!$A$4384&amp;Master!$C$2:'Master'!$C$4384,0))</f>
        <v>2</v>
      </c>
      <c r="M12" s="21" cm="1">
        <f t="array" aca="1" ref="M12" ca="1">INDEX(Master!$H$2:'Master'!$H$4384,MATCH($A12&amp;M$2,Master!$A$2:'Master'!$A$4384&amp;Master!$C$2:'Master'!$C$4384,0))</f>
        <v>-2</v>
      </c>
      <c r="N12" s="21" cm="1">
        <f t="array" aca="1" ref="N12" ca="1">INDEX(Master!$H$2:'Master'!$H$4384,MATCH($A12&amp;N$2,Master!$A$2:'Master'!$A$4384&amp;Master!$C$2:'Master'!$C$4384,0))</f>
        <v>-1</v>
      </c>
      <c r="O12" s="21" cm="1">
        <f t="array" aca="1" ref="O12" ca="1">INDEX(Master!$H$2:'Master'!$H$4384,MATCH($A12&amp;O$2,Master!$A$2:'Master'!$A$4384&amp;Master!$C$2:'Master'!$C$4384,0))</f>
        <v>1</v>
      </c>
      <c r="P12" s="21" cm="1">
        <f t="array" aca="1" ref="P12" ca="1">INDEX(Master!$H$2:'Master'!$H$4384,MATCH($A12&amp;P$2,Master!$A$2:'Master'!$A$4384&amp;Master!$C$2:'Master'!$C$4384,0))</f>
        <v>1</v>
      </c>
      <c r="Q12" s="21" cm="1">
        <f t="array" aca="1" ref="Q12" ca="1">INDEX(Master!$H$2:'Master'!$H$4384,MATCH($A12&amp;Q$2,Master!$A$2:'Master'!$A$4384&amp;Master!$C$2:'Master'!$C$4384,0))</f>
        <v>1</v>
      </c>
      <c r="R12" s="21" cm="1">
        <f t="array" aca="1" ref="R12" ca="1">INDEX(Master!$H$2:'Master'!$H$4384,MATCH($A12&amp;R$2,Master!$A$2:'Master'!$A$4384&amp;Master!$C$2:'Master'!$C$4384,0))</f>
        <v>0</v>
      </c>
      <c r="S12" s="21" cm="1">
        <f t="array" aca="1" ref="S12" ca="1">INDEX(Master!$H$2:'Master'!$H$4384,MATCH($A12&amp;S$2,Master!$A$2:'Master'!$A$4384&amp;Master!$C$2:'Master'!$C$4384,0))</f>
        <v>0</v>
      </c>
      <c r="T12" s="21" cm="1">
        <f t="array" aca="1" ref="T12" ca="1">INDEX(Master!$H$2:'Master'!$H$4384,MATCH($A12&amp;T$2,Master!$A$2:'Master'!$A$4384&amp;Master!$C$2:'Master'!$C$4384,0))</f>
        <v>1</v>
      </c>
      <c r="U12" s="21" cm="1">
        <f t="array" aca="1" ref="U12" ca="1">INDEX(Master!$H$2:'Master'!$H$4384,MATCH($A12&amp;U$2,Master!$A$2:'Master'!$A$4384&amp;Master!$C$2:'Master'!$C$4384,0))</f>
        <v>3</v>
      </c>
      <c r="V12" s="21" cm="1">
        <f t="array" aca="1" ref="V12" ca="1">INDEX(Master!$H$2:'Master'!$H$4384,MATCH($A12&amp;V$2,Master!$A$2:'Master'!$A$4384&amp;Master!$C$2:'Master'!$C$4384,0))</f>
        <v>1</v>
      </c>
      <c r="W12" s="21" cm="1">
        <f t="array" aca="1" ref="W12" ca="1">INDEX(Master!$H$2:'Master'!$H$4384,MATCH($A12&amp;W$2,Master!$A$2:'Master'!$A$4384&amp;Master!$C$2:'Master'!$C$4384,0))</f>
        <v>2</v>
      </c>
      <c r="X12" s="21" cm="1">
        <f t="array" aca="1" ref="X12" ca="1">INDEX(Master!$H$2:'Master'!$H$4384,MATCH($A12&amp;X$2,Master!$A$2:'Master'!$A$4384&amp;Master!$C$2:'Master'!$C$4384,0))</f>
        <v>0</v>
      </c>
      <c r="Y12" s="21" cm="1">
        <f t="array" aca="1" ref="Y12" ca="1">INDEX(Master!$H$2:'Master'!$H$4384,MATCH($A12&amp;Y$2,Master!$A$2:'Master'!$A$4384&amp;Master!$C$2:'Master'!$C$4384,0))</f>
        <v>0</v>
      </c>
      <c r="Z12" s="21" cm="1">
        <f t="array" aca="1" ref="Z12" ca="1">INDEX(Master!$H$2:'Master'!$H$4384,MATCH($A12&amp;Z$2,Master!$A$2:'Master'!$A$4384&amp;Master!$C$2:'Master'!$C$4384,0))</f>
        <v>-1</v>
      </c>
      <c r="AA12" s="21" cm="1">
        <f t="array" aca="1" ref="AA12" ca="1">INDEX(Master!$H$2:'Master'!$H$4384,MATCH($A12&amp;AA$2,Master!$A$2:'Master'!$A$4384&amp;Master!$C$2:'Master'!$C$4384,0))</f>
        <v>0</v>
      </c>
      <c r="AB12" s="21" cm="1">
        <f t="array" aca="1" ref="AB12" ca="1">INDEX(Master!$H$2:'Master'!$H$4384,MATCH($A12&amp;AB$2,Master!$A$2:'Master'!$A$4384&amp;Master!$C$2:'Master'!$C$4384,0))</f>
        <v>1</v>
      </c>
      <c r="AC12" s="21" cm="1">
        <f t="array" aca="1" ref="AC12" ca="1">INDEX(Master!$H$2:'Master'!$H$4384,MATCH($A12&amp;AC$2,Master!$A$2:'Master'!$A$4384&amp;Master!$C$2:'Master'!$C$4384,0))</f>
        <v>1</v>
      </c>
      <c r="AD12" s="21" cm="1">
        <f t="array" aca="1" ref="AD12" ca="1">INDEX(Master!$H$2:'Master'!$H$4384,MATCH($A12&amp;AD$2,Master!$A$2:'Master'!$A$4384&amp;Master!$C$2:'Master'!$C$4384,0))</f>
        <v>1</v>
      </c>
      <c r="AE12" s="21" cm="1">
        <f t="array" aca="1" ref="AE12" ca="1">INDEX(Master!$H$2:'Master'!$H$4384,MATCH($A12&amp;AE$2,Master!$A$2:'Master'!$A$4384&amp;Master!$C$2:'Master'!$C$4384,0))</f>
        <v>3</v>
      </c>
      <c r="AF12" s="21" cm="1">
        <f t="array" aca="1" ref="AF12" ca="1">INDEX(Master!$H$2:'Master'!$H$4384,MATCH($A12&amp;AF$2,Master!$A$2:'Master'!$A$4384&amp;Master!$C$2:'Master'!$C$4384,0))</f>
        <v>1</v>
      </c>
      <c r="AG12" s="21" cm="1">
        <f t="array" aca="1" ref="AG12" ca="1">INDEX(Master!$H$2:'Master'!$H$4384,MATCH($A12&amp;AG$2,Master!$A$2:'Master'!$A$4384&amp;Master!$C$2:'Master'!$C$4384,0))</f>
        <v>1</v>
      </c>
      <c r="AH12" s="21" cm="1">
        <f t="array" aca="1" ref="AH12" ca="1">INDEX(Master!$H$2:'Master'!$H$4384,MATCH($A12&amp;AH$2,Master!$A$2:'Master'!$A$4384&amp;Master!$C$2:'Master'!$C$4384,0))</f>
        <v>2</v>
      </c>
      <c r="AI12" s="21" cm="1">
        <f t="array" aca="1" ref="AI12" ca="1">INDEX(Master!$H$2:'Master'!$H$4384,MATCH($A12&amp;AI$2,Master!$A$2:'Master'!$A$4384&amp;Master!$C$2:'Master'!$C$4384,0))</f>
        <v>1</v>
      </c>
      <c r="AJ12" s="21" cm="1">
        <f t="array" aca="1" ref="AJ12" ca="1">INDEX(Master!$H$2:'Master'!$H$4384,MATCH($A12&amp;AJ$2,Master!$A$2:'Master'!$A$4384&amp;Master!$C$2:'Master'!$C$4384,0))</f>
        <v>4</v>
      </c>
      <c r="AK12" s="21" cm="1">
        <f t="array" aca="1" ref="AK12" ca="1">INDEX(Master!$H$2:'Master'!$H$4384,MATCH($A12&amp;AK$2,Master!$A$2:'Master'!$A$4384&amp;Master!$C$2:'Master'!$C$4384,0))</f>
        <v>1</v>
      </c>
      <c r="AL12" s="21" cm="1">
        <f t="array" aca="1" ref="AL12" ca="1">INDEX(Master!$H$2:'Master'!$H$4384,MATCH($A12&amp;AL$2,Master!$A$2:'Master'!$A$4384&amp;Master!$C$2:'Master'!$C$4384,0))</f>
        <v>0</v>
      </c>
      <c r="AM12" s="21" cm="1">
        <f t="array" aca="1" ref="AM12" ca="1">INDEX(Master!$H$2:'Master'!$H$4384,MATCH($A12&amp;AM$2,Master!$A$2:'Master'!$A$4384&amp;Master!$C$2:'Master'!$C$4384,0))</f>
        <v>2</v>
      </c>
      <c r="AN12" s="21" cm="1">
        <f t="array" aca="1" ref="AN12" ca="1">INDEX(Master!$H$2:'Master'!$H$4384,MATCH($A12&amp;AN$2,Master!$A$2:'Master'!$A$4384&amp;Master!$C$2:'Master'!$C$4384,0))</f>
        <v>1</v>
      </c>
      <c r="AO12" s="21" cm="1">
        <f t="array" aca="1" ref="AO12" ca="1">INDEX(Master!$H$2:'Master'!$H$4384,MATCH($A12&amp;AO$2,Master!$A$2:'Master'!$A$4384&amp;Master!$C$2:'Master'!$C$4384,0))</f>
        <v>1</v>
      </c>
      <c r="AP12" s="21" cm="1">
        <f t="array" aca="1" ref="AP12" ca="1">INDEX(Master!$H$2:'Master'!$H$4384,MATCH($A12&amp;AP$2,Master!$A$2:'Master'!$A$4384&amp;Master!$C$2:'Master'!$C$4384,0))</f>
        <v>2</v>
      </c>
      <c r="AQ12" s="21" cm="1">
        <f t="array" aca="1" ref="AQ12" ca="1">INDEX(Master!$H$2:'Master'!$H$4384,MATCH($A12&amp;AQ$2,Master!$A$2:'Master'!$A$4384&amp;Master!$C$2:'Master'!$C$4384,0))</f>
        <v>1</v>
      </c>
      <c r="AR12" s="21" cm="1">
        <f t="array" aca="1" ref="AR12" ca="1">INDEX(Master!$H$2:'Master'!$H$4384,MATCH($A12&amp;AR$2,Master!$A$2:'Master'!$A$4384&amp;Master!$C$2:'Master'!$C$4384,0))</f>
        <v>1</v>
      </c>
      <c r="AS12" s="21" cm="1">
        <f t="array" aca="1" ref="AS12" ca="1">INDEX(Master!$H$2:'Master'!$H$4384,MATCH($A12&amp;AS$2,Master!$A$2:'Master'!$A$4384&amp;Master!$C$2:'Master'!$C$4384,0))</f>
        <v>1</v>
      </c>
      <c r="AT12" s="21" cm="1">
        <f t="array" aca="1" ref="AT12" ca="1">INDEX(Master!$H$2:'Master'!$H$4384,MATCH($A12&amp;AT$2,Master!$A$2:'Master'!$A$4384&amp;Master!$C$2:'Master'!$C$4384,0))</f>
        <v>0</v>
      </c>
      <c r="AU12" s="21" cm="1">
        <f t="array" aca="1" ref="AU12" ca="1">INDEX(Master!$H$2:'Master'!$H$4384,MATCH($A12&amp;AU$2,Master!$A$2:'Master'!$A$4384&amp;Master!$C$2:'Master'!$C$4384,0))</f>
        <v>1</v>
      </c>
      <c r="AV12" s="21" cm="1">
        <f t="array" aca="1" ref="AV12" ca="1">INDEX(Master!$H$2:'Master'!$H$4384,MATCH($A12&amp;AV$2,Master!$A$2:'Master'!$A$4384&amp;Master!$C$2:'Master'!$C$4384,0))</f>
        <v>2</v>
      </c>
      <c r="AW12" s="21" cm="1">
        <f t="array" aca="1" ref="AW12" ca="1">INDEX(Master!$H$2:'Master'!$H$4384,MATCH($A12&amp;AW$2,Master!$A$2:'Master'!$A$4384&amp;Master!$C$2:'Master'!$C$4384,0))</f>
        <v>2</v>
      </c>
      <c r="AX12" s="21" cm="1">
        <f t="array" aca="1" ref="AX12" ca="1">INDEX(Master!$H$2:'Master'!$H$4384,MATCH($A12&amp;AX$2,Master!$A$2:'Master'!$A$4384&amp;Master!$C$2:'Master'!$C$4384,0))</f>
        <v>4</v>
      </c>
      <c r="AY12" s="21" cm="1">
        <f t="array" aca="1" ref="AY12" ca="1">INDEX(Master!$H$2:'Master'!$H$4384,MATCH($A12&amp;AY$2,Master!$A$2:'Master'!$A$4384&amp;Master!$C$2:'Master'!$C$4384,0))</f>
        <v>2</v>
      </c>
      <c r="AZ12" s="21" cm="1">
        <f t="array" aca="1" ref="AZ12" ca="1">INDEX(Master!$H$2:'Master'!$H$4384,MATCH($A12&amp;AZ$2,Master!$A$2:'Master'!$A$4384&amp;Master!$C$2:'Master'!$C$4384,0))</f>
        <v>1</v>
      </c>
      <c r="BA12" s="21" cm="1">
        <f t="array" aca="1" ref="BA12" ca="1">INDEX(Master!$H$2:'Master'!$H$4384,MATCH($A12&amp;BA$2,Master!$A$2:'Master'!$A$4384&amp;Master!$C$2:'Master'!$C$4384,0))</f>
        <v>4</v>
      </c>
      <c r="BB12" s="21" cm="1">
        <f t="array" aca="1" ref="BB12" ca="1">INDEX(Master!$H$2:'Master'!$H$4384,MATCH($A12&amp;BB$2,Master!$A$2:'Master'!$A$4384&amp;Master!$C$2:'Master'!$C$4384,0))</f>
        <v>2</v>
      </c>
      <c r="BC12" s="21" cm="1">
        <f t="array" aca="1" ref="BC12" ca="1">INDEX(Master!$H$2:'Master'!$H$4384,MATCH($A12&amp;BC$2,Master!$A$2:'Master'!$A$4384&amp;Master!$C$2:'Master'!$C$4384,0))</f>
        <v>3</v>
      </c>
      <c r="BD12" s="21" cm="1">
        <f t="array" aca="1" ref="BD12" ca="1">INDEX(Master!$H$2:'Master'!$H$4384,MATCH($A12&amp;BD$2,Master!$A$2:'Master'!$A$4384&amp;Master!$C$2:'Master'!$C$4384,0))</f>
        <v>1</v>
      </c>
      <c r="BE12" s="21" cm="1">
        <f t="array" aca="1" ref="BE12" ca="1">INDEX(Master!$H$2:'Master'!$H$4384,MATCH($A12&amp;BE$2,Master!$A$2:'Master'!$A$4384&amp;Master!$C$2:'Master'!$C$4384,0))</f>
        <v>0</v>
      </c>
      <c r="BF12" s="21" cm="1">
        <f t="array" aca="1" ref="BF12" ca="1">INDEX(Master!$H$2:'Master'!$H$4384,MATCH($A12&amp;BF$2,Master!$A$2:'Master'!$A$4384&amp;Master!$C$2:'Master'!$C$4384,0))</f>
        <v>-2</v>
      </c>
      <c r="BG12" s="21" cm="1">
        <f t="array" aca="1" ref="BG12" ca="1">INDEX(Master!$H$2:'Master'!$H$4384,MATCH($A12&amp;BG$2,Master!$A$2:'Master'!$A$4384&amp;Master!$C$2:'Master'!$C$4384,0))</f>
        <v>-2</v>
      </c>
      <c r="BH12" s="21" cm="1">
        <f t="array" aca="1" ref="BH12" ca="1">INDEX(Master!$H$2:'Master'!$H$4384,MATCH($A12&amp;BH$2,Master!$A$2:'Master'!$A$4384&amp;Master!$C$2:'Master'!$C$4384,0))</f>
        <v>-1</v>
      </c>
      <c r="BI12" s="21" cm="1">
        <f t="array" aca="1" ref="BI12" ca="1">INDEX(Master!$H$2:'Master'!$H$4384,MATCH($A12&amp;BI$2,Master!$A$2:'Master'!$A$4384&amp;Master!$C$2:'Master'!$C$4384,0))</f>
        <v>0</v>
      </c>
      <c r="BJ12" s="21" cm="1">
        <f t="array" aca="1" ref="BJ12" ca="1">INDEX(Master!$H$2:'Master'!$H$4384,MATCH($A12&amp;BJ$2,Master!$A$2:'Master'!$A$4384&amp;Master!$C$2:'Master'!$C$4384,0))</f>
        <v>0</v>
      </c>
      <c r="BK12" s="21" cm="1">
        <f t="array" aca="1" ref="BK12" ca="1">INDEX(Master!$H$2:'Master'!$H$4384,MATCH($A12&amp;BK$2,Master!$A$2:'Master'!$A$4384&amp;Master!$C$2:'Master'!$C$4384,0))</f>
        <v>3</v>
      </c>
      <c r="BL12" s="21" cm="1">
        <f t="array" aca="1" ref="BL12" ca="1">INDEX(Master!$H$2:'Master'!$H$4384,MATCH($A12&amp;BL$2,Master!$A$2:'Master'!$A$4384&amp;Master!$C$2:'Master'!$C$4384,0))</f>
        <v>3</v>
      </c>
      <c r="BM12" s="21" cm="1">
        <f t="array" aca="1" ref="BM12" ca="1">INDEX(Master!$H$2:'Master'!$H$4384,MATCH($A12&amp;BM$2,Master!$A$2:'Master'!$A$4384&amp;Master!$C$2:'Master'!$C$4384,0))</f>
        <v>-1</v>
      </c>
      <c r="BN12" s="21" cm="1">
        <f t="array" aca="1" ref="BN12" ca="1">INDEX(Master!$H$2:'Master'!$H$4384,MATCH($A12&amp;BN$2,Master!$A$2:'Master'!$A$4384&amp;Master!$C$2:'Master'!$C$4384,0))</f>
        <v>1</v>
      </c>
      <c r="BO12" s="21" cm="1">
        <f t="array" aca="1" ref="BO12" ca="1">INDEX(Master!$H$2:'Master'!$H$4384,MATCH($A12&amp;BO$2,Master!$A$2:'Master'!$A$4384&amp;Master!$C$2:'Master'!$C$4384,0))</f>
        <v>0</v>
      </c>
      <c r="BP12" s="21" cm="1">
        <f t="array" aca="1" ref="BP12" ca="1">INDEX(Master!$H$2:'Master'!$H$4384,MATCH($A12&amp;BP$2,Master!$A$2:'Master'!$A$4384&amp;Master!$C$2:'Master'!$C$4384,0))</f>
        <v>-1</v>
      </c>
      <c r="BQ12" s="21" cm="1">
        <f t="array" aca="1" ref="BQ12" ca="1">INDEX(Master!$H$2:'Master'!$H$4384,MATCH($A12&amp;BQ$2,Master!$A$2:'Master'!$A$4384&amp;Master!$C$2:'Master'!$C$4384,0))</f>
        <v>-2</v>
      </c>
      <c r="BR12" s="21" cm="1">
        <f t="array" aca="1" ref="BR12" ca="1">INDEX(Master!$H$2:'Master'!$H$4384,MATCH($A12&amp;BR$2,Master!$A$2:'Master'!$A$4384&amp;Master!$C$2:'Master'!$C$4384,0))</f>
        <v>1</v>
      </c>
      <c r="BS12" s="21" cm="1">
        <f t="array" aca="1" ref="BS12" ca="1">INDEX(Master!$H$2:'Master'!$H$4384,MATCH($A12&amp;BS$2,Master!$A$2:'Master'!$A$4384&amp;Master!$C$2:'Master'!$C$4384,0))</f>
        <v>1</v>
      </c>
      <c r="BT12" s="21" cm="1">
        <f t="array" aca="1" ref="BT12" ca="1">INDEX(Master!$H$2:'Master'!$H$4384,MATCH($A12&amp;BT$2,Master!$A$2:'Master'!$A$4384&amp;Master!$C$2:'Master'!$C$4384,0))</f>
        <v>-1</v>
      </c>
      <c r="BU12" s="21" cm="1">
        <f t="array" aca="1" ref="BU12" ca="1">INDEX(Master!$H$2:'Master'!$H$4384,MATCH($A12&amp;BU$2,Master!$A$2:'Master'!$A$4384&amp;Master!$C$2:'Master'!$C$4384,0))</f>
        <v>-2</v>
      </c>
      <c r="BV12" s="21" cm="1">
        <f t="array" aca="1" ref="BV12" ca="1">INDEX(Master!$H$2:'Master'!$H$4384,MATCH($A12&amp;BV$2,Master!$A$2:'Master'!$A$4384&amp;Master!$C$2:'Master'!$C$4384,0))</f>
        <v>-2</v>
      </c>
      <c r="BW12" s="21" cm="1">
        <f t="array" aca="1" ref="BW12" ca="1">INDEX(Master!$H$2:'Master'!$H$4384,MATCH($A12&amp;BW$2,Master!$A$2:'Master'!$A$4384&amp;Master!$C$2:'Master'!$C$4384,0))</f>
        <v>-2</v>
      </c>
      <c r="BX12" s="21" cm="1">
        <f t="array" aca="1" ref="BX12" ca="1">INDEX(Master!$H$2:'Master'!$H$4384,MATCH($A12&amp;BX$2,Master!$A$2:'Master'!$A$4384&amp;Master!$C$2:'Master'!$C$4384,0))</f>
        <v>-2</v>
      </c>
      <c r="BY12" s="21" cm="1">
        <f t="array" aca="1" ref="BY12" ca="1">INDEX(Master!$H$2:'Master'!$H$4384,MATCH($A12&amp;BY$2,Master!$A$2:'Master'!$A$4384&amp;Master!$C$2:'Master'!$C$4384,0))</f>
        <v>-1</v>
      </c>
      <c r="BZ12" s="21" cm="1">
        <f t="array" aca="1" ref="BZ12" ca="1">INDEX(Master!$H$2:'Master'!$H$4384,MATCH($A12&amp;BZ$2,Master!$A$2:'Master'!$A$4384&amp;Master!$C$2:'Master'!$C$4384,0))</f>
        <v>0</v>
      </c>
      <c r="CA12" s="21" cm="1">
        <f t="array" aca="1" ref="CA12" ca="1">INDEX(Master!$H$2:'Master'!$H$4384,MATCH($A12&amp;CA$2,Master!$A$2:'Master'!$A$4384&amp;Master!$C$2:'Master'!$C$4384,0))</f>
        <v>0</v>
      </c>
      <c r="CB12" s="21" cm="1">
        <f t="array" aca="1" ref="CB12" ca="1">INDEX(Master!$H$2:'Master'!$H$4384,MATCH($A12&amp;CB$2,Master!$A$2:'Master'!$A$4384&amp;Master!$C$2:'Master'!$C$4384,0))</f>
        <v>3</v>
      </c>
      <c r="CC12" s="21" cm="1">
        <f t="array" aca="1" ref="CC12" ca="1">INDEX(Master!$H$2:'Master'!$H$4384,MATCH($A12&amp;CC$2,Master!$A$2:'Master'!$A$4384&amp;Master!$C$2:'Master'!$C$4384,0))</f>
        <v>3</v>
      </c>
      <c r="CD12" s="21" cm="1">
        <f t="array" aca="1" ref="CD12" ca="1">INDEX(Master!$H$2:'Master'!$H$4384,MATCH($A12&amp;CD$2,Master!$A$2:'Master'!$A$4384&amp;Master!$C$2:'Master'!$C$4384,0))</f>
        <v>-1</v>
      </c>
      <c r="CE12" s="21" cm="1">
        <f t="array" aca="1" ref="CE12" ca="1">INDEX(Master!$H$2:'Master'!$H$4384,MATCH($A12&amp;CE$2,Master!$A$2:'Master'!$A$4384&amp;Master!$C$2:'Master'!$C$4384,0))</f>
        <v>1</v>
      </c>
      <c r="CF12" s="21" cm="1">
        <f t="array" aca="1" ref="CF12" ca="1">INDEX(Master!$H$2:'Master'!$H$4384,MATCH($A12&amp;CF$2,Master!$A$2:'Master'!$A$4384&amp;Master!$C$2:'Master'!$C$4384,0))</f>
        <v>1</v>
      </c>
      <c r="CG12" s="21" cm="1">
        <f t="array" aca="1" ref="CG12" ca="1">INDEX(Master!$H$2:'Master'!$H$4384,MATCH($A12&amp;CG$2,Master!$A$2:'Master'!$A$4384&amp;Master!$C$2:'Master'!$C$4384,0))</f>
        <v>2</v>
      </c>
      <c r="CH12" s="21" cm="1">
        <f t="array" aca="1" ref="CH12" ca="1">INDEX(Master!$H$2:'Master'!$H$4384,MATCH($A12&amp;CH$2,Master!$A$2:'Master'!$A$4384&amp;Master!$C$2:'Master'!$C$4384,0))</f>
        <v>0</v>
      </c>
      <c r="CI12" s="21" cm="1">
        <f t="array" aca="1" ref="CI12" ca="1">INDEX(Master!$H$2:'Master'!$H$4384,MATCH($A12&amp;CI$2,Master!$A$2:'Master'!$A$4384&amp;Master!$C$2:'Master'!$C$4384,0))</f>
        <v>1</v>
      </c>
      <c r="CJ12" s="21" cm="1">
        <f t="array" aca="1" ref="CJ12" ca="1">INDEX(Master!$H$2:'Master'!$H$4384,MATCH($A12&amp;CJ$2,Master!$A$2:'Master'!$A$4384&amp;Master!$C$2:'Master'!$C$4384,0))</f>
        <v>0</v>
      </c>
      <c r="CK12" s="21" cm="1">
        <f t="array" aca="1" ref="CK12" ca="1">INDEX(Master!$H$2:'Master'!$H$4384,MATCH($A12&amp;CK$2,Master!$A$2:'Master'!$A$4384&amp;Master!$C$2:'Master'!$C$4384,0))</f>
        <v>-1</v>
      </c>
      <c r="CL12" s="21" cm="1">
        <f t="array" aca="1" ref="CL12" ca="1">INDEX(Master!$H$2:'Master'!$H$4384,MATCH($A12&amp;CL$2,Master!$A$2:'Master'!$A$4384&amp;Master!$C$2:'Master'!$C$4384,0))</f>
        <v>1</v>
      </c>
      <c r="CM12" s="21" cm="1">
        <f t="array" aca="1" ref="CM12" ca="1">INDEX(Master!$H$2:'Master'!$H$4384,MATCH($A12&amp;CM$2,Master!$A$2:'Master'!$A$4384&amp;Master!$C$2:'Master'!$C$4384,0))</f>
        <v>1</v>
      </c>
      <c r="CN12" s="21" cm="1">
        <f t="array" aca="1" ref="CN12" ca="1">INDEX(Master!$H$2:'Master'!$H$4384,MATCH($A12&amp;CN$2,Master!$A$2:'Master'!$A$4384&amp;Master!$C$2:'Master'!$C$4384,0))</f>
        <v>0</v>
      </c>
      <c r="CO12" s="21" cm="1">
        <f t="array" aca="1" ref="CO12" ca="1">INDEX(Master!$H$2:'Master'!$H$4384,MATCH($A12&amp;CO$2,Master!$A$2:'Master'!$A$4384&amp;Master!$C$2:'Master'!$C$4384,0))</f>
        <v>0</v>
      </c>
      <c r="CP12" s="21" cm="1">
        <f t="array" aca="1" ref="CP12" ca="1">INDEX(Master!$H$2:'Master'!$H$4384,MATCH($A12&amp;CP$2,Master!$A$2:'Master'!$A$4384&amp;Master!$C$2:'Master'!$C$4384,0))</f>
        <v>1</v>
      </c>
      <c r="CQ12" s="21" cm="1">
        <f t="array" aca="1" ref="CQ12" ca="1">INDEX(Master!$H$2:'Master'!$H$4384,MATCH($A12&amp;CQ$2,Master!$A$2:'Master'!$A$4384&amp;Master!$C$2:'Master'!$C$4384,0))</f>
        <v>1</v>
      </c>
      <c r="CR12" s="21" cm="1">
        <f t="array" aca="1" ref="CR12" ca="1">INDEX(Master!$H$2:'Master'!$H$4384,MATCH($A12&amp;CR$2,Master!$A$2:'Master'!$A$4384&amp;Master!$C$2:'Master'!$C$4384,0))</f>
        <v>1</v>
      </c>
      <c r="CS12" s="21" cm="1">
        <f t="array" aca="1" ref="CS12" ca="1">INDEX(Master!$H$2:'Master'!$H$4384,MATCH($A12&amp;CS$2,Master!$A$2:'Master'!$A$4384&amp;Master!$C$2:'Master'!$C$4384,0))</f>
        <v>1</v>
      </c>
    </row>
    <row r="13" spans="1:97">
      <c r="A13" s="22" t="str">
        <f>VLOOKUP(Staff!$A10,Staff!$A$1:A$73,1,FALSE)</f>
        <v>Jackson Brodie</v>
      </c>
      <c r="B13" s="21" cm="1">
        <f t="array" aca="1" ref="B13" ca="1">INDEX(Master!$H$2:'Master'!$H$4384,MATCH($A13&amp;B$2,Master!$A$2:'Master'!$A$4384&amp;Master!$C$2:'Master'!$C$4384,0))</f>
        <v>0</v>
      </c>
      <c r="C13" s="21" cm="1">
        <f t="array" aca="1" ref="C13" ca="1">INDEX(Master!$H$2:'Master'!$H$4384,MATCH($A13&amp;C$2,Master!$A$2:'Master'!$A$4384&amp;Master!$C$2:'Master'!$C$4384,0))</f>
        <v>0</v>
      </c>
      <c r="D13" s="21" cm="1">
        <f t="array" aca="1" ref="D13" ca="1">INDEX(Master!$H$2:'Master'!$H$4384,MATCH($A13&amp;D$2,Master!$A$2:'Master'!$A$4384&amp;Master!$C$2:'Master'!$C$4384,0))</f>
        <v>0</v>
      </c>
      <c r="E13" s="21" cm="1">
        <f t="array" aca="1" ref="E13" ca="1">INDEX(Master!$H$2:'Master'!$H$4384,MATCH($A13&amp;E$2,Master!$A$2:'Master'!$A$4384&amp;Master!$C$2:'Master'!$C$4384,0))</f>
        <v>0</v>
      </c>
      <c r="F13" s="21" cm="1">
        <f t="array" aca="1" ref="F13" ca="1">INDEX(Master!$H$2:'Master'!$H$4384,MATCH($A13&amp;F$2,Master!$A$2:'Master'!$A$4384&amp;Master!$C$2:'Master'!$C$4384,0))</f>
        <v>0</v>
      </c>
      <c r="G13" s="21" cm="1">
        <f t="array" aca="1" ref="G13" ca="1">INDEX(Master!$H$2:'Master'!$H$4384,MATCH($A13&amp;G$2,Master!$A$2:'Master'!$A$4384&amp;Master!$C$2:'Master'!$C$4384,0))</f>
        <v>1</v>
      </c>
      <c r="H13" s="21" cm="1">
        <f t="array" aca="1" ref="H13" ca="1">INDEX(Master!$H$2:'Master'!$H$4384,MATCH($A13&amp;H$2,Master!$A$2:'Master'!$A$4384&amp;Master!$C$2:'Master'!$C$4384,0))</f>
        <v>-1</v>
      </c>
      <c r="I13" s="21" cm="1">
        <f t="array" aca="1" ref="I13" ca="1">INDEX(Master!$H$2:'Master'!$H$4384,MATCH($A13&amp;I$2,Master!$A$2:'Master'!$A$4384&amp;Master!$C$2:'Master'!$C$4384,0))</f>
        <v>0</v>
      </c>
      <c r="J13" s="21" cm="1">
        <f t="array" aca="1" ref="J13" ca="1">INDEX(Master!$H$2:'Master'!$H$4384,MATCH($A13&amp;J$2,Master!$A$2:'Master'!$A$4384&amp;Master!$C$2:'Master'!$C$4384,0))</f>
        <v>-1</v>
      </c>
      <c r="K13" s="21" cm="1">
        <f t="array" aca="1" ref="K13" ca="1">INDEX(Master!$H$2:'Master'!$H$4384,MATCH($A13&amp;K$2,Master!$A$2:'Master'!$A$4384&amp;Master!$C$2:'Master'!$C$4384,0))</f>
        <v>0</v>
      </c>
      <c r="L13" s="21" cm="1">
        <f t="array" aca="1" ref="L13" ca="1">INDEX(Master!$H$2:'Master'!$H$4384,MATCH($A13&amp;L$2,Master!$A$2:'Master'!$A$4384&amp;Master!$C$2:'Master'!$C$4384,0))</f>
        <v>-2</v>
      </c>
      <c r="M13" s="21" cm="1">
        <f t="array" aca="1" ref="M13" ca="1">INDEX(Master!$H$2:'Master'!$H$4384,MATCH($A13&amp;M$2,Master!$A$2:'Master'!$A$4384&amp;Master!$C$2:'Master'!$C$4384,0))</f>
        <v>-2</v>
      </c>
      <c r="N13" s="21" cm="1">
        <f t="array" aca="1" ref="N13" ca="1">INDEX(Master!$H$2:'Master'!$H$4384,MATCH($A13&amp;N$2,Master!$A$2:'Master'!$A$4384&amp;Master!$C$2:'Master'!$C$4384,0))</f>
        <v>-2</v>
      </c>
      <c r="O13" s="21" cm="1">
        <f t="array" aca="1" ref="O13" ca="1">INDEX(Master!$H$2:'Master'!$H$4384,MATCH($A13&amp;O$2,Master!$A$2:'Master'!$A$4384&amp;Master!$C$2:'Master'!$C$4384,0))</f>
        <v>-1</v>
      </c>
      <c r="P13" s="21" cm="1">
        <f t="array" aca="1" ref="P13" ca="1">INDEX(Master!$H$2:'Master'!$H$4384,MATCH($A13&amp;P$2,Master!$A$2:'Master'!$A$4384&amp;Master!$C$2:'Master'!$C$4384,0))</f>
        <v>-1</v>
      </c>
      <c r="Q13" s="21" cm="1">
        <f t="array" aca="1" ref="Q13" ca="1">INDEX(Master!$H$2:'Master'!$H$4384,MATCH($A13&amp;Q$2,Master!$A$2:'Master'!$A$4384&amp;Master!$C$2:'Master'!$C$4384,0))</f>
        <v>0</v>
      </c>
      <c r="R13" s="21" cm="1">
        <f t="array" aca="1" ref="R13" ca="1">INDEX(Master!$H$2:'Master'!$H$4384,MATCH($A13&amp;R$2,Master!$A$2:'Master'!$A$4384&amp;Master!$C$2:'Master'!$C$4384,0))</f>
        <v>1</v>
      </c>
      <c r="S13" s="21" cm="1">
        <f t="array" aca="1" ref="S13" ca="1">INDEX(Master!$H$2:'Master'!$H$4384,MATCH($A13&amp;S$2,Master!$A$2:'Master'!$A$4384&amp;Master!$C$2:'Master'!$C$4384,0))</f>
        <v>0</v>
      </c>
      <c r="T13" s="21" cm="1">
        <f t="array" aca="1" ref="T13" ca="1">INDEX(Master!$H$2:'Master'!$H$4384,MATCH($A13&amp;T$2,Master!$A$2:'Master'!$A$4384&amp;Master!$C$2:'Master'!$C$4384,0))</f>
        <v>1</v>
      </c>
      <c r="U13" s="21" cm="1">
        <f t="array" aca="1" ref="U13" ca="1">INDEX(Master!$H$2:'Master'!$H$4384,MATCH($A13&amp;U$2,Master!$A$2:'Master'!$A$4384&amp;Master!$C$2:'Master'!$C$4384,0))</f>
        <v>-1</v>
      </c>
      <c r="V13" s="21" cm="1">
        <f t="array" aca="1" ref="V13" ca="1">INDEX(Master!$H$2:'Master'!$H$4384,MATCH($A13&amp;V$2,Master!$A$2:'Master'!$A$4384&amp;Master!$C$2:'Master'!$C$4384,0))</f>
        <v>2</v>
      </c>
      <c r="W13" s="21" cm="1">
        <f t="array" aca="1" ref="W13" ca="1">INDEX(Master!$H$2:'Master'!$H$4384,MATCH($A13&amp;W$2,Master!$A$2:'Master'!$A$4384&amp;Master!$C$2:'Master'!$C$4384,0))</f>
        <v>2</v>
      </c>
      <c r="X13" s="21" cm="1">
        <f t="array" aca="1" ref="X13" ca="1">INDEX(Master!$H$2:'Master'!$H$4384,MATCH($A13&amp;X$2,Master!$A$2:'Master'!$A$4384&amp;Master!$C$2:'Master'!$C$4384,0))</f>
        <v>1</v>
      </c>
      <c r="Y13" s="21" cm="1">
        <f t="array" aca="1" ref="Y13" ca="1">INDEX(Master!$H$2:'Master'!$H$4384,MATCH($A13&amp;Y$2,Master!$A$2:'Master'!$A$4384&amp;Master!$C$2:'Master'!$C$4384,0))</f>
        <v>1</v>
      </c>
      <c r="Z13" s="21" cm="1">
        <f t="array" aca="1" ref="Z13" ca="1">INDEX(Master!$H$2:'Master'!$H$4384,MATCH($A13&amp;Z$2,Master!$A$2:'Master'!$A$4384&amp;Master!$C$2:'Master'!$C$4384,0))</f>
        <v>1</v>
      </c>
      <c r="AA13" s="21" cm="1">
        <f t="array" aca="1" ref="AA13" ca="1">INDEX(Master!$H$2:'Master'!$H$4384,MATCH($A13&amp;AA$2,Master!$A$2:'Master'!$A$4384&amp;Master!$C$2:'Master'!$C$4384,0))</f>
        <v>-1</v>
      </c>
      <c r="AB13" s="21" cm="1">
        <f t="array" aca="1" ref="AB13" ca="1">INDEX(Master!$H$2:'Master'!$H$4384,MATCH($A13&amp;AB$2,Master!$A$2:'Master'!$A$4384&amp;Master!$C$2:'Master'!$C$4384,0))</f>
        <v>1</v>
      </c>
      <c r="AC13" s="21" cm="1">
        <f t="array" aca="1" ref="AC13" ca="1">INDEX(Master!$H$2:'Master'!$H$4384,MATCH($A13&amp;AC$2,Master!$A$2:'Master'!$A$4384&amp;Master!$C$2:'Master'!$C$4384,0))</f>
        <v>1</v>
      </c>
      <c r="AD13" s="21" cm="1">
        <f t="array" aca="1" ref="AD13" ca="1">INDEX(Master!$H$2:'Master'!$H$4384,MATCH($A13&amp;AD$2,Master!$A$2:'Master'!$A$4384&amp;Master!$C$2:'Master'!$C$4384,0))</f>
        <v>1</v>
      </c>
      <c r="AE13" s="21" cm="1">
        <f t="array" aca="1" ref="AE13" ca="1">INDEX(Master!$H$2:'Master'!$H$4384,MATCH($A13&amp;AE$2,Master!$A$2:'Master'!$A$4384&amp;Master!$C$2:'Master'!$C$4384,0))</f>
        <v>2</v>
      </c>
      <c r="AF13" s="21" cm="1">
        <f t="array" aca="1" ref="AF13" ca="1">INDEX(Master!$H$2:'Master'!$H$4384,MATCH($A13&amp;AF$2,Master!$A$2:'Master'!$A$4384&amp;Master!$C$2:'Master'!$C$4384,0))</f>
        <v>1</v>
      </c>
      <c r="AG13" s="21" cm="1">
        <f t="array" aca="1" ref="AG13" ca="1">INDEX(Master!$H$2:'Master'!$H$4384,MATCH($A13&amp;AG$2,Master!$A$2:'Master'!$A$4384&amp;Master!$C$2:'Master'!$C$4384,0))</f>
        <v>2</v>
      </c>
      <c r="AH13" s="21" cm="1">
        <f t="array" aca="1" ref="AH13" ca="1">INDEX(Master!$H$2:'Master'!$H$4384,MATCH($A13&amp;AH$2,Master!$A$2:'Master'!$A$4384&amp;Master!$C$2:'Master'!$C$4384,0))</f>
        <v>1</v>
      </c>
      <c r="AI13" s="21" cm="1">
        <f t="array" aca="1" ref="AI13" ca="1">INDEX(Master!$H$2:'Master'!$H$4384,MATCH($A13&amp;AI$2,Master!$A$2:'Master'!$A$4384&amp;Master!$C$2:'Master'!$C$4384,0))</f>
        <v>-1</v>
      </c>
      <c r="AJ13" s="21" cm="1">
        <f t="array" aca="1" ref="AJ13" ca="1">INDEX(Master!$H$2:'Master'!$H$4384,MATCH($A13&amp;AJ$2,Master!$A$2:'Master'!$A$4384&amp;Master!$C$2:'Master'!$C$4384,0))</f>
        <v>1</v>
      </c>
      <c r="AK13" s="21" cm="1">
        <f t="array" aca="1" ref="AK13" ca="1">INDEX(Master!$H$2:'Master'!$H$4384,MATCH($A13&amp;AK$2,Master!$A$2:'Master'!$A$4384&amp;Master!$C$2:'Master'!$C$4384,0))</f>
        <v>2</v>
      </c>
      <c r="AL13" s="21" cm="1">
        <f t="array" aca="1" ref="AL13" ca="1">INDEX(Master!$H$2:'Master'!$H$4384,MATCH($A13&amp;AL$2,Master!$A$2:'Master'!$A$4384&amp;Master!$C$2:'Master'!$C$4384,0))</f>
        <v>2</v>
      </c>
      <c r="AM13" s="21" cm="1">
        <f t="array" aca="1" ref="AM13" ca="1">INDEX(Master!$H$2:'Master'!$H$4384,MATCH($A13&amp;AM$2,Master!$A$2:'Master'!$A$4384&amp;Master!$C$2:'Master'!$C$4384,0))</f>
        <v>3</v>
      </c>
      <c r="AN13" s="21" cm="1">
        <f t="array" aca="1" ref="AN13" ca="1">INDEX(Master!$H$2:'Master'!$H$4384,MATCH($A13&amp;AN$2,Master!$A$2:'Master'!$A$4384&amp;Master!$C$2:'Master'!$C$4384,0))</f>
        <v>1</v>
      </c>
      <c r="AO13" s="21" cm="1">
        <f t="array" aca="1" ref="AO13" ca="1">INDEX(Master!$H$2:'Master'!$H$4384,MATCH($A13&amp;AO$2,Master!$A$2:'Master'!$A$4384&amp;Master!$C$2:'Master'!$C$4384,0))</f>
        <v>1</v>
      </c>
      <c r="AP13" s="21" cm="1">
        <f t="array" aca="1" ref="AP13" ca="1">INDEX(Master!$H$2:'Master'!$H$4384,MATCH($A13&amp;AP$2,Master!$A$2:'Master'!$A$4384&amp;Master!$C$2:'Master'!$C$4384,0))</f>
        <v>1</v>
      </c>
      <c r="AQ13" s="21" cm="1">
        <f t="array" aca="1" ref="AQ13" ca="1">INDEX(Master!$H$2:'Master'!$H$4384,MATCH($A13&amp;AQ$2,Master!$A$2:'Master'!$A$4384&amp;Master!$C$2:'Master'!$C$4384,0))</f>
        <v>2</v>
      </c>
      <c r="AR13" s="21" cm="1">
        <f t="array" aca="1" ref="AR13" ca="1">INDEX(Master!$H$2:'Master'!$H$4384,MATCH($A13&amp;AR$2,Master!$A$2:'Master'!$A$4384&amp;Master!$C$2:'Master'!$C$4384,0))</f>
        <v>1</v>
      </c>
      <c r="AS13" s="21" cm="1">
        <f t="array" aca="1" ref="AS13" ca="1">INDEX(Master!$H$2:'Master'!$H$4384,MATCH($A13&amp;AS$2,Master!$A$2:'Master'!$A$4384&amp;Master!$C$2:'Master'!$C$4384,0))</f>
        <v>1</v>
      </c>
      <c r="AT13" s="21" cm="1">
        <f t="array" aca="1" ref="AT13" ca="1">INDEX(Master!$H$2:'Master'!$H$4384,MATCH($A13&amp;AT$2,Master!$A$2:'Master'!$A$4384&amp;Master!$C$2:'Master'!$C$4384,0))</f>
        <v>2</v>
      </c>
      <c r="AU13" s="21" cm="1">
        <f t="array" aca="1" ref="AU13" ca="1">INDEX(Master!$H$2:'Master'!$H$4384,MATCH($A13&amp;AU$2,Master!$A$2:'Master'!$A$4384&amp;Master!$C$2:'Master'!$C$4384,0))</f>
        <v>1</v>
      </c>
      <c r="AV13" s="21" cm="1">
        <f t="array" aca="1" ref="AV13" ca="1">INDEX(Master!$H$2:'Master'!$H$4384,MATCH($A13&amp;AV$2,Master!$A$2:'Master'!$A$4384&amp;Master!$C$2:'Master'!$C$4384,0))</f>
        <v>1</v>
      </c>
      <c r="AW13" s="21" cm="1">
        <f t="array" aca="1" ref="AW13" ca="1">INDEX(Master!$H$2:'Master'!$H$4384,MATCH($A13&amp;AW$2,Master!$A$2:'Master'!$A$4384&amp;Master!$C$2:'Master'!$C$4384,0))</f>
        <v>1</v>
      </c>
      <c r="AX13" s="21" cm="1">
        <f t="array" aca="1" ref="AX13" ca="1">INDEX(Master!$H$2:'Master'!$H$4384,MATCH($A13&amp;AX$2,Master!$A$2:'Master'!$A$4384&amp;Master!$C$2:'Master'!$C$4384,0))</f>
        <v>2</v>
      </c>
      <c r="AY13" s="21" cm="1">
        <f t="array" aca="1" ref="AY13" ca="1">INDEX(Master!$H$2:'Master'!$H$4384,MATCH($A13&amp;AY$2,Master!$A$2:'Master'!$A$4384&amp;Master!$C$2:'Master'!$C$4384,0))</f>
        <v>0</v>
      </c>
      <c r="AZ13" s="21" cm="1">
        <f t="array" aca="1" ref="AZ13" ca="1">INDEX(Master!$H$2:'Master'!$H$4384,MATCH($A13&amp;AZ$2,Master!$A$2:'Master'!$A$4384&amp;Master!$C$2:'Master'!$C$4384,0))</f>
        <v>2</v>
      </c>
      <c r="BA13" s="21" cm="1">
        <f t="array" aca="1" ref="BA13" ca="1">INDEX(Master!$H$2:'Master'!$H$4384,MATCH($A13&amp;BA$2,Master!$A$2:'Master'!$A$4384&amp;Master!$C$2:'Master'!$C$4384,0))</f>
        <v>2</v>
      </c>
      <c r="BB13" s="21" cm="1">
        <f t="array" aca="1" ref="BB13" ca="1">INDEX(Master!$H$2:'Master'!$H$4384,MATCH($A13&amp;BB$2,Master!$A$2:'Master'!$A$4384&amp;Master!$C$2:'Master'!$C$4384,0))</f>
        <v>2</v>
      </c>
      <c r="BC13" s="21" cm="1">
        <f t="array" aca="1" ref="BC13" ca="1">INDEX(Master!$H$2:'Master'!$H$4384,MATCH($A13&amp;BC$2,Master!$A$2:'Master'!$A$4384&amp;Master!$C$2:'Master'!$C$4384,0))</f>
        <v>1</v>
      </c>
      <c r="BD13" s="21" cm="1">
        <f t="array" aca="1" ref="BD13" ca="1">INDEX(Master!$H$2:'Master'!$H$4384,MATCH($A13&amp;BD$2,Master!$A$2:'Master'!$A$4384&amp;Master!$C$2:'Master'!$C$4384,0))</f>
        <v>3</v>
      </c>
      <c r="BE13" s="21" cm="1">
        <f t="array" aca="1" ref="BE13" ca="1">INDEX(Master!$H$2:'Master'!$H$4384,MATCH($A13&amp;BE$2,Master!$A$2:'Master'!$A$4384&amp;Master!$C$2:'Master'!$C$4384,0))</f>
        <v>2</v>
      </c>
      <c r="BF13" s="21" cm="1">
        <f t="array" aca="1" ref="BF13" ca="1">INDEX(Master!$H$2:'Master'!$H$4384,MATCH($A13&amp;BF$2,Master!$A$2:'Master'!$A$4384&amp;Master!$C$2:'Master'!$C$4384,0))</f>
        <v>0</v>
      </c>
      <c r="BG13" s="21" cm="1">
        <f t="array" aca="1" ref="BG13" ca="1">INDEX(Master!$H$2:'Master'!$H$4384,MATCH($A13&amp;BG$2,Master!$A$2:'Master'!$A$4384&amp;Master!$C$2:'Master'!$C$4384,0))</f>
        <v>1</v>
      </c>
      <c r="BH13" s="21" cm="1">
        <f t="array" aca="1" ref="BH13" ca="1">INDEX(Master!$H$2:'Master'!$H$4384,MATCH($A13&amp;BH$2,Master!$A$2:'Master'!$A$4384&amp;Master!$C$2:'Master'!$C$4384,0))</f>
        <v>-1</v>
      </c>
      <c r="BI13" s="21" cm="1">
        <f t="array" aca="1" ref="BI13" ca="1">INDEX(Master!$H$2:'Master'!$H$4384,MATCH($A13&amp;BI$2,Master!$A$2:'Master'!$A$4384&amp;Master!$C$2:'Master'!$C$4384,0))</f>
        <v>0</v>
      </c>
      <c r="BJ13" s="21" cm="1">
        <f t="array" aca="1" ref="BJ13" ca="1">INDEX(Master!$H$2:'Master'!$H$4384,MATCH($A13&amp;BJ$2,Master!$A$2:'Master'!$A$4384&amp;Master!$C$2:'Master'!$C$4384,0))</f>
        <v>1</v>
      </c>
      <c r="BK13" s="21" cm="1">
        <f t="array" aca="1" ref="BK13" ca="1">INDEX(Master!$H$2:'Master'!$H$4384,MATCH($A13&amp;BK$2,Master!$A$2:'Master'!$A$4384&amp;Master!$C$2:'Master'!$C$4384,0))</f>
        <v>3</v>
      </c>
      <c r="BL13" s="21" cm="1">
        <f t="array" aca="1" ref="BL13" ca="1">INDEX(Master!$H$2:'Master'!$H$4384,MATCH($A13&amp;BL$2,Master!$A$2:'Master'!$A$4384&amp;Master!$C$2:'Master'!$C$4384,0))</f>
        <v>1</v>
      </c>
      <c r="BM13" s="21" cm="1">
        <f t="array" aca="1" ref="BM13" ca="1">INDEX(Master!$H$2:'Master'!$H$4384,MATCH($A13&amp;BM$2,Master!$A$2:'Master'!$A$4384&amp;Master!$C$2:'Master'!$C$4384,0))</f>
        <v>1</v>
      </c>
      <c r="BN13" s="21" cm="1">
        <f t="array" aca="1" ref="BN13" ca="1">INDEX(Master!$H$2:'Master'!$H$4384,MATCH($A13&amp;BN$2,Master!$A$2:'Master'!$A$4384&amp;Master!$C$2:'Master'!$C$4384,0))</f>
        <v>0</v>
      </c>
      <c r="BO13" s="21" cm="1">
        <f t="array" aca="1" ref="BO13" ca="1">INDEX(Master!$H$2:'Master'!$H$4384,MATCH($A13&amp;BO$2,Master!$A$2:'Master'!$A$4384&amp;Master!$C$2:'Master'!$C$4384,0))</f>
        <v>2</v>
      </c>
      <c r="BP13" s="21" cm="1">
        <f t="array" aca="1" ref="BP13" ca="1">INDEX(Master!$H$2:'Master'!$H$4384,MATCH($A13&amp;BP$2,Master!$A$2:'Master'!$A$4384&amp;Master!$C$2:'Master'!$C$4384,0))</f>
        <v>0</v>
      </c>
      <c r="BQ13" s="21" cm="1">
        <f t="array" aca="1" ref="BQ13" ca="1">INDEX(Master!$H$2:'Master'!$H$4384,MATCH($A13&amp;BQ$2,Master!$A$2:'Master'!$A$4384&amp;Master!$C$2:'Master'!$C$4384,0))</f>
        <v>2</v>
      </c>
      <c r="BR13" s="21" cm="1">
        <f t="array" aca="1" ref="BR13" ca="1">INDEX(Master!$H$2:'Master'!$H$4384,MATCH($A13&amp;BR$2,Master!$A$2:'Master'!$A$4384&amp;Master!$C$2:'Master'!$C$4384,0))</f>
        <v>1</v>
      </c>
      <c r="BS13" s="21" cm="1">
        <f t="array" aca="1" ref="BS13" ca="1">INDEX(Master!$H$2:'Master'!$H$4384,MATCH($A13&amp;BS$2,Master!$A$2:'Master'!$A$4384&amp;Master!$C$2:'Master'!$C$4384,0))</f>
        <v>0</v>
      </c>
      <c r="BT13" s="21" cm="1">
        <f t="array" aca="1" ref="BT13" ca="1">INDEX(Master!$H$2:'Master'!$H$4384,MATCH($A13&amp;BT$2,Master!$A$2:'Master'!$A$4384&amp;Master!$C$2:'Master'!$C$4384,0))</f>
        <v>1</v>
      </c>
      <c r="BU13" s="21" cm="1">
        <f t="array" aca="1" ref="BU13" ca="1">INDEX(Master!$H$2:'Master'!$H$4384,MATCH($A13&amp;BU$2,Master!$A$2:'Master'!$A$4384&amp;Master!$C$2:'Master'!$C$4384,0))</f>
        <v>1</v>
      </c>
      <c r="BV13" s="21" cm="1">
        <f t="array" aca="1" ref="BV13" ca="1">INDEX(Master!$H$2:'Master'!$H$4384,MATCH($A13&amp;BV$2,Master!$A$2:'Master'!$A$4384&amp;Master!$C$2:'Master'!$C$4384,0))</f>
        <v>1</v>
      </c>
      <c r="BW13" s="21" cm="1">
        <f t="array" aca="1" ref="BW13" ca="1">INDEX(Master!$H$2:'Master'!$H$4384,MATCH($A13&amp;BW$2,Master!$A$2:'Master'!$A$4384&amp;Master!$C$2:'Master'!$C$4384,0))</f>
        <v>0</v>
      </c>
      <c r="BX13" s="21" cm="1">
        <f t="array" aca="1" ref="BX13" ca="1">INDEX(Master!$H$2:'Master'!$H$4384,MATCH($A13&amp;BX$2,Master!$A$2:'Master'!$A$4384&amp;Master!$C$2:'Master'!$C$4384,0))</f>
        <v>1</v>
      </c>
      <c r="BY13" s="21" cm="1">
        <f t="array" aca="1" ref="BY13" ca="1">INDEX(Master!$H$2:'Master'!$H$4384,MATCH($A13&amp;BY$2,Master!$A$2:'Master'!$A$4384&amp;Master!$C$2:'Master'!$C$4384,0))</f>
        <v>-1</v>
      </c>
      <c r="BZ13" s="21" cm="1">
        <f t="array" aca="1" ref="BZ13" ca="1">INDEX(Master!$H$2:'Master'!$H$4384,MATCH($A13&amp;BZ$2,Master!$A$2:'Master'!$A$4384&amp;Master!$C$2:'Master'!$C$4384,0))</f>
        <v>0</v>
      </c>
      <c r="CA13" s="21" cm="1">
        <f t="array" aca="1" ref="CA13" ca="1">INDEX(Master!$H$2:'Master'!$H$4384,MATCH($A13&amp;CA$2,Master!$A$2:'Master'!$A$4384&amp;Master!$C$2:'Master'!$C$4384,0))</f>
        <v>1</v>
      </c>
      <c r="CB13" s="21" cm="1">
        <f t="array" aca="1" ref="CB13" ca="1">INDEX(Master!$H$2:'Master'!$H$4384,MATCH($A13&amp;CB$2,Master!$A$2:'Master'!$A$4384&amp;Master!$C$2:'Master'!$C$4384,0))</f>
        <v>3</v>
      </c>
      <c r="CC13" s="21" cm="1">
        <f t="array" aca="1" ref="CC13" ca="1">INDEX(Master!$H$2:'Master'!$H$4384,MATCH($A13&amp;CC$2,Master!$A$2:'Master'!$A$4384&amp;Master!$C$2:'Master'!$C$4384,0))</f>
        <v>1</v>
      </c>
      <c r="CD13" s="21" cm="1">
        <f t="array" aca="1" ref="CD13" ca="1">INDEX(Master!$H$2:'Master'!$H$4384,MATCH($A13&amp;CD$2,Master!$A$2:'Master'!$A$4384&amp;Master!$C$2:'Master'!$C$4384,0))</f>
        <v>1</v>
      </c>
      <c r="CE13" s="21" cm="1">
        <f t="array" aca="1" ref="CE13" ca="1">INDEX(Master!$H$2:'Master'!$H$4384,MATCH($A13&amp;CE$2,Master!$A$2:'Master'!$A$4384&amp;Master!$C$2:'Master'!$C$4384,0))</f>
        <v>-1</v>
      </c>
      <c r="CF13" s="21" cm="1">
        <f t="array" aca="1" ref="CF13" ca="1">INDEX(Master!$H$2:'Master'!$H$4384,MATCH($A13&amp;CF$2,Master!$A$2:'Master'!$A$4384&amp;Master!$C$2:'Master'!$C$4384,0))</f>
        <v>0</v>
      </c>
      <c r="CG13" s="21" cm="1">
        <f t="array" aca="1" ref="CG13" ca="1">INDEX(Master!$H$2:'Master'!$H$4384,MATCH($A13&amp;CG$2,Master!$A$2:'Master'!$A$4384&amp;Master!$C$2:'Master'!$C$4384,0))</f>
        <v>1</v>
      </c>
      <c r="CH13" s="21" cm="1">
        <f t="array" aca="1" ref="CH13" ca="1">INDEX(Master!$H$2:'Master'!$H$4384,MATCH($A13&amp;CH$2,Master!$A$2:'Master'!$A$4384&amp;Master!$C$2:'Master'!$C$4384,0))</f>
        <v>0</v>
      </c>
      <c r="CI13" s="21" cm="1">
        <f t="array" aca="1" ref="CI13" ca="1">INDEX(Master!$H$2:'Master'!$H$4384,MATCH($A13&amp;CI$2,Master!$A$2:'Master'!$A$4384&amp;Master!$C$2:'Master'!$C$4384,0))</f>
        <v>1</v>
      </c>
      <c r="CJ13" s="21" cm="1">
        <f t="array" aca="1" ref="CJ13" ca="1">INDEX(Master!$H$2:'Master'!$H$4384,MATCH($A13&amp;CJ$2,Master!$A$2:'Master'!$A$4384&amp;Master!$C$2:'Master'!$C$4384,0))</f>
        <v>0</v>
      </c>
      <c r="CK13" s="21" cm="1">
        <f t="array" aca="1" ref="CK13" ca="1">INDEX(Master!$H$2:'Master'!$H$4384,MATCH($A13&amp;CK$2,Master!$A$2:'Master'!$A$4384&amp;Master!$C$2:'Master'!$C$4384,0))</f>
        <v>1</v>
      </c>
      <c r="CL13" s="21" cm="1">
        <f t="array" aca="1" ref="CL13" ca="1">INDEX(Master!$H$2:'Master'!$H$4384,MATCH($A13&amp;CL$2,Master!$A$2:'Master'!$A$4384&amp;Master!$C$2:'Master'!$C$4384,0))</f>
        <v>2</v>
      </c>
      <c r="CM13" s="21" cm="1">
        <f t="array" aca="1" ref="CM13" ca="1">INDEX(Master!$H$2:'Master'!$H$4384,MATCH($A13&amp;CM$2,Master!$A$2:'Master'!$A$4384&amp;Master!$C$2:'Master'!$C$4384,0))</f>
        <v>0</v>
      </c>
      <c r="CN13" s="21" cm="1">
        <f t="array" aca="1" ref="CN13" ca="1">INDEX(Master!$H$2:'Master'!$H$4384,MATCH($A13&amp;CN$2,Master!$A$2:'Master'!$A$4384&amp;Master!$C$2:'Master'!$C$4384,0))</f>
        <v>1</v>
      </c>
      <c r="CO13" s="21" cm="1">
        <f t="array" aca="1" ref="CO13" ca="1">INDEX(Master!$H$2:'Master'!$H$4384,MATCH($A13&amp;CO$2,Master!$A$2:'Master'!$A$4384&amp;Master!$C$2:'Master'!$C$4384,0))</f>
        <v>0</v>
      </c>
      <c r="CP13" s="21" cm="1">
        <f t="array" aca="1" ref="CP13" ca="1">INDEX(Master!$H$2:'Master'!$H$4384,MATCH($A13&amp;CP$2,Master!$A$2:'Master'!$A$4384&amp;Master!$C$2:'Master'!$C$4384,0))</f>
        <v>0</v>
      </c>
      <c r="CQ13" s="21" cm="1">
        <f t="array" aca="1" ref="CQ13" ca="1">INDEX(Master!$H$2:'Master'!$H$4384,MATCH($A13&amp;CQ$2,Master!$A$2:'Master'!$A$4384&amp;Master!$C$2:'Master'!$C$4384,0))</f>
        <v>0</v>
      </c>
      <c r="CR13" s="21" cm="1">
        <f t="array" aca="1" ref="CR13" ca="1">INDEX(Master!$H$2:'Master'!$H$4384,MATCH($A13&amp;CR$2,Master!$A$2:'Master'!$A$4384&amp;Master!$C$2:'Master'!$C$4384,0))</f>
        <v>1</v>
      </c>
      <c r="CS13" s="21" cm="1">
        <f t="array" aca="1" ref="CS13" ca="1">INDEX(Master!$H$2:'Master'!$H$4384,MATCH($A13&amp;CS$2,Master!$A$2:'Master'!$A$4384&amp;Master!$C$2:'Master'!$C$4384,0))</f>
        <v>1</v>
      </c>
    </row>
    <row r="14" spans="1:97">
      <c r="A14" s="22" t="str">
        <f>VLOOKUP(Staff!$A11,Staff!$A$1:A$73,1,FALSE)</f>
        <v>Cormoran Strike</v>
      </c>
      <c r="B14" s="21" cm="1">
        <f t="array" aca="1" ref="B14" ca="1">INDEX(Master!$H$2:'Master'!$H$4384,MATCH($A14&amp;B$2,Master!$A$2:'Master'!$A$4384&amp;Master!$C$2:'Master'!$C$4384,0))</f>
        <v>-1</v>
      </c>
      <c r="C14" s="21" cm="1">
        <f t="array" aca="1" ref="C14" ca="1">INDEX(Master!$H$2:'Master'!$H$4384,MATCH($A14&amp;C$2,Master!$A$2:'Master'!$A$4384&amp;Master!$C$2:'Master'!$C$4384,0))</f>
        <v>0</v>
      </c>
      <c r="D14" s="21" cm="1">
        <f t="array" aca="1" ref="D14" ca="1">INDEX(Master!$H$2:'Master'!$H$4384,MATCH($A14&amp;D$2,Master!$A$2:'Master'!$A$4384&amp;Master!$C$2:'Master'!$C$4384,0))</f>
        <v>1</v>
      </c>
      <c r="E14" s="21" cm="1">
        <f t="array" aca="1" ref="E14" ca="1">INDEX(Master!$H$2:'Master'!$H$4384,MATCH($A14&amp;E$2,Master!$A$2:'Master'!$A$4384&amp;Master!$C$2:'Master'!$C$4384,0))</f>
        <v>0</v>
      </c>
      <c r="F14" s="21" cm="1">
        <f t="array" aca="1" ref="F14" ca="1">INDEX(Master!$H$2:'Master'!$H$4384,MATCH($A14&amp;F$2,Master!$A$2:'Master'!$A$4384&amp;Master!$C$2:'Master'!$C$4384,0))</f>
        <v>0</v>
      </c>
      <c r="G14" s="21" cm="1">
        <f t="array" aca="1" ref="G14" ca="1">INDEX(Master!$H$2:'Master'!$H$4384,MATCH($A14&amp;G$2,Master!$A$2:'Master'!$A$4384&amp;Master!$C$2:'Master'!$C$4384,0))</f>
        <v>1</v>
      </c>
      <c r="H14" s="21" cm="1">
        <f t="array" aca="1" ref="H14" ca="1">INDEX(Master!$H$2:'Master'!$H$4384,MATCH($A14&amp;H$2,Master!$A$2:'Master'!$A$4384&amp;Master!$C$2:'Master'!$C$4384,0))</f>
        <v>0</v>
      </c>
      <c r="I14" s="21" cm="1">
        <f t="array" aca="1" ref="I14" ca="1">INDEX(Master!$H$2:'Master'!$H$4384,MATCH($A14&amp;I$2,Master!$A$2:'Master'!$A$4384&amp;Master!$C$2:'Master'!$C$4384,0))</f>
        <v>0</v>
      </c>
      <c r="J14" s="21" cm="1">
        <f t="array" aca="1" ref="J14" ca="1">INDEX(Master!$H$2:'Master'!$H$4384,MATCH($A14&amp;J$2,Master!$A$2:'Master'!$A$4384&amp;Master!$C$2:'Master'!$C$4384,0))</f>
        <v>1</v>
      </c>
      <c r="K14" s="21" cm="1">
        <f t="array" aca="1" ref="K14" ca="1">INDEX(Master!$H$2:'Master'!$H$4384,MATCH($A14&amp;K$2,Master!$A$2:'Master'!$A$4384&amp;Master!$C$2:'Master'!$C$4384,0))</f>
        <v>-1</v>
      </c>
      <c r="L14" s="21" cm="1">
        <f t="array" aca="1" ref="L14" ca="1">INDEX(Master!$H$2:'Master'!$H$4384,MATCH($A14&amp;L$2,Master!$A$2:'Master'!$A$4384&amp;Master!$C$2:'Master'!$C$4384,0))</f>
        <v>-1</v>
      </c>
      <c r="M14" s="21" cm="1">
        <f t="array" aca="1" ref="M14" ca="1">INDEX(Master!$H$2:'Master'!$H$4384,MATCH($A14&amp;M$2,Master!$A$2:'Master'!$A$4384&amp;Master!$C$2:'Master'!$C$4384,0))</f>
        <v>0</v>
      </c>
      <c r="N14" s="21" cm="1">
        <f t="array" aca="1" ref="N14" ca="1">INDEX(Master!$H$2:'Master'!$H$4384,MATCH($A14&amp;N$2,Master!$A$2:'Master'!$A$4384&amp;Master!$C$2:'Master'!$C$4384,0))</f>
        <v>-1</v>
      </c>
      <c r="O14" s="21" cm="1">
        <f t="array" aca="1" ref="O14" ca="1">INDEX(Master!$H$2:'Master'!$H$4384,MATCH($A14&amp;O$2,Master!$A$2:'Master'!$A$4384&amp;Master!$C$2:'Master'!$C$4384,0))</f>
        <v>-1</v>
      </c>
      <c r="P14" s="21" cm="1">
        <f t="array" aca="1" ref="P14" ca="1">INDEX(Master!$H$2:'Master'!$H$4384,MATCH($A14&amp;P$2,Master!$A$2:'Master'!$A$4384&amp;Master!$C$2:'Master'!$C$4384,0))</f>
        <v>0</v>
      </c>
      <c r="Q14" s="21" cm="1">
        <f t="array" aca="1" ref="Q14" ca="1">INDEX(Master!$H$2:'Master'!$H$4384,MATCH($A14&amp;Q$2,Master!$A$2:'Master'!$A$4384&amp;Master!$C$2:'Master'!$C$4384,0))</f>
        <v>0</v>
      </c>
      <c r="R14" s="21" cm="1">
        <f t="array" aca="1" ref="R14" ca="1">INDEX(Master!$H$2:'Master'!$H$4384,MATCH($A14&amp;R$2,Master!$A$2:'Master'!$A$4384&amp;Master!$C$2:'Master'!$C$4384,0))</f>
        <v>-1</v>
      </c>
      <c r="S14" s="21" cm="1">
        <f t="array" aca="1" ref="S14" ca="1">INDEX(Master!$H$2:'Master'!$H$4384,MATCH($A14&amp;S$2,Master!$A$2:'Master'!$A$4384&amp;Master!$C$2:'Master'!$C$4384,0))</f>
        <v>0</v>
      </c>
      <c r="T14" s="21" cm="1">
        <f t="array" aca="1" ref="T14" ca="1">INDEX(Master!$H$2:'Master'!$H$4384,MATCH($A14&amp;T$2,Master!$A$2:'Master'!$A$4384&amp;Master!$C$2:'Master'!$C$4384,0))</f>
        <v>0</v>
      </c>
      <c r="U14" s="21" cm="1">
        <f t="array" aca="1" ref="U14" ca="1">INDEX(Master!$H$2:'Master'!$H$4384,MATCH($A14&amp;U$2,Master!$A$2:'Master'!$A$4384&amp;Master!$C$2:'Master'!$C$4384,0))</f>
        <v>-2</v>
      </c>
      <c r="V14" s="21" cm="1">
        <f t="array" aca="1" ref="V14" ca="1">INDEX(Master!$H$2:'Master'!$H$4384,MATCH($A14&amp;V$2,Master!$A$2:'Master'!$A$4384&amp;Master!$C$2:'Master'!$C$4384,0))</f>
        <v>0</v>
      </c>
      <c r="W14" s="21" cm="1">
        <f t="array" aca="1" ref="W14" ca="1">INDEX(Master!$H$2:'Master'!$H$4384,MATCH($A14&amp;W$2,Master!$A$2:'Master'!$A$4384&amp;Master!$C$2:'Master'!$C$4384,0))</f>
        <v>1</v>
      </c>
      <c r="X14" s="21" cm="1">
        <f t="array" aca="1" ref="X14" ca="1">INDEX(Master!$H$2:'Master'!$H$4384,MATCH($A14&amp;X$2,Master!$A$2:'Master'!$A$4384&amp;Master!$C$2:'Master'!$C$4384,0))</f>
        <v>3</v>
      </c>
      <c r="Y14" s="21" cm="1">
        <f t="array" aca="1" ref="Y14" ca="1">INDEX(Master!$H$2:'Master'!$H$4384,MATCH($A14&amp;Y$2,Master!$A$2:'Master'!$A$4384&amp;Master!$C$2:'Master'!$C$4384,0))</f>
        <v>2</v>
      </c>
      <c r="Z14" s="21" cm="1">
        <f t="array" aca="1" ref="Z14" ca="1">INDEX(Master!$H$2:'Master'!$H$4384,MATCH($A14&amp;Z$2,Master!$A$2:'Master'!$A$4384&amp;Master!$C$2:'Master'!$C$4384,0))</f>
        <v>1</v>
      </c>
      <c r="AA14" s="21" cm="1">
        <f t="array" aca="1" ref="AA14" ca="1">INDEX(Master!$H$2:'Master'!$H$4384,MATCH($A14&amp;AA$2,Master!$A$2:'Master'!$A$4384&amp;Master!$C$2:'Master'!$C$4384,0))</f>
        <v>2</v>
      </c>
      <c r="AB14" s="21" cm="1">
        <f t="array" aca="1" ref="AB14" ca="1">INDEX(Master!$H$2:'Master'!$H$4384,MATCH($A14&amp;AB$2,Master!$A$2:'Master'!$A$4384&amp;Master!$C$2:'Master'!$C$4384,0))</f>
        <v>3</v>
      </c>
      <c r="AC14" s="21" cm="1">
        <f t="array" aca="1" ref="AC14" ca="1">INDEX(Master!$H$2:'Master'!$H$4384,MATCH($A14&amp;AC$2,Master!$A$2:'Master'!$A$4384&amp;Master!$C$2:'Master'!$C$4384,0))</f>
        <v>2</v>
      </c>
      <c r="AD14" s="21" cm="1">
        <f t="array" aca="1" ref="AD14" ca="1">INDEX(Master!$H$2:'Master'!$H$4384,MATCH($A14&amp;AD$2,Master!$A$2:'Master'!$A$4384&amp;Master!$C$2:'Master'!$C$4384,0))</f>
        <v>2</v>
      </c>
      <c r="AE14" s="21" cm="1">
        <f t="array" aca="1" ref="AE14" ca="1">INDEX(Master!$H$2:'Master'!$H$4384,MATCH($A14&amp;AE$2,Master!$A$2:'Master'!$A$4384&amp;Master!$C$2:'Master'!$C$4384,0))</f>
        <v>-2</v>
      </c>
      <c r="AF14" s="21" cm="1">
        <f t="array" aca="1" ref="AF14" ca="1">INDEX(Master!$H$2:'Master'!$H$4384,MATCH($A14&amp;AF$2,Master!$A$2:'Master'!$A$4384&amp;Master!$C$2:'Master'!$C$4384,0))</f>
        <v>-1</v>
      </c>
      <c r="AG14" s="21" cm="1">
        <f t="array" aca="1" ref="AG14" ca="1">INDEX(Master!$H$2:'Master'!$H$4384,MATCH($A14&amp;AG$2,Master!$A$2:'Master'!$A$4384&amp;Master!$C$2:'Master'!$C$4384,0))</f>
        <v>-1</v>
      </c>
      <c r="AH14" s="21" cm="1">
        <f t="array" aca="1" ref="AH14" ca="1">INDEX(Master!$H$2:'Master'!$H$4384,MATCH($A14&amp;AH$2,Master!$A$2:'Master'!$A$4384&amp;Master!$C$2:'Master'!$C$4384,0))</f>
        <v>-2</v>
      </c>
      <c r="AI14" s="21" cm="1">
        <f t="array" aca="1" ref="AI14" ca="1">INDEX(Master!$H$2:'Master'!$H$4384,MATCH($A14&amp;AI$2,Master!$A$2:'Master'!$A$4384&amp;Master!$C$2:'Master'!$C$4384,0))</f>
        <v>0</v>
      </c>
      <c r="AJ14" s="21" cm="1">
        <f t="array" aca="1" ref="AJ14" ca="1">INDEX(Master!$H$2:'Master'!$H$4384,MATCH($A14&amp;AJ$2,Master!$A$2:'Master'!$A$4384&amp;Master!$C$2:'Master'!$C$4384,0))</f>
        <v>-2</v>
      </c>
      <c r="AK14" s="21" cm="1">
        <f t="array" aca="1" ref="AK14" ca="1">INDEX(Master!$H$2:'Master'!$H$4384,MATCH($A14&amp;AK$2,Master!$A$2:'Master'!$A$4384&amp;Master!$C$2:'Master'!$C$4384,0))</f>
        <v>-1</v>
      </c>
      <c r="AL14" s="21" cm="1">
        <f t="array" aca="1" ref="AL14" ca="1">INDEX(Master!$H$2:'Master'!$H$4384,MATCH($A14&amp;AL$2,Master!$A$2:'Master'!$A$4384&amp;Master!$C$2:'Master'!$C$4384,0))</f>
        <v>0</v>
      </c>
      <c r="AM14" s="21" cm="1">
        <f t="array" aca="1" ref="AM14" ca="1">INDEX(Master!$H$2:'Master'!$H$4384,MATCH($A14&amp;AM$2,Master!$A$2:'Master'!$A$4384&amp;Master!$C$2:'Master'!$C$4384,0))</f>
        <v>0</v>
      </c>
      <c r="AN14" s="21" cm="1">
        <f t="array" aca="1" ref="AN14" ca="1">INDEX(Master!$H$2:'Master'!$H$4384,MATCH($A14&amp;AN$2,Master!$A$2:'Master'!$A$4384&amp;Master!$C$2:'Master'!$C$4384,0))</f>
        <v>-1</v>
      </c>
      <c r="AO14" s="21" cm="1">
        <f t="array" aca="1" ref="AO14" ca="1">INDEX(Master!$H$2:'Master'!$H$4384,MATCH($A14&amp;AO$2,Master!$A$2:'Master'!$A$4384&amp;Master!$C$2:'Master'!$C$4384,0))</f>
        <v>2</v>
      </c>
      <c r="AP14" s="21" cm="1">
        <f t="array" aca="1" ref="AP14" ca="1">INDEX(Master!$H$2:'Master'!$H$4384,MATCH($A14&amp;AP$2,Master!$A$2:'Master'!$A$4384&amp;Master!$C$2:'Master'!$C$4384,0))</f>
        <v>-1</v>
      </c>
      <c r="AQ14" s="21" cm="1">
        <f t="array" aca="1" ref="AQ14" ca="1">INDEX(Master!$H$2:'Master'!$H$4384,MATCH($A14&amp;AQ$2,Master!$A$2:'Master'!$A$4384&amp;Master!$C$2:'Master'!$C$4384,0))</f>
        <v>0</v>
      </c>
      <c r="AR14" s="21" cm="1">
        <f t="array" aca="1" ref="AR14" ca="1">INDEX(Master!$H$2:'Master'!$H$4384,MATCH($A14&amp;AR$2,Master!$A$2:'Master'!$A$4384&amp;Master!$C$2:'Master'!$C$4384,0))</f>
        <v>1</v>
      </c>
      <c r="AS14" s="21" cm="1">
        <f t="array" aca="1" ref="AS14" ca="1">INDEX(Master!$H$2:'Master'!$H$4384,MATCH($A14&amp;AS$2,Master!$A$2:'Master'!$A$4384&amp;Master!$C$2:'Master'!$C$4384,0))</f>
        <v>0</v>
      </c>
      <c r="AT14" s="21" cm="1">
        <f t="array" aca="1" ref="AT14" ca="1">INDEX(Master!$H$2:'Master'!$H$4384,MATCH($A14&amp;AT$2,Master!$A$2:'Master'!$A$4384&amp;Master!$C$2:'Master'!$C$4384,0))</f>
        <v>-2</v>
      </c>
      <c r="AU14" s="21" cm="1">
        <f t="array" aca="1" ref="AU14" ca="1">INDEX(Master!$H$2:'Master'!$H$4384,MATCH($A14&amp;AU$2,Master!$A$2:'Master'!$A$4384&amp;Master!$C$2:'Master'!$C$4384,0))</f>
        <v>-2</v>
      </c>
      <c r="AV14" s="21" cm="1">
        <f t="array" aca="1" ref="AV14" ca="1">INDEX(Master!$H$2:'Master'!$H$4384,MATCH($A14&amp;AV$2,Master!$A$2:'Master'!$A$4384&amp;Master!$C$2:'Master'!$C$4384,0))</f>
        <v>-1</v>
      </c>
      <c r="AW14" s="21" cm="1">
        <f t="array" aca="1" ref="AW14" ca="1">INDEX(Master!$H$2:'Master'!$H$4384,MATCH($A14&amp;AW$2,Master!$A$2:'Master'!$A$4384&amp;Master!$C$2:'Master'!$C$4384,0))</f>
        <v>0</v>
      </c>
      <c r="AX14" s="21" cm="1">
        <f t="array" aca="1" ref="AX14" ca="1">INDEX(Master!$H$2:'Master'!$H$4384,MATCH($A14&amp;AX$2,Master!$A$2:'Master'!$A$4384&amp;Master!$C$2:'Master'!$C$4384,0))</f>
        <v>0</v>
      </c>
      <c r="AY14" s="21" cm="1">
        <f t="array" aca="1" ref="AY14" ca="1">INDEX(Master!$H$2:'Master'!$H$4384,MATCH($A14&amp;AY$2,Master!$A$2:'Master'!$A$4384&amp;Master!$C$2:'Master'!$C$4384,0))</f>
        <v>-1</v>
      </c>
      <c r="AZ14" s="21" cm="1">
        <f t="array" aca="1" ref="AZ14" ca="1">INDEX(Master!$H$2:'Master'!$H$4384,MATCH($A14&amp;AZ$2,Master!$A$2:'Master'!$A$4384&amp;Master!$C$2:'Master'!$C$4384,0))</f>
        <v>-2</v>
      </c>
      <c r="BA14" s="21" cm="1">
        <f t="array" aca="1" ref="BA14" ca="1">INDEX(Master!$H$2:'Master'!$H$4384,MATCH($A14&amp;BA$2,Master!$A$2:'Master'!$A$4384&amp;Master!$C$2:'Master'!$C$4384,0))</f>
        <v>-2</v>
      </c>
      <c r="BB14" s="21" cm="1">
        <f t="array" aca="1" ref="BB14" ca="1">INDEX(Master!$H$2:'Master'!$H$4384,MATCH($A14&amp;BB$2,Master!$A$2:'Master'!$A$4384&amp;Master!$C$2:'Master'!$C$4384,0))</f>
        <v>-1</v>
      </c>
      <c r="BC14" s="21" cm="1">
        <f t="array" aca="1" ref="BC14" ca="1">INDEX(Master!$H$2:'Master'!$H$4384,MATCH($A14&amp;BC$2,Master!$A$2:'Master'!$A$4384&amp;Master!$C$2:'Master'!$C$4384,0))</f>
        <v>-1</v>
      </c>
      <c r="BD14" s="21" cm="1">
        <f t="array" aca="1" ref="BD14" ca="1">INDEX(Master!$H$2:'Master'!$H$4384,MATCH($A14&amp;BD$2,Master!$A$2:'Master'!$A$4384&amp;Master!$C$2:'Master'!$C$4384,0))</f>
        <v>-1</v>
      </c>
      <c r="BE14" s="21" cm="1">
        <f t="array" aca="1" ref="BE14" ca="1">INDEX(Master!$H$2:'Master'!$H$4384,MATCH($A14&amp;BE$2,Master!$A$2:'Master'!$A$4384&amp;Master!$C$2:'Master'!$C$4384,0))</f>
        <v>1</v>
      </c>
      <c r="BF14" s="21" cm="1">
        <f t="array" aca="1" ref="BF14" ca="1">INDEX(Master!$H$2:'Master'!$H$4384,MATCH($A14&amp;BF$2,Master!$A$2:'Master'!$A$4384&amp;Master!$C$2:'Master'!$C$4384,0))</f>
        <v>-2</v>
      </c>
      <c r="BG14" s="21" cm="1">
        <f t="array" aca="1" ref="BG14" ca="1">INDEX(Master!$H$2:'Master'!$H$4384,MATCH($A14&amp;BG$2,Master!$A$2:'Master'!$A$4384&amp;Master!$C$2:'Master'!$C$4384,0))</f>
        <v>-1</v>
      </c>
      <c r="BH14" s="21" cm="1">
        <f t="array" aca="1" ref="BH14" ca="1">INDEX(Master!$H$2:'Master'!$H$4384,MATCH($A14&amp;BH$2,Master!$A$2:'Master'!$A$4384&amp;Master!$C$2:'Master'!$C$4384,0))</f>
        <v>-1</v>
      </c>
      <c r="BI14" s="21" cm="1">
        <f t="array" aca="1" ref="BI14" ca="1">INDEX(Master!$H$2:'Master'!$H$4384,MATCH($A14&amp;BI$2,Master!$A$2:'Master'!$A$4384&amp;Master!$C$2:'Master'!$C$4384,0))</f>
        <v>-1</v>
      </c>
      <c r="BJ14" s="21" cm="1">
        <f t="array" aca="1" ref="BJ14" ca="1">INDEX(Master!$H$2:'Master'!$H$4384,MATCH($A14&amp;BJ$2,Master!$A$2:'Master'!$A$4384&amp;Master!$C$2:'Master'!$C$4384,0))</f>
        <v>-1</v>
      </c>
      <c r="BK14" s="21" cm="1">
        <f t="array" aca="1" ref="BK14" ca="1">INDEX(Master!$H$2:'Master'!$H$4384,MATCH($A14&amp;BK$2,Master!$A$2:'Master'!$A$4384&amp;Master!$C$2:'Master'!$C$4384,0))</f>
        <v>-1</v>
      </c>
      <c r="BL14" s="21" cm="1">
        <f t="array" aca="1" ref="BL14" ca="1">INDEX(Master!$H$2:'Master'!$H$4384,MATCH($A14&amp;BL$2,Master!$A$2:'Master'!$A$4384&amp;Master!$C$2:'Master'!$C$4384,0))</f>
        <v>-2</v>
      </c>
      <c r="BM14" s="21" cm="1">
        <f t="array" aca="1" ref="BM14" ca="1">INDEX(Master!$H$2:'Master'!$H$4384,MATCH($A14&amp;BM$2,Master!$A$2:'Master'!$A$4384&amp;Master!$C$2:'Master'!$C$4384,0))</f>
        <v>1</v>
      </c>
      <c r="BN14" s="21" cm="1">
        <f t="array" aca="1" ref="BN14" ca="1">INDEX(Master!$H$2:'Master'!$H$4384,MATCH($A14&amp;BN$2,Master!$A$2:'Master'!$A$4384&amp;Master!$C$2:'Master'!$C$4384,0))</f>
        <v>-1</v>
      </c>
      <c r="BO14" s="21" cm="1">
        <f t="array" aca="1" ref="BO14" ca="1">INDEX(Master!$H$2:'Master'!$H$4384,MATCH($A14&amp;BO$2,Master!$A$2:'Master'!$A$4384&amp;Master!$C$2:'Master'!$C$4384,0))</f>
        <v>2</v>
      </c>
      <c r="BP14" s="21" cm="1">
        <f t="array" aca="1" ref="BP14" ca="1">INDEX(Master!$H$2:'Master'!$H$4384,MATCH($A14&amp;BP$2,Master!$A$2:'Master'!$A$4384&amp;Master!$C$2:'Master'!$C$4384,0))</f>
        <v>2</v>
      </c>
      <c r="BQ14" s="21" cm="1">
        <f t="array" aca="1" ref="BQ14" ca="1">INDEX(Master!$H$2:'Master'!$H$4384,MATCH($A14&amp;BQ$2,Master!$A$2:'Master'!$A$4384&amp;Master!$C$2:'Master'!$C$4384,0))</f>
        <v>1</v>
      </c>
      <c r="BR14" s="21" cm="1">
        <f t="array" aca="1" ref="BR14" ca="1">INDEX(Master!$H$2:'Master'!$H$4384,MATCH($A14&amp;BR$2,Master!$A$2:'Master'!$A$4384&amp;Master!$C$2:'Master'!$C$4384,0))</f>
        <v>0</v>
      </c>
      <c r="BS14" s="21" cm="1">
        <f t="array" aca="1" ref="BS14" ca="1">INDEX(Master!$H$2:'Master'!$H$4384,MATCH($A14&amp;BS$2,Master!$A$2:'Master'!$A$4384&amp;Master!$C$2:'Master'!$C$4384,0))</f>
        <v>1</v>
      </c>
      <c r="BT14" s="21" cm="1">
        <f t="array" aca="1" ref="BT14" ca="1">INDEX(Master!$H$2:'Master'!$H$4384,MATCH($A14&amp;BT$2,Master!$A$2:'Master'!$A$4384&amp;Master!$C$2:'Master'!$C$4384,0))</f>
        <v>-1</v>
      </c>
      <c r="BU14" s="21" cm="1">
        <f t="array" aca="1" ref="BU14" ca="1">INDEX(Master!$H$2:'Master'!$H$4384,MATCH($A14&amp;BU$2,Master!$A$2:'Master'!$A$4384&amp;Master!$C$2:'Master'!$C$4384,0))</f>
        <v>0</v>
      </c>
      <c r="BV14" s="21" cm="1">
        <f t="array" aca="1" ref="BV14" ca="1">INDEX(Master!$H$2:'Master'!$H$4384,MATCH($A14&amp;BV$2,Master!$A$2:'Master'!$A$4384&amp;Master!$C$2:'Master'!$C$4384,0))</f>
        <v>-1</v>
      </c>
      <c r="BW14" s="21" cm="1">
        <f t="array" aca="1" ref="BW14" ca="1">INDEX(Master!$H$2:'Master'!$H$4384,MATCH($A14&amp;BW$2,Master!$A$2:'Master'!$A$4384&amp;Master!$C$2:'Master'!$C$4384,0))</f>
        <v>-2</v>
      </c>
      <c r="BX14" s="21" cm="1">
        <f t="array" aca="1" ref="BX14" ca="1">INDEX(Master!$H$2:'Master'!$H$4384,MATCH($A14&amp;BX$2,Master!$A$2:'Master'!$A$4384&amp;Master!$C$2:'Master'!$C$4384,0))</f>
        <v>-1</v>
      </c>
      <c r="BY14" s="21" cm="1">
        <f t="array" aca="1" ref="BY14" ca="1">INDEX(Master!$H$2:'Master'!$H$4384,MATCH($A14&amp;BY$2,Master!$A$2:'Master'!$A$4384&amp;Master!$C$2:'Master'!$C$4384,0))</f>
        <v>-1</v>
      </c>
      <c r="BZ14" s="21" cm="1">
        <f t="array" aca="1" ref="BZ14" ca="1">INDEX(Master!$H$2:'Master'!$H$4384,MATCH($A14&amp;BZ$2,Master!$A$2:'Master'!$A$4384&amp;Master!$C$2:'Master'!$C$4384,0))</f>
        <v>-1</v>
      </c>
      <c r="CA14" s="21" cm="1">
        <f t="array" aca="1" ref="CA14" ca="1">INDEX(Master!$H$2:'Master'!$H$4384,MATCH($A14&amp;CA$2,Master!$A$2:'Master'!$A$4384&amp;Master!$C$2:'Master'!$C$4384,0))</f>
        <v>-1</v>
      </c>
      <c r="CB14" s="21" cm="1">
        <f t="array" aca="1" ref="CB14" ca="1">INDEX(Master!$H$2:'Master'!$H$4384,MATCH($A14&amp;CB$2,Master!$A$2:'Master'!$A$4384&amp;Master!$C$2:'Master'!$C$4384,0))</f>
        <v>-1</v>
      </c>
      <c r="CC14" s="21" cm="1">
        <f t="array" aca="1" ref="CC14" ca="1">INDEX(Master!$H$2:'Master'!$H$4384,MATCH($A14&amp;CC$2,Master!$A$2:'Master'!$A$4384&amp;Master!$C$2:'Master'!$C$4384,0))</f>
        <v>-2</v>
      </c>
      <c r="CD14" s="21" cm="1">
        <f t="array" aca="1" ref="CD14" ca="1">INDEX(Master!$H$2:'Master'!$H$4384,MATCH($A14&amp;CD$2,Master!$A$2:'Master'!$A$4384&amp;Master!$C$2:'Master'!$C$4384,0))</f>
        <v>1</v>
      </c>
      <c r="CE14" s="21" cm="1">
        <f t="array" aca="1" ref="CE14" ca="1">INDEX(Master!$H$2:'Master'!$H$4384,MATCH($A14&amp;CE$2,Master!$A$2:'Master'!$A$4384&amp;Master!$C$2:'Master'!$C$4384,0))</f>
        <v>-2</v>
      </c>
      <c r="CF14" s="21" cm="1">
        <f t="array" aca="1" ref="CF14" ca="1">INDEX(Master!$H$2:'Master'!$H$4384,MATCH($A14&amp;CF$2,Master!$A$2:'Master'!$A$4384&amp;Master!$C$2:'Master'!$C$4384,0))</f>
        <v>-1</v>
      </c>
      <c r="CG14" s="21" cm="1">
        <f t="array" aca="1" ref="CG14" ca="1">INDEX(Master!$H$2:'Master'!$H$4384,MATCH($A14&amp;CG$2,Master!$A$2:'Master'!$A$4384&amp;Master!$C$2:'Master'!$C$4384,0))</f>
        <v>-2</v>
      </c>
      <c r="CH14" s="21" cm="1">
        <f t="array" aca="1" ref="CH14" ca="1">INDEX(Master!$H$2:'Master'!$H$4384,MATCH($A14&amp;CH$2,Master!$A$2:'Master'!$A$4384&amp;Master!$C$2:'Master'!$C$4384,0))</f>
        <v>-2</v>
      </c>
      <c r="CI14" s="21" cm="1">
        <f t="array" aca="1" ref="CI14" ca="1">INDEX(Master!$H$2:'Master'!$H$4384,MATCH($A14&amp;CI$2,Master!$A$2:'Master'!$A$4384&amp;Master!$C$2:'Master'!$C$4384,0))</f>
        <v>-3</v>
      </c>
      <c r="CJ14" s="21" cm="1">
        <f t="array" aca="1" ref="CJ14" ca="1">INDEX(Master!$H$2:'Master'!$H$4384,MATCH($A14&amp;CJ$2,Master!$A$2:'Master'!$A$4384&amp;Master!$C$2:'Master'!$C$4384,0))</f>
        <v>2</v>
      </c>
      <c r="CK14" s="21" cm="1">
        <f t="array" aca="1" ref="CK14" ca="1">INDEX(Master!$H$2:'Master'!$H$4384,MATCH($A14&amp;CK$2,Master!$A$2:'Master'!$A$4384&amp;Master!$C$2:'Master'!$C$4384,0))</f>
        <v>-1</v>
      </c>
      <c r="CL14" s="21" cm="1">
        <f t="array" aca="1" ref="CL14" ca="1">INDEX(Master!$H$2:'Master'!$H$4384,MATCH($A14&amp;CL$2,Master!$A$2:'Master'!$A$4384&amp;Master!$C$2:'Master'!$C$4384,0))</f>
        <v>-2</v>
      </c>
      <c r="CM14" s="21" cm="1">
        <f t="array" aca="1" ref="CM14" ca="1">INDEX(Master!$H$2:'Master'!$H$4384,MATCH($A14&amp;CM$2,Master!$A$2:'Master'!$A$4384&amp;Master!$C$2:'Master'!$C$4384,0))</f>
        <v>-1</v>
      </c>
      <c r="CN14" s="21" cm="1">
        <f t="array" aca="1" ref="CN14" ca="1">INDEX(Master!$H$2:'Master'!$H$4384,MATCH($A14&amp;CN$2,Master!$A$2:'Master'!$A$4384&amp;Master!$C$2:'Master'!$C$4384,0))</f>
        <v>2</v>
      </c>
      <c r="CO14" s="21" cm="1">
        <f t="array" aca="1" ref="CO14" ca="1">INDEX(Master!$H$2:'Master'!$H$4384,MATCH($A14&amp;CO$2,Master!$A$2:'Master'!$A$4384&amp;Master!$C$2:'Master'!$C$4384,0))</f>
        <v>-2</v>
      </c>
      <c r="CP14" s="21" cm="1">
        <f t="array" aca="1" ref="CP14" ca="1">INDEX(Master!$H$2:'Master'!$H$4384,MATCH($A14&amp;CP$2,Master!$A$2:'Master'!$A$4384&amp;Master!$C$2:'Master'!$C$4384,0))</f>
        <v>-2</v>
      </c>
      <c r="CQ14" s="21" cm="1">
        <f t="array" aca="1" ref="CQ14" ca="1">INDEX(Master!$H$2:'Master'!$H$4384,MATCH($A14&amp;CQ$2,Master!$A$2:'Master'!$A$4384&amp;Master!$C$2:'Master'!$C$4384,0))</f>
        <v>-1</v>
      </c>
      <c r="CR14" s="21" cm="1">
        <f t="array" aca="1" ref="CR14" ca="1">INDEX(Master!$H$2:'Master'!$H$4384,MATCH($A14&amp;CR$2,Master!$A$2:'Master'!$A$4384&amp;Master!$C$2:'Master'!$C$4384,0))</f>
        <v>-1</v>
      </c>
      <c r="CS14" s="21" cm="1">
        <f t="array" aca="1" ref="CS14" ca="1">INDEX(Master!$H$2:'Master'!$H$4384,MATCH($A14&amp;CS$2,Master!$A$2:'Master'!$A$4384&amp;Master!$C$2:'Master'!$C$4384,0))</f>
        <v>0</v>
      </c>
    </row>
    <row r="15" spans="1:97">
      <c r="A15" s="22" t="str">
        <f>VLOOKUP(Staff!$A12,Staff!$A$1:A$73,1,FALSE)</f>
        <v>Marcella Backland</v>
      </c>
      <c r="B15" s="21" cm="1">
        <f t="array" aca="1" ref="B15" ca="1">INDEX(Master!$H$2:'Master'!$H$4384,MATCH($A15&amp;B$2,Master!$A$2:'Master'!$A$4384&amp;Master!$C$2:'Master'!$C$4384,0))</f>
        <v>99</v>
      </c>
      <c r="C15" s="21" cm="1">
        <f t="array" aca="1" ref="C15" ca="1">INDEX(Master!$H$2:'Master'!$H$4384,MATCH($A15&amp;C$2,Master!$A$2:'Master'!$A$4384&amp;Master!$C$2:'Master'!$C$4384,0))</f>
        <v>99</v>
      </c>
      <c r="D15" s="21" cm="1">
        <f t="array" aca="1" ref="D15" ca="1">INDEX(Master!$H$2:'Master'!$H$4384,MATCH($A15&amp;D$2,Master!$A$2:'Master'!$A$4384&amp;Master!$C$2:'Master'!$C$4384,0))</f>
        <v>99</v>
      </c>
      <c r="E15" s="21" cm="1">
        <f t="array" aca="1" ref="E15" ca="1">INDEX(Master!$H$2:'Master'!$H$4384,MATCH($A15&amp;E$2,Master!$A$2:'Master'!$A$4384&amp;Master!$C$2:'Master'!$C$4384,0))</f>
        <v>97</v>
      </c>
      <c r="F15" s="21" cm="1">
        <f t="array" aca="1" ref="F15" ca="1">INDEX(Master!$H$2:'Master'!$H$4384,MATCH($A15&amp;F$2,Master!$A$2:'Master'!$A$4384&amp;Master!$C$2:'Master'!$C$4384,0))</f>
        <v>99</v>
      </c>
      <c r="G15" s="21" cm="1">
        <f t="array" aca="1" ref="G15" ca="1">INDEX(Master!$H$2:'Master'!$H$4384,MATCH($A15&amp;G$2,Master!$A$2:'Master'!$A$4384&amp;Master!$C$2:'Master'!$C$4384,0))</f>
        <v>97</v>
      </c>
      <c r="H15" s="21" cm="1">
        <f t="array" aca="1" ref="H15" ca="1">INDEX(Master!$H$2:'Master'!$H$4384,MATCH($A15&amp;H$2,Master!$A$2:'Master'!$A$4384&amp;Master!$C$2:'Master'!$C$4384,0))</f>
        <v>99</v>
      </c>
      <c r="I15" s="21" cm="1">
        <f t="array" aca="1" ref="I15" ca="1">INDEX(Master!$H$2:'Master'!$H$4384,MATCH($A15&amp;I$2,Master!$A$2:'Master'!$A$4384&amp;Master!$C$2:'Master'!$C$4384,0))</f>
        <v>99</v>
      </c>
      <c r="J15" s="21" cm="1">
        <f t="array" aca="1" ref="J15" ca="1">INDEX(Master!$H$2:'Master'!$H$4384,MATCH($A15&amp;J$2,Master!$A$2:'Master'!$A$4384&amp;Master!$C$2:'Master'!$C$4384,0))</f>
        <v>96</v>
      </c>
      <c r="K15" s="21" cm="1">
        <f t="array" aca="1" ref="K15" ca="1">INDEX(Master!$H$2:'Master'!$H$4384,MATCH($A15&amp;K$2,Master!$A$2:'Master'!$A$4384&amp;Master!$C$2:'Master'!$C$4384,0))</f>
        <v>97</v>
      </c>
      <c r="L15" s="21" cm="1">
        <f t="array" aca="1" ref="L15" ca="1">INDEX(Master!$H$2:'Master'!$H$4384,MATCH($A15&amp;L$2,Master!$A$2:'Master'!$A$4384&amp;Master!$C$2:'Master'!$C$4384,0))</f>
        <v>97</v>
      </c>
      <c r="M15" s="21" cm="1">
        <f t="array" aca="1" ref="M15" ca="1">INDEX(Master!$H$2:'Master'!$H$4384,MATCH($A15&amp;M$2,Master!$A$2:'Master'!$A$4384&amp;Master!$C$2:'Master'!$C$4384,0))</f>
        <v>96</v>
      </c>
      <c r="N15" s="21" cm="1">
        <f t="array" aca="1" ref="N15" ca="1">INDEX(Master!$H$2:'Master'!$H$4384,MATCH($A15&amp;N$2,Master!$A$2:'Master'!$A$4384&amp;Master!$C$2:'Master'!$C$4384,0))</f>
        <v>97</v>
      </c>
      <c r="O15" s="21" cm="1">
        <f t="array" aca="1" ref="O15" ca="1">INDEX(Master!$H$2:'Master'!$H$4384,MATCH($A15&amp;O$2,Master!$A$2:'Master'!$A$4384&amp;Master!$C$2:'Master'!$C$4384,0))</f>
        <v>97</v>
      </c>
      <c r="P15" s="21" cm="1">
        <f t="array" aca="1" ref="P15" ca="1">INDEX(Master!$H$2:'Master'!$H$4384,MATCH($A15&amp;P$2,Master!$A$2:'Master'!$A$4384&amp;Master!$C$2:'Master'!$C$4384,0))</f>
        <v>97</v>
      </c>
      <c r="Q15" s="21" cm="1">
        <f t="array" aca="1" ref="Q15" ca="1">INDEX(Master!$H$2:'Master'!$H$4384,MATCH($A15&amp;Q$2,Master!$A$2:'Master'!$A$4384&amp;Master!$C$2:'Master'!$C$4384,0))</f>
        <v>98</v>
      </c>
      <c r="R15" s="21" cm="1">
        <f t="array" aca="1" ref="R15" ca="1">INDEX(Master!$H$2:'Master'!$H$4384,MATCH($A15&amp;R$2,Master!$A$2:'Master'!$A$4384&amp;Master!$C$2:'Master'!$C$4384,0))</f>
        <v>99</v>
      </c>
      <c r="S15" s="21" cm="1">
        <f t="array" aca="1" ref="S15" ca="1">INDEX(Master!$H$2:'Master'!$H$4384,MATCH($A15&amp;S$2,Master!$A$2:'Master'!$A$4384&amp;Master!$C$2:'Master'!$C$4384,0))</f>
        <v>99</v>
      </c>
      <c r="T15" s="21" cm="1">
        <f t="array" aca="1" ref="T15" ca="1">INDEX(Master!$H$2:'Master'!$H$4384,MATCH($A15&amp;T$2,Master!$A$2:'Master'!$A$4384&amp;Master!$C$2:'Master'!$C$4384,0))</f>
        <v>98</v>
      </c>
      <c r="U15" s="21" cm="1">
        <f t="array" aca="1" ref="U15" ca="1">INDEX(Master!$H$2:'Master'!$H$4384,MATCH($A15&amp;U$2,Master!$A$2:'Master'!$A$4384&amp;Master!$C$2:'Master'!$C$4384,0))</f>
        <v>99</v>
      </c>
      <c r="V15" s="21" cm="1">
        <f t="array" aca="1" ref="V15" ca="1">INDEX(Master!$H$2:'Master'!$H$4384,MATCH($A15&amp;V$2,Master!$A$2:'Master'!$A$4384&amp;Master!$C$2:'Master'!$C$4384,0))</f>
        <v>97</v>
      </c>
      <c r="W15" s="21" cm="1">
        <f t="array" aca="1" ref="W15" ca="1">INDEX(Master!$H$2:'Master'!$H$4384,MATCH($A15&amp;W$2,Master!$A$2:'Master'!$A$4384&amp;Master!$C$2:'Master'!$C$4384,0))</f>
        <v>98</v>
      </c>
      <c r="X15" s="21" cm="1">
        <f t="array" aca="1" ref="X15" ca="1">INDEX(Master!$H$2:'Master'!$H$4384,MATCH($A15&amp;X$2,Master!$A$2:'Master'!$A$4384&amp;Master!$C$2:'Master'!$C$4384,0))</f>
        <v>99</v>
      </c>
      <c r="Y15" s="21" cm="1">
        <f t="array" aca="1" ref="Y15" ca="1">INDEX(Master!$H$2:'Master'!$H$4384,MATCH($A15&amp;Y$2,Master!$A$2:'Master'!$A$4384&amp;Master!$C$2:'Master'!$C$4384,0))</f>
        <v>99</v>
      </c>
      <c r="Z15" s="21" cm="1">
        <f t="array" aca="1" ref="Z15" ca="1">INDEX(Master!$H$2:'Master'!$H$4384,MATCH($A15&amp;Z$2,Master!$A$2:'Master'!$A$4384&amp;Master!$C$2:'Master'!$C$4384,0))</f>
        <v>97</v>
      </c>
      <c r="AA15" s="21" cm="1">
        <f t="array" aca="1" ref="AA15" ca="1">INDEX(Master!$H$2:'Master'!$H$4384,MATCH($A15&amp;AA$2,Master!$A$2:'Master'!$A$4384&amp;Master!$C$2:'Master'!$C$4384,0))</f>
        <v>97</v>
      </c>
      <c r="AB15" s="21" cm="1">
        <f t="array" aca="1" ref="AB15" ca="1">INDEX(Master!$H$2:'Master'!$H$4384,MATCH($A15&amp;AB$2,Master!$A$2:'Master'!$A$4384&amp;Master!$C$2:'Master'!$C$4384,0))</f>
        <v>98</v>
      </c>
      <c r="AC15" s="21" cm="1">
        <f t="array" aca="1" ref="AC15" ca="1">INDEX(Master!$H$2:'Master'!$H$4384,MATCH($A15&amp;AC$2,Master!$A$2:'Master'!$A$4384&amp;Master!$C$2:'Master'!$C$4384,0))</f>
        <v>97</v>
      </c>
      <c r="AD15" s="21" cm="1">
        <f t="array" aca="1" ref="AD15" ca="1">INDEX(Master!$H$2:'Master'!$H$4384,MATCH($A15&amp;AD$2,Master!$A$2:'Master'!$A$4384&amp;Master!$C$2:'Master'!$C$4384,0))</f>
        <v>98</v>
      </c>
      <c r="AE15" s="21" cm="1">
        <f t="array" aca="1" ref="AE15" ca="1">INDEX(Master!$H$2:'Master'!$H$4384,MATCH($A15&amp;AE$2,Master!$A$2:'Master'!$A$4384&amp;Master!$C$2:'Master'!$C$4384,0))</f>
        <v>99</v>
      </c>
      <c r="AF15" s="21" cm="1">
        <f t="array" aca="1" ref="AF15" ca="1">INDEX(Master!$H$2:'Master'!$H$4384,MATCH($A15&amp;AF$2,Master!$A$2:'Master'!$A$4384&amp;Master!$C$2:'Master'!$C$4384,0))</f>
        <v>99</v>
      </c>
      <c r="AG15" s="21" cm="1">
        <f t="array" aca="1" ref="AG15" ca="1">INDEX(Master!$H$2:'Master'!$H$4384,MATCH($A15&amp;AG$2,Master!$A$2:'Master'!$A$4384&amp;Master!$C$2:'Master'!$C$4384,0))</f>
        <v>99</v>
      </c>
      <c r="AH15" s="21" cm="1">
        <f t="array" aca="1" ref="AH15" ca="1">INDEX(Master!$H$2:'Master'!$H$4384,MATCH($A15&amp;AH$2,Master!$A$2:'Master'!$A$4384&amp;Master!$C$2:'Master'!$C$4384,0))</f>
        <v>99</v>
      </c>
      <c r="AI15" s="21" cm="1">
        <f t="array" aca="1" ref="AI15" ca="1">INDEX(Master!$H$2:'Master'!$H$4384,MATCH($A15&amp;AI$2,Master!$A$2:'Master'!$A$4384&amp;Master!$C$2:'Master'!$C$4384,0))</f>
        <v>99</v>
      </c>
      <c r="AJ15" s="21" cm="1">
        <f t="array" aca="1" ref="AJ15" ca="1">INDEX(Master!$H$2:'Master'!$H$4384,MATCH($A15&amp;AJ$2,Master!$A$2:'Master'!$A$4384&amp;Master!$C$2:'Master'!$C$4384,0))</f>
        <v>99</v>
      </c>
      <c r="AK15" s="21" cm="1">
        <f t="array" aca="1" ref="AK15" ca="1">INDEX(Master!$H$2:'Master'!$H$4384,MATCH($A15&amp;AK$2,Master!$A$2:'Master'!$A$4384&amp;Master!$C$2:'Master'!$C$4384,0))</f>
        <v>99</v>
      </c>
      <c r="AL15" s="21" cm="1">
        <f t="array" aca="1" ref="AL15" ca="1">INDEX(Master!$H$2:'Master'!$H$4384,MATCH($A15&amp;AL$2,Master!$A$2:'Master'!$A$4384&amp;Master!$C$2:'Master'!$C$4384,0))</f>
        <v>99</v>
      </c>
      <c r="AM15" s="21" cm="1">
        <f t="array" aca="1" ref="AM15" ca="1">INDEX(Master!$H$2:'Master'!$H$4384,MATCH($A15&amp;AM$2,Master!$A$2:'Master'!$A$4384&amp;Master!$C$2:'Master'!$C$4384,0))</f>
        <v>99</v>
      </c>
      <c r="AN15" s="21" cm="1">
        <f t="array" aca="1" ref="AN15" ca="1">INDEX(Master!$H$2:'Master'!$H$4384,MATCH($A15&amp;AN$2,Master!$A$2:'Master'!$A$4384&amp;Master!$C$2:'Master'!$C$4384,0))</f>
        <v>99</v>
      </c>
      <c r="AO15" s="21" cm="1">
        <f t="array" aca="1" ref="AO15" ca="1">INDEX(Master!$H$2:'Master'!$H$4384,MATCH($A15&amp;AO$2,Master!$A$2:'Master'!$A$4384&amp;Master!$C$2:'Master'!$C$4384,0))</f>
        <v>98</v>
      </c>
      <c r="AP15" s="21" cm="1">
        <f t="array" aca="1" ref="AP15" ca="1">INDEX(Master!$H$2:'Master'!$H$4384,MATCH($A15&amp;AP$2,Master!$A$2:'Master'!$A$4384&amp;Master!$C$2:'Master'!$C$4384,0))</f>
        <v>97</v>
      </c>
      <c r="AQ15" s="21" cm="1">
        <f t="array" aca="1" ref="AQ15" ca="1">INDEX(Master!$H$2:'Master'!$H$4384,MATCH($A15&amp;AQ$2,Master!$A$2:'Master'!$A$4384&amp;Master!$C$2:'Master'!$C$4384,0))</f>
        <v>98</v>
      </c>
      <c r="AR15" s="21" cm="1">
        <f t="array" aca="1" ref="AR15" ca="1">INDEX(Master!$H$2:'Master'!$H$4384,MATCH($A15&amp;AR$2,Master!$A$2:'Master'!$A$4384&amp;Master!$C$2:'Master'!$C$4384,0))</f>
        <v>98</v>
      </c>
      <c r="AS15" s="21" cm="1">
        <f t="array" aca="1" ref="AS15" ca="1">INDEX(Master!$H$2:'Master'!$H$4384,MATCH($A15&amp;AS$2,Master!$A$2:'Master'!$A$4384&amp;Master!$C$2:'Master'!$C$4384,0))</f>
        <v>99</v>
      </c>
      <c r="AT15" s="21" cm="1">
        <f t="array" aca="1" ref="AT15" ca="1">INDEX(Master!$H$2:'Master'!$H$4384,MATCH($A15&amp;AT$2,Master!$A$2:'Master'!$A$4384&amp;Master!$C$2:'Master'!$C$4384,0))</f>
        <v>99</v>
      </c>
      <c r="AU15" s="21" cm="1">
        <f t="array" aca="1" ref="AU15" ca="1">INDEX(Master!$H$2:'Master'!$H$4384,MATCH($A15&amp;AU$2,Master!$A$2:'Master'!$A$4384&amp;Master!$C$2:'Master'!$C$4384,0))</f>
        <v>99</v>
      </c>
      <c r="AV15" s="21" cm="1">
        <f t="array" aca="1" ref="AV15" ca="1">INDEX(Master!$H$2:'Master'!$H$4384,MATCH($A15&amp;AV$2,Master!$A$2:'Master'!$A$4384&amp;Master!$C$2:'Master'!$C$4384,0))</f>
        <v>97</v>
      </c>
      <c r="AW15" s="21" cm="1">
        <f t="array" aca="1" ref="AW15" ca="1">INDEX(Master!$H$2:'Master'!$H$4384,MATCH($A15&amp;AW$2,Master!$A$2:'Master'!$A$4384&amp;Master!$C$2:'Master'!$C$4384,0))</f>
        <v>99</v>
      </c>
      <c r="AX15" s="21" cm="1">
        <f t="array" aca="1" ref="AX15" ca="1">INDEX(Master!$H$2:'Master'!$H$4384,MATCH($A15&amp;AX$2,Master!$A$2:'Master'!$A$4384&amp;Master!$C$2:'Master'!$C$4384,0))</f>
        <v>99</v>
      </c>
      <c r="AY15" s="21" cm="1">
        <f t="array" aca="1" ref="AY15" ca="1">INDEX(Master!$H$2:'Master'!$H$4384,MATCH($A15&amp;AY$2,Master!$A$2:'Master'!$A$4384&amp;Master!$C$2:'Master'!$C$4384,0))</f>
        <v>99</v>
      </c>
      <c r="AZ15" s="21" cm="1">
        <f t="array" aca="1" ref="AZ15" ca="1">INDEX(Master!$H$2:'Master'!$H$4384,MATCH($A15&amp;AZ$2,Master!$A$2:'Master'!$A$4384&amp;Master!$C$2:'Master'!$C$4384,0))</f>
        <v>98</v>
      </c>
      <c r="BA15" s="21" cm="1">
        <f t="array" aca="1" ref="BA15" ca="1">INDEX(Master!$H$2:'Master'!$H$4384,MATCH($A15&amp;BA$2,Master!$A$2:'Master'!$A$4384&amp;Master!$C$2:'Master'!$C$4384,0))</f>
        <v>99</v>
      </c>
      <c r="BB15" s="21" cm="1">
        <f t="array" aca="1" ref="BB15" ca="1">INDEX(Master!$H$2:'Master'!$H$4384,MATCH($A15&amp;BB$2,Master!$A$2:'Master'!$A$4384&amp;Master!$C$2:'Master'!$C$4384,0))</f>
        <v>99</v>
      </c>
      <c r="BC15" s="21" cm="1">
        <f t="array" aca="1" ref="BC15" ca="1">INDEX(Master!$H$2:'Master'!$H$4384,MATCH($A15&amp;BC$2,Master!$A$2:'Master'!$A$4384&amp;Master!$C$2:'Master'!$C$4384,0))</f>
        <v>99</v>
      </c>
      <c r="BD15" s="21" cm="1">
        <f t="array" aca="1" ref="BD15" ca="1">INDEX(Master!$H$2:'Master'!$H$4384,MATCH($A15&amp;BD$2,Master!$A$2:'Master'!$A$4384&amp;Master!$C$2:'Master'!$C$4384,0))</f>
        <v>99</v>
      </c>
      <c r="BE15" s="21" cm="1">
        <f t="array" aca="1" ref="BE15" ca="1">INDEX(Master!$H$2:'Master'!$H$4384,MATCH($A15&amp;BE$2,Master!$A$2:'Master'!$A$4384&amp;Master!$C$2:'Master'!$C$4384,0))</f>
        <v>99</v>
      </c>
      <c r="BF15" s="21" cm="1">
        <f t="array" aca="1" ref="BF15" ca="1">INDEX(Master!$H$2:'Master'!$H$4384,MATCH($A15&amp;BF$2,Master!$A$2:'Master'!$A$4384&amp;Master!$C$2:'Master'!$C$4384,0))</f>
        <v>99</v>
      </c>
      <c r="BG15" s="21" cm="1">
        <f t="array" aca="1" ref="BG15" ca="1">INDEX(Master!$H$2:'Master'!$H$4384,MATCH($A15&amp;BG$2,Master!$A$2:'Master'!$A$4384&amp;Master!$C$2:'Master'!$C$4384,0))</f>
        <v>97</v>
      </c>
      <c r="BH15" s="21" cm="1">
        <f t="array" aca="1" ref="BH15" ca="1">INDEX(Master!$H$2:'Master'!$H$4384,MATCH($A15&amp;BH$2,Master!$A$2:'Master'!$A$4384&amp;Master!$C$2:'Master'!$C$4384,0))</f>
        <v>99</v>
      </c>
      <c r="BI15" s="21" cm="1">
        <f t="array" aca="1" ref="BI15" ca="1">INDEX(Master!$H$2:'Master'!$H$4384,MATCH($A15&amp;BI$2,Master!$A$2:'Master'!$A$4384&amp;Master!$C$2:'Master'!$C$4384,0))</f>
        <v>98</v>
      </c>
      <c r="BJ15" s="21" cm="1">
        <f t="array" aca="1" ref="BJ15" ca="1">INDEX(Master!$H$2:'Master'!$H$4384,MATCH($A15&amp;BJ$2,Master!$A$2:'Master'!$A$4384&amp;Master!$C$2:'Master'!$C$4384,0))</f>
        <v>99</v>
      </c>
      <c r="BK15" s="21" cm="1">
        <f t="array" aca="1" ref="BK15" ca="1">INDEX(Master!$H$2:'Master'!$H$4384,MATCH($A15&amp;BK$2,Master!$A$2:'Master'!$A$4384&amp;Master!$C$2:'Master'!$C$4384,0))</f>
        <v>98</v>
      </c>
      <c r="BL15" s="21" cm="1">
        <f t="array" aca="1" ref="BL15" ca="1">INDEX(Master!$H$2:'Master'!$H$4384,MATCH($A15&amp;BL$2,Master!$A$2:'Master'!$A$4384&amp;Master!$C$2:'Master'!$C$4384,0))</f>
        <v>98</v>
      </c>
      <c r="BM15" s="21" cm="1">
        <f t="array" aca="1" ref="BM15" ca="1">INDEX(Master!$H$2:'Master'!$H$4384,MATCH($A15&amp;BM$2,Master!$A$2:'Master'!$A$4384&amp;Master!$C$2:'Master'!$C$4384,0))</f>
        <v>98</v>
      </c>
      <c r="BN15" s="21" cm="1">
        <f t="array" aca="1" ref="BN15" ca="1">INDEX(Master!$H$2:'Master'!$H$4384,MATCH($A15&amp;BN$2,Master!$A$2:'Master'!$A$4384&amp;Master!$C$2:'Master'!$C$4384,0))</f>
        <v>99</v>
      </c>
      <c r="BO15" s="21" cm="1">
        <f t="array" aca="1" ref="BO15" ca="1">INDEX(Master!$H$2:'Master'!$H$4384,MATCH($A15&amp;BO$2,Master!$A$2:'Master'!$A$4384&amp;Master!$C$2:'Master'!$C$4384,0))</f>
        <v>99</v>
      </c>
      <c r="BP15" s="21" cm="1">
        <f t="array" aca="1" ref="BP15" ca="1">INDEX(Master!$H$2:'Master'!$H$4384,MATCH($A15&amp;BP$2,Master!$A$2:'Master'!$A$4384&amp;Master!$C$2:'Master'!$C$4384,0))</f>
        <v>99</v>
      </c>
      <c r="BQ15" s="21" cm="1">
        <f t="array" aca="1" ref="BQ15" ca="1">INDEX(Master!$H$2:'Master'!$H$4384,MATCH($A15&amp;BQ$2,Master!$A$2:'Master'!$A$4384&amp;Master!$C$2:'Master'!$C$4384,0))</f>
        <v>98</v>
      </c>
      <c r="BR15" s="21" cm="1">
        <f t="array" aca="1" ref="BR15" ca="1">INDEX(Master!$H$2:'Master'!$H$4384,MATCH($A15&amp;BR$2,Master!$A$2:'Master'!$A$4384&amp;Master!$C$2:'Master'!$C$4384,0))</f>
        <v>99</v>
      </c>
      <c r="BS15" s="21" cm="1">
        <f t="array" aca="1" ref="BS15" ca="1">INDEX(Master!$H$2:'Master'!$H$4384,MATCH($A15&amp;BS$2,Master!$A$2:'Master'!$A$4384&amp;Master!$C$2:'Master'!$C$4384,0))</f>
        <v>99</v>
      </c>
      <c r="BT15" s="21" cm="1">
        <f t="array" aca="1" ref="BT15" ca="1">INDEX(Master!$H$2:'Master'!$H$4384,MATCH($A15&amp;BT$2,Master!$A$2:'Master'!$A$4384&amp;Master!$C$2:'Master'!$C$4384,0))</f>
        <v>99</v>
      </c>
      <c r="BU15" s="21" cm="1">
        <f t="array" aca="1" ref="BU15" ca="1">INDEX(Master!$H$2:'Master'!$H$4384,MATCH($A15&amp;BU$2,Master!$A$2:'Master'!$A$4384&amp;Master!$C$2:'Master'!$C$4384,0))</f>
        <v>99</v>
      </c>
      <c r="BV15" s="21" cm="1">
        <f t="array" aca="1" ref="BV15" ca="1">INDEX(Master!$H$2:'Master'!$H$4384,MATCH($A15&amp;BV$2,Master!$A$2:'Master'!$A$4384&amp;Master!$C$2:'Master'!$C$4384,0))</f>
        <v>97</v>
      </c>
      <c r="BW15" s="21" cm="1">
        <f t="array" aca="1" ref="BW15" ca="1">INDEX(Master!$H$2:'Master'!$H$4384,MATCH($A15&amp;BW$2,Master!$A$2:'Master'!$A$4384&amp;Master!$C$2:'Master'!$C$4384,0))</f>
        <v>99</v>
      </c>
      <c r="BX15" s="21" cm="1">
        <f t="array" aca="1" ref="BX15" ca="1">INDEX(Master!$H$2:'Master'!$H$4384,MATCH($A15&amp;BX$2,Master!$A$2:'Master'!$A$4384&amp;Master!$C$2:'Master'!$C$4384,0))</f>
        <v>97</v>
      </c>
      <c r="BY15" s="21" cm="1">
        <f t="array" aca="1" ref="BY15" ca="1">INDEX(Master!$H$2:'Master'!$H$4384,MATCH($A15&amp;BY$2,Master!$A$2:'Master'!$A$4384&amp;Master!$C$2:'Master'!$C$4384,0))</f>
        <v>99</v>
      </c>
      <c r="BZ15" s="21" cm="1">
        <f t="array" aca="1" ref="BZ15" ca="1">INDEX(Master!$H$2:'Master'!$H$4384,MATCH($A15&amp;BZ$2,Master!$A$2:'Master'!$A$4384&amp;Master!$C$2:'Master'!$C$4384,0))</f>
        <v>98</v>
      </c>
      <c r="CA15" s="21" cm="1">
        <f t="array" aca="1" ref="CA15" ca="1">INDEX(Master!$H$2:'Master'!$H$4384,MATCH($A15&amp;CA$2,Master!$A$2:'Master'!$A$4384&amp;Master!$C$2:'Master'!$C$4384,0))</f>
        <v>99</v>
      </c>
      <c r="CB15" s="21" cm="1">
        <f t="array" aca="1" ref="CB15" ca="1">INDEX(Master!$H$2:'Master'!$H$4384,MATCH($A15&amp;CB$2,Master!$A$2:'Master'!$A$4384&amp;Master!$C$2:'Master'!$C$4384,0))</f>
        <v>98</v>
      </c>
      <c r="CC15" s="21" cm="1">
        <f t="array" aca="1" ref="CC15" ca="1">INDEX(Master!$H$2:'Master'!$H$4384,MATCH($A15&amp;CC$2,Master!$A$2:'Master'!$A$4384&amp;Master!$C$2:'Master'!$C$4384,0))</f>
        <v>98</v>
      </c>
      <c r="CD15" s="21" cm="1">
        <f t="array" aca="1" ref="CD15" ca="1">INDEX(Master!$H$2:'Master'!$H$4384,MATCH($A15&amp;CD$2,Master!$A$2:'Master'!$A$4384&amp;Master!$C$2:'Master'!$C$4384,0))</f>
        <v>98</v>
      </c>
      <c r="CE15" s="21" cm="1">
        <f t="array" aca="1" ref="CE15" ca="1">INDEX(Master!$H$2:'Master'!$H$4384,MATCH($A15&amp;CE$2,Master!$A$2:'Master'!$A$4384&amp;Master!$C$2:'Master'!$C$4384,0))</f>
        <v>98</v>
      </c>
      <c r="CF15" s="21" cm="1">
        <f t="array" aca="1" ref="CF15" ca="1">INDEX(Master!$H$2:'Master'!$H$4384,MATCH($A15&amp;CF$2,Master!$A$2:'Master'!$A$4384&amp;Master!$C$2:'Master'!$C$4384,0))</f>
        <v>98</v>
      </c>
      <c r="CG15" s="21" cm="1">
        <f t="array" aca="1" ref="CG15" ca="1">INDEX(Master!$H$2:'Master'!$H$4384,MATCH($A15&amp;CG$2,Master!$A$2:'Master'!$A$4384&amp;Master!$C$2:'Master'!$C$4384,0))</f>
        <v>98</v>
      </c>
      <c r="CH15" s="21" cm="1">
        <f t="array" aca="1" ref="CH15" ca="1">INDEX(Master!$H$2:'Master'!$H$4384,MATCH($A15&amp;CH$2,Master!$A$2:'Master'!$A$4384&amp;Master!$C$2:'Master'!$C$4384,0))</f>
        <v>98</v>
      </c>
      <c r="CI15" s="21" cm="1">
        <f t="array" aca="1" ref="CI15" ca="1">INDEX(Master!$H$2:'Master'!$H$4384,MATCH($A15&amp;CI$2,Master!$A$2:'Master'!$A$4384&amp;Master!$C$2:'Master'!$C$4384,0))</f>
        <v>98</v>
      </c>
      <c r="CJ15" s="21" cm="1">
        <f t="array" aca="1" ref="CJ15" ca="1">INDEX(Master!$H$2:'Master'!$H$4384,MATCH($A15&amp;CJ$2,Master!$A$2:'Master'!$A$4384&amp;Master!$C$2:'Master'!$C$4384,0))</f>
        <v>99</v>
      </c>
      <c r="CK15" s="21" cm="1">
        <f t="array" aca="1" ref="CK15" ca="1">INDEX(Master!$H$2:'Master'!$H$4384,MATCH($A15&amp;CK$2,Master!$A$2:'Master'!$A$4384&amp;Master!$C$2:'Master'!$C$4384,0))</f>
        <v>99</v>
      </c>
      <c r="CL15" s="21" cm="1">
        <f t="array" aca="1" ref="CL15" ca="1">INDEX(Master!$H$2:'Master'!$H$4384,MATCH($A15&amp;CL$2,Master!$A$2:'Master'!$A$4384&amp;Master!$C$2:'Master'!$C$4384,0))</f>
        <v>99</v>
      </c>
      <c r="CM15" s="21" cm="1">
        <f t="array" aca="1" ref="CM15" ca="1">INDEX(Master!$H$2:'Master'!$H$4384,MATCH($A15&amp;CM$2,Master!$A$2:'Master'!$A$4384&amp;Master!$C$2:'Master'!$C$4384,0))</f>
        <v>99</v>
      </c>
      <c r="CN15" s="21" cm="1">
        <f t="array" aca="1" ref="CN15" ca="1">INDEX(Master!$H$2:'Master'!$H$4384,MATCH($A15&amp;CN$2,Master!$A$2:'Master'!$A$4384&amp;Master!$C$2:'Master'!$C$4384,0))</f>
        <v>97</v>
      </c>
      <c r="CO15" s="21" cm="1">
        <f t="array" aca="1" ref="CO15" ca="1">INDEX(Master!$H$2:'Master'!$H$4384,MATCH($A15&amp;CO$2,Master!$A$2:'Master'!$A$4384&amp;Master!$C$2:'Master'!$C$4384,0))</f>
        <v>97</v>
      </c>
      <c r="CP15" s="21" cm="1">
        <f t="array" aca="1" ref="CP15" ca="1">INDEX(Master!$H$2:'Master'!$H$4384,MATCH($A15&amp;CP$2,Master!$A$2:'Master'!$A$4384&amp;Master!$C$2:'Master'!$C$4384,0))</f>
        <v>97</v>
      </c>
      <c r="CQ15" s="21" cm="1">
        <f t="array" aca="1" ref="CQ15" ca="1">INDEX(Master!$H$2:'Master'!$H$4384,MATCH($A15&amp;CQ$2,Master!$A$2:'Master'!$A$4384&amp;Master!$C$2:'Master'!$C$4384,0))</f>
        <v>99</v>
      </c>
      <c r="CR15" s="21" cm="1">
        <f t="array" aca="1" ref="CR15" ca="1">INDEX(Master!$H$2:'Master'!$H$4384,MATCH($A15&amp;CR$2,Master!$A$2:'Master'!$A$4384&amp;Master!$C$2:'Master'!$C$4384,0))</f>
        <v>99</v>
      </c>
      <c r="CS15" s="21" cm="1">
        <f t="array" aca="1" ref="CS15" ca="1">INDEX(Master!$H$2:'Master'!$H$4384,MATCH($A15&amp;CS$2,Master!$A$2:'Master'!$A$4384&amp;Master!$C$2:'Master'!$C$4384,0))</f>
        <v>98</v>
      </c>
    </row>
    <row r="16" spans="1:97">
      <c r="A16" s="22" t="str">
        <f>VLOOKUP(Staff!$A13,Staff!$A$1:A$73,1,FALSE)</f>
        <v>Jack Frost</v>
      </c>
      <c r="B16" s="21" cm="1">
        <f t="array" aca="1" ref="B16" ca="1">INDEX(Master!$H$2:'Master'!$H$4384,MATCH($A16&amp;B$2,Master!$A$2:'Master'!$A$4384&amp;Master!$C$2:'Master'!$C$4384,0))</f>
        <v>1</v>
      </c>
      <c r="C16" s="21" cm="1">
        <f t="array" aca="1" ref="C16" ca="1">INDEX(Master!$H$2:'Master'!$H$4384,MATCH($A16&amp;C$2,Master!$A$2:'Master'!$A$4384&amp;Master!$C$2:'Master'!$C$4384,0))</f>
        <v>0</v>
      </c>
      <c r="D16" s="21" cm="1">
        <f t="array" aca="1" ref="D16" ca="1">INDEX(Master!$H$2:'Master'!$H$4384,MATCH($A16&amp;D$2,Master!$A$2:'Master'!$A$4384&amp;Master!$C$2:'Master'!$C$4384,0))</f>
        <v>0</v>
      </c>
      <c r="E16" s="21" cm="1">
        <f t="array" aca="1" ref="E16" ca="1">INDEX(Master!$H$2:'Master'!$H$4384,MATCH($A16&amp;E$2,Master!$A$2:'Master'!$A$4384&amp;Master!$C$2:'Master'!$C$4384,0))</f>
        <v>1</v>
      </c>
      <c r="F16" s="21" cm="1">
        <f t="array" aca="1" ref="F16" ca="1">INDEX(Master!$H$2:'Master'!$H$4384,MATCH($A16&amp;F$2,Master!$A$2:'Master'!$A$4384&amp;Master!$C$2:'Master'!$C$4384,0))</f>
        <v>1</v>
      </c>
      <c r="G16" s="21" cm="1">
        <f t="array" aca="1" ref="G16" ca="1">INDEX(Master!$H$2:'Master'!$H$4384,MATCH($A16&amp;G$2,Master!$A$2:'Master'!$A$4384&amp;Master!$C$2:'Master'!$C$4384,0))</f>
        <v>1</v>
      </c>
      <c r="H16" s="21" cm="1">
        <f t="array" aca="1" ref="H16" ca="1">INDEX(Master!$H$2:'Master'!$H$4384,MATCH($A16&amp;H$2,Master!$A$2:'Master'!$A$4384&amp;Master!$C$2:'Master'!$C$4384,0))</f>
        <v>0</v>
      </c>
      <c r="I16" s="21" cm="1">
        <f t="array" aca="1" ref="I16" ca="1">INDEX(Master!$H$2:'Master'!$H$4384,MATCH($A16&amp;I$2,Master!$A$2:'Master'!$A$4384&amp;Master!$C$2:'Master'!$C$4384,0))</f>
        <v>0</v>
      </c>
      <c r="J16" s="21" cm="1">
        <f t="array" aca="1" ref="J16" ca="1">INDEX(Master!$H$2:'Master'!$H$4384,MATCH($A16&amp;J$2,Master!$A$2:'Master'!$A$4384&amp;Master!$C$2:'Master'!$C$4384,0))</f>
        <v>0</v>
      </c>
      <c r="K16" s="21" cm="1">
        <f t="array" aca="1" ref="K16" ca="1">INDEX(Master!$H$2:'Master'!$H$4384,MATCH($A16&amp;K$2,Master!$A$2:'Master'!$A$4384&amp;Master!$C$2:'Master'!$C$4384,0))</f>
        <v>-1</v>
      </c>
      <c r="L16" s="21" cm="1">
        <f t="array" aca="1" ref="L16" ca="1">INDEX(Master!$H$2:'Master'!$H$4384,MATCH($A16&amp;L$2,Master!$A$2:'Master'!$A$4384&amp;Master!$C$2:'Master'!$C$4384,0))</f>
        <v>-2</v>
      </c>
      <c r="M16" s="21" cm="1">
        <f t="array" aca="1" ref="M16" ca="1">INDEX(Master!$H$2:'Master'!$H$4384,MATCH($A16&amp;M$2,Master!$A$2:'Master'!$A$4384&amp;Master!$C$2:'Master'!$C$4384,0))</f>
        <v>-2</v>
      </c>
      <c r="N16" s="21" cm="1">
        <f t="array" aca="1" ref="N16" ca="1">INDEX(Master!$H$2:'Master'!$H$4384,MATCH($A16&amp;N$2,Master!$A$2:'Master'!$A$4384&amp;Master!$C$2:'Master'!$C$4384,0))</f>
        <v>-1</v>
      </c>
      <c r="O16" s="21" cm="1">
        <f t="array" aca="1" ref="O16" ca="1">INDEX(Master!$H$2:'Master'!$H$4384,MATCH($A16&amp;O$2,Master!$A$2:'Master'!$A$4384&amp;Master!$C$2:'Master'!$C$4384,0))</f>
        <v>0</v>
      </c>
      <c r="P16" s="21" cm="1">
        <f t="array" aca="1" ref="P16" ca="1">INDEX(Master!$H$2:'Master'!$H$4384,MATCH($A16&amp;P$2,Master!$A$2:'Master'!$A$4384&amp;Master!$C$2:'Master'!$C$4384,0))</f>
        <v>0</v>
      </c>
      <c r="Q16" s="21" cm="1">
        <f t="array" aca="1" ref="Q16" ca="1">INDEX(Master!$H$2:'Master'!$H$4384,MATCH($A16&amp;Q$2,Master!$A$2:'Master'!$A$4384&amp;Master!$C$2:'Master'!$C$4384,0))</f>
        <v>0</v>
      </c>
      <c r="R16" s="21" cm="1">
        <f t="array" aca="1" ref="R16" ca="1">INDEX(Master!$H$2:'Master'!$H$4384,MATCH($A16&amp;R$2,Master!$A$2:'Master'!$A$4384&amp;Master!$C$2:'Master'!$C$4384,0))</f>
        <v>-1</v>
      </c>
      <c r="S16" s="21" cm="1">
        <f t="array" aca="1" ref="S16" ca="1">INDEX(Master!$H$2:'Master'!$H$4384,MATCH($A16&amp;S$2,Master!$A$2:'Master'!$A$4384&amp;Master!$C$2:'Master'!$C$4384,0))</f>
        <v>-1</v>
      </c>
      <c r="T16" s="21" cm="1">
        <f t="array" aca="1" ref="T16" ca="1">INDEX(Master!$H$2:'Master'!$H$4384,MATCH($A16&amp;T$2,Master!$A$2:'Master'!$A$4384&amp;Master!$C$2:'Master'!$C$4384,0))</f>
        <v>0</v>
      </c>
      <c r="U16" s="21" cm="1">
        <f t="array" aca="1" ref="U16" ca="1">INDEX(Master!$H$2:'Master'!$H$4384,MATCH($A16&amp;U$2,Master!$A$2:'Master'!$A$4384&amp;Master!$C$2:'Master'!$C$4384,0))</f>
        <v>1</v>
      </c>
      <c r="V16" s="21" cm="1">
        <f t="array" aca="1" ref="V16" ca="1">INDEX(Master!$H$2:'Master'!$H$4384,MATCH($A16&amp;V$2,Master!$A$2:'Master'!$A$4384&amp;Master!$C$2:'Master'!$C$4384,0))</f>
        <v>1</v>
      </c>
      <c r="W16" s="21" cm="1">
        <f t="array" aca="1" ref="W16" ca="1">INDEX(Master!$H$2:'Master'!$H$4384,MATCH($A16&amp;W$2,Master!$A$2:'Master'!$A$4384&amp;Master!$C$2:'Master'!$C$4384,0))</f>
        <v>1</v>
      </c>
      <c r="X16" s="21" cm="1">
        <f t="array" aca="1" ref="X16" ca="1">INDEX(Master!$H$2:'Master'!$H$4384,MATCH($A16&amp;X$2,Master!$A$2:'Master'!$A$4384&amp;Master!$C$2:'Master'!$C$4384,0))</f>
        <v>0</v>
      </c>
      <c r="Y16" s="21" cm="1">
        <f t="array" aca="1" ref="Y16" ca="1">INDEX(Master!$H$2:'Master'!$H$4384,MATCH($A16&amp;Y$2,Master!$A$2:'Master'!$A$4384&amp;Master!$C$2:'Master'!$C$4384,0))</f>
        <v>-1</v>
      </c>
      <c r="Z16" s="21" cm="1">
        <f t="array" aca="1" ref="Z16" ca="1">INDEX(Master!$H$2:'Master'!$H$4384,MATCH($A16&amp;Z$2,Master!$A$2:'Master'!$A$4384&amp;Master!$C$2:'Master'!$C$4384,0))</f>
        <v>-1</v>
      </c>
      <c r="AA16" s="21" cm="1">
        <f t="array" aca="1" ref="AA16" ca="1">INDEX(Master!$H$2:'Master'!$H$4384,MATCH($A16&amp;AA$2,Master!$A$2:'Master'!$A$4384&amp;Master!$C$2:'Master'!$C$4384,0))</f>
        <v>-1</v>
      </c>
      <c r="AB16" s="21" cm="1">
        <f t="array" aca="1" ref="AB16" ca="1">INDEX(Master!$H$2:'Master'!$H$4384,MATCH($A16&amp;AB$2,Master!$A$2:'Master'!$A$4384&amp;Master!$C$2:'Master'!$C$4384,0))</f>
        <v>0</v>
      </c>
      <c r="AC16" s="21" cm="1">
        <f t="array" aca="1" ref="AC16" ca="1">INDEX(Master!$H$2:'Master'!$H$4384,MATCH($A16&amp;AC$2,Master!$A$2:'Master'!$A$4384&amp;Master!$C$2:'Master'!$C$4384,0))</f>
        <v>0</v>
      </c>
      <c r="AD16" s="21" cm="1">
        <f t="array" aca="1" ref="AD16" ca="1">INDEX(Master!$H$2:'Master'!$H$4384,MATCH($A16&amp;AD$2,Master!$A$2:'Master'!$A$4384&amp;Master!$C$2:'Master'!$C$4384,0))</f>
        <v>0</v>
      </c>
      <c r="AE16" s="21" cm="1">
        <f t="array" aca="1" ref="AE16" ca="1">INDEX(Master!$H$2:'Master'!$H$4384,MATCH($A16&amp;AE$2,Master!$A$2:'Master'!$A$4384&amp;Master!$C$2:'Master'!$C$4384,0))</f>
        <v>1</v>
      </c>
      <c r="AF16" s="21" cm="1">
        <f t="array" aca="1" ref="AF16" ca="1">INDEX(Master!$H$2:'Master'!$H$4384,MATCH($A16&amp;AF$2,Master!$A$2:'Master'!$A$4384&amp;Master!$C$2:'Master'!$C$4384,0))</f>
        <v>2</v>
      </c>
      <c r="AG16" s="21" cm="1">
        <f t="array" aca="1" ref="AG16" ca="1">INDEX(Master!$H$2:'Master'!$H$4384,MATCH($A16&amp;AG$2,Master!$A$2:'Master'!$A$4384&amp;Master!$C$2:'Master'!$C$4384,0))</f>
        <v>1</v>
      </c>
      <c r="AH16" s="21" cm="1">
        <f t="array" aca="1" ref="AH16" ca="1">INDEX(Master!$H$2:'Master'!$H$4384,MATCH($A16&amp;AH$2,Master!$A$2:'Master'!$A$4384&amp;Master!$C$2:'Master'!$C$4384,0))</f>
        <v>1</v>
      </c>
      <c r="AI16" s="21" cm="1">
        <f t="array" aca="1" ref="AI16" ca="1">INDEX(Master!$H$2:'Master'!$H$4384,MATCH($A16&amp;AI$2,Master!$A$2:'Master'!$A$4384&amp;Master!$C$2:'Master'!$C$4384,0))</f>
        <v>-1</v>
      </c>
      <c r="AJ16" s="21" cm="1">
        <f t="array" aca="1" ref="AJ16" ca="1">INDEX(Master!$H$2:'Master'!$H$4384,MATCH($A16&amp;AJ$2,Master!$A$2:'Master'!$A$4384&amp;Master!$C$2:'Master'!$C$4384,0))</f>
        <v>0</v>
      </c>
      <c r="AK16" s="21" cm="1">
        <f t="array" aca="1" ref="AK16" ca="1">INDEX(Master!$H$2:'Master'!$H$4384,MATCH($A16&amp;AK$2,Master!$A$2:'Master'!$A$4384&amp;Master!$C$2:'Master'!$C$4384,0))</f>
        <v>-2</v>
      </c>
      <c r="AL16" s="21" cm="1">
        <f t="array" aca="1" ref="AL16" ca="1">INDEX(Master!$H$2:'Master'!$H$4384,MATCH($A16&amp;AL$2,Master!$A$2:'Master'!$A$4384&amp;Master!$C$2:'Master'!$C$4384,0))</f>
        <v>1</v>
      </c>
      <c r="AM16" s="21" cm="1">
        <f t="array" aca="1" ref="AM16" ca="1">INDEX(Master!$H$2:'Master'!$H$4384,MATCH($A16&amp;AM$2,Master!$A$2:'Master'!$A$4384&amp;Master!$C$2:'Master'!$C$4384,0))</f>
        <v>2</v>
      </c>
      <c r="AN16" s="21" cm="1">
        <f t="array" aca="1" ref="AN16" ca="1">INDEX(Master!$H$2:'Master'!$H$4384,MATCH($A16&amp;AN$2,Master!$A$2:'Master'!$A$4384&amp;Master!$C$2:'Master'!$C$4384,0))</f>
        <v>1</v>
      </c>
      <c r="AO16" s="21" cm="1">
        <f t="array" aca="1" ref="AO16" ca="1">INDEX(Master!$H$2:'Master'!$H$4384,MATCH($A16&amp;AO$2,Master!$A$2:'Master'!$A$4384&amp;Master!$C$2:'Master'!$C$4384,0))</f>
        <v>1</v>
      </c>
      <c r="AP16" s="21" cm="1">
        <f t="array" aca="1" ref="AP16" ca="1">INDEX(Master!$H$2:'Master'!$H$4384,MATCH($A16&amp;AP$2,Master!$A$2:'Master'!$A$4384&amp;Master!$C$2:'Master'!$C$4384,0))</f>
        <v>1</v>
      </c>
      <c r="AQ16" s="21" cm="1">
        <f t="array" aca="1" ref="AQ16" ca="1">INDEX(Master!$H$2:'Master'!$H$4384,MATCH($A16&amp;AQ$2,Master!$A$2:'Master'!$A$4384&amp;Master!$C$2:'Master'!$C$4384,0))</f>
        <v>-1</v>
      </c>
      <c r="AR16" s="21" cm="1">
        <f t="array" aca="1" ref="AR16" ca="1">INDEX(Master!$H$2:'Master'!$H$4384,MATCH($A16&amp;AR$2,Master!$A$2:'Master'!$A$4384&amp;Master!$C$2:'Master'!$C$4384,0))</f>
        <v>-1</v>
      </c>
      <c r="AS16" s="21" cm="1">
        <f t="array" aca="1" ref="AS16" ca="1">INDEX(Master!$H$2:'Master'!$H$4384,MATCH($A16&amp;AS$2,Master!$A$2:'Master'!$A$4384&amp;Master!$C$2:'Master'!$C$4384,0))</f>
        <v>-2</v>
      </c>
      <c r="AT16" s="21" cm="1">
        <f t="array" aca="1" ref="AT16" ca="1">INDEX(Master!$H$2:'Master'!$H$4384,MATCH($A16&amp;AT$2,Master!$A$2:'Master'!$A$4384&amp;Master!$C$2:'Master'!$C$4384,0))</f>
        <v>-1</v>
      </c>
      <c r="AU16" s="21" cm="1">
        <f t="array" aca="1" ref="AU16" ca="1">INDEX(Master!$H$2:'Master'!$H$4384,MATCH($A16&amp;AU$2,Master!$A$2:'Master'!$A$4384&amp;Master!$C$2:'Master'!$C$4384,0))</f>
        <v>-1</v>
      </c>
      <c r="AV16" s="21" cm="1">
        <f t="array" aca="1" ref="AV16" ca="1">INDEX(Master!$H$2:'Master'!$H$4384,MATCH($A16&amp;AV$2,Master!$A$2:'Master'!$A$4384&amp;Master!$C$2:'Master'!$C$4384,0))</f>
        <v>-1</v>
      </c>
      <c r="AW16" s="21" cm="1">
        <f t="array" aca="1" ref="AW16" ca="1">INDEX(Master!$H$2:'Master'!$H$4384,MATCH($A16&amp;AW$2,Master!$A$2:'Master'!$A$4384&amp;Master!$C$2:'Master'!$C$4384,0))</f>
        <v>2</v>
      </c>
      <c r="AX16" s="21" cm="1">
        <f t="array" aca="1" ref="AX16" ca="1">INDEX(Master!$H$2:'Master'!$H$4384,MATCH($A16&amp;AX$2,Master!$A$2:'Master'!$A$4384&amp;Master!$C$2:'Master'!$C$4384,0))</f>
        <v>3</v>
      </c>
      <c r="AY16" s="21" cm="1">
        <f t="array" aca="1" ref="AY16" ca="1">INDEX(Master!$H$2:'Master'!$H$4384,MATCH($A16&amp;AY$2,Master!$A$2:'Master'!$A$4384&amp;Master!$C$2:'Master'!$C$4384,0))</f>
        <v>1</v>
      </c>
      <c r="AZ16" s="21" cm="1">
        <f t="array" aca="1" ref="AZ16" ca="1">INDEX(Master!$H$2:'Master'!$H$4384,MATCH($A16&amp;AZ$2,Master!$A$2:'Master'!$A$4384&amp;Master!$C$2:'Master'!$C$4384,0))</f>
        <v>-1</v>
      </c>
      <c r="BA16" s="21" cm="1">
        <f t="array" aca="1" ref="BA16" ca="1">INDEX(Master!$H$2:'Master'!$H$4384,MATCH($A16&amp;BA$2,Master!$A$2:'Master'!$A$4384&amp;Master!$C$2:'Master'!$C$4384,0))</f>
        <v>1</v>
      </c>
      <c r="BB16" s="21" cm="1">
        <f t="array" aca="1" ref="BB16" ca="1">INDEX(Master!$H$2:'Master'!$H$4384,MATCH($A16&amp;BB$2,Master!$A$2:'Master'!$A$4384&amp;Master!$C$2:'Master'!$C$4384,0))</f>
        <v>1</v>
      </c>
      <c r="BC16" s="21" cm="1">
        <f t="array" aca="1" ref="BC16" ca="1">INDEX(Master!$H$2:'Master'!$H$4384,MATCH($A16&amp;BC$2,Master!$A$2:'Master'!$A$4384&amp;Master!$C$2:'Master'!$C$4384,0))</f>
        <v>2</v>
      </c>
      <c r="BD16" s="21" cm="1">
        <f t="array" aca="1" ref="BD16" ca="1">INDEX(Master!$H$2:'Master'!$H$4384,MATCH($A16&amp;BD$2,Master!$A$2:'Master'!$A$4384&amp;Master!$C$2:'Master'!$C$4384,0))</f>
        <v>2</v>
      </c>
      <c r="BE16" s="21" cm="1">
        <f t="array" aca="1" ref="BE16" ca="1">INDEX(Master!$H$2:'Master'!$H$4384,MATCH($A16&amp;BE$2,Master!$A$2:'Master'!$A$4384&amp;Master!$C$2:'Master'!$C$4384,0))</f>
        <v>0</v>
      </c>
      <c r="BF16" s="21" cm="1">
        <f t="array" aca="1" ref="BF16" ca="1">INDEX(Master!$H$2:'Master'!$H$4384,MATCH($A16&amp;BF$2,Master!$A$2:'Master'!$A$4384&amp;Master!$C$2:'Master'!$C$4384,0))</f>
        <v>-1</v>
      </c>
      <c r="BG16" s="21" cm="1">
        <f t="array" aca="1" ref="BG16" ca="1">INDEX(Master!$H$2:'Master'!$H$4384,MATCH($A16&amp;BG$2,Master!$A$2:'Master'!$A$4384&amp;Master!$C$2:'Master'!$C$4384,0))</f>
        <v>-2</v>
      </c>
      <c r="BH16" s="21" cm="1">
        <f t="array" aca="1" ref="BH16" ca="1">INDEX(Master!$H$2:'Master'!$H$4384,MATCH($A16&amp;BH$2,Master!$A$2:'Master'!$A$4384&amp;Master!$C$2:'Master'!$C$4384,0))</f>
        <v>0</v>
      </c>
      <c r="BI16" s="21" cm="1">
        <f t="array" aca="1" ref="BI16" ca="1">INDEX(Master!$H$2:'Master'!$H$4384,MATCH($A16&amp;BI$2,Master!$A$2:'Master'!$A$4384&amp;Master!$C$2:'Master'!$C$4384,0))</f>
        <v>0</v>
      </c>
      <c r="BJ16" s="21" cm="1">
        <f t="array" aca="1" ref="BJ16" ca="1">INDEX(Master!$H$2:'Master'!$H$4384,MATCH($A16&amp;BJ$2,Master!$A$2:'Master'!$A$4384&amp;Master!$C$2:'Master'!$C$4384,0))</f>
        <v>-1</v>
      </c>
      <c r="BK16" s="21" cm="1">
        <f t="array" aca="1" ref="BK16" ca="1">INDEX(Master!$H$2:'Master'!$H$4384,MATCH($A16&amp;BK$2,Master!$A$2:'Master'!$A$4384&amp;Master!$C$2:'Master'!$C$4384,0))</f>
        <v>1</v>
      </c>
      <c r="BL16" s="21" cm="1">
        <f t="array" aca="1" ref="BL16" ca="1">INDEX(Master!$H$2:'Master'!$H$4384,MATCH($A16&amp;BL$2,Master!$A$2:'Master'!$A$4384&amp;Master!$C$2:'Master'!$C$4384,0))</f>
        <v>1</v>
      </c>
      <c r="BM16" s="21" cm="1">
        <f t="array" aca="1" ref="BM16" ca="1">INDEX(Master!$H$2:'Master'!$H$4384,MATCH($A16&amp;BM$2,Master!$A$2:'Master'!$A$4384&amp;Master!$C$2:'Master'!$C$4384,0))</f>
        <v>1</v>
      </c>
      <c r="BN16" s="21" cm="1">
        <f t="array" aca="1" ref="BN16" ca="1">INDEX(Master!$H$2:'Master'!$H$4384,MATCH($A16&amp;BN$2,Master!$A$2:'Master'!$A$4384&amp;Master!$C$2:'Master'!$C$4384,0))</f>
        <v>-2</v>
      </c>
      <c r="BO16" s="21" cm="1">
        <f t="array" aca="1" ref="BO16" ca="1">INDEX(Master!$H$2:'Master'!$H$4384,MATCH($A16&amp;BO$2,Master!$A$2:'Master'!$A$4384&amp;Master!$C$2:'Master'!$C$4384,0))</f>
        <v>-2</v>
      </c>
      <c r="BP16" s="21" cm="1">
        <f t="array" aca="1" ref="BP16" ca="1">INDEX(Master!$H$2:'Master'!$H$4384,MATCH($A16&amp;BP$2,Master!$A$2:'Master'!$A$4384&amp;Master!$C$2:'Master'!$C$4384,0))</f>
        <v>-2</v>
      </c>
      <c r="BQ16" s="21" cm="1">
        <f t="array" aca="1" ref="BQ16" ca="1">INDEX(Master!$H$2:'Master'!$H$4384,MATCH($A16&amp;BQ$2,Master!$A$2:'Master'!$A$4384&amp;Master!$C$2:'Master'!$C$4384,0))</f>
        <v>-2</v>
      </c>
      <c r="BR16" s="21" cm="1">
        <f t="array" aca="1" ref="BR16" ca="1">INDEX(Master!$H$2:'Master'!$H$4384,MATCH($A16&amp;BR$2,Master!$A$2:'Master'!$A$4384&amp;Master!$C$2:'Master'!$C$4384,0))</f>
        <v>-2</v>
      </c>
      <c r="BS16" s="21" cm="1">
        <f t="array" aca="1" ref="BS16" ca="1">INDEX(Master!$H$2:'Master'!$H$4384,MATCH($A16&amp;BS$2,Master!$A$2:'Master'!$A$4384&amp;Master!$C$2:'Master'!$C$4384,0))</f>
        <v>-2</v>
      </c>
      <c r="BT16" s="21" cm="1">
        <f t="array" aca="1" ref="BT16" ca="1">INDEX(Master!$H$2:'Master'!$H$4384,MATCH($A16&amp;BT$2,Master!$A$2:'Master'!$A$4384&amp;Master!$C$2:'Master'!$C$4384,0))</f>
        <v>-1</v>
      </c>
      <c r="BU16" s="21" cm="1">
        <f t="array" aca="1" ref="BU16" ca="1">INDEX(Master!$H$2:'Master'!$H$4384,MATCH($A16&amp;BU$2,Master!$A$2:'Master'!$A$4384&amp;Master!$C$2:'Master'!$C$4384,0))</f>
        <v>-2</v>
      </c>
      <c r="BV16" s="21" cm="1">
        <f t="array" aca="1" ref="BV16" ca="1">INDEX(Master!$H$2:'Master'!$H$4384,MATCH($A16&amp;BV$2,Master!$A$2:'Master'!$A$4384&amp;Master!$C$2:'Master'!$C$4384,0))</f>
        <v>0</v>
      </c>
      <c r="BW16" s="21" cm="1">
        <f t="array" aca="1" ref="BW16" ca="1">INDEX(Master!$H$2:'Master'!$H$4384,MATCH($A16&amp;BW$2,Master!$A$2:'Master'!$A$4384&amp;Master!$C$2:'Master'!$C$4384,0))</f>
        <v>-1</v>
      </c>
      <c r="BX16" s="21" cm="1">
        <f t="array" aca="1" ref="BX16" ca="1">INDEX(Master!$H$2:'Master'!$H$4384,MATCH($A16&amp;BX$2,Master!$A$2:'Master'!$A$4384&amp;Master!$C$2:'Master'!$C$4384,0))</f>
        <v>-2</v>
      </c>
      <c r="BY16" s="21" cm="1">
        <f t="array" aca="1" ref="BY16" ca="1">INDEX(Master!$H$2:'Master'!$H$4384,MATCH($A16&amp;BY$2,Master!$A$2:'Master'!$A$4384&amp;Master!$C$2:'Master'!$C$4384,0))</f>
        <v>0</v>
      </c>
      <c r="BZ16" s="21" cm="1">
        <f t="array" aca="1" ref="BZ16" ca="1">INDEX(Master!$H$2:'Master'!$H$4384,MATCH($A16&amp;BZ$2,Master!$A$2:'Master'!$A$4384&amp;Master!$C$2:'Master'!$C$4384,0))</f>
        <v>0</v>
      </c>
      <c r="CA16" s="21" cm="1">
        <f t="array" aca="1" ref="CA16" ca="1">INDEX(Master!$H$2:'Master'!$H$4384,MATCH($A16&amp;CA$2,Master!$A$2:'Master'!$A$4384&amp;Master!$C$2:'Master'!$C$4384,0))</f>
        <v>-1</v>
      </c>
      <c r="CB16" s="21" cm="1">
        <f t="array" aca="1" ref="CB16" ca="1">INDEX(Master!$H$2:'Master'!$H$4384,MATCH($A16&amp;CB$2,Master!$A$2:'Master'!$A$4384&amp;Master!$C$2:'Master'!$C$4384,0))</f>
        <v>1</v>
      </c>
      <c r="CC16" s="21" cm="1">
        <f t="array" aca="1" ref="CC16" ca="1">INDEX(Master!$H$2:'Master'!$H$4384,MATCH($A16&amp;CC$2,Master!$A$2:'Master'!$A$4384&amp;Master!$C$2:'Master'!$C$4384,0))</f>
        <v>1</v>
      </c>
      <c r="CD16" s="21" cm="1">
        <f t="array" aca="1" ref="CD16" ca="1">INDEX(Master!$H$2:'Master'!$H$4384,MATCH($A16&amp;CD$2,Master!$A$2:'Master'!$A$4384&amp;Master!$C$2:'Master'!$C$4384,0))</f>
        <v>1</v>
      </c>
      <c r="CE16" s="21" cm="1">
        <f t="array" aca="1" ref="CE16" ca="1">INDEX(Master!$H$2:'Master'!$H$4384,MATCH($A16&amp;CE$2,Master!$A$2:'Master'!$A$4384&amp;Master!$C$2:'Master'!$C$4384,0))</f>
        <v>1</v>
      </c>
      <c r="CF16" s="21" cm="1">
        <f t="array" aca="1" ref="CF16" ca="1">INDEX(Master!$H$2:'Master'!$H$4384,MATCH($A16&amp;CF$2,Master!$A$2:'Master'!$A$4384&amp;Master!$C$2:'Master'!$C$4384,0))</f>
        <v>-1</v>
      </c>
      <c r="CG16" s="21" cm="1">
        <f t="array" aca="1" ref="CG16" ca="1">INDEX(Master!$H$2:'Master'!$H$4384,MATCH($A16&amp;CG$2,Master!$A$2:'Master'!$A$4384&amp;Master!$C$2:'Master'!$C$4384,0))</f>
        <v>0</v>
      </c>
      <c r="CH16" s="21" cm="1">
        <f t="array" aca="1" ref="CH16" ca="1">INDEX(Master!$H$2:'Master'!$H$4384,MATCH($A16&amp;CH$2,Master!$A$2:'Master'!$A$4384&amp;Master!$C$2:'Master'!$C$4384,0))</f>
        <v>-1</v>
      </c>
      <c r="CI16" s="21" cm="1">
        <f t="array" aca="1" ref="CI16" ca="1">INDEX(Master!$H$2:'Master'!$H$4384,MATCH($A16&amp;CI$2,Master!$A$2:'Master'!$A$4384&amp;Master!$C$2:'Master'!$C$4384,0))</f>
        <v>-1</v>
      </c>
      <c r="CJ16" s="21" cm="1">
        <f t="array" aca="1" ref="CJ16" ca="1">INDEX(Master!$H$2:'Master'!$H$4384,MATCH($A16&amp;CJ$2,Master!$A$2:'Master'!$A$4384&amp;Master!$C$2:'Master'!$C$4384,0))</f>
        <v>-3</v>
      </c>
      <c r="CK16" s="21" cm="1">
        <f t="array" aca="1" ref="CK16" ca="1">INDEX(Master!$H$2:'Master'!$H$4384,MATCH($A16&amp;CK$2,Master!$A$2:'Master'!$A$4384&amp;Master!$C$2:'Master'!$C$4384,0))</f>
        <v>0</v>
      </c>
      <c r="CL16" s="21" cm="1">
        <f t="array" aca="1" ref="CL16" ca="1">INDEX(Master!$H$2:'Master'!$H$4384,MATCH($A16&amp;CL$2,Master!$A$2:'Master'!$A$4384&amp;Master!$C$2:'Master'!$C$4384,0))</f>
        <v>0</v>
      </c>
      <c r="CM16" s="21" cm="1">
        <f t="array" aca="1" ref="CM16" ca="1">INDEX(Master!$H$2:'Master'!$H$4384,MATCH($A16&amp;CM$2,Master!$A$2:'Master'!$A$4384&amp;Master!$C$2:'Master'!$C$4384,0))</f>
        <v>0</v>
      </c>
      <c r="CN16" s="21" cm="1">
        <f t="array" aca="1" ref="CN16" ca="1">INDEX(Master!$H$2:'Master'!$H$4384,MATCH($A16&amp;CN$2,Master!$A$2:'Master'!$A$4384&amp;Master!$C$2:'Master'!$C$4384,0))</f>
        <v>-2</v>
      </c>
      <c r="CO16" s="21" cm="1">
        <f t="array" aca="1" ref="CO16" ca="1">INDEX(Master!$H$2:'Master'!$H$4384,MATCH($A16&amp;CO$2,Master!$A$2:'Master'!$A$4384&amp;Master!$C$2:'Master'!$C$4384,0))</f>
        <v>0</v>
      </c>
      <c r="CP16" s="21" cm="1">
        <f t="array" aca="1" ref="CP16" ca="1">INDEX(Master!$H$2:'Master'!$H$4384,MATCH($A16&amp;CP$2,Master!$A$2:'Master'!$A$4384&amp;Master!$C$2:'Master'!$C$4384,0))</f>
        <v>0</v>
      </c>
      <c r="CQ16" s="21" cm="1">
        <f t="array" aca="1" ref="CQ16" ca="1">INDEX(Master!$H$2:'Master'!$H$4384,MATCH($A16&amp;CQ$2,Master!$A$2:'Master'!$A$4384&amp;Master!$C$2:'Master'!$C$4384,0))</f>
        <v>2</v>
      </c>
      <c r="CR16" s="21" cm="1">
        <f t="array" aca="1" ref="CR16" ca="1">INDEX(Master!$H$2:'Master'!$H$4384,MATCH($A16&amp;CR$2,Master!$A$2:'Master'!$A$4384&amp;Master!$C$2:'Master'!$C$4384,0))</f>
        <v>0</v>
      </c>
      <c r="CS16" s="21" cm="1">
        <f t="array" aca="1" ref="CS16" ca="1">INDEX(Master!$H$2:'Master'!$H$4384,MATCH($A16&amp;CS$2,Master!$A$2:'Master'!$A$4384&amp;Master!$C$2:'Master'!$C$4384,0))</f>
        <v>2</v>
      </c>
    </row>
    <row r="17" spans="1:97">
      <c r="A17" s="22" t="str">
        <f>VLOOKUP(Staff!$A14,Staff!$A$1:A$73,1,FALSE)</f>
        <v>John Watson</v>
      </c>
      <c r="B17" s="21" cm="1">
        <f t="array" aca="1" ref="B17" ca="1">INDEX(Master!$H$2:'Master'!$H$4384,MATCH($A17&amp;B$2,Master!$A$2:'Master'!$A$4384&amp;Master!$C$2:'Master'!$C$4384,0))</f>
        <v>0</v>
      </c>
      <c r="C17" s="21" cm="1">
        <f t="array" aca="1" ref="C17" ca="1">INDEX(Master!$H$2:'Master'!$H$4384,MATCH($A17&amp;C$2,Master!$A$2:'Master'!$A$4384&amp;Master!$C$2:'Master'!$C$4384,0))</f>
        <v>0</v>
      </c>
      <c r="D17" s="21" cm="1">
        <f t="array" aca="1" ref="D17" ca="1">INDEX(Master!$H$2:'Master'!$H$4384,MATCH($A17&amp;D$2,Master!$A$2:'Master'!$A$4384&amp;Master!$C$2:'Master'!$C$4384,0))</f>
        <v>0</v>
      </c>
      <c r="E17" s="21" cm="1">
        <f t="array" aca="1" ref="E17" ca="1">INDEX(Master!$H$2:'Master'!$H$4384,MATCH($A17&amp;E$2,Master!$A$2:'Master'!$A$4384&amp;Master!$C$2:'Master'!$C$4384,0))</f>
        <v>1</v>
      </c>
      <c r="F17" s="21" cm="1">
        <f t="array" aca="1" ref="F17" ca="1">INDEX(Master!$H$2:'Master'!$H$4384,MATCH($A17&amp;F$2,Master!$A$2:'Master'!$A$4384&amp;Master!$C$2:'Master'!$C$4384,0))</f>
        <v>0</v>
      </c>
      <c r="G17" s="21" cm="1">
        <f t="array" aca="1" ref="G17" ca="1">INDEX(Master!$H$2:'Master'!$H$4384,MATCH($A17&amp;G$2,Master!$A$2:'Master'!$A$4384&amp;Master!$C$2:'Master'!$C$4384,0))</f>
        <v>0</v>
      </c>
      <c r="H17" s="21" cm="1">
        <f t="array" aca="1" ref="H17" ca="1">INDEX(Master!$H$2:'Master'!$H$4384,MATCH($A17&amp;H$2,Master!$A$2:'Master'!$A$4384&amp;Master!$C$2:'Master'!$C$4384,0))</f>
        <v>0</v>
      </c>
      <c r="I17" s="21" cm="1">
        <f t="array" aca="1" ref="I17" ca="1">INDEX(Master!$H$2:'Master'!$H$4384,MATCH($A17&amp;I$2,Master!$A$2:'Master'!$A$4384&amp;Master!$C$2:'Master'!$C$4384,0))</f>
        <v>-1</v>
      </c>
      <c r="J17" s="21" cm="1">
        <f t="array" aca="1" ref="J17" ca="1">INDEX(Master!$H$2:'Master'!$H$4384,MATCH($A17&amp;J$2,Master!$A$2:'Master'!$A$4384&amp;Master!$C$2:'Master'!$C$4384,0))</f>
        <v>-1</v>
      </c>
      <c r="K17" s="21" cm="1">
        <f t="array" aca="1" ref="K17" ca="1">INDEX(Master!$H$2:'Master'!$H$4384,MATCH($A17&amp;K$2,Master!$A$2:'Master'!$A$4384&amp;Master!$C$2:'Master'!$C$4384,0))</f>
        <v>2</v>
      </c>
      <c r="L17" s="21" cm="1">
        <f t="array" aca="1" ref="L17" ca="1">INDEX(Master!$H$2:'Master'!$H$4384,MATCH($A17&amp;L$2,Master!$A$2:'Master'!$A$4384&amp;Master!$C$2:'Master'!$C$4384,0))</f>
        <v>3</v>
      </c>
      <c r="M17" s="21" cm="1">
        <f t="array" aca="1" ref="M17" ca="1">INDEX(Master!$H$2:'Master'!$H$4384,MATCH($A17&amp;M$2,Master!$A$2:'Master'!$A$4384&amp;Master!$C$2:'Master'!$C$4384,0))</f>
        <v>1</v>
      </c>
      <c r="N17" s="21" cm="1">
        <f t="array" aca="1" ref="N17" ca="1">INDEX(Master!$H$2:'Master'!$H$4384,MATCH($A17&amp;N$2,Master!$A$2:'Master'!$A$4384&amp;Master!$C$2:'Master'!$C$4384,0))</f>
        <v>1</v>
      </c>
      <c r="O17" s="21" cm="1">
        <f t="array" aca="1" ref="O17" ca="1">INDEX(Master!$H$2:'Master'!$H$4384,MATCH($A17&amp;O$2,Master!$A$2:'Master'!$A$4384&amp;Master!$C$2:'Master'!$C$4384,0))</f>
        <v>1</v>
      </c>
      <c r="P17" s="21" cm="1">
        <f t="array" aca="1" ref="P17" ca="1">INDEX(Master!$H$2:'Master'!$H$4384,MATCH($A17&amp;P$2,Master!$A$2:'Master'!$A$4384&amp;Master!$C$2:'Master'!$C$4384,0))</f>
        <v>0</v>
      </c>
      <c r="Q17" s="21" cm="1">
        <f t="array" aca="1" ref="Q17" ca="1">INDEX(Master!$H$2:'Master'!$H$4384,MATCH($A17&amp;Q$2,Master!$A$2:'Master'!$A$4384&amp;Master!$C$2:'Master'!$C$4384,0))</f>
        <v>1</v>
      </c>
      <c r="R17" s="21" cm="1">
        <f t="array" aca="1" ref="R17" ca="1">INDEX(Master!$H$2:'Master'!$H$4384,MATCH($A17&amp;R$2,Master!$A$2:'Master'!$A$4384&amp;Master!$C$2:'Master'!$C$4384,0))</f>
        <v>3</v>
      </c>
      <c r="S17" s="21" cm="1">
        <f t="array" aca="1" ref="S17" ca="1">INDEX(Master!$H$2:'Master'!$H$4384,MATCH($A17&amp;S$2,Master!$A$2:'Master'!$A$4384&amp;Master!$C$2:'Master'!$C$4384,0))</f>
        <v>1</v>
      </c>
      <c r="T17" s="21" cm="1">
        <f t="array" aca="1" ref="T17" ca="1">INDEX(Master!$H$2:'Master'!$H$4384,MATCH($A17&amp;T$2,Master!$A$2:'Master'!$A$4384&amp;Master!$C$2:'Master'!$C$4384,0))</f>
        <v>-1</v>
      </c>
      <c r="U17" s="21" cm="1">
        <f t="array" aca="1" ref="U17" ca="1">INDEX(Master!$H$2:'Master'!$H$4384,MATCH($A17&amp;U$2,Master!$A$2:'Master'!$A$4384&amp;Master!$C$2:'Master'!$C$4384,0))</f>
        <v>0</v>
      </c>
      <c r="V17" s="21" cm="1">
        <f t="array" aca="1" ref="V17" ca="1">INDEX(Master!$H$2:'Master'!$H$4384,MATCH($A17&amp;V$2,Master!$A$2:'Master'!$A$4384&amp;Master!$C$2:'Master'!$C$4384,0))</f>
        <v>-1</v>
      </c>
      <c r="W17" s="21" cm="1">
        <f t="array" aca="1" ref="W17" ca="1">INDEX(Master!$H$2:'Master'!$H$4384,MATCH($A17&amp;W$2,Master!$A$2:'Master'!$A$4384&amp;Master!$C$2:'Master'!$C$4384,0))</f>
        <v>1</v>
      </c>
      <c r="X17" s="21" cm="1">
        <f t="array" aca="1" ref="X17" ca="1">INDEX(Master!$H$2:'Master'!$H$4384,MATCH($A17&amp;X$2,Master!$A$2:'Master'!$A$4384&amp;Master!$C$2:'Master'!$C$4384,0))</f>
        <v>2</v>
      </c>
      <c r="Y17" s="21" cm="1">
        <f t="array" aca="1" ref="Y17" ca="1">INDEX(Master!$H$2:'Master'!$H$4384,MATCH($A17&amp;Y$2,Master!$A$2:'Master'!$A$4384&amp;Master!$C$2:'Master'!$C$4384,0))</f>
        <v>2</v>
      </c>
      <c r="Z17" s="21" cm="1">
        <f t="array" aca="1" ref="Z17" ca="1">INDEX(Master!$H$2:'Master'!$H$4384,MATCH($A17&amp;Z$2,Master!$A$2:'Master'!$A$4384&amp;Master!$C$2:'Master'!$C$4384,0))</f>
        <v>1</v>
      </c>
      <c r="AA17" s="21" cm="1">
        <f t="array" aca="1" ref="AA17" ca="1">INDEX(Master!$H$2:'Master'!$H$4384,MATCH($A17&amp;AA$2,Master!$A$2:'Master'!$A$4384&amp;Master!$C$2:'Master'!$C$4384,0))</f>
        <v>1</v>
      </c>
      <c r="AB17" s="21" cm="1">
        <f t="array" aca="1" ref="AB17" ca="1">INDEX(Master!$H$2:'Master'!$H$4384,MATCH($A17&amp;AB$2,Master!$A$2:'Master'!$A$4384&amp;Master!$C$2:'Master'!$C$4384,0))</f>
        <v>1</v>
      </c>
      <c r="AC17" s="21" cm="1">
        <f t="array" aca="1" ref="AC17" ca="1">INDEX(Master!$H$2:'Master'!$H$4384,MATCH($A17&amp;AC$2,Master!$A$2:'Master'!$A$4384&amp;Master!$C$2:'Master'!$C$4384,0))</f>
        <v>2</v>
      </c>
      <c r="AD17" s="21" cm="1">
        <f t="array" aca="1" ref="AD17" ca="1">INDEX(Master!$H$2:'Master'!$H$4384,MATCH($A17&amp;AD$2,Master!$A$2:'Master'!$A$4384&amp;Master!$C$2:'Master'!$C$4384,0))</f>
        <v>1</v>
      </c>
      <c r="AE17" s="21" cm="1">
        <f t="array" aca="1" ref="AE17" ca="1">INDEX(Master!$H$2:'Master'!$H$4384,MATCH($A17&amp;AE$2,Master!$A$2:'Master'!$A$4384&amp;Master!$C$2:'Master'!$C$4384,0))</f>
        <v>1</v>
      </c>
      <c r="AF17" s="21" cm="1">
        <f t="array" aca="1" ref="AF17" ca="1">INDEX(Master!$H$2:'Master'!$H$4384,MATCH($A17&amp;AF$2,Master!$A$2:'Master'!$A$4384&amp;Master!$C$2:'Master'!$C$4384,0))</f>
        <v>0</v>
      </c>
      <c r="AG17" s="21" cm="1">
        <f t="array" aca="1" ref="AG17" ca="1">INDEX(Master!$H$2:'Master'!$H$4384,MATCH($A17&amp;AG$2,Master!$A$2:'Master'!$A$4384&amp;Master!$C$2:'Master'!$C$4384,0))</f>
        <v>0</v>
      </c>
      <c r="AH17" s="21" cm="1">
        <f t="array" aca="1" ref="AH17" ca="1">INDEX(Master!$H$2:'Master'!$H$4384,MATCH($A17&amp;AH$2,Master!$A$2:'Master'!$A$4384&amp;Master!$C$2:'Master'!$C$4384,0))</f>
        <v>0</v>
      </c>
      <c r="AI17" s="21" cm="1">
        <f t="array" aca="1" ref="AI17" ca="1">INDEX(Master!$H$2:'Master'!$H$4384,MATCH($A17&amp;AI$2,Master!$A$2:'Master'!$A$4384&amp;Master!$C$2:'Master'!$C$4384,0))</f>
        <v>1</v>
      </c>
      <c r="AJ17" s="21" cm="1">
        <f t="array" aca="1" ref="AJ17" ca="1">INDEX(Master!$H$2:'Master'!$H$4384,MATCH($A17&amp;AJ$2,Master!$A$2:'Master'!$A$4384&amp;Master!$C$2:'Master'!$C$4384,0))</f>
        <v>1</v>
      </c>
      <c r="AK17" s="21" cm="1">
        <f t="array" aca="1" ref="AK17" ca="1">INDEX(Master!$H$2:'Master'!$H$4384,MATCH($A17&amp;AK$2,Master!$A$2:'Master'!$A$4384&amp;Master!$C$2:'Master'!$C$4384,0))</f>
        <v>1</v>
      </c>
      <c r="AL17" s="21" cm="1">
        <f t="array" aca="1" ref="AL17" ca="1">INDEX(Master!$H$2:'Master'!$H$4384,MATCH($A17&amp;AL$2,Master!$A$2:'Master'!$A$4384&amp;Master!$C$2:'Master'!$C$4384,0))</f>
        <v>2</v>
      </c>
      <c r="AM17" s="21" cm="1">
        <f t="array" aca="1" ref="AM17" ca="1">INDEX(Master!$H$2:'Master'!$H$4384,MATCH($A17&amp;AM$2,Master!$A$2:'Master'!$A$4384&amp;Master!$C$2:'Master'!$C$4384,0))</f>
        <v>0</v>
      </c>
      <c r="AN17" s="21" cm="1">
        <f t="array" aca="1" ref="AN17" ca="1">INDEX(Master!$H$2:'Master'!$H$4384,MATCH($A17&amp;AN$2,Master!$A$2:'Master'!$A$4384&amp;Master!$C$2:'Master'!$C$4384,0))</f>
        <v>1</v>
      </c>
      <c r="AO17" s="21" cm="1">
        <f t="array" aca="1" ref="AO17" ca="1">INDEX(Master!$H$2:'Master'!$H$4384,MATCH($A17&amp;AO$2,Master!$A$2:'Master'!$A$4384&amp;Master!$C$2:'Master'!$C$4384,0))</f>
        <v>1</v>
      </c>
      <c r="AP17" s="21" cm="1">
        <f t="array" aca="1" ref="AP17" ca="1">INDEX(Master!$H$2:'Master'!$H$4384,MATCH($A17&amp;AP$2,Master!$A$2:'Master'!$A$4384&amp;Master!$C$2:'Master'!$C$4384,0))</f>
        <v>2</v>
      </c>
      <c r="AQ17" s="21" cm="1">
        <f t="array" aca="1" ref="AQ17" ca="1">INDEX(Master!$H$2:'Master'!$H$4384,MATCH($A17&amp;AQ$2,Master!$A$2:'Master'!$A$4384&amp;Master!$C$2:'Master'!$C$4384,0))</f>
        <v>3</v>
      </c>
      <c r="AR17" s="21" cm="1">
        <f t="array" aca="1" ref="AR17" ca="1">INDEX(Master!$H$2:'Master'!$H$4384,MATCH($A17&amp;AR$2,Master!$A$2:'Master'!$A$4384&amp;Master!$C$2:'Master'!$C$4384,0))</f>
        <v>1</v>
      </c>
      <c r="AS17" s="21" cm="1">
        <f t="array" aca="1" ref="AS17" ca="1">INDEX(Master!$H$2:'Master'!$H$4384,MATCH($A17&amp;AS$2,Master!$A$2:'Master'!$A$4384&amp;Master!$C$2:'Master'!$C$4384,0))</f>
        <v>1</v>
      </c>
      <c r="AT17" s="21" cm="1">
        <f t="array" aca="1" ref="AT17" ca="1">INDEX(Master!$H$2:'Master'!$H$4384,MATCH($A17&amp;AT$2,Master!$A$2:'Master'!$A$4384&amp;Master!$C$2:'Master'!$C$4384,0))</f>
        <v>3</v>
      </c>
      <c r="AU17" s="21" cm="1">
        <f t="array" aca="1" ref="AU17" ca="1">INDEX(Master!$H$2:'Master'!$H$4384,MATCH($A17&amp;AU$2,Master!$A$2:'Master'!$A$4384&amp;Master!$C$2:'Master'!$C$4384,0))</f>
        <v>2</v>
      </c>
      <c r="AV17" s="21" cm="1">
        <f t="array" aca="1" ref="AV17" ca="1">INDEX(Master!$H$2:'Master'!$H$4384,MATCH($A17&amp;AV$2,Master!$A$2:'Master'!$A$4384&amp;Master!$C$2:'Master'!$C$4384,0))</f>
        <v>3</v>
      </c>
      <c r="AW17" s="21" cm="1">
        <f t="array" aca="1" ref="AW17" ca="1">INDEX(Master!$H$2:'Master'!$H$4384,MATCH($A17&amp;AW$2,Master!$A$2:'Master'!$A$4384&amp;Master!$C$2:'Master'!$C$4384,0))</f>
        <v>2</v>
      </c>
      <c r="AX17" s="21" cm="1">
        <f t="array" aca="1" ref="AX17" ca="1">INDEX(Master!$H$2:'Master'!$H$4384,MATCH($A17&amp;AX$2,Master!$A$2:'Master'!$A$4384&amp;Master!$C$2:'Master'!$C$4384,0))</f>
        <v>1</v>
      </c>
      <c r="AY17" s="21" cm="1">
        <f t="array" aca="1" ref="AY17" ca="1">INDEX(Master!$H$2:'Master'!$H$4384,MATCH($A17&amp;AY$2,Master!$A$2:'Master'!$A$4384&amp;Master!$C$2:'Master'!$C$4384,0))</f>
        <v>1</v>
      </c>
      <c r="AZ17" s="21" cm="1">
        <f t="array" aca="1" ref="AZ17" ca="1">INDEX(Master!$H$2:'Master'!$H$4384,MATCH($A17&amp;AZ$2,Master!$A$2:'Master'!$A$4384&amp;Master!$C$2:'Master'!$C$4384,0))</f>
        <v>2</v>
      </c>
      <c r="BA17" s="21" cm="1">
        <f t="array" aca="1" ref="BA17" ca="1">INDEX(Master!$H$2:'Master'!$H$4384,MATCH($A17&amp;BA$2,Master!$A$2:'Master'!$A$4384&amp;Master!$C$2:'Master'!$C$4384,0))</f>
        <v>2</v>
      </c>
      <c r="BB17" s="21" cm="1">
        <f t="array" aca="1" ref="BB17" ca="1">INDEX(Master!$H$2:'Master'!$H$4384,MATCH($A17&amp;BB$2,Master!$A$2:'Master'!$A$4384&amp;Master!$C$2:'Master'!$C$4384,0))</f>
        <v>3</v>
      </c>
      <c r="BC17" s="21" cm="1">
        <f t="array" aca="1" ref="BC17" ca="1">INDEX(Master!$H$2:'Master'!$H$4384,MATCH($A17&amp;BC$2,Master!$A$2:'Master'!$A$4384&amp;Master!$C$2:'Master'!$C$4384,0))</f>
        <v>0</v>
      </c>
      <c r="BD17" s="21" cm="1">
        <f t="array" aca="1" ref="BD17" ca="1">INDEX(Master!$H$2:'Master'!$H$4384,MATCH($A17&amp;BD$2,Master!$A$2:'Master'!$A$4384&amp;Master!$C$2:'Master'!$C$4384,0))</f>
        <v>2</v>
      </c>
      <c r="BE17" s="21" cm="1">
        <f t="array" aca="1" ref="BE17" ca="1">INDEX(Master!$H$2:'Master'!$H$4384,MATCH($A17&amp;BE$2,Master!$A$2:'Master'!$A$4384&amp;Master!$C$2:'Master'!$C$4384,0))</f>
        <v>0</v>
      </c>
      <c r="BF17" s="21" cm="1">
        <f t="array" aca="1" ref="BF17" ca="1">INDEX(Master!$H$2:'Master'!$H$4384,MATCH($A17&amp;BF$2,Master!$A$2:'Master'!$A$4384&amp;Master!$C$2:'Master'!$C$4384,0))</f>
        <v>-1</v>
      </c>
      <c r="BG17" s="21" cm="1">
        <f t="array" aca="1" ref="BG17" ca="1">INDEX(Master!$H$2:'Master'!$H$4384,MATCH($A17&amp;BG$2,Master!$A$2:'Master'!$A$4384&amp;Master!$C$2:'Master'!$C$4384,0))</f>
        <v>-2</v>
      </c>
      <c r="BH17" s="21" cm="1">
        <f t="array" aca="1" ref="BH17" ca="1">INDEX(Master!$H$2:'Master'!$H$4384,MATCH($A17&amp;BH$2,Master!$A$2:'Master'!$A$4384&amp;Master!$C$2:'Master'!$C$4384,0))</f>
        <v>-2</v>
      </c>
      <c r="BI17" s="21" cm="1">
        <f t="array" aca="1" ref="BI17" ca="1">INDEX(Master!$H$2:'Master'!$H$4384,MATCH($A17&amp;BI$2,Master!$A$2:'Master'!$A$4384&amp;Master!$C$2:'Master'!$C$4384,0))</f>
        <v>-2</v>
      </c>
      <c r="BJ17" s="21" cm="1">
        <f t="array" aca="1" ref="BJ17" ca="1">INDEX(Master!$H$2:'Master'!$H$4384,MATCH($A17&amp;BJ$2,Master!$A$2:'Master'!$A$4384&amp;Master!$C$2:'Master'!$C$4384,0))</f>
        <v>1</v>
      </c>
      <c r="BK17" s="21" cm="1">
        <f t="array" aca="1" ref="BK17" ca="1">INDEX(Master!$H$2:'Master'!$H$4384,MATCH($A17&amp;BK$2,Master!$A$2:'Master'!$A$4384&amp;Master!$C$2:'Master'!$C$4384,0))</f>
        <v>-2</v>
      </c>
      <c r="BL17" s="21" cm="1">
        <f t="array" aca="1" ref="BL17" ca="1">INDEX(Master!$H$2:'Master'!$H$4384,MATCH($A17&amp;BL$2,Master!$A$2:'Master'!$A$4384&amp;Master!$C$2:'Master'!$C$4384,0))</f>
        <v>-3</v>
      </c>
      <c r="BM17" s="21" cm="1">
        <f t="array" aca="1" ref="BM17" ca="1">INDEX(Master!$H$2:'Master'!$H$4384,MATCH($A17&amp;BM$2,Master!$A$2:'Master'!$A$4384&amp;Master!$C$2:'Master'!$C$4384,0))</f>
        <v>-1</v>
      </c>
      <c r="BN17" s="21" cm="1">
        <f t="array" aca="1" ref="BN17" ca="1">INDEX(Master!$H$2:'Master'!$H$4384,MATCH($A17&amp;BN$2,Master!$A$2:'Master'!$A$4384&amp;Master!$C$2:'Master'!$C$4384,0))</f>
        <v>-1</v>
      </c>
      <c r="BO17" s="21" cm="1">
        <f t="array" aca="1" ref="BO17" ca="1">INDEX(Master!$H$2:'Master'!$H$4384,MATCH($A17&amp;BO$2,Master!$A$2:'Master'!$A$4384&amp;Master!$C$2:'Master'!$C$4384,0))</f>
        <v>-2</v>
      </c>
      <c r="BP17" s="21" cm="1">
        <f t="array" aca="1" ref="BP17" ca="1">INDEX(Master!$H$2:'Master'!$H$4384,MATCH($A17&amp;BP$2,Master!$A$2:'Master'!$A$4384&amp;Master!$C$2:'Master'!$C$4384,0))</f>
        <v>0</v>
      </c>
      <c r="BQ17" s="21" cm="1">
        <f t="array" aca="1" ref="BQ17" ca="1">INDEX(Master!$H$2:'Master'!$H$4384,MATCH($A17&amp;BQ$2,Master!$A$2:'Master'!$A$4384&amp;Master!$C$2:'Master'!$C$4384,0))</f>
        <v>0</v>
      </c>
      <c r="BR17" s="21" cm="1">
        <f t="array" aca="1" ref="BR17" ca="1">INDEX(Master!$H$2:'Master'!$H$4384,MATCH($A17&amp;BR$2,Master!$A$2:'Master'!$A$4384&amp;Master!$C$2:'Master'!$C$4384,0))</f>
        <v>0</v>
      </c>
      <c r="BS17" s="21" cm="1">
        <f t="array" aca="1" ref="BS17" ca="1">INDEX(Master!$H$2:'Master'!$H$4384,MATCH($A17&amp;BS$2,Master!$A$2:'Master'!$A$4384&amp;Master!$C$2:'Master'!$C$4384,0))</f>
        <v>0</v>
      </c>
      <c r="BT17" s="21" cm="1">
        <f t="array" aca="1" ref="BT17" ca="1">INDEX(Master!$H$2:'Master'!$H$4384,MATCH($A17&amp;BT$2,Master!$A$2:'Master'!$A$4384&amp;Master!$C$2:'Master'!$C$4384,0))</f>
        <v>0</v>
      </c>
      <c r="BU17" s="21" cm="1">
        <f t="array" aca="1" ref="BU17" ca="1">INDEX(Master!$H$2:'Master'!$H$4384,MATCH($A17&amp;BU$2,Master!$A$2:'Master'!$A$4384&amp;Master!$C$2:'Master'!$C$4384,0))</f>
        <v>0</v>
      </c>
      <c r="BV17" s="21" cm="1">
        <f t="array" aca="1" ref="BV17" ca="1">INDEX(Master!$H$2:'Master'!$H$4384,MATCH($A17&amp;BV$2,Master!$A$2:'Master'!$A$4384&amp;Master!$C$2:'Master'!$C$4384,0))</f>
        <v>0</v>
      </c>
      <c r="BW17" s="21" cm="1">
        <f t="array" aca="1" ref="BW17" ca="1">INDEX(Master!$H$2:'Master'!$H$4384,MATCH($A17&amp;BW$2,Master!$A$2:'Master'!$A$4384&amp;Master!$C$2:'Master'!$C$4384,0))</f>
        <v>-1</v>
      </c>
      <c r="BX17" s="21" cm="1">
        <f t="array" aca="1" ref="BX17" ca="1">INDEX(Master!$H$2:'Master'!$H$4384,MATCH($A17&amp;BX$2,Master!$A$2:'Master'!$A$4384&amp;Master!$C$2:'Master'!$C$4384,0))</f>
        <v>-2</v>
      </c>
      <c r="BY17" s="21" cm="1">
        <f t="array" aca="1" ref="BY17" ca="1">INDEX(Master!$H$2:'Master'!$H$4384,MATCH($A17&amp;BY$2,Master!$A$2:'Master'!$A$4384&amp;Master!$C$2:'Master'!$C$4384,0))</f>
        <v>-2</v>
      </c>
      <c r="BZ17" s="21" cm="1">
        <f t="array" aca="1" ref="BZ17" ca="1">INDEX(Master!$H$2:'Master'!$H$4384,MATCH($A17&amp;BZ$2,Master!$A$2:'Master'!$A$4384&amp;Master!$C$2:'Master'!$C$4384,0))</f>
        <v>-2</v>
      </c>
      <c r="CA17" s="21" cm="1">
        <f t="array" aca="1" ref="CA17" ca="1">INDEX(Master!$H$2:'Master'!$H$4384,MATCH($A17&amp;CA$2,Master!$A$2:'Master'!$A$4384&amp;Master!$C$2:'Master'!$C$4384,0))</f>
        <v>1</v>
      </c>
      <c r="CB17" s="21" cm="1">
        <f t="array" aca="1" ref="CB17" ca="1">INDEX(Master!$H$2:'Master'!$H$4384,MATCH($A17&amp;CB$2,Master!$A$2:'Master'!$A$4384&amp;Master!$C$2:'Master'!$C$4384,0))</f>
        <v>-2</v>
      </c>
      <c r="CC17" s="21" cm="1">
        <f t="array" aca="1" ref="CC17" ca="1">INDEX(Master!$H$2:'Master'!$H$4384,MATCH($A17&amp;CC$2,Master!$A$2:'Master'!$A$4384&amp;Master!$C$2:'Master'!$C$4384,0))</f>
        <v>-3</v>
      </c>
      <c r="CD17" s="21" cm="1">
        <f t="array" aca="1" ref="CD17" ca="1">INDEX(Master!$H$2:'Master'!$H$4384,MATCH($A17&amp;CD$2,Master!$A$2:'Master'!$A$4384&amp;Master!$C$2:'Master'!$C$4384,0))</f>
        <v>-1</v>
      </c>
      <c r="CE17" s="21" cm="1">
        <f t="array" aca="1" ref="CE17" ca="1">INDEX(Master!$H$2:'Master'!$H$4384,MATCH($A17&amp;CE$2,Master!$A$2:'Master'!$A$4384&amp;Master!$C$2:'Master'!$C$4384,0))</f>
        <v>1</v>
      </c>
      <c r="CF17" s="21" cm="1">
        <f t="array" aca="1" ref="CF17" ca="1">INDEX(Master!$H$2:'Master'!$H$4384,MATCH($A17&amp;CF$2,Master!$A$2:'Master'!$A$4384&amp;Master!$C$2:'Master'!$C$4384,0))</f>
        <v>1</v>
      </c>
      <c r="CG17" s="21" cm="1">
        <f t="array" aca="1" ref="CG17" ca="1">INDEX(Master!$H$2:'Master'!$H$4384,MATCH($A17&amp;CG$2,Master!$A$2:'Master'!$A$4384&amp;Master!$C$2:'Master'!$C$4384,0))</f>
        <v>-1</v>
      </c>
      <c r="CH17" s="21" cm="1">
        <f t="array" aca="1" ref="CH17" ca="1">INDEX(Master!$H$2:'Master'!$H$4384,MATCH($A17&amp;CH$2,Master!$A$2:'Master'!$A$4384&amp;Master!$C$2:'Master'!$C$4384,0))</f>
        <v>1</v>
      </c>
      <c r="CI17" s="21" cm="1">
        <f t="array" aca="1" ref="CI17" ca="1">INDEX(Master!$H$2:'Master'!$H$4384,MATCH($A17&amp;CI$2,Master!$A$2:'Master'!$A$4384&amp;Master!$C$2:'Master'!$C$4384,0))</f>
        <v>0</v>
      </c>
      <c r="CJ17" s="21" cm="1">
        <f t="array" aca="1" ref="CJ17" ca="1">INDEX(Master!$H$2:'Master'!$H$4384,MATCH($A17&amp;CJ$2,Master!$A$2:'Master'!$A$4384&amp;Master!$C$2:'Master'!$C$4384,0))</f>
        <v>1</v>
      </c>
      <c r="CK17" s="21" cm="1">
        <f t="array" aca="1" ref="CK17" ca="1">INDEX(Master!$H$2:'Master'!$H$4384,MATCH($A17&amp;CK$2,Master!$A$2:'Master'!$A$4384&amp;Master!$C$2:'Master'!$C$4384,0))</f>
        <v>1</v>
      </c>
      <c r="CL17" s="21" cm="1">
        <f t="array" aca="1" ref="CL17" ca="1">INDEX(Master!$H$2:'Master'!$H$4384,MATCH($A17&amp;CL$2,Master!$A$2:'Master'!$A$4384&amp;Master!$C$2:'Master'!$C$4384,0))</f>
        <v>0</v>
      </c>
      <c r="CM17" s="21" cm="1">
        <f t="array" aca="1" ref="CM17" ca="1">INDEX(Master!$H$2:'Master'!$H$4384,MATCH($A17&amp;CM$2,Master!$A$2:'Master'!$A$4384&amp;Master!$C$2:'Master'!$C$4384,0))</f>
        <v>0</v>
      </c>
      <c r="CN17" s="21" cm="1">
        <f t="array" aca="1" ref="CN17" ca="1">INDEX(Master!$H$2:'Master'!$H$4384,MATCH($A17&amp;CN$2,Master!$A$2:'Master'!$A$4384&amp;Master!$C$2:'Master'!$C$4384,0))</f>
        <v>0</v>
      </c>
      <c r="CO17" s="21" cm="1">
        <f t="array" aca="1" ref="CO17" ca="1">INDEX(Master!$H$2:'Master'!$H$4384,MATCH($A17&amp;CO$2,Master!$A$2:'Master'!$A$4384&amp;Master!$C$2:'Master'!$C$4384,0))</f>
        <v>0</v>
      </c>
      <c r="CP17" s="21" cm="1">
        <f t="array" aca="1" ref="CP17" ca="1">INDEX(Master!$H$2:'Master'!$H$4384,MATCH($A17&amp;CP$2,Master!$A$2:'Master'!$A$4384&amp;Master!$C$2:'Master'!$C$4384,0))</f>
        <v>0</v>
      </c>
      <c r="CQ17" s="21" cm="1">
        <f t="array" aca="1" ref="CQ17" ca="1">INDEX(Master!$H$2:'Master'!$H$4384,MATCH($A17&amp;CQ$2,Master!$A$2:'Master'!$A$4384&amp;Master!$C$2:'Master'!$C$4384,0))</f>
        <v>1</v>
      </c>
      <c r="CR17" s="21" cm="1">
        <f t="array" aca="1" ref="CR17" ca="1">INDEX(Master!$H$2:'Master'!$H$4384,MATCH($A17&amp;CR$2,Master!$A$2:'Master'!$A$4384&amp;Master!$C$2:'Master'!$C$4384,0))</f>
        <v>1</v>
      </c>
      <c r="CS17" s="21" cm="1">
        <f t="array" aca="1" ref="CS17" ca="1">INDEX(Master!$H$2:'Master'!$H$4384,MATCH($A17&amp;CS$2,Master!$A$2:'Master'!$A$4384&amp;Master!$C$2:'Master'!$C$4384,0))</f>
        <v>-2</v>
      </c>
    </row>
    <row r="18" spans="1:97">
      <c r="A18" s="22" t="str">
        <f>VLOOKUP(Staff!$A15,Staff!$A$1:A$73,1,FALSE)</f>
        <v>Jim Taggart</v>
      </c>
      <c r="B18" s="21" cm="1">
        <f t="array" aca="1" ref="B18" ca="1">INDEX(Master!$H$2:'Master'!$H$4384,MATCH($A18&amp;B$2,Master!$A$2:'Master'!$A$4384&amp;Master!$C$2:'Master'!$C$4384,0))</f>
        <v>-1</v>
      </c>
      <c r="C18" s="21" cm="1">
        <f t="array" aca="1" ref="C18" ca="1">INDEX(Master!$H$2:'Master'!$H$4384,MATCH($A18&amp;C$2,Master!$A$2:'Master'!$A$4384&amp;Master!$C$2:'Master'!$C$4384,0))</f>
        <v>2</v>
      </c>
      <c r="D18" s="21" cm="1">
        <f t="array" aca="1" ref="D18" ca="1">INDEX(Master!$H$2:'Master'!$H$4384,MATCH($A18&amp;D$2,Master!$A$2:'Master'!$A$4384&amp;Master!$C$2:'Master'!$C$4384,0))</f>
        <v>-1</v>
      </c>
      <c r="E18" s="21" cm="1">
        <f t="array" aca="1" ref="E18" ca="1">INDEX(Master!$H$2:'Master'!$H$4384,MATCH($A18&amp;E$2,Master!$A$2:'Master'!$A$4384&amp;Master!$C$2:'Master'!$C$4384,0))</f>
        <v>0</v>
      </c>
      <c r="F18" s="21" cm="1">
        <f t="array" aca="1" ref="F18" ca="1">INDEX(Master!$H$2:'Master'!$H$4384,MATCH($A18&amp;F$2,Master!$A$2:'Master'!$A$4384&amp;Master!$C$2:'Master'!$C$4384,0))</f>
        <v>0</v>
      </c>
      <c r="G18" s="21" cm="1">
        <f t="array" aca="1" ref="G18" ca="1">INDEX(Master!$H$2:'Master'!$H$4384,MATCH($A18&amp;G$2,Master!$A$2:'Master'!$A$4384&amp;Master!$C$2:'Master'!$C$4384,0))</f>
        <v>-1</v>
      </c>
      <c r="H18" s="21" cm="1">
        <f t="array" aca="1" ref="H18" ca="1">INDEX(Master!$H$2:'Master'!$H$4384,MATCH($A18&amp;H$2,Master!$A$2:'Master'!$A$4384&amp;Master!$C$2:'Master'!$C$4384,0))</f>
        <v>0</v>
      </c>
      <c r="I18" s="21" cm="1">
        <f t="array" aca="1" ref="I18" ca="1">INDEX(Master!$H$2:'Master'!$H$4384,MATCH($A18&amp;I$2,Master!$A$2:'Master'!$A$4384&amp;Master!$C$2:'Master'!$C$4384,0))</f>
        <v>0</v>
      </c>
      <c r="J18" s="21" cm="1">
        <f t="array" aca="1" ref="J18" ca="1">INDEX(Master!$H$2:'Master'!$H$4384,MATCH($A18&amp;J$2,Master!$A$2:'Master'!$A$4384&amp;Master!$C$2:'Master'!$C$4384,0))</f>
        <v>-1</v>
      </c>
      <c r="K18" s="21" cm="1">
        <f t="array" aca="1" ref="K18" ca="1">INDEX(Master!$H$2:'Master'!$H$4384,MATCH($A18&amp;K$2,Master!$A$2:'Master'!$A$4384&amp;Master!$C$2:'Master'!$C$4384,0))</f>
        <v>0</v>
      </c>
      <c r="L18" s="21" cm="1">
        <f t="array" aca="1" ref="L18" ca="1">INDEX(Master!$H$2:'Master'!$H$4384,MATCH($A18&amp;L$2,Master!$A$2:'Master'!$A$4384&amp;Master!$C$2:'Master'!$C$4384,0))</f>
        <v>0</v>
      </c>
      <c r="M18" s="21" cm="1">
        <f t="array" aca="1" ref="M18" ca="1">INDEX(Master!$H$2:'Master'!$H$4384,MATCH($A18&amp;M$2,Master!$A$2:'Master'!$A$4384&amp;Master!$C$2:'Master'!$C$4384,0))</f>
        <v>0</v>
      </c>
      <c r="N18" s="21" cm="1">
        <f t="array" aca="1" ref="N18" ca="1">INDEX(Master!$H$2:'Master'!$H$4384,MATCH($A18&amp;N$2,Master!$A$2:'Master'!$A$4384&amp;Master!$C$2:'Master'!$C$4384,0))</f>
        <v>-1</v>
      </c>
      <c r="O18" s="21" cm="1">
        <f t="array" aca="1" ref="O18" ca="1">INDEX(Master!$H$2:'Master'!$H$4384,MATCH($A18&amp;O$2,Master!$A$2:'Master'!$A$4384&amp;Master!$C$2:'Master'!$C$4384,0))</f>
        <v>-1</v>
      </c>
      <c r="P18" s="21" cm="1">
        <f t="array" aca="1" ref="P18" ca="1">INDEX(Master!$H$2:'Master'!$H$4384,MATCH($A18&amp;P$2,Master!$A$2:'Master'!$A$4384&amp;Master!$C$2:'Master'!$C$4384,0))</f>
        <v>1</v>
      </c>
      <c r="Q18" s="21" cm="1">
        <f t="array" aca="1" ref="Q18" ca="1">INDEX(Master!$H$2:'Master'!$H$4384,MATCH($A18&amp;Q$2,Master!$A$2:'Master'!$A$4384&amp;Master!$C$2:'Master'!$C$4384,0))</f>
        <v>0</v>
      </c>
      <c r="R18" s="21" cm="1">
        <f t="array" aca="1" ref="R18" ca="1">INDEX(Master!$H$2:'Master'!$H$4384,MATCH($A18&amp;R$2,Master!$A$2:'Master'!$A$4384&amp;Master!$C$2:'Master'!$C$4384,0))</f>
        <v>0</v>
      </c>
      <c r="S18" s="21" cm="1">
        <f t="array" aca="1" ref="S18" ca="1">INDEX(Master!$H$2:'Master'!$H$4384,MATCH($A18&amp;S$2,Master!$A$2:'Master'!$A$4384&amp;Master!$C$2:'Master'!$C$4384,0))</f>
        <v>-1</v>
      </c>
      <c r="T18" s="21" cm="1">
        <f t="array" aca="1" ref="T18" ca="1">INDEX(Master!$H$2:'Master'!$H$4384,MATCH($A18&amp;T$2,Master!$A$2:'Master'!$A$4384&amp;Master!$C$2:'Master'!$C$4384,0))</f>
        <v>0</v>
      </c>
      <c r="U18" s="21" cm="1">
        <f t="array" aca="1" ref="U18" ca="1">INDEX(Master!$H$2:'Master'!$H$4384,MATCH($A18&amp;U$2,Master!$A$2:'Master'!$A$4384&amp;Master!$C$2:'Master'!$C$4384,0))</f>
        <v>-1</v>
      </c>
      <c r="V18" s="21" cm="1">
        <f t="array" aca="1" ref="V18" ca="1">INDEX(Master!$H$2:'Master'!$H$4384,MATCH($A18&amp;V$2,Master!$A$2:'Master'!$A$4384&amp;Master!$C$2:'Master'!$C$4384,0))</f>
        <v>-1</v>
      </c>
      <c r="W18" s="21" cm="1">
        <f t="array" aca="1" ref="W18" ca="1">INDEX(Master!$H$2:'Master'!$H$4384,MATCH($A18&amp;W$2,Master!$A$2:'Master'!$A$4384&amp;Master!$C$2:'Master'!$C$4384,0))</f>
        <v>-1</v>
      </c>
      <c r="X18" s="21" cm="1">
        <f t="array" aca="1" ref="X18" ca="1">INDEX(Master!$H$2:'Master'!$H$4384,MATCH($A18&amp;X$2,Master!$A$2:'Master'!$A$4384&amp;Master!$C$2:'Master'!$C$4384,0))</f>
        <v>1</v>
      </c>
      <c r="Y18" s="21" cm="1">
        <f t="array" aca="1" ref="Y18" ca="1">INDEX(Master!$H$2:'Master'!$H$4384,MATCH($A18&amp;Y$2,Master!$A$2:'Master'!$A$4384&amp;Master!$C$2:'Master'!$C$4384,0))</f>
        <v>3</v>
      </c>
      <c r="Z18" s="21" cm="1">
        <f t="array" aca="1" ref="Z18" ca="1">INDEX(Master!$H$2:'Master'!$H$4384,MATCH($A18&amp;Z$2,Master!$A$2:'Master'!$A$4384&amp;Master!$C$2:'Master'!$C$4384,0))</f>
        <v>0</v>
      </c>
      <c r="AA18" s="21" cm="1">
        <f t="array" aca="1" ref="AA18" ca="1">INDEX(Master!$H$2:'Master'!$H$4384,MATCH($A18&amp;AA$2,Master!$A$2:'Master'!$A$4384&amp;Master!$C$2:'Master'!$C$4384,0))</f>
        <v>-3</v>
      </c>
      <c r="AB18" s="21" cm="1">
        <f t="array" aca="1" ref="AB18" ca="1">INDEX(Master!$H$2:'Master'!$H$4384,MATCH($A18&amp;AB$2,Master!$A$2:'Master'!$A$4384&amp;Master!$C$2:'Master'!$C$4384,0))</f>
        <v>-2</v>
      </c>
      <c r="AC18" s="21" cm="1">
        <f t="array" aca="1" ref="AC18" ca="1">INDEX(Master!$H$2:'Master'!$H$4384,MATCH($A18&amp;AC$2,Master!$A$2:'Master'!$A$4384&amp;Master!$C$2:'Master'!$C$4384,0))</f>
        <v>-1</v>
      </c>
      <c r="AD18" s="21" cm="1">
        <f t="array" aca="1" ref="AD18" ca="1">INDEX(Master!$H$2:'Master'!$H$4384,MATCH($A18&amp;AD$2,Master!$A$2:'Master'!$A$4384&amp;Master!$C$2:'Master'!$C$4384,0))</f>
        <v>-1</v>
      </c>
      <c r="AE18" s="21" cm="1">
        <f t="array" aca="1" ref="AE18" ca="1">INDEX(Master!$H$2:'Master'!$H$4384,MATCH($A18&amp;AE$2,Master!$A$2:'Master'!$A$4384&amp;Master!$C$2:'Master'!$C$4384,0))</f>
        <v>1</v>
      </c>
      <c r="AF18" s="21" cm="1">
        <f t="array" aca="1" ref="AF18" ca="1">INDEX(Master!$H$2:'Master'!$H$4384,MATCH($A18&amp;AF$2,Master!$A$2:'Master'!$A$4384&amp;Master!$C$2:'Master'!$C$4384,0))</f>
        <v>0</v>
      </c>
      <c r="AG18" s="21" cm="1">
        <f t="array" aca="1" ref="AG18" ca="1">INDEX(Master!$H$2:'Master'!$H$4384,MATCH($A18&amp;AG$2,Master!$A$2:'Master'!$A$4384&amp;Master!$C$2:'Master'!$C$4384,0))</f>
        <v>1</v>
      </c>
      <c r="AH18" s="21" cm="1">
        <f t="array" aca="1" ref="AH18" ca="1">INDEX(Master!$H$2:'Master'!$H$4384,MATCH($A18&amp;AH$2,Master!$A$2:'Master'!$A$4384&amp;Master!$C$2:'Master'!$C$4384,0))</f>
        <v>1</v>
      </c>
      <c r="AI18" s="21" cm="1">
        <f t="array" aca="1" ref="AI18" ca="1">INDEX(Master!$H$2:'Master'!$H$4384,MATCH($A18&amp;AI$2,Master!$A$2:'Master'!$A$4384&amp;Master!$C$2:'Master'!$C$4384,0))</f>
        <v>1</v>
      </c>
      <c r="AJ18" s="21" cm="1">
        <f t="array" aca="1" ref="AJ18" ca="1">INDEX(Master!$H$2:'Master'!$H$4384,MATCH($A18&amp;AJ$2,Master!$A$2:'Master'!$A$4384&amp;Master!$C$2:'Master'!$C$4384,0))</f>
        <v>3</v>
      </c>
      <c r="AK18" s="21" cm="1">
        <f t="array" aca="1" ref="AK18" ca="1">INDEX(Master!$H$2:'Master'!$H$4384,MATCH($A18&amp;AK$2,Master!$A$2:'Master'!$A$4384&amp;Master!$C$2:'Master'!$C$4384,0))</f>
        <v>1</v>
      </c>
      <c r="AL18" s="21" cm="1">
        <f t="array" aca="1" ref="AL18" ca="1">INDEX(Master!$H$2:'Master'!$H$4384,MATCH($A18&amp;AL$2,Master!$A$2:'Master'!$A$4384&amp;Master!$C$2:'Master'!$C$4384,0))</f>
        <v>2</v>
      </c>
      <c r="AM18" s="21" cm="1">
        <f t="array" aca="1" ref="AM18" ca="1">INDEX(Master!$H$2:'Master'!$H$4384,MATCH($A18&amp;AM$2,Master!$A$2:'Master'!$A$4384&amp;Master!$C$2:'Master'!$C$4384,0))</f>
        <v>2</v>
      </c>
      <c r="AN18" s="21" cm="1">
        <f t="array" aca="1" ref="AN18" ca="1">INDEX(Master!$H$2:'Master'!$H$4384,MATCH($A18&amp;AN$2,Master!$A$2:'Master'!$A$4384&amp;Master!$C$2:'Master'!$C$4384,0))</f>
        <v>1</v>
      </c>
      <c r="AO18" s="21" cm="1">
        <f t="array" aca="1" ref="AO18" ca="1">INDEX(Master!$H$2:'Master'!$H$4384,MATCH($A18&amp;AO$2,Master!$A$2:'Master'!$A$4384&amp;Master!$C$2:'Master'!$C$4384,0))</f>
        <v>0</v>
      </c>
      <c r="AP18" s="21" cm="1">
        <f t="array" aca="1" ref="AP18" ca="1">INDEX(Master!$H$2:'Master'!$H$4384,MATCH($A18&amp;AP$2,Master!$A$2:'Master'!$A$4384&amp;Master!$C$2:'Master'!$C$4384,0))</f>
        <v>0</v>
      </c>
      <c r="AQ18" s="21" cm="1">
        <f t="array" aca="1" ref="AQ18" ca="1">INDEX(Master!$H$2:'Master'!$H$4384,MATCH($A18&amp;AQ$2,Master!$A$2:'Master'!$A$4384&amp;Master!$C$2:'Master'!$C$4384,0))</f>
        <v>0</v>
      </c>
      <c r="AR18" s="21" cm="1">
        <f t="array" aca="1" ref="AR18" ca="1">INDEX(Master!$H$2:'Master'!$H$4384,MATCH($A18&amp;AR$2,Master!$A$2:'Master'!$A$4384&amp;Master!$C$2:'Master'!$C$4384,0))</f>
        <v>-1</v>
      </c>
      <c r="AS18" s="21" cm="1">
        <f t="array" aca="1" ref="AS18" ca="1">INDEX(Master!$H$2:'Master'!$H$4384,MATCH($A18&amp;AS$2,Master!$A$2:'Master'!$A$4384&amp;Master!$C$2:'Master'!$C$4384,0))</f>
        <v>0</v>
      </c>
      <c r="AT18" s="21" cm="1">
        <f t="array" aca="1" ref="AT18" ca="1">INDEX(Master!$H$2:'Master'!$H$4384,MATCH($A18&amp;AT$2,Master!$A$2:'Master'!$A$4384&amp;Master!$C$2:'Master'!$C$4384,0))</f>
        <v>4</v>
      </c>
      <c r="AU18" s="21" cm="1">
        <f t="array" aca="1" ref="AU18" ca="1">INDEX(Master!$H$2:'Master'!$H$4384,MATCH($A18&amp;AU$2,Master!$A$2:'Master'!$A$4384&amp;Master!$C$2:'Master'!$C$4384,0))</f>
        <v>3</v>
      </c>
      <c r="AV18" s="21" cm="1">
        <f t="array" aca="1" ref="AV18" ca="1">INDEX(Master!$H$2:'Master'!$H$4384,MATCH($A18&amp;AV$2,Master!$A$2:'Master'!$A$4384&amp;Master!$C$2:'Master'!$C$4384,0))</f>
        <v>2</v>
      </c>
      <c r="AW18" s="21" cm="1">
        <f t="array" aca="1" ref="AW18" ca="1">INDEX(Master!$H$2:'Master'!$H$4384,MATCH($A18&amp;AW$2,Master!$A$2:'Master'!$A$4384&amp;Master!$C$2:'Master'!$C$4384,0))</f>
        <v>1</v>
      </c>
      <c r="AX18" s="21" cm="1">
        <f t="array" aca="1" ref="AX18" ca="1">INDEX(Master!$H$2:'Master'!$H$4384,MATCH($A18&amp;AX$2,Master!$A$2:'Master'!$A$4384&amp;Master!$C$2:'Master'!$C$4384,0))</f>
        <v>3</v>
      </c>
      <c r="AY18" s="21" cm="1">
        <f t="array" aca="1" ref="AY18" ca="1">INDEX(Master!$H$2:'Master'!$H$4384,MATCH($A18&amp;AY$2,Master!$A$2:'Master'!$A$4384&amp;Master!$C$2:'Master'!$C$4384,0))</f>
        <v>2</v>
      </c>
      <c r="AZ18" s="21" cm="1">
        <f t="array" aca="1" ref="AZ18" ca="1">INDEX(Master!$H$2:'Master'!$H$4384,MATCH($A18&amp;AZ$2,Master!$A$2:'Master'!$A$4384&amp;Master!$C$2:'Master'!$C$4384,0))</f>
        <v>2</v>
      </c>
      <c r="BA18" s="21" cm="1">
        <f t="array" aca="1" ref="BA18" ca="1">INDEX(Master!$H$2:'Master'!$H$4384,MATCH($A18&amp;BA$2,Master!$A$2:'Master'!$A$4384&amp;Master!$C$2:'Master'!$C$4384,0))</f>
        <v>3</v>
      </c>
      <c r="BB18" s="21" cm="1">
        <f t="array" aca="1" ref="BB18" ca="1">INDEX(Master!$H$2:'Master'!$H$4384,MATCH($A18&amp;BB$2,Master!$A$2:'Master'!$A$4384&amp;Master!$C$2:'Master'!$C$4384,0))</f>
        <v>3</v>
      </c>
      <c r="BC18" s="21" cm="1">
        <f t="array" aca="1" ref="BC18" ca="1">INDEX(Master!$H$2:'Master'!$H$4384,MATCH($A18&amp;BC$2,Master!$A$2:'Master'!$A$4384&amp;Master!$C$2:'Master'!$C$4384,0))</f>
        <v>1</v>
      </c>
      <c r="BD18" s="21" cm="1">
        <f t="array" aca="1" ref="BD18" ca="1">INDEX(Master!$H$2:'Master'!$H$4384,MATCH($A18&amp;BD$2,Master!$A$2:'Master'!$A$4384&amp;Master!$C$2:'Master'!$C$4384,0))</f>
        <v>1</v>
      </c>
      <c r="BE18" s="21" cm="1">
        <f t="array" aca="1" ref="BE18" ca="1">INDEX(Master!$H$2:'Master'!$H$4384,MATCH($A18&amp;BE$2,Master!$A$2:'Master'!$A$4384&amp;Master!$C$2:'Master'!$C$4384,0))</f>
        <v>1</v>
      </c>
      <c r="BF18" s="21" cm="1">
        <f t="array" aca="1" ref="BF18" ca="1">INDEX(Master!$H$2:'Master'!$H$4384,MATCH($A18&amp;BF$2,Master!$A$2:'Master'!$A$4384&amp;Master!$C$2:'Master'!$C$4384,0))</f>
        <v>0</v>
      </c>
      <c r="BG18" s="21" cm="1">
        <f t="array" aca="1" ref="BG18" ca="1">INDEX(Master!$H$2:'Master'!$H$4384,MATCH($A18&amp;BG$2,Master!$A$2:'Master'!$A$4384&amp;Master!$C$2:'Master'!$C$4384,0))</f>
        <v>-1</v>
      </c>
      <c r="BH18" s="21" cm="1">
        <f t="array" aca="1" ref="BH18" ca="1">INDEX(Master!$H$2:'Master'!$H$4384,MATCH($A18&amp;BH$2,Master!$A$2:'Master'!$A$4384&amp;Master!$C$2:'Master'!$C$4384,0))</f>
        <v>0</v>
      </c>
      <c r="BI18" s="21" cm="1">
        <f t="array" aca="1" ref="BI18" ca="1">INDEX(Master!$H$2:'Master'!$H$4384,MATCH($A18&amp;BI$2,Master!$A$2:'Master'!$A$4384&amp;Master!$C$2:'Master'!$C$4384,0))</f>
        <v>2</v>
      </c>
      <c r="BJ18" s="21" cm="1">
        <f t="array" aca="1" ref="BJ18" ca="1">INDEX(Master!$H$2:'Master'!$H$4384,MATCH($A18&amp;BJ$2,Master!$A$2:'Master'!$A$4384&amp;Master!$C$2:'Master'!$C$4384,0))</f>
        <v>3</v>
      </c>
      <c r="BK18" s="21" cm="1">
        <f t="array" aca="1" ref="BK18" ca="1">INDEX(Master!$H$2:'Master'!$H$4384,MATCH($A18&amp;BK$2,Master!$A$2:'Master'!$A$4384&amp;Master!$C$2:'Master'!$C$4384,0))</f>
        <v>0</v>
      </c>
      <c r="BL18" s="21" cm="1">
        <f t="array" aca="1" ref="BL18" ca="1">INDEX(Master!$H$2:'Master'!$H$4384,MATCH($A18&amp;BL$2,Master!$A$2:'Master'!$A$4384&amp;Master!$C$2:'Master'!$C$4384,0))</f>
        <v>0</v>
      </c>
      <c r="BM18" s="21" cm="1">
        <f t="array" aca="1" ref="BM18" ca="1">INDEX(Master!$H$2:'Master'!$H$4384,MATCH($A18&amp;BM$2,Master!$A$2:'Master'!$A$4384&amp;Master!$C$2:'Master'!$C$4384,0))</f>
        <v>1</v>
      </c>
      <c r="BN18" s="21" cm="1">
        <f t="array" aca="1" ref="BN18" ca="1">INDEX(Master!$H$2:'Master'!$H$4384,MATCH($A18&amp;BN$2,Master!$A$2:'Master'!$A$4384&amp;Master!$C$2:'Master'!$C$4384,0))</f>
        <v>-1</v>
      </c>
      <c r="BO18" s="21" cm="1">
        <f t="array" aca="1" ref="BO18" ca="1">INDEX(Master!$H$2:'Master'!$H$4384,MATCH($A18&amp;BO$2,Master!$A$2:'Master'!$A$4384&amp;Master!$C$2:'Master'!$C$4384,0))</f>
        <v>0</v>
      </c>
      <c r="BP18" s="21" cm="1">
        <f t="array" aca="1" ref="BP18" ca="1">INDEX(Master!$H$2:'Master'!$H$4384,MATCH($A18&amp;BP$2,Master!$A$2:'Master'!$A$4384&amp;Master!$C$2:'Master'!$C$4384,0))</f>
        <v>-2</v>
      </c>
      <c r="BQ18" s="21" cm="1">
        <f t="array" aca="1" ref="BQ18" ca="1">INDEX(Master!$H$2:'Master'!$H$4384,MATCH($A18&amp;BQ$2,Master!$A$2:'Master'!$A$4384&amp;Master!$C$2:'Master'!$C$4384,0))</f>
        <v>0</v>
      </c>
      <c r="BR18" s="21" cm="1">
        <f t="array" aca="1" ref="BR18" ca="1">INDEX(Master!$H$2:'Master'!$H$4384,MATCH($A18&amp;BR$2,Master!$A$2:'Master'!$A$4384&amp;Master!$C$2:'Master'!$C$4384,0))</f>
        <v>0</v>
      </c>
      <c r="BS18" s="21" cm="1">
        <f t="array" aca="1" ref="BS18" ca="1">INDEX(Master!$H$2:'Master'!$H$4384,MATCH($A18&amp;BS$2,Master!$A$2:'Master'!$A$4384&amp;Master!$C$2:'Master'!$C$4384,0))</f>
        <v>0</v>
      </c>
      <c r="BT18" s="21" cm="1">
        <f t="array" aca="1" ref="BT18" ca="1">INDEX(Master!$H$2:'Master'!$H$4384,MATCH($A18&amp;BT$2,Master!$A$2:'Master'!$A$4384&amp;Master!$C$2:'Master'!$C$4384,0))</f>
        <v>0</v>
      </c>
      <c r="BU18" s="21" cm="1">
        <f t="array" aca="1" ref="BU18" ca="1">INDEX(Master!$H$2:'Master'!$H$4384,MATCH($A18&amp;BU$2,Master!$A$2:'Master'!$A$4384&amp;Master!$C$2:'Master'!$C$4384,0))</f>
        <v>-1</v>
      </c>
      <c r="BV18" s="21" cm="1">
        <f t="array" aca="1" ref="BV18" ca="1">INDEX(Master!$H$2:'Master'!$H$4384,MATCH($A18&amp;BV$2,Master!$A$2:'Master'!$A$4384&amp;Master!$C$2:'Master'!$C$4384,0))</f>
        <v>-1</v>
      </c>
      <c r="BW18" s="21" cm="1">
        <f t="array" aca="1" ref="BW18" ca="1">INDEX(Master!$H$2:'Master'!$H$4384,MATCH($A18&amp;BW$2,Master!$A$2:'Master'!$A$4384&amp;Master!$C$2:'Master'!$C$4384,0))</f>
        <v>0</v>
      </c>
      <c r="BX18" s="21" cm="1">
        <f t="array" aca="1" ref="BX18" ca="1">INDEX(Master!$H$2:'Master'!$H$4384,MATCH($A18&amp;BX$2,Master!$A$2:'Master'!$A$4384&amp;Master!$C$2:'Master'!$C$4384,0))</f>
        <v>-1</v>
      </c>
      <c r="BY18" s="21" cm="1">
        <f t="array" aca="1" ref="BY18" ca="1">INDEX(Master!$H$2:'Master'!$H$4384,MATCH($A18&amp;BY$2,Master!$A$2:'Master'!$A$4384&amp;Master!$C$2:'Master'!$C$4384,0))</f>
        <v>0</v>
      </c>
      <c r="BZ18" s="21" cm="1">
        <f t="array" aca="1" ref="BZ18" ca="1">INDEX(Master!$H$2:'Master'!$H$4384,MATCH($A18&amp;BZ$2,Master!$A$2:'Master'!$A$4384&amp;Master!$C$2:'Master'!$C$4384,0))</f>
        <v>2</v>
      </c>
      <c r="CA18" s="21" cm="1">
        <f t="array" aca="1" ref="CA18" ca="1">INDEX(Master!$H$2:'Master'!$H$4384,MATCH($A18&amp;CA$2,Master!$A$2:'Master'!$A$4384&amp;Master!$C$2:'Master'!$C$4384,0))</f>
        <v>3</v>
      </c>
      <c r="CB18" s="21" cm="1">
        <f t="array" aca="1" ref="CB18" ca="1">INDEX(Master!$H$2:'Master'!$H$4384,MATCH($A18&amp;CB$2,Master!$A$2:'Master'!$A$4384&amp;Master!$C$2:'Master'!$C$4384,0))</f>
        <v>0</v>
      </c>
      <c r="CC18" s="21" cm="1">
        <f t="array" aca="1" ref="CC18" ca="1">INDEX(Master!$H$2:'Master'!$H$4384,MATCH($A18&amp;CC$2,Master!$A$2:'Master'!$A$4384&amp;Master!$C$2:'Master'!$C$4384,0))</f>
        <v>0</v>
      </c>
      <c r="CD18" s="21" cm="1">
        <f t="array" aca="1" ref="CD18" ca="1">INDEX(Master!$H$2:'Master'!$H$4384,MATCH($A18&amp;CD$2,Master!$A$2:'Master'!$A$4384&amp;Master!$C$2:'Master'!$C$4384,0))</f>
        <v>1</v>
      </c>
      <c r="CE18" s="21" cm="1">
        <f t="array" aca="1" ref="CE18" ca="1">INDEX(Master!$H$2:'Master'!$H$4384,MATCH($A18&amp;CE$2,Master!$A$2:'Master'!$A$4384&amp;Master!$C$2:'Master'!$C$4384,0))</f>
        <v>-1</v>
      </c>
      <c r="CF18" s="21" cm="1">
        <f t="array" aca="1" ref="CF18" ca="1">INDEX(Master!$H$2:'Master'!$H$4384,MATCH($A18&amp;CF$2,Master!$A$2:'Master'!$A$4384&amp;Master!$C$2:'Master'!$C$4384,0))</f>
        <v>0</v>
      </c>
      <c r="CG18" s="21" cm="1">
        <f t="array" aca="1" ref="CG18" ca="1">INDEX(Master!$H$2:'Master'!$H$4384,MATCH($A18&amp;CG$2,Master!$A$2:'Master'!$A$4384&amp;Master!$C$2:'Master'!$C$4384,0))</f>
        <v>0</v>
      </c>
      <c r="CH18" s="21" cm="1">
        <f t="array" aca="1" ref="CH18" ca="1">INDEX(Master!$H$2:'Master'!$H$4384,MATCH($A18&amp;CH$2,Master!$A$2:'Master'!$A$4384&amp;Master!$C$2:'Master'!$C$4384,0))</f>
        <v>0</v>
      </c>
      <c r="CI18" s="21" cm="1">
        <f t="array" aca="1" ref="CI18" ca="1">INDEX(Master!$H$2:'Master'!$H$4384,MATCH($A18&amp;CI$2,Master!$A$2:'Master'!$A$4384&amp;Master!$C$2:'Master'!$C$4384,0))</f>
        <v>0</v>
      </c>
      <c r="CJ18" s="21" cm="1">
        <f t="array" aca="1" ref="CJ18" ca="1">INDEX(Master!$H$2:'Master'!$H$4384,MATCH($A18&amp;CJ$2,Master!$A$2:'Master'!$A$4384&amp;Master!$C$2:'Master'!$C$4384,0))</f>
        <v>-1</v>
      </c>
      <c r="CK18" s="21" cm="1">
        <f t="array" aca="1" ref="CK18" ca="1">INDEX(Master!$H$2:'Master'!$H$4384,MATCH($A18&amp;CK$2,Master!$A$2:'Master'!$A$4384&amp;Master!$C$2:'Master'!$C$4384,0))</f>
        <v>-2</v>
      </c>
      <c r="CL18" s="21" cm="1">
        <f t="array" aca="1" ref="CL18" ca="1">INDEX(Master!$H$2:'Master'!$H$4384,MATCH($A18&amp;CL$2,Master!$A$2:'Master'!$A$4384&amp;Master!$C$2:'Master'!$C$4384,0))</f>
        <v>1</v>
      </c>
      <c r="CM18" s="21" cm="1">
        <f t="array" aca="1" ref="CM18" ca="1">INDEX(Master!$H$2:'Master'!$H$4384,MATCH($A18&amp;CM$2,Master!$A$2:'Master'!$A$4384&amp;Master!$C$2:'Master'!$C$4384,0))</f>
        <v>2</v>
      </c>
      <c r="CN18" s="21" cm="1">
        <f t="array" aca="1" ref="CN18" ca="1">INDEX(Master!$H$2:'Master'!$H$4384,MATCH($A18&amp;CN$2,Master!$A$2:'Master'!$A$4384&amp;Master!$C$2:'Master'!$C$4384,0))</f>
        <v>1</v>
      </c>
      <c r="CO18" s="21" cm="1">
        <f t="array" aca="1" ref="CO18" ca="1">INDEX(Master!$H$2:'Master'!$H$4384,MATCH($A18&amp;CO$2,Master!$A$2:'Master'!$A$4384&amp;Master!$C$2:'Master'!$C$4384,0))</f>
        <v>0</v>
      </c>
      <c r="CP18" s="21" cm="1">
        <f t="array" aca="1" ref="CP18" ca="1">INDEX(Master!$H$2:'Master'!$H$4384,MATCH($A18&amp;CP$2,Master!$A$2:'Master'!$A$4384&amp;Master!$C$2:'Master'!$C$4384,0))</f>
        <v>1</v>
      </c>
      <c r="CQ18" s="21" cm="1">
        <f t="array" aca="1" ref="CQ18" ca="1">INDEX(Master!$H$2:'Master'!$H$4384,MATCH($A18&amp;CQ$2,Master!$A$2:'Master'!$A$4384&amp;Master!$C$2:'Master'!$C$4384,0))</f>
        <v>0</v>
      </c>
      <c r="CR18" s="21" cm="1">
        <f t="array" aca="1" ref="CR18" ca="1">INDEX(Master!$H$2:'Master'!$H$4384,MATCH($A18&amp;CR$2,Master!$A$2:'Master'!$A$4384&amp;Master!$C$2:'Master'!$C$4384,0))</f>
        <v>3</v>
      </c>
      <c r="CS18" s="21" cm="1">
        <f t="array" aca="1" ref="CS18" ca="1">INDEX(Master!$H$2:'Master'!$H$4384,MATCH($A18&amp;CS$2,Master!$A$2:'Master'!$A$4384&amp;Master!$C$2:'Master'!$C$4384,0))</f>
        <v>2</v>
      </c>
    </row>
    <row r="19" spans="1:97">
      <c r="A19" s="22" t="str">
        <f>VLOOKUP(Staff!$A16,Staff!$A$1:A$73,1,FALSE)</f>
        <v>Tom Barnaby</v>
      </c>
      <c r="B19" s="21" cm="1">
        <f t="array" aca="1" ref="B19" ca="1">INDEX(Master!$H$2:'Master'!$H$4384,MATCH($A19&amp;B$2,Master!$A$2:'Master'!$A$4384&amp;Master!$C$2:'Master'!$C$4384,0))</f>
        <v>0</v>
      </c>
      <c r="C19" s="21" cm="1">
        <f t="array" aca="1" ref="C19" ca="1">INDEX(Master!$H$2:'Master'!$H$4384,MATCH($A19&amp;C$2,Master!$A$2:'Master'!$A$4384&amp;Master!$C$2:'Master'!$C$4384,0))</f>
        <v>0</v>
      </c>
      <c r="D19" s="21" cm="1">
        <f t="array" aca="1" ref="D19" ca="1">INDEX(Master!$H$2:'Master'!$H$4384,MATCH($A19&amp;D$2,Master!$A$2:'Master'!$A$4384&amp;Master!$C$2:'Master'!$C$4384,0))</f>
        <v>0</v>
      </c>
      <c r="E19" s="21" cm="1">
        <f t="array" aca="1" ref="E19" ca="1">INDEX(Master!$H$2:'Master'!$H$4384,MATCH($A19&amp;E$2,Master!$A$2:'Master'!$A$4384&amp;Master!$C$2:'Master'!$C$4384,0))</f>
        <v>0</v>
      </c>
      <c r="F19" s="21" cm="1">
        <f t="array" aca="1" ref="F19" ca="1">INDEX(Master!$H$2:'Master'!$H$4384,MATCH($A19&amp;F$2,Master!$A$2:'Master'!$A$4384&amp;Master!$C$2:'Master'!$C$4384,0))</f>
        <v>0</v>
      </c>
      <c r="G19" s="21" cm="1">
        <f t="array" aca="1" ref="G19" ca="1">INDEX(Master!$H$2:'Master'!$H$4384,MATCH($A19&amp;G$2,Master!$A$2:'Master'!$A$4384&amp;Master!$C$2:'Master'!$C$4384,0))</f>
        <v>0</v>
      </c>
      <c r="H19" s="21" cm="1">
        <f t="array" aca="1" ref="H19" ca="1">INDEX(Master!$H$2:'Master'!$H$4384,MATCH($A19&amp;H$2,Master!$A$2:'Master'!$A$4384&amp;Master!$C$2:'Master'!$C$4384,0))</f>
        <v>0</v>
      </c>
      <c r="I19" s="21" cm="1">
        <f t="array" aca="1" ref="I19" ca="1">INDEX(Master!$H$2:'Master'!$H$4384,MATCH($A19&amp;I$2,Master!$A$2:'Master'!$A$4384&amp;Master!$C$2:'Master'!$C$4384,0))</f>
        <v>-1</v>
      </c>
      <c r="J19" s="21" cm="1">
        <f t="array" aca="1" ref="J19" ca="1">INDEX(Master!$H$2:'Master'!$H$4384,MATCH($A19&amp;J$2,Master!$A$2:'Master'!$A$4384&amp;Master!$C$2:'Master'!$C$4384,0))</f>
        <v>-1</v>
      </c>
      <c r="K19" s="21" cm="1">
        <f t="array" aca="1" ref="K19" ca="1">INDEX(Master!$H$2:'Master'!$H$4384,MATCH($A19&amp;K$2,Master!$A$2:'Master'!$A$4384&amp;Master!$C$2:'Master'!$C$4384,0))</f>
        <v>0</v>
      </c>
      <c r="L19" s="21" cm="1">
        <f t="array" aca="1" ref="L19" ca="1">INDEX(Master!$H$2:'Master'!$H$4384,MATCH($A19&amp;L$2,Master!$A$2:'Master'!$A$4384&amp;Master!$C$2:'Master'!$C$4384,0))</f>
        <v>0</v>
      </c>
      <c r="M19" s="21" cm="1">
        <f t="array" aca="1" ref="M19" ca="1">INDEX(Master!$H$2:'Master'!$H$4384,MATCH($A19&amp;M$2,Master!$A$2:'Master'!$A$4384&amp;Master!$C$2:'Master'!$C$4384,0))</f>
        <v>0</v>
      </c>
      <c r="N19" s="21" cm="1">
        <f t="array" aca="1" ref="N19" ca="1">INDEX(Master!$H$2:'Master'!$H$4384,MATCH($A19&amp;N$2,Master!$A$2:'Master'!$A$4384&amp;Master!$C$2:'Master'!$C$4384,0))</f>
        <v>-2</v>
      </c>
      <c r="O19" s="21" cm="1">
        <f t="array" aca="1" ref="O19" ca="1">INDEX(Master!$H$2:'Master'!$H$4384,MATCH($A19&amp;O$2,Master!$A$2:'Master'!$A$4384&amp;Master!$C$2:'Master'!$C$4384,0))</f>
        <v>-3</v>
      </c>
      <c r="P19" s="21" cm="1">
        <f t="array" aca="1" ref="P19" ca="1">INDEX(Master!$H$2:'Master'!$H$4384,MATCH($A19&amp;P$2,Master!$A$2:'Master'!$A$4384&amp;Master!$C$2:'Master'!$C$4384,0))</f>
        <v>0</v>
      </c>
      <c r="Q19" s="21" cm="1">
        <f t="array" aca="1" ref="Q19" ca="1">INDEX(Master!$H$2:'Master'!$H$4384,MATCH($A19&amp;Q$2,Master!$A$2:'Master'!$A$4384&amp;Master!$C$2:'Master'!$C$4384,0))</f>
        <v>-1</v>
      </c>
      <c r="R19" s="21" cm="1">
        <f t="array" aca="1" ref="R19" ca="1">INDEX(Master!$H$2:'Master'!$H$4384,MATCH($A19&amp;R$2,Master!$A$2:'Master'!$A$4384&amp;Master!$C$2:'Master'!$C$4384,0))</f>
        <v>0</v>
      </c>
      <c r="S19" s="21" cm="1">
        <f t="array" aca="1" ref="S19" ca="1">INDEX(Master!$H$2:'Master'!$H$4384,MATCH($A19&amp;S$2,Master!$A$2:'Master'!$A$4384&amp;Master!$C$2:'Master'!$C$4384,0))</f>
        <v>-2</v>
      </c>
      <c r="T19" s="21" cm="1">
        <f t="array" aca="1" ref="T19" ca="1">INDEX(Master!$H$2:'Master'!$H$4384,MATCH($A19&amp;T$2,Master!$A$2:'Master'!$A$4384&amp;Master!$C$2:'Master'!$C$4384,0))</f>
        <v>0</v>
      </c>
      <c r="U19" s="21" cm="1">
        <f t="array" aca="1" ref="U19" ca="1">INDEX(Master!$H$2:'Master'!$H$4384,MATCH($A19&amp;U$2,Master!$A$2:'Master'!$A$4384&amp;Master!$C$2:'Master'!$C$4384,0))</f>
        <v>-1</v>
      </c>
      <c r="V19" s="21" cm="1">
        <f t="array" aca="1" ref="V19" ca="1">INDEX(Master!$H$2:'Master'!$H$4384,MATCH($A19&amp;V$2,Master!$A$2:'Master'!$A$4384&amp;Master!$C$2:'Master'!$C$4384,0))</f>
        <v>-2</v>
      </c>
      <c r="W19" s="21" cm="1">
        <f t="array" aca="1" ref="W19" ca="1">INDEX(Master!$H$2:'Master'!$H$4384,MATCH($A19&amp;W$2,Master!$A$2:'Master'!$A$4384&amp;Master!$C$2:'Master'!$C$4384,0))</f>
        <v>-1</v>
      </c>
      <c r="X19" s="21" cm="1">
        <f t="array" aca="1" ref="X19" ca="1">INDEX(Master!$H$2:'Master'!$H$4384,MATCH($A19&amp;X$2,Master!$A$2:'Master'!$A$4384&amp;Master!$C$2:'Master'!$C$4384,0))</f>
        <v>-3</v>
      </c>
      <c r="Y19" s="21" cm="1">
        <f t="array" aca="1" ref="Y19" ca="1">INDEX(Master!$H$2:'Master'!$H$4384,MATCH($A19&amp;Y$2,Master!$A$2:'Master'!$A$4384&amp;Master!$C$2:'Master'!$C$4384,0))</f>
        <v>2</v>
      </c>
      <c r="Z19" s="21" cm="1">
        <f t="array" aca="1" ref="Z19" ca="1">INDEX(Master!$H$2:'Master'!$H$4384,MATCH($A19&amp;Z$2,Master!$A$2:'Master'!$A$4384&amp;Master!$C$2:'Master'!$C$4384,0))</f>
        <v>0</v>
      </c>
      <c r="AA19" s="21" cm="1">
        <f t="array" aca="1" ref="AA19" ca="1">INDEX(Master!$H$2:'Master'!$H$4384,MATCH($A19&amp;AA$2,Master!$A$2:'Master'!$A$4384&amp;Master!$C$2:'Master'!$C$4384,0))</f>
        <v>0</v>
      </c>
      <c r="AB19" s="21" cm="1">
        <f t="array" aca="1" ref="AB19" ca="1">INDEX(Master!$H$2:'Master'!$H$4384,MATCH($A19&amp;AB$2,Master!$A$2:'Master'!$A$4384&amp;Master!$C$2:'Master'!$C$4384,0))</f>
        <v>0</v>
      </c>
      <c r="AC19" s="21" cm="1">
        <f t="array" aca="1" ref="AC19" ca="1">INDEX(Master!$H$2:'Master'!$H$4384,MATCH($A19&amp;AC$2,Master!$A$2:'Master'!$A$4384&amp;Master!$C$2:'Master'!$C$4384,0))</f>
        <v>0</v>
      </c>
      <c r="AD19" s="21" cm="1">
        <f t="array" aca="1" ref="AD19" ca="1">INDEX(Master!$H$2:'Master'!$H$4384,MATCH($A19&amp;AD$2,Master!$A$2:'Master'!$A$4384&amp;Master!$C$2:'Master'!$C$4384,0))</f>
        <v>0</v>
      </c>
      <c r="AE19" s="21" cm="1">
        <f t="array" aca="1" ref="AE19" ca="1">INDEX(Master!$H$2:'Master'!$H$4384,MATCH($A19&amp;AE$2,Master!$A$2:'Master'!$A$4384&amp;Master!$C$2:'Master'!$C$4384,0))</f>
        <v>0</v>
      </c>
      <c r="AF19" s="21" cm="1">
        <f t="array" aca="1" ref="AF19" ca="1">INDEX(Master!$H$2:'Master'!$H$4384,MATCH($A19&amp;AF$2,Master!$A$2:'Master'!$A$4384&amp;Master!$C$2:'Master'!$C$4384,0))</f>
        <v>1</v>
      </c>
      <c r="AG19" s="21" cm="1">
        <f t="array" aca="1" ref="AG19" ca="1">INDEX(Master!$H$2:'Master'!$H$4384,MATCH($A19&amp;AG$2,Master!$A$2:'Master'!$A$4384&amp;Master!$C$2:'Master'!$C$4384,0))</f>
        <v>1</v>
      </c>
      <c r="AH19" s="21" cm="1">
        <f t="array" aca="1" ref="AH19" ca="1">INDEX(Master!$H$2:'Master'!$H$4384,MATCH($A19&amp;AH$2,Master!$A$2:'Master'!$A$4384&amp;Master!$C$2:'Master'!$C$4384,0))</f>
        <v>1</v>
      </c>
      <c r="AI19" s="21" cm="1">
        <f t="array" aca="1" ref="AI19" ca="1">INDEX(Master!$H$2:'Master'!$H$4384,MATCH($A19&amp;AI$2,Master!$A$2:'Master'!$A$4384&amp;Master!$C$2:'Master'!$C$4384,0))</f>
        <v>0</v>
      </c>
      <c r="AJ19" s="21" cm="1">
        <f t="array" aca="1" ref="AJ19" ca="1">INDEX(Master!$H$2:'Master'!$H$4384,MATCH($A19&amp;AJ$2,Master!$A$2:'Master'!$A$4384&amp;Master!$C$2:'Master'!$C$4384,0))</f>
        <v>2</v>
      </c>
      <c r="AK19" s="21" cm="1">
        <f t="array" aca="1" ref="AK19" ca="1">INDEX(Master!$H$2:'Master'!$H$4384,MATCH($A19&amp;AK$2,Master!$A$2:'Master'!$A$4384&amp;Master!$C$2:'Master'!$C$4384,0))</f>
        <v>1</v>
      </c>
      <c r="AL19" s="21" cm="1">
        <f t="array" aca="1" ref="AL19" ca="1">INDEX(Master!$H$2:'Master'!$H$4384,MATCH($A19&amp;AL$2,Master!$A$2:'Master'!$A$4384&amp;Master!$C$2:'Master'!$C$4384,0))</f>
        <v>1</v>
      </c>
      <c r="AM19" s="21" cm="1">
        <f t="array" aca="1" ref="AM19" ca="1">INDEX(Master!$H$2:'Master'!$H$4384,MATCH($A19&amp;AM$2,Master!$A$2:'Master'!$A$4384&amp;Master!$C$2:'Master'!$C$4384,0))</f>
        <v>2</v>
      </c>
      <c r="AN19" s="21" cm="1">
        <f t="array" aca="1" ref="AN19" ca="1">INDEX(Master!$H$2:'Master'!$H$4384,MATCH($A19&amp;AN$2,Master!$A$2:'Master'!$A$4384&amp;Master!$C$2:'Master'!$C$4384,0))</f>
        <v>-2</v>
      </c>
      <c r="AO19" s="21" cm="1">
        <f t="array" aca="1" ref="AO19" ca="1">INDEX(Master!$H$2:'Master'!$H$4384,MATCH($A19&amp;AO$2,Master!$A$2:'Master'!$A$4384&amp;Master!$C$2:'Master'!$C$4384,0))</f>
        <v>-3</v>
      </c>
      <c r="AP19" s="21" cm="1">
        <f t="array" aca="1" ref="AP19" ca="1">INDEX(Master!$H$2:'Master'!$H$4384,MATCH($A19&amp;AP$2,Master!$A$2:'Master'!$A$4384&amp;Master!$C$2:'Master'!$C$4384,0))</f>
        <v>1</v>
      </c>
      <c r="AQ19" s="21" cm="1">
        <f t="array" aca="1" ref="AQ19" ca="1">INDEX(Master!$H$2:'Master'!$H$4384,MATCH($A19&amp;AQ$2,Master!$A$2:'Master'!$A$4384&amp;Master!$C$2:'Master'!$C$4384,0))</f>
        <v>1</v>
      </c>
      <c r="AR19" s="21" cm="1">
        <f t="array" aca="1" ref="AR19" ca="1">INDEX(Master!$H$2:'Master'!$H$4384,MATCH($A19&amp;AR$2,Master!$A$2:'Master'!$A$4384&amp;Master!$C$2:'Master'!$C$4384,0))</f>
        <v>0</v>
      </c>
      <c r="AS19" s="21" cm="1">
        <f t="array" aca="1" ref="AS19" ca="1">INDEX(Master!$H$2:'Master'!$H$4384,MATCH($A19&amp;AS$2,Master!$A$2:'Master'!$A$4384&amp;Master!$C$2:'Master'!$C$4384,0))</f>
        <v>-2</v>
      </c>
      <c r="AT19" s="21" cm="1">
        <f t="array" aca="1" ref="AT19" ca="1">INDEX(Master!$H$2:'Master'!$H$4384,MATCH($A19&amp;AT$2,Master!$A$2:'Master'!$A$4384&amp;Master!$C$2:'Master'!$C$4384,0))</f>
        <v>-2</v>
      </c>
      <c r="AU19" s="21" cm="1">
        <f t="array" aca="1" ref="AU19" ca="1">INDEX(Master!$H$2:'Master'!$H$4384,MATCH($A19&amp;AU$2,Master!$A$2:'Master'!$A$4384&amp;Master!$C$2:'Master'!$C$4384,0))</f>
        <v>-1</v>
      </c>
      <c r="AV19" s="21" cm="1">
        <f t="array" aca="1" ref="AV19" ca="1">INDEX(Master!$H$2:'Master'!$H$4384,MATCH($A19&amp;AV$2,Master!$A$2:'Master'!$A$4384&amp;Master!$C$2:'Master'!$C$4384,0))</f>
        <v>2</v>
      </c>
      <c r="AW19" s="21" cm="1">
        <f t="array" aca="1" ref="AW19" ca="1">INDEX(Master!$H$2:'Master'!$H$4384,MATCH($A19&amp;AW$2,Master!$A$2:'Master'!$A$4384&amp;Master!$C$2:'Master'!$C$4384,0))</f>
        <v>1</v>
      </c>
      <c r="AX19" s="21" cm="1">
        <f t="array" aca="1" ref="AX19" ca="1">INDEX(Master!$H$2:'Master'!$H$4384,MATCH($A19&amp;AX$2,Master!$A$2:'Master'!$A$4384&amp;Master!$C$2:'Master'!$C$4384,0))</f>
        <v>3</v>
      </c>
      <c r="AY19" s="21" cm="1">
        <f t="array" aca="1" ref="AY19" ca="1">INDEX(Master!$H$2:'Master'!$H$4384,MATCH($A19&amp;AY$2,Master!$A$2:'Master'!$A$4384&amp;Master!$C$2:'Master'!$C$4384,0))</f>
        <v>3</v>
      </c>
      <c r="AZ19" s="21" cm="1">
        <f t="array" aca="1" ref="AZ19" ca="1">INDEX(Master!$H$2:'Master'!$H$4384,MATCH($A19&amp;AZ$2,Master!$A$2:'Master'!$A$4384&amp;Master!$C$2:'Master'!$C$4384,0))</f>
        <v>0</v>
      </c>
      <c r="BA19" s="21" cm="1">
        <f t="array" aca="1" ref="BA19" ca="1">INDEX(Master!$H$2:'Master'!$H$4384,MATCH($A19&amp;BA$2,Master!$A$2:'Master'!$A$4384&amp;Master!$C$2:'Master'!$C$4384,0))</f>
        <v>3</v>
      </c>
      <c r="BB19" s="21" cm="1">
        <f t="array" aca="1" ref="BB19" ca="1">INDEX(Master!$H$2:'Master'!$H$4384,MATCH($A19&amp;BB$2,Master!$A$2:'Master'!$A$4384&amp;Master!$C$2:'Master'!$C$4384,0))</f>
        <v>2</v>
      </c>
      <c r="BC19" s="21" cm="1">
        <f t="array" aca="1" ref="BC19" ca="1">INDEX(Master!$H$2:'Master'!$H$4384,MATCH($A19&amp;BC$2,Master!$A$2:'Master'!$A$4384&amp;Master!$C$2:'Master'!$C$4384,0))</f>
        <v>3</v>
      </c>
      <c r="BD19" s="21" cm="1">
        <f t="array" aca="1" ref="BD19" ca="1">INDEX(Master!$H$2:'Master'!$H$4384,MATCH($A19&amp;BD$2,Master!$A$2:'Master'!$A$4384&amp;Master!$C$2:'Master'!$C$4384,0))</f>
        <v>2</v>
      </c>
      <c r="BE19" s="21" cm="1">
        <f t="array" aca="1" ref="BE19" ca="1">INDEX(Master!$H$2:'Master'!$H$4384,MATCH($A19&amp;BE$2,Master!$A$2:'Master'!$A$4384&amp;Master!$C$2:'Master'!$C$4384,0))</f>
        <v>0</v>
      </c>
      <c r="BF19" s="21" cm="1">
        <f t="array" aca="1" ref="BF19" ca="1">INDEX(Master!$H$2:'Master'!$H$4384,MATCH($A19&amp;BF$2,Master!$A$2:'Master'!$A$4384&amp;Master!$C$2:'Master'!$C$4384,0))</f>
        <v>-2</v>
      </c>
      <c r="BG19" s="21" cm="1">
        <f t="array" aca="1" ref="BG19" ca="1">INDEX(Master!$H$2:'Master'!$H$4384,MATCH($A19&amp;BG$2,Master!$A$2:'Master'!$A$4384&amp;Master!$C$2:'Master'!$C$4384,0))</f>
        <v>-3</v>
      </c>
      <c r="BH19" s="21" cm="1">
        <f t="array" aca="1" ref="BH19" ca="1">INDEX(Master!$H$2:'Master'!$H$4384,MATCH($A19&amp;BH$2,Master!$A$2:'Master'!$A$4384&amp;Master!$C$2:'Master'!$C$4384,0))</f>
        <v>-2</v>
      </c>
      <c r="BI19" s="21" cm="1">
        <f t="array" aca="1" ref="BI19" ca="1">INDEX(Master!$H$2:'Master'!$H$4384,MATCH($A19&amp;BI$2,Master!$A$2:'Master'!$A$4384&amp;Master!$C$2:'Master'!$C$4384,0))</f>
        <v>-2</v>
      </c>
      <c r="BJ19" s="21" cm="1">
        <f t="array" aca="1" ref="BJ19" ca="1">INDEX(Master!$H$2:'Master'!$H$4384,MATCH($A19&amp;BJ$2,Master!$A$2:'Master'!$A$4384&amp;Master!$C$2:'Master'!$C$4384,0))</f>
        <v>-2</v>
      </c>
      <c r="BK19" s="21" cm="1">
        <f t="array" aca="1" ref="BK19" ca="1">INDEX(Master!$H$2:'Master'!$H$4384,MATCH($A19&amp;BK$2,Master!$A$2:'Master'!$A$4384&amp;Master!$C$2:'Master'!$C$4384,0))</f>
        <v>0</v>
      </c>
      <c r="BL19" s="21" cm="1">
        <f t="array" aca="1" ref="BL19" ca="1">INDEX(Master!$H$2:'Master'!$H$4384,MATCH($A19&amp;BL$2,Master!$A$2:'Master'!$A$4384&amp;Master!$C$2:'Master'!$C$4384,0))</f>
        <v>-2</v>
      </c>
      <c r="BM19" s="21" cm="1">
        <f t="array" aca="1" ref="BM19" ca="1">INDEX(Master!$H$2:'Master'!$H$4384,MATCH($A19&amp;BM$2,Master!$A$2:'Master'!$A$4384&amp;Master!$C$2:'Master'!$C$4384,0))</f>
        <v>-3</v>
      </c>
      <c r="BN19" s="21" cm="1">
        <f t="array" aca="1" ref="BN19" ca="1">INDEX(Master!$H$2:'Master'!$H$4384,MATCH($A19&amp;BN$2,Master!$A$2:'Master'!$A$4384&amp;Master!$C$2:'Master'!$C$4384,0))</f>
        <v>-3</v>
      </c>
      <c r="BO19" s="21" cm="1">
        <f t="array" aca="1" ref="BO19" ca="1">INDEX(Master!$H$2:'Master'!$H$4384,MATCH($A19&amp;BO$2,Master!$A$2:'Master'!$A$4384&amp;Master!$C$2:'Master'!$C$4384,0))</f>
        <v>1</v>
      </c>
      <c r="BP19" s="21" cm="1">
        <f t="array" aca="1" ref="BP19" ca="1">INDEX(Master!$H$2:'Master'!$H$4384,MATCH($A19&amp;BP$2,Master!$A$2:'Master'!$A$4384&amp;Master!$C$2:'Master'!$C$4384,0))</f>
        <v>-3</v>
      </c>
      <c r="BQ19" s="21" cm="1">
        <f t="array" aca="1" ref="BQ19" ca="1">INDEX(Master!$H$2:'Master'!$H$4384,MATCH($A19&amp;BQ$2,Master!$A$2:'Master'!$A$4384&amp;Master!$C$2:'Master'!$C$4384,0))</f>
        <v>0</v>
      </c>
      <c r="BR19" s="21" cm="1">
        <f t="array" aca="1" ref="BR19" ca="1">INDEX(Master!$H$2:'Master'!$H$4384,MATCH($A19&amp;BR$2,Master!$A$2:'Master'!$A$4384&amp;Master!$C$2:'Master'!$C$4384,0))</f>
        <v>-1</v>
      </c>
      <c r="BS19" s="21" cm="1">
        <f t="array" aca="1" ref="BS19" ca="1">INDEX(Master!$H$2:'Master'!$H$4384,MATCH($A19&amp;BS$2,Master!$A$2:'Master'!$A$4384&amp;Master!$C$2:'Master'!$C$4384,0))</f>
        <v>-1</v>
      </c>
      <c r="BT19" s="21" cm="1">
        <f t="array" aca="1" ref="BT19" ca="1">INDEX(Master!$H$2:'Master'!$H$4384,MATCH($A19&amp;BT$2,Master!$A$2:'Master'!$A$4384&amp;Master!$C$2:'Master'!$C$4384,0))</f>
        <v>-1</v>
      </c>
      <c r="BU19" s="21" cm="1">
        <f t="array" aca="1" ref="BU19" ca="1">INDEX(Master!$H$2:'Master'!$H$4384,MATCH($A19&amp;BU$2,Master!$A$2:'Master'!$A$4384&amp;Master!$C$2:'Master'!$C$4384,0))</f>
        <v>-1</v>
      </c>
      <c r="BV19" s="21" cm="1">
        <f t="array" aca="1" ref="BV19" ca="1">INDEX(Master!$H$2:'Master'!$H$4384,MATCH($A19&amp;BV$2,Master!$A$2:'Master'!$A$4384&amp;Master!$C$2:'Master'!$C$4384,0))</f>
        <v>-1</v>
      </c>
      <c r="BW19" s="21" cm="1">
        <f t="array" aca="1" ref="BW19" ca="1">INDEX(Master!$H$2:'Master'!$H$4384,MATCH($A19&amp;BW$2,Master!$A$2:'Master'!$A$4384&amp;Master!$C$2:'Master'!$C$4384,0))</f>
        <v>-2</v>
      </c>
      <c r="BX19" s="21" cm="1">
        <f t="array" aca="1" ref="BX19" ca="1">INDEX(Master!$H$2:'Master'!$H$4384,MATCH($A19&amp;BX$2,Master!$A$2:'Master'!$A$4384&amp;Master!$C$2:'Master'!$C$4384,0))</f>
        <v>-3</v>
      </c>
      <c r="BY19" s="21" cm="1">
        <f t="array" aca="1" ref="BY19" ca="1">INDEX(Master!$H$2:'Master'!$H$4384,MATCH($A19&amp;BY$2,Master!$A$2:'Master'!$A$4384&amp;Master!$C$2:'Master'!$C$4384,0))</f>
        <v>-2</v>
      </c>
      <c r="BZ19" s="21" cm="1">
        <f t="array" aca="1" ref="BZ19" ca="1">INDEX(Master!$H$2:'Master'!$H$4384,MATCH($A19&amp;BZ$2,Master!$A$2:'Master'!$A$4384&amp;Master!$C$2:'Master'!$C$4384,0))</f>
        <v>-2</v>
      </c>
      <c r="CA19" s="21" cm="1">
        <f t="array" aca="1" ref="CA19" ca="1">INDEX(Master!$H$2:'Master'!$H$4384,MATCH($A19&amp;CA$2,Master!$A$2:'Master'!$A$4384&amp;Master!$C$2:'Master'!$C$4384,0))</f>
        <v>-2</v>
      </c>
      <c r="CB19" s="21" cm="1">
        <f t="array" aca="1" ref="CB19" ca="1">INDEX(Master!$H$2:'Master'!$H$4384,MATCH($A19&amp;CB$2,Master!$A$2:'Master'!$A$4384&amp;Master!$C$2:'Master'!$C$4384,0))</f>
        <v>0</v>
      </c>
      <c r="CC19" s="21" cm="1">
        <f t="array" aca="1" ref="CC19" ca="1">INDEX(Master!$H$2:'Master'!$H$4384,MATCH($A19&amp;CC$2,Master!$A$2:'Master'!$A$4384&amp;Master!$C$2:'Master'!$C$4384,0))</f>
        <v>-2</v>
      </c>
      <c r="CD19" s="21" cm="1">
        <f t="array" aca="1" ref="CD19" ca="1">INDEX(Master!$H$2:'Master'!$H$4384,MATCH($A19&amp;CD$2,Master!$A$2:'Master'!$A$4384&amp;Master!$C$2:'Master'!$C$4384,0))</f>
        <v>-3</v>
      </c>
      <c r="CE19" s="21" cm="1">
        <f t="array" aca="1" ref="CE19" ca="1">INDEX(Master!$H$2:'Master'!$H$4384,MATCH($A19&amp;CE$2,Master!$A$2:'Master'!$A$4384&amp;Master!$C$2:'Master'!$C$4384,0))</f>
        <v>-3</v>
      </c>
      <c r="CF19" s="21" cm="1">
        <f t="array" aca="1" ref="CF19" ca="1">INDEX(Master!$H$2:'Master'!$H$4384,MATCH($A19&amp;CF$2,Master!$A$2:'Master'!$A$4384&amp;Master!$C$2:'Master'!$C$4384,0))</f>
        <v>-3</v>
      </c>
      <c r="CG19" s="21" cm="1">
        <f t="array" aca="1" ref="CG19" ca="1">INDEX(Master!$H$2:'Master'!$H$4384,MATCH($A19&amp;CG$2,Master!$A$2:'Master'!$A$4384&amp;Master!$C$2:'Master'!$C$4384,0))</f>
        <v>-1</v>
      </c>
      <c r="CH19" s="21" cm="1">
        <f t="array" aca="1" ref="CH19" ca="1">INDEX(Master!$H$2:'Master'!$H$4384,MATCH($A19&amp;CH$2,Master!$A$2:'Master'!$A$4384&amp;Master!$C$2:'Master'!$C$4384,0))</f>
        <v>-3</v>
      </c>
      <c r="CI19" s="21" cm="1">
        <f t="array" aca="1" ref="CI19" ca="1">INDEX(Master!$H$2:'Master'!$H$4384,MATCH($A19&amp;CI$2,Master!$A$2:'Master'!$A$4384&amp;Master!$C$2:'Master'!$C$4384,0))</f>
        <v>-1</v>
      </c>
      <c r="CJ19" s="21" cm="1">
        <f t="array" aca="1" ref="CJ19" ca="1">INDEX(Master!$H$2:'Master'!$H$4384,MATCH($A19&amp;CJ$2,Master!$A$2:'Master'!$A$4384&amp;Master!$C$2:'Master'!$C$4384,0))</f>
        <v>-2</v>
      </c>
      <c r="CK19" s="21" cm="1">
        <f t="array" aca="1" ref="CK19" ca="1">INDEX(Master!$H$2:'Master'!$H$4384,MATCH($A19&amp;CK$2,Master!$A$2:'Master'!$A$4384&amp;Master!$C$2:'Master'!$C$4384,0))</f>
        <v>0</v>
      </c>
      <c r="CL19" s="21" cm="1">
        <f t="array" aca="1" ref="CL19" ca="1">INDEX(Master!$H$2:'Master'!$H$4384,MATCH($A19&amp;CL$2,Master!$A$2:'Master'!$A$4384&amp;Master!$C$2:'Master'!$C$4384,0))</f>
        <v>2</v>
      </c>
      <c r="CM19" s="21" cm="1">
        <f t="array" aca="1" ref="CM19" ca="1">INDEX(Master!$H$2:'Master'!$H$4384,MATCH($A19&amp;CM$2,Master!$A$2:'Master'!$A$4384&amp;Master!$C$2:'Master'!$C$4384,0))</f>
        <v>-2</v>
      </c>
      <c r="CN19" s="21" cm="1">
        <f t="array" aca="1" ref="CN19" ca="1">INDEX(Master!$H$2:'Master'!$H$4384,MATCH($A19&amp;CN$2,Master!$A$2:'Master'!$A$4384&amp;Master!$C$2:'Master'!$C$4384,0))</f>
        <v>-2</v>
      </c>
      <c r="CO19" s="21" cm="1">
        <f t="array" aca="1" ref="CO19" ca="1">INDEX(Master!$H$2:'Master'!$H$4384,MATCH($A19&amp;CO$2,Master!$A$2:'Master'!$A$4384&amp;Master!$C$2:'Master'!$C$4384,0))</f>
        <v>-1</v>
      </c>
      <c r="CP19" s="21" cm="1">
        <f t="array" aca="1" ref="CP19" ca="1">INDEX(Master!$H$2:'Master'!$H$4384,MATCH($A19&amp;CP$2,Master!$A$2:'Master'!$A$4384&amp;Master!$C$2:'Master'!$C$4384,0))</f>
        <v>-1</v>
      </c>
      <c r="CQ19" s="21" cm="1">
        <f t="array" aca="1" ref="CQ19" ca="1">INDEX(Master!$H$2:'Master'!$H$4384,MATCH($A19&amp;CQ$2,Master!$A$2:'Master'!$A$4384&amp;Master!$C$2:'Master'!$C$4384,0))</f>
        <v>1</v>
      </c>
      <c r="CR19" s="21" cm="1">
        <f t="array" aca="1" ref="CR19" ca="1">INDEX(Master!$H$2:'Master'!$H$4384,MATCH($A19&amp;CR$2,Master!$A$2:'Master'!$A$4384&amp;Master!$C$2:'Master'!$C$4384,0))</f>
        <v>0</v>
      </c>
      <c r="CS19" s="21" cm="1">
        <f t="array" aca="1" ref="CS19" ca="1">INDEX(Master!$H$2:'Master'!$H$4384,MATCH($A19&amp;CS$2,Master!$A$2:'Master'!$A$4384&amp;Master!$C$2:'Master'!$C$4384,0))</f>
        <v>1</v>
      </c>
    </row>
    <row r="20" spans="1:97">
      <c r="A20" s="22" t="str">
        <f>VLOOKUP(Staff!$A17,Staff!$A$1:A$73,1,FALSE)</f>
        <v>Endeavour Morse</v>
      </c>
      <c r="B20" s="21" cm="1">
        <f t="array" aca="1" ref="B20" ca="1">INDEX(Master!$H$2:'Master'!$H$4384,MATCH($A20&amp;B$2,Master!$A$2:'Master'!$A$4384&amp;Master!$C$2:'Master'!$C$4384,0))</f>
        <v>0</v>
      </c>
      <c r="C20" s="21" cm="1">
        <f t="array" aca="1" ref="C20" ca="1">INDEX(Master!$H$2:'Master'!$H$4384,MATCH($A20&amp;C$2,Master!$A$2:'Master'!$A$4384&amp;Master!$C$2:'Master'!$C$4384,0))</f>
        <v>2</v>
      </c>
      <c r="D20" s="21" cm="1">
        <f t="array" aca="1" ref="D20" ca="1">INDEX(Master!$H$2:'Master'!$H$4384,MATCH($A20&amp;D$2,Master!$A$2:'Master'!$A$4384&amp;Master!$C$2:'Master'!$C$4384,0))</f>
        <v>1</v>
      </c>
      <c r="E20" s="21" cm="1">
        <f t="array" aca="1" ref="E20" ca="1">INDEX(Master!$H$2:'Master'!$H$4384,MATCH($A20&amp;E$2,Master!$A$2:'Master'!$A$4384&amp;Master!$C$2:'Master'!$C$4384,0))</f>
        <v>1</v>
      </c>
      <c r="F20" s="21" cm="1">
        <f t="array" aca="1" ref="F20" ca="1">INDEX(Master!$H$2:'Master'!$H$4384,MATCH($A20&amp;F$2,Master!$A$2:'Master'!$A$4384&amp;Master!$C$2:'Master'!$C$4384,0))</f>
        <v>1</v>
      </c>
      <c r="G20" s="21" cm="1">
        <f t="array" aca="1" ref="G20" ca="1">INDEX(Master!$H$2:'Master'!$H$4384,MATCH($A20&amp;G$2,Master!$A$2:'Master'!$A$4384&amp;Master!$C$2:'Master'!$C$4384,0))</f>
        <v>1</v>
      </c>
      <c r="H20" s="21" cm="1">
        <f t="array" aca="1" ref="H20" ca="1">INDEX(Master!$H$2:'Master'!$H$4384,MATCH($A20&amp;H$2,Master!$A$2:'Master'!$A$4384&amp;Master!$C$2:'Master'!$C$4384,0))</f>
        <v>-2</v>
      </c>
      <c r="I20" s="21" cm="1">
        <f t="array" aca="1" ref="I20" ca="1">INDEX(Master!$H$2:'Master'!$H$4384,MATCH($A20&amp;I$2,Master!$A$2:'Master'!$A$4384&amp;Master!$C$2:'Master'!$C$4384,0))</f>
        <v>1</v>
      </c>
      <c r="J20" s="21" cm="1">
        <f t="array" aca="1" ref="J20" ca="1">INDEX(Master!$H$2:'Master'!$H$4384,MATCH($A20&amp;J$2,Master!$A$2:'Master'!$A$4384&amp;Master!$C$2:'Master'!$C$4384,0))</f>
        <v>0</v>
      </c>
      <c r="K20" s="21" cm="1">
        <f t="array" aca="1" ref="K20" ca="1">INDEX(Master!$H$2:'Master'!$H$4384,MATCH($A20&amp;K$2,Master!$A$2:'Master'!$A$4384&amp;Master!$C$2:'Master'!$C$4384,0))</f>
        <v>1</v>
      </c>
      <c r="L20" s="21" cm="1">
        <f t="array" aca="1" ref="L20" ca="1">INDEX(Master!$H$2:'Master'!$H$4384,MATCH($A20&amp;L$2,Master!$A$2:'Master'!$A$4384&amp;Master!$C$2:'Master'!$C$4384,0))</f>
        <v>-3</v>
      </c>
      <c r="M20" s="21" cm="1">
        <f t="array" aca="1" ref="M20" ca="1">INDEX(Master!$H$2:'Master'!$H$4384,MATCH($A20&amp;M$2,Master!$A$2:'Master'!$A$4384&amp;Master!$C$2:'Master'!$C$4384,0))</f>
        <v>-1</v>
      </c>
      <c r="N20" s="21" cm="1">
        <f t="array" aca="1" ref="N20" ca="1">INDEX(Master!$H$2:'Master'!$H$4384,MATCH($A20&amp;N$2,Master!$A$2:'Master'!$A$4384&amp;Master!$C$2:'Master'!$C$4384,0))</f>
        <v>-1</v>
      </c>
      <c r="O20" s="21" cm="1">
        <f t="array" aca="1" ref="O20" ca="1">INDEX(Master!$H$2:'Master'!$H$4384,MATCH($A20&amp;O$2,Master!$A$2:'Master'!$A$4384&amp;Master!$C$2:'Master'!$C$4384,0))</f>
        <v>-2</v>
      </c>
      <c r="P20" s="21" cm="1">
        <f t="array" aca="1" ref="P20" ca="1">INDEX(Master!$H$2:'Master'!$H$4384,MATCH($A20&amp;P$2,Master!$A$2:'Master'!$A$4384&amp;Master!$C$2:'Master'!$C$4384,0))</f>
        <v>1</v>
      </c>
      <c r="Q20" s="21" cm="1">
        <f t="array" aca="1" ref="Q20" ca="1">INDEX(Master!$H$2:'Master'!$H$4384,MATCH($A20&amp;Q$2,Master!$A$2:'Master'!$A$4384&amp;Master!$C$2:'Master'!$C$4384,0))</f>
        <v>1</v>
      </c>
      <c r="R20" s="21" cm="1">
        <f t="array" aca="1" ref="R20" ca="1">INDEX(Master!$H$2:'Master'!$H$4384,MATCH($A20&amp;R$2,Master!$A$2:'Master'!$A$4384&amp;Master!$C$2:'Master'!$C$4384,0))</f>
        <v>-2</v>
      </c>
      <c r="S20" s="21" cm="1">
        <f t="array" aca="1" ref="S20" ca="1">INDEX(Master!$H$2:'Master'!$H$4384,MATCH($A20&amp;S$2,Master!$A$2:'Master'!$A$4384&amp;Master!$C$2:'Master'!$C$4384,0))</f>
        <v>-1</v>
      </c>
      <c r="T20" s="21" cm="1">
        <f t="array" aca="1" ref="T20" ca="1">INDEX(Master!$H$2:'Master'!$H$4384,MATCH($A20&amp;T$2,Master!$A$2:'Master'!$A$4384&amp;Master!$C$2:'Master'!$C$4384,0))</f>
        <v>-2</v>
      </c>
      <c r="U20" s="21" cm="1">
        <f t="array" aca="1" ref="U20" ca="1">INDEX(Master!$H$2:'Master'!$H$4384,MATCH($A20&amp;U$2,Master!$A$2:'Master'!$A$4384&amp;Master!$C$2:'Master'!$C$4384,0))</f>
        <v>-1</v>
      </c>
      <c r="V20" s="21" cm="1">
        <f t="array" aca="1" ref="V20" ca="1">INDEX(Master!$H$2:'Master'!$H$4384,MATCH($A20&amp;V$2,Master!$A$2:'Master'!$A$4384&amp;Master!$C$2:'Master'!$C$4384,0))</f>
        <v>1</v>
      </c>
      <c r="W20" s="21" cm="1">
        <f t="array" aca="1" ref="W20" ca="1">INDEX(Master!$H$2:'Master'!$H$4384,MATCH($A20&amp;W$2,Master!$A$2:'Master'!$A$4384&amp;Master!$C$2:'Master'!$C$4384,0))</f>
        <v>-1</v>
      </c>
      <c r="X20" s="21" cm="1">
        <f t="array" aca="1" ref="X20" ca="1">INDEX(Master!$H$2:'Master'!$H$4384,MATCH($A20&amp;X$2,Master!$A$2:'Master'!$A$4384&amp;Master!$C$2:'Master'!$C$4384,0))</f>
        <v>-1</v>
      </c>
      <c r="Y20" s="21" cm="1">
        <f t="array" aca="1" ref="Y20" ca="1">INDEX(Master!$H$2:'Master'!$H$4384,MATCH($A20&amp;Y$2,Master!$A$2:'Master'!$A$4384&amp;Master!$C$2:'Master'!$C$4384,0))</f>
        <v>1</v>
      </c>
      <c r="Z20" s="21" cm="1">
        <f t="array" aca="1" ref="Z20" ca="1">INDEX(Master!$H$2:'Master'!$H$4384,MATCH($A20&amp;Z$2,Master!$A$2:'Master'!$A$4384&amp;Master!$C$2:'Master'!$C$4384,0))</f>
        <v>1</v>
      </c>
      <c r="AA20" s="21" cm="1">
        <f t="array" aca="1" ref="AA20" ca="1">INDEX(Master!$H$2:'Master'!$H$4384,MATCH($A20&amp;AA$2,Master!$A$2:'Master'!$A$4384&amp;Master!$C$2:'Master'!$C$4384,0))</f>
        <v>0</v>
      </c>
      <c r="AB20" s="21" cm="1">
        <f t="array" aca="1" ref="AB20" ca="1">INDEX(Master!$H$2:'Master'!$H$4384,MATCH($A20&amp;AB$2,Master!$A$2:'Master'!$A$4384&amp;Master!$C$2:'Master'!$C$4384,0))</f>
        <v>-1</v>
      </c>
      <c r="AC20" s="21" cm="1">
        <f t="array" aca="1" ref="AC20" ca="1">INDEX(Master!$H$2:'Master'!$H$4384,MATCH($A20&amp;AC$2,Master!$A$2:'Master'!$A$4384&amp;Master!$C$2:'Master'!$C$4384,0))</f>
        <v>-1</v>
      </c>
      <c r="AD20" s="21" cm="1">
        <f t="array" aca="1" ref="AD20" ca="1">INDEX(Master!$H$2:'Master'!$H$4384,MATCH($A20&amp;AD$2,Master!$A$2:'Master'!$A$4384&amp;Master!$C$2:'Master'!$C$4384,0))</f>
        <v>0</v>
      </c>
      <c r="AE20" s="21" cm="1">
        <f t="array" aca="1" ref="AE20" ca="1">INDEX(Master!$H$2:'Master'!$H$4384,MATCH($A20&amp;AE$2,Master!$A$2:'Master'!$A$4384&amp;Master!$C$2:'Master'!$C$4384,0))</f>
        <v>1</v>
      </c>
      <c r="AF20" s="21" cm="1">
        <f t="array" aca="1" ref="AF20" ca="1">INDEX(Master!$H$2:'Master'!$H$4384,MATCH($A20&amp;AF$2,Master!$A$2:'Master'!$A$4384&amp;Master!$C$2:'Master'!$C$4384,0))</f>
        <v>0</v>
      </c>
      <c r="AG20" s="21" cm="1">
        <f t="array" aca="1" ref="AG20" ca="1">INDEX(Master!$H$2:'Master'!$H$4384,MATCH($A20&amp;AG$2,Master!$A$2:'Master'!$A$4384&amp;Master!$C$2:'Master'!$C$4384,0))</f>
        <v>0</v>
      </c>
      <c r="AH20" s="21" cm="1">
        <f t="array" aca="1" ref="AH20" ca="1">INDEX(Master!$H$2:'Master'!$H$4384,MATCH($A20&amp;AH$2,Master!$A$2:'Master'!$A$4384&amp;Master!$C$2:'Master'!$C$4384,0))</f>
        <v>2</v>
      </c>
      <c r="AI20" s="21" cm="1">
        <f t="array" aca="1" ref="AI20" ca="1">INDEX(Master!$H$2:'Master'!$H$4384,MATCH($A20&amp;AI$2,Master!$A$2:'Master'!$A$4384&amp;Master!$C$2:'Master'!$C$4384,0))</f>
        <v>2</v>
      </c>
      <c r="AJ20" s="21" cm="1">
        <f t="array" aca="1" ref="AJ20" ca="1">INDEX(Master!$H$2:'Master'!$H$4384,MATCH($A20&amp;AJ$2,Master!$A$2:'Master'!$A$4384&amp;Master!$C$2:'Master'!$C$4384,0))</f>
        <v>2</v>
      </c>
      <c r="AK20" s="21" cm="1">
        <f t="array" aca="1" ref="AK20" ca="1">INDEX(Master!$H$2:'Master'!$H$4384,MATCH($A20&amp;AK$2,Master!$A$2:'Master'!$A$4384&amp;Master!$C$2:'Master'!$C$4384,0))</f>
        <v>0</v>
      </c>
      <c r="AL20" s="21" cm="1">
        <f t="array" aca="1" ref="AL20" ca="1">INDEX(Master!$H$2:'Master'!$H$4384,MATCH($A20&amp;AL$2,Master!$A$2:'Master'!$A$4384&amp;Master!$C$2:'Master'!$C$4384,0))</f>
        <v>-1</v>
      </c>
      <c r="AM20" s="21" cm="1">
        <f t="array" aca="1" ref="AM20" ca="1">INDEX(Master!$H$2:'Master'!$H$4384,MATCH($A20&amp;AM$2,Master!$A$2:'Master'!$A$4384&amp;Master!$C$2:'Master'!$C$4384,0))</f>
        <v>-1</v>
      </c>
      <c r="AN20" s="21" cm="1">
        <f t="array" aca="1" ref="AN20" ca="1">INDEX(Master!$H$2:'Master'!$H$4384,MATCH($A20&amp;AN$2,Master!$A$2:'Master'!$A$4384&amp;Master!$C$2:'Master'!$C$4384,0))</f>
        <v>-2</v>
      </c>
      <c r="AO20" s="21" cm="1">
        <f t="array" aca="1" ref="AO20" ca="1">INDEX(Master!$H$2:'Master'!$H$4384,MATCH($A20&amp;AO$2,Master!$A$2:'Master'!$A$4384&amp;Master!$C$2:'Master'!$C$4384,0))</f>
        <v>-2</v>
      </c>
      <c r="AP20" s="21" cm="1">
        <f t="array" aca="1" ref="AP20" ca="1">INDEX(Master!$H$2:'Master'!$H$4384,MATCH($A20&amp;AP$2,Master!$A$2:'Master'!$A$4384&amp;Master!$C$2:'Master'!$C$4384,0))</f>
        <v>-2</v>
      </c>
      <c r="AQ20" s="21" cm="1">
        <f t="array" aca="1" ref="AQ20" ca="1">INDEX(Master!$H$2:'Master'!$H$4384,MATCH($A20&amp;AQ$2,Master!$A$2:'Master'!$A$4384&amp;Master!$C$2:'Master'!$C$4384,0))</f>
        <v>0</v>
      </c>
      <c r="AR20" s="21" cm="1">
        <f t="array" aca="1" ref="AR20" ca="1">INDEX(Master!$H$2:'Master'!$H$4384,MATCH($A20&amp;AR$2,Master!$A$2:'Master'!$A$4384&amp;Master!$C$2:'Master'!$C$4384,0))</f>
        <v>-1</v>
      </c>
      <c r="AS20" s="21" cm="1">
        <f t="array" aca="1" ref="AS20" ca="1">INDEX(Master!$H$2:'Master'!$H$4384,MATCH($A20&amp;AS$2,Master!$A$2:'Master'!$A$4384&amp;Master!$C$2:'Master'!$C$4384,0))</f>
        <v>-1</v>
      </c>
      <c r="AT20" s="21" cm="1">
        <f t="array" aca="1" ref="AT20" ca="1">INDEX(Master!$H$2:'Master'!$H$4384,MATCH($A20&amp;AT$2,Master!$A$2:'Master'!$A$4384&amp;Master!$C$2:'Master'!$C$4384,0))</f>
        <v>2</v>
      </c>
      <c r="AU20" s="21" cm="1">
        <f t="array" aca="1" ref="AU20" ca="1">INDEX(Master!$H$2:'Master'!$H$4384,MATCH($A20&amp;AU$2,Master!$A$2:'Master'!$A$4384&amp;Master!$C$2:'Master'!$C$4384,0))</f>
        <v>1</v>
      </c>
      <c r="AV20" s="21" cm="1">
        <f t="array" aca="1" ref="AV20" ca="1">INDEX(Master!$H$2:'Master'!$H$4384,MATCH($A20&amp;AV$2,Master!$A$2:'Master'!$A$4384&amp;Master!$C$2:'Master'!$C$4384,0))</f>
        <v>1</v>
      </c>
      <c r="AW20" s="21" cm="1">
        <f t="array" aca="1" ref="AW20" ca="1">INDEX(Master!$H$2:'Master'!$H$4384,MATCH($A20&amp;AW$2,Master!$A$2:'Master'!$A$4384&amp;Master!$C$2:'Master'!$C$4384,0))</f>
        <v>0</v>
      </c>
      <c r="AX20" s="21" cm="1">
        <f t="array" aca="1" ref="AX20" ca="1">INDEX(Master!$H$2:'Master'!$H$4384,MATCH($A20&amp;AX$2,Master!$A$2:'Master'!$A$4384&amp;Master!$C$2:'Master'!$C$4384,0))</f>
        <v>4</v>
      </c>
      <c r="AY20" s="21" cm="1">
        <f t="array" aca="1" ref="AY20" ca="1">INDEX(Master!$H$2:'Master'!$H$4384,MATCH($A20&amp;AY$2,Master!$A$2:'Master'!$A$4384&amp;Master!$C$2:'Master'!$C$4384,0))</f>
        <v>4</v>
      </c>
      <c r="AZ20" s="21" cm="1">
        <f t="array" aca="1" ref="AZ20" ca="1">INDEX(Master!$H$2:'Master'!$H$4384,MATCH($A20&amp;AZ$2,Master!$A$2:'Master'!$A$4384&amp;Master!$C$2:'Master'!$C$4384,0))</f>
        <v>3</v>
      </c>
      <c r="BA20" s="21" cm="1">
        <f t="array" aca="1" ref="BA20" ca="1">INDEX(Master!$H$2:'Master'!$H$4384,MATCH($A20&amp;BA$2,Master!$A$2:'Master'!$A$4384&amp;Master!$C$2:'Master'!$C$4384,0))</f>
        <v>3</v>
      </c>
      <c r="BB20" s="21" cm="1">
        <f t="array" aca="1" ref="BB20" ca="1">INDEX(Master!$H$2:'Master'!$H$4384,MATCH($A20&amp;BB$2,Master!$A$2:'Master'!$A$4384&amp;Master!$C$2:'Master'!$C$4384,0))</f>
        <v>2</v>
      </c>
      <c r="BC20" s="21" cm="1">
        <f t="array" aca="1" ref="BC20" ca="1">INDEX(Master!$H$2:'Master'!$H$4384,MATCH($A20&amp;BC$2,Master!$A$2:'Master'!$A$4384&amp;Master!$C$2:'Master'!$C$4384,0))</f>
        <v>1</v>
      </c>
      <c r="BD20" s="21" cm="1">
        <f t="array" aca="1" ref="BD20" ca="1">INDEX(Master!$H$2:'Master'!$H$4384,MATCH($A20&amp;BD$2,Master!$A$2:'Master'!$A$4384&amp;Master!$C$2:'Master'!$C$4384,0))</f>
        <v>1</v>
      </c>
      <c r="BE20" s="21" cm="1">
        <f t="array" aca="1" ref="BE20" ca="1">INDEX(Master!$H$2:'Master'!$H$4384,MATCH($A20&amp;BE$2,Master!$A$2:'Master'!$A$4384&amp;Master!$C$2:'Master'!$C$4384,0))</f>
        <v>-2</v>
      </c>
      <c r="BF20" s="21" cm="1">
        <f t="array" aca="1" ref="BF20" ca="1">INDEX(Master!$H$2:'Master'!$H$4384,MATCH($A20&amp;BF$2,Master!$A$2:'Master'!$A$4384&amp;Master!$C$2:'Master'!$C$4384,0))</f>
        <v>-2</v>
      </c>
      <c r="BG20" s="21" cm="1">
        <f t="array" aca="1" ref="BG20" ca="1">INDEX(Master!$H$2:'Master'!$H$4384,MATCH($A20&amp;BG$2,Master!$A$2:'Master'!$A$4384&amp;Master!$C$2:'Master'!$C$4384,0))</f>
        <v>2</v>
      </c>
      <c r="BH20" s="21" cm="1">
        <f t="array" aca="1" ref="BH20" ca="1">INDEX(Master!$H$2:'Master'!$H$4384,MATCH($A20&amp;BH$2,Master!$A$2:'Master'!$A$4384&amp;Master!$C$2:'Master'!$C$4384,0))</f>
        <v>-2</v>
      </c>
      <c r="BI20" s="21" cm="1">
        <f t="array" aca="1" ref="BI20" ca="1">INDEX(Master!$H$2:'Master'!$H$4384,MATCH($A20&amp;BI$2,Master!$A$2:'Master'!$A$4384&amp;Master!$C$2:'Master'!$C$4384,0))</f>
        <v>-1</v>
      </c>
      <c r="BJ20" s="21" cm="1">
        <f t="array" aca="1" ref="BJ20" ca="1">INDEX(Master!$H$2:'Master'!$H$4384,MATCH($A20&amp;BJ$2,Master!$A$2:'Master'!$A$4384&amp;Master!$C$2:'Master'!$C$4384,0))</f>
        <v>0</v>
      </c>
      <c r="BK20" s="21" cm="1">
        <f t="array" aca="1" ref="BK20" ca="1">INDEX(Master!$H$2:'Master'!$H$4384,MATCH($A20&amp;BK$2,Master!$A$2:'Master'!$A$4384&amp;Master!$C$2:'Master'!$C$4384,0))</f>
        <v>1</v>
      </c>
      <c r="BL20" s="21" cm="1">
        <f t="array" aca="1" ref="BL20" ca="1">INDEX(Master!$H$2:'Master'!$H$4384,MATCH($A20&amp;BL$2,Master!$A$2:'Master'!$A$4384&amp;Master!$C$2:'Master'!$C$4384,0))</f>
        <v>-2</v>
      </c>
      <c r="BM20" s="21" cm="1">
        <f t="array" aca="1" ref="BM20" ca="1">INDEX(Master!$H$2:'Master'!$H$4384,MATCH($A20&amp;BM$2,Master!$A$2:'Master'!$A$4384&amp;Master!$C$2:'Master'!$C$4384,0))</f>
        <v>0</v>
      </c>
      <c r="BN20" s="21" cm="1">
        <f t="array" aca="1" ref="BN20" ca="1">INDEX(Master!$H$2:'Master'!$H$4384,MATCH($A20&amp;BN$2,Master!$A$2:'Master'!$A$4384&amp;Master!$C$2:'Master'!$C$4384,0))</f>
        <v>-1</v>
      </c>
      <c r="BO20" s="21" cm="1">
        <f t="array" aca="1" ref="BO20" ca="1">INDEX(Master!$H$2:'Master'!$H$4384,MATCH($A20&amp;BO$2,Master!$A$2:'Master'!$A$4384&amp;Master!$C$2:'Master'!$C$4384,0))</f>
        <v>-1</v>
      </c>
      <c r="BP20" s="21" cm="1">
        <f t="array" aca="1" ref="BP20" ca="1">INDEX(Master!$H$2:'Master'!$H$4384,MATCH($A20&amp;BP$2,Master!$A$2:'Master'!$A$4384&amp;Master!$C$2:'Master'!$C$4384,0))</f>
        <v>0</v>
      </c>
      <c r="BQ20" s="21" cm="1">
        <f t="array" aca="1" ref="BQ20" ca="1">INDEX(Master!$H$2:'Master'!$H$4384,MATCH($A20&amp;BQ$2,Master!$A$2:'Master'!$A$4384&amp;Master!$C$2:'Master'!$C$4384,0))</f>
        <v>0</v>
      </c>
      <c r="BR20" s="21" cm="1">
        <f t="array" aca="1" ref="BR20" ca="1">INDEX(Master!$H$2:'Master'!$H$4384,MATCH($A20&amp;BR$2,Master!$A$2:'Master'!$A$4384&amp;Master!$C$2:'Master'!$C$4384,0))</f>
        <v>-3</v>
      </c>
      <c r="BS20" s="21" cm="1">
        <f t="array" aca="1" ref="BS20" ca="1">INDEX(Master!$H$2:'Master'!$H$4384,MATCH($A20&amp;BS$2,Master!$A$2:'Master'!$A$4384&amp;Master!$C$2:'Master'!$C$4384,0))</f>
        <v>-1</v>
      </c>
      <c r="BT20" s="21" cm="1">
        <f t="array" aca="1" ref="BT20" ca="1">INDEX(Master!$H$2:'Master'!$H$4384,MATCH($A20&amp;BT$2,Master!$A$2:'Master'!$A$4384&amp;Master!$C$2:'Master'!$C$4384,0))</f>
        <v>-3</v>
      </c>
      <c r="BU20" s="21" cm="1">
        <f t="array" aca="1" ref="BU20" ca="1">INDEX(Master!$H$2:'Master'!$H$4384,MATCH($A20&amp;BU$2,Master!$A$2:'Master'!$A$4384&amp;Master!$C$2:'Master'!$C$4384,0))</f>
        <v>-3</v>
      </c>
      <c r="BV20" s="21" cm="1">
        <f t="array" aca="1" ref="BV20" ca="1">INDEX(Master!$H$2:'Master'!$H$4384,MATCH($A20&amp;BV$2,Master!$A$2:'Master'!$A$4384&amp;Master!$C$2:'Master'!$C$4384,0))</f>
        <v>-2</v>
      </c>
      <c r="BW20" s="21" cm="1">
        <f t="array" aca="1" ref="BW20" ca="1">INDEX(Master!$H$2:'Master'!$H$4384,MATCH($A20&amp;BW$2,Master!$A$2:'Master'!$A$4384&amp;Master!$C$2:'Master'!$C$4384,0))</f>
        <v>-2</v>
      </c>
      <c r="BX20" s="21" cm="1">
        <f t="array" aca="1" ref="BX20" ca="1">INDEX(Master!$H$2:'Master'!$H$4384,MATCH($A20&amp;BX$2,Master!$A$2:'Master'!$A$4384&amp;Master!$C$2:'Master'!$C$4384,0))</f>
        <v>2</v>
      </c>
      <c r="BY20" s="21" cm="1">
        <f t="array" aca="1" ref="BY20" ca="1">INDEX(Master!$H$2:'Master'!$H$4384,MATCH($A20&amp;BY$2,Master!$A$2:'Master'!$A$4384&amp;Master!$C$2:'Master'!$C$4384,0))</f>
        <v>-2</v>
      </c>
      <c r="BZ20" s="21" cm="1">
        <f t="array" aca="1" ref="BZ20" ca="1">INDEX(Master!$H$2:'Master'!$H$4384,MATCH($A20&amp;BZ$2,Master!$A$2:'Master'!$A$4384&amp;Master!$C$2:'Master'!$C$4384,0))</f>
        <v>-1</v>
      </c>
      <c r="CA20" s="21" cm="1">
        <f t="array" aca="1" ref="CA20" ca="1">INDEX(Master!$H$2:'Master'!$H$4384,MATCH($A20&amp;CA$2,Master!$A$2:'Master'!$A$4384&amp;Master!$C$2:'Master'!$C$4384,0))</f>
        <v>0</v>
      </c>
      <c r="CB20" s="21" cm="1">
        <f t="array" aca="1" ref="CB20" ca="1">INDEX(Master!$H$2:'Master'!$H$4384,MATCH($A20&amp;CB$2,Master!$A$2:'Master'!$A$4384&amp;Master!$C$2:'Master'!$C$4384,0))</f>
        <v>1</v>
      </c>
      <c r="CC20" s="21" cm="1">
        <f t="array" aca="1" ref="CC20" ca="1">INDEX(Master!$H$2:'Master'!$H$4384,MATCH($A20&amp;CC$2,Master!$A$2:'Master'!$A$4384&amp;Master!$C$2:'Master'!$C$4384,0))</f>
        <v>-2</v>
      </c>
      <c r="CD20" s="21" cm="1">
        <f t="array" aca="1" ref="CD20" ca="1">INDEX(Master!$H$2:'Master'!$H$4384,MATCH($A20&amp;CD$2,Master!$A$2:'Master'!$A$4384&amp;Master!$C$2:'Master'!$C$4384,0))</f>
        <v>0</v>
      </c>
      <c r="CE20" s="21" cm="1">
        <f t="array" aca="1" ref="CE20" ca="1">INDEX(Master!$H$2:'Master'!$H$4384,MATCH($A20&amp;CE$2,Master!$A$2:'Master'!$A$4384&amp;Master!$C$2:'Master'!$C$4384,0))</f>
        <v>0</v>
      </c>
      <c r="CF20" s="21" cm="1">
        <f t="array" aca="1" ref="CF20" ca="1">INDEX(Master!$H$2:'Master'!$H$4384,MATCH($A20&amp;CF$2,Master!$A$2:'Master'!$A$4384&amp;Master!$C$2:'Master'!$C$4384,0))</f>
        <v>0</v>
      </c>
      <c r="CG20" s="21" cm="1">
        <f t="array" aca="1" ref="CG20" ca="1">INDEX(Master!$H$2:'Master'!$H$4384,MATCH($A20&amp;CG$2,Master!$A$2:'Master'!$A$4384&amp;Master!$C$2:'Master'!$C$4384,0))</f>
        <v>-1</v>
      </c>
      <c r="CH20" s="21" cm="1">
        <f t="array" aca="1" ref="CH20" ca="1">INDEX(Master!$H$2:'Master'!$H$4384,MATCH($A20&amp;CH$2,Master!$A$2:'Master'!$A$4384&amp;Master!$C$2:'Master'!$C$4384,0))</f>
        <v>-1</v>
      </c>
      <c r="CI20" s="21" cm="1">
        <f t="array" aca="1" ref="CI20" ca="1">INDEX(Master!$H$2:'Master'!$H$4384,MATCH($A20&amp;CI$2,Master!$A$2:'Master'!$A$4384&amp;Master!$C$2:'Master'!$C$4384,0))</f>
        <v>1</v>
      </c>
      <c r="CJ20" s="21" cm="1">
        <f t="array" aca="1" ref="CJ20" ca="1">INDEX(Master!$H$2:'Master'!$H$4384,MATCH($A20&amp;CJ$2,Master!$A$2:'Master'!$A$4384&amp;Master!$C$2:'Master'!$C$4384,0))</f>
        <v>1</v>
      </c>
      <c r="CK20" s="21" cm="1">
        <f t="array" aca="1" ref="CK20" ca="1">INDEX(Master!$H$2:'Master'!$H$4384,MATCH($A20&amp;CK$2,Master!$A$2:'Master'!$A$4384&amp;Master!$C$2:'Master'!$C$4384,0))</f>
        <v>0</v>
      </c>
      <c r="CL20" s="21" cm="1">
        <f t="array" aca="1" ref="CL20" ca="1">INDEX(Master!$H$2:'Master'!$H$4384,MATCH($A20&amp;CL$2,Master!$A$2:'Master'!$A$4384&amp;Master!$C$2:'Master'!$C$4384,0))</f>
        <v>0</v>
      </c>
      <c r="CM20" s="21" cm="1">
        <f t="array" aca="1" ref="CM20" ca="1">INDEX(Master!$H$2:'Master'!$H$4384,MATCH($A20&amp;CM$2,Master!$A$2:'Master'!$A$4384&amp;Master!$C$2:'Master'!$C$4384,0))</f>
        <v>0</v>
      </c>
      <c r="CN20" s="21" cm="1">
        <f t="array" aca="1" ref="CN20" ca="1">INDEX(Master!$H$2:'Master'!$H$4384,MATCH($A20&amp;CN$2,Master!$A$2:'Master'!$A$4384&amp;Master!$C$2:'Master'!$C$4384,0))</f>
        <v>0</v>
      </c>
      <c r="CO20" s="21" cm="1">
        <f t="array" aca="1" ref="CO20" ca="1">INDEX(Master!$H$2:'Master'!$H$4384,MATCH($A20&amp;CO$2,Master!$A$2:'Master'!$A$4384&amp;Master!$C$2:'Master'!$C$4384,0))</f>
        <v>-2</v>
      </c>
      <c r="CP20" s="21" cm="1">
        <f t="array" aca="1" ref="CP20" ca="1">INDEX(Master!$H$2:'Master'!$H$4384,MATCH($A20&amp;CP$2,Master!$A$2:'Master'!$A$4384&amp;Master!$C$2:'Master'!$C$4384,0))</f>
        <v>-2</v>
      </c>
      <c r="CQ20" s="21" cm="1">
        <f t="array" aca="1" ref="CQ20" ca="1">INDEX(Master!$H$2:'Master'!$H$4384,MATCH($A20&amp;CQ$2,Master!$A$2:'Master'!$A$4384&amp;Master!$C$2:'Master'!$C$4384,0))</f>
        <v>0</v>
      </c>
      <c r="CR20" s="21" cm="1">
        <f t="array" aca="1" ref="CR20" ca="1">INDEX(Master!$H$2:'Master'!$H$4384,MATCH($A20&amp;CR$2,Master!$A$2:'Master'!$A$4384&amp;Master!$C$2:'Master'!$C$4384,0))</f>
        <v>0</v>
      </c>
      <c r="CS20" s="21" cm="1">
        <f t="array" aca="1" ref="CS20" ca="1">INDEX(Master!$H$2:'Master'!$H$4384,MATCH($A20&amp;CS$2,Master!$A$2:'Master'!$A$4384&amp;Master!$C$2:'Master'!$C$4384,0))</f>
        <v>0</v>
      </c>
    </row>
    <row r="21" spans="1:97">
      <c r="A21" s="22" t="str">
        <f>VLOOKUP(Staff!$A18,Staff!$A$1:A$73,1,FALSE)</f>
        <v>Catherine Cawood</v>
      </c>
      <c r="B21" s="21" cm="1">
        <f t="array" aca="1" ref="B21" ca="1">INDEX(Master!$H$2:'Master'!$H$4384,MATCH($A21&amp;B$2,Master!$A$2:'Master'!$A$4384&amp;Master!$C$2:'Master'!$C$4384,0))</f>
        <v>0</v>
      </c>
      <c r="C21" s="21" cm="1">
        <f t="array" aca="1" ref="C21" ca="1">INDEX(Master!$H$2:'Master'!$H$4384,MATCH($A21&amp;C$2,Master!$A$2:'Master'!$A$4384&amp;Master!$C$2:'Master'!$C$4384,0))</f>
        <v>1</v>
      </c>
      <c r="D21" s="21" cm="1">
        <f t="array" aca="1" ref="D21" ca="1">INDEX(Master!$H$2:'Master'!$H$4384,MATCH($A21&amp;D$2,Master!$A$2:'Master'!$A$4384&amp;Master!$C$2:'Master'!$C$4384,0))</f>
        <v>2</v>
      </c>
      <c r="E21" s="21" cm="1">
        <f t="array" aca="1" ref="E21" ca="1">INDEX(Master!$H$2:'Master'!$H$4384,MATCH($A21&amp;E$2,Master!$A$2:'Master'!$A$4384&amp;Master!$C$2:'Master'!$C$4384,0))</f>
        <v>0</v>
      </c>
      <c r="F21" s="21" cm="1">
        <f t="array" aca="1" ref="F21" ca="1">INDEX(Master!$H$2:'Master'!$H$4384,MATCH($A21&amp;F$2,Master!$A$2:'Master'!$A$4384&amp;Master!$C$2:'Master'!$C$4384,0))</f>
        <v>1</v>
      </c>
      <c r="G21" s="21" cm="1">
        <f t="array" aca="1" ref="G21" ca="1">INDEX(Master!$H$2:'Master'!$H$4384,MATCH($A21&amp;G$2,Master!$A$2:'Master'!$A$4384&amp;Master!$C$2:'Master'!$C$4384,0))</f>
        <v>0</v>
      </c>
      <c r="H21" s="21" cm="1">
        <f t="array" aca="1" ref="H21" ca="1">INDEX(Master!$H$2:'Master'!$H$4384,MATCH($A21&amp;H$2,Master!$A$2:'Master'!$A$4384&amp;Master!$C$2:'Master'!$C$4384,0))</f>
        <v>1</v>
      </c>
      <c r="I21" s="21" cm="1">
        <f t="array" aca="1" ref="I21" ca="1">INDEX(Master!$H$2:'Master'!$H$4384,MATCH($A21&amp;I$2,Master!$A$2:'Master'!$A$4384&amp;Master!$C$2:'Master'!$C$4384,0))</f>
        <v>1</v>
      </c>
      <c r="J21" s="21" cm="1">
        <f t="array" aca="1" ref="J21" ca="1">INDEX(Master!$H$2:'Master'!$H$4384,MATCH($A21&amp;J$2,Master!$A$2:'Master'!$A$4384&amp;Master!$C$2:'Master'!$C$4384,0))</f>
        <v>0</v>
      </c>
      <c r="K21" s="21" cm="1">
        <f t="array" aca="1" ref="K21" ca="1">INDEX(Master!$H$2:'Master'!$H$4384,MATCH($A21&amp;K$2,Master!$A$2:'Master'!$A$4384&amp;Master!$C$2:'Master'!$C$4384,0))</f>
        <v>-1</v>
      </c>
      <c r="L21" s="21" cm="1">
        <f t="array" aca="1" ref="L21" ca="1">INDEX(Master!$H$2:'Master'!$H$4384,MATCH($A21&amp;L$2,Master!$A$2:'Master'!$A$4384&amp;Master!$C$2:'Master'!$C$4384,0))</f>
        <v>0</v>
      </c>
      <c r="M21" s="21" cm="1">
        <f t="array" aca="1" ref="M21" ca="1">INDEX(Master!$H$2:'Master'!$H$4384,MATCH($A21&amp;M$2,Master!$A$2:'Master'!$A$4384&amp;Master!$C$2:'Master'!$C$4384,0))</f>
        <v>-1</v>
      </c>
      <c r="N21" s="21" cm="1">
        <f t="array" aca="1" ref="N21" ca="1">INDEX(Master!$H$2:'Master'!$H$4384,MATCH($A21&amp;N$2,Master!$A$2:'Master'!$A$4384&amp;Master!$C$2:'Master'!$C$4384,0))</f>
        <v>0</v>
      </c>
      <c r="O21" s="21" cm="1">
        <f t="array" aca="1" ref="O21" ca="1">INDEX(Master!$H$2:'Master'!$H$4384,MATCH($A21&amp;O$2,Master!$A$2:'Master'!$A$4384&amp;Master!$C$2:'Master'!$C$4384,0))</f>
        <v>-1</v>
      </c>
      <c r="P21" s="21" cm="1">
        <f t="array" aca="1" ref="P21" ca="1">INDEX(Master!$H$2:'Master'!$H$4384,MATCH($A21&amp;P$2,Master!$A$2:'Master'!$A$4384&amp;Master!$C$2:'Master'!$C$4384,0))</f>
        <v>0</v>
      </c>
      <c r="Q21" s="21" cm="1">
        <f t="array" aca="1" ref="Q21" ca="1">INDEX(Master!$H$2:'Master'!$H$4384,MATCH($A21&amp;Q$2,Master!$A$2:'Master'!$A$4384&amp;Master!$C$2:'Master'!$C$4384,0))</f>
        <v>0</v>
      </c>
      <c r="R21" s="21" cm="1">
        <f t="array" aca="1" ref="R21" ca="1">INDEX(Master!$H$2:'Master'!$H$4384,MATCH($A21&amp;R$2,Master!$A$2:'Master'!$A$4384&amp;Master!$C$2:'Master'!$C$4384,0))</f>
        <v>-1</v>
      </c>
      <c r="S21" s="21" cm="1">
        <f t="array" aca="1" ref="S21" ca="1">INDEX(Master!$H$2:'Master'!$H$4384,MATCH($A21&amp;S$2,Master!$A$2:'Master'!$A$4384&amp;Master!$C$2:'Master'!$C$4384,0))</f>
        <v>0</v>
      </c>
      <c r="T21" s="21" cm="1">
        <f t="array" aca="1" ref="T21" ca="1">INDEX(Master!$H$2:'Master'!$H$4384,MATCH($A21&amp;T$2,Master!$A$2:'Master'!$A$4384&amp;Master!$C$2:'Master'!$C$4384,0))</f>
        <v>0</v>
      </c>
      <c r="U21" s="21" cm="1">
        <f t="array" aca="1" ref="U21" ca="1">INDEX(Master!$H$2:'Master'!$H$4384,MATCH($A21&amp;U$2,Master!$A$2:'Master'!$A$4384&amp;Master!$C$2:'Master'!$C$4384,0))</f>
        <v>0</v>
      </c>
      <c r="V21" s="21" cm="1">
        <f t="array" aca="1" ref="V21" ca="1">INDEX(Master!$H$2:'Master'!$H$4384,MATCH($A21&amp;V$2,Master!$A$2:'Master'!$A$4384&amp;Master!$C$2:'Master'!$C$4384,0))</f>
        <v>-1</v>
      </c>
      <c r="W21" s="21" cm="1">
        <f t="array" aca="1" ref="W21" ca="1">INDEX(Master!$H$2:'Master'!$H$4384,MATCH($A21&amp;W$2,Master!$A$2:'Master'!$A$4384&amp;Master!$C$2:'Master'!$C$4384,0))</f>
        <v>0</v>
      </c>
      <c r="X21" s="21" cm="1">
        <f t="array" aca="1" ref="X21" ca="1">INDEX(Master!$H$2:'Master'!$H$4384,MATCH($A21&amp;X$2,Master!$A$2:'Master'!$A$4384&amp;Master!$C$2:'Master'!$C$4384,0))</f>
        <v>-2</v>
      </c>
      <c r="Y21" s="21" cm="1">
        <f t="array" aca="1" ref="Y21" ca="1">INDEX(Master!$H$2:'Master'!$H$4384,MATCH($A21&amp;Y$2,Master!$A$2:'Master'!$A$4384&amp;Master!$C$2:'Master'!$C$4384,0))</f>
        <v>0</v>
      </c>
      <c r="Z21" s="21" cm="1">
        <f t="array" aca="1" ref="Z21" ca="1">INDEX(Master!$H$2:'Master'!$H$4384,MATCH($A21&amp;Z$2,Master!$A$2:'Master'!$A$4384&amp;Master!$C$2:'Master'!$C$4384,0))</f>
        <v>0</v>
      </c>
      <c r="AA21" s="21" cm="1">
        <f t="array" aca="1" ref="AA21" ca="1">INDEX(Master!$H$2:'Master'!$H$4384,MATCH($A21&amp;AA$2,Master!$A$2:'Master'!$A$4384&amp;Master!$C$2:'Master'!$C$4384,0))</f>
        <v>0</v>
      </c>
      <c r="AB21" s="21" cm="1">
        <f t="array" aca="1" ref="AB21" ca="1">INDEX(Master!$H$2:'Master'!$H$4384,MATCH($A21&amp;AB$2,Master!$A$2:'Master'!$A$4384&amp;Master!$C$2:'Master'!$C$4384,0))</f>
        <v>0</v>
      </c>
      <c r="AC21" s="21" cm="1">
        <f t="array" aca="1" ref="AC21" ca="1">INDEX(Master!$H$2:'Master'!$H$4384,MATCH($A21&amp;AC$2,Master!$A$2:'Master'!$A$4384&amp;Master!$C$2:'Master'!$C$4384,0))</f>
        <v>0</v>
      </c>
      <c r="AD21" s="21" cm="1">
        <f t="array" aca="1" ref="AD21" ca="1">INDEX(Master!$H$2:'Master'!$H$4384,MATCH($A21&amp;AD$2,Master!$A$2:'Master'!$A$4384&amp;Master!$C$2:'Master'!$C$4384,0))</f>
        <v>0</v>
      </c>
      <c r="AE21" s="21" cm="1">
        <f t="array" aca="1" ref="AE21" ca="1">INDEX(Master!$H$2:'Master'!$H$4384,MATCH($A21&amp;AE$2,Master!$A$2:'Master'!$A$4384&amp;Master!$C$2:'Master'!$C$4384,0))</f>
        <v>1</v>
      </c>
      <c r="AF21" s="21" cm="1">
        <f t="array" aca="1" ref="AF21" ca="1">INDEX(Master!$H$2:'Master'!$H$4384,MATCH($A21&amp;AF$2,Master!$A$2:'Master'!$A$4384&amp;Master!$C$2:'Master'!$C$4384,0))</f>
        <v>1</v>
      </c>
      <c r="AG21" s="21" cm="1">
        <f t="array" aca="1" ref="AG21" ca="1">INDEX(Master!$H$2:'Master'!$H$4384,MATCH($A21&amp;AG$2,Master!$A$2:'Master'!$A$4384&amp;Master!$C$2:'Master'!$C$4384,0))</f>
        <v>0</v>
      </c>
      <c r="AH21" s="21" cm="1">
        <f t="array" aca="1" ref="AH21" ca="1">INDEX(Master!$H$2:'Master'!$H$4384,MATCH($A21&amp;AH$2,Master!$A$2:'Master'!$A$4384&amp;Master!$C$2:'Master'!$C$4384,0))</f>
        <v>2</v>
      </c>
      <c r="AI21" s="21" cm="1">
        <f t="array" aca="1" ref="AI21" ca="1">INDEX(Master!$H$2:'Master'!$H$4384,MATCH($A21&amp;AI$2,Master!$A$2:'Master'!$A$4384&amp;Master!$C$2:'Master'!$C$4384,0))</f>
        <v>1</v>
      </c>
      <c r="AJ21" s="21" cm="1">
        <f t="array" aca="1" ref="AJ21" ca="1">INDEX(Master!$H$2:'Master'!$H$4384,MATCH($A21&amp;AJ$2,Master!$A$2:'Master'!$A$4384&amp;Master!$C$2:'Master'!$C$4384,0))</f>
        <v>2</v>
      </c>
      <c r="AK21" s="21" cm="1">
        <f t="array" aca="1" ref="AK21" ca="1">INDEX(Master!$H$2:'Master'!$H$4384,MATCH($A21&amp;AK$2,Master!$A$2:'Master'!$A$4384&amp;Master!$C$2:'Master'!$C$4384,0))</f>
        <v>2</v>
      </c>
      <c r="AL21" s="21" cm="1">
        <f t="array" aca="1" ref="AL21" ca="1">INDEX(Master!$H$2:'Master'!$H$4384,MATCH($A21&amp;AL$2,Master!$A$2:'Master'!$A$4384&amp;Master!$C$2:'Master'!$C$4384,0))</f>
        <v>1</v>
      </c>
      <c r="AM21" s="21" cm="1">
        <f t="array" aca="1" ref="AM21" ca="1">INDEX(Master!$H$2:'Master'!$H$4384,MATCH($A21&amp;AM$2,Master!$A$2:'Master'!$A$4384&amp;Master!$C$2:'Master'!$C$4384,0))</f>
        <v>1</v>
      </c>
      <c r="AN21" s="21" cm="1">
        <f t="array" aca="1" ref="AN21" ca="1">INDEX(Master!$H$2:'Master'!$H$4384,MATCH($A21&amp;AN$2,Master!$A$2:'Master'!$A$4384&amp;Master!$C$2:'Master'!$C$4384,0))</f>
        <v>0</v>
      </c>
      <c r="AO21" s="21" cm="1">
        <f t="array" aca="1" ref="AO21" ca="1">INDEX(Master!$H$2:'Master'!$H$4384,MATCH($A21&amp;AO$2,Master!$A$2:'Master'!$A$4384&amp;Master!$C$2:'Master'!$C$4384,0))</f>
        <v>0</v>
      </c>
      <c r="AP21" s="21" cm="1">
        <f t="array" aca="1" ref="AP21" ca="1">INDEX(Master!$H$2:'Master'!$H$4384,MATCH($A21&amp;AP$2,Master!$A$2:'Master'!$A$4384&amp;Master!$C$2:'Master'!$C$4384,0))</f>
        <v>0</v>
      </c>
      <c r="AQ21" s="21" cm="1">
        <f t="array" aca="1" ref="AQ21" ca="1">INDEX(Master!$H$2:'Master'!$H$4384,MATCH($A21&amp;AQ$2,Master!$A$2:'Master'!$A$4384&amp;Master!$C$2:'Master'!$C$4384,0))</f>
        <v>0</v>
      </c>
      <c r="AR21" s="21" cm="1">
        <f t="array" aca="1" ref="AR21" ca="1">INDEX(Master!$H$2:'Master'!$H$4384,MATCH($A21&amp;AR$2,Master!$A$2:'Master'!$A$4384&amp;Master!$C$2:'Master'!$C$4384,0))</f>
        <v>1</v>
      </c>
      <c r="AS21" s="21" cm="1">
        <f t="array" aca="1" ref="AS21" ca="1">INDEX(Master!$H$2:'Master'!$H$4384,MATCH($A21&amp;AS$2,Master!$A$2:'Master'!$A$4384&amp;Master!$C$2:'Master'!$C$4384,0))</f>
        <v>0</v>
      </c>
      <c r="AT21" s="21" cm="1">
        <f t="array" aca="1" ref="AT21" ca="1">INDEX(Master!$H$2:'Master'!$H$4384,MATCH($A21&amp;AT$2,Master!$A$2:'Master'!$A$4384&amp;Master!$C$2:'Master'!$C$4384,0))</f>
        <v>1</v>
      </c>
      <c r="AU21" s="21" cm="1">
        <f t="array" aca="1" ref="AU21" ca="1">INDEX(Master!$H$2:'Master'!$H$4384,MATCH($A21&amp;AU$2,Master!$A$2:'Master'!$A$4384&amp;Master!$C$2:'Master'!$C$4384,0))</f>
        <v>0</v>
      </c>
      <c r="AV21" s="21" cm="1">
        <f t="array" aca="1" ref="AV21" ca="1">INDEX(Master!$H$2:'Master'!$H$4384,MATCH($A21&amp;AV$2,Master!$A$2:'Master'!$A$4384&amp;Master!$C$2:'Master'!$C$4384,0))</f>
        <v>1</v>
      </c>
      <c r="AW21" s="21" cm="1">
        <f t="array" aca="1" ref="AW21" ca="1">INDEX(Master!$H$2:'Master'!$H$4384,MATCH($A21&amp;AW$2,Master!$A$2:'Master'!$A$4384&amp;Master!$C$2:'Master'!$C$4384,0))</f>
        <v>0</v>
      </c>
      <c r="AX21" s="21" cm="1">
        <f t="array" aca="1" ref="AX21" ca="1">INDEX(Master!$H$2:'Master'!$H$4384,MATCH($A21&amp;AX$2,Master!$A$2:'Master'!$A$4384&amp;Master!$C$2:'Master'!$C$4384,0))</f>
        <v>0</v>
      </c>
      <c r="AY21" s="21" cm="1">
        <f t="array" aca="1" ref="AY21" ca="1">INDEX(Master!$H$2:'Master'!$H$4384,MATCH($A21&amp;AY$2,Master!$A$2:'Master'!$A$4384&amp;Master!$C$2:'Master'!$C$4384,0))</f>
        <v>1</v>
      </c>
      <c r="AZ21" s="21" cm="1">
        <f t="array" aca="1" ref="AZ21" ca="1">INDEX(Master!$H$2:'Master'!$H$4384,MATCH($A21&amp;AZ$2,Master!$A$2:'Master'!$A$4384&amp;Master!$C$2:'Master'!$C$4384,0))</f>
        <v>0</v>
      </c>
      <c r="BA21" s="21" cm="1">
        <f t="array" aca="1" ref="BA21" ca="1">INDEX(Master!$H$2:'Master'!$H$4384,MATCH($A21&amp;BA$2,Master!$A$2:'Master'!$A$4384&amp;Master!$C$2:'Master'!$C$4384,0))</f>
        <v>0</v>
      </c>
      <c r="BB21" s="21" cm="1">
        <f t="array" aca="1" ref="BB21" ca="1">INDEX(Master!$H$2:'Master'!$H$4384,MATCH($A21&amp;BB$2,Master!$A$2:'Master'!$A$4384&amp;Master!$C$2:'Master'!$C$4384,0))</f>
        <v>1</v>
      </c>
      <c r="BC21" s="21" cm="1">
        <f t="array" aca="1" ref="BC21" ca="1">INDEX(Master!$H$2:'Master'!$H$4384,MATCH($A21&amp;BC$2,Master!$A$2:'Master'!$A$4384&amp;Master!$C$2:'Master'!$C$4384,0))</f>
        <v>0</v>
      </c>
      <c r="BD21" s="21" cm="1">
        <f t="array" aca="1" ref="BD21" ca="1">INDEX(Master!$H$2:'Master'!$H$4384,MATCH($A21&amp;BD$2,Master!$A$2:'Master'!$A$4384&amp;Master!$C$2:'Master'!$C$4384,0))</f>
        <v>2</v>
      </c>
      <c r="BE21" s="21" cm="1">
        <f t="array" aca="1" ref="BE21" ca="1">INDEX(Master!$H$2:'Master'!$H$4384,MATCH($A21&amp;BE$2,Master!$A$2:'Master'!$A$4384&amp;Master!$C$2:'Master'!$C$4384,0))</f>
        <v>0</v>
      </c>
      <c r="BF21" s="21" cm="1">
        <f t="array" aca="1" ref="BF21" ca="1">INDEX(Master!$H$2:'Master'!$H$4384,MATCH($A21&amp;BF$2,Master!$A$2:'Master'!$A$4384&amp;Master!$C$2:'Master'!$C$4384,0))</f>
        <v>1</v>
      </c>
      <c r="BG21" s="21" cm="1">
        <f t="array" aca="1" ref="BG21" ca="1">INDEX(Master!$H$2:'Master'!$H$4384,MATCH($A21&amp;BG$2,Master!$A$2:'Master'!$A$4384&amp;Master!$C$2:'Master'!$C$4384,0))</f>
        <v>0</v>
      </c>
      <c r="BH21" s="21" cm="1">
        <f t="array" aca="1" ref="BH21" ca="1">INDEX(Master!$H$2:'Master'!$H$4384,MATCH($A21&amp;BH$2,Master!$A$2:'Master'!$A$4384&amp;Master!$C$2:'Master'!$C$4384,0))</f>
        <v>0</v>
      </c>
      <c r="BI21" s="21" cm="1">
        <f t="array" aca="1" ref="BI21" ca="1">INDEX(Master!$H$2:'Master'!$H$4384,MATCH($A21&amp;BI$2,Master!$A$2:'Master'!$A$4384&amp;Master!$C$2:'Master'!$C$4384,0))</f>
        <v>0</v>
      </c>
      <c r="BJ21" s="21" cm="1">
        <f t="array" aca="1" ref="BJ21" ca="1">INDEX(Master!$H$2:'Master'!$H$4384,MATCH($A21&amp;BJ$2,Master!$A$2:'Master'!$A$4384&amp;Master!$C$2:'Master'!$C$4384,0))</f>
        <v>0</v>
      </c>
      <c r="BK21" s="21" cm="1">
        <f t="array" aca="1" ref="BK21" ca="1">INDEX(Master!$H$2:'Master'!$H$4384,MATCH($A21&amp;BK$2,Master!$A$2:'Master'!$A$4384&amp;Master!$C$2:'Master'!$C$4384,0))</f>
        <v>1</v>
      </c>
      <c r="BL21" s="21" cm="1">
        <f t="array" aca="1" ref="BL21" ca="1">INDEX(Master!$H$2:'Master'!$H$4384,MATCH($A21&amp;BL$2,Master!$A$2:'Master'!$A$4384&amp;Master!$C$2:'Master'!$C$4384,0))</f>
        <v>1</v>
      </c>
      <c r="BM21" s="21" cm="1">
        <f t="array" aca="1" ref="BM21" ca="1">INDEX(Master!$H$2:'Master'!$H$4384,MATCH($A21&amp;BM$2,Master!$A$2:'Master'!$A$4384&amp;Master!$C$2:'Master'!$C$4384,0))</f>
        <v>0</v>
      </c>
      <c r="BN21" s="21" cm="1">
        <f t="array" aca="1" ref="BN21" ca="1">INDEX(Master!$H$2:'Master'!$H$4384,MATCH($A21&amp;BN$2,Master!$A$2:'Master'!$A$4384&amp;Master!$C$2:'Master'!$C$4384,0))</f>
        <v>1</v>
      </c>
      <c r="BO21" s="21" cm="1">
        <f t="array" aca="1" ref="BO21" ca="1">INDEX(Master!$H$2:'Master'!$H$4384,MATCH($A21&amp;BO$2,Master!$A$2:'Master'!$A$4384&amp;Master!$C$2:'Master'!$C$4384,0))</f>
        <v>-1</v>
      </c>
      <c r="BP21" s="21" cm="1">
        <f t="array" aca="1" ref="BP21" ca="1">INDEX(Master!$H$2:'Master'!$H$4384,MATCH($A21&amp;BP$2,Master!$A$2:'Master'!$A$4384&amp;Master!$C$2:'Master'!$C$4384,0))</f>
        <v>0</v>
      </c>
      <c r="BQ21" s="21" cm="1">
        <f t="array" aca="1" ref="BQ21" ca="1">INDEX(Master!$H$2:'Master'!$H$4384,MATCH($A21&amp;BQ$2,Master!$A$2:'Master'!$A$4384&amp;Master!$C$2:'Master'!$C$4384,0))</f>
        <v>1</v>
      </c>
      <c r="BR21" s="21" cm="1">
        <f t="array" aca="1" ref="BR21" ca="1">INDEX(Master!$H$2:'Master'!$H$4384,MATCH($A21&amp;BR$2,Master!$A$2:'Master'!$A$4384&amp;Master!$C$2:'Master'!$C$4384,0))</f>
        <v>1</v>
      </c>
      <c r="BS21" s="21" cm="1">
        <f t="array" aca="1" ref="BS21" ca="1">INDEX(Master!$H$2:'Master'!$H$4384,MATCH($A21&amp;BS$2,Master!$A$2:'Master'!$A$4384&amp;Master!$C$2:'Master'!$C$4384,0))</f>
        <v>1</v>
      </c>
      <c r="BT21" s="21" cm="1">
        <f t="array" aca="1" ref="BT21" ca="1">INDEX(Master!$H$2:'Master'!$H$4384,MATCH($A21&amp;BT$2,Master!$A$2:'Master'!$A$4384&amp;Master!$C$2:'Master'!$C$4384,0))</f>
        <v>0</v>
      </c>
      <c r="BU21" s="21" cm="1">
        <f t="array" aca="1" ref="BU21" ca="1">INDEX(Master!$H$2:'Master'!$H$4384,MATCH($A21&amp;BU$2,Master!$A$2:'Master'!$A$4384&amp;Master!$C$2:'Master'!$C$4384,0))</f>
        <v>-1</v>
      </c>
      <c r="BV21" s="21" cm="1">
        <f t="array" aca="1" ref="BV21" ca="1">INDEX(Master!$H$2:'Master'!$H$4384,MATCH($A21&amp;BV$2,Master!$A$2:'Master'!$A$4384&amp;Master!$C$2:'Master'!$C$4384,0))</f>
        <v>-1</v>
      </c>
      <c r="BW21" s="21" cm="1">
        <f t="array" aca="1" ref="BW21" ca="1">INDEX(Master!$H$2:'Master'!$H$4384,MATCH($A21&amp;BW$2,Master!$A$2:'Master'!$A$4384&amp;Master!$C$2:'Master'!$C$4384,0))</f>
        <v>1</v>
      </c>
      <c r="BX21" s="21" cm="1">
        <f t="array" aca="1" ref="BX21" ca="1">INDEX(Master!$H$2:'Master'!$H$4384,MATCH($A21&amp;BX$2,Master!$A$2:'Master'!$A$4384&amp;Master!$C$2:'Master'!$C$4384,0))</f>
        <v>0</v>
      </c>
      <c r="BY21" s="21" cm="1">
        <f t="array" aca="1" ref="BY21" ca="1">INDEX(Master!$H$2:'Master'!$H$4384,MATCH($A21&amp;BY$2,Master!$A$2:'Master'!$A$4384&amp;Master!$C$2:'Master'!$C$4384,0))</f>
        <v>0</v>
      </c>
      <c r="BZ21" s="21" cm="1">
        <f t="array" aca="1" ref="BZ21" ca="1">INDEX(Master!$H$2:'Master'!$H$4384,MATCH($A21&amp;BZ$2,Master!$A$2:'Master'!$A$4384&amp;Master!$C$2:'Master'!$C$4384,0))</f>
        <v>0</v>
      </c>
      <c r="CA21" s="21" cm="1">
        <f t="array" aca="1" ref="CA21" ca="1">INDEX(Master!$H$2:'Master'!$H$4384,MATCH($A21&amp;CA$2,Master!$A$2:'Master'!$A$4384&amp;Master!$C$2:'Master'!$C$4384,0))</f>
        <v>0</v>
      </c>
      <c r="CB21" s="21" cm="1">
        <f t="array" aca="1" ref="CB21" ca="1">INDEX(Master!$H$2:'Master'!$H$4384,MATCH($A21&amp;CB$2,Master!$A$2:'Master'!$A$4384&amp;Master!$C$2:'Master'!$C$4384,0))</f>
        <v>1</v>
      </c>
      <c r="CC21" s="21" cm="1">
        <f t="array" aca="1" ref="CC21" ca="1">INDEX(Master!$H$2:'Master'!$H$4384,MATCH($A21&amp;CC$2,Master!$A$2:'Master'!$A$4384&amp;Master!$C$2:'Master'!$C$4384,0))</f>
        <v>1</v>
      </c>
      <c r="CD21" s="21" cm="1">
        <f t="array" aca="1" ref="CD21" ca="1">INDEX(Master!$H$2:'Master'!$H$4384,MATCH($A21&amp;CD$2,Master!$A$2:'Master'!$A$4384&amp;Master!$C$2:'Master'!$C$4384,0))</f>
        <v>0</v>
      </c>
      <c r="CE21" s="21" cm="1">
        <f t="array" aca="1" ref="CE21" ca="1">INDEX(Master!$H$2:'Master'!$H$4384,MATCH($A21&amp;CE$2,Master!$A$2:'Master'!$A$4384&amp;Master!$C$2:'Master'!$C$4384,0))</f>
        <v>1</v>
      </c>
      <c r="CF21" s="21" cm="1">
        <f t="array" aca="1" ref="CF21" ca="1">INDEX(Master!$H$2:'Master'!$H$4384,MATCH($A21&amp;CF$2,Master!$A$2:'Master'!$A$4384&amp;Master!$C$2:'Master'!$C$4384,0))</f>
        <v>0</v>
      </c>
      <c r="CG21" s="21" cm="1">
        <f t="array" aca="1" ref="CG21" ca="1">INDEX(Master!$H$2:'Master'!$H$4384,MATCH($A21&amp;CG$2,Master!$A$2:'Master'!$A$4384&amp;Master!$C$2:'Master'!$C$4384,0))</f>
        <v>1</v>
      </c>
      <c r="CH21" s="21" cm="1">
        <f t="array" aca="1" ref="CH21" ca="1">INDEX(Master!$H$2:'Master'!$H$4384,MATCH($A21&amp;CH$2,Master!$A$2:'Master'!$A$4384&amp;Master!$C$2:'Master'!$C$4384,0))</f>
        <v>2</v>
      </c>
      <c r="CI21" s="21" cm="1">
        <f t="array" aca="1" ref="CI21" ca="1">INDEX(Master!$H$2:'Master'!$H$4384,MATCH($A21&amp;CI$2,Master!$A$2:'Master'!$A$4384&amp;Master!$C$2:'Master'!$C$4384,0))</f>
        <v>1</v>
      </c>
      <c r="CJ21" s="21" cm="1">
        <f t="array" aca="1" ref="CJ21" ca="1">INDEX(Master!$H$2:'Master'!$H$4384,MATCH($A21&amp;CJ$2,Master!$A$2:'Master'!$A$4384&amp;Master!$C$2:'Master'!$C$4384,0))</f>
        <v>1</v>
      </c>
      <c r="CK21" s="21" cm="1">
        <f t="array" aca="1" ref="CK21" ca="1">INDEX(Master!$H$2:'Master'!$H$4384,MATCH($A21&amp;CK$2,Master!$A$2:'Master'!$A$4384&amp;Master!$C$2:'Master'!$C$4384,0))</f>
        <v>0</v>
      </c>
      <c r="CL21" s="21" cm="1">
        <f t="array" aca="1" ref="CL21" ca="1">INDEX(Master!$H$2:'Master'!$H$4384,MATCH($A21&amp;CL$2,Master!$A$2:'Master'!$A$4384&amp;Master!$C$2:'Master'!$C$4384,0))</f>
        <v>-1</v>
      </c>
      <c r="CM21" s="21" cm="1">
        <f t="array" aca="1" ref="CM21" ca="1">INDEX(Master!$H$2:'Master'!$H$4384,MATCH($A21&amp;CM$2,Master!$A$2:'Master'!$A$4384&amp;Master!$C$2:'Master'!$C$4384,0))</f>
        <v>0</v>
      </c>
      <c r="CN21" s="21" cm="1">
        <f t="array" aca="1" ref="CN21" ca="1">INDEX(Master!$H$2:'Master'!$H$4384,MATCH($A21&amp;CN$2,Master!$A$2:'Master'!$A$4384&amp;Master!$C$2:'Master'!$C$4384,0))</f>
        <v>0</v>
      </c>
      <c r="CO21" s="21" cm="1">
        <f t="array" aca="1" ref="CO21" ca="1">INDEX(Master!$H$2:'Master'!$H$4384,MATCH($A21&amp;CO$2,Master!$A$2:'Master'!$A$4384&amp;Master!$C$2:'Master'!$C$4384,0))</f>
        <v>0</v>
      </c>
      <c r="CP21" s="21" cm="1">
        <f t="array" aca="1" ref="CP21" ca="1">INDEX(Master!$H$2:'Master'!$H$4384,MATCH($A21&amp;CP$2,Master!$A$2:'Master'!$A$4384&amp;Master!$C$2:'Master'!$C$4384,0))</f>
        <v>0</v>
      </c>
      <c r="CQ21" s="21" cm="1">
        <f t="array" aca="1" ref="CQ21" ca="1">INDEX(Master!$H$2:'Master'!$H$4384,MATCH($A21&amp;CQ$2,Master!$A$2:'Master'!$A$4384&amp;Master!$C$2:'Master'!$C$4384,0))</f>
        <v>0</v>
      </c>
      <c r="CR21" s="21" cm="1">
        <f t="array" aca="1" ref="CR21" ca="1">INDEX(Master!$H$2:'Master'!$H$4384,MATCH($A21&amp;CR$2,Master!$A$2:'Master'!$A$4384&amp;Master!$C$2:'Master'!$C$4384,0))</f>
        <v>0</v>
      </c>
      <c r="CS21" s="21" cm="1">
        <f t="array" aca="1" ref="CS21" ca="1">INDEX(Master!$H$2:'Master'!$H$4384,MATCH($A21&amp;CS$2,Master!$A$2:'Master'!$A$4384&amp;Master!$C$2:'Master'!$C$4384,0))</f>
        <v>1</v>
      </c>
    </row>
    <row r="22" spans="1:97">
      <c r="A22" s="22" t="str">
        <f>VLOOKUP(Staff!$A19,Staff!$A$1:A$73,1,FALSE)</f>
        <v>Cassie Stuart</v>
      </c>
      <c r="B22" s="21" cm="1">
        <f t="array" aca="1" ref="B22" ca="1">INDEX(Master!$H$2:'Master'!$H$4384,MATCH($A22&amp;B$2,Master!$A$2:'Master'!$A$4384&amp;Master!$C$2:'Master'!$C$4384,0))</f>
        <v>3</v>
      </c>
      <c r="C22" s="21" cm="1">
        <f t="array" aca="1" ref="C22" ca="1">INDEX(Master!$H$2:'Master'!$H$4384,MATCH($A22&amp;C$2,Master!$A$2:'Master'!$A$4384&amp;Master!$C$2:'Master'!$C$4384,0))</f>
        <v>3</v>
      </c>
      <c r="D22" s="21" cm="1">
        <f t="array" aca="1" ref="D22" ca="1">INDEX(Master!$H$2:'Master'!$H$4384,MATCH($A22&amp;D$2,Master!$A$2:'Master'!$A$4384&amp;Master!$C$2:'Master'!$C$4384,0))</f>
        <v>3</v>
      </c>
      <c r="E22" s="21" cm="1">
        <f t="array" aca="1" ref="E22" ca="1">INDEX(Master!$H$2:'Master'!$H$4384,MATCH($A22&amp;E$2,Master!$A$2:'Master'!$A$4384&amp;Master!$C$2:'Master'!$C$4384,0))</f>
        <v>1</v>
      </c>
      <c r="F22" s="21" cm="1">
        <f t="array" aca="1" ref="F22" ca="1">INDEX(Master!$H$2:'Master'!$H$4384,MATCH($A22&amp;F$2,Master!$A$2:'Master'!$A$4384&amp;Master!$C$2:'Master'!$C$4384,0))</f>
        <v>3</v>
      </c>
      <c r="G22" s="21" cm="1">
        <f t="array" aca="1" ref="G22" ca="1">INDEX(Master!$H$2:'Master'!$H$4384,MATCH($A22&amp;G$2,Master!$A$2:'Master'!$A$4384&amp;Master!$C$2:'Master'!$C$4384,0))</f>
        <v>1</v>
      </c>
      <c r="H22" s="21" cm="1">
        <f t="array" aca="1" ref="H22" ca="1">INDEX(Master!$H$2:'Master'!$H$4384,MATCH($A22&amp;H$2,Master!$A$2:'Master'!$A$4384&amp;Master!$C$2:'Master'!$C$4384,0))</f>
        <v>2</v>
      </c>
      <c r="I22" s="21" cm="1">
        <f t="array" aca="1" ref="I22" ca="1">INDEX(Master!$H$2:'Master'!$H$4384,MATCH($A22&amp;I$2,Master!$A$2:'Master'!$A$4384&amp;Master!$C$2:'Master'!$C$4384,0))</f>
        <v>2</v>
      </c>
      <c r="J22" s="21" cm="1">
        <f t="array" aca="1" ref="J22" ca="1">INDEX(Master!$H$2:'Master'!$H$4384,MATCH($A22&amp;J$2,Master!$A$2:'Master'!$A$4384&amp;Master!$C$2:'Master'!$C$4384,0))</f>
        <v>0</v>
      </c>
      <c r="K22" s="21" cm="1">
        <f t="array" aca="1" ref="K22" ca="1">INDEX(Master!$H$2:'Master'!$H$4384,MATCH($A22&amp;K$2,Master!$A$2:'Master'!$A$4384&amp;Master!$C$2:'Master'!$C$4384,0))</f>
        <v>-1</v>
      </c>
      <c r="L22" s="21" cm="1">
        <f t="array" aca="1" ref="L22" ca="1">INDEX(Master!$H$2:'Master'!$H$4384,MATCH($A22&amp;L$2,Master!$A$2:'Master'!$A$4384&amp;Master!$C$2:'Master'!$C$4384,0))</f>
        <v>-2</v>
      </c>
      <c r="M22" s="21" cm="1">
        <f t="array" aca="1" ref="M22" ca="1">INDEX(Master!$H$2:'Master'!$H$4384,MATCH($A22&amp;M$2,Master!$A$2:'Master'!$A$4384&amp;Master!$C$2:'Master'!$C$4384,0))</f>
        <v>-2</v>
      </c>
      <c r="N22" s="21" cm="1">
        <f t="array" aca="1" ref="N22" ca="1">INDEX(Master!$H$2:'Master'!$H$4384,MATCH($A22&amp;N$2,Master!$A$2:'Master'!$A$4384&amp;Master!$C$2:'Master'!$C$4384,0))</f>
        <v>-1</v>
      </c>
      <c r="O22" s="21" cm="1">
        <f t="array" aca="1" ref="O22" ca="1">INDEX(Master!$H$2:'Master'!$H$4384,MATCH($A22&amp;O$2,Master!$A$2:'Master'!$A$4384&amp;Master!$C$2:'Master'!$C$4384,0))</f>
        <v>-1</v>
      </c>
      <c r="P22" s="21" cm="1">
        <f t="array" aca="1" ref="P22" ca="1">INDEX(Master!$H$2:'Master'!$H$4384,MATCH($A22&amp;P$2,Master!$A$2:'Master'!$A$4384&amp;Master!$C$2:'Master'!$C$4384,0))</f>
        <v>1</v>
      </c>
      <c r="Q22" s="21" cm="1">
        <f t="array" aca="1" ref="Q22" ca="1">INDEX(Master!$H$2:'Master'!$H$4384,MATCH($A22&amp;Q$2,Master!$A$2:'Master'!$A$4384&amp;Master!$C$2:'Master'!$C$4384,0))</f>
        <v>0</v>
      </c>
      <c r="R22" s="21" cm="1">
        <f t="array" aca="1" ref="R22" ca="1">INDEX(Master!$H$2:'Master'!$H$4384,MATCH($A22&amp;R$2,Master!$A$2:'Master'!$A$4384&amp;Master!$C$2:'Master'!$C$4384,0))</f>
        <v>1</v>
      </c>
      <c r="S22" s="21" cm="1">
        <f t="array" aca="1" ref="S22" ca="1">INDEX(Master!$H$2:'Master'!$H$4384,MATCH($A22&amp;S$2,Master!$A$2:'Master'!$A$4384&amp;Master!$C$2:'Master'!$C$4384,0))</f>
        <v>0</v>
      </c>
      <c r="T22" s="21" cm="1">
        <f t="array" aca="1" ref="T22" ca="1">INDEX(Master!$H$2:'Master'!$H$4384,MATCH($A22&amp;T$2,Master!$A$2:'Master'!$A$4384&amp;Master!$C$2:'Master'!$C$4384,0))</f>
        <v>2</v>
      </c>
      <c r="U22" s="21" cm="1">
        <f t="array" aca="1" ref="U22" ca="1">INDEX(Master!$H$2:'Master'!$H$4384,MATCH($A22&amp;U$2,Master!$A$2:'Master'!$A$4384&amp;Master!$C$2:'Master'!$C$4384,0))</f>
        <v>1</v>
      </c>
      <c r="V22" s="21" cm="1">
        <f t="array" aca="1" ref="V22" ca="1">INDEX(Master!$H$2:'Master'!$H$4384,MATCH($A22&amp;V$2,Master!$A$2:'Master'!$A$4384&amp;Master!$C$2:'Master'!$C$4384,0))</f>
        <v>0</v>
      </c>
      <c r="W22" s="21" cm="1">
        <f t="array" aca="1" ref="W22" ca="1">INDEX(Master!$H$2:'Master'!$H$4384,MATCH($A22&amp;W$2,Master!$A$2:'Master'!$A$4384&amp;Master!$C$2:'Master'!$C$4384,0))</f>
        <v>2</v>
      </c>
      <c r="X22" s="21" cm="1">
        <f t="array" aca="1" ref="X22" ca="1">INDEX(Master!$H$2:'Master'!$H$4384,MATCH($A22&amp;X$2,Master!$A$2:'Master'!$A$4384&amp;Master!$C$2:'Master'!$C$4384,0))</f>
        <v>1</v>
      </c>
      <c r="Y22" s="21" cm="1">
        <f t="array" aca="1" ref="Y22" ca="1">INDEX(Master!$H$2:'Master'!$H$4384,MATCH($A22&amp;Y$2,Master!$A$2:'Master'!$A$4384&amp;Master!$C$2:'Master'!$C$4384,0))</f>
        <v>1</v>
      </c>
      <c r="Z22" s="21" cm="1">
        <f t="array" aca="1" ref="Z22" ca="1">INDEX(Master!$H$2:'Master'!$H$4384,MATCH($A22&amp;Z$2,Master!$A$2:'Master'!$A$4384&amp;Master!$C$2:'Master'!$C$4384,0))</f>
        <v>-1</v>
      </c>
      <c r="AA22" s="21" cm="1">
        <f t="array" aca="1" ref="AA22" ca="1">INDEX(Master!$H$2:'Master'!$H$4384,MATCH($A22&amp;AA$2,Master!$A$2:'Master'!$A$4384&amp;Master!$C$2:'Master'!$C$4384,0))</f>
        <v>-1</v>
      </c>
      <c r="AB22" s="21" cm="1">
        <f t="array" aca="1" ref="AB22" ca="1">INDEX(Master!$H$2:'Master'!$H$4384,MATCH($A22&amp;AB$2,Master!$A$2:'Master'!$A$4384&amp;Master!$C$2:'Master'!$C$4384,0))</f>
        <v>0</v>
      </c>
      <c r="AC22" s="21" cm="1">
        <f t="array" aca="1" ref="AC22" ca="1">INDEX(Master!$H$2:'Master'!$H$4384,MATCH($A22&amp;AC$2,Master!$A$2:'Master'!$A$4384&amp;Master!$C$2:'Master'!$C$4384,0))</f>
        <v>0</v>
      </c>
      <c r="AD22" s="21" cm="1">
        <f t="array" aca="1" ref="AD22" ca="1">INDEX(Master!$H$2:'Master'!$H$4384,MATCH($A22&amp;AD$2,Master!$A$2:'Master'!$A$4384&amp;Master!$C$2:'Master'!$C$4384,0))</f>
        <v>1</v>
      </c>
      <c r="AE22" s="21" cm="1">
        <f t="array" aca="1" ref="AE22" ca="1">INDEX(Master!$H$2:'Master'!$H$4384,MATCH($A22&amp;AE$2,Master!$A$2:'Master'!$A$4384&amp;Master!$C$2:'Master'!$C$4384,0))</f>
        <v>1</v>
      </c>
      <c r="AF22" s="21" cm="1">
        <f t="array" aca="1" ref="AF22" ca="1">INDEX(Master!$H$2:'Master'!$H$4384,MATCH($A22&amp;AF$2,Master!$A$2:'Master'!$A$4384&amp;Master!$C$2:'Master'!$C$4384,0))</f>
        <v>1</v>
      </c>
      <c r="AG22" s="21" cm="1">
        <f t="array" aca="1" ref="AG22" ca="1">INDEX(Master!$H$2:'Master'!$H$4384,MATCH($A22&amp;AG$2,Master!$A$2:'Master'!$A$4384&amp;Master!$C$2:'Master'!$C$4384,0))</f>
        <v>1</v>
      </c>
      <c r="AH22" s="21" cm="1">
        <f t="array" aca="1" ref="AH22" ca="1">INDEX(Master!$H$2:'Master'!$H$4384,MATCH($A22&amp;AH$2,Master!$A$2:'Master'!$A$4384&amp;Master!$C$2:'Master'!$C$4384,0))</f>
        <v>3</v>
      </c>
      <c r="AI22" s="21" cm="1">
        <f t="array" aca="1" ref="AI22" ca="1">INDEX(Master!$H$2:'Master'!$H$4384,MATCH($A22&amp;AI$2,Master!$A$2:'Master'!$A$4384&amp;Master!$C$2:'Master'!$C$4384,0))</f>
        <v>1</v>
      </c>
      <c r="AJ22" s="21" cm="1">
        <f t="array" aca="1" ref="AJ22" ca="1">INDEX(Master!$H$2:'Master'!$H$4384,MATCH($A22&amp;AJ$2,Master!$A$2:'Master'!$A$4384&amp;Master!$C$2:'Master'!$C$4384,0))</f>
        <v>3</v>
      </c>
      <c r="AK22" s="21" cm="1">
        <f t="array" aca="1" ref="AK22" ca="1">INDEX(Master!$H$2:'Master'!$H$4384,MATCH($A22&amp;AK$2,Master!$A$2:'Master'!$A$4384&amp;Master!$C$2:'Master'!$C$4384,0))</f>
        <v>1</v>
      </c>
      <c r="AL22" s="21" cm="1">
        <f t="array" aca="1" ref="AL22" ca="1">INDEX(Master!$H$2:'Master'!$H$4384,MATCH($A22&amp;AL$2,Master!$A$2:'Master'!$A$4384&amp;Master!$C$2:'Master'!$C$4384,0))</f>
        <v>2</v>
      </c>
      <c r="AM22" s="21" cm="1">
        <f t="array" aca="1" ref="AM22" ca="1">INDEX(Master!$H$2:'Master'!$H$4384,MATCH($A22&amp;AM$2,Master!$A$2:'Master'!$A$4384&amp;Master!$C$2:'Master'!$C$4384,0))</f>
        <v>3</v>
      </c>
      <c r="AN22" s="21" cm="1">
        <f t="array" aca="1" ref="AN22" ca="1">INDEX(Master!$H$2:'Master'!$H$4384,MATCH($A22&amp;AN$2,Master!$A$2:'Master'!$A$4384&amp;Master!$C$2:'Master'!$C$4384,0))</f>
        <v>3</v>
      </c>
      <c r="AO22" s="21" cm="1">
        <f t="array" aca="1" ref="AO22" ca="1">INDEX(Master!$H$2:'Master'!$H$4384,MATCH($A22&amp;AO$2,Master!$A$2:'Master'!$A$4384&amp;Master!$C$2:'Master'!$C$4384,0))</f>
        <v>1</v>
      </c>
      <c r="AP22" s="21" cm="1">
        <f t="array" aca="1" ref="AP22" ca="1">INDEX(Master!$H$2:'Master'!$H$4384,MATCH($A22&amp;AP$2,Master!$A$2:'Master'!$A$4384&amp;Master!$C$2:'Master'!$C$4384,0))</f>
        <v>0</v>
      </c>
      <c r="AQ22" s="21" cm="1">
        <f t="array" aca="1" ref="AQ22" ca="1">INDEX(Master!$H$2:'Master'!$H$4384,MATCH($A22&amp;AQ$2,Master!$A$2:'Master'!$A$4384&amp;Master!$C$2:'Master'!$C$4384,0))</f>
        <v>2</v>
      </c>
      <c r="AR22" s="21" cm="1">
        <f t="array" aca="1" ref="AR22" ca="1">INDEX(Master!$H$2:'Master'!$H$4384,MATCH($A22&amp;AR$2,Master!$A$2:'Master'!$A$4384&amp;Master!$C$2:'Master'!$C$4384,0))</f>
        <v>1</v>
      </c>
      <c r="AS22" s="21" cm="1">
        <f t="array" aca="1" ref="AS22" ca="1">INDEX(Master!$H$2:'Master'!$H$4384,MATCH($A22&amp;AS$2,Master!$A$2:'Master'!$A$4384&amp;Master!$C$2:'Master'!$C$4384,0))</f>
        <v>1</v>
      </c>
      <c r="AT22" s="21" cm="1">
        <f t="array" aca="1" ref="AT22" ca="1">INDEX(Master!$H$2:'Master'!$H$4384,MATCH($A22&amp;AT$2,Master!$A$2:'Master'!$A$4384&amp;Master!$C$2:'Master'!$C$4384,0))</f>
        <v>3</v>
      </c>
      <c r="AU22" s="21" cm="1">
        <f t="array" aca="1" ref="AU22" ca="1">INDEX(Master!$H$2:'Master'!$H$4384,MATCH($A22&amp;AU$2,Master!$A$2:'Master'!$A$4384&amp;Master!$C$2:'Master'!$C$4384,0))</f>
        <v>2</v>
      </c>
      <c r="AV22" s="21" cm="1">
        <f t="array" aca="1" ref="AV22" ca="1">INDEX(Master!$H$2:'Master'!$H$4384,MATCH($A22&amp;AV$2,Master!$A$2:'Master'!$A$4384&amp;Master!$C$2:'Master'!$C$4384,0))</f>
        <v>0</v>
      </c>
      <c r="AW22" s="21" cm="1">
        <f t="array" aca="1" ref="AW22" ca="1">INDEX(Master!$H$2:'Master'!$H$4384,MATCH($A22&amp;AW$2,Master!$A$2:'Master'!$A$4384&amp;Master!$C$2:'Master'!$C$4384,0))</f>
        <v>2</v>
      </c>
      <c r="AX22" s="21" cm="1">
        <f t="array" aca="1" ref="AX22" ca="1">INDEX(Master!$H$2:'Master'!$H$4384,MATCH($A22&amp;AX$2,Master!$A$2:'Master'!$A$4384&amp;Master!$C$2:'Master'!$C$4384,0))</f>
        <v>3</v>
      </c>
      <c r="AY22" s="21" cm="1">
        <f t="array" aca="1" ref="AY22" ca="1">INDEX(Master!$H$2:'Master'!$H$4384,MATCH($A22&amp;AY$2,Master!$A$2:'Master'!$A$4384&amp;Master!$C$2:'Master'!$C$4384,0))</f>
        <v>3</v>
      </c>
      <c r="AZ22" s="21" cm="1">
        <f t="array" aca="1" ref="AZ22" ca="1">INDEX(Master!$H$2:'Master'!$H$4384,MATCH($A22&amp;AZ$2,Master!$A$2:'Master'!$A$4384&amp;Master!$C$2:'Master'!$C$4384,0))</f>
        <v>0</v>
      </c>
      <c r="BA22" s="21" cm="1">
        <f t="array" aca="1" ref="BA22" ca="1">INDEX(Master!$H$2:'Master'!$H$4384,MATCH($A22&amp;BA$2,Master!$A$2:'Master'!$A$4384&amp;Master!$C$2:'Master'!$C$4384,0))</f>
        <v>2</v>
      </c>
      <c r="BB22" s="21" cm="1">
        <f t="array" aca="1" ref="BB22" ca="1">INDEX(Master!$H$2:'Master'!$H$4384,MATCH($A22&amp;BB$2,Master!$A$2:'Master'!$A$4384&amp;Master!$C$2:'Master'!$C$4384,0))</f>
        <v>1</v>
      </c>
      <c r="BC22" s="21" cm="1">
        <f t="array" aca="1" ref="BC22" ca="1">INDEX(Master!$H$2:'Master'!$H$4384,MATCH($A22&amp;BC$2,Master!$A$2:'Master'!$A$4384&amp;Master!$C$2:'Master'!$C$4384,0))</f>
        <v>1</v>
      </c>
      <c r="BD22" s="21" cm="1">
        <f t="array" aca="1" ref="BD22" ca="1">INDEX(Master!$H$2:'Master'!$H$4384,MATCH($A22&amp;BD$2,Master!$A$2:'Master'!$A$4384&amp;Master!$C$2:'Master'!$C$4384,0))</f>
        <v>3</v>
      </c>
      <c r="BE22" s="21" cm="1">
        <f t="array" aca="1" ref="BE22" ca="1">INDEX(Master!$H$2:'Master'!$H$4384,MATCH($A22&amp;BE$2,Master!$A$2:'Master'!$A$4384&amp;Master!$C$2:'Master'!$C$4384,0))</f>
        <v>1</v>
      </c>
      <c r="BF22" s="21" cm="1">
        <f t="array" aca="1" ref="BF22" ca="1">INDEX(Master!$H$2:'Master'!$H$4384,MATCH($A22&amp;BF$2,Master!$A$2:'Master'!$A$4384&amp;Master!$C$2:'Master'!$C$4384,0))</f>
        <v>1</v>
      </c>
      <c r="BG22" s="21" cm="1">
        <f t="array" aca="1" ref="BG22" ca="1">INDEX(Master!$H$2:'Master'!$H$4384,MATCH($A22&amp;BG$2,Master!$A$2:'Master'!$A$4384&amp;Master!$C$2:'Master'!$C$4384,0))</f>
        <v>-2</v>
      </c>
      <c r="BH22" s="21" cm="1">
        <f t="array" aca="1" ref="BH22" ca="1">INDEX(Master!$H$2:'Master'!$H$4384,MATCH($A22&amp;BH$2,Master!$A$2:'Master'!$A$4384&amp;Master!$C$2:'Master'!$C$4384,0))</f>
        <v>1</v>
      </c>
      <c r="BI22" s="21" cm="1">
        <f t="array" aca="1" ref="BI22" ca="1">INDEX(Master!$H$2:'Master'!$H$4384,MATCH($A22&amp;BI$2,Master!$A$2:'Master'!$A$4384&amp;Master!$C$2:'Master'!$C$4384,0))</f>
        <v>0</v>
      </c>
      <c r="BJ22" s="21" cm="1">
        <f t="array" aca="1" ref="BJ22" ca="1">INDEX(Master!$H$2:'Master'!$H$4384,MATCH($A22&amp;BJ$2,Master!$A$2:'Master'!$A$4384&amp;Master!$C$2:'Master'!$C$4384,0))</f>
        <v>1</v>
      </c>
      <c r="BK22" s="21" cm="1">
        <f t="array" aca="1" ref="BK22" ca="1">INDEX(Master!$H$2:'Master'!$H$4384,MATCH($A22&amp;BK$2,Master!$A$2:'Master'!$A$4384&amp;Master!$C$2:'Master'!$C$4384,0))</f>
        <v>0</v>
      </c>
      <c r="BL22" s="21" cm="1">
        <f t="array" aca="1" ref="BL22" ca="1">INDEX(Master!$H$2:'Master'!$H$4384,MATCH($A22&amp;BL$2,Master!$A$2:'Master'!$A$4384&amp;Master!$C$2:'Master'!$C$4384,0))</f>
        <v>0</v>
      </c>
      <c r="BM22" s="21" cm="1">
        <f t="array" aca="1" ref="BM22" ca="1">INDEX(Master!$H$2:'Master'!$H$4384,MATCH($A22&amp;BM$2,Master!$A$2:'Master'!$A$4384&amp;Master!$C$2:'Master'!$C$4384,0))</f>
        <v>0</v>
      </c>
      <c r="BN22" s="21" cm="1">
        <f t="array" aca="1" ref="BN22" ca="1">INDEX(Master!$H$2:'Master'!$H$4384,MATCH($A22&amp;BN$2,Master!$A$2:'Master'!$A$4384&amp;Master!$C$2:'Master'!$C$4384,0))</f>
        <v>1</v>
      </c>
      <c r="BO22" s="21" cm="1">
        <f t="array" aca="1" ref="BO22" ca="1">INDEX(Master!$H$2:'Master'!$H$4384,MATCH($A22&amp;BO$2,Master!$A$2:'Master'!$A$4384&amp;Master!$C$2:'Master'!$C$4384,0))</f>
        <v>1</v>
      </c>
      <c r="BP22" s="21" cm="1">
        <f t="array" aca="1" ref="BP22" ca="1">INDEX(Master!$H$2:'Master'!$H$4384,MATCH($A22&amp;BP$2,Master!$A$2:'Master'!$A$4384&amp;Master!$C$2:'Master'!$C$4384,0))</f>
        <v>0</v>
      </c>
      <c r="BQ22" s="21" cm="1">
        <f t="array" aca="1" ref="BQ22" ca="1">INDEX(Master!$H$2:'Master'!$H$4384,MATCH($A22&amp;BQ$2,Master!$A$2:'Master'!$A$4384&amp;Master!$C$2:'Master'!$C$4384,0))</f>
        <v>-1</v>
      </c>
      <c r="BR22" s="21" cm="1">
        <f t="array" aca="1" ref="BR22" ca="1">INDEX(Master!$H$2:'Master'!$H$4384,MATCH($A22&amp;BR$2,Master!$A$2:'Master'!$A$4384&amp;Master!$C$2:'Master'!$C$4384,0))</f>
        <v>0</v>
      </c>
      <c r="BS22" s="21" cm="1">
        <f t="array" aca="1" ref="BS22" ca="1">INDEX(Master!$H$2:'Master'!$H$4384,MATCH($A22&amp;BS$2,Master!$A$2:'Master'!$A$4384&amp;Master!$C$2:'Master'!$C$4384,0))</f>
        <v>0</v>
      </c>
      <c r="BT22" s="21" cm="1">
        <f t="array" aca="1" ref="BT22" ca="1">INDEX(Master!$H$2:'Master'!$H$4384,MATCH($A22&amp;BT$2,Master!$A$2:'Master'!$A$4384&amp;Master!$C$2:'Master'!$C$4384,0))</f>
        <v>1</v>
      </c>
      <c r="BU22" s="21" cm="1">
        <f t="array" aca="1" ref="BU22" ca="1">INDEX(Master!$H$2:'Master'!$H$4384,MATCH($A22&amp;BU$2,Master!$A$2:'Master'!$A$4384&amp;Master!$C$2:'Master'!$C$4384,0))</f>
        <v>1</v>
      </c>
      <c r="BV22" s="21" cm="1">
        <f t="array" aca="1" ref="BV22" ca="1">INDEX(Master!$H$2:'Master'!$H$4384,MATCH($A22&amp;BV$2,Master!$A$2:'Master'!$A$4384&amp;Master!$C$2:'Master'!$C$4384,0))</f>
        <v>-2</v>
      </c>
      <c r="BW22" s="21" cm="1">
        <f t="array" aca="1" ref="BW22" ca="1">INDEX(Master!$H$2:'Master'!$H$4384,MATCH($A22&amp;BW$2,Master!$A$2:'Master'!$A$4384&amp;Master!$C$2:'Master'!$C$4384,0))</f>
        <v>1</v>
      </c>
      <c r="BX22" s="21" cm="1">
        <f t="array" aca="1" ref="BX22" ca="1">INDEX(Master!$H$2:'Master'!$H$4384,MATCH($A22&amp;BX$2,Master!$A$2:'Master'!$A$4384&amp;Master!$C$2:'Master'!$C$4384,0))</f>
        <v>-2</v>
      </c>
      <c r="BY22" s="21" cm="1">
        <f t="array" aca="1" ref="BY22" ca="1">INDEX(Master!$H$2:'Master'!$H$4384,MATCH($A22&amp;BY$2,Master!$A$2:'Master'!$A$4384&amp;Master!$C$2:'Master'!$C$4384,0))</f>
        <v>1</v>
      </c>
      <c r="BZ22" s="21" cm="1">
        <f t="array" aca="1" ref="BZ22" ca="1">INDEX(Master!$H$2:'Master'!$H$4384,MATCH($A22&amp;BZ$2,Master!$A$2:'Master'!$A$4384&amp;Master!$C$2:'Master'!$C$4384,0))</f>
        <v>0</v>
      </c>
      <c r="CA22" s="21" cm="1">
        <f t="array" aca="1" ref="CA22" ca="1">INDEX(Master!$H$2:'Master'!$H$4384,MATCH($A22&amp;CA$2,Master!$A$2:'Master'!$A$4384&amp;Master!$C$2:'Master'!$C$4384,0))</f>
        <v>1</v>
      </c>
      <c r="CB22" s="21" cm="1">
        <f t="array" aca="1" ref="CB22" ca="1">INDEX(Master!$H$2:'Master'!$H$4384,MATCH($A22&amp;CB$2,Master!$A$2:'Master'!$A$4384&amp;Master!$C$2:'Master'!$C$4384,0))</f>
        <v>0</v>
      </c>
      <c r="CC22" s="21" cm="1">
        <f t="array" aca="1" ref="CC22" ca="1">INDEX(Master!$H$2:'Master'!$H$4384,MATCH($A22&amp;CC$2,Master!$A$2:'Master'!$A$4384&amp;Master!$C$2:'Master'!$C$4384,0))</f>
        <v>0</v>
      </c>
      <c r="CD22" s="21" cm="1">
        <f t="array" aca="1" ref="CD22" ca="1">INDEX(Master!$H$2:'Master'!$H$4384,MATCH($A22&amp;CD$2,Master!$A$2:'Master'!$A$4384&amp;Master!$C$2:'Master'!$C$4384,0))</f>
        <v>0</v>
      </c>
      <c r="CE22" s="21" cm="1">
        <f t="array" aca="1" ref="CE22" ca="1">INDEX(Master!$H$2:'Master'!$H$4384,MATCH($A22&amp;CE$2,Master!$A$2:'Master'!$A$4384&amp;Master!$C$2:'Master'!$C$4384,0))</f>
        <v>0</v>
      </c>
      <c r="CF22" s="21" cm="1">
        <f t="array" aca="1" ref="CF22" ca="1">INDEX(Master!$H$2:'Master'!$H$4384,MATCH($A22&amp;CF$2,Master!$A$2:'Master'!$A$4384&amp;Master!$C$2:'Master'!$C$4384,0))</f>
        <v>0</v>
      </c>
      <c r="CG22" s="21" cm="1">
        <f t="array" aca="1" ref="CG22" ca="1">INDEX(Master!$H$2:'Master'!$H$4384,MATCH($A22&amp;CG$2,Master!$A$2:'Master'!$A$4384&amp;Master!$C$2:'Master'!$C$4384,0))</f>
        <v>0</v>
      </c>
      <c r="CH22" s="21" cm="1">
        <f t="array" aca="1" ref="CH22" ca="1">INDEX(Master!$H$2:'Master'!$H$4384,MATCH($A22&amp;CH$2,Master!$A$2:'Master'!$A$4384&amp;Master!$C$2:'Master'!$C$4384,0))</f>
        <v>0</v>
      </c>
      <c r="CI22" s="21" cm="1">
        <f t="array" aca="1" ref="CI22" ca="1">INDEX(Master!$H$2:'Master'!$H$4384,MATCH($A22&amp;CI$2,Master!$A$2:'Master'!$A$4384&amp;Master!$C$2:'Master'!$C$4384,0))</f>
        <v>0</v>
      </c>
      <c r="CJ22" s="21" cm="1">
        <f t="array" aca="1" ref="CJ22" ca="1">INDEX(Master!$H$2:'Master'!$H$4384,MATCH($A22&amp;CJ$2,Master!$A$2:'Master'!$A$4384&amp;Master!$C$2:'Master'!$C$4384,0))</f>
        <v>1</v>
      </c>
      <c r="CK22" s="21" cm="1">
        <f t="array" aca="1" ref="CK22" ca="1">INDEX(Master!$H$2:'Master'!$H$4384,MATCH($A22&amp;CK$2,Master!$A$2:'Master'!$A$4384&amp;Master!$C$2:'Master'!$C$4384,0))</f>
        <v>1</v>
      </c>
      <c r="CL22" s="21" cm="1">
        <f t="array" aca="1" ref="CL22" ca="1">INDEX(Master!$H$2:'Master'!$H$4384,MATCH($A22&amp;CL$2,Master!$A$2:'Master'!$A$4384&amp;Master!$C$2:'Master'!$C$4384,0))</f>
        <v>1</v>
      </c>
      <c r="CM22" s="21" cm="1">
        <f t="array" aca="1" ref="CM22" ca="1">INDEX(Master!$H$2:'Master'!$H$4384,MATCH($A22&amp;CM$2,Master!$A$2:'Master'!$A$4384&amp;Master!$C$2:'Master'!$C$4384,0))</f>
        <v>1</v>
      </c>
      <c r="CN22" s="21" cm="1">
        <f t="array" aca="1" ref="CN22" ca="1">INDEX(Master!$H$2:'Master'!$H$4384,MATCH($A22&amp;CN$2,Master!$A$2:'Master'!$A$4384&amp;Master!$C$2:'Master'!$C$4384,0))</f>
        <v>-1</v>
      </c>
      <c r="CO22" s="21" cm="1">
        <f t="array" aca="1" ref="CO22" ca="1">INDEX(Master!$H$2:'Master'!$H$4384,MATCH($A22&amp;CO$2,Master!$A$2:'Master'!$A$4384&amp;Master!$C$2:'Master'!$C$4384,0))</f>
        <v>-1</v>
      </c>
      <c r="CP22" s="21" cm="1">
        <f t="array" aca="1" ref="CP22" ca="1">INDEX(Master!$H$2:'Master'!$H$4384,MATCH($A22&amp;CP$2,Master!$A$2:'Master'!$A$4384&amp;Master!$C$2:'Master'!$C$4384,0))</f>
        <v>-1</v>
      </c>
      <c r="CQ22" s="21" cm="1">
        <f t="array" aca="1" ref="CQ22" ca="1">INDEX(Master!$H$2:'Master'!$H$4384,MATCH($A22&amp;CQ$2,Master!$A$2:'Master'!$A$4384&amp;Master!$C$2:'Master'!$C$4384,0))</f>
        <v>2</v>
      </c>
      <c r="CR22" s="21" cm="1">
        <f t="array" aca="1" ref="CR22" ca="1">INDEX(Master!$H$2:'Master'!$H$4384,MATCH($A22&amp;CR$2,Master!$A$2:'Master'!$A$4384&amp;Master!$C$2:'Master'!$C$4384,0))</f>
        <v>2</v>
      </c>
      <c r="CS22" s="21" cm="1">
        <f t="array" aca="1" ref="CS22" ca="1">INDEX(Master!$H$2:'Master'!$H$4384,MATCH($A22&amp;CS$2,Master!$A$2:'Master'!$A$4384&amp;Master!$C$2:'Master'!$C$4384,0))</f>
        <v>0</v>
      </c>
    </row>
    <row r="23" spans="1:97">
      <c r="A23" s="22" t="str">
        <f>VLOOKUP(Staff!$A20,Staff!$A$1:A$73,1,FALSE)</f>
        <v>Jane Marple</v>
      </c>
      <c r="B23" s="21" cm="1">
        <f t="array" aca="1" ref="B23" ca="1">INDEX(Master!$H$2:'Master'!$H$4384,MATCH($A23&amp;B$2,Master!$A$2:'Master'!$A$4384&amp;Master!$C$2:'Master'!$C$4384,0))</f>
        <v>0</v>
      </c>
      <c r="C23" s="21" cm="1">
        <f t="array" aca="1" ref="C23" ca="1">INDEX(Master!$H$2:'Master'!$H$4384,MATCH($A23&amp;C$2,Master!$A$2:'Master'!$A$4384&amp;Master!$C$2:'Master'!$C$4384,0))</f>
        <v>1</v>
      </c>
      <c r="D23" s="21" cm="1">
        <f t="array" aca="1" ref="D23" ca="1">INDEX(Master!$H$2:'Master'!$H$4384,MATCH($A23&amp;D$2,Master!$A$2:'Master'!$A$4384&amp;Master!$C$2:'Master'!$C$4384,0))</f>
        <v>0</v>
      </c>
      <c r="E23" s="21" cm="1">
        <f t="array" aca="1" ref="E23" ca="1">INDEX(Master!$H$2:'Master'!$H$4384,MATCH($A23&amp;E$2,Master!$A$2:'Master'!$A$4384&amp;Master!$C$2:'Master'!$C$4384,0))</f>
        <v>-1</v>
      </c>
      <c r="F23" s="21" cm="1">
        <f t="array" aca="1" ref="F23" ca="1">INDEX(Master!$H$2:'Master'!$H$4384,MATCH($A23&amp;F$2,Master!$A$2:'Master'!$A$4384&amp;Master!$C$2:'Master'!$C$4384,0))</f>
        <v>-1</v>
      </c>
      <c r="G23" s="21" cm="1">
        <f t="array" aca="1" ref="G23" ca="1">INDEX(Master!$H$2:'Master'!$H$4384,MATCH($A23&amp;G$2,Master!$A$2:'Master'!$A$4384&amp;Master!$C$2:'Master'!$C$4384,0))</f>
        <v>1</v>
      </c>
      <c r="H23" s="21" cm="1">
        <f t="array" aca="1" ref="H23" ca="1">INDEX(Master!$H$2:'Master'!$H$4384,MATCH($A23&amp;H$2,Master!$A$2:'Master'!$A$4384&amp;Master!$C$2:'Master'!$C$4384,0))</f>
        <v>-1</v>
      </c>
      <c r="I23" s="21" cm="1">
        <f t="array" aca="1" ref="I23" ca="1">INDEX(Master!$H$2:'Master'!$H$4384,MATCH($A23&amp;I$2,Master!$A$2:'Master'!$A$4384&amp;Master!$C$2:'Master'!$C$4384,0))</f>
        <v>-1</v>
      </c>
      <c r="J23" s="21" cm="1">
        <f t="array" aca="1" ref="J23" ca="1">INDEX(Master!$H$2:'Master'!$H$4384,MATCH($A23&amp;J$2,Master!$A$2:'Master'!$A$4384&amp;Master!$C$2:'Master'!$C$4384,0))</f>
        <v>-1</v>
      </c>
      <c r="K23" s="21" cm="1">
        <f t="array" aca="1" ref="K23" ca="1">INDEX(Master!$H$2:'Master'!$H$4384,MATCH($A23&amp;K$2,Master!$A$2:'Master'!$A$4384&amp;Master!$C$2:'Master'!$C$4384,0))</f>
        <v>0</v>
      </c>
      <c r="L23" s="21" cm="1">
        <f t="array" aca="1" ref="L23" ca="1">INDEX(Master!$H$2:'Master'!$H$4384,MATCH($A23&amp;L$2,Master!$A$2:'Master'!$A$4384&amp;Master!$C$2:'Master'!$C$4384,0))</f>
        <v>2</v>
      </c>
      <c r="M23" s="21" cm="1">
        <f t="array" aca="1" ref="M23" ca="1">INDEX(Master!$H$2:'Master'!$H$4384,MATCH($A23&amp;M$2,Master!$A$2:'Master'!$A$4384&amp;Master!$C$2:'Master'!$C$4384,0))</f>
        <v>2</v>
      </c>
      <c r="N23" s="21" cm="1">
        <f t="array" aca="1" ref="N23" ca="1">INDEX(Master!$H$2:'Master'!$H$4384,MATCH($A23&amp;N$2,Master!$A$2:'Master'!$A$4384&amp;Master!$C$2:'Master'!$C$4384,0))</f>
        <v>0</v>
      </c>
      <c r="O23" s="21" cm="1">
        <f t="array" aca="1" ref="O23" ca="1">INDEX(Master!$H$2:'Master'!$H$4384,MATCH($A23&amp;O$2,Master!$A$2:'Master'!$A$4384&amp;Master!$C$2:'Master'!$C$4384,0))</f>
        <v>1</v>
      </c>
      <c r="P23" s="21" cm="1">
        <f t="array" aca="1" ref="P23" ca="1">INDEX(Master!$H$2:'Master'!$H$4384,MATCH($A23&amp;P$2,Master!$A$2:'Master'!$A$4384&amp;Master!$C$2:'Master'!$C$4384,0))</f>
        <v>-1</v>
      </c>
      <c r="Q23" s="21" cm="1">
        <f t="array" aca="1" ref="Q23" ca="1">INDEX(Master!$H$2:'Master'!$H$4384,MATCH($A23&amp;Q$2,Master!$A$2:'Master'!$A$4384&amp;Master!$C$2:'Master'!$C$4384,0))</f>
        <v>-1</v>
      </c>
      <c r="R23" s="21" cm="1">
        <f t="array" aca="1" ref="R23" ca="1">INDEX(Master!$H$2:'Master'!$H$4384,MATCH($A23&amp;R$2,Master!$A$2:'Master'!$A$4384&amp;Master!$C$2:'Master'!$C$4384,0))</f>
        <v>2</v>
      </c>
      <c r="S23" s="21" cm="1">
        <f t="array" aca="1" ref="S23" ca="1">INDEX(Master!$H$2:'Master'!$H$4384,MATCH($A23&amp;S$2,Master!$A$2:'Master'!$A$4384&amp;Master!$C$2:'Master'!$C$4384,0))</f>
        <v>2</v>
      </c>
      <c r="T23" s="21" cm="1">
        <f t="array" aca="1" ref="T23" ca="1">INDEX(Master!$H$2:'Master'!$H$4384,MATCH($A23&amp;T$2,Master!$A$2:'Master'!$A$4384&amp;Master!$C$2:'Master'!$C$4384,0))</f>
        <v>0</v>
      </c>
      <c r="U23" s="21" cm="1">
        <f t="array" aca="1" ref="U23" ca="1">INDEX(Master!$H$2:'Master'!$H$4384,MATCH($A23&amp;U$2,Master!$A$2:'Master'!$A$4384&amp;Master!$C$2:'Master'!$C$4384,0))</f>
        <v>-1</v>
      </c>
      <c r="V23" s="21" cm="1">
        <f t="array" aca="1" ref="V23" ca="1">INDEX(Master!$H$2:'Master'!$H$4384,MATCH($A23&amp;V$2,Master!$A$2:'Master'!$A$4384&amp;Master!$C$2:'Master'!$C$4384,0))</f>
        <v>0</v>
      </c>
      <c r="W23" s="21" cm="1">
        <f t="array" aca="1" ref="W23" ca="1">INDEX(Master!$H$2:'Master'!$H$4384,MATCH($A23&amp;W$2,Master!$A$2:'Master'!$A$4384&amp;Master!$C$2:'Master'!$C$4384,0))</f>
        <v>2</v>
      </c>
      <c r="X23" s="21" cm="1">
        <f t="array" aca="1" ref="X23" ca="1">INDEX(Master!$H$2:'Master'!$H$4384,MATCH($A23&amp;X$2,Master!$A$2:'Master'!$A$4384&amp;Master!$C$2:'Master'!$C$4384,0))</f>
        <v>1</v>
      </c>
      <c r="Y23" s="21" cm="1">
        <f t="array" aca="1" ref="Y23" ca="1">INDEX(Master!$H$2:'Master'!$H$4384,MATCH($A23&amp;Y$2,Master!$A$2:'Master'!$A$4384&amp;Master!$C$2:'Master'!$C$4384,0))</f>
        <v>1</v>
      </c>
      <c r="Z23" s="21" cm="1">
        <f t="array" aca="1" ref="Z23" ca="1">INDEX(Master!$H$2:'Master'!$H$4384,MATCH($A23&amp;Z$2,Master!$A$2:'Master'!$A$4384&amp;Master!$C$2:'Master'!$C$4384,0))</f>
        <v>0</v>
      </c>
      <c r="AA23" s="21" cm="1">
        <f t="array" aca="1" ref="AA23" ca="1">INDEX(Master!$H$2:'Master'!$H$4384,MATCH($A23&amp;AA$2,Master!$A$2:'Master'!$A$4384&amp;Master!$C$2:'Master'!$C$4384,0))</f>
        <v>0</v>
      </c>
      <c r="AB23" s="21" cm="1">
        <f t="array" aca="1" ref="AB23" ca="1">INDEX(Master!$H$2:'Master'!$H$4384,MATCH($A23&amp;AB$2,Master!$A$2:'Master'!$A$4384&amp;Master!$C$2:'Master'!$C$4384,0))</f>
        <v>0</v>
      </c>
      <c r="AC23" s="21" cm="1">
        <f t="array" aca="1" ref="AC23" ca="1">INDEX(Master!$H$2:'Master'!$H$4384,MATCH($A23&amp;AC$2,Master!$A$2:'Master'!$A$4384&amp;Master!$C$2:'Master'!$C$4384,0))</f>
        <v>1</v>
      </c>
      <c r="AD23" s="21" cm="1">
        <f t="array" aca="1" ref="AD23" ca="1">INDEX(Master!$H$2:'Master'!$H$4384,MATCH($A23&amp;AD$2,Master!$A$2:'Master'!$A$4384&amp;Master!$C$2:'Master'!$C$4384,0))</f>
        <v>1</v>
      </c>
      <c r="AE23" s="21" cm="1">
        <f t="array" aca="1" ref="AE23" ca="1">INDEX(Master!$H$2:'Master'!$H$4384,MATCH($A23&amp;AE$2,Master!$A$2:'Master'!$A$4384&amp;Master!$C$2:'Master'!$C$4384,0))</f>
        <v>1</v>
      </c>
      <c r="AF23" s="21" cm="1">
        <f t="array" aca="1" ref="AF23" ca="1">INDEX(Master!$H$2:'Master'!$H$4384,MATCH($A23&amp;AF$2,Master!$A$2:'Master'!$A$4384&amp;Master!$C$2:'Master'!$C$4384,0))</f>
        <v>-1</v>
      </c>
      <c r="AG23" s="21" cm="1">
        <f t="array" aca="1" ref="AG23" ca="1">INDEX(Master!$H$2:'Master'!$H$4384,MATCH($A23&amp;AG$2,Master!$A$2:'Master'!$A$4384&amp;Master!$C$2:'Master'!$C$4384,0))</f>
        <v>-1</v>
      </c>
      <c r="AH23" s="21" cm="1">
        <f t="array" aca="1" ref="AH23" ca="1">INDEX(Master!$H$2:'Master'!$H$4384,MATCH($A23&amp;AH$2,Master!$A$2:'Master'!$A$4384&amp;Master!$C$2:'Master'!$C$4384,0))</f>
        <v>0</v>
      </c>
      <c r="AI23" s="21" cm="1">
        <f t="array" aca="1" ref="AI23" ca="1">INDEX(Master!$H$2:'Master'!$H$4384,MATCH($A23&amp;AI$2,Master!$A$2:'Master'!$A$4384&amp;Master!$C$2:'Master'!$C$4384,0))</f>
        <v>0</v>
      </c>
      <c r="AJ23" s="21" cm="1">
        <f t="array" aca="1" ref="AJ23" ca="1">INDEX(Master!$H$2:'Master'!$H$4384,MATCH($A23&amp;AJ$2,Master!$A$2:'Master'!$A$4384&amp;Master!$C$2:'Master'!$C$4384,0))</f>
        <v>0</v>
      </c>
      <c r="AK23" s="21" cm="1">
        <f t="array" aca="1" ref="AK23" ca="1">INDEX(Master!$H$2:'Master'!$H$4384,MATCH($A23&amp;AK$2,Master!$A$2:'Master'!$A$4384&amp;Master!$C$2:'Master'!$C$4384,0))</f>
        <v>1</v>
      </c>
      <c r="AL23" s="21" cm="1">
        <f t="array" aca="1" ref="AL23" ca="1">INDEX(Master!$H$2:'Master'!$H$4384,MATCH($A23&amp;AL$2,Master!$A$2:'Master'!$A$4384&amp;Master!$C$2:'Master'!$C$4384,0))</f>
        <v>1</v>
      </c>
      <c r="AM23" s="21" cm="1">
        <f t="array" aca="1" ref="AM23" ca="1">INDEX(Master!$H$2:'Master'!$H$4384,MATCH($A23&amp;AM$2,Master!$A$2:'Master'!$A$4384&amp;Master!$C$2:'Master'!$C$4384,0))</f>
        <v>-1</v>
      </c>
      <c r="AN23" s="21" cm="1">
        <f t="array" aca="1" ref="AN23" ca="1">INDEX(Master!$H$2:'Master'!$H$4384,MATCH($A23&amp;AN$2,Master!$A$2:'Master'!$A$4384&amp;Master!$C$2:'Master'!$C$4384,0))</f>
        <v>2</v>
      </c>
      <c r="AO23" s="21" cm="1">
        <f t="array" aca="1" ref="AO23" ca="1">INDEX(Master!$H$2:'Master'!$H$4384,MATCH($A23&amp;AO$2,Master!$A$2:'Master'!$A$4384&amp;Master!$C$2:'Master'!$C$4384,0))</f>
        <v>1</v>
      </c>
      <c r="AP23" s="21" cm="1">
        <f t="array" aca="1" ref="AP23" ca="1">INDEX(Master!$H$2:'Master'!$H$4384,MATCH($A23&amp;AP$2,Master!$A$2:'Master'!$A$4384&amp;Master!$C$2:'Master'!$C$4384,0))</f>
        <v>1</v>
      </c>
      <c r="AQ23" s="21" cm="1">
        <f t="array" aca="1" ref="AQ23" ca="1">INDEX(Master!$H$2:'Master'!$H$4384,MATCH($A23&amp;AQ$2,Master!$A$2:'Master'!$A$4384&amp;Master!$C$2:'Master'!$C$4384,0))</f>
        <v>1</v>
      </c>
      <c r="AR23" s="21" cm="1">
        <f t="array" aca="1" ref="AR23" ca="1">INDEX(Master!$H$2:'Master'!$H$4384,MATCH($A23&amp;AR$2,Master!$A$2:'Master'!$A$4384&amp;Master!$C$2:'Master'!$C$4384,0))</f>
        <v>1</v>
      </c>
      <c r="AS23" s="21" cm="1">
        <f t="array" aca="1" ref="AS23" ca="1">INDEX(Master!$H$2:'Master'!$H$4384,MATCH($A23&amp;AS$2,Master!$A$2:'Master'!$A$4384&amp;Master!$C$2:'Master'!$C$4384,0))</f>
        <v>1</v>
      </c>
      <c r="AT23" s="21" cm="1">
        <f t="array" aca="1" ref="AT23" ca="1">INDEX(Master!$H$2:'Master'!$H$4384,MATCH($A23&amp;AT$2,Master!$A$2:'Master'!$A$4384&amp;Master!$C$2:'Master'!$C$4384,0))</f>
        <v>4</v>
      </c>
      <c r="AU23" s="21" cm="1">
        <f t="array" aca="1" ref="AU23" ca="1">INDEX(Master!$H$2:'Master'!$H$4384,MATCH($A23&amp;AU$2,Master!$A$2:'Master'!$A$4384&amp;Master!$C$2:'Master'!$C$4384,0))</f>
        <v>2</v>
      </c>
      <c r="AV23" s="21" cm="1">
        <f t="array" aca="1" ref="AV23" ca="1">INDEX(Master!$H$2:'Master'!$H$4384,MATCH($A23&amp;AV$2,Master!$A$2:'Master'!$A$4384&amp;Master!$C$2:'Master'!$C$4384,0))</f>
        <v>1</v>
      </c>
      <c r="AW23" s="21" cm="1">
        <f t="array" aca="1" ref="AW23" ca="1">INDEX(Master!$H$2:'Master'!$H$4384,MATCH($A23&amp;AW$2,Master!$A$2:'Master'!$A$4384&amp;Master!$C$2:'Master'!$C$4384,0))</f>
        <v>1</v>
      </c>
      <c r="AX23" s="21" cm="1">
        <f t="array" aca="1" ref="AX23" ca="1">INDEX(Master!$H$2:'Master'!$H$4384,MATCH($A23&amp;AX$2,Master!$A$2:'Master'!$A$4384&amp;Master!$C$2:'Master'!$C$4384,0))</f>
        <v>2</v>
      </c>
      <c r="AY23" s="21" cm="1">
        <f t="array" aca="1" ref="AY23" ca="1">INDEX(Master!$H$2:'Master'!$H$4384,MATCH($A23&amp;AY$2,Master!$A$2:'Master'!$A$4384&amp;Master!$C$2:'Master'!$C$4384,0))</f>
        <v>1</v>
      </c>
      <c r="AZ23" s="21" cm="1">
        <f t="array" aca="1" ref="AZ23" ca="1">INDEX(Master!$H$2:'Master'!$H$4384,MATCH($A23&amp;AZ$2,Master!$A$2:'Master'!$A$4384&amp;Master!$C$2:'Master'!$C$4384,0))</f>
        <v>2</v>
      </c>
      <c r="BA23" s="21" cm="1">
        <f t="array" aca="1" ref="BA23" ca="1">INDEX(Master!$H$2:'Master'!$H$4384,MATCH($A23&amp;BA$2,Master!$A$2:'Master'!$A$4384&amp;Master!$C$2:'Master'!$C$4384,0))</f>
        <v>4</v>
      </c>
      <c r="BB23" s="21" cm="1">
        <f t="array" aca="1" ref="BB23" ca="1">INDEX(Master!$H$2:'Master'!$H$4384,MATCH($A23&amp;BB$2,Master!$A$2:'Master'!$A$4384&amp;Master!$C$2:'Master'!$C$4384,0))</f>
        <v>1</v>
      </c>
      <c r="BC23" s="21" cm="1">
        <f t="array" aca="1" ref="BC23" ca="1">INDEX(Master!$H$2:'Master'!$H$4384,MATCH($A23&amp;BC$2,Master!$A$2:'Master'!$A$4384&amp;Master!$C$2:'Master'!$C$4384,0))</f>
        <v>-1</v>
      </c>
      <c r="BD23" s="21" cm="1">
        <f t="array" aca="1" ref="BD23" ca="1">INDEX(Master!$H$2:'Master'!$H$4384,MATCH($A23&amp;BD$2,Master!$A$2:'Master'!$A$4384&amp;Master!$C$2:'Master'!$C$4384,0))</f>
        <v>3</v>
      </c>
      <c r="BE23" s="21" cm="1">
        <f t="array" aca="1" ref="BE23" ca="1">INDEX(Master!$H$2:'Master'!$H$4384,MATCH($A23&amp;BE$2,Master!$A$2:'Master'!$A$4384&amp;Master!$C$2:'Master'!$C$4384,0))</f>
        <v>1</v>
      </c>
      <c r="BF23" s="21" cm="1">
        <f t="array" aca="1" ref="BF23" ca="1">INDEX(Master!$H$2:'Master'!$H$4384,MATCH($A23&amp;BF$2,Master!$A$2:'Master'!$A$4384&amp;Master!$C$2:'Master'!$C$4384,0))</f>
        <v>0</v>
      </c>
      <c r="BG23" s="21" cm="1">
        <f t="array" aca="1" ref="BG23" ca="1">INDEX(Master!$H$2:'Master'!$H$4384,MATCH($A23&amp;BG$2,Master!$A$2:'Master'!$A$4384&amp;Master!$C$2:'Master'!$C$4384,0))</f>
        <v>0</v>
      </c>
      <c r="BH23" s="21" cm="1">
        <f t="array" aca="1" ref="BH23" ca="1">INDEX(Master!$H$2:'Master'!$H$4384,MATCH($A23&amp;BH$2,Master!$A$2:'Master'!$A$4384&amp;Master!$C$2:'Master'!$C$4384,0))</f>
        <v>0</v>
      </c>
      <c r="BI23" s="21" cm="1">
        <f t="array" aca="1" ref="BI23" ca="1">INDEX(Master!$H$2:'Master'!$H$4384,MATCH($A23&amp;BI$2,Master!$A$2:'Master'!$A$4384&amp;Master!$C$2:'Master'!$C$4384,0))</f>
        <v>-1</v>
      </c>
      <c r="BJ23" s="21" cm="1">
        <f t="array" aca="1" ref="BJ23" ca="1">INDEX(Master!$H$2:'Master'!$H$4384,MATCH($A23&amp;BJ$2,Master!$A$2:'Master'!$A$4384&amp;Master!$C$2:'Master'!$C$4384,0))</f>
        <v>0</v>
      </c>
      <c r="BK23" s="21" cm="1">
        <f t="array" aca="1" ref="BK23" ca="1">INDEX(Master!$H$2:'Master'!$H$4384,MATCH($A23&amp;BK$2,Master!$A$2:'Master'!$A$4384&amp;Master!$C$2:'Master'!$C$4384,0))</f>
        <v>0</v>
      </c>
      <c r="BL23" s="21" cm="1">
        <f t="array" aca="1" ref="BL23" ca="1">INDEX(Master!$H$2:'Master'!$H$4384,MATCH($A23&amp;BL$2,Master!$A$2:'Master'!$A$4384&amp;Master!$C$2:'Master'!$C$4384,0))</f>
        <v>0</v>
      </c>
      <c r="BM23" s="21" cm="1">
        <f t="array" aca="1" ref="BM23" ca="1">INDEX(Master!$H$2:'Master'!$H$4384,MATCH($A23&amp;BM$2,Master!$A$2:'Master'!$A$4384&amp;Master!$C$2:'Master'!$C$4384,0))</f>
        <v>0</v>
      </c>
      <c r="BN23" s="21" cm="1">
        <f t="array" aca="1" ref="BN23" ca="1">INDEX(Master!$H$2:'Master'!$H$4384,MATCH($A23&amp;BN$2,Master!$A$2:'Master'!$A$4384&amp;Master!$C$2:'Master'!$C$4384,0))</f>
        <v>0</v>
      </c>
      <c r="BO23" s="21" cm="1">
        <f t="array" aca="1" ref="BO23" ca="1">INDEX(Master!$H$2:'Master'!$H$4384,MATCH($A23&amp;BO$2,Master!$A$2:'Master'!$A$4384&amp;Master!$C$2:'Master'!$C$4384,0))</f>
        <v>-1</v>
      </c>
      <c r="BP23" s="21" cm="1">
        <f t="array" aca="1" ref="BP23" ca="1">INDEX(Master!$H$2:'Master'!$H$4384,MATCH($A23&amp;BP$2,Master!$A$2:'Master'!$A$4384&amp;Master!$C$2:'Master'!$C$4384,0))</f>
        <v>0</v>
      </c>
      <c r="BQ23" s="21" cm="1">
        <f t="array" aca="1" ref="BQ23" ca="1">INDEX(Master!$H$2:'Master'!$H$4384,MATCH($A23&amp;BQ$2,Master!$A$2:'Master'!$A$4384&amp;Master!$C$2:'Master'!$C$4384,0))</f>
        <v>1</v>
      </c>
      <c r="BR23" s="21" cm="1">
        <f t="array" aca="1" ref="BR23" ca="1">INDEX(Master!$H$2:'Master'!$H$4384,MATCH($A23&amp;BR$2,Master!$A$2:'Master'!$A$4384&amp;Master!$C$2:'Master'!$C$4384,0))</f>
        <v>1</v>
      </c>
      <c r="BS23" s="21" cm="1">
        <f t="array" aca="1" ref="BS23" ca="1">INDEX(Master!$H$2:'Master'!$H$4384,MATCH($A23&amp;BS$2,Master!$A$2:'Master'!$A$4384&amp;Master!$C$2:'Master'!$C$4384,0))</f>
        <v>1</v>
      </c>
      <c r="BT23" s="21" cm="1">
        <f t="array" aca="1" ref="BT23" ca="1">INDEX(Master!$H$2:'Master'!$H$4384,MATCH($A23&amp;BT$2,Master!$A$2:'Master'!$A$4384&amp;Master!$C$2:'Master'!$C$4384,0))</f>
        <v>0</v>
      </c>
      <c r="BU23" s="21" cm="1">
        <f t="array" aca="1" ref="BU23" ca="1">INDEX(Master!$H$2:'Master'!$H$4384,MATCH($A23&amp;BU$2,Master!$A$2:'Master'!$A$4384&amp;Master!$C$2:'Master'!$C$4384,0))</f>
        <v>1</v>
      </c>
      <c r="BV23" s="21" cm="1">
        <f t="array" aca="1" ref="BV23" ca="1">INDEX(Master!$H$2:'Master'!$H$4384,MATCH($A23&amp;BV$2,Master!$A$2:'Master'!$A$4384&amp;Master!$C$2:'Master'!$C$4384,0))</f>
        <v>1</v>
      </c>
      <c r="BW23" s="21" cm="1">
        <f t="array" aca="1" ref="BW23" ca="1">INDEX(Master!$H$2:'Master'!$H$4384,MATCH($A23&amp;BW$2,Master!$A$2:'Master'!$A$4384&amp;Master!$C$2:'Master'!$C$4384,0))</f>
        <v>0</v>
      </c>
      <c r="BX23" s="21" cm="1">
        <f t="array" aca="1" ref="BX23" ca="1">INDEX(Master!$H$2:'Master'!$H$4384,MATCH($A23&amp;BX$2,Master!$A$2:'Master'!$A$4384&amp;Master!$C$2:'Master'!$C$4384,0))</f>
        <v>0</v>
      </c>
      <c r="BY23" s="21" cm="1">
        <f t="array" aca="1" ref="BY23" ca="1">INDEX(Master!$H$2:'Master'!$H$4384,MATCH($A23&amp;BY$2,Master!$A$2:'Master'!$A$4384&amp;Master!$C$2:'Master'!$C$4384,0))</f>
        <v>0</v>
      </c>
      <c r="BZ23" s="21" cm="1">
        <f t="array" aca="1" ref="BZ23" ca="1">INDEX(Master!$H$2:'Master'!$H$4384,MATCH($A23&amp;BZ$2,Master!$A$2:'Master'!$A$4384&amp;Master!$C$2:'Master'!$C$4384,0))</f>
        <v>-1</v>
      </c>
      <c r="CA23" s="21" cm="1">
        <f t="array" aca="1" ref="CA23" ca="1">INDEX(Master!$H$2:'Master'!$H$4384,MATCH($A23&amp;CA$2,Master!$A$2:'Master'!$A$4384&amp;Master!$C$2:'Master'!$C$4384,0))</f>
        <v>0</v>
      </c>
      <c r="CB23" s="21" cm="1">
        <f t="array" aca="1" ref="CB23" ca="1">INDEX(Master!$H$2:'Master'!$H$4384,MATCH($A23&amp;CB$2,Master!$A$2:'Master'!$A$4384&amp;Master!$C$2:'Master'!$C$4384,0))</f>
        <v>0</v>
      </c>
      <c r="CC23" s="21" cm="1">
        <f t="array" aca="1" ref="CC23" ca="1">INDEX(Master!$H$2:'Master'!$H$4384,MATCH($A23&amp;CC$2,Master!$A$2:'Master'!$A$4384&amp;Master!$C$2:'Master'!$C$4384,0))</f>
        <v>0</v>
      </c>
      <c r="CD23" s="21" cm="1">
        <f t="array" aca="1" ref="CD23" ca="1">INDEX(Master!$H$2:'Master'!$H$4384,MATCH($A23&amp;CD$2,Master!$A$2:'Master'!$A$4384&amp;Master!$C$2:'Master'!$C$4384,0))</f>
        <v>0</v>
      </c>
      <c r="CE23" s="21" cm="1">
        <f t="array" aca="1" ref="CE23" ca="1">INDEX(Master!$H$2:'Master'!$H$4384,MATCH($A23&amp;CE$2,Master!$A$2:'Master'!$A$4384&amp;Master!$C$2:'Master'!$C$4384,0))</f>
        <v>1</v>
      </c>
      <c r="CF23" s="21" cm="1">
        <f t="array" aca="1" ref="CF23" ca="1">INDEX(Master!$H$2:'Master'!$H$4384,MATCH($A23&amp;CF$2,Master!$A$2:'Master'!$A$4384&amp;Master!$C$2:'Master'!$C$4384,0))</f>
        <v>1</v>
      </c>
      <c r="CG23" s="21" cm="1">
        <f t="array" aca="1" ref="CG23" ca="1">INDEX(Master!$H$2:'Master'!$H$4384,MATCH($A23&amp;CG$2,Master!$A$2:'Master'!$A$4384&amp;Master!$C$2:'Master'!$C$4384,0))</f>
        <v>-1</v>
      </c>
      <c r="CH23" s="21" cm="1">
        <f t="array" aca="1" ref="CH23" ca="1">INDEX(Master!$H$2:'Master'!$H$4384,MATCH($A23&amp;CH$2,Master!$A$2:'Master'!$A$4384&amp;Master!$C$2:'Master'!$C$4384,0))</f>
        <v>1</v>
      </c>
      <c r="CI23" s="21" cm="1">
        <f t="array" aca="1" ref="CI23" ca="1">INDEX(Master!$H$2:'Master'!$H$4384,MATCH($A23&amp;CI$2,Master!$A$2:'Master'!$A$4384&amp;Master!$C$2:'Master'!$C$4384,0))</f>
        <v>-1</v>
      </c>
      <c r="CJ23" s="21" cm="1">
        <f t="array" aca="1" ref="CJ23" ca="1">INDEX(Master!$H$2:'Master'!$H$4384,MATCH($A23&amp;CJ$2,Master!$A$2:'Master'!$A$4384&amp;Master!$C$2:'Master'!$C$4384,0))</f>
        <v>1</v>
      </c>
      <c r="CK23" s="21" cm="1">
        <f t="array" aca="1" ref="CK23" ca="1">INDEX(Master!$H$2:'Master'!$H$4384,MATCH($A23&amp;CK$2,Master!$A$2:'Master'!$A$4384&amp;Master!$C$2:'Master'!$C$4384,0))</f>
        <v>0</v>
      </c>
      <c r="CL23" s="21" cm="1">
        <f t="array" aca="1" ref="CL23" ca="1">INDEX(Master!$H$2:'Master'!$H$4384,MATCH($A23&amp;CL$2,Master!$A$2:'Master'!$A$4384&amp;Master!$C$2:'Master'!$C$4384,0))</f>
        <v>0</v>
      </c>
      <c r="CM23" s="21" cm="1">
        <f t="array" aca="1" ref="CM23" ca="1">INDEX(Master!$H$2:'Master'!$H$4384,MATCH($A23&amp;CM$2,Master!$A$2:'Master'!$A$4384&amp;Master!$C$2:'Master'!$C$4384,0))</f>
        <v>1</v>
      </c>
      <c r="CN23" s="21" cm="1">
        <f t="array" aca="1" ref="CN23" ca="1">INDEX(Master!$H$2:'Master'!$H$4384,MATCH($A23&amp;CN$2,Master!$A$2:'Master'!$A$4384&amp;Master!$C$2:'Master'!$C$4384,0))</f>
        <v>0</v>
      </c>
      <c r="CO23" s="21" cm="1">
        <f t="array" aca="1" ref="CO23" ca="1">INDEX(Master!$H$2:'Master'!$H$4384,MATCH($A23&amp;CO$2,Master!$A$2:'Master'!$A$4384&amp;Master!$C$2:'Master'!$C$4384,0))</f>
        <v>0</v>
      </c>
      <c r="CP23" s="21" cm="1">
        <f t="array" aca="1" ref="CP23" ca="1">INDEX(Master!$H$2:'Master'!$H$4384,MATCH($A23&amp;CP$2,Master!$A$2:'Master'!$A$4384&amp;Master!$C$2:'Master'!$C$4384,0))</f>
        <v>1</v>
      </c>
      <c r="CQ23" s="21" cm="1">
        <f t="array" aca="1" ref="CQ23" ca="1">INDEX(Master!$H$2:'Master'!$H$4384,MATCH($A23&amp;CQ$2,Master!$A$2:'Master'!$A$4384&amp;Master!$C$2:'Master'!$C$4384,0))</f>
        <v>2</v>
      </c>
      <c r="CR23" s="21" cm="1">
        <f t="array" aca="1" ref="CR23" ca="1">INDEX(Master!$H$2:'Master'!$H$4384,MATCH($A23&amp;CR$2,Master!$A$2:'Master'!$A$4384&amp;Master!$C$2:'Master'!$C$4384,0))</f>
        <v>1</v>
      </c>
      <c r="CS23" s="21" cm="1">
        <f t="array" aca="1" ref="CS23" ca="1">INDEX(Master!$H$2:'Master'!$H$4384,MATCH($A23&amp;CS$2,Master!$A$2:'Master'!$A$4384&amp;Master!$C$2:'Master'!$C$4384,0))</f>
        <v>0</v>
      </c>
    </row>
    <row r="24" spans="1:97">
      <c r="A24" s="22" t="str">
        <f>VLOOKUP(Staff!$A21,Staff!$A$1:A$73,1,FALSE)</f>
        <v>Vera Stanhope</v>
      </c>
      <c r="B24" s="21" cm="1">
        <f t="array" aca="1" ref="B24" ca="1">INDEX(Master!$H$2:'Master'!$H$4384,MATCH($A24&amp;B$2,Master!$A$2:'Master'!$A$4384&amp;Master!$C$2:'Master'!$C$4384,0))</f>
        <v>99</v>
      </c>
      <c r="C24" s="21" cm="1">
        <f t="array" aca="1" ref="C24" ca="1">INDEX(Master!$H$2:'Master'!$H$4384,MATCH($A24&amp;C$2,Master!$A$2:'Master'!$A$4384&amp;Master!$C$2:'Master'!$C$4384,0))</f>
        <v>99</v>
      </c>
      <c r="D24" s="21" cm="1">
        <f t="array" aca="1" ref="D24" ca="1">INDEX(Master!$H$2:'Master'!$H$4384,MATCH($A24&amp;D$2,Master!$A$2:'Master'!$A$4384&amp;Master!$C$2:'Master'!$C$4384,0))</f>
        <v>99</v>
      </c>
      <c r="E24" s="21" cm="1">
        <f t="array" aca="1" ref="E24" ca="1">INDEX(Master!$H$2:'Master'!$H$4384,MATCH($A24&amp;E$2,Master!$A$2:'Master'!$A$4384&amp;Master!$C$2:'Master'!$C$4384,0))</f>
        <v>97</v>
      </c>
      <c r="F24" s="21" cm="1">
        <f t="array" aca="1" ref="F24" ca="1">INDEX(Master!$H$2:'Master'!$H$4384,MATCH($A24&amp;F$2,Master!$A$2:'Master'!$A$4384&amp;Master!$C$2:'Master'!$C$4384,0))</f>
        <v>99</v>
      </c>
      <c r="G24" s="21" cm="1">
        <f t="array" aca="1" ref="G24" ca="1">INDEX(Master!$H$2:'Master'!$H$4384,MATCH($A24&amp;G$2,Master!$A$2:'Master'!$A$4384&amp;Master!$C$2:'Master'!$C$4384,0))</f>
        <v>97</v>
      </c>
      <c r="H24" s="21" cm="1">
        <f t="array" aca="1" ref="H24" ca="1">INDEX(Master!$H$2:'Master'!$H$4384,MATCH($A24&amp;H$2,Master!$A$2:'Master'!$A$4384&amp;Master!$C$2:'Master'!$C$4384,0))</f>
        <v>99</v>
      </c>
      <c r="I24" s="21" cm="1">
        <f t="array" aca="1" ref="I24" ca="1">INDEX(Master!$H$2:'Master'!$H$4384,MATCH($A24&amp;I$2,Master!$A$2:'Master'!$A$4384&amp;Master!$C$2:'Master'!$C$4384,0))</f>
        <v>99</v>
      </c>
      <c r="J24" s="21" cm="1">
        <f t="array" aca="1" ref="J24" ca="1">INDEX(Master!$H$2:'Master'!$H$4384,MATCH($A24&amp;J$2,Master!$A$2:'Master'!$A$4384&amp;Master!$C$2:'Master'!$C$4384,0))</f>
        <v>96</v>
      </c>
      <c r="K24" s="21" cm="1">
        <f t="array" aca="1" ref="K24" ca="1">INDEX(Master!$H$2:'Master'!$H$4384,MATCH($A24&amp;K$2,Master!$A$2:'Master'!$A$4384&amp;Master!$C$2:'Master'!$C$4384,0))</f>
        <v>97</v>
      </c>
      <c r="L24" s="21" cm="1">
        <f t="array" aca="1" ref="L24" ca="1">INDEX(Master!$H$2:'Master'!$H$4384,MATCH($A24&amp;L$2,Master!$A$2:'Master'!$A$4384&amp;Master!$C$2:'Master'!$C$4384,0))</f>
        <v>97</v>
      </c>
      <c r="M24" s="21" cm="1">
        <f t="array" aca="1" ref="M24" ca="1">INDEX(Master!$H$2:'Master'!$H$4384,MATCH($A24&amp;M$2,Master!$A$2:'Master'!$A$4384&amp;Master!$C$2:'Master'!$C$4384,0))</f>
        <v>96</v>
      </c>
      <c r="N24" s="21" cm="1">
        <f t="array" aca="1" ref="N24" ca="1">INDEX(Master!$H$2:'Master'!$H$4384,MATCH($A24&amp;N$2,Master!$A$2:'Master'!$A$4384&amp;Master!$C$2:'Master'!$C$4384,0))</f>
        <v>97</v>
      </c>
      <c r="O24" s="21" cm="1">
        <f t="array" aca="1" ref="O24" ca="1">INDEX(Master!$H$2:'Master'!$H$4384,MATCH($A24&amp;O$2,Master!$A$2:'Master'!$A$4384&amp;Master!$C$2:'Master'!$C$4384,0))</f>
        <v>97</v>
      </c>
      <c r="P24" s="21" cm="1">
        <f t="array" aca="1" ref="P24" ca="1">INDEX(Master!$H$2:'Master'!$H$4384,MATCH($A24&amp;P$2,Master!$A$2:'Master'!$A$4384&amp;Master!$C$2:'Master'!$C$4384,0))</f>
        <v>97</v>
      </c>
      <c r="Q24" s="21" cm="1">
        <f t="array" aca="1" ref="Q24" ca="1">INDEX(Master!$H$2:'Master'!$H$4384,MATCH($A24&amp;Q$2,Master!$A$2:'Master'!$A$4384&amp;Master!$C$2:'Master'!$C$4384,0))</f>
        <v>98</v>
      </c>
      <c r="R24" s="21" cm="1">
        <f t="array" aca="1" ref="R24" ca="1">INDEX(Master!$H$2:'Master'!$H$4384,MATCH($A24&amp;R$2,Master!$A$2:'Master'!$A$4384&amp;Master!$C$2:'Master'!$C$4384,0))</f>
        <v>99</v>
      </c>
      <c r="S24" s="21" cm="1">
        <f t="array" aca="1" ref="S24" ca="1">INDEX(Master!$H$2:'Master'!$H$4384,MATCH($A24&amp;S$2,Master!$A$2:'Master'!$A$4384&amp;Master!$C$2:'Master'!$C$4384,0))</f>
        <v>99</v>
      </c>
      <c r="T24" s="21" cm="1">
        <f t="array" aca="1" ref="T24" ca="1">INDEX(Master!$H$2:'Master'!$H$4384,MATCH($A24&amp;T$2,Master!$A$2:'Master'!$A$4384&amp;Master!$C$2:'Master'!$C$4384,0))</f>
        <v>98</v>
      </c>
      <c r="U24" s="21" cm="1">
        <f t="array" aca="1" ref="U24" ca="1">INDEX(Master!$H$2:'Master'!$H$4384,MATCH($A24&amp;U$2,Master!$A$2:'Master'!$A$4384&amp;Master!$C$2:'Master'!$C$4384,0))</f>
        <v>99</v>
      </c>
      <c r="V24" s="21" cm="1">
        <f t="array" aca="1" ref="V24" ca="1">INDEX(Master!$H$2:'Master'!$H$4384,MATCH($A24&amp;V$2,Master!$A$2:'Master'!$A$4384&amp;Master!$C$2:'Master'!$C$4384,0))</f>
        <v>97</v>
      </c>
      <c r="W24" s="21" cm="1">
        <f t="array" aca="1" ref="W24" ca="1">INDEX(Master!$H$2:'Master'!$H$4384,MATCH($A24&amp;W$2,Master!$A$2:'Master'!$A$4384&amp;Master!$C$2:'Master'!$C$4384,0))</f>
        <v>98</v>
      </c>
      <c r="X24" s="21" cm="1">
        <f t="array" aca="1" ref="X24" ca="1">INDEX(Master!$H$2:'Master'!$H$4384,MATCH($A24&amp;X$2,Master!$A$2:'Master'!$A$4384&amp;Master!$C$2:'Master'!$C$4384,0))</f>
        <v>99</v>
      </c>
      <c r="Y24" s="21" cm="1">
        <f t="array" aca="1" ref="Y24" ca="1">INDEX(Master!$H$2:'Master'!$H$4384,MATCH($A24&amp;Y$2,Master!$A$2:'Master'!$A$4384&amp;Master!$C$2:'Master'!$C$4384,0))</f>
        <v>99</v>
      </c>
      <c r="Z24" s="21" cm="1">
        <f t="array" aca="1" ref="Z24" ca="1">INDEX(Master!$H$2:'Master'!$H$4384,MATCH($A24&amp;Z$2,Master!$A$2:'Master'!$A$4384&amp;Master!$C$2:'Master'!$C$4384,0))</f>
        <v>97</v>
      </c>
      <c r="AA24" s="21" cm="1">
        <f t="array" aca="1" ref="AA24" ca="1">INDEX(Master!$H$2:'Master'!$H$4384,MATCH($A24&amp;AA$2,Master!$A$2:'Master'!$A$4384&amp;Master!$C$2:'Master'!$C$4384,0))</f>
        <v>97</v>
      </c>
      <c r="AB24" s="21" cm="1">
        <f t="array" aca="1" ref="AB24" ca="1">INDEX(Master!$H$2:'Master'!$H$4384,MATCH($A24&amp;AB$2,Master!$A$2:'Master'!$A$4384&amp;Master!$C$2:'Master'!$C$4384,0))</f>
        <v>98</v>
      </c>
      <c r="AC24" s="21" cm="1">
        <f t="array" aca="1" ref="AC24" ca="1">INDEX(Master!$H$2:'Master'!$H$4384,MATCH($A24&amp;AC$2,Master!$A$2:'Master'!$A$4384&amp;Master!$C$2:'Master'!$C$4384,0))</f>
        <v>97</v>
      </c>
      <c r="AD24" s="21" cm="1">
        <f t="array" aca="1" ref="AD24" ca="1">INDEX(Master!$H$2:'Master'!$H$4384,MATCH($A24&amp;AD$2,Master!$A$2:'Master'!$A$4384&amp;Master!$C$2:'Master'!$C$4384,0))</f>
        <v>98</v>
      </c>
      <c r="AE24" s="21" cm="1">
        <f t="array" aca="1" ref="AE24" ca="1">INDEX(Master!$H$2:'Master'!$H$4384,MATCH($A24&amp;AE$2,Master!$A$2:'Master'!$A$4384&amp;Master!$C$2:'Master'!$C$4384,0))</f>
        <v>99</v>
      </c>
      <c r="AF24" s="21" cm="1">
        <f t="array" aca="1" ref="AF24" ca="1">INDEX(Master!$H$2:'Master'!$H$4384,MATCH($A24&amp;AF$2,Master!$A$2:'Master'!$A$4384&amp;Master!$C$2:'Master'!$C$4384,0))</f>
        <v>99</v>
      </c>
      <c r="AG24" s="21" cm="1">
        <f t="array" aca="1" ref="AG24" ca="1">INDEX(Master!$H$2:'Master'!$H$4384,MATCH($A24&amp;AG$2,Master!$A$2:'Master'!$A$4384&amp;Master!$C$2:'Master'!$C$4384,0))</f>
        <v>99</v>
      </c>
      <c r="AH24" s="21" cm="1">
        <f t="array" aca="1" ref="AH24" ca="1">INDEX(Master!$H$2:'Master'!$H$4384,MATCH($A24&amp;AH$2,Master!$A$2:'Master'!$A$4384&amp;Master!$C$2:'Master'!$C$4384,0))</f>
        <v>99</v>
      </c>
      <c r="AI24" s="21" cm="1">
        <f t="array" aca="1" ref="AI24" ca="1">INDEX(Master!$H$2:'Master'!$H$4384,MATCH($A24&amp;AI$2,Master!$A$2:'Master'!$A$4384&amp;Master!$C$2:'Master'!$C$4384,0))</f>
        <v>99</v>
      </c>
      <c r="AJ24" s="21" cm="1">
        <f t="array" aca="1" ref="AJ24" ca="1">INDEX(Master!$H$2:'Master'!$H$4384,MATCH($A24&amp;AJ$2,Master!$A$2:'Master'!$A$4384&amp;Master!$C$2:'Master'!$C$4384,0))</f>
        <v>99</v>
      </c>
      <c r="AK24" s="21" cm="1">
        <f t="array" aca="1" ref="AK24" ca="1">INDEX(Master!$H$2:'Master'!$H$4384,MATCH($A24&amp;AK$2,Master!$A$2:'Master'!$A$4384&amp;Master!$C$2:'Master'!$C$4384,0))</f>
        <v>99</v>
      </c>
      <c r="AL24" s="21" cm="1">
        <f t="array" aca="1" ref="AL24" ca="1">INDEX(Master!$H$2:'Master'!$H$4384,MATCH($A24&amp;AL$2,Master!$A$2:'Master'!$A$4384&amp;Master!$C$2:'Master'!$C$4384,0))</f>
        <v>99</v>
      </c>
      <c r="AM24" s="21" cm="1">
        <f t="array" aca="1" ref="AM24" ca="1">INDEX(Master!$H$2:'Master'!$H$4384,MATCH($A24&amp;AM$2,Master!$A$2:'Master'!$A$4384&amp;Master!$C$2:'Master'!$C$4384,0))</f>
        <v>99</v>
      </c>
      <c r="AN24" s="21" cm="1">
        <f t="array" aca="1" ref="AN24" ca="1">INDEX(Master!$H$2:'Master'!$H$4384,MATCH($A24&amp;AN$2,Master!$A$2:'Master'!$A$4384&amp;Master!$C$2:'Master'!$C$4384,0))</f>
        <v>99</v>
      </c>
      <c r="AO24" s="21" cm="1">
        <f t="array" aca="1" ref="AO24" ca="1">INDEX(Master!$H$2:'Master'!$H$4384,MATCH($A24&amp;AO$2,Master!$A$2:'Master'!$A$4384&amp;Master!$C$2:'Master'!$C$4384,0))</f>
        <v>98</v>
      </c>
      <c r="AP24" s="21" cm="1">
        <f t="array" aca="1" ref="AP24" ca="1">INDEX(Master!$H$2:'Master'!$H$4384,MATCH($A24&amp;AP$2,Master!$A$2:'Master'!$A$4384&amp;Master!$C$2:'Master'!$C$4384,0))</f>
        <v>97</v>
      </c>
      <c r="AQ24" s="21" cm="1">
        <f t="array" aca="1" ref="AQ24" ca="1">INDEX(Master!$H$2:'Master'!$H$4384,MATCH($A24&amp;AQ$2,Master!$A$2:'Master'!$A$4384&amp;Master!$C$2:'Master'!$C$4384,0))</f>
        <v>98</v>
      </c>
      <c r="AR24" s="21" cm="1">
        <f t="array" aca="1" ref="AR24" ca="1">INDEX(Master!$H$2:'Master'!$H$4384,MATCH($A24&amp;AR$2,Master!$A$2:'Master'!$A$4384&amp;Master!$C$2:'Master'!$C$4384,0))</f>
        <v>98</v>
      </c>
      <c r="AS24" s="21" cm="1">
        <f t="array" aca="1" ref="AS24" ca="1">INDEX(Master!$H$2:'Master'!$H$4384,MATCH($A24&amp;AS$2,Master!$A$2:'Master'!$A$4384&amp;Master!$C$2:'Master'!$C$4384,0))</f>
        <v>99</v>
      </c>
      <c r="AT24" s="21" cm="1">
        <f t="array" aca="1" ref="AT24" ca="1">INDEX(Master!$H$2:'Master'!$H$4384,MATCH($A24&amp;AT$2,Master!$A$2:'Master'!$A$4384&amp;Master!$C$2:'Master'!$C$4384,0))</f>
        <v>99</v>
      </c>
      <c r="AU24" s="21" cm="1">
        <f t="array" aca="1" ref="AU24" ca="1">INDEX(Master!$H$2:'Master'!$H$4384,MATCH($A24&amp;AU$2,Master!$A$2:'Master'!$A$4384&amp;Master!$C$2:'Master'!$C$4384,0))</f>
        <v>99</v>
      </c>
      <c r="AV24" s="21" cm="1">
        <f t="array" aca="1" ref="AV24" ca="1">INDEX(Master!$H$2:'Master'!$H$4384,MATCH($A24&amp;AV$2,Master!$A$2:'Master'!$A$4384&amp;Master!$C$2:'Master'!$C$4384,0))</f>
        <v>97</v>
      </c>
      <c r="AW24" s="21" cm="1">
        <f t="array" aca="1" ref="AW24" ca="1">INDEX(Master!$H$2:'Master'!$H$4384,MATCH($A24&amp;AW$2,Master!$A$2:'Master'!$A$4384&amp;Master!$C$2:'Master'!$C$4384,0))</f>
        <v>99</v>
      </c>
      <c r="AX24" s="21" cm="1">
        <f t="array" aca="1" ref="AX24" ca="1">INDEX(Master!$H$2:'Master'!$H$4384,MATCH($A24&amp;AX$2,Master!$A$2:'Master'!$A$4384&amp;Master!$C$2:'Master'!$C$4384,0))</f>
        <v>99</v>
      </c>
      <c r="AY24" s="21" cm="1">
        <f t="array" aca="1" ref="AY24" ca="1">INDEX(Master!$H$2:'Master'!$H$4384,MATCH($A24&amp;AY$2,Master!$A$2:'Master'!$A$4384&amp;Master!$C$2:'Master'!$C$4384,0))</f>
        <v>99</v>
      </c>
      <c r="AZ24" s="21" cm="1">
        <f t="array" aca="1" ref="AZ24" ca="1">INDEX(Master!$H$2:'Master'!$H$4384,MATCH($A24&amp;AZ$2,Master!$A$2:'Master'!$A$4384&amp;Master!$C$2:'Master'!$C$4384,0))</f>
        <v>98</v>
      </c>
      <c r="BA24" s="21" cm="1">
        <f t="array" aca="1" ref="BA24" ca="1">INDEX(Master!$H$2:'Master'!$H$4384,MATCH($A24&amp;BA$2,Master!$A$2:'Master'!$A$4384&amp;Master!$C$2:'Master'!$C$4384,0))</f>
        <v>99</v>
      </c>
      <c r="BB24" s="21" cm="1">
        <f t="array" aca="1" ref="BB24" ca="1">INDEX(Master!$H$2:'Master'!$H$4384,MATCH($A24&amp;BB$2,Master!$A$2:'Master'!$A$4384&amp;Master!$C$2:'Master'!$C$4384,0))</f>
        <v>99</v>
      </c>
      <c r="BC24" s="21" cm="1">
        <f t="array" aca="1" ref="BC24" ca="1">INDEX(Master!$H$2:'Master'!$H$4384,MATCH($A24&amp;BC$2,Master!$A$2:'Master'!$A$4384&amp;Master!$C$2:'Master'!$C$4384,0))</f>
        <v>99</v>
      </c>
      <c r="BD24" s="21" cm="1">
        <f t="array" aca="1" ref="BD24" ca="1">INDEX(Master!$H$2:'Master'!$H$4384,MATCH($A24&amp;BD$2,Master!$A$2:'Master'!$A$4384&amp;Master!$C$2:'Master'!$C$4384,0))</f>
        <v>99</v>
      </c>
      <c r="BE24" s="21" cm="1">
        <f t="array" aca="1" ref="BE24" ca="1">INDEX(Master!$H$2:'Master'!$H$4384,MATCH($A24&amp;BE$2,Master!$A$2:'Master'!$A$4384&amp;Master!$C$2:'Master'!$C$4384,0))</f>
        <v>99</v>
      </c>
      <c r="BF24" s="21" cm="1">
        <f t="array" aca="1" ref="BF24" ca="1">INDEX(Master!$H$2:'Master'!$H$4384,MATCH($A24&amp;BF$2,Master!$A$2:'Master'!$A$4384&amp;Master!$C$2:'Master'!$C$4384,0))</f>
        <v>99</v>
      </c>
      <c r="BG24" s="21" cm="1">
        <f t="array" aca="1" ref="BG24" ca="1">INDEX(Master!$H$2:'Master'!$H$4384,MATCH($A24&amp;BG$2,Master!$A$2:'Master'!$A$4384&amp;Master!$C$2:'Master'!$C$4384,0))</f>
        <v>97</v>
      </c>
      <c r="BH24" s="21" cm="1">
        <f t="array" aca="1" ref="BH24" ca="1">INDEX(Master!$H$2:'Master'!$H$4384,MATCH($A24&amp;BH$2,Master!$A$2:'Master'!$A$4384&amp;Master!$C$2:'Master'!$C$4384,0))</f>
        <v>99</v>
      </c>
      <c r="BI24" s="21" cm="1">
        <f t="array" aca="1" ref="BI24" ca="1">INDEX(Master!$H$2:'Master'!$H$4384,MATCH($A24&amp;BI$2,Master!$A$2:'Master'!$A$4384&amp;Master!$C$2:'Master'!$C$4384,0))</f>
        <v>98</v>
      </c>
      <c r="BJ24" s="21" cm="1">
        <f t="array" aca="1" ref="BJ24" ca="1">INDEX(Master!$H$2:'Master'!$H$4384,MATCH($A24&amp;BJ$2,Master!$A$2:'Master'!$A$4384&amp;Master!$C$2:'Master'!$C$4384,0))</f>
        <v>99</v>
      </c>
      <c r="BK24" s="21" cm="1">
        <f t="array" aca="1" ref="BK24" ca="1">INDEX(Master!$H$2:'Master'!$H$4384,MATCH($A24&amp;BK$2,Master!$A$2:'Master'!$A$4384&amp;Master!$C$2:'Master'!$C$4384,0))</f>
        <v>98</v>
      </c>
      <c r="BL24" s="21" cm="1">
        <f t="array" aca="1" ref="BL24" ca="1">INDEX(Master!$H$2:'Master'!$H$4384,MATCH($A24&amp;BL$2,Master!$A$2:'Master'!$A$4384&amp;Master!$C$2:'Master'!$C$4384,0))</f>
        <v>98</v>
      </c>
      <c r="BM24" s="21" cm="1">
        <f t="array" aca="1" ref="BM24" ca="1">INDEX(Master!$H$2:'Master'!$H$4384,MATCH($A24&amp;BM$2,Master!$A$2:'Master'!$A$4384&amp;Master!$C$2:'Master'!$C$4384,0))</f>
        <v>98</v>
      </c>
      <c r="BN24" s="21" cm="1">
        <f t="array" aca="1" ref="BN24" ca="1">INDEX(Master!$H$2:'Master'!$H$4384,MATCH($A24&amp;BN$2,Master!$A$2:'Master'!$A$4384&amp;Master!$C$2:'Master'!$C$4384,0))</f>
        <v>99</v>
      </c>
      <c r="BO24" s="21" cm="1">
        <f t="array" aca="1" ref="BO24" ca="1">INDEX(Master!$H$2:'Master'!$H$4384,MATCH($A24&amp;BO$2,Master!$A$2:'Master'!$A$4384&amp;Master!$C$2:'Master'!$C$4384,0))</f>
        <v>99</v>
      </c>
      <c r="BP24" s="21" cm="1">
        <f t="array" aca="1" ref="BP24" ca="1">INDEX(Master!$H$2:'Master'!$H$4384,MATCH($A24&amp;BP$2,Master!$A$2:'Master'!$A$4384&amp;Master!$C$2:'Master'!$C$4384,0))</f>
        <v>99</v>
      </c>
      <c r="BQ24" s="21" cm="1">
        <f t="array" aca="1" ref="BQ24" ca="1">INDEX(Master!$H$2:'Master'!$H$4384,MATCH($A24&amp;BQ$2,Master!$A$2:'Master'!$A$4384&amp;Master!$C$2:'Master'!$C$4384,0))</f>
        <v>98</v>
      </c>
      <c r="BR24" s="21" cm="1">
        <f t="array" aca="1" ref="BR24" ca="1">INDEX(Master!$H$2:'Master'!$H$4384,MATCH($A24&amp;BR$2,Master!$A$2:'Master'!$A$4384&amp;Master!$C$2:'Master'!$C$4384,0))</f>
        <v>99</v>
      </c>
      <c r="BS24" s="21" cm="1">
        <f t="array" aca="1" ref="BS24" ca="1">INDEX(Master!$H$2:'Master'!$H$4384,MATCH($A24&amp;BS$2,Master!$A$2:'Master'!$A$4384&amp;Master!$C$2:'Master'!$C$4384,0))</f>
        <v>99</v>
      </c>
      <c r="BT24" s="21" cm="1">
        <f t="array" aca="1" ref="BT24" ca="1">INDEX(Master!$H$2:'Master'!$H$4384,MATCH($A24&amp;BT$2,Master!$A$2:'Master'!$A$4384&amp;Master!$C$2:'Master'!$C$4384,0))</f>
        <v>99</v>
      </c>
      <c r="BU24" s="21" cm="1">
        <f t="array" aca="1" ref="BU24" ca="1">INDEX(Master!$H$2:'Master'!$H$4384,MATCH($A24&amp;BU$2,Master!$A$2:'Master'!$A$4384&amp;Master!$C$2:'Master'!$C$4384,0))</f>
        <v>99</v>
      </c>
      <c r="BV24" s="21" cm="1">
        <f t="array" aca="1" ref="BV24" ca="1">INDEX(Master!$H$2:'Master'!$H$4384,MATCH($A24&amp;BV$2,Master!$A$2:'Master'!$A$4384&amp;Master!$C$2:'Master'!$C$4384,0))</f>
        <v>97</v>
      </c>
      <c r="BW24" s="21" cm="1">
        <f t="array" aca="1" ref="BW24" ca="1">INDEX(Master!$H$2:'Master'!$H$4384,MATCH($A24&amp;BW$2,Master!$A$2:'Master'!$A$4384&amp;Master!$C$2:'Master'!$C$4384,0))</f>
        <v>99</v>
      </c>
      <c r="BX24" s="21" cm="1">
        <f t="array" aca="1" ref="BX24" ca="1">INDEX(Master!$H$2:'Master'!$H$4384,MATCH($A24&amp;BX$2,Master!$A$2:'Master'!$A$4384&amp;Master!$C$2:'Master'!$C$4384,0))</f>
        <v>97</v>
      </c>
      <c r="BY24" s="21" cm="1">
        <f t="array" aca="1" ref="BY24" ca="1">INDEX(Master!$H$2:'Master'!$H$4384,MATCH($A24&amp;BY$2,Master!$A$2:'Master'!$A$4384&amp;Master!$C$2:'Master'!$C$4384,0))</f>
        <v>99</v>
      </c>
      <c r="BZ24" s="21" cm="1">
        <f t="array" aca="1" ref="BZ24" ca="1">INDEX(Master!$H$2:'Master'!$H$4384,MATCH($A24&amp;BZ$2,Master!$A$2:'Master'!$A$4384&amp;Master!$C$2:'Master'!$C$4384,0))</f>
        <v>98</v>
      </c>
      <c r="CA24" s="21" cm="1">
        <f t="array" aca="1" ref="CA24" ca="1">INDEX(Master!$H$2:'Master'!$H$4384,MATCH($A24&amp;CA$2,Master!$A$2:'Master'!$A$4384&amp;Master!$C$2:'Master'!$C$4384,0))</f>
        <v>99</v>
      </c>
      <c r="CB24" s="21" cm="1">
        <f t="array" aca="1" ref="CB24" ca="1">INDEX(Master!$H$2:'Master'!$H$4384,MATCH($A24&amp;CB$2,Master!$A$2:'Master'!$A$4384&amp;Master!$C$2:'Master'!$C$4384,0))</f>
        <v>98</v>
      </c>
      <c r="CC24" s="21" cm="1">
        <f t="array" aca="1" ref="CC24" ca="1">INDEX(Master!$H$2:'Master'!$H$4384,MATCH($A24&amp;CC$2,Master!$A$2:'Master'!$A$4384&amp;Master!$C$2:'Master'!$C$4384,0))</f>
        <v>98</v>
      </c>
      <c r="CD24" s="21" cm="1">
        <f t="array" aca="1" ref="CD24" ca="1">INDEX(Master!$H$2:'Master'!$H$4384,MATCH($A24&amp;CD$2,Master!$A$2:'Master'!$A$4384&amp;Master!$C$2:'Master'!$C$4384,0))</f>
        <v>98</v>
      </c>
      <c r="CE24" s="21" cm="1">
        <f t="array" aca="1" ref="CE24" ca="1">INDEX(Master!$H$2:'Master'!$H$4384,MATCH($A24&amp;CE$2,Master!$A$2:'Master'!$A$4384&amp;Master!$C$2:'Master'!$C$4384,0))</f>
        <v>98</v>
      </c>
      <c r="CF24" s="21" cm="1">
        <f t="array" aca="1" ref="CF24" ca="1">INDEX(Master!$H$2:'Master'!$H$4384,MATCH($A24&amp;CF$2,Master!$A$2:'Master'!$A$4384&amp;Master!$C$2:'Master'!$C$4384,0))</f>
        <v>98</v>
      </c>
      <c r="CG24" s="21" cm="1">
        <f t="array" aca="1" ref="CG24" ca="1">INDEX(Master!$H$2:'Master'!$H$4384,MATCH($A24&amp;CG$2,Master!$A$2:'Master'!$A$4384&amp;Master!$C$2:'Master'!$C$4384,0))</f>
        <v>98</v>
      </c>
      <c r="CH24" s="21" cm="1">
        <f t="array" aca="1" ref="CH24" ca="1">INDEX(Master!$H$2:'Master'!$H$4384,MATCH($A24&amp;CH$2,Master!$A$2:'Master'!$A$4384&amp;Master!$C$2:'Master'!$C$4384,0))</f>
        <v>98</v>
      </c>
      <c r="CI24" s="21" cm="1">
        <f t="array" aca="1" ref="CI24" ca="1">INDEX(Master!$H$2:'Master'!$H$4384,MATCH($A24&amp;CI$2,Master!$A$2:'Master'!$A$4384&amp;Master!$C$2:'Master'!$C$4384,0))</f>
        <v>98</v>
      </c>
      <c r="CJ24" s="21" cm="1">
        <f t="array" aca="1" ref="CJ24" ca="1">INDEX(Master!$H$2:'Master'!$H$4384,MATCH($A24&amp;CJ$2,Master!$A$2:'Master'!$A$4384&amp;Master!$C$2:'Master'!$C$4384,0))</f>
        <v>99</v>
      </c>
      <c r="CK24" s="21" cm="1">
        <f t="array" aca="1" ref="CK24" ca="1">INDEX(Master!$H$2:'Master'!$H$4384,MATCH($A24&amp;CK$2,Master!$A$2:'Master'!$A$4384&amp;Master!$C$2:'Master'!$C$4384,0))</f>
        <v>99</v>
      </c>
      <c r="CL24" s="21" cm="1">
        <f t="array" aca="1" ref="CL24" ca="1">INDEX(Master!$H$2:'Master'!$H$4384,MATCH($A24&amp;CL$2,Master!$A$2:'Master'!$A$4384&amp;Master!$C$2:'Master'!$C$4384,0))</f>
        <v>99</v>
      </c>
      <c r="CM24" s="21" cm="1">
        <f t="array" aca="1" ref="CM24" ca="1">INDEX(Master!$H$2:'Master'!$H$4384,MATCH($A24&amp;CM$2,Master!$A$2:'Master'!$A$4384&amp;Master!$C$2:'Master'!$C$4384,0))</f>
        <v>99</v>
      </c>
      <c r="CN24" s="21" cm="1">
        <f t="array" aca="1" ref="CN24" ca="1">INDEX(Master!$H$2:'Master'!$H$4384,MATCH($A24&amp;CN$2,Master!$A$2:'Master'!$A$4384&amp;Master!$C$2:'Master'!$C$4384,0))</f>
        <v>97</v>
      </c>
      <c r="CO24" s="21" cm="1">
        <f t="array" aca="1" ref="CO24" ca="1">INDEX(Master!$H$2:'Master'!$H$4384,MATCH($A24&amp;CO$2,Master!$A$2:'Master'!$A$4384&amp;Master!$C$2:'Master'!$C$4384,0))</f>
        <v>97</v>
      </c>
      <c r="CP24" s="21" cm="1">
        <f t="array" aca="1" ref="CP24" ca="1">INDEX(Master!$H$2:'Master'!$H$4384,MATCH($A24&amp;CP$2,Master!$A$2:'Master'!$A$4384&amp;Master!$C$2:'Master'!$C$4384,0))</f>
        <v>97</v>
      </c>
      <c r="CQ24" s="21" cm="1">
        <f t="array" aca="1" ref="CQ24" ca="1">INDEX(Master!$H$2:'Master'!$H$4384,MATCH($A24&amp;CQ$2,Master!$A$2:'Master'!$A$4384&amp;Master!$C$2:'Master'!$C$4384,0))</f>
        <v>99</v>
      </c>
      <c r="CR24" s="21" cm="1">
        <f t="array" aca="1" ref="CR24" ca="1">INDEX(Master!$H$2:'Master'!$H$4384,MATCH($A24&amp;CR$2,Master!$A$2:'Master'!$A$4384&amp;Master!$C$2:'Master'!$C$4384,0))</f>
        <v>99</v>
      </c>
      <c r="CS24" s="21" cm="1">
        <f t="array" aca="1" ref="CS24" ca="1">INDEX(Master!$H$2:'Master'!$H$4384,MATCH($A24&amp;CS$2,Master!$A$2:'Master'!$A$4384&amp;Master!$C$2:'Master'!$C$4384,0))</f>
        <v>98</v>
      </c>
    </row>
    <row r="25" spans="1:97">
      <c r="A25" s="22" t="str">
        <f>VLOOKUP(Staff!$A22,Staff!$A$1:A$73,1,FALSE)</f>
        <v>Frank Hathaway</v>
      </c>
      <c r="B25" s="21" cm="1">
        <f t="array" aca="1" ref="B25" ca="1">INDEX(Master!$H$2:'Master'!$H$4384,MATCH($A25&amp;B$2,Master!$A$2:'Master'!$A$4384&amp;Master!$C$2:'Master'!$C$4384,0))</f>
        <v>-3</v>
      </c>
      <c r="C25" s="21" cm="1">
        <f t="array" aca="1" ref="C25" ca="1">INDEX(Master!$H$2:'Master'!$H$4384,MATCH($A25&amp;C$2,Master!$A$2:'Master'!$A$4384&amp;Master!$C$2:'Master'!$C$4384,0))</f>
        <v>0</v>
      </c>
      <c r="D25" s="21" cm="1">
        <f t="array" aca="1" ref="D25" ca="1">INDEX(Master!$H$2:'Master'!$H$4384,MATCH($A25&amp;D$2,Master!$A$2:'Master'!$A$4384&amp;Master!$C$2:'Master'!$C$4384,0))</f>
        <v>-2</v>
      </c>
      <c r="E25" s="21" cm="1">
        <f t="array" aca="1" ref="E25" ca="1">INDEX(Master!$H$2:'Master'!$H$4384,MATCH($A25&amp;E$2,Master!$A$2:'Master'!$A$4384&amp;Master!$C$2:'Master'!$C$4384,0))</f>
        <v>-1</v>
      </c>
      <c r="F25" s="21" cm="1">
        <f t="array" aca="1" ref="F25" ca="1">INDEX(Master!$H$2:'Master'!$H$4384,MATCH($A25&amp;F$2,Master!$A$2:'Master'!$A$4384&amp;Master!$C$2:'Master'!$C$4384,0))</f>
        <v>-1</v>
      </c>
      <c r="G25" s="21" cm="1">
        <f t="array" aca="1" ref="G25" ca="1">INDEX(Master!$H$2:'Master'!$H$4384,MATCH($A25&amp;G$2,Master!$A$2:'Master'!$A$4384&amp;Master!$C$2:'Master'!$C$4384,0))</f>
        <v>-1</v>
      </c>
      <c r="H25" s="21" cm="1">
        <f t="array" aca="1" ref="H25" ca="1">INDEX(Master!$H$2:'Master'!$H$4384,MATCH($A25&amp;H$2,Master!$A$2:'Master'!$A$4384&amp;Master!$C$2:'Master'!$C$4384,0))</f>
        <v>-1</v>
      </c>
      <c r="I25" s="21" cm="1">
        <f t="array" aca="1" ref="I25" ca="1">INDEX(Master!$H$2:'Master'!$H$4384,MATCH($A25&amp;I$2,Master!$A$2:'Master'!$A$4384&amp;Master!$C$2:'Master'!$C$4384,0))</f>
        <v>0</v>
      </c>
      <c r="J25" s="21" cm="1">
        <f t="array" aca="1" ref="J25" ca="1">INDEX(Master!$H$2:'Master'!$H$4384,MATCH($A25&amp;J$2,Master!$A$2:'Master'!$A$4384&amp;Master!$C$2:'Master'!$C$4384,0))</f>
        <v>-2</v>
      </c>
      <c r="K25" s="21" cm="1">
        <f t="array" aca="1" ref="K25" ca="1">INDEX(Master!$H$2:'Master'!$H$4384,MATCH($A25&amp;K$2,Master!$A$2:'Master'!$A$4384&amp;Master!$C$2:'Master'!$C$4384,0))</f>
        <v>-3</v>
      </c>
      <c r="L25" s="21" cm="1">
        <f t="array" aca="1" ref="L25" ca="1">INDEX(Master!$H$2:'Master'!$H$4384,MATCH($A25&amp;L$2,Master!$A$2:'Master'!$A$4384&amp;Master!$C$2:'Master'!$C$4384,0))</f>
        <v>-2</v>
      </c>
      <c r="M25" s="21" cm="1">
        <f t="array" aca="1" ref="M25" ca="1">INDEX(Master!$H$2:'Master'!$H$4384,MATCH($A25&amp;M$2,Master!$A$2:'Master'!$A$4384&amp;Master!$C$2:'Master'!$C$4384,0))</f>
        <v>0</v>
      </c>
      <c r="N25" s="21" cm="1">
        <f t="array" aca="1" ref="N25" ca="1">INDEX(Master!$H$2:'Master'!$H$4384,MATCH($A25&amp;N$2,Master!$A$2:'Master'!$A$4384&amp;Master!$C$2:'Master'!$C$4384,0))</f>
        <v>-2</v>
      </c>
      <c r="O25" s="21" cm="1">
        <f t="array" aca="1" ref="O25" ca="1">INDEX(Master!$H$2:'Master'!$H$4384,MATCH($A25&amp;O$2,Master!$A$2:'Master'!$A$4384&amp;Master!$C$2:'Master'!$C$4384,0))</f>
        <v>-1</v>
      </c>
      <c r="P25" s="21" cm="1">
        <f t="array" aca="1" ref="P25" ca="1">INDEX(Master!$H$2:'Master'!$H$4384,MATCH($A25&amp;P$2,Master!$A$2:'Master'!$A$4384&amp;Master!$C$2:'Master'!$C$4384,0))</f>
        <v>-1</v>
      </c>
      <c r="Q25" s="21" cm="1">
        <f t="array" aca="1" ref="Q25" ca="1">INDEX(Master!$H$2:'Master'!$H$4384,MATCH($A25&amp;Q$2,Master!$A$2:'Master'!$A$4384&amp;Master!$C$2:'Master'!$C$4384,0))</f>
        <v>0</v>
      </c>
      <c r="R25" s="21" cm="1">
        <f t="array" aca="1" ref="R25" ca="1">INDEX(Master!$H$2:'Master'!$H$4384,MATCH($A25&amp;R$2,Master!$A$2:'Master'!$A$4384&amp;Master!$C$2:'Master'!$C$4384,0))</f>
        <v>0</v>
      </c>
      <c r="S25" s="21" cm="1">
        <f t="array" aca="1" ref="S25" ca="1">INDEX(Master!$H$2:'Master'!$H$4384,MATCH($A25&amp;S$2,Master!$A$2:'Master'!$A$4384&amp;Master!$C$2:'Master'!$C$4384,0))</f>
        <v>-1</v>
      </c>
      <c r="T25" s="21" cm="1">
        <f t="array" aca="1" ref="T25" ca="1">INDEX(Master!$H$2:'Master'!$H$4384,MATCH($A25&amp;T$2,Master!$A$2:'Master'!$A$4384&amp;Master!$C$2:'Master'!$C$4384,0))</f>
        <v>-2</v>
      </c>
      <c r="U25" s="21" cm="1">
        <f t="array" aca="1" ref="U25" ca="1">INDEX(Master!$H$2:'Master'!$H$4384,MATCH($A25&amp;U$2,Master!$A$2:'Master'!$A$4384&amp;Master!$C$2:'Master'!$C$4384,0))</f>
        <v>0</v>
      </c>
      <c r="V25" s="21" cm="1">
        <f t="array" aca="1" ref="V25" ca="1">INDEX(Master!$H$2:'Master'!$H$4384,MATCH($A25&amp;V$2,Master!$A$2:'Master'!$A$4384&amp;Master!$C$2:'Master'!$C$4384,0))</f>
        <v>-2</v>
      </c>
      <c r="W25" s="21" cm="1">
        <f t="array" aca="1" ref="W25" ca="1">INDEX(Master!$H$2:'Master'!$H$4384,MATCH($A25&amp;W$2,Master!$A$2:'Master'!$A$4384&amp;Master!$C$2:'Master'!$C$4384,0))</f>
        <v>0</v>
      </c>
      <c r="X25" s="21" cm="1">
        <f t="array" aca="1" ref="X25" ca="1">INDEX(Master!$H$2:'Master'!$H$4384,MATCH($A25&amp;X$2,Master!$A$2:'Master'!$A$4384&amp;Master!$C$2:'Master'!$C$4384,0))</f>
        <v>-1</v>
      </c>
      <c r="Y25" s="21" cm="1">
        <f t="array" aca="1" ref="Y25" ca="1">INDEX(Master!$H$2:'Master'!$H$4384,MATCH($A25&amp;Y$2,Master!$A$2:'Master'!$A$4384&amp;Master!$C$2:'Master'!$C$4384,0))</f>
        <v>-1</v>
      </c>
      <c r="Z25" s="21" cm="1">
        <f t="array" aca="1" ref="Z25" ca="1">INDEX(Master!$H$2:'Master'!$H$4384,MATCH($A25&amp;Z$2,Master!$A$2:'Master'!$A$4384&amp;Master!$C$2:'Master'!$C$4384,0))</f>
        <v>0</v>
      </c>
      <c r="AA25" s="21" cm="1">
        <f t="array" aca="1" ref="AA25" ca="1">INDEX(Master!$H$2:'Master'!$H$4384,MATCH($A25&amp;AA$2,Master!$A$2:'Master'!$A$4384&amp;Master!$C$2:'Master'!$C$4384,0))</f>
        <v>-1</v>
      </c>
      <c r="AB25" s="21" cm="1">
        <f t="array" aca="1" ref="AB25" ca="1">INDEX(Master!$H$2:'Master'!$H$4384,MATCH($A25&amp;AB$2,Master!$A$2:'Master'!$A$4384&amp;Master!$C$2:'Master'!$C$4384,0))</f>
        <v>2</v>
      </c>
      <c r="AC25" s="21" cm="1">
        <f t="array" aca="1" ref="AC25" ca="1">INDEX(Master!$H$2:'Master'!$H$4384,MATCH($A25&amp;AC$2,Master!$A$2:'Master'!$A$4384&amp;Master!$C$2:'Master'!$C$4384,0))</f>
        <v>1</v>
      </c>
      <c r="AD25" s="21" cm="1">
        <f t="array" aca="1" ref="AD25" ca="1">INDEX(Master!$H$2:'Master'!$H$4384,MATCH($A25&amp;AD$2,Master!$A$2:'Master'!$A$4384&amp;Master!$C$2:'Master'!$C$4384,0))</f>
        <v>3</v>
      </c>
      <c r="AE25" s="21" cm="1">
        <f t="array" aca="1" ref="AE25" ca="1">INDEX(Master!$H$2:'Master'!$H$4384,MATCH($A25&amp;AE$2,Master!$A$2:'Master'!$A$4384&amp;Master!$C$2:'Master'!$C$4384,0))</f>
        <v>1</v>
      </c>
      <c r="AF25" s="21" cm="1">
        <f t="array" aca="1" ref="AF25" ca="1">INDEX(Master!$H$2:'Master'!$H$4384,MATCH($A25&amp;AF$2,Master!$A$2:'Master'!$A$4384&amp;Master!$C$2:'Master'!$C$4384,0))</f>
        <v>1</v>
      </c>
      <c r="AG25" s="21" cm="1">
        <f t="array" aca="1" ref="AG25" ca="1">INDEX(Master!$H$2:'Master'!$H$4384,MATCH($A25&amp;AG$2,Master!$A$2:'Master'!$A$4384&amp;Master!$C$2:'Master'!$C$4384,0))</f>
        <v>0</v>
      </c>
      <c r="AH25" s="21" cm="1">
        <f t="array" aca="1" ref="AH25" ca="1">INDEX(Master!$H$2:'Master'!$H$4384,MATCH($A25&amp;AH$2,Master!$A$2:'Master'!$A$4384&amp;Master!$C$2:'Master'!$C$4384,0))</f>
        <v>3</v>
      </c>
      <c r="AI25" s="21" cm="1">
        <f t="array" aca="1" ref="AI25" ca="1">INDEX(Master!$H$2:'Master'!$H$4384,MATCH($A25&amp;AI$2,Master!$A$2:'Master'!$A$4384&amp;Master!$C$2:'Master'!$C$4384,0))</f>
        <v>3</v>
      </c>
      <c r="AJ25" s="21" cm="1">
        <f t="array" aca="1" ref="AJ25" ca="1">INDEX(Master!$H$2:'Master'!$H$4384,MATCH($A25&amp;AJ$2,Master!$A$2:'Master'!$A$4384&amp;Master!$C$2:'Master'!$C$4384,0))</f>
        <v>3</v>
      </c>
      <c r="AK25" s="21" cm="1">
        <f t="array" aca="1" ref="AK25" ca="1">INDEX(Master!$H$2:'Master'!$H$4384,MATCH($A25&amp;AK$2,Master!$A$2:'Master'!$A$4384&amp;Master!$C$2:'Master'!$C$4384,0))</f>
        <v>1</v>
      </c>
      <c r="AL25" s="21" cm="1">
        <f t="array" aca="1" ref="AL25" ca="1">INDEX(Master!$H$2:'Master'!$H$4384,MATCH($A25&amp;AL$2,Master!$A$2:'Master'!$A$4384&amp;Master!$C$2:'Master'!$C$4384,0))</f>
        <v>2</v>
      </c>
      <c r="AM25" s="21" cm="1">
        <f t="array" aca="1" ref="AM25" ca="1">INDEX(Master!$H$2:'Master'!$H$4384,MATCH($A25&amp;AM$2,Master!$A$2:'Master'!$A$4384&amp;Master!$C$2:'Master'!$C$4384,0))</f>
        <v>0</v>
      </c>
      <c r="AN25" s="21" cm="1">
        <f t="array" aca="1" ref="AN25" ca="1">INDEX(Master!$H$2:'Master'!$H$4384,MATCH($A25&amp;AN$2,Master!$A$2:'Master'!$A$4384&amp;Master!$C$2:'Master'!$C$4384,0))</f>
        <v>1</v>
      </c>
      <c r="AO25" s="21" cm="1">
        <f t="array" aca="1" ref="AO25" ca="1">INDEX(Master!$H$2:'Master'!$H$4384,MATCH($A25&amp;AO$2,Master!$A$2:'Master'!$A$4384&amp;Master!$C$2:'Master'!$C$4384,0))</f>
        <v>-1</v>
      </c>
      <c r="AP25" s="21" cm="1">
        <f t="array" aca="1" ref="AP25" ca="1">INDEX(Master!$H$2:'Master'!$H$4384,MATCH($A25&amp;AP$2,Master!$A$2:'Master'!$A$4384&amp;Master!$C$2:'Master'!$C$4384,0))</f>
        <v>2</v>
      </c>
      <c r="AQ25" s="21" cm="1">
        <f t="array" aca="1" ref="AQ25" ca="1">INDEX(Master!$H$2:'Master'!$H$4384,MATCH($A25&amp;AQ$2,Master!$A$2:'Master'!$A$4384&amp;Master!$C$2:'Master'!$C$4384,0))</f>
        <v>2</v>
      </c>
      <c r="AR25" s="21" cm="1">
        <f t="array" aca="1" ref="AR25" ca="1">INDEX(Master!$H$2:'Master'!$H$4384,MATCH($A25&amp;AR$2,Master!$A$2:'Master'!$A$4384&amp;Master!$C$2:'Master'!$C$4384,0))</f>
        <v>3</v>
      </c>
      <c r="AS25" s="21" cm="1">
        <f t="array" aca="1" ref="AS25" ca="1">INDEX(Master!$H$2:'Master'!$H$4384,MATCH($A25&amp;AS$2,Master!$A$2:'Master'!$A$4384&amp;Master!$C$2:'Master'!$C$4384,0))</f>
        <v>3</v>
      </c>
      <c r="AT25" s="21" cm="1">
        <f t="array" aca="1" ref="AT25" ca="1">INDEX(Master!$H$2:'Master'!$H$4384,MATCH($A25&amp;AT$2,Master!$A$2:'Master'!$A$4384&amp;Master!$C$2:'Master'!$C$4384,0))</f>
        <v>3</v>
      </c>
      <c r="AU25" s="21" cm="1">
        <f t="array" aca="1" ref="AU25" ca="1">INDEX(Master!$H$2:'Master'!$H$4384,MATCH($A25&amp;AU$2,Master!$A$2:'Master'!$A$4384&amp;Master!$C$2:'Master'!$C$4384,0))</f>
        <v>2</v>
      </c>
      <c r="AV25" s="21" cm="1">
        <f t="array" aca="1" ref="AV25" ca="1">INDEX(Master!$H$2:'Master'!$H$4384,MATCH($A25&amp;AV$2,Master!$A$2:'Master'!$A$4384&amp;Master!$C$2:'Master'!$C$4384,0))</f>
        <v>3</v>
      </c>
      <c r="AW25" s="21" cm="1">
        <f t="array" aca="1" ref="AW25" ca="1">INDEX(Master!$H$2:'Master'!$H$4384,MATCH($A25&amp;AW$2,Master!$A$2:'Master'!$A$4384&amp;Master!$C$2:'Master'!$C$4384,0))</f>
        <v>2</v>
      </c>
      <c r="AX25" s="21" cm="1">
        <f t="array" aca="1" ref="AX25" ca="1">INDEX(Master!$H$2:'Master'!$H$4384,MATCH($A25&amp;AX$2,Master!$A$2:'Master'!$A$4384&amp;Master!$C$2:'Master'!$C$4384,0))</f>
        <v>2</v>
      </c>
      <c r="AY25" s="21" cm="1">
        <f t="array" aca="1" ref="AY25" ca="1">INDEX(Master!$H$2:'Master'!$H$4384,MATCH($A25&amp;AY$2,Master!$A$2:'Master'!$A$4384&amp;Master!$C$2:'Master'!$C$4384,0))</f>
        <v>3</v>
      </c>
      <c r="AZ25" s="21" cm="1">
        <f t="array" aca="1" ref="AZ25" ca="1">INDEX(Master!$H$2:'Master'!$H$4384,MATCH($A25&amp;AZ$2,Master!$A$2:'Master'!$A$4384&amp;Master!$C$2:'Master'!$C$4384,0))</f>
        <v>3</v>
      </c>
      <c r="BA25" s="21" cm="1">
        <f t="array" aca="1" ref="BA25" ca="1">INDEX(Master!$H$2:'Master'!$H$4384,MATCH($A25&amp;BA$2,Master!$A$2:'Master'!$A$4384&amp;Master!$C$2:'Master'!$C$4384,0))</f>
        <v>3</v>
      </c>
      <c r="BB25" s="21" cm="1">
        <f t="array" aca="1" ref="BB25" ca="1">INDEX(Master!$H$2:'Master'!$H$4384,MATCH($A25&amp;BB$2,Master!$A$2:'Master'!$A$4384&amp;Master!$C$2:'Master'!$C$4384,0))</f>
        <v>2</v>
      </c>
      <c r="BC25" s="21" cm="1">
        <f t="array" aca="1" ref="BC25" ca="1">INDEX(Master!$H$2:'Master'!$H$4384,MATCH($A25&amp;BC$2,Master!$A$2:'Master'!$A$4384&amp;Master!$C$2:'Master'!$C$4384,0))</f>
        <v>1</v>
      </c>
      <c r="BD25" s="21" cm="1">
        <f t="array" aca="1" ref="BD25" ca="1">INDEX(Master!$H$2:'Master'!$H$4384,MATCH($A25&amp;BD$2,Master!$A$2:'Master'!$A$4384&amp;Master!$C$2:'Master'!$C$4384,0))</f>
        <v>1</v>
      </c>
      <c r="BE25" s="21" cm="1">
        <f t="array" aca="1" ref="BE25" ca="1">INDEX(Master!$H$2:'Master'!$H$4384,MATCH($A25&amp;BE$2,Master!$A$2:'Master'!$A$4384&amp;Master!$C$2:'Master'!$C$4384,0))</f>
        <v>1</v>
      </c>
      <c r="BF25" s="21" cm="1">
        <f t="array" aca="1" ref="BF25" ca="1">INDEX(Master!$H$2:'Master'!$H$4384,MATCH($A25&amp;BF$2,Master!$A$2:'Master'!$A$4384&amp;Master!$C$2:'Master'!$C$4384,0))</f>
        <v>0</v>
      </c>
      <c r="BG25" s="21" cm="1">
        <f t="array" aca="1" ref="BG25" ca="1">INDEX(Master!$H$2:'Master'!$H$4384,MATCH($A25&amp;BG$2,Master!$A$2:'Master'!$A$4384&amp;Master!$C$2:'Master'!$C$4384,0))</f>
        <v>-3</v>
      </c>
      <c r="BH25" s="21" cm="1">
        <f t="array" aca="1" ref="BH25" ca="1">INDEX(Master!$H$2:'Master'!$H$4384,MATCH($A25&amp;BH$2,Master!$A$2:'Master'!$A$4384&amp;Master!$C$2:'Master'!$C$4384,0))</f>
        <v>-2</v>
      </c>
      <c r="BI25" s="21" cm="1">
        <f t="array" aca="1" ref="BI25" ca="1">INDEX(Master!$H$2:'Master'!$H$4384,MATCH($A25&amp;BI$2,Master!$A$2:'Master'!$A$4384&amp;Master!$C$2:'Master'!$C$4384,0))</f>
        <v>-2</v>
      </c>
      <c r="BJ25" s="21" cm="1">
        <f t="array" aca="1" ref="BJ25" ca="1">INDEX(Master!$H$2:'Master'!$H$4384,MATCH($A25&amp;BJ$2,Master!$A$2:'Master'!$A$4384&amp;Master!$C$2:'Master'!$C$4384,0))</f>
        <v>-2</v>
      </c>
      <c r="BK25" s="21" cm="1">
        <f t="array" aca="1" ref="BK25" ca="1">INDEX(Master!$H$2:'Master'!$H$4384,MATCH($A25&amp;BK$2,Master!$A$2:'Master'!$A$4384&amp;Master!$C$2:'Master'!$C$4384,0))</f>
        <v>0</v>
      </c>
      <c r="BL25" s="21" cm="1">
        <f t="array" aca="1" ref="BL25" ca="1">INDEX(Master!$H$2:'Master'!$H$4384,MATCH($A25&amp;BL$2,Master!$A$2:'Master'!$A$4384&amp;Master!$C$2:'Master'!$C$4384,0))</f>
        <v>0</v>
      </c>
      <c r="BM25" s="21" cm="1">
        <f t="array" aca="1" ref="BM25" ca="1">INDEX(Master!$H$2:'Master'!$H$4384,MATCH($A25&amp;BM$2,Master!$A$2:'Master'!$A$4384&amp;Master!$C$2:'Master'!$C$4384,0))</f>
        <v>-2</v>
      </c>
      <c r="BN25" s="21" cm="1">
        <f t="array" aca="1" ref="BN25" ca="1">INDEX(Master!$H$2:'Master'!$H$4384,MATCH($A25&amp;BN$2,Master!$A$2:'Master'!$A$4384&amp;Master!$C$2:'Master'!$C$4384,0))</f>
        <v>-2</v>
      </c>
      <c r="BO25" s="21" cm="1">
        <f t="array" aca="1" ref="BO25" ca="1">INDEX(Master!$H$2:'Master'!$H$4384,MATCH($A25&amp;BO$2,Master!$A$2:'Master'!$A$4384&amp;Master!$C$2:'Master'!$C$4384,0))</f>
        <v>-3</v>
      </c>
      <c r="BP25" s="21" cm="1">
        <f t="array" aca="1" ref="BP25" ca="1">INDEX(Master!$H$2:'Master'!$H$4384,MATCH($A25&amp;BP$2,Master!$A$2:'Master'!$A$4384&amp;Master!$C$2:'Master'!$C$4384,0))</f>
        <v>-2</v>
      </c>
      <c r="BQ25" s="21" cm="1">
        <f t="array" aca="1" ref="BQ25" ca="1">INDEX(Master!$H$2:'Master'!$H$4384,MATCH($A25&amp;BQ$2,Master!$A$2:'Master'!$A$4384&amp;Master!$C$2:'Master'!$C$4384,0))</f>
        <v>-3</v>
      </c>
      <c r="BR25" s="21" cm="1">
        <f t="array" aca="1" ref="BR25" ca="1">INDEX(Master!$H$2:'Master'!$H$4384,MATCH($A25&amp;BR$2,Master!$A$2:'Master'!$A$4384&amp;Master!$C$2:'Master'!$C$4384,0))</f>
        <v>-3</v>
      </c>
      <c r="BS25" s="21" cm="1">
        <f t="array" aca="1" ref="BS25" ca="1">INDEX(Master!$H$2:'Master'!$H$4384,MATCH($A25&amp;BS$2,Master!$A$2:'Master'!$A$4384&amp;Master!$C$2:'Master'!$C$4384,0))</f>
        <v>-2</v>
      </c>
      <c r="BT25" s="21" cm="1">
        <f t="array" aca="1" ref="BT25" ca="1">INDEX(Master!$H$2:'Master'!$H$4384,MATCH($A25&amp;BT$2,Master!$A$2:'Master'!$A$4384&amp;Master!$C$2:'Master'!$C$4384,0))</f>
        <v>-1</v>
      </c>
      <c r="BU25" s="21" cm="1">
        <f t="array" aca="1" ref="BU25" ca="1">INDEX(Master!$H$2:'Master'!$H$4384,MATCH($A25&amp;BU$2,Master!$A$2:'Master'!$A$4384&amp;Master!$C$2:'Master'!$C$4384,0))</f>
        <v>-1</v>
      </c>
      <c r="BV25" s="21" cm="1">
        <f t="array" aca="1" ref="BV25" ca="1">INDEX(Master!$H$2:'Master'!$H$4384,MATCH($A25&amp;BV$2,Master!$A$2:'Master'!$A$4384&amp;Master!$C$2:'Master'!$C$4384,0))</f>
        <v>0</v>
      </c>
      <c r="BW25" s="21" cm="1">
        <f t="array" aca="1" ref="BW25" ca="1">INDEX(Master!$H$2:'Master'!$H$4384,MATCH($A25&amp;BW$2,Master!$A$2:'Master'!$A$4384&amp;Master!$C$2:'Master'!$C$4384,0))</f>
        <v>0</v>
      </c>
      <c r="BX25" s="21" cm="1">
        <f t="array" aca="1" ref="BX25" ca="1">INDEX(Master!$H$2:'Master'!$H$4384,MATCH($A25&amp;BX$2,Master!$A$2:'Master'!$A$4384&amp;Master!$C$2:'Master'!$C$4384,0))</f>
        <v>-3</v>
      </c>
      <c r="BY25" s="21" cm="1">
        <f t="array" aca="1" ref="BY25" ca="1">INDEX(Master!$H$2:'Master'!$H$4384,MATCH($A25&amp;BY$2,Master!$A$2:'Master'!$A$4384&amp;Master!$C$2:'Master'!$C$4384,0))</f>
        <v>-2</v>
      </c>
      <c r="BZ25" s="21" cm="1">
        <f t="array" aca="1" ref="BZ25" ca="1">INDEX(Master!$H$2:'Master'!$H$4384,MATCH($A25&amp;BZ$2,Master!$A$2:'Master'!$A$4384&amp;Master!$C$2:'Master'!$C$4384,0))</f>
        <v>-2</v>
      </c>
      <c r="CA25" s="21" cm="1">
        <f t="array" aca="1" ref="CA25" ca="1">INDEX(Master!$H$2:'Master'!$H$4384,MATCH($A25&amp;CA$2,Master!$A$2:'Master'!$A$4384&amp;Master!$C$2:'Master'!$C$4384,0))</f>
        <v>-2</v>
      </c>
      <c r="CB25" s="21" cm="1">
        <f t="array" aca="1" ref="CB25" ca="1">INDEX(Master!$H$2:'Master'!$H$4384,MATCH($A25&amp;CB$2,Master!$A$2:'Master'!$A$4384&amp;Master!$C$2:'Master'!$C$4384,0))</f>
        <v>0</v>
      </c>
      <c r="CC25" s="21" cm="1">
        <f t="array" aca="1" ref="CC25" ca="1">INDEX(Master!$H$2:'Master'!$H$4384,MATCH($A25&amp;CC$2,Master!$A$2:'Master'!$A$4384&amp;Master!$C$2:'Master'!$C$4384,0))</f>
        <v>0</v>
      </c>
      <c r="CD25" s="21" cm="1">
        <f t="array" aca="1" ref="CD25" ca="1">INDEX(Master!$H$2:'Master'!$H$4384,MATCH($A25&amp;CD$2,Master!$A$2:'Master'!$A$4384&amp;Master!$C$2:'Master'!$C$4384,0))</f>
        <v>-2</v>
      </c>
      <c r="CE25" s="21" cm="1">
        <f t="array" aca="1" ref="CE25" ca="1">INDEX(Master!$H$2:'Master'!$H$4384,MATCH($A25&amp;CE$2,Master!$A$2:'Master'!$A$4384&amp;Master!$C$2:'Master'!$C$4384,0))</f>
        <v>-1</v>
      </c>
      <c r="CF25" s="21" cm="1">
        <f t="array" aca="1" ref="CF25" ca="1">INDEX(Master!$H$2:'Master'!$H$4384,MATCH($A25&amp;CF$2,Master!$A$2:'Master'!$A$4384&amp;Master!$C$2:'Master'!$C$4384,0))</f>
        <v>-1</v>
      </c>
      <c r="CG25" s="21" cm="1">
        <f t="array" aca="1" ref="CG25" ca="1">INDEX(Master!$H$2:'Master'!$H$4384,MATCH($A25&amp;CG$2,Master!$A$2:'Master'!$A$4384&amp;Master!$C$2:'Master'!$C$4384,0))</f>
        <v>0</v>
      </c>
      <c r="CH25" s="21" cm="1">
        <f t="array" aca="1" ref="CH25" ca="1">INDEX(Master!$H$2:'Master'!$H$4384,MATCH($A25&amp;CH$2,Master!$A$2:'Master'!$A$4384&amp;Master!$C$2:'Master'!$C$4384,0))</f>
        <v>-2</v>
      </c>
      <c r="CI25" s="21" cm="1">
        <f t="array" aca="1" ref="CI25" ca="1">INDEX(Master!$H$2:'Master'!$H$4384,MATCH($A25&amp;CI$2,Master!$A$2:'Master'!$A$4384&amp;Master!$C$2:'Master'!$C$4384,0))</f>
        <v>-2</v>
      </c>
      <c r="CJ25" s="21" cm="1">
        <f t="array" aca="1" ref="CJ25" ca="1">INDEX(Master!$H$2:'Master'!$H$4384,MATCH($A25&amp;CJ$2,Master!$A$2:'Master'!$A$4384&amp;Master!$C$2:'Master'!$C$4384,0))</f>
        <v>-3</v>
      </c>
      <c r="CK25" s="21" cm="1">
        <f t="array" aca="1" ref="CK25" ca="1">INDEX(Master!$H$2:'Master'!$H$4384,MATCH($A25&amp;CK$2,Master!$A$2:'Master'!$A$4384&amp;Master!$C$2:'Master'!$C$4384,0))</f>
        <v>2</v>
      </c>
      <c r="CL25" s="21" cm="1">
        <f t="array" aca="1" ref="CL25" ca="1">INDEX(Master!$H$2:'Master'!$H$4384,MATCH($A25&amp;CL$2,Master!$A$2:'Master'!$A$4384&amp;Master!$C$2:'Master'!$C$4384,0))</f>
        <v>3</v>
      </c>
      <c r="CM25" s="21" cm="1">
        <f t="array" aca="1" ref="CM25" ca="1">INDEX(Master!$H$2:'Master'!$H$4384,MATCH($A25&amp;CM$2,Master!$A$2:'Master'!$A$4384&amp;Master!$C$2:'Master'!$C$4384,0))</f>
        <v>3</v>
      </c>
      <c r="CN25" s="21" cm="1">
        <f t="array" aca="1" ref="CN25" ca="1">INDEX(Master!$H$2:'Master'!$H$4384,MATCH($A25&amp;CN$2,Master!$A$2:'Master'!$A$4384&amp;Master!$C$2:'Master'!$C$4384,0))</f>
        <v>2</v>
      </c>
      <c r="CO25" s="21" cm="1">
        <f t="array" aca="1" ref="CO25" ca="1">INDEX(Master!$H$2:'Master'!$H$4384,MATCH($A25&amp;CO$2,Master!$A$2:'Master'!$A$4384&amp;Master!$C$2:'Master'!$C$4384,0))</f>
        <v>3</v>
      </c>
      <c r="CP25" s="21" cm="1">
        <f t="array" aca="1" ref="CP25" ca="1">INDEX(Master!$H$2:'Master'!$H$4384,MATCH($A25&amp;CP$2,Master!$A$2:'Master'!$A$4384&amp;Master!$C$2:'Master'!$C$4384,0))</f>
        <v>2</v>
      </c>
      <c r="CQ25" s="21" cm="1">
        <f t="array" aca="1" ref="CQ25" ca="1">INDEX(Master!$H$2:'Master'!$H$4384,MATCH($A25&amp;CQ$2,Master!$A$2:'Master'!$A$4384&amp;Master!$C$2:'Master'!$C$4384,0))</f>
        <v>2</v>
      </c>
      <c r="CR25" s="21" cm="1">
        <f t="array" aca="1" ref="CR25" ca="1">INDEX(Master!$H$2:'Master'!$H$4384,MATCH($A25&amp;CR$2,Master!$A$2:'Master'!$A$4384&amp;Master!$C$2:'Master'!$C$4384,0))</f>
        <v>2</v>
      </c>
      <c r="CS25" s="21" cm="1">
        <f t="array" aca="1" ref="CS25" ca="1">INDEX(Master!$H$2:'Master'!$H$4384,MATCH($A25&amp;CS$2,Master!$A$2:'Master'!$A$4384&amp;Master!$C$2:'Master'!$C$4384,0))</f>
        <v>3</v>
      </c>
    </row>
    <row r="26" spans="1:97">
      <c r="A26" s="22" t="str">
        <f>VLOOKUP(Staff!$A23,Staff!$A$1:A$73,1,FALSE)</f>
        <v>Alec Hardy</v>
      </c>
      <c r="B26" s="21" cm="1">
        <f t="array" aca="1" ref="B26" ca="1">INDEX(Master!$H$2:'Master'!$H$4384,MATCH($A26&amp;B$2,Master!$A$2:'Master'!$A$4384&amp;Master!$C$2:'Master'!$C$4384,0))</f>
        <v>-3</v>
      </c>
      <c r="C26" s="21" cm="1">
        <f t="array" aca="1" ref="C26" ca="1">INDEX(Master!$H$2:'Master'!$H$4384,MATCH($A26&amp;C$2,Master!$A$2:'Master'!$A$4384&amp;Master!$C$2:'Master'!$C$4384,0))</f>
        <v>-2</v>
      </c>
      <c r="D26" s="21" cm="1">
        <f t="array" aca="1" ref="D26" ca="1">INDEX(Master!$H$2:'Master'!$H$4384,MATCH($A26&amp;D$2,Master!$A$2:'Master'!$A$4384&amp;Master!$C$2:'Master'!$C$4384,0))</f>
        <v>-3</v>
      </c>
      <c r="E26" s="21" cm="1">
        <f t="array" aca="1" ref="E26" ca="1">INDEX(Master!$H$2:'Master'!$H$4384,MATCH($A26&amp;E$2,Master!$A$2:'Master'!$A$4384&amp;Master!$C$2:'Master'!$C$4384,0))</f>
        <v>1</v>
      </c>
      <c r="F26" s="21" cm="1">
        <f t="array" aca="1" ref="F26" ca="1">INDEX(Master!$H$2:'Master'!$H$4384,MATCH($A26&amp;F$2,Master!$A$2:'Master'!$A$4384&amp;Master!$C$2:'Master'!$C$4384,0))</f>
        <v>0</v>
      </c>
      <c r="G26" s="21" cm="1">
        <f t="array" aca="1" ref="G26" ca="1">INDEX(Master!$H$2:'Master'!$H$4384,MATCH($A26&amp;G$2,Master!$A$2:'Master'!$A$4384&amp;Master!$C$2:'Master'!$C$4384,0))</f>
        <v>-1</v>
      </c>
      <c r="H26" s="21" cm="1">
        <f t="array" aca="1" ref="H26" ca="1">INDEX(Master!$H$2:'Master'!$H$4384,MATCH($A26&amp;H$2,Master!$A$2:'Master'!$A$4384&amp;Master!$C$2:'Master'!$C$4384,0))</f>
        <v>-1</v>
      </c>
      <c r="I26" s="21" cm="1">
        <f t="array" aca="1" ref="I26" ca="1">INDEX(Master!$H$2:'Master'!$H$4384,MATCH($A26&amp;I$2,Master!$A$2:'Master'!$A$4384&amp;Master!$C$2:'Master'!$C$4384,0))</f>
        <v>-1</v>
      </c>
      <c r="J26" s="21" cm="1">
        <f t="array" aca="1" ref="J26" ca="1">INDEX(Master!$H$2:'Master'!$H$4384,MATCH($A26&amp;J$2,Master!$A$2:'Master'!$A$4384&amp;Master!$C$2:'Master'!$C$4384,0))</f>
        <v>-2</v>
      </c>
      <c r="K26" s="21" cm="1">
        <f t="array" aca="1" ref="K26" ca="1">INDEX(Master!$H$2:'Master'!$H$4384,MATCH($A26&amp;K$2,Master!$A$2:'Master'!$A$4384&amp;Master!$C$2:'Master'!$C$4384,0))</f>
        <v>-1</v>
      </c>
      <c r="L26" s="21" cm="1">
        <f t="array" aca="1" ref="L26" ca="1">INDEX(Master!$H$2:'Master'!$H$4384,MATCH($A26&amp;L$2,Master!$A$2:'Master'!$A$4384&amp;Master!$C$2:'Master'!$C$4384,0))</f>
        <v>-2</v>
      </c>
      <c r="M26" s="21" cm="1">
        <f t="array" aca="1" ref="M26" ca="1">INDEX(Master!$H$2:'Master'!$H$4384,MATCH($A26&amp;M$2,Master!$A$2:'Master'!$A$4384&amp;Master!$C$2:'Master'!$C$4384,0))</f>
        <v>0</v>
      </c>
      <c r="N26" s="21" cm="1">
        <f t="array" aca="1" ref="N26" ca="1">INDEX(Master!$H$2:'Master'!$H$4384,MATCH($A26&amp;N$2,Master!$A$2:'Master'!$A$4384&amp;Master!$C$2:'Master'!$C$4384,0))</f>
        <v>-2</v>
      </c>
      <c r="O26" s="21" cm="1">
        <f t="array" aca="1" ref="O26" ca="1">INDEX(Master!$H$2:'Master'!$H$4384,MATCH($A26&amp;O$2,Master!$A$2:'Master'!$A$4384&amp;Master!$C$2:'Master'!$C$4384,0))</f>
        <v>0</v>
      </c>
      <c r="P26" s="21" cm="1">
        <f t="array" aca="1" ref="P26" ca="1">INDEX(Master!$H$2:'Master'!$H$4384,MATCH($A26&amp;P$2,Master!$A$2:'Master'!$A$4384&amp;Master!$C$2:'Master'!$C$4384,0))</f>
        <v>-1</v>
      </c>
      <c r="Q26" s="21" cm="1">
        <f t="array" aca="1" ref="Q26" ca="1">INDEX(Master!$H$2:'Master'!$H$4384,MATCH($A26&amp;Q$2,Master!$A$2:'Master'!$A$4384&amp;Master!$C$2:'Master'!$C$4384,0))</f>
        <v>1</v>
      </c>
      <c r="R26" s="21" cm="1">
        <f t="array" aca="1" ref="R26" ca="1">INDEX(Master!$H$2:'Master'!$H$4384,MATCH($A26&amp;R$2,Master!$A$2:'Master'!$A$4384&amp;Master!$C$2:'Master'!$C$4384,0))</f>
        <v>1</v>
      </c>
      <c r="S26" s="21" cm="1">
        <f t="array" aca="1" ref="S26" ca="1">INDEX(Master!$H$2:'Master'!$H$4384,MATCH($A26&amp;S$2,Master!$A$2:'Master'!$A$4384&amp;Master!$C$2:'Master'!$C$4384,0))</f>
        <v>-1</v>
      </c>
      <c r="T26" s="21" cm="1">
        <f t="array" aca="1" ref="T26" ca="1">INDEX(Master!$H$2:'Master'!$H$4384,MATCH($A26&amp;T$2,Master!$A$2:'Master'!$A$4384&amp;Master!$C$2:'Master'!$C$4384,0))</f>
        <v>-3</v>
      </c>
      <c r="U26" s="21" cm="1">
        <f t="array" aca="1" ref="U26" ca="1">INDEX(Master!$H$2:'Master'!$H$4384,MATCH($A26&amp;U$2,Master!$A$2:'Master'!$A$4384&amp;Master!$C$2:'Master'!$C$4384,0))</f>
        <v>-1</v>
      </c>
      <c r="V26" s="21" cm="1">
        <f t="array" aca="1" ref="V26" ca="1">INDEX(Master!$H$2:'Master'!$H$4384,MATCH($A26&amp;V$2,Master!$A$2:'Master'!$A$4384&amp;Master!$C$2:'Master'!$C$4384,0))</f>
        <v>3</v>
      </c>
      <c r="W26" s="21" cm="1">
        <f t="array" aca="1" ref="W26" ca="1">INDEX(Master!$H$2:'Master'!$H$4384,MATCH($A26&amp;W$2,Master!$A$2:'Master'!$A$4384&amp;Master!$C$2:'Master'!$C$4384,0))</f>
        <v>1</v>
      </c>
      <c r="X26" s="21" cm="1">
        <f t="array" aca="1" ref="X26" ca="1">INDEX(Master!$H$2:'Master'!$H$4384,MATCH($A26&amp;X$2,Master!$A$2:'Master'!$A$4384&amp;Master!$C$2:'Master'!$C$4384,0))</f>
        <v>-2</v>
      </c>
      <c r="Y26" s="21" cm="1">
        <f t="array" aca="1" ref="Y26" ca="1">INDEX(Master!$H$2:'Master'!$H$4384,MATCH($A26&amp;Y$2,Master!$A$2:'Master'!$A$4384&amp;Master!$C$2:'Master'!$C$4384,0))</f>
        <v>1</v>
      </c>
      <c r="Z26" s="21" cm="1">
        <f t="array" aca="1" ref="Z26" ca="1">INDEX(Master!$H$2:'Master'!$H$4384,MATCH($A26&amp;Z$2,Master!$A$2:'Master'!$A$4384&amp;Master!$C$2:'Master'!$C$4384,0))</f>
        <v>3</v>
      </c>
      <c r="AA26" s="21" cm="1">
        <f t="array" aca="1" ref="AA26" ca="1">INDEX(Master!$H$2:'Master'!$H$4384,MATCH($A26&amp;AA$2,Master!$A$2:'Master'!$A$4384&amp;Master!$C$2:'Master'!$C$4384,0))</f>
        <v>2</v>
      </c>
      <c r="AB26" s="21" cm="1">
        <f t="array" aca="1" ref="AB26" ca="1">INDEX(Master!$H$2:'Master'!$H$4384,MATCH($A26&amp;AB$2,Master!$A$2:'Master'!$A$4384&amp;Master!$C$2:'Master'!$C$4384,0))</f>
        <v>2</v>
      </c>
      <c r="AC26" s="21" cm="1">
        <f t="array" aca="1" ref="AC26" ca="1">INDEX(Master!$H$2:'Master'!$H$4384,MATCH($A26&amp;AC$2,Master!$A$2:'Master'!$A$4384&amp;Master!$C$2:'Master'!$C$4384,0))</f>
        <v>2</v>
      </c>
      <c r="AD26" s="21" cm="1">
        <f t="array" aca="1" ref="AD26" ca="1">INDEX(Master!$H$2:'Master'!$H$4384,MATCH($A26&amp;AD$2,Master!$A$2:'Master'!$A$4384&amp;Master!$C$2:'Master'!$C$4384,0))</f>
        <v>2</v>
      </c>
      <c r="AE26" s="21" cm="1">
        <f t="array" aca="1" ref="AE26" ca="1">INDEX(Master!$H$2:'Master'!$H$4384,MATCH($A26&amp;AE$2,Master!$A$2:'Master'!$A$4384&amp;Master!$C$2:'Master'!$C$4384,0))</f>
        <v>0</v>
      </c>
      <c r="AF26" s="21" cm="1">
        <f t="array" aca="1" ref="AF26" ca="1">INDEX(Master!$H$2:'Master'!$H$4384,MATCH($A26&amp;AF$2,Master!$A$2:'Master'!$A$4384&amp;Master!$C$2:'Master'!$C$4384,0))</f>
        <v>1</v>
      </c>
      <c r="AG26" s="21" cm="1">
        <f t="array" aca="1" ref="AG26" ca="1">INDEX(Master!$H$2:'Master'!$H$4384,MATCH($A26&amp;AG$2,Master!$A$2:'Master'!$A$4384&amp;Master!$C$2:'Master'!$C$4384,0))</f>
        <v>0</v>
      </c>
      <c r="AH26" s="21" cm="1">
        <f t="array" aca="1" ref="AH26" ca="1">INDEX(Master!$H$2:'Master'!$H$4384,MATCH($A26&amp;AH$2,Master!$A$2:'Master'!$A$4384&amp;Master!$C$2:'Master'!$C$4384,0))</f>
        <v>2</v>
      </c>
      <c r="AI26" s="21" cm="1">
        <f t="array" aca="1" ref="AI26" ca="1">INDEX(Master!$H$2:'Master'!$H$4384,MATCH($A26&amp;AI$2,Master!$A$2:'Master'!$A$4384&amp;Master!$C$2:'Master'!$C$4384,0))</f>
        <v>2</v>
      </c>
      <c r="AJ26" s="21" cm="1">
        <f t="array" aca="1" ref="AJ26" ca="1">INDEX(Master!$H$2:'Master'!$H$4384,MATCH($A26&amp;AJ$2,Master!$A$2:'Master'!$A$4384&amp;Master!$C$2:'Master'!$C$4384,0))</f>
        <v>1</v>
      </c>
      <c r="AK26" s="21" cm="1">
        <f t="array" aca="1" ref="AK26" ca="1">INDEX(Master!$H$2:'Master'!$H$4384,MATCH($A26&amp;AK$2,Master!$A$2:'Master'!$A$4384&amp;Master!$C$2:'Master'!$C$4384,0))</f>
        <v>0</v>
      </c>
      <c r="AL26" s="21" cm="1">
        <f t="array" aca="1" ref="AL26" ca="1">INDEX(Master!$H$2:'Master'!$H$4384,MATCH($A26&amp;AL$2,Master!$A$2:'Master'!$A$4384&amp;Master!$C$2:'Master'!$C$4384,0))</f>
        <v>0</v>
      </c>
      <c r="AM26" s="21" cm="1">
        <f t="array" aca="1" ref="AM26" ca="1">INDEX(Master!$H$2:'Master'!$H$4384,MATCH($A26&amp;AM$2,Master!$A$2:'Master'!$A$4384&amp;Master!$C$2:'Master'!$C$4384,0))</f>
        <v>0</v>
      </c>
      <c r="AN26" s="21" cm="1">
        <f t="array" aca="1" ref="AN26" ca="1">INDEX(Master!$H$2:'Master'!$H$4384,MATCH($A26&amp;AN$2,Master!$A$2:'Master'!$A$4384&amp;Master!$C$2:'Master'!$C$4384,0))</f>
        <v>3</v>
      </c>
      <c r="AO26" s="21" cm="1">
        <f t="array" aca="1" ref="AO26" ca="1">INDEX(Master!$H$2:'Master'!$H$4384,MATCH($A26&amp;AO$2,Master!$A$2:'Master'!$A$4384&amp;Master!$C$2:'Master'!$C$4384,0))</f>
        <v>-2</v>
      </c>
      <c r="AP26" s="21" cm="1">
        <f t="array" aca="1" ref="AP26" ca="1">INDEX(Master!$H$2:'Master'!$H$4384,MATCH($A26&amp;AP$2,Master!$A$2:'Master'!$A$4384&amp;Master!$C$2:'Master'!$C$4384,0))</f>
        <v>3</v>
      </c>
      <c r="AQ26" s="21" cm="1">
        <f t="array" aca="1" ref="AQ26" ca="1">INDEX(Master!$H$2:'Master'!$H$4384,MATCH($A26&amp;AQ$2,Master!$A$2:'Master'!$A$4384&amp;Master!$C$2:'Master'!$C$4384,0))</f>
        <v>1</v>
      </c>
      <c r="AR26" s="21" cm="1">
        <f t="array" aca="1" ref="AR26" ca="1">INDEX(Master!$H$2:'Master'!$H$4384,MATCH($A26&amp;AR$2,Master!$A$2:'Master'!$A$4384&amp;Master!$C$2:'Master'!$C$4384,0))</f>
        <v>3</v>
      </c>
      <c r="AS26" s="21" cm="1">
        <f t="array" aca="1" ref="AS26" ca="1">INDEX(Master!$H$2:'Master'!$H$4384,MATCH($A26&amp;AS$2,Master!$A$2:'Master'!$A$4384&amp;Master!$C$2:'Master'!$C$4384,0))</f>
        <v>3</v>
      </c>
      <c r="AT26" s="21" cm="1">
        <f t="array" aca="1" ref="AT26" ca="1">INDEX(Master!$H$2:'Master'!$H$4384,MATCH($A26&amp;AT$2,Master!$A$2:'Master'!$A$4384&amp;Master!$C$2:'Master'!$C$4384,0))</f>
        <v>-1</v>
      </c>
      <c r="AU26" s="21" cm="1">
        <f t="array" aca="1" ref="AU26" ca="1">INDEX(Master!$H$2:'Master'!$H$4384,MATCH($A26&amp;AU$2,Master!$A$2:'Master'!$A$4384&amp;Master!$C$2:'Master'!$C$4384,0))</f>
        <v>3</v>
      </c>
      <c r="AV26" s="21" cm="1">
        <f t="array" aca="1" ref="AV26" ca="1">INDEX(Master!$H$2:'Master'!$H$4384,MATCH($A26&amp;AV$2,Master!$A$2:'Master'!$A$4384&amp;Master!$C$2:'Master'!$C$4384,0))</f>
        <v>2</v>
      </c>
      <c r="AW26" s="21" cm="1">
        <f t="array" aca="1" ref="AW26" ca="1">INDEX(Master!$H$2:'Master'!$H$4384,MATCH($A26&amp;AW$2,Master!$A$2:'Master'!$A$4384&amp;Master!$C$2:'Master'!$C$4384,0))</f>
        <v>0</v>
      </c>
      <c r="AX26" s="21" cm="1">
        <f t="array" aca="1" ref="AX26" ca="1">INDEX(Master!$H$2:'Master'!$H$4384,MATCH($A26&amp;AX$2,Master!$A$2:'Master'!$A$4384&amp;Master!$C$2:'Master'!$C$4384,0))</f>
        <v>-1</v>
      </c>
      <c r="AY26" s="21" cm="1">
        <f t="array" aca="1" ref="AY26" ca="1">INDEX(Master!$H$2:'Master'!$H$4384,MATCH($A26&amp;AY$2,Master!$A$2:'Master'!$A$4384&amp;Master!$C$2:'Master'!$C$4384,0))</f>
        <v>3</v>
      </c>
      <c r="AZ26" s="21" cm="1">
        <f t="array" aca="1" ref="AZ26" ca="1">INDEX(Master!$H$2:'Master'!$H$4384,MATCH($A26&amp;AZ$2,Master!$A$2:'Master'!$A$4384&amp;Master!$C$2:'Master'!$C$4384,0))</f>
        <v>1</v>
      </c>
      <c r="BA26" s="21" cm="1">
        <f t="array" aca="1" ref="BA26" ca="1">INDEX(Master!$H$2:'Master'!$H$4384,MATCH($A26&amp;BA$2,Master!$A$2:'Master'!$A$4384&amp;Master!$C$2:'Master'!$C$4384,0))</f>
        <v>0</v>
      </c>
      <c r="BB26" s="21" cm="1">
        <f t="array" aca="1" ref="BB26" ca="1">INDEX(Master!$H$2:'Master'!$H$4384,MATCH($A26&amp;BB$2,Master!$A$2:'Master'!$A$4384&amp;Master!$C$2:'Master'!$C$4384,0))</f>
        <v>1</v>
      </c>
      <c r="BC26" s="21" cm="1">
        <f t="array" aca="1" ref="BC26" ca="1">INDEX(Master!$H$2:'Master'!$H$4384,MATCH($A26&amp;BC$2,Master!$A$2:'Master'!$A$4384&amp;Master!$C$2:'Master'!$C$4384,0))</f>
        <v>2</v>
      </c>
      <c r="BD26" s="21" cm="1">
        <f t="array" aca="1" ref="BD26" ca="1">INDEX(Master!$H$2:'Master'!$H$4384,MATCH($A26&amp;BD$2,Master!$A$2:'Master'!$A$4384&amp;Master!$C$2:'Master'!$C$4384,0))</f>
        <v>-1</v>
      </c>
      <c r="BE26" s="21" cm="1">
        <f t="array" aca="1" ref="BE26" ca="1">INDEX(Master!$H$2:'Master'!$H$4384,MATCH($A26&amp;BE$2,Master!$A$2:'Master'!$A$4384&amp;Master!$C$2:'Master'!$C$4384,0))</f>
        <v>0</v>
      </c>
      <c r="BF26" s="21" cm="1">
        <f t="array" aca="1" ref="BF26" ca="1">INDEX(Master!$H$2:'Master'!$H$4384,MATCH($A26&amp;BF$2,Master!$A$2:'Master'!$A$4384&amp;Master!$C$2:'Master'!$C$4384,0))</f>
        <v>0</v>
      </c>
      <c r="BG26" s="21" cm="1">
        <f t="array" aca="1" ref="BG26" ca="1">INDEX(Master!$H$2:'Master'!$H$4384,MATCH($A26&amp;BG$2,Master!$A$2:'Master'!$A$4384&amp;Master!$C$2:'Master'!$C$4384,0))</f>
        <v>0</v>
      </c>
      <c r="BH26" s="21" cm="1">
        <f t="array" aca="1" ref="BH26" ca="1">INDEX(Master!$H$2:'Master'!$H$4384,MATCH($A26&amp;BH$2,Master!$A$2:'Master'!$A$4384&amp;Master!$C$2:'Master'!$C$4384,0))</f>
        <v>1</v>
      </c>
      <c r="BI26" s="21" cm="1">
        <f t="array" aca="1" ref="BI26" ca="1">INDEX(Master!$H$2:'Master'!$H$4384,MATCH($A26&amp;BI$2,Master!$A$2:'Master'!$A$4384&amp;Master!$C$2:'Master'!$C$4384,0))</f>
        <v>0</v>
      </c>
      <c r="BJ26" s="21" cm="1">
        <f t="array" aca="1" ref="BJ26" ca="1">INDEX(Master!$H$2:'Master'!$H$4384,MATCH($A26&amp;BJ$2,Master!$A$2:'Master'!$A$4384&amp;Master!$C$2:'Master'!$C$4384,0))</f>
        <v>2</v>
      </c>
      <c r="BK26" s="21" cm="1">
        <f t="array" aca="1" ref="BK26" ca="1">INDEX(Master!$H$2:'Master'!$H$4384,MATCH($A26&amp;BK$2,Master!$A$2:'Master'!$A$4384&amp;Master!$C$2:'Master'!$C$4384,0))</f>
        <v>0</v>
      </c>
      <c r="BL26" s="21" cm="1">
        <f t="array" aca="1" ref="BL26" ca="1">INDEX(Master!$H$2:'Master'!$H$4384,MATCH($A26&amp;BL$2,Master!$A$2:'Master'!$A$4384&amp;Master!$C$2:'Master'!$C$4384,0))</f>
        <v>0</v>
      </c>
      <c r="BM26" s="21" cm="1">
        <f t="array" aca="1" ref="BM26" ca="1">INDEX(Master!$H$2:'Master'!$H$4384,MATCH($A26&amp;BM$2,Master!$A$2:'Master'!$A$4384&amp;Master!$C$2:'Master'!$C$4384,0))</f>
        <v>0</v>
      </c>
      <c r="BN26" s="21" cm="1">
        <f t="array" aca="1" ref="BN26" ca="1">INDEX(Master!$H$2:'Master'!$H$4384,MATCH($A26&amp;BN$2,Master!$A$2:'Master'!$A$4384&amp;Master!$C$2:'Master'!$C$4384,0))</f>
        <v>-2</v>
      </c>
      <c r="BO26" s="21" cm="1">
        <f t="array" aca="1" ref="BO26" ca="1">INDEX(Master!$H$2:'Master'!$H$4384,MATCH($A26&amp;BO$2,Master!$A$2:'Master'!$A$4384&amp;Master!$C$2:'Master'!$C$4384,0))</f>
        <v>-2</v>
      </c>
      <c r="BP26" s="21" cm="1">
        <f t="array" aca="1" ref="BP26" ca="1">INDEX(Master!$H$2:'Master'!$H$4384,MATCH($A26&amp;BP$2,Master!$A$2:'Master'!$A$4384&amp;Master!$C$2:'Master'!$C$4384,0))</f>
        <v>-2</v>
      </c>
      <c r="BQ26" s="21" cm="1">
        <f t="array" aca="1" ref="BQ26" ca="1">INDEX(Master!$H$2:'Master'!$H$4384,MATCH($A26&amp;BQ$2,Master!$A$2:'Master'!$A$4384&amp;Master!$C$2:'Master'!$C$4384,0))</f>
        <v>0</v>
      </c>
      <c r="BR26" s="21" cm="1">
        <f t="array" aca="1" ref="BR26" ca="1">INDEX(Master!$H$2:'Master'!$H$4384,MATCH($A26&amp;BR$2,Master!$A$2:'Master'!$A$4384&amp;Master!$C$2:'Master'!$C$4384,0))</f>
        <v>-2</v>
      </c>
      <c r="BS26" s="21" cm="1">
        <f t="array" aca="1" ref="BS26" ca="1">INDEX(Master!$H$2:'Master'!$H$4384,MATCH($A26&amp;BS$2,Master!$A$2:'Master'!$A$4384&amp;Master!$C$2:'Master'!$C$4384,0))</f>
        <v>-2</v>
      </c>
      <c r="BT26" s="21" cm="1">
        <f t="array" aca="1" ref="BT26" ca="1">INDEX(Master!$H$2:'Master'!$H$4384,MATCH($A26&amp;BT$2,Master!$A$2:'Master'!$A$4384&amp;Master!$C$2:'Master'!$C$4384,0))</f>
        <v>0</v>
      </c>
      <c r="BU26" s="21" cm="1">
        <f t="array" aca="1" ref="BU26" ca="1">INDEX(Master!$H$2:'Master'!$H$4384,MATCH($A26&amp;BU$2,Master!$A$2:'Master'!$A$4384&amp;Master!$C$2:'Master'!$C$4384,0))</f>
        <v>-3</v>
      </c>
      <c r="BV26" s="21" cm="1">
        <f t="array" aca="1" ref="BV26" ca="1">INDEX(Master!$H$2:'Master'!$H$4384,MATCH($A26&amp;BV$2,Master!$A$2:'Master'!$A$4384&amp;Master!$C$2:'Master'!$C$4384,0))</f>
        <v>-1</v>
      </c>
      <c r="BW26" s="21" cm="1">
        <f t="array" aca="1" ref="BW26" ca="1">INDEX(Master!$H$2:'Master'!$H$4384,MATCH($A26&amp;BW$2,Master!$A$2:'Master'!$A$4384&amp;Master!$C$2:'Master'!$C$4384,0))</f>
        <v>0</v>
      </c>
      <c r="BX26" s="21" cm="1">
        <f t="array" aca="1" ref="BX26" ca="1">INDEX(Master!$H$2:'Master'!$H$4384,MATCH($A26&amp;BX$2,Master!$A$2:'Master'!$A$4384&amp;Master!$C$2:'Master'!$C$4384,0))</f>
        <v>0</v>
      </c>
      <c r="BY26" s="21" cm="1">
        <f t="array" aca="1" ref="BY26" ca="1">INDEX(Master!$H$2:'Master'!$H$4384,MATCH($A26&amp;BY$2,Master!$A$2:'Master'!$A$4384&amp;Master!$C$2:'Master'!$C$4384,0))</f>
        <v>1</v>
      </c>
      <c r="BZ26" s="21" cm="1">
        <f t="array" aca="1" ref="BZ26" ca="1">INDEX(Master!$H$2:'Master'!$H$4384,MATCH($A26&amp;BZ$2,Master!$A$2:'Master'!$A$4384&amp;Master!$C$2:'Master'!$C$4384,0))</f>
        <v>0</v>
      </c>
      <c r="CA26" s="21" cm="1">
        <f t="array" aca="1" ref="CA26" ca="1">INDEX(Master!$H$2:'Master'!$H$4384,MATCH($A26&amp;CA$2,Master!$A$2:'Master'!$A$4384&amp;Master!$C$2:'Master'!$C$4384,0))</f>
        <v>2</v>
      </c>
      <c r="CB26" s="21" cm="1">
        <f t="array" aca="1" ref="CB26" ca="1">INDEX(Master!$H$2:'Master'!$H$4384,MATCH($A26&amp;CB$2,Master!$A$2:'Master'!$A$4384&amp;Master!$C$2:'Master'!$C$4384,0))</f>
        <v>0</v>
      </c>
      <c r="CC26" s="21" cm="1">
        <f t="array" aca="1" ref="CC26" ca="1">INDEX(Master!$H$2:'Master'!$H$4384,MATCH($A26&amp;CC$2,Master!$A$2:'Master'!$A$4384&amp;Master!$C$2:'Master'!$C$4384,0))</f>
        <v>0</v>
      </c>
      <c r="CD26" s="21" cm="1">
        <f t="array" aca="1" ref="CD26" ca="1">INDEX(Master!$H$2:'Master'!$H$4384,MATCH($A26&amp;CD$2,Master!$A$2:'Master'!$A$4384&amp;Master!$C$2:'Master'!$C$4384,0))</f>
        <v>0</v>
      </c>
      <c r="CE26" s="21" cm="1">
        <f t="array" aca="1" ref="CE26" ca="1">INDEX(Master!$H$2:'Master'!$H$4384,MATCH($A26&amp;CE$2,Master!$A$2:'Master'!$A$4384&amp;Master!$C$2:'Master'!$C$4384,0))</f>
        <v>-3</v>
      </c>
      <c r="CF26" s="21" cm="1">
        <f t="array" aca="1" ref="CF26" ca="1">INDEX(Master!$H$2:'Master'!$H$4384,MATCH($A26&amp;CF$2,Master!$A$2:'Master'!$A$4384&amp;Master!$C$2:'Master'!$C$4384,0))</f>
        <v>-2</v>
      </c>
      <c r="CG26" s="21" cm="1">
        <f t="array" aca="1" ref="CG26" ca="1">INDEX(Master!$H$2:'Master'!$H$4384,MATCH($A26&amp;CG$2,Master!$A$2:'Master'!$A$4384&amp;Master!$C$2:'Master'!$C$4384,0))</f>
        <v>-1</v>
      </c>
      <c r="CH26" s="21" cm="1">
        <f t="array" aca="1" ref="CH26" ca="1">INDEX(Master!$H$2:'Master'!$H$4384,MATCH($A26&amp;CH$2,Master!$A$2:'Master'!$A$4384&amp;Master!$C$2:'Master'!$C$4384,0))</f>
        <v>-1</v>
      </c>
      <c r="CI26" s="21" cm="1">
        <f t="array" aca="1" ref="CI26" ca="1">INDEX(Master!$H$2:'Master'!$H$4384,MATCH($A26&amp;CI$2,Master!$A$2:'Master'!$A$4384&amp;Master!$C$2:'Master'!$C$4384,0))</f>
        <v>-2</v>
      </c>
      <c r="CJ26" s="21" cm="1">
        <f t="array" aca="1" ref="CJ26" ca="1">INDEX(Master!$H$2:'Master'!$H$4384,MATCH($A26&amp;CJ$2,Master!$A$2:'Master'!$A$4384&amp;Master!$C$2:'Master'!$C$4384,0))</f>
        <v>-1</v>
      </c>
      <c r="CK26" s="21" cm="1">
        <f t="array" aca="1" ref="CK26" ca="1">INDEX(Master!$H$2:'Master'!$H$4384,MATCH($A26&amp;CK$2,Master!$A$2:'Master'!$A$4384&amp;Master!$C$2:'Master'!$C$4384,0))</f>
        <v>0</v>
      </c>
      <c r="CL26" s="21" cm="1">
        <f t="array" aca="1" ref="CL26" ca="1">INDEX(Master!$H$2:'Master'!$H$4384,MATCH($A26&amp;CL$2,Master!$A$2:'Master'!$A$4384&amp;Master!$C$2:'Master'!$C$4384,0))</f>
        <v>0</v>
      </c>
      <c r="CM26" s="21" cm="1">
        <f t="array" aca="1" ref="CM26" ca="1">INDEX(Master!$H$2:'Master'!$H$4384,MATCH($A26&amp;CM$2,Master!$A$2:'Master'!$A$4384&amp;Master!$C$2:'Master'!$C$4384,0))</f>
        <v>0</v>
      </c>
      <c r="CN26" s="21" cm="1">
        <f t="array" aca="1" ref="CN26" ca="1">INDEX(Master!$H$2:'Master'!$H$4384,MATCH($A26&amp;CN$2,Master!$A$2:'Master'!$A$4384&amp;Master!$C$2:'Master'!$C$4384,0))</f>
        <v>0</v>
      </c>
      <c r="CO26" s="21" cm="1">
        <f t="array" aca="1" ref="CO26" ca="1">INDEX(Master!$H$2:'Master'!$H$4384,MATCH($A26&amp;CO$2,Master!$A$2:'Master'!$A$4384&amp;Master!$C$2:'Master'!$C$4384,0))</f>
        <v>0</v>
      </c>
      <c r="CP26" s="21" cm="1">
        <f t="array" aca="1" ref="CP26" ca="1">INDEX(Master!$H$2:'Master'!$H$4384,MATCH($A26&amp;CP$2,Master!$A$2:'Master'!$A$4384&amp;Master!$C$2:'Master'!$C$4384,0))</f>
        <v>0</v>
      </c>
      <c r="CQ26" s="21" cm="1">
        <f t="array" aca="1" ref="CQ26" ca="1">INDEX(Master!$H$2:'Master'!$H$4384,MATCH($A26&amp;CQ$2,Master!$A$2:'Master'!$A$4384&amp;Master!$C$2:'Master'!$C$4384,0))</f>
        <v>0</v>
      </c>
      <c r="CR26" s="21" cm="1">
        <f t="array" aca="1" ref="CR26" ca="1">INDEX(Master!$H$2:'Master'!$H$4384,MATCH($A26&amp;CR$2,Master!$A$2:'Master'!$A$4384&amp;Master!$C$2:'Master'!$C$4384,0))</f>
        <v>2</v>
      </c>
      <c r="CS26" s="21" cm="1">
        <f t="array" aca="1" ref="CS26" ca="1">INDEX(Master!$H$2:'Master'!$H$4384,MATCH($A26&amp;CS$2,Master!$A$2:'Master'!$A$4384&amp;Master!$C$2:'Master'!$C$4384,0))</f>
        <v>2</v>
      </c>
    </row>
    <row r="27" spans="1:97">
      <c r="A27" s="22" t="str">
        <f>VLOOKUP(Staff!$A24,Staff!$A$1:A$73,1,FALSE)</f>
        <v>James Hathaway</v>
      </c>
      <c r="B27" s="21" cm="1">
        <f t="array" aca="1" ref="B27" ca="1">INDEX(Master!$H$2:'Master'!$H$4384,MATCH($A27&amp;B$2,Master!$A$2:'Master'!$A$4384&amp;Master!$C$2:'Master'!$C$4384,0))</f>
        <v>-1</v>
      </c>
      <c r="C27" s="21" cm="1">
        <f t="array" aca="1" ref="C27" ca="1">INDEX(Master!$H$2:'Master'!$H$4384,MATCH($A27&amp;C$2,Master!$A$2:'Master'!$A$4384&amp;Master!$C$2:'Master'!$C$4384,0))</f>
        <v>-1</v>
      </c>
      <c r="D27" s="21" cm="1">
        <f t="array" aca="1" ref="D27" ca="1">INDEX(Master!$H$2:'Master'!$H$4384,MATCH($A27&amp;D$2,Master!$A$2:'Master'!$A$4384&amp;Master!$C$2:'Master'!$C$4384,0))</f>
        <v>-1</v>
      </c>
      <c r="E27" s="21" cm="1">
        <f t="array" aca="1" ref="E27" ca="1">INDEX(Master!$H$2:'Master'!$H$4384,MATCH($A27&amp;E$2,Master!$A$2:'Master'!$A$4384&amp;Master!$C$2:'Master'!$C$4384,0))</f>
        <v>-1</v>
      </c>
      <c r="F27" s="21" cm="1">
        <f t="array" aca="1" ref="F27" ca="1">INDEX(Master!$H$2:'Master'!$H$4384,MATCH($A27&amp;F$2,Master!$A$2:'Master'!$A$4384&amp;Master!$C$2:'Master'!$C$4384,0))</f>
        <v>0</v>
      </c>
      <c r="G27" s="21" cm="1">
        <f t="array" aca="1" ref="G27" ca="1">INDEX(Master!$H$2:'Master'!$H$4384,MATCH($A27&amp;G$2,Master!$A$2:'Master'!$A$4384&amp;Master!$C$2:'Master'!$C$4384,0))</f>
        <v>-1</v>
      </c>
      <c r="H27" s="21" cm="1">
        <f t="array" aca="1" ref="H27" ca="1">INDEX(Master!$H$2:'Master'!$H$4384,MATCH($A27&amp;H$2,Master!$A$2:'Master'!$A$4384&amp;Master!$C$2:'Master'!$C$4384,0))</f>
        <v>-1</v>
      </c>
      <c r="I27" s="21" cm="1">
        <f t="array" aca="1" ref="I27" ca="1">INDEX(Master!$H$2:'Master'!$H$4384,MATCH($A27&amp;I$2,Master!$A$2:'Master'!$A$4384&amp;Master!$C$2:'Master'!$C$4384,0))</f>
        <v>-1</v>
      </c>
      <c r="J27" s="21" cm="1">
        <f t="array" aca="1" ref="J27" ca="1">INDEX(Master!$H$2:'Master'!$H$4384,MATCH($A27&amp;J$2,Master!$A$2:'Master'!$A$4384&amp;Master!$C$2:'Master'!$C$4384,0))</f>
        <v>-2</v>
      </c>
      <c r="K27" s="21" cm="1">
        <f t="array" aca="1" ref="K27" ca="1">INDEX(Master!$H$2:'Master'!$H$4384,MATCH($A27&amp;K$2,Master!$A$2:'Master'!$A$4384&amp;Master!$C$2:'Master'!$C$4384,0))</f>
        <v>-1</v>
      </c>
      <c r="L27" s="21" cm="1">
        <f t="array" aca="1" ref="L27" ca="1">INDEX(Master!$H$2:'Master'!$H$4384,MATCH($A27&amp;L$2,Master!$A$2:'Master'!$A$4384&amp;Master!$C$2:'Master'!$C$4384,0))</f>
        <v>0</v>
      </c>
      <c r="M27" s="21" cm="1">
        <f t="array" aca="1" ref="M27" ca="1">INDEX(Master!$H$2:'Master'!$H$4384,MATCH($A27&amp;M$2,Master!$A$2:'Master'!$A$4384&amp;Master!$C$2:'Master'!$C$4384,0))</f>
        <v>0</v>
      </c>
      <c r="N27" s="21" cm="1">
        <f t="array" aca="1" ref="N27" ca="1">INDEX(Master!$H$2:'Master'!$H$4384,MATCH($A27&amp;N$2,Master!$A$2:'Master'!$A$4384&amp;Master!$C$2:'Master'!$C$4384,0))</f>
        <v>-2</v>
      </c>
      <c r="O27" s="21" cm="1">
        <f t="array" aca="1" ref="O27" ca="1">INDEX(Master!$H$2:'Master'!$H$4384,MATCH($A27&amp;O$2,Master!$A$2:'Master'!$A$4384&amp;Master!$C$2:'Master'!$C$4384,0))</f>
        <v>-2</v>
      </c>
      <c r="P27" s="21" cm="1">
        <f t="array" aca="1" ref="P27" ca="1">INDEX(Master!$H$2:'Master'!$H$4384,MATCH($A27&amp;P$2,Master!$A$2:'Master'!$A$4384&amp;Master!$C$2:'Master'!$C$4384,0))</f>
        <v>-1</v>
      </c>
      <c r="Q27" s="21" cm="1">
        <f t="array" aca="1" ref="Q27" ca="1">INDEX(Master!$H$2:'Master'!$H$4384,MATCH($A27&amp;Q$2,Master!$A$2:'Master'!$A$4384&amp;Master!$C$2:'Master'!$C$4384,0))</f>
        <v>-1</v>
      </c>
      <c r="R27" s="21" cm="1">
        <f t="array" aca="1" ref="R27" ca="1">INDEX(Master!$H$2:'Master'!$H$4384,MATCH($A27&amp;R$2,Master!$A$2:'Master'!$A$4384&amp;Master!$C$2:'Master'!$C$4384,0))</f>
        <v>0</v>
      </c>
      <c r="S27" s="21" cm="1">
        <f t="array" aca="1" ref="S27" ca="1">INDEX(Master!$H$2:'Master'!$H$4384,MATCH($A27&amp;S$2,Master!$A$2:'Master'!$A$4384&amp;Master!$C$2:'Master'!$C$4384,0))</f>
        <v>0</v>
      </c>
      <c r="T27" s="21" cm="1">
        <f t="array" aca="1" ref="T27" ca="1">INDEX(Master!$H$2:'Master'!$H$4384,MATCH($A27&amp;T$2,Master!$A$2:'Master'!$A$4384&amp;Master!$C$2:'Master'!$C$4384,0))</f>
        <v>0</v>
      </c>
      <c r="U27" s="21" cm="1">
        <f t="array" aca="1" ref="U27" ca="1">INDEX(Master!$H$2:'Master'!$H$4384,MATCH($A27&amp;U$2,Master!$A$2:'Master'!$A$4384&amp;Master!$C$2:'Master'!$C$4384,0))</f>
        <v>-1</v>
      </c>
      <c r="V27" s="21" cm="1">
        <f t="array" aca="1" ref="V27" ca="1">INDEX(Master!$H$2:'Master'!$H$4384,MATCH($A27&amp;V$2,Master!$A$2:'Master'!$A$4384&amp;Master!$C$2:'Master'!$C$4384,0))</f>
        <v>1</v>
      </c>
      <c r="W27" s="21" cm="1">
        <f t="array" aca="1" ref="W27" ca="1">INDEX(Master!$H$2:'Master'!$H$4384,MATCH($A27&amp;W$2,Master!$A$2:'Master'!$A$4384&amp;Master!$C$2:'Master'!$C$4384,0))</f>
        <v>1</v>
      </c>
      <c r="X27" s="21" cm="1">
        <f t="array" aca="1" ref="X27" ca="1">INDEX(Master!$H$2:'Master'!$H$4384,MATCH($A27&amp;X$2,Master!$A$2:'Master'!$A$4384&amp;Master!$C$2:'Master'!$C$4384,0))</f>
        <v>3</v>
      </c>
      <c r="Y27" s="21" cm="1">
        <f t="array" aca="1" ref="Y27" ca="1">INDEX(Master!$H$2:'Master'!$H$4384,MATCH($A27&amp;Y$2,Master!$A$2:'Master'!$A$4384&amp;Master!$C$2:'Master'!$C$4384,0))</f>
        <v>3</v>
      </c>
      <c r="Z27" s="21" cm="1">
        <f t="array" aca="1" ref="Z27" ca="1">INDEX(Master!$H$2:'Master'!$H$4384,MATCH($A27&amp;Z$2,Master!$A$2:'Master'!$A$4384&amp;Master!$C$2:'Master'!$C$4384,0))</f>
        <v>3</v>
      </c>
      <c r="AA27" s="21" cm="1">
        <f t="array" aca="1" ref="AA27" ca="1">INDEX(Master!$H$2:'Master'!$H$4384,MATCH($A27&amp;AA$2,Master!$A$2:'Master'!$A$4384&amp;Master!$C$2:'Master'!$C$4384,0))</f>
        <v>2</v>
      </c>
      <c r="AB27" s="21" cm="1">
        <f t="array" aca="1" ref="AB27" ca="1">INDEX(Master!$H$2:'Master'!$H$4384,MATCH($A27&amp;AB$2,Master!$A$2:'Master'!$A$4384&amp;Master!$C$2:'Master'!$C$4384,0))</f>
        <v>3</v>
      </c>
      <c r="AC27" s="21" cm="1">
        <f t="array" aca="1" ref="AC27" ca="1">INDEX(Master!$H$2:'Master'!$H$4384,MATCH($A27&amp;AC$2,Master!$A$2:'Master'!$A$4384&amp;Master!$C$2:'Master'!$C$4384,0))</f>
        <v>3</v>
      </c>
      <c r="AD27" s="21" cm="1">
        <f t="array" aca="1" ref="AD27" ca="1">INDEX(Master!$H$2:'Master'!$H$4384,MATCH($A27&amp;AD$2,Master!$A$2:'Master'!$A$4384&amp;Master!$C$2:'Master'!$C$4384,0))</f>
        <v>3</v>
      </c>
      <c r="AE27" s="21" cm="1">
        <f t="array" aca="1" ref="AE27" ca="1">INDEX(Master!$H$2:'Master'!$H$4384,MATCH($A27&amp;AE$2,Master!$A$2:'Master'!$A$4384&amp;Master!$C$2:'Master'!$C$4384,0))</f>
        <v>1</v>
      </c>
      <c r="AF27" s="21" cm="1">
        <f t="array" aca="1" ref="AF27" ca="1">INDEX(Master!$H$2:'Master'!$H$4384,MATCH($A27&amp;AF$2,Master!$A$2:'Master'!$A$4384&amp;Master!$C$2:'Master'!$C$4384,0))</f>
        <v>1</v>
      </c>
      <c r="AG27" s="21" cm="1">
        <f t="array" aca="1" ref="AG27" ca="1">INDEX(Master!$H$2:'Master'!$H$4384,MATCH($A27&amp;AG$2,Master!$A$2:'Master'!$A$4384&amp;Master!$C$2:'Master'!$C$4384,0))</f>
        <v>0</v>
      </c>
      <c r="AH27" s="21" cm="1">
        <f t="array" aca="1" ref="AH27" ca="1">INDEX(Master!$H$2:'Master'!$H$4384,MATCH($A27&amp;AH$2,Master!$A$2:'Master'!$A$4384&amp;Master!$C$2:'Master'!$C$4384,0))</f>
        <v>2</v>
      </c>
      <c r="AI27" s="21" cm="1">
        <f t="array" aca="1" ref="AI27" ca="1">INDEX(Master!$H$2:'Master'!$H$4384,MATCH($A27&amp;AI$2,Master!$A$2:'Master'!$A$4384&amp;Master!$C$2:'Master'!$C$4384,0))</f>
        <v>2</v>
      </c>
      <c r="AJ27" s="21" cm="1">
        <f t="array" aca="1" ref="AJ27" ca="1">INDEX(Master!$H$2:'Master'!$H$4384,MATCH($A27&amp;AJ$2,Master!$A$2:'Master'!$A$4384&amp;Master!$C$2:'Master'!$C$4384,0))</f>
        <v>2</v>
      </c>
      <c r="AK27" s="21" cm="1">
        <f t="array" aca="1" ref="AK27" ca="1">INDEX(Master!$H$2:'Master'!$H$4384,MATCH($A27&amp;AK$2,Master!$A$2:'Master'!$A$4384&amp;Master!$C$2:'Master'!$C$4384,0))</f>
        <v>-2</v>
      </c>
      <c r="AL27" s="21" cm="1">
        <f t="array" aca="1" ref="AL27" ca="1">INDEX(Master!$H$2:'Master'!$H$4384,MATCH($A27&amp;AL$2,Master!$A$2:'Master'!$A$4384&amp;Master!$C$2:'Master'!$C$4384,0))</f>
        <v>-2</v>
      </c>
      <c r="AM27" s="21" cm="1">
        <f t="array" aca="1" ref="AM27" ca="1">INDEX(Master!$H$2:'Master'!$H$4384,MATCH($A27&amp;AM$2,Master!$A$2:'Master'!$A$4384&amp;Master!$C$2:'Master'!$C$4384,0))</f>
        <v>0</v>
      </c>
      <c r="AN27" s="21" cm="1">
        <f t="array" aca="1" ref="AN27" ca="1">INDEX(Master!$H$2:'Master'!$H$4384,MATCH($A27&amp;AN$2,Master!$A$2:'Master'!$A$4384&amp;Master!$C$2:'Master'!$C$4384,0))</f>
        <v>3</v>
      </c>
      <c r="AO27" s="21" cm="1">
        <f t="array" aca="1" ref="AO27" ca="1">INDEX(Master!$H$2:'Master'!$H$4384,MATCH($A27&amp;AO$2,Master!$A$2:'Master'!$A$4384&amp;Master!$C$2:'Master'!$C$4384,0))</f>
        <v>0</v>
      </c>
      <c r="AP27" s="21" cm="1">
        <f t="array" aca="1" ref="AP27" ca="1">INDEX(Master!$H$2:'Master'!$H$4384,MATCH($A27&amp;AP$2,Master!$A$2:'Master'!$A$4384&amp;Master!$C$2:'Master'!$C$4384,0))</f>
        <v>3</v>
      </c>
      <c r="AQ27" s="21" cm="1">
        <f t="array" aca="1" ref="AQ27" ca="1">INDEX(Master!$H$2:'Master'!$H$4384,MATCH($A27&amp;AQ$2,Master!$A$2:'Master'!$A$4384&amp;Master!$C$2:'Master'!$C$4384,0))</f>
        <v>0</v>
      </c>
      <c r="AR27" s="21" cm="1">
        <f t="array" aca="1" ref="AR27" ca="1">INDEX(Master!$H$2:'Master'!$H$4384,MATCH($A27&amp;AR$2,Master!$A$2:'Master'!$A$4384&amp;Master!$C$2:'Master'!$C$4384,0))</f>
        <v>3</v>
      </c>
      <c r="AS27" s="21" cm="1">
        <f t="array" aca="1" ref="AS27" ca="1">INDEX(Master!$H$2:'Master'!$H$4384,MATCH($A27&amp;AS$2,Master!$A$2:'Master'!$A$4384&amp;Master!$C$2:'Master'!$C$4384,0))</f>
        <v>1</v>
      </c>
      <c r="AT27" s="21" cm="1">
        <f t="array" aca="1" ref="AT27" ca="1">INDEX(Master!$H$2:'Master'!$H$4384,MATCH($A27&amp;AT$2,Master!$A$2:'Master'!$A$4384&amp;Master!$C$2:'Master'!$C$4384,0))</f>
        <v>1</v>
      </c>
      <c r="AU27" s="21" cm="1">
        <f t="array" aca="1" ref="AU27" ca="1">INDEX(Master!$H$2:'Master'!$H$4384,MATCH($A27&amp;AU$2,Master!$A$2:'Master'!$A$4384&amp;Master!$C$2:'Master'!$C$4384,0))</f>
        <v>2</v>
      </c>
      <c r="AV27" s="21" cm="1">
        <f t="array" aca="1" ref="AV27" ca="1">INDEX(Master!$H$2:'Master'!$H$4384,MATCH($A27&amp;AV$2,Master!$A$2:'Master'!$A$4384&amp;Master!$C$2:'Master'!$C$4384,0))</f>
        <v>0</v>
      </c>
      <c r="AW27" s="21" cm="1">
        <f t="array" aca="1" ref="AW27" ca="1">INDEX(Master!$H$2:'Master'!$H$4384,MATCH($A27&amp;AW$2,Master!$A$2:'Master'!$A$4384&amp;Master!$C$2:'Master'!$C$4384,0))</f>
        <v>0</v>
      </c>
      <c r="AX27" s="21" cm="1">
        <f t="array" aca="1" ref="AX27" ca="1">INDEX(Master!$H$2:'Master'!$H$4384,MATCH($A27&amp;AX$2,Master!$A$2:'Master'!$A$4384&amp;Master!$C$2:'Master'!$C$4384,0))</f>
        <v>1</v>
      </c>
      <c r="AY27" s="21" cm="1">
        <f t="array" aca="1" ref="AY27" ca="1">INDEX(Master!$H$2:'Master'!$H$4384,MATCH($A27&amp;AY$2,Master!$A$2:'Master'!$A$4384&amp;Master!$C$2:'Master'!$C$4384,0))</f>
        <v>3</v>
      </c>
      <c r="AZ27" s="21" cm="1">
        <f t="array" aca="1" ref="AZ27" ca="1">INDEX(Master!$H$2:'Master'!$H$4384,MATCH($A27&amp;AZ$2,Master!$A$2:'Master'!$A$4384&amp;Master!$C$2:'Master'!$C$4384,0))</f>
        <v>2</v>
      </c>
      <c r="BA27" s="21" cm="1">
        <f t="array" aca="1" ref="BA27" ca="1">INDEX(Master!$H$2:'Master'!$H$4384,MATCH($A27&amp;BA$2,Master!$A$2:'Master'!$A$4384&amp;Master!$C$2:'Master'!$C$4384,0))</f>
        <v>2</v>
      </c>
      <c r="BB27" s="21" cm="1">
        <f t="array" aca="1" ref="BB27" ca="1">INDEX(Master!$H$2:'Master'!$H$4384,MATCH($A27&amp;BB$2,Master!$A$2:'Master'!$A$4384&amp;Master!$C$2:'Master'!$C$4384,0))</f>
        <v>3</v>
      </c>
      <c r="BC27" s="21" cm="1">
        <f t="array" aca="1" ref="BC27" ca="1">INDEX(Master!$H$2:'Master'!$H$4384,MATCH($A27&amp;BC$2,Master!$A$2:'Master'!$A$4384&amp;Master!$C$2:'Master'!$C$4384,0))</f>
        <v>-1</v>
      </c>
      <c r="BD27" s="21" cm="1">
        <f t="array" aca="1" ref="BD27" ca="1">INDEX(Master!$H$2:'Master'!$H$4384,MATCH($A27&amp;BD$2,Master!$A$2:'Master'!$A$4384&amp;Master!$C$2:'Master'!$C$4384,0))</f>
        <v>2</v>
      </c>
      <c r="BE27" s="21" cm="1">
        <f t="array" aca="1" ref="BE27" ca="1">INDEX(Master!$H$2:'Master'!$H$4384,MATCH($A27&amp;BE$2,Master!$A$2:'Master'!$A$4384&amp;Master!$C$2:'Master'!$C$4384,0))</f>
        <v>1</v>
      </c>
      <c r="BF27" s="21" cm="1">
        <f t="array" aca="1" ref="BF27" ca="1">INDEX(Master!$H$2:'Master'!$H$4384,MATCH($A27&amp;BF$2,Master!$A$2:'Master'!$A$4384&amp;Master!$C$2:'Master'!$C$4384,0))</f>
        <v>-2</v>
      </c>
      <c r="BG27" s="21" cm="1">
        <f t="array" aca="1" ref="BG27" ca="1">INDEX(Master!$H$2:'Master'!$H$4384,MATCH($A27&amp;BG$2,Master!$A$2:'Master'!$A$4384&amp;Master!$C$2:'Master'!$C$4384,0))</f>
        <v>-2</v>
      </c>
      <c r="BH27" s="21" cm="1">
        <f t="array" aca="1" ref="BH27" ca="1">INDEX(Master!$H$2:'Master'!$H$4384,MATCH($A27&amp;BH$2,Master!$A$2:'Master'!$A$4384&amp;Master!$C$2:'Master'!$C$4384,0))</f>
        <v>-2</v>
      </c>
      <c r="BI27" s="21" cm="1">
        <f t="array" aca="1" ref="BI27" ca="1">INDEX(Master!$H$2:'Master'!$H$4384,MATCH($A27&amp;BI$2,Master!$A$2:'Master'!$A$4384&amp;Master!$C$2:'Master'!$C$4384,0))</f>
        <v>0</v>
      </c>
      <c r="BJ27" s="21" cm="1">
        <f t="array" aca="1" ref="BJ27" ca="1">INDEX(Master!$H$2:'Master'!$H$4384,MATCH($A27&amp;BJ$2,Master!$A$2:'Master'!$A$4384&amp;Master!$C$2:'Master'!$C$4384,0))</f>
        <v>1</v>
      </c>
      <c r="BK27" s="21" cm="1">
        <f t="array" aca="1" ref="BK27" ca="1">INDEX(Master!$H$2:'Master'!$H$4384,MATCH($A27&amp;BK$2,Master!$A$2:'Master'!$A$4384&amp;Master!$C$2:'Master'!$C$4384,0))</f>
        <v>1</v>
      </c>
      <c r="BL27" s="21" cm="1">
        <f t="array" aca="1" ref="BL27" ca="1">INDEX(Master!$H$2:'Master'!$H$4384,MATCH($A27&amp;BL$2,Master!$A$2:'Master'!$A$4384&amp;Master!$C$2:'Master'!$C$4384,0))</f>
        <v>1</v>
      </c>
      <c r="BM27" s="21" cm="1">
        <f t="array" aca="1" ref="BM27" ca="1">INDEX(Master!$H$2:'Master'!$H$4384,MATCH($A27&amp;BM$2,Master!$A$2:'Master'!$A$4384&amp;Master!$C$2:'Master'!$C$4384,0))</f>
        <v>0</v>
      </c>
      <c r="BN27" s="21" cm="1">
        <f t="array" aca="1" ref="BN27" ca="1">INDEX(Master!$H$2:'Master'!$H$4384,MATCH($A27&amp;BN$2,Master!$A$2:'Master'!$A$4384&amp;Master!$C$2:'Master'!$C$4384,0))</f>
        <v>-1</v>
      </c>
      <c r="BO27" s="21" cm="1">
        <f t="array" aca="1" ref="BO27" ca="1">INDEX(Master!$H$2:'Master'!$H$4384,MATCH($A27&amp;BO$2,Master!$A$2:'Master'!$A$4384&amp;Master!$C$2:'Master'!$C$4384,0))</f>
        <v>-1</v>
      </c>
      <c r="BP27" s="21" cm="1">
        <f t="array" aca="1" ref="BP27" ca="1">INDEX(Master!$H$2:'Master'!$H$4384,MATCH($A27&amp;BP$2,Master!$A$2:'Master'!$A$4384&amp;Master!$C$2:'Master'!$C$4384,0))</f>
        <v>-1</v>
      </c>
      <c r="BQ27" s="21" cm="1">
        <f t="array" aca="1" ref="BQ27" ca="1">INDEX(Master!$H$2:'Master'!$H$4384,MATCH($A27&amp;BQ$2,Master!$A$2:'Master'!$A$4384&amp;Master!$C$2:'Master'!$C$4384,0))</f>
        <v>0</v>
      </c>
      <c r="BR27" s="21" cm="1">
        <f t="array" aca="1" ref="BR27" ca="1">INDEX(Master!$H$2:'Master'!$H$4384,MATCH($A27&amp;BR$2,Master!$A$2:'Master'!$A$4384&amp;Master!$C$2:'Master'!$C$4384,0))</f>
        <v>-1</v>
      </c>
      <c r="BS27" s="21" cm="1">
        <f t="array" aca="1" ref="BS27" ca="1">INDEX(Master!$H$2:'Master'!$H$4384,MATCH($A27&amp;BS$2,Master!$A$2:'Master'!$A$4384&amp;Master!$C$2:'Master'!$C$4384,0))</f>
        <v>0</v>
      </c>
      <c r="BT27" s="21" cm="1">
        <f t="array" aca="1" ref="BT27" ca="1">INDEX(Master!$H$2:'Master'!$H$4384,MATCH($A27&amp;BT$2,Master!$A$2:'Master'!$A$4384&amp;Master!$C$2:'Master'!$C$4384,0))</f>
        <v>1</v>
      </c>
      <c r="BU27" s="21" cm="1">
        <f t="array" aca="1" ref="BU27" ca="1">INDEX(Master!$H$2:'Master'!$H$4384,MATCH($A27&amp;BU$2,Master!$A$2:'Master'!$A$4384&amp;Master!$C$2:'Master'!$C$4384,0))</f>
        <v>1</v>
      </c>
      <c r="BV27" s="21" cm="1">
        <f t="array" aca="1" ref="BV27" ca="1">INDEX(Master!$H$2:'Master'!$H$4384,MATCH($A27&amp;BV$2,Master!$A$2:'Master'!$A$4384&amp;Master!$C$2:'Master'!$C$4384,0))</f>
        <v>0</v>
      </c>
      <c r="BW27" s="21" cm="1">
        <f t="array" aca="1" ref="BW27" ca="1">INDEX(Master!$H$2:'Master'!$H$4384,MATCH($A27&amp;BW$2,Master!$A$2:'Master'!$A$4384&amp;Master!$C$2:'Master'!$C$4384,0))</f>
        <v>-2</v>
      </c>
      <c r="BX27" s="21" cm="1">
        <f t="array" aca="1" ref="BX27" ca="1">INDEX(Master!$H$2:'Master'!$H$4384,MATCH($A27&amp;BX$2,Master!$A$2:'Master'!$A$4384&amp;Master!$C$2:'Master'!$C$4384,0))</f>
        <v>-2</v>
      </c>
      <c r="BY27" s="21" cm="1">
        <f t="array" aca="1" ref="BY27" ca="1">INDEX(Master!$H$2:'Master'!$H$4384,MATCH($A27&amp;BY$2,Master!$A$2:'Master'!$A$4384&amp;Master!$C$2:'Master'!$C$4384,0))</f>
        <v>-2</v>
      </c>
      <c r="BZ27" s="21" cm="1">
        <f t="array" aca="1" ref="BZ27" ca="1">INDEX(Master!$H$2:'Master'!$H$4384,MATCH($A27&amp;BZ$2,Master!$A$2:'Master'!$A$4384&amp;Master!$C$2:'Master'!$C$4384,0))</f>
        <v>0</v>
      </c>
      <c r="CA27" s="21" cm="1">
        <f t="array" aca="1" ref="CA27" ca="1">INDEX(Master!$H$2:'Master'!$H$4384,MATCH($A27&amp;CA$2,Master!$A$2:'Master'!$A$4384&amp;Master!$C$2:'Master'!$C$4384,0))</f>
        <v>1</v>
      </c>
      <c r="CB27" s="21" cm="1">
        <f t="array" aca="1" ref="CB27" ca="1">INDEX(Master!$H$2:'Master'!$H$4384,MATCH($A27&amp;CB$2,Master!$A$2:'Master'!$A$4384&amp;Master!$C$2:'Master'!$C$4384,0))</f>
        <v>1</v>
      </c>
      <c r="CC27" s="21" cm="1">
        <f t="array" aca="1" ref="CC27" ca="1">INDEX(Master!$H$2:'Master'!$H$4384,MATCH($A27&amp;CC$2,Master!$A$2:'Master'!$A$4384&amp;Master!$C$2:'Master'!$C$4384,0))</f>
        <v>1</v>
      </c>
      <c r="CD27" s="21" cm="1">
        <f t="array" aca="1" ref="CD27" ca="1">INDEX(Master!$H$2:'Master'!$H$4384,MATCH($A27&amp;CD$2,Master!$A$2:'Master'!$A$4384&amp;Master!$C$2:'Master'!$C$4384,0))</f>
        <v>0</v>
      </c>
      <c r="CE27" s="21" cm="1">
        <f t="array" aca="1" ref="CE27" ca="1">INDEX(Master!$H$2:'Master'!$H$4384,MATCH($A27&amp;CE$2,Master!$A$2:'Master'!$A$4384&amp;Master!$C$2:'Master'!$C$4384,0))</f>
        <v>-2</v>
      </c>
      <c r="CF27" s="21" cm="1">
        <f t="array" aca="1" ref="CF27" ca="1">INDEX(Master!$H$2:'Master'!$H$4384,MATCH($A27&amp;CF$2,Master!$A$2:'Master'!$A$4384&amp;Master!$C$2:'Master'!$C$4384,0))</f>
        <v>0</v>
      </c>
      <c r="CG27" s="21" cm="1">
        <f t="array" aca="1" ref="CG27" ca="1">INDEX(Master!$H$2:'Master'!$H$4384,MATCH($A27&amp;CG$2,Master!$A$2:'Master'!$A$4384&amp;Master!$C$2:'Master'!$C$4384,0))</f>
        <v>1</v>
      </c>
      <c r="CH27" s="21" cm="1">
        <f t="array" aca="1" ref="CH27" ca="1">INDEX(Master!$H$2:'Master'!$H$4384,MATCH($A27&amp;CH$2,Master!$A$2:'Master'!$A$4384&amp;Master!$C$2:'Master'!$C$4384,0))</f>
        <v>-2</v>
      </c>
      <c r="CI27" s="21" cm="1">
        <f t="array" aca="1" ref="CI27" ca="1">INDEX(Master!$H$2:'Master'!$H$4384,MATCH($A27&amp;CI$2,Master!$A$2:'Master'!$A$4384&amp;Master!$C$2:'Master'!$C$4384,0))</f>
        <v>-1</v>
      </c>
      <c r="CJ27" s="21" cm="1">
        <f t="array" aca="1" ref="CJ27" ca="1">INDEX(Master!$H$2:'Master'!$H$4384,MATCH($A27&amp;CJ$2,Master!$A$2:'Master'!$A$4384&amp;Master!$C$2:'Master'!$C$4384,0))</f>
        <v>-1</v>
      </c>
      <c r="CK27" s="21" cm="1">
        <f t="array" aca="1" ref="CK27" ca="1">INDEX(Master!$H$2:'Master'!$H$4384,MATCH($A27&amp;CK$2,Master!$A$2:'Master'!$A$4384&amp;Master!$C$2:'Master'!$C$4384,0))</f>
        <v>0</v>
      </c>
      <c r="CL27" s="21" cm="1">
        <f t="array" aca="1" ref="CL27" ca="1">INDEX(Master!$H$2:'Master'!$H$4384,MATCH($A27&amp;CL$2,Master!$A$2:'Master'!$A$4384&amp;Master!$C$2:'Master'!$C$4384,0))</f>
        <v>2</v>
      </c>
      <c r="CM27" s="21" cm="1">
        <f t="array" aca="1" ref="CM27" ca="1">INDEX(Master!$H$2:'Master'!$H$4384,MATCH($A27&amp;CM$2,Master!$A$2:'Master'!$A$4384&amp;Master!$C$2:'Master'!$C$4384,0))</f>
        <v>2</v>
      </c>
      <c r="CN27" s="21" cm="1">
        <f t="array" aca="1" ref="CN27" ca="1">INDEX(Master!$H$2:'Master'!$H$4384,MATCH($A27&amp;CN$2,Master!$A$2:'Master'!$A$4384&amp;Master!$C$2:'Master'!$C$4384,0))</f>
        <v>1</v>
      </c>
      <c r="CO27" s="21" cm="1">
        <f t="array" aca="1" ref="CO27" ca="1">INDEX(Master!$H$2:'Master'!$H$4384,MATCH($A27&amp;CO$2,Master!$A$2:'Master'!$A$4384&amp;Master!$C$2:'Master'!$C$4384,0))</f>
        <v>0</v>
      </c>
      <c r="CP27" s="21" cm="1">
        <f t="array" aca="1" ref="CP27" ca="1">INDEX(Master!$H$2:'Master'!$H$4384,MATCH($A27&amp;CP$2,Master!$A$2:'Master'!$A$4384&amp;Master!$C$2:'Master'!$C$4384,0))</f>
        <v>1</v>
      </c>
      <c r="CQ27" s="21" cm="1">
        <f t="array" aca="1" ref="CQ27" ca="1">INDEX(Master!$H$2:'Master'!$H$4384,MATCH($A27&amp;CQ$2,Master!$A$2:'Master'!$A$4384&amp;Master!$C$2:'Master'!$C$4384,0))</f>
        <v>0</v>
      </c>
      <c r="CR27" s="21" cm="1">
        <f t="array" aca="1" ref="CR27" ca="1">INDEX(Master!$H$2:'Master'!$H$4384,MATCH($A27&amp;CR$2,Master!$A$2:'Master'!$A$4384&amp;Master!$C$2:'Master'!$C$4384,0))</f>
        <v>1</v>
      </c>
      <c r="CS27" s="21" cm="1">
        <f t="array" aca="1" ref="CS27" ca="1">INDEX(Master!$H$2:'Master'!$H$4384,MATCH($A27&amp;CS$2,Master!$A$2:'Master'!$A$4384&amp;Master!$C$2:'Master'!$C$4384,0))</f>
        <v>2</v>
      </c>
    </row>
    <row r="28" spans="1:97">
      <c r="A28" s="22" t="str">
        <f>VLOOKUP(Staff!$A25,Staff!$A$1:A$73,1,FALSE)</f>
        <v>John Luther</v>
      </c>
      <c r="B28" s="21" cm="1">
        <f t="array" aca="1" ref="B28" ca="1">INDEX(Master!$H$2:'Master'!$H$4384,MATCH($A28&amp;B$2,Master!$A$2:'Master'!$A$4384&amp;Master!$C$2:'Master'!$C$4384,0))</f>
        <v>99</v>
      </c>
      <c r="C28" s="21" cm="1">
        <f t="array" aca="1" ref="C28" ca="1">INDEX(Master!$H$2:'Master'!$H$4384,MATCH($A28&amp;C$2,Master!$A$2:'Master'!$A$4384&amp;Master!$C$2:'Master'!$C$4384,0))</f>
        <v>99</v>
      </c>
      <c r="D28" s="21" cm="1">
        <f t="array" aca="1" ref="D28" ca="1">INDEX(Master!$H$2:'Master'!$H$4384,MATCH($A28&amp;D$2,Master!$A$2:'Master'!$A$4384&amp;Master!$C$2:'Master'!$C$4384,0))</f>
        <v>99</v>
      </c>
      <c r="E28" s="21" cm="1">
        <f t="array" aca="1" ref="E28" ca="1">INDEX(Master!$H$2:'Master'!$H$4384,MATCH($A28&amp;E$2,Master!$A$2:'Master'!$A$4384&amp;Master!$C$2:'Master'!$C$4384,0))</f>
        <v>97</v>
      </c>
      <c r="F28" s="21" cm="1">
        <f t="array" aca="1" ref="F28" ca="1">INDEX(Master!$H$2:'Master'!$H$4384,MATCH($A28&amp;F$2,Master!$A$2:'Master'!$A$4384&amp;Master!$C$2:'Master'!$C$4384,0))</f>
        <v>99</v>
      </c>
      <c r="G28" s="21" cm="1">
        <f t="array" aca="1" ref="G28" ca="1">INDEX(Master!$H$2:'Master'!$H$4384,MATCH($A28&amp;G$2,Master!$A$2:'Master'!$A$4384&amp;Master!$C$2:'Master'!$C$4384,0))</f>
        <v>97</v>
      </c>
      <c r="H28" s="21" cm="1">
        <f t="array" aca="1" ref="H28" ca="1">INDEX(Master!$H$2:'Master'!$H$4384,MATCH($A28&amp;H$2,Master!$A$2:'Master'!$A$4384&amp;Master!$C$2:'Master'!$C$4384,0))</f>
        <v>99</v>
      </c>
      <c r="I28" s="21" cm="1">
        <f t="array" aca="1" ref="I28" ca="1">INDEX(Master!$H$2:'Master'!$H$4384,MATCH($A28&amp;I$2,Master!$A$2:'Master'!$A$4384&amp;Master!$C$2:'Master'!$C$4384,0))</f>
        <v>99</v>
      </c>
      <c r="J28" s="21" cm="1">
        <f t="array" aca="1" ref="J28" ca="1">INDEX(Master!$H$2:'Master'!$H$4384,MATCH($A28&amp;J$2,Master!$A$2:'Master'!$A$4384&amp;Master!$C$2:'Master'!$C$4384,0))</f>
        <v>96</v>
      </c>
      <c r="K28" s="21" cm="1">
        <f t="array" aca="1" ref="K28" ca="1">INDEX(Master!$H$2:'Master'!$H$4384,MATCH($A28&amp;K$2,Master!$A$2:'Master'!$A$4384&amp;Master!$C$2:'Master'!$C$4384,0))</f>
        <v>97</v>
      </c>
      <c r="L28" s="21" cm="1">
        <f t="array" aca="1" ref="L28" ca="1">INDEX(Master!$H$2:'Master'!$H$4384,MATCH($A28&amp;L$2,Master!$A$2:'Master'!$A$4384&amp;Master!$C$2:'Master'!$C$4384,0))</f>
        <v>97</v>
      </c>
      <c r="M28" s="21" cm="1">
        <f t="array" aca="1" ref="M28" ca="1">INDEX(Master!$H$2:'Master'!$H$4384,MATCH($A28&amp;M$2,Master!$A$2:'Master'!$A$4384&amp;Master!$C$2:'Master'!$C$4384,0))</f>
        <v>96</v>
      </c>
      <c r="N28" s="21" cm="1">
        <f t="array" aca="1" ref="N28" ca="1">INDEX(Master!$H$2:'Master'!$H$4384,MATCH($A28&amp;N$2,Master!$A$2:'Master'!$A$4384&amp;Master!$C$2:'Master'!$C$4384,0))</f>
        <v>97</v>
      </c>
      <c r="O28" s="21" cm="1">
        <f t="array" aca="1" ref="O28" ca="1">INDEX(Master!$H$2:'Master'!$H$4384,MATCH($A28&amp;O$2,Master!$A$2:'Master'!$A$4384&amp;Master!$C$2:'Master'!$C$4384,0))</f>
        <v>97</v>
      </c>
      <c r="P28" s="21" cm="1">
        <f t="array" aca="1" ref="P28" ca="1">INDEX(Master!$H$2:'Master'!$H$4384,MATCH($A28&amp;P$2,Master!$A$2:'Master'!$A$4384&amp;Master!$C$2:'Master'!$C$4384,0))</f>
        <v>97</v>
      </c>
      <c r="Q28" s="21" cm="1">
        <f t="array" aca="1" ref="Q28" ca="1">INDEX(Master!$H$2:'Master'!$H$4384,MATCH($A28&amp;Q$2,Master!$A$2:'Master'!$A$4384&amp;Master!$C$2:'Master'!$C$4384,0))</f>
        <v>98</v>
      </c>
      <c r="R28" s="21" cm="1">
        <f t="array" aca="1" ref="R28" ca="1">INDEX(Master!$H$2:'Master'!$H$4384,MATCH($A28&amp;R$2,Master!$A$2:'Master'!$A$4384&amp;Master!$C$2:'Master'!$C$4384,0))</f>
        <v>99</v>
      </c>
      <c r="S28" s="21" cm="1">
        <f t="array" aca="1" ref="S28" ca="1">INDEX(Master!$H$2:'Master'!$H$4384,MATCH($A28&amp;S$2,Master!$A$2:'Master'!$A$4384&amp;Master!$C$2:'Master'!$C$4384,0))</f>
        <v>99</v>
      </c>
      <c r="T28" s="21" cm="1">
        <f t="array" aca="1" ref="T28" ca="1">INDEX(Master!$H$2:'Master'!$H$4384,MATCH($A28&amp;T$2,Master!$A$2:'Master'!$A$4384&amp;Master!$C$2:'Master'!$C$4384,0))</f>
        <v>98</v>
      </c>
      <c r="U28" s="21" cm="1">
        <f t="array" aca="1" ref="U28" ca="1">INDEX(Master!$H$2:'Master'!$H$4384,MATCH($A28&amp;U$2,Master!$A$2:'Master'!$A$4384&amp;Master!$C$2:'Master'!$C$4384,0))</f>
        <v>99</v>
      </c>
      <c r="V28" s="21" cm="1">
        <f t="array" aca="1" ref="V28" ca="1">INDEX(Master!$H$2:'Master'!$H$4384,MATCH($A28&amp;V$2,Master!$A$2:'Master'!$A$4384&amp;Master!$C$2:'Master'!$C$4384,0))</f>
        <v>97</v>
      </c>
      <c r="W28" s="21" cm="1">
        <f t="array" aca="1" ref="W28" ca="1">INDEX(Master!$H$2:'Master'!$H$4384,MATCH($A28&amp;W$2,Master!$A$2:'Master'!$A$4384&amp;Master!$C$2:'Master'!$C$4384,0))</f>
        <v>98</v>
      </c>
      <c r="X28" s="21" cm="1">
        <f t="array" aca="1" ref="X28" ca="1">INDEX(Master!$H$2:'Master'!$H$4384,MATCH($A28&amp;X$2,Master!$A$2:'Master'!$A$4384&amp;Master!$C$2:'Master'!$C$4384,0))</f>
        <v>99</v>
      </c>
      <c r="Y28" s="21" cm="1">
        <f t="array" aca="1" ref="Y28" ca="1">INDEX(Master!$H$2:'Master'!$H$4384,MATCH($A28&amp;Y$2,Master!$A$2:'Master'!$A$4384&amp;Master!$C$2:'Master'!$C$4384,0))</f>
        <v>99</v>
      </c>
      <c r="Z28" s="21" cm="1">
        <f t="array" aca="1" ref="Z28" ca="1">INDEX(Master!$H$2:'Master'!$H$4384,MATCH($A28&amp;Z$2,Master!$A$2:'Master'!$A$4384&amp;Master!$C$2:'Master'!$C$4384,0))</f>
        <v>97</v>
      </c>
      <c r="AA28" s="21" cm="1">
        <f t="array" aca="1" ref="AA28" ca="1">INDEX(Master!$H$2:'Master'!$H$4384,MATCH($A28&amp;AA$2,Master!$A$2:'Master'!$A$4384&amp;Master!$C$2:'Master'!$C$4384,0))</f>
        <v>97</v>
      </c>
      <c r="AB28" s="21" cm="1">
        <f t="array" aca="1" ref="AB28" ca="1">INDEX(Master!$H$2:'Master'!$H$4384,MATCH($A28&amp;AB$2,Master!$A$2:'Master'!$A$4384&amp;Master!$C$2:'Master'!$C$4384,0))</f>
        <v>98</v>
      </c>
      <c r="AC28" s="21" cm="1">
        <f t="array" aca="1" ref="AC28" ca="1">INDEX(Master!$H$2:'Master'!$H$4384,MATCH($A28&amp;AC$2,Master!$A$2:'Master'!$A$4384&amp;Master!$C$2:'Master'!$C$4384,0))</f>
        <v>97</v>
      </c>
      <c r="AD28" s="21" cm="1">
        <f t="array" aca="1" ref="AD28" ca="1">INDEX(Master!$H$2:'Master'!$H$4384,MATCH($A28&amp;AD$2,Master!$A$2:'Master'!$A$4384&amp;Master!$C$2:'Master'!$C$4384,0))</f>
        <v>98</v>
      </c>
      <c r="AE28" s="21" cm="1">
        <f t="array" aca="1" ref="AE28" ca="1">INDEX(Master!$H$2:'Master'!$H$4384,MATCH($A28&amp;AE$2,Master!$A$2:'Master'!$A$4384&amp;Master!$C$2:'Master'!$C$4384,0))</f>
        <v>99</v>
      </c>
      <c r="AF28" s="21" cm="1">
        <f t="array" aca="1" ref="AF28" ca="1">INDEX(Master!$H$2:'Master'!$H$4384,MATCH($A28&amp;AF$2,Master!$A$2:'Master'!$A$4384&amp;Master!$C$2:'Master'!$C$4384,0))</f>
        <v>99</v>
      </c>
      <c r="AG28" s="21" cm="1">
        <f t="array" aca="1" ref="AG28" ca="1">INDEX(Master!$H$2:'Master'!$H$4384,MATCH($A28&amp;AG$2,Master!$A$2:'Master'!$A$4384&amp;Master!$C$2:'Master'!$C$4384,0))</f>
        <v>99</v>
      </c>
      <c r="AH28" s="21" cm="1">
        <f t="array" aca="1" ref="AH28" ca="1">INDEX(Master!$H$2:'Master'!$H$4384,MATCH($A28&amp;AH$2,Master!$A$2:'Master'!$A$4384&amp;Master!$C$2:'Master'!$C$4384,0))</f>
        <v>99</v>
      </c>
      <c r="AI28" s="21" cm="1">
        <f t="array" aca="1" ref="AI28" ca="1">INDEX(Master!$H$2:'Master'!$H$4384,MATCH($A28&amp;AI$2,Master!$A$2:'Master'!$A$4384&amp;Master!$C$2:'Master'!$C$4384,0))</f>
        <v>99</v>
      </c>
      <c r="AJ28" s="21" cm="1">
        <f t="array" aca="1" ref="AJ28" ca="1">INDEX(Master!$H$2:'Master'!$H$4384,MATCH($A28&amp;AJ$2,Master!$A$2:'Master'!$A$4384&amp;Master!$C$2:'Master'!$C$4384,0))</f>
        <v>99</v>
      </c>
      <c r="AK28" s="21" cm="1">
        <f t="array" aca="1" ref="AK28" ca="1">INDEX(Master!$H$2:'Master'!$H$4384,MATCH($A28&amp;AK$2,Master!$A$2:'Master'!$A$4384&amp;Master!$C$2:'Master'!$C$4384,0))</f>
        <v>99</v>
      </c>
      <c r="AL28" s="21" cm="1">
        <f t="array" aca="1" ref="AL28" ca="1">INDEX(Master!$H$2:'Master'!$H$4384,MATCH($A28&amp;AL$2,Master!$A$2:'Master'!$A$4384&amp;Master!$C$2:'Master'!$C$4384,0))</f>
        <v>99</v>
      </c>
      <c r="AM28" s="21" cm="1">
        <f t="array" aca="1" ref="AM28" ca="1">INDEX(Master!$H$2:'Master'!$H$4384,MATCH($A28&amp;AM$2,Master!$A$2:'Master'!$A$4384&amp;Master!$C$2:'Master'!$C$4384,0))</f>
        <v>99</v>
      </c>
      <c r="AN28" s="21" cm="1">
        <f t="array" aca="1" ref="AN28" ca="1">INDEX(Master!$H$2:'Master'!$H$4384,MATCH($A28&amp;AN$2,Master!$A$2:'Master'!$A$4384&amp;Master!$C$2:'Master'!$C$4384,0))</f>
        <v>99</v>
      </c>
      <c r="AO28" s="21" cm="1">
        <f t="array" aca="1" ref="AO28" ca="1">INDEX(Master!$H$2:'Master'!$H$4384,MATCH($A28&amp;AO$2,Master!$A$2:'Master'!$A$4384&amp;Master!$C$2:'Master'!$C$4384,0))</f>
        <v>98</v>
      </c>
      <c r="AP28" s="21" cm="1">
        <f t="array" aca="1" ref="AP28" ca="1">INDEX(Master!$H$2:'Master'!$H$4384,MATCH($A28&amp;AP$2,Master!$A$2:'Master'!$A$4384&amp;Master!$C$2:'Master'!$C$4384,0))</f>
        <v>97</v>
      </c>
      <c r="AQ28" s="21" cm="1">
        <f t="array" aca="1" ref="AQ28" ca="1">INDEX(Master!$H$2:'Master'!$H$4384,MATCH($A28&amp;AQ$2,Master!$A$2:'Master'!$A$4384&amp;Master!$C$2:'Master'!$C$4384,0))</f>
        <v>98</v>
      </c>
      <c r="AR28" s="21" cm="1">
        <f t="array" aca="1" ref="AR28" ca="1">INDEX(Master!$H$2:'Master'!$H$4384,MATCH($A28&amp;AR$2,Master!$A$2:'Master'!$A$4384&amp;Master!$C$2:'Master'!$C$4384,0))</f>
        <v>98</v>
      </c>
      <c r="AS28" s="21" cm="1">
        <f t="array" aca="1" ref="AS28" ca="1">INDEX(Master!$H$2:'Master'!$H$4384,MATCH($A28&amp;AS$2,Master!$A$2:'Master'!$A$4384&amp;Master!$C$2:'Master'!$C$4384,0))</f>
        <v>99</v>
      </c>
      <c r="AT28" s="21" cm="1">
        <f t="array" aca="1" ref="AT28" ca="1">INDEX(Master!$H$2:'Master'!$H$4384,MATCH($A28&amp;AT$2,Master!$A$2:'Master'!$A$4384&amp;Master!$C$2:'Master'!$C$4384,0))</f>
        <v>99</v>
      </c>
      <c r="AU28" s="21" cm="1">
        <f t="array" aca="1" ref="AU28" ca="1">INDEX(Master!$H$2:'Master'!$H$4384,MATCH($A28&amp;AU$2,Master!$A$2:'Master'!$A$4384&amp;Master!$C$2:'Master'!$C$4384,0))</f>
        <v>99</v>
      </c>
      <c r="AV28" s="21" cm="1">
        <f t="array" aca="1" ref="AV28" ca="1">INDEX(Master!$H$2:'Master'!$H$4384,MATCH($A28&amp;AV$2,Master!$A$2:'Master'!$A$4384&amp;Master!$C$2:'Master'!$C$4384,0))</f>
        <v>97</v>
      </c>
      <c r="AW28" s="21" cm="1">
        <f t="array" aca="1" ref="AW28" ca="1">INDEX(Master!$H$2:'Master'!$H$4384,MATCH($A28&amp;AW$2,Master!$A$2:'Master'!$A$4384&amp;Master!$C$2:'Master'!$C$4384,0))</f>
        <v>99</v>
      </c>
      <c r="AX28" s="21" cm="1">
        <f t="array" aca="1" ref="AX28" ca="1">INDEX(Master!$H$2:'Master'!$H$4384,MATCH($A28&amp;AX$2,Master!$A$2:'Master'!$A$4384&amp;Master!$C$2:'Master'!$C$4384,0))</f>
        <v>99</v>
      </c>
      <c r="AY28" s="21" cm="1">
        <f t="array" aca="1" ref="AY28" ca="1">INDEX(Master!$H$2:'Master'!$H$4384,MATCH($A28&amp;AY$2,Master!$A$2:'Master'!$A$4384&amp;Master!$C$2:'Master'!$C$4384,0))</f>
        <v>99</v>
      </c>
      <c r="AZ28" s="21" cm="1">
        <f t="array" aca="1" ref="AZ28" ca="1">INDEX(Master!$H$2:'Master'!$H$4384,MATCH($A28&amp;AZ$2,Master!$A$2:'Master'!$A$4384&amp;Master!$C$2:'Master'!$C$4384,0))</f>
        <v>98</v>
      </c>
      <c r="BA28" s="21" cm="1">
        <f t="array" aca="1" ref="BA28" ca="1">INDEX(Master!$H$2:'Master'!$H$4384,MATCH($A28&amp;BA$2,Master!$A$2:'Master'!$A$4384&amp;Master!$C$2:'Master'!$C$4384,0))</f>
        <v>99</v>
      </c>
      <c r="BB28" s="21" cm="1">
        <f t="array" aca="1" ref="BB28" ca="1">INDEX(Master!$H$2:'Master'!$H$4384,MATCH($A28&amp;BB$2,Master!$A$2:'Master'!$A$4384&amp;Master!$C$2:'Master'!$C$4384,0))</f>
        <v>99</v>
      </c>
      <c r="BC28" s="21" cm="1">
        <f t="array" aca="1" ref="BC28" ca="1">INDEX(Master!$H$2:'Master'!$H$4384,MATCH($A28&amp;BC$2,Master!$A$2:'Master'!$A$4384&amp;Master!$C$2:'Master'!$C$4384,0))</f>
        <v>99</v>
      </c>
      <c r="BD28" s="21" cm="1">
        <f t="array" aca="1" ref="BD28" ca="1">INDEX(Master!$H$2:'Master'!$H$4384,MATCH($A28&amp;BD$2,Master!$A$2:'Master'!$A$4384&amp;Master!$C$2:'Master'!$C$4384,0))</f>
        <v>99</v>
      </c>
      <c r="BE28" s="21" cm="1">
        <f t="array" aca="1" ref="BE28" ca="1">INDEX(Master!$H$2:'Master'!$H$4384,MATCH($A28&amp;BE$2,Master!$A$2:'Master'!$A$4384&amp;Master!$C$2:'Master'!$C$4384,0))</f>
        <v>99</v>
      </c>
      <c r="BF28" s="21" cm="1">
        <f t="array" aca="1" ref="BF28" ca="1">INDEX(Master!$H$2:'Master'!$H$4384,MATCH($A28&amp;BF$2,Master!$A$2:'Master'!$A$4384&amp;Master!$C$2:'Master'!$C$4384,0))</f>
        <v>99</v>
      </c>
      <c r="BG28" s="21" cm="1">
        <f t="array" aca="1" ref="BG28" ca="1">INDEX(Master!$H$2:'Master'!$H$4384,MATCH($A28&amp;BG$2,Master!$A$2:'Master'!$A$4384&amp;Master!$C$2:'Master'!$C$4384,0))</f>
        <v>97</v>
      </c>
      <c r="BH28" s="21" cm="1">
        <f t="array" aca="1" ref="BH28" ca="1">INDEX(Master!$H$2:'Master'!$H$4384,MATCH($A28&amp;BH$2,Master!$A$2:'Master'!$A$4384&amp;Master!$C$2:'Master'!$C$4384,0))</f>
        <v>99</v>
      </c>
      <c r="BI28" s="21" cm="1">
        <f t="array" aca="1" ref="BI28" ca="1">INDEX(Master!$H$2:'Master'!$H$4384,MATCH($A28&amp;BI$2,Master!$A$2:'Master'!$A$4384&amp;Master!$C$2:'Master'!$C$4384,0))</f>
        <v>98</v>
      </c>
      <c r="BJ28" s="21" cm="1">
        <f t="array" aca="1" ref="BJ28" ca="1">INDEX(Master!$H$2:'Master'!$H$4384,MATCH($A28&amp;BJ$2,Master!$A$2:'Master'!$A$4384&amp;Master!$C$2:'Master'!$C$4384,0))</f>
        <v>99</v>
      </c>
      <c r="BK28" s="21" cm="1">
        <f t="array" aca="1" ref="BK28" ca="1">INDEX(Master!$H$2:'Master'!$H$4384,MATCH($A28&amp;BK$2,Master!$A$2:'Master'!$A$4384&amp;Master!$C$2:'Master'!$C$4384,0))</f>
        <v>98</v>
      </c>
      <c r="BL28" s="21" cm="1">
        <f t="array" aca="1" ref="BL28" ca="1">INDEX(Master!$H$2:'Master'!$H$4384,MATCH($A28&amp;BL$2,Master!$A$2:'Master'!$A$4384&amp;Master!$C$2:'Master'!$C$4384,0))</f>
        <v>98</v>
      </c>
      <c r="BM28" s="21" cm="1">
        <f t="array" aca="1" ref="BM28" ca="1">INDEX(Master!$H$2:'Master'!$H$4384,MATCH($A28&amp;BM$2,Master!$A$2:'Master'!$A$4384&amp;Master!$C$2:'Master'!$C$4384,0))</f>
        <v>98</v>
      </c>
      <c r="BN28" s="21" cm="1">
        <f t="array" aca="1" ref="BN28" ca="1">INDEX(Master!$H$2:'Master'!$H$4384,MATCH($A28&amp;BN$2,Master!$A$2:'Master'!$A$4384&amp;Master!$C$2:'Master'!$C$4384,0))</f>
        <v>99</v>
      </c>
      <c r="BO28" s="21" cm="1">
        <f t="array" aca="1" ref="BO28" ca="1">INDEX(Master!$H$2:'Master'!$H$4384,MATCH($A28&amp;BO$2,Master!$A$2:'Master'!$A$4384&amp;Master!$C$2:'Master'!$C$4384,0))</f>
        <v>99</v>
      </c>
      <c r="BP28" s="21" cm="1">
        <f t="array" aca="1" ref="BP28" ca="1">INDEX(Master!$H$2:'Master'!$H$4384,MATCH($A28&amp;BP$2,Master!$A$2:'Master'!$A$4384&amp;Master!$C$2:'Master'!$C$4384,0))</f>
        <v>99</v>
      </c>
      <c r="BQ28" s="21" cm="1">
        <f t="array" aca="1" ref="BQ28" ca="1">INDEX(Master!$H$2:'Master'!$H$4384,MATCH($A28&amp;BQ$2,Master!$A$2:'Master'!$A$4384&amp;Master!$C$2:'Master'!$C$4384,0))</f>
        <v>98</v>
      </c>
      <c r="BR28" s="21" cm="1">
        <f t="array" aca="1" ref="BR28" ca="1">INDEX(Master!$H$2:'Master'!$H$4384,MATCH($A28&amp;BR$2,Master!$A$2:'Master'!$A$4384&amp;Master!$C$2:'Master'!$C$4384,0))</f>
        <v>99</v>
      </c>
      <c r="BS28" s="21" cm="1">
        <f t="array" aca="1" ref="BS28" ca="1">INDEX(Master!$H$2:'Master'!$H$4384,MATCH($A28&amp;BS$2,Master!$A$2:'Master'!$A$4384&amp;Master!$C$2:'Master'!$C$4384,0))</f>
        <v>99</v>
      </c>
      <c r="BT28" s="21" cm="1">
        <f t="array" aca="1" ref="BT28" ca="1">INDEX(Master!$H$2:'Master'!$H$4384,MATCH($A28&amp;BT$2,Master!$A$2:'Master'!$A$4384&amp;Master!$C$2:'Master'!$C$4384,0))</f>
        <v>99</v>
      </c>
      <c r="BU28" s="21" cm="1">
        <f t="array" aca="1" ref="BU28" ca="1">INDEX(Master!$H$2:'Master'!$H$4384,MATCH($A28&amp;BU$2,Master!$A$2:'Master'!$A$4384&amp;Master!$C$2:'Master'!$C$4384,0))</f>
        <v>99</v>
      </c>
      <c r="BV28" s="21" cm="1">
        <f t="array" aca="1" ref="BV28" ca="1">INDEX(Master!$H$2:'Master'!$H$4384,MATCH($A28&amp;BV$2,Master!$A$2:'Master'!$A$4384&amp;Master!$C$2:'Master'!$C$4384,0))</f>
        <v>97</v>
      </c>
      <c r="BW28" s="21" cm="1">
        <f t="array" aca="1" ref="BW28" ca="1">INDEX(Master!$H$2:'Master'!$H$4384,MATCH($A28&amp;BW$2,Master!$A$2:'Master'!$A$4384&amp;Master!$C$2:'Master'!$C$4384,0))</f>
        <v>99</v>
      </c>
      <c r="BX28" s="21" cm="1">
        <f t="array" aca="1" ref="BX28" ca="1">INDEX(Master!$H$2:'Master'!$H$4384,MATCH($A28&amp;BX$2,Master!$A$2:'Master'!$A$4384&amp;Master!$C$2:'Master'!$C$4384,0))</f>
        <v>97</v>
      </c>
      <c r="BY28" s="21" cm="1">
        <f t="array" aca="1" ref="BY28" ca="1">INDEX(Master!$H$2:'Master'!$H$4384,MATCH($A28&amp;BY$2,Master!$A$2:'Master'!$A$4384&amp;Master!$C$2:'Master'!$C$4384,0))</f>
        <v>99</v>
      </c>
      <c r="BZ28" s="21" cm="1">
        <f t="array" aca="1" ref="BZ28" ca="1">INDEX(Master!$H$2:'Master'!$H$4384,MATCH($A28&amp;BZ$2,Master!$A$2:'Master'!$A$4384&amp;Master!$C$2:'Master'!$C$4384,0))</f>
        <v>98</v>
      </c>
      <c r="CA28" s="21" cm="1">
        <f t="array" aca="1" ref="CA28" ca="1">INDEX(Master!$H$2:'Master'!$H$4384,MATCH($A28&amp;CA$2,Master!$A$2:'Master'!$A$4384&amp;Master!$C$2:'Master'!$C$4384,0))</f>
        <v>99</v>
      </c>
      <c r="CB28" s="21" cm="1">
        <f t="array" aca="1" ref="CB28" ca="1">INDEX(Master!$H$2:'Master'!$H$4384,MATCH($A28&amp;CB$2,Master!$A$2:'Master'!$A$4384&amp;Master!$C$2:'Master'!$C$4384,0))</f>
        <v>98</v>
      </c>
      <c r="CC28" s="21" cm="1">
        <f t="array" aca="1" ref="CC28" ca="1">INDEX(Master!$H$2:'Master'!$H$4384,MATCH($A28&amp;CC$2,Master!$A$2:'Master'!$A$4384&amp;Master!$C$2:'Master'!$C$4384,0))</f>
        <v>98</v>
      </c>
      <c r="CD28" s="21" cm="1">
        <f t="array" aca="1" ref="CD28" ca="1">INDEX(Master!$H$2:'Master'!$H$4384,MATCH($A28&amp;CD$2,Master!$A$2:'Master'!$A$4384&amp;Master!$C$2:'Master'!$C$4384,0))</f>
        <v>98</v>
      </c>
      <c r="CE28" s="21" cm="1">
        <f t="array" aca="1" ref="CE28" ca="1">INDEX(Master!$H$2:'Master'!$H$4384,MATCH($A28&amp;CE$2,Master!$A$2:'Master'!$A$4384&amp;Master!$C$2:'Master'!$C$4384,0))</f>
        <v>98</v>
      </c>
      <c r="CF28" s="21" cm="1">
        <f t="array" aca="1" ref="CF28" ca="1">INDEX(Master!$H$2:'Master'!$H$4384,MATCH($A28&amp;CF$2,Master!$A$2:'Master'!$A$4384&amp;Master!$C$2:'Master'!$C$4384,0))</f>
        <v>98</v>
      </c>
      <c r="CG28" s="21" cm="1">
        <f t="array" aca="1" ref="CG28" ca="1">INDEX(Master!$H$2:'Master'!$H$4384,MATCH($A28&amp;CG$2,Master!$A$2:'Master'!$A$4384&amp;Master!$C$2:'Master'!$C$4384,0))</f>
        <v>98</v>
      </c>
      <c r="CH28" s="21" cm="1">
        <f t="array" aca="1" ref="CH28" ca="1">INDEX(Master!$H$2:'Master'!$H$4384,MATCH($A28&amp;CH$2,Master!$A$2:'Master'!$A$4384&amp;Master!$C$2:'Master'!$C$4384,0))</f>
        <v>98</v>
      </c>
      <c r="CI28" s="21" cm="1">
        <f t="array" aca="1" ref="CI28" ca="1">INDEX(Master!$H$2:'Master'!$H$4384,MATCH($A28&amp;CI$2,Master!$A$2:'Master'!$A$4384&amp;Master!$C$2:'Master'!$C$4384,0))</f>
        <v>98</v>
      </c>
      <c r="CJ28" s="21" cm="1">
        <f t="array" aca="1" ref="CJ28" ca="1">INDEX(Master!$H$2:'Master'!$H$4384,MATCH($A28&amp;CJ$2,Master!$A$2:'Master'!$A$4384&amp;Master!$C$2:'Master'!$C$4384,0))</f>
        <v>99</v>
      </c>
      <c r="CK28" s="21" cm="1">
        <f t="array" aca="1" ref="CK28" ca="1">INDEX(Master!$H$2:'Master'!$H$4384,MATCH($A28&amp;CK$2,Master!$A$2:'Master'!$A$4384&amp;Master!$C$2:'Master'!$C$4384,0))</f>
        <v>99</v>
      </c>
      <c r="CL28" s="21" cm="1">
        <f t="array" aca="1" ref="CL28" ca="1">INDEX(Master!$H$2:'Master'!$H$4384,MATCH($A28&amp;CL$2,Master!$A$2:'Master'!$A$4384&amp;Master!$C$2:'Master'!$C$4384,0))</f>
        <v>99</v>
      </c>
      <c r="CM28" s="21" cm="1">
        <f t="array" aca="1" ref="CM28" ca="1">INDEX(Master!$H$2:'Master'!$H$4384,MATCH($A28&amp;CM$2,Master!$A$2:'Master'!$A$4384&amp;Master!$C$2:'Master'!$C$4384,0))</f>
        <v>99</v>
      </c>
      <c r="CN28" s="21" cm="1">
        <f t="array" aca="1" ref="CN28" ca="1">INDEX(Master!$H$2:'Master'!$H$4384,MATCH($A28&amp;CN$2,Master!$A$2:'Master'!$A$4384&amp;Master!$C$2:'Master'!$C$4384,0))</f>
        <v>97</v>
      </c>
      <c r="CO28" s="21" cm="1">
        <f t="array" aca="1" ref="CO28" ca="1">INDEX(Master!$H$2:'Master'!$H$4384,MATCH($A28&amp;CO$2,Master!$A$2:'Master'!$A$4384&amp;Master!$C$2:'Master'!$C$4384,0))</f>
        <v>97</v>
      </c>
      <c r="CP28" s="21" cm="1">
        <f t="array" aca="1" ref="CP28" ca="1">INDEX(Master!$H$2:'Master'!$H$4384,MATCH($A28&amp;CP$2,Master!$A$2:'Master'!$A$4384&amp;Master!$C$2:'Master'!$C$4384,0))</f>
        <v>97</v>
      </c>
      <c r="CQ28" s="21" cm="1">
        <f t="array" aca="1" ref="CQ28" ca="1">INDEX(Master!$H$2:'Master'!$H$4384,MATCH($A28&amp;CQ$2,Master!$A$2:'Master'!$A$4384&amp;Master!$C$2:'Master'!$C$4384,0))</f>
        <v>99</v>
      </c>
      <c r="CR28" s="21" cm="1">
        <f t="array" aca="1" ref="CR28" ca="1">INDEX(Master!$H$2:'Master'!$H$4384,MATCH($A28&amp;CR$2,Master!$A$2:'Master'!$A$4384&amp;Master!$C$2:'Master'!$C$4384,0))</f>
        <v>99</v>
      </c>
      <c r="CS28" s="21" cm="1">
        <f t="array" aca="1" ref="CS28" ca="1">INDEX(Master!$H$2:'Master'!$H$4384,MATCH($A28&amp;CS$2,Master!$A$2:'Master'!$A$4384&amp;Master!$C$2:'Master'!$C$4384,0))</f>
        <v>98</v>
      </c>
    </row>
    <row r="29" spans="1:97">
      <c r="A29" s="22" t="str">
        <f>VLOOKUP(Staff!$A26,Staff!$A$1:A$73,1,FALSE)</f>
        <v>John Barnaby</v>
      </c>
      <c r="B29" s="21" cm="1">
        <f t="array" aca="1" ref="B29" ca="1">INDEX(Master!$H$2:'Master'!$H$4384,MATCH($A29&amp;B$2,Master!$A$2:'Master'!$A$4384&amp;Master!$C$2:'Master'!$C$4384,0))</f>
        <v>99</v>
      </c>
      <c r="C29" s="21" cm="1">
        <f t="array" aca="1" ref="C29" ca="1">INDEX(Master!$H$2:'Master'!$H$4384,MATCH($A29&amp;C$2,Master!$A$2:'Master'!$A$4384&amp;Master!$C$2:'Master'!$C$4384,0))</f>
        <v>99</v>
      </c>
      <c r="D29" s="21" cm="1">
        <f t="array" aca="1" ref="D29" ca="1">INDEX(Master!$H$2:'Master'!$H$4384,MATCH($A29&amp;D$2,Master!$A$2:'Master'!$A$4384&amp;Master!$C$2:'Master'!$C$4384,0))</f>
        <v>99</v>
      </c>
      <c r="E29" s="21" cm="1">
        <f t="array" aca="1" ref="E29" ca="1">INDEX(Master!$H$2:'Master'!$H$4384,MATCH($A29&amp;E$2,Master!$A$2:'Master'!$A$4384&amp;Master!$C$2:'Master'!$C$4384,0))</f>
        <v>97</v>
      </c>
      <c r="F29" s="21" cm="1">
        <f t="array" aca="1" ref="F29" ca="1">INDEX(Master!$H$2:'Master'!$H$4384,MATCH($A29&amp;F$2,Master!$A$2:'Master'!$A$4384&amp;Master!$C$2:'Master'!$C$4384,0))</f>
        <v>99</v>
      </c>
      <c r="G29" s="21" cm="1">
        <f t="array" aca="1" ref="G29" ca="1">INDEX(Master!$H$2:'Master'!$H$4384,MATCH($A29&amp;G$2,Master!$A$2:'Master'!$A$4384&amp;Master!$C$2:'Master'!$C$4384,0))</f>
        <v>97</v>
      </c>
      <c r="H29" s="21" cm="1">
        <f t="array" aca="1" ref="H29" ca="1">INDEX(Master!$H$2:'Master'!$H$4384,MATCH($A29&amp;H$2,Master!$A$2:'Master'!$A$4384&amp;Master!$C$2:'Master'!$C$4384,0))</f>
        <v>99</v>
      </c>
      <c r="I29" s="21" cm="1">
        <f t="array" aca="1" ref="I29" ca="1">INDEX(Master!$H$2:'Master'!$H$4384,MATCH($A29&amp;I$2,Master!$A$2:'Master'!$A$4384&amp;Master!$C$2:'Master'!$C$4384,0))</f>
        <v>99</v>
      </c>
      <c r="J29" s="21" cm="1">
        <f t="array" aca="1" ref="J29" ca="1">INDEX(Master!$H$2:'Master'!$H$4384,MATCH($A29&amp;J$2,Master!$A$2:'Master'!$A$4384&amp;Master!$C$2:'Master'!$C$4384,0))</f>
        <v>96</v>
      </c>
      <c r="K29" s="21" cm="1">
        <f t="array" aca="1" ref="K29" ca="1">INDEX(Master!$H$2:'Master'!$H$4384,MATCH($A29&amp;K$2,Master!$A$2:'Master'!$A$4384&amp;Master!$C$2:'Master'!$C$4384,0))</f>
        <v>97</v>
      </c>
      <c r="L29" s="21" cm="1">
        <f t="array" aca="1" ref="L29" ca="1">INDEX(Master!$H$2:'Master'!$H$4384,MATCH($A29&amp;L$2,Master!$A$2:'Master'!$A$4384&amp;Master!$C$2:'Master'!$C$4384,0))</f>
        <v>97</v>
      </c>
      <c r="M29" s="21" cm="1">
        <f t="array" aca="1" ref="M29" ca="1">INDEX(Master!$H$2:'Master'!$H$4384,MATCH($A29&amp;M$2,Master!$A$2:'Master'!$A$4384&amp;Master!$C$2:'Master'!$C$4384,0))</f>
        <v>96</v>
      </c>
      <c r="N29" s="21" cm="1">
        <f t="array" aca="1" ref="N29" ca="1">INDEX(Master!$H$2:'Master'!$H$4384,MATCH($A29&amp;N$2,Master!$A$2:'Master'!$A$4384&amp;Master!$C$2:'Master'!$C$4384,0))</f>
        <v>97</v>
      </c>
      <c r="O29" s="21" cm="1">
        <f t="array" aca="1" ref="O29" ca="1">INDEX(Master!$H$2:'Master'!$H$4384,MATCH($A29&amp;O$2,Master!$A$2:'Master'!$A$4384&amp;Master!$C$2:'Master'!$C$4384,0))</f>
        <v>97</v>
      </c>
      <c r="P29" s="21" cm="1">
        <f t="array" aca="1" ref="P29" ca="1">INDEX(Master!$H$2:'Master'!$H$4384,MATCH($A29&amp;P$2,Master!$A$2:'Master'!$A$4384&amp;Master!$C$2:'Master'!$C$4384,0))</f>
        <v>97</v>
      </c>
      <c r="Q29" s="21" cm="1">
        <f t="array" aca="1" ref="Q29" ca="1">INDEX(Master!$H$2:'Master'!$H$4384,MATCH($A29&amp;Q$2,Master!$A$2:'Master'!$A$4384&amp;Master!$C$2:'Master'!$C$4384,0))</f>
        <v>98</v>
      </c>
      <c r="R29" s="21" cm="1">
        <f t="array" aca="1" ref="R29" ca="1">INDEX(Master!$H$2:'Master'!$H$4384,MATCH($A29&amp;R$2,Master!$A$2:'Master'!$A$4384&amp;Master!$C$2:'Master'!$C$4384,0))</f>
        <v>99</v>
      </c>
      <c r="S29" s="21" cm="1">
        <f t="array" aca="1" ref="S29" ca="1">INDEX(Master!$H$2:'Master'!$H$4384,MATCH($A29&amp;S$2,Master!$A$2:'Master'!$A$4384&amp;Master!$C$2:'Master'!$C$4384,0))</f>
        <v>99</v>
      </c>
      <c r="T29" s="21" cm="1">
        <f t="array" aca="1" ref="T29" ca="1">INDEX(Master!$H$2:'Master'!$H$4384,MATCH($A29&amp;T$2,Master!$A$2:'Master'!$A$4384&amp;Master!$C$2:'Master'!$C$4384,0))</f>
        <v>98</v>
      </c>
      <c r="U29" s="21" cm="1">
        <f t="array" aca="1" ref="U29" ca="1">INDEX(Master!$H$2:'Master'!$H$4384,MATCH($A29&amp;U$2,Master!$A$2:'Master'!$A$4384&amp;Master!$C$2:'Master'!$C$4384,0))</f>
        <v>99</v>
      </c>
      <c r="V29" s="21" cm="1">
        <f t="array" aca="1" ref="V29" ca="1">INDEX(Master!$H$2:'Master'!$H$4384,MATCH($A29&amp;V$2,Master!$A$2:'Master'!$A$4384&amp;Master!$C$2:'Master'!$C$4384,0))</f>
        <v>97</v>
      </c>
      <c r="W29" s="21" cm="1">
        <f t="array" aca="1" ref="W29" ca="1">INDEX(Master!$H$2:'Master'!$H$4384,MATCH($A29&amp;W$2,Master!$A$2:'Master'!$A$4384&amp;Master!$C$2:'Master'!$C$4384,0))</f>
        <v>98</v>
      </c>
      <c r="X29" s="21" cm="1">
        <f t="array" aca="1" ref="X29" ca="1">INDEX(Master!$H$2:'Master'!$H$4384,MATCH($A29&amp;X$2,Master!$A$2:'Master'!$A$4384&amp;Master!$C$2:'Master'!$C$4384,0))</f>
        <v>99</v>
      </c>
      <c r="Y29" s="21" cm="1">
        <f t="array" aca="1" ref="Y29" ca="1">INDEX(Master!$H$2:'Master'!$H$4384,MATCH($A29&amp;Y$2,Master!$A$2:'Master'!$A$4384&amp;Master!$C$2:'Master'!$C$4384,0))</f>
        <v>99</v>
      </c>
      <c r="Z29" s="21" cm="1">
        <f t="array" aca="1" ref="Z29" ca="1">INDEX(Master!$H$2:'Master'!$H$4384,MATCH($A29&amp;Z$2,Master!$A$2:'Master'!$A$4384&amp;Master!$C$2:'Master'!$C$4384,0))</f>
        <v>97</v>
      </c>
      <c r="AA29" s="21" cm="1">
        <f t="array" aca="1" ref="AA29" ca="1">INDEX(Master!$H$2:'Master'!$H$4384,MATCH($A29&amp;AA$2,Master!$A$2:'Master'!$A$4384&amp;Master!$C$2:'Master'!$C$4384,0))</f>
        <v>97</v>
      </c>
      <c r="AB29" s="21" cm="1">
        <f t="array" aca="1" ref="AB29" ca="1">INDEX(Master!$H$2:'Master'!$H$4384,MATCH($A29&amp;AB$2,Master!$A$2:'Master'!$A$4384&amp;Master!$C$2:'Master'!$C$4384,0))</f>
        <v>98</v>
      </c>
      <c r="AC29" s="21" cm="1">
        <f t="array" aca="1" ref="AC29" ca="1">INDEX(Master!$H$2:'Master'!$H$4384,MATCH($A29&amp;AC$2,Master!$A$2:'Master'!$A$4384&amp;Master!$C$2:'Master'!$C$4384,0))</f>
        <v>97</v>
      </c>
      <c r="AD29" s="21" cm="1">
        <f t="array" aca="1" ref="AD29" ca="1">INDEX(Master!$H$2:'Master'!$H$4384,MATCH($A29&amp;AD$2,Master!$A$2:'Master'!$A$4384&amp;Master!$C$2:'Master'!$C$4384,0))</f>
        <v>98</v>
      </c>
      <c r="AE29" s="21" cm="1">
        <f t="array" aca="1" ref="AE29" ca="1">INDEX(Master!$H$2:'Master'!$H$4384,MATCH($A29&amp;AE$2,Master!$A$2:'Master'!$A$4384&amp;Master!$C$2:'Master'!$C$4384,0))</f>
        <v>99</v>
      </c>
      <c r="AF29" s="21" cm="1">
        <f t="array" aca="1" ref="AF29" ca="1">INDEX(Master!$H$2:'Master'!$H$4384,MATCH($A29&amp;AF$2,Master!$A$2:'Master'!$A$4384&amp;Master!$C$2:'Master'!$C$4384,0))</f>
        <v>99</v>
      </c>
      <c r="AG29" s="21" cm="1">
        <f t="array" aca="1" ref="AG29" ca="1">INDEX(Master!$H$2:'Master'!$H$4384,MATCH($A29&amp;AG$2,Master!$A$2:'Master'!$A$4384&amp;Master!$C$2:'Master'!$C$4384,0))</f>
        <v>99</v>
      </c>
      <c r="AH29" s="21" cm="1">
        <f t="array" aca="1" ref="AH29" ca="1">INDEX(Master!$H$2:'Master'!$H$4384,MATCH($A29&amp;AH$2,Master!$A$2:'Master'!$A$4384&amp;Master!$C$2:'Master'!$C$4384,0))</f>
        <v>99</v>
      </c>
      <c r="AI29" s="21" cm="1">
        <f t="array" aca="1" ref="AI29" ca="1">INDEX(Master!$H$2:'Master'!$H$4384,MATCH($A29&amp;AI$2,Master!$A$2:'Master'!$A$4384&amp;Master!$C$2:'Master'!$C$4384,0))</f>
        <v>99</v>
      </c>
      <c r="AJ29" s="21" cm="1">
        <f t="array" aca="1" ref="AJ29" ca="1">INDEX(Master!$H$2:'Master'!$H$4384,MATCH($A29&amp;AJ$2,Master!$A$2:'Master'!$A$4384&amp;Master!$C$2:'Master'!$C$4384,0))</f>
        <v>99</v>
      </c>
      <c r="AK29" s="21" cm="1">
        <f t="array" aca="1" ref="AK29" ca="1">INDEX(Master!$H$2:'Master'!$H$4384,MATCH($A29&amp;AK$2,Master!$A$2:'Master'!$A$4384&amp;Master!$C$2:'Master'!$C$4384,0))</f>
        <v>99</v>
      </c>
      <c r="AL29" s="21" cm="1">
        <f t="array" aca="1" ref="AL29" ca="1">INDEX(Master!$H$2:'Master'!$H$4384,MATCH($A29&amp;AL$2,Master!$A$2:'Master'!$A$4384&amp;Master!$C$2:'Master'!$C$4384,0))</f>
        <v>99</v>
      </c>
      <c r="AM29" s="21" cm="1">
        <f t="array" aca="1" ref="AM29" ca="1">INDEX(Master!$H$2:'Master'!$H$4384,MATCH($A29&amp;AM$2,Master!$A$2:'Master'!$A$4384&amp;Master!$C$2:'Master'!$C$4384,0))</f>
        <v>99</v>
      </c>
      <c r="AN29" s="21" cm="1">
        <f t="array" aca="1" ref="AN29" ca="1">INDEX(Master!$H$2:'Master'!$H$4384,MATCH($A29&amp;AN$2,Master!$A$2:'Master'!$A$4384&amp;Master!$C$2:'Master'!$C$4384,0))</f>
        <v>99</v>
      </c>
      <c r="AO29" s="21" cm="1">
        <f t="array" aca="1" ref="AO29" ca="1">INDEX(Master!$H$2:'Master'!$H$4384,MATCH($A29&amp;AO$2,Master!$A$2:'Master'!$A$4384&amp;Master!$C$2:'Master'!$C$4384,0))</f>
        <v>98</v>
      </c>
      <c r="AP29" s="21" cm="1">
        <f t="array" aca="1" ref="AP29" ca="1">INDEX(Master!$H$2:'Master'!$H$4384,MATCH($A29&amp;AP$2,Master!$A$2:'Master'!$A$4384&amp;Master!$C$2:'Master'!$C$4384,0))</f>
        <v>97</v>
      </c>
      <c r="AQ29" s="21" cm="1">
        <f t="array" aca="1" ref="AQ29" ca="1">INDEX(Master!$H$2:'Master'!$H$4384,MATCH($A29&amp;AQ$2,Master!$A$2:'Master'!$A$4384&amp;Master!$C$2:'Master'!$C$4384,0))</f>
        <v>98</v>
      </c>
      <c r="AR29" s="21" cm="1">
        <f t="array" aca="1" ref="AR29" ca="1">INDEX(Master!$H$2:'Master'!$H$4384,MATCH($A29&amp;AR$2,Master!$A$2:'Master'!$A$4384&amp;Master!$C$2:'Master'!$C$4384,0))</f>
        <v>98</v>
      </c>
      <c r="AS29" s="21" cm="1">
        <f t="array" aca="1" ref="AS29" ca="1">INDEX(Master!$H$2:'Master'!$H$4384,MATCH($A29&amp;AS$2,Master!$A$2:'Master'!$A$4384&amp;Master!$C$2:'Master'!$C$4384,0))</f>
        <v>99</v>
      </c>
      <c r="AT29" s="21" cm="1">
        <f t="array" aca="1" ref="AT29" ca="1">INDEX(Master!$H$2:'Master'!$H$4384,MATCH($A29&amp;AT$2,Master!$A$2:'Master'!$A$4384&amp;Master!$C$2:'Master'!$C$4384,0))</f>
        <v>99</v>
      </c>
      <c r="AU29" s="21" cm="1">
        <f t="array" aca="1" ref="AU29" ca="1">INDEX(Master!$H$2:'Master'!$H$4384,MATCH($A29&amp;AU$2,Master!$A$2:'Master'!$A$4384&amp;Master!$C$2:'Master'!$C$4384,0))</f>
        <v>99</v>
      </c>
      <c r="AV29" s="21" cm="1">
        <f t="array" aca="1" ref="AV29" ca="1">INDEX(Master!$H$2:'Master'!$H$4384,MATCH($A29&amp;AV$2,Master!$A$2:'Master'!$A$4384&amp;Master!$C$2:'Master'!$C$4384,0))</f>
        <v>97</v>
      </c>
      <c r="AW29" s="21" cm="1">
        <f t="array" aca="1" ref="AW29" ca="1">INDEX(Master!$H$2:'Master'!$H$4384,MATCH($A29&amp;AW$2,Master!$A$2:'Master'!$A$4384&amp;Master!$C$2:'Master'!$C$4384,0))</f>
        <v>99</v>
      </c>
      <c r="AX29" s="21" cm="1">
        <f t="array" aca="1" ref="AX29" ca="1">INDEX(Master!$H$2:'Master'!$H$4384,MATCH($A29&amp;AX$2,Master!$A$2:'Master'!$A$4384&amp;Master!$C$2:'Master'!$C$4384,0))</f>
        <v>99</v>
      </c>
      <c r="AY29" s="21" cm="1">
        <f t="array" aca="1" ref="AY29" ca="1">INDEX(Master!$H$2:'Master'!$H$4384,MATCH($A29&amp;AY$2,Master!$A$2:'Master'!$A$4384&amp;Master!$C$2:'Master'!$C$4384,0))</f>
        <v>99</v>
      </c>
      <c r="AZ29" s="21" cm="1">
        <f t="array" aca="1" ref="AZ29" ca="1">INDEX(Master!$H$2:'Master'!$H$4384,MATCH($A29&amp;AZ$2,Master!$A$2:'Master'!$A$4384&amp;Master!$C$2:'Master'!$C$4384,0))</f>
        <v>98</v>
      </c>
      <c r="BA29" s="21" cm="1">
        <f t="array" aca="1" ref="BA29" ca="1">INDEX(Master!$H$2:'Master'!$H$4384,MATCH($A29&amp;BA$2,Master!$A$2:'Master'!$A$4384&amp;Master!$C$2:'Master'!$C$4384,0))</f>
        <v>99</v>
      </c>
      <c r="BB29" s="21" cm="1">
        <f t="array" aca="1" ref="BB29" ca="1">INDEX(Master!$H$2:'Master'!$H$4384,MATCH($A29&amp;BB$2,Master!$A$2:'Master'!$A$4384&amp;Master!$C$2:'Master'!$C$4384,0))</f>
        <v>99</v>
      </c>
      <c r="BC29" s="21" cm="1">
        <f t="array" aca="1" ref="BC29" ca="1">INDEX(Master!$H$2:'Master'!$H$4384,MATCH($A29&amp;BC$2,Master!$A$2:'Master'!$A$4384&amp;Master!$C$2:'Master'!$C$4384,0))</f>
        <v>99</v>
      </c>
      <c r="BD29" s="21" cm="1">
        <f t="array" aca="1" ref="BD29" ca="1">INDEX(Master!$H$2:'Master'!$H$4384,MATCH($A29&amp;BD$2,Master!$A$2:'Master'!$A$4384&amp;Master!$C$2:'Master'!$C$4384,0))</f>
        <v>99</v>
      </c>
      <c r="BE29" s="21" cm="1">
        <f t="array" aca="1" ref="BE29" ca="1">INDEX(Master!$H$2:'Master'!$H$4384,MATCH($A29&amp;BE$2,Master!$A$2:'Master'!$A$4384&amp;Master!$C$2:'Master'!$C$4384,0))</f>
        <v>99</v>
      </c>
      <c r="BF29" s="21" cm="1">
        <f t="array" aca="1" ref="BF29" ca="1">INDEX(Master!$H$2:'Master'!$H$4384,MATCH($A29&amp;BF$2,Master!$A$2:'Master'!$A$4384&amp;Master!$C$2:'Master'!$C$4384,0))</f>
        <v>99</v>
      </c>
      <c r="BG29" s="21" cm="1">
        <f t="array" aca="1" ref="BG29" ca="1">INDEX(Master!$H$2:'Master'!$H$4384,MATCH($A29&amp;BG$2,Master!$A$2:'Master'!$A$4384&amp;Master!$C$2:'Master'!$C$4384,0))</f>
        <v>97</v>
      </c>
      <c r="BH29" s="21" cm="1">
        <f t="array" aca="1" ref="BH29" ca="1">INDEX(Master!$H$2:'Master'!$H$4384,MATCH($A29&amp;BH$2,Master!$A$2:'Master'!$A$4384&amp;Master!$C$2:'Master'!$C$4384,0))</f>
        <v>99</v>
      </c>
      <c r="BI29" s="21" cm="1">
        <f t="array" aca="1" ref="BI29" ca="1">INDEX(Master!$H$2:'Master'!$H$4384,MATCH($A29&amp;BI$2,Master!$A$2:'Master'!$A$4384&amp;Master!$C$2:'Master'!$C$4384,0))</f>
        <v>98</v>
      </c>
      <c r="BJ29" s="21" cm="1">
        <f t="array" aca="1" ref="BJ29" ca="1">INDEX(Master!$H$2:'Master'!$H$4384,MATCH($A29&amp;BJ$2,Master!$A$2:'Master'!$A$4384&amp;Master!$C$2:'Master'!$C$4384,0))</f>
        <v>99</v>
      </c>
      <c r="BK29" s="21" cm="1">
        <f t="array" aca="1" ref="BK29" ca="1">INDEX(Master!$H$2:'Master'!$H$4384,MATCH($A29&amp;BK$2,Master!$A$2:'Master'!$A$4384&amp;Master!$C$2:'Master'!$C$4384,0))</f>
        <v>98</v>
      </c>
      <c r="BL29" s="21" cm="1">
        <f t="array" aca="1" ref="BL29" ca="1">INDEX(Master!$H$2:'Master'!$H$4384,MATCH($A29&amp;BL$2,Master!$A$2:'Master'!$A$4384&amp;Master!$C$2:'Master'!$C$4384,0))</f>
        <v>98</v>
      </c>
      <c r="BM29" s="21" cm="1">
        <f t="array" aca="1" ref="BM29" ca="1">INDEX(Master!$H$2:'Master'!$H$4384,MATCH($A29&amp;BM$2,Master!$A$2:'Master'!$A$4384&amp;Master!$C$2:'Master'!$C$4384,0))</f>
        <v>98</v>
      </c>
      <c r="BN29" s="21" cm="1">
        <f t="array" aca="1" ref="BN29" ca="1">INDEX(Master!$H$2:'Master'!$H$4384,MATCH($A29&amp;BN$2,Master!$A$2:'Master'!$A$4384&amp;Master!$C$2:'Master'!$C$4384,0))</f>
        <v>99</v>
      </c>
      <c r="BO29" s="21" cm="1">
        <f t="array" aca="1" ref="BO29" ca="1">INDEX(Master!$H$2:'Master'!$H$4384,MATCH($A29&amp;BO$2,Master!$A$2:'Master'!$A$4384&amp;Master!$C$2:'Master'!$C$4384,0))</f>
        <v>99</v>
      </c>
      <c r="BP29" s="21" cm="1">
        <f t="array" aca="1" ref="BP29" ca="1">INDEX(Master!$H$2:'Master'!$H$4384,MATCH($A29&amp;BP$2,Master!$A$2:'Master'!$A$4384&amp;Master!$C$2:'Master'!$C$4384,0))</f>
        <v>99</v>
      </c>
      <c r="BQ29" s="21" cm="1">
        <f t="array" aca="1" ref="BQ29" ca="1">INDEX(Master!$H$2:'Master'!$H$4384,MATCH($A29&amp;BQ$2,Master!$A$2:'Master'!$A$4384&amp;Master!$C$2:'Master'!$C$4384,0))</f>
        <v>98</v>
      </c>
      <c r="BR29" s="21" cm="1">
        <f t="array" aca="1" ref="BR29" ca="1">INDEX(Master!$H$2:'Master'!$H$4384,MATCH($A29&amp;BR$2,Master!$A$2:'Master'!$A$4384&amp;Master!$C$2:'Master'!$C$4384,0))</f>
        <v>99</v>
      </c>
      <c r="BS29" s="21" cm="1">
        <f t="array" aca="1" ref="BS29" ca="1">INDEX(Master!$H$2:'Master'!$H$4384,MATCH($A29&amp;BS$2,Master!$A$2:'Master'!$A$4384&amp;Master!$C$2:'Master'!$C$4384,0))</f>
        <v>99</v>
      </c>
      <c r="BT29" s="21" cm="1">
        <f t="array" aca="1" ref="BT29" ca="1">INDEX(Master!$H$2:'Master'!$H$4384,MATCH($A29&amp;BT$2,Master!$A$2:'Master'!$A$4384&amp;Master!$C$2:'Master'!$C$4384,0))</f>
        <v>99</v>
      </c>
      <c r="BU29" s="21" cm="1">
        <f t="array" aca="1" ref="BU29" ca="1">INDEX(Master!$H$2:'Master'!$H$4384,MATCH($A29&amp;BU$2,Master!$A$2:'Master'!$A$4384&amp;Master!$C$2:'Master'!$C$4384,0))</f>
        <v>99</v>
      </c>
      <c r="BV29" s="21" cm="1">
        <f t="array" aca="1" ref="BV29" ca="1">INDEX(Master!$H$2:'Master'!$H$4384,MATCH($A29&amp;BV$2,Master!$A$2:'Master'!$A$4384&amp;Master!$C$2:'Master'!$C$4384,0))</f>
        <v>97</v>
      </c>
      <c r="BW29" s="21" cm="1">
        <f t="array" aca="1" ref="BW29" ca="1">INDEX(Master!$H$2:'Master'!$H$4384,MATCH($A29&amp;BW$2,Master!$A$2:'Master'!$A$4384&amp;Master!$C$2:'Master'!$C$4384,0))</f>
        <v>99</v>
      </c>
      <c r="BX29" s="21" cm="1">
        <f t="array" aca="1" ref="BX29" ca="1">INDEX(Master!$H$2:'Master'!$H$4384,MATCH($A29&amp;BX$2,Master!$A$2:'Master'!$A$4384&amp;Master!$C$2:'Master'!$C$4384,0))</f>
        <v>97</v>
      </c>
      <c r="BY29" s="21" cm="1">
        <f t="array" aca="1" ref="BY29" ca="1">INDEX(Master!$H$2:'Master'!$H$4384,MATCH($A29&amp;BY$2,Master!$A$2:'Master'!$A$4384&amp;Master!$C$2:'Master'!$C$4384,0))</f>
        <v>99</v>
      </c>
      <c r="BZ29" s="21" cm="1">
        <f t="array" aca="1" ref="BZ29" ca="1">INDEX(Master!$H$2:'Master'!$H$4384,MATCH($A29&amp;BZ$2,Master!$A$2:'Master'!$A$4384&amp;Master!$C$2:'Master'!$C$4384,0))</f>
        <v>98</v>
      </c>
      <c r="CA29" s="21" cm="1">
        <f t="array" aca="1" ref="CA29" ca="1">INDEX(Master!$H$2:'Master'!$H$4384,MATCH($A29&amp;CA$2,Master!$A$2:'Master'!$A$4384&amp;Master!$C$2:'Master'!$C$4384,0))</f>
        <v>99</v>
      </c>
      <c r="CB29" s="21" cm="1">
        <f t="array" aca="1" ref="CB29" ca="1">INDEX(Master!$H$2:'Master'!$H$4384,MATCH($A29&amp;CB$2,Master!$A$2:'Master'!$A$4384&amp;Master!$C$2:'Master'!$C$4384,0))</f>
        <v>98</v>
      </c>
      <c r="CC29" s="21" cm="1">
        <f t="array" aca="1" ref="CC29" ca="1">INDEX(Master!$H$2:'Master'!$H$4384,MATCH($A29&amp;CC$2,Master!$A$2:'Master'!$A$4384&amp;Master!$C$2:'Master'!$C$4384,0))</f>
        <v>98</v>
      </c>
      <c r="CD29" s="21" cm="1">
        <f t="array" aca="1" ref="CD29" ca="1">INDEX(Master!$H$2:'Master'!$H$4384,MATCH($A29&amp;CD$2,Master!$A$2:'Master'!$A$4384&amp;Master!$C$2:'Master'!$C$4384,0))</f>
        <v>98</v>
      </c>
      <c r="CE29" s="21" cm="1">
        <f t="array" aca="1" ref="CE29" ca="1">INDEX(Master!$H$2:'Master'!$H$4384,MATCH($A29&amp;CE$2,Master!$A$2:'Master'!$A$4384&amp;Master!$C$2:'Master'!$C$4384,0))</f>
        <v>98</v>
      </c>
      <c r="CF29" s="21" cm="1">
        <f t="array" aca="1" ref="CF29" ca="1">INDEX(Master!$H$2:'Master'!$H$4384,MATCH($A29&amp;CF$2,Master!$A$2:'Master'!$A$4384&amp;Master!$C$2:'Master'!$C$4384,0))</f>
        <v>98</v>
      </c>
      <c r="CG29" s="21" cm="1">
        <f t="array" aca="1" ref="CG29" ca="1">INDEX(Master!$H$2:'Master'!$H$4384,MATCH($A29&amp;CG$2,Master!$A$2:'Master'!$A$4384&amp;Master!$C$2:'Master'!$C$4384,0))</f>
        <v>98</v>
      </c>
      <c r="CH29" s="21" cm="1">
        <f t="array" aca="1" ref="CH29" ca="1">INDEX(Master!$H$2:'Master'!$H$4384,MATCH($A29&amp;CH$2,Master!$A$2:'Master'!$A$4384&amp;Master!$C$2:'Master'!$C$4384,0))</f>
        <v>98</v>
      </c>
      <c r="CI29" s="21" cm="1">
        <f t="array" aca="1" ref="CI29" ca="1">INDEX(Master!$H$2:'Master'!$H$4384,MATCH($A29&amp;CI$2,Master!$A$2:'Master'!$A$4384&amp;Master!$C$2:'Master'!$C$4384,0))</f>
        <v>98</v>
      </c>
      <c r="CJ29" s="21" cm="1">
        <f t="array" aca="1" ref="CJ29" ca="1">INDEX(Master!$H$2:'Master'!$H$4384,MATCH($A29&amp;CJ$2,Master!$A$2:'Master'!$A$4384&amp;Master!$C$2:'Master'!$C$4384,0))</f>
        <v>99</v>
      </c>
      <c r="CK29" s="21" cm="1">
        <f t="array" aca="1" ref="CK29" ca="1">INDEX(Master!$H$2:'Master'!$H$4384,MATCH($A29&amp;CK$2,Master!$A$2:'Master'!$A$4384&amp;Master!$C$2:'Master'!$C$4384,0))</f>
        <v>99</v>
      </c>
      <c r="CL29" s="21" cm="1">
        <f t="array" aca="1" ref="CL29" ca="1">INDEX(Master!$H$2:'Master'!$H$4384,MATCH($A29&amp;CL$2,Master!$A$2:'Master'!$A$4384&amp;Master!$C$2:'Master'!$C$4384,0))</f>
        <v>99</v>
      </c>
      <c r="CM29" s="21" cm="1">
        <f t="array" aca="1" ref="CM29" ca="1">INDEX(Master!$H$2:'Master'!$H$4384,MATCH($A29&amp;CM$2,Master!$A$2:'Master'!$A$4384&amp;Master!$C$2:'Master'!$C$4384,0))</f>
        <v>99</v>
      </c>
      <c r="CN29" s="21" cm="1">
        <f t="array" aca="1" ref="CN29" ca="1">INDEX(Master!$H$2:'Master'!$H$4384,MATCH($A29&amp;CN$2,Master!$A$2:'Master'!$A$4384&amp;Master!$C$2:'Master'!$C$4384,0))</f>
        <v>97</v>
      </c>
      <c r="CO29" s="21" cm="1">
        <f t="array" aca="1" ref="CO29" ca="1">INDEX(Master!$H$2:'Master'!$H$4384,MATCH($A29&amp;CO$2,Master!$A$2:'Master'!$A$4384&amp;Master!$C$2:'Master'!$C$4384,0))</f>
        <v>97</v>
      </c>
      <c r="CP29" s="21" cm="1">
        <f t="array" aca="1" ref="CP29" ca="1">INDEX(Master!$H$2:'Master'!$H$4384,MATCH($A29&amp;CP$2,Master!$A$2:'Master'!$A$4384&amp;Master!$C$2:'Master'!$C$4384,0))</f>
        <v>97</v>
      </c>
      <c r="CQ29" s="21" cm="1">
        <f t="array" aca="1" ref="CQ29" ca="1">INDEX(Master!$H$2:'Master'!$H$4384,MATCH($A29&amp;CQ$2,Master!$A$2:'Master'!$A$4384&amp;Master!$C$2:'Master'!$C$4384,0))</f>
        <v>99</v>
      </c>
      <c r="CR29" s="21" cm="1">
        <f t="array" aca="1" ref="CR29" ca="1">INDEX(Master!$H$2:'Master'!$H$4384,MATCH($A29&amp;CR$2,Master!$A$2:'Master'!$A$4384&amp;Master!$C$2:'Master'!$C$4384,0))</f>
        <v>99</v>
      </c>
      <c r="CS29" s="21" cm="1">
        <f t="array" aca="1" ref="CS29" ca="1">INDEX(Master!$H$2:'Master'!$H$4384,MATCH($A29&amp;CS$2,Master!$A$2:'Master'!$A$4384&amp;Master!$C$2:'Master'!$C$4384,0))</f>
        <v>98</v>
      </c>
    </row>
    <row r="30" spans="1:97">
      <c r="A30" s="22" t="str">
        <f>VLOOKUP(Staff!$A27,Staff!$A$1:A$73,1,FALSE)</f>
        <v>Jack Mooney</v>
      </c>
      <c r="B30" s="21" cm="1">
        <f t="array" aca="1" ref="B30" ca="1">INDEX(Master!$H$2:'Master'!$H$4384,MATCH($A30&amp;B$2,Master!$A$2:'Master'!$A$4384&amp;Master!$C$2:'Master'!$C$4384,0))</f>
        <v>1</v>
      </c>
      <c r="C30" s="21" cm="1">
        <f t="array" aca="1" ref="C30" ca="1">INDEX(Master!$H$2:'Master'!$H$4384,MATCH($A30&amp;C$2,Master!$A$2:'Master'!$A$4384&amp;Master!$C$2:'Master'!$C$4384,0))</f>
        <v>0</v>
      </c>
      <c r="D30" s="21" cm="1">
        <f t="array" aca="1" ref="D30" ca="1">INDEX(Master!$H$2:'Master'!$H$4384,MATCH($A30&amp;D$2,Master!$A$2:'Master'!$A$4384&amp;Master!$C$2:'Master'!$C$4384,0))</f>
        <v>0</v>
      </c>
      <c r="E30" s="21" cm="1">
        <f t="array" aca="1" ref="E30" ca="1">INDEX(Master!$H$2:'Master'!$H$4384,MATCH($A30&amp;E$2,Master!$A$2:'Master'!$A$4384&amp;Master!$C$2:'Master'!$C$4384,0))</f>
        <v>1</v>
      </c>
      <c r="F30" s="21" cm="1">
        <f t="array" aca="1" ref="F30" ca="1">INDEX(Master!$H$2:'Master'!$H$4384,MATCH($A30&amp;F$2,Master!$A$2:'Master'!$A$4384&amp;Master!$C$2:'Master'!$C$4384,0))</f>
        <v>-1</v>
      </c>
      <c r="G30" s="21" cm="1">
        <f t="array" aca="1" ref="G30" ca="1">INDEX(Master!$H$2:'Master'!$H$4384,MATCH($A30&amp;G$2,Master!$A$2:'Master'!$A$4384&amp;Master!$C$2:'Master'!$C$4384,0))</f>
        <v>1</v>
      </c>
      <c r="H30" s="21" cm="1">
        <f t="array" aca="1" ref="H30" ca="1">INDEX(Master!$H$2:'Master'!$H$4384,MATCH($A30&amp;H$2,Master!$A$2:'Master'!$A$4384&amp;Master!$C$2:'Master'!$C$4384,0))</f>
        <v>0</v>
      </c>
      <c r="I30" s="21" cm="1">
        <f t="array" aca="1" ref="I30" ca="1">INDEX(Master!$H$2:'Master'!$H$4384,MATCH($A30&amp;I$2,Master!$A$2:'Master'!$A$4384&amp;Master!$C$2:'Master'!$C$4384,0))</f>
        <v>-1</v>
      </c>
      <c r="J30" s="21" cm="1">
        <f t="array" aca="1" ref="J30" ca="1">INDEX(Master!$H$2:'Master'!$H$4384,MATCH($A30&amp;J$2,Master!$A$2:'Master'!$A$4384&amp;Master!$C$2:'Master'!$C$4384,0))</f>
        <v>0</v>
      </c>
      <c r="K30" s="21" cm="1">
        <f t="array" aca="1" ref="K30" ca="1">INDEX(Master!$H$2:'Master'!$H$4384,MATCH($A30&amp;K$2,Master!$A$2:'Master'!$A$4384&amp;Master!$C$2:'Master'!$C$4384,0))</f>
        <v>-1</v>
      </c>
      <c r="L30" s="21" cm="1">
        <f t="array" aca="1" ref="L30" ca="1">INDEX(Master!$H$2:'Master'!$H$4384,MATCH($A30&amp;L$2,Master!$A$2:'Master'!$A$4384&amp;Master!$C$2:'Master'!$C$4384,0))</f>
        <v>3</v>
      </c>
      <c r="M30" s="21" cm="1">
        <f t="array" aca="1" ref="M30" ca="1">INDEX(Master!$H$2:'Master'!$H$4384,MATCH($A30&amp;M$2,Master!$A$2:'Master'!$A$4384&amp;Master!$C$2:'Master'!$C$4384,0))</f>
        <v>2</v>
      </c>
      <c r="N30" s="21" cm="1">
        <f t="array" aca="1" ref="N30" ca="1">INDEX(Master!$H$2:'Master'!$H$4384,MATCH($A30&amp;N$2,Master!$A$2:'Master'!$A$4384&amp;Master!$C$2:'Master'!$C$4384,0))</f>
        <v>-1</v>
      </c>
      <c r="O30" s="21" cm="1">
        <f t="array" aca="1" ref="O30" ca="1">INDEX(Master!$H$2:'Master'!$H$4384,MATCH($A30&amp;O$2,Master!$A$2:'Master'!$A$4384&amp;Master!$C$2:'Master'!$C$4384,0))</f>
        <v>-1</v>
      </c>
      <c r="P30" s="21" cm="1">
        <f t="array" aca="1" ref="P30" ca="1">INDEX(Master!$H$2:'Master'!$H$4384,MATCH($A30&amp;P$2,Master!$A$2:'Master'!$A$4384&amp;Master!$C$2:'Master'!$C$4384,0))</f>
        <v>0</v>
      </c>
      <c r="Q30" s="21" cm="1">
        <f t="array" aca="1" ref="Q30" ca="1">INDEX(Master!$H$2:'Master'!$H$4384,MATCH($A30&amp;Q$2,Master!$A$2:'Master'!$A$4384&amp;Master!$C$2:'Master'!$C$4384,0))</f>
        <v>0</v>
      </c>
      <c r="R30" s="21" cm="1">
        <f t="array" aca="1" ref="R30" ca="1">INDEX(Master!$H$2:'Master'!$H$4384,MATCH($A30&amp;R$2,Master!$A$2:'Master'!$A$4384&amp;Master!$C$2:'Master'!$C$4384,0))</f>
        <v>-1</v>
      </c>
      <c r="S30" s="21" cm="1">
        <f t="array" aca="1" ref="S30" ca="1">INDEX(Master!$H$2:'Master'!$H$4384,MATCH($A30&amp;S$2,Master!$A$2:'Master'!$A$4384&amp;Master!$C$2:'Master'!$C$4384,0))</f>
        <v>0</v>
      </c>
      <c r="T30" s="21" cm="1">
        <f t="array" aca="1" ref="T30" ca="1">INDEX(Master!$H$2:'Master'!$H$4384,MATCH($A30&amp;T$2,Master!$A$2:'Master'!$A$4384&amp;Master!$C$2:'Master'!$C$4384,0))</f>
        <v>0</v>
      </c>
      <c r="U30" s="21" cm="1">
        <f t="array" aca="1" ref="U30" ca="1">INDEX(Master!$H$2:'Master'!$H$4384,MATCH($A30&amp;U$2,Master!$A$2:'Master'!$A$4384&amp;Master!$C$2:'Master'!$C$4384,0))</f>
        <v>2</v>
      </c>
      <c r="V30" s="21" cm="1">
        <f t="array" aca="1" ref="V30" ca="1">INDEX(Master!$H$2:'Master'!$H$4384,MATCH($A30&amp;V$2,Master!$A$2:'Master'!$A$4384&amp;Master!$C$2:'Master'!$C$4384,0))</f>
        <v>0</v>
      </c>
      <c r="W30" s="21" cm="1">
        <f t="array" aca="1" ref="W30" ca="1">INDEX(Master!$H$2:'Master'!$H$4384,MATCH($A30&amp;W$2,Master!$A$2:'Master'!$A$4384&amp;Master!$C$2:'Master'!$C$4384,0))</f>
        <v>2</v>
      </c>
      <c r="X30" s="21" cm="1">
        <f t="array" aca="1" ref="X30" ca="1">INDEX(Master!$H$2:'Master'!$H$4384,MATCH($A30&amp;X$2,Master!$A$2:'Master'!$A$4384&amp;Master!$C$2:'Master'!$C$4384,0))</f>
        <v>2</v>
      </c>
      <c r="Y30" s="21" cm="1">
        <f t="array" aca="1" ref="Y30" ca="1">INDEX(Master!$H$2:'Master'!$H$4384,MATCH($A30&amp;Y$2,Master!$A$2:'Master'!$A$4384&amp;Master!$C$2:'Master'!$C$4384,0))</f>
        <v>2</v>
      </c>
      <c r="Z30" s="21" cm="1">
        <f t="array" aca="1" ref="Z30" ca="1">INDEX(Master!$H$2:'Master'!$H$4384,MATCH($A30&amp;Z$2,Master!$A$2:'Master'!$A$4384&amp;Master!$C$2:'Master'!$C$4384,0))</f>
        <v>2</v>
      </c>
      <c r="AA30" s="21" cm="1">
        <f t="array" aca="1" ref="AA30" ca="1">INDEX(Master!$H$2:'Master'!$H$4384,MATCH($A30&amp;AA$2,Master!$A$2:'Master'!$A$4384&amp;Master!$C$2:'Master'!$C$4384,0))</f>
        <v>2</v>
      </c>
      <c r="AB30" s="21" cm="1">
        <f t="array" aca="1" ref="AB30" ca="1">INDEX(Master!$H$2:'Master'!$H$4384,MATCH($A30&amp;AB$2,Master!$A$2:'Master'!$A$4384&amp;Master!$C$2:'Master'!$C$4384,0))</f>
        <v>2</v>
      </c>
      <c r="AC30" s="21" cm="1">
        <f t="array" aca="1" ref="AC30" ca="1">INDEX(Master!$H$2:'Master'!$H$4384,MATCH($A30&amp;AC$2,Master!$A$2:'Master'!$A$4384&amp;Master!$C$2:'Master'!$C$4384,0))</f>
        <v>0</v>
      </c>
      <c r="AD30" s="21" cm="1">
        <f t="array" aca="1" ref="AD30" ca="1">INDEX(Master!$H$2:'Master'!$H$4384,MATCH($A30&amp;AD$2,Master!$A$2:'Master'!$A$4384&amp;Master!$C$2:'Master'!$C$4384,0))</f>
        <v>-2</v>
      </c>
      <c r="AE30" s="21" cm="1">
        <f t="array" aca="1" ref="AE30" ca="1">INDEX(Master!$H$2:'Master'!$H$4384,MATCH($A30&amp;AE$2,Master!$A$2:'Master'!$A$4384&amp;Master!$C$2:'Master'!$C$4384,0))</f>
        <v>1</v>
      </c>
      <c r="AF30" s="21" cm="1">
        <f t="array" aca="1" ref="AF30" ca="1">INDEX(Master!$H$2:'Master'!$H$4384,MATCH($A30&amp;AF$2,Master!$A$2:'Master'!$A$4384&amp;Master!$C$2:'Master'!$C$4384,0))</f>
        <v>0</v>
      </c>
      <c r="AG30" s="21" cm="1">
        <f t="array" aca="1" ref="AG30" ca="1">INDEX(Master!$H$2:'Master'!$H$4384,MATCH($A30&amp;AG$2,Master!$A$2:'Master'!$A$4384&amp;Master!$C$2:'Master'!$C$4384,0))</f>
        <v>0</v>
      </c>
      <c r="AH30" s="21" cm="1">
        <f t="array" aca="1" ref="AH30" ca="1">INDEX(Master!$H$2:'Master'!$H$4384,MATCH($A30&amp;AH$2,Master!$A$2:'Master'!$A$4384&amp;Master!$C$2:'Master'!$C$4384,0))</f>
        <v>-1</v>
      </c>
      <c r="AI30" s="21" cm="1">
        <f t="array" aca="1" ref="AI30" ca="1">INDEX(Master!$H$2:'Master'!$H$4384,MATCH($A30&amp;AI$2,Master!$A$2:'Master'!$A$4384&amp;Master!$C$2:'Master'!$C$4384,0))</f>
        <v>0</v>
      </c>
      <c r="AJ30" s="21" cm="1">
        <f t="array" aca="1" ref="AJ30" ca="1">INDEX(Master!$H$2:'Master'!$H$4384,MATCH($A30&amp;AJ$2,Master!$A$2:'Master'!$A$4384&amp;Master!$C$2:'Master'!$C$4384,0))</f>
        <v>1</v>
      </c>
      <c r="AK30" s="21" cm="1">
        <f t="array" aca="1" ref="AK30" ca="1">INDEX(Master!$H$2:'Master'!$H$4384,MATCH($A30&amp;AK$2,Master!$A$2:'Master'!$A$4384&amp;Master!$C$2:'Master'!$C$4384,0))</f>
        <v>-1</v>
      </c>
      <c r="AL30" s="21" cm="1">
        <f t="array" aca="1" ref="AL30" ca="1">INDEX(Master!$H$2:'Master'!$H$4384,MATCH($A30&amp;AL$2,Master!$A$2:'Master'!$A$4384&amp;Master!$C$2:'Master'!$C$4384,0))</f>
        <v>0</v>
      </c>
      <c r="AM30" s="21" cm="1">
        <f t="array" aca="1" ref="AM30" ca="1">INDEX(Master!$H$2:'Master'!$H$4384,MATCH($A30&amp;AM$2,Master!$A$2:'Master'!$A$4384&amp;Master!$C$2:'Master'!$C$4384,0))</f>
        <v>0</v>
      </c>
      <c r="AN30" s="21" cm="1">
        <f t="array" aca="1" ref="AN30" ca="1">INDEX(Master!$H$2:'Master'!$H$4384,MATCH($A30&amp;AN$2,Master!$A$2:'Master'!$A$4384&amp;Master!$C$2:'Master'!$C$4384,0))</f>
        <v>3</v>
      </c>
      <c r="AO30" s="21" cm="1">
        <f t="array" aca="1" ref="AO30" ca="1">INDEX(Master!$H$2:'Master'!$H$4384,MATCH($A30&amp;AO$2,Master!$A$2:'Master'!$A$4384&amp;Master!$C$2:'Master'!$C$4384,0))</f>
        <v>1</v>
      </c>
      <c r="AP30" s="21" cm="1">
        <f t="array" aca="1" ref="AP30" ca="1">INDEX(Master!$H$2:'Master'!$H$4384,MATCH($A30&amp;AP$2,Master!$A$2:'Master'!$A$4384&amp;Master!$C$2:'Master'!$C$4384,0))</f>
        <v>0</v>
      </c>
      <c r="AQ30" s="21" cm="1">
        <f t="array" aca="1" ref="AQ30" ca="1">INDEX(Master!$H$2:'Master'!$H$4384,MATCH($A30&amp;AQ$2,Master!$A$2:'Master'!$A$4384&amp;Master!$C$2:'Master'!$C$4384,0))</f>
        <v>2</v>
      </c>
      <c r="AR30" s="21" cm="1">
        <f t="array" aca="1" ref="AR30" ca="1">INDEX(Master!$H$2:'Master'!$H$4384,MATCH($A30&amp;AR$2,Master!$A$2:'Master'!$A$4384&amp;Master!$C$2:'Master'!$C$4384,0))</f>
        <v>1</v>
      </c>
      <c r="AS30" s="21" cm="1">
        <f t="array" aca="1" ref="AS30" ca="1">INDEX(Master!$H$2:'Master'!$H$4384,MATCH($A30&amp;AS$2,Master!$A$2:'Master'!$A$4384&amp;Master!$C$2:'Master'!$C$4384,0))</f>
        <v>1</v>
      </c>
      <c r="AT30" s="21" cm="1">
        <f t="array" aca="1" ref="AT30" ca="1">INDEX(Master!$H$2:'Master'!$H$4384,MATCH($A30&amp;AT$2,Master!$A$2:'Master'!$A$4384&amp;Master!$C$2:'Master'!$C$4384,0))</f>
        <v>1</v>
      </c>
      <c r="AU30" s="21" cm="1">
        <f t="array" aca="1" ref="AU30" ca="1">INDEX(Master!$H$2:'Master'!$H$4384,MATCH($A30&amp;AU$2,Master!$A$2:'Master'!$A$4384&amp;Master!$C$2:'Master'!$C$4384,0))</f>
        <v>1</v>
      </c>
      <c r="AV30" s="21" cm="1">
        <f t="array" aca="1" ref="AV30" ca="1">INDEX(Master!$H$2:'Master'!$H$4384,MATCH($A30&amp;AV$2,Master!$A$2:'Master'!$A$4384&amp;Master!$C$2:'Master'!$C$4384,0))</f>
        <v>1</v>
      </c>
      <c r="AW30" s="21" cm="1">
        <f t="array" aca="1" ref="AW30" ca="1">INDEX(Master!$H$2:'Master'!$H$4384,MATCH($A30&amp;AW$2,Master!$A$2:'Master'!$A$4384&amp;Master!$C$2:'Master'!$C$4384,0))</f>
        <v>1</v>
      </c>
      <c r="AX30" s="21" cm="1">
        <f t="array" aca="1" ref="AX30" ca="1">INDEX(Master!$H$2:'Master'!$H$4384,MATCH($A30&amp;AX$2,Master!$A$2:'Master'!$A$4384&amp;Master!$C$2:'Master'!$C$4384,0))</f>
        <v>1</v>
      </c>
      <c r="AY30" s="21" cm="1">
        <f t="array" aca="1" ref="AY30" ca="1">INDEX(Master!$H$2:'Master'!$H$4384,MATCH($A30&amp;AY$2,Master!$A$2:'Master'!$A$4384&amp;Master!$C$2:'Master'!$C$4384,0))</f>
        <v>0</v>
      </c>
      <c r="AZ30" s="21" cm="1">
        <f t="array" aca="1" ref="AZ30" ca="1">INDEX(Master!$H$2:'Master'!$H$4384,MATCH($A30&amp;AZ$2,Master!$A$2:'Master'!$A$4384&amp;Master!$C$2:'Master'!$C$4384,0))</f>
        <v>0</v>
      </c>
      <c r="BA30" s="21" cm="1">
        <f t="array" aca="1" ref="BA30" ca="1">INDEX(Master!$H$2:'Master'!$H$4384,MATCH($A30&amp;BA$2,Master!$A$2:'Master'!$A$4384&amp;Master!$C$2:'Master'!$C$4384,0))</f>
        <v>-1</v>
      </c>
      <c r="BB30" s="21" cm="1">
        <f t="array" aca="1" ref="BB30" ca="1">INDEX(Master!$H$2:'Master'!$H$4384,MATCH($A30&amp;BB$2,Master!$A$2:'Master'!$A$4384&amp;Master!$C$2:'Master'!$C$4384,0))</f>
        <v>0</v>
      </c>
      <c r="BC30" s="21" cm="1">
        <f t="array" aca="1" ref="BC30" ca="1">INDEX(Master!$H$2:'Master'!$H$4384,MATCH($A30&amp;BC$2,Master!$A$2:'Master'!$A$4384&amp;Master!$C$2:'Master'!$C$4384,0))</f>
        <v>0</v>
      </c>
      <c r="BD30" s="21" cm="1">
        <f t="array" aca="1" ref="BD30" ca="1">INDEX(Master!$H$2:'Master'!$H$4384,MATCH($A30&amp;BD$2,Master!$A$2:'Master'!$A$4384&amp;Master!$C$2:'Master'!$C$4384,0))</f>
        <v>0</v>
      </c>
      <c r="BE30" s="21" cm="1">
        <f t="array" aca="1" ref="BE30" ca="1">INDEX(Master!$H$2:'Master'!$H$4384,MATCH($A30&amp;BE$2,Master!$A$2:'Master'!$A$4384&amp;Master!$C$2:'Master'!$C$4384,0))</f>
        <v>0</v>
      </c>
      <c r="BF30" s="21" cm="1">
        <f t="array" aca="1" ref="BF30" ca="1">INDEX(Master!$H$2:'Master'!$H$4384,MATCH($A30&amp;BF$2,Master!$A$2:'Master'!$A$4384&amp;Master!$C$2:'Master'!$C$4384,0))</f>
        <v>-2</v>
      </c>
      <c r="BG30" s="21" cm="1">
        <f t="array" aca="1" ref="BG30" ca="1">INDEX(Master!$H$2:'Master'!$H$4384,MATCH($A30&amp;BG$2,Master!$A$2:'Master'!$A$4384&amp;Master!$C$2:'Master'!$C$4384,0))</f>
        <v>0</v>
      </c>
      <c r="BH30" s="21" cm="1">
        <f t="array" aca="1" ref="BH30" ca="1">INDEX(Master!$H$2:'Master'!$H$4384,MATCH($A30&amp;BH$2,Master!$A$2:'Master'!$A$4384&amp;Master!$C$2:'Master'!$C$4384,0))</f>
        <v>1</v>
      </c>
      <c r="BI30" s="21" cm="1">
        <f t="array" aca="1" ref="BI30" ca="1">INDEX(Master!$H$2:'Master'!$H$4384,MATCH($A30&amp;BI$2,Master!$A$2:'Master'!$A$4384&amp;Master!$C$2:'Master'!$C$4384,0))</f>
        <v>-1</v>
      </c>
      <c r="BJ30" s="21" cm="1">
        <f t="array" aca="1" ref="BJ30" ca="1">INDEX(Master!$H$2:'Master'!$H$4384,MATCH($A30&amp;BJ$2,Master!$A$2:'Master'!$A$4384&amp;Master!$C$2:'Master'!$C$4384,0))</f>
        <v>-1</v>
      </c>
      <c r="BK30" s="21" cm="1">
        <f t="array" aca="1" ref="BK30" ca="1">INDEX(Master!$H$2:'Master'!$H$4384,MATCH($A30&amp;BK$2,Master!$A$2:'Master'!$A$4384&amp;Master!$C$2:'Master'!$C$4384,0))</f>
        <v>0</v>
      </c>
      <c r="BL30" s="21" cm="1">
        <f t="array" aca="1" ref="BL30" ca="1">INDEX(Master!$H$2:'Master'!$H$4384,MATCH($A30&amp;BL$2,Master!$A$2:'Master'!$A$4384&amp;Master!$C$2:'Master'!$C$4384,0))</f>
        <v>0</v>
      </c>
      <c r="BM30" s="21" cm="1">
        <f t="array" aca="1" ref="BM30" ca="1">INDEX(Master!$H$2:'Master'!$H$4384,MATCH($A30&amp;BM$2,Master!$A$2:'Master'!$A$4384&amp;Master!$C$2:'Master'!$C$4384,0))</f>
        <v>1</v>
      </c>
      <c r="BN30" s="21" cm="1">
        <f t="array" aca="1" ref="BN30" ca="1">INDEX(Master!$H$2:'Master'!$H$4384,MATCH($A30&amp;BN$2,Master!$A$2:'Master'!$A$4384&amp;Master!$C$2:'Master'!$C$4384,0))</f>
        <v>0</v>
      </c>
      <c r="BO30" s="21" cm="1">
        <f t="array" aca="1" ref="BO30" ca="1">INDEX(Master!$H$2:'Master'!$H$4384,MATCH($A30&amp;BO$2,Master!$A$2:'Master'!$A$4384&amp;Master!$C$2:'Master'!$C$4384,0))</f>
        <v>1</v>
      </c>
      <c r="BP30" s="21" cm="1">
        <f t="array" aca="1" ref="BP30" ca="1">INDEX(Master!$H$2:'Master'!$H$4384,MATCH($A30&amp;BP$2,Master!$A$2:'Master'!$A$4384&amp;Master!$C$2:'Master'!$C$4384,0))</f>
        <v>1</v>
      </c>
      <c r="BQ30" s="21" cm="1">
        <f t="array" aca="1" ref="BQ30" ca="1">INDEX(Master!$H$2:'Master'!$H$4384,MATCH($A30&amp;BQ$2,Master!$A$2:'Master'!$A$4384&amp;Master!$C$2:'Master'!$C$4384,0))</f>
        <v>0</v>
      </c>
      <c r="BR30" s="21" cm="1">
        <f t="array" aca="1" ref="BR30" ca="1">INDEX(Master!$H$2:'Master'!$H$4384,MATCH($A30&amp;BR$2,Master!$A$2:'Master'!$A$4384&amp;Master!$C$2:'Master'!$C$4384,0))</f>
        <v>2</v>
      </c>
      <c r="BS30" s="21" cm="1">
        <f t="array" aca="1" ref="BS30" ca="1">INDEX(Master!$H$2:'Master'!$H$4384,MATCH($A30&amp;BS$2,Master!$A$2:'Master'!$A$4384&amp;Master!$C$2:'Master'!$C$4384,0))</f>
        <v>0</v>
      </c>
      <c r="BT30" s="21" cm="1">
        <f t="array" aca="1" ref="BT30" ca="1">INDEX(Master!$H$2:'Master'!$H$4384,MATCH($A30&amp;BT$2,Master!$A$2:'Master'!$A$4384&amp;Master!$C$2:'Master'!$C$4384,0))</f>
        <v>0</v>
      </c>
      <c r="BU30" s="21" cm="1">
        <f t="array" aca="1" ref="BU30" ca="1">INDEX(Master!$H$2:'Master'!$H$4384,MATCH($A30&amp;BU$2,Master!$A$2:'Master'!$A$4384&amp;Master!$C$2:'Master'!$C$4384,0))</f>
        <v>0</v>
      </c>
      <c r="BV30" s="21" cm="1">
        <f t="array" aca="1" ref="BV30" ca="1">INDEX(Master!$H$2:'Master'!$H$4384,MATCH($A30&amp;BV$2,Master!$A$2:'Master'!$A$4384&amp;Master!$C$2:'Master'!$C$4384,0))</f>
        <v>-1</v>
      </c>
      <c r="BW30" s="21" cm="1">
        <f t="array" aca="1" ref="BW30" ca="1">INDEX(Master!$H$2:'Master'!$H$4384,MATCH($A30&amp;BW$2,Master!$A$2:'Master'!$A$4384&amp;Master!$C$2:'Master'!$C$4384,0))</f>
        <v>-2</v>
      </c>
      <c r="BX30" s="21" cm="1">
        <f t="array" aca="1" ref="BX30" ca="1">INDEX(Master!$H$2:'Master'!$H$4384,MATCH($A30&amp;BX$2,Master!$A$2:'Master'!$A$4384&amp;Master!$C$2:'Master'!$C$4384,0))</f>
        <v>0</v>
      </c>
      <c r="BY30" s="21" cm="1">
        <f t="array" aca="1" ref="BY30" ca="1">INDEX(Master!$H$2:'Master'!$H$4384,MATCH($A30&amp;BY$2,Master!$A$2:'Master'!$A$4384&amp;Master!$C$2:'Master'!$C$4384,0))</f>
        <v>1</v>
      </c>
      <c r="BZ30" s="21" cm="1">
        <f t="array" aca="1" ref="BZ30" ca="1">INDEX(Master!$H$2:'Master'!$H$4384,MATCH($A30&amp;BZ$2,Master!$A$2:'Master'!$A$4384&amp;Master!$C$2:'Master'!$C$4384,0))</f>
        <v>-1</v>
      </c>
      <c r="CA30" s="21" cm="1">
        <f t="array" aca="1" ref="CA30" ca="1">INDEX(Master!$H$2:'Master'!$H$4384,MATCH($A30&amp;CA$2,Master!$A$2:'Master'!$A$4384&amp;Master!$C$2:'Master'!$C$4384,0))</f>
        <v>-1</v>
      </c>
      <c r="CB30" s="21" cm="1">
        <f t="array" aca="1" ref="CB30" ca="1">INDEX(Master!$H$2:'Master'!$H$4384,MATCH($A30&amp;CB$2,Master!$A$2:'Master'!$A$4384&amp;Master!$C$2:'Master'!$C$4384,0))</f>
        <v>0</v>
      </c>
      <c r="CC30" s="21" cm="1">
        <f t="array" aca="1" ref="CC30" ca="1">INDEX(Master!$H$2:'Master'!$H$4384,MATCH($A30&amp;CC$2,Master!$A$2:'Master'!$A$4384&amp;Master!$C$2:'Master'!$C$4384,0))</f>
        <v>0</v>
      </c>
      <c r="CD30" s="21" cm="1">
        <f t="array" aca="1" ref="CD30" ca="1">INDEX(Master!$H$2:'Master'!$H$4384,MATCH($A30&amp;CD$2,Master!$A$2:'Master'!$A$4384&amp;Master!$C$2:'Master'!$C$4384,0))</f>
        <v>1</v>
      </c>
      <c r="CE30" s="21" cm="1">
        <f t="array" aca="1" ref="CE30" ca="1">INDEX(Master!$H$2:'Master'!$H$4384,MATCH($A30&amp;CE$2,Master!$A$2:'Master'!$A$4384&amp;Master!$C$2:'Master'!$C$4384,0))</f>
        <v>-1</v>
      </c>
      <c r="CF30" s="21" cm="1">
        <f t="array" aca="1" ref="CF30" ca="1">INDEX(Master!$H$2:'Master'!$H$4384,MATCH($A30&amp;CF$2,Master!$A$2:'Master'!$A$4384&amp;Master!$C$2:'Master'!$C$4384,0))</f>
        <v>-3</v>
      </c>
      <c r="CG30" s="21" cm="1">
        <f t="array" aca="1" ref="CG30" ca="1">INDEX(Master!$H$2:'Master'!$H$4384,MATCH($A30&amp;CG$2,Master!$A$2:'Master'!$A$4384&amp;Master!$C$2:'Master'!$C$4384,0))</f>
        <v>-1</v>
      </c>
      <c r="CH30" s="21" cm="1">
        <f t="array" aca="1" ref="CH30" ca="1">INDEX(Master!$H$2:'Master'!$H$4384,MATCH($A30&amp;CH$2,Master!$A$2:'Master'!$A$4384&amp;Master!$C$2:'Master'!$C$4384,0))</f>
        <v>-1</v>
      </c>
      <c r="CI30" s="21" cm="1">
        <f t="array" aca="1" ref="CI30" ca="1">INDEX(Master!$H$2:'Master'!$H$4384,MATCH($A30&amp;CI$2,Master!$A$2:'Master'!$A$4384&amp;Master!$C$2:'Master'!$C$4384,0))</f>
        <v>-1</v>
      </c>
      <c r="CJ30" s="21" cm="1">
        <f t="array" aca="1" ref="CJ30" ca="1">INDEX(Master!$H$2:'Master'!$H$4384,MATCH($A30&amp;CJ$2,Master!$A$2:'Master'!$A$4384&amp;Master!$C$2:'Master'!$C$4384,0))</f>
        <v>-3</v>
      </c>
      <c r="CK30" s="21" cm="1">
        <f t="array" aca="1" ref="CK30" ca="1">INDEX(Master!$H$2:'Master'!$H$4384,MATCH($A30&amp;CK$2,Master!$A$2:'Master'!$A$4384&amp;Master!$C$2:'Master'!$C$4384,0))</f>
        <v>0</v>
      </c>
      <c r="CL30" s="21" cm="1">
        <f t="array" aca="1" ref="CL30" ca="1">INDEX(Master!$H$2:'Master'!$H$4384,MATCH($A30&amp;CL$2,Master!$A$2:'Master'!$A$4384&amp;Master!$C$2:'Master'!$C$4384,0))</f>
        <v>3</v>
      </c>
      <c r="CM30" s="21" cm="1">
        <f t="array" aca="1" ref="CM30" ca="1">INDEX(Master!$H$2:'Master'!$H$4384,MATCH($A30&amp;CM$2,Master!$A$2:'Master'!$A$4384&amp;Master!$C$2:'Master'!$C$4384,0))</f>
        <v>1</v>
      </c>
      <c r="CN30" s="21" cm="1">
        <f t="array" aca="1" ref="CN30" ca="1">INDEX(Master!$H$2:'Master'!$H$4384,MATCH($A30&amp;CN$2,Master!$A$2:'Master'!$A$4384&amp;Master!$C$2:'Master'!$C$4384,0))</f>
        <v>0</v>
      </c>
      <c r="CO30" s="21" cm="1">
        <f t="array" aca="1" ref="CO30" ca="1">INDEX(Master!$H$2:'Master'!$H$4384,MATCH($A30&amp;CO$2,Master!$A$2:'Master'!$A$4384&amp;Master!$C$2:'Master'!$C$4384,0))</f>
        <v>2</v>
      </c>
      <c r="CP30" s="21" cm="1">
        <f t="array" aca="1" ref="CP30" ca="1">INDEX(Master!$H$2:'Master'!$H$4384,MATCH($A30&amp;CP$2,Master!$A$2:'Master'!$A$4384&amp;Master!$C$2:'Master'!$C$4384,0))</f>
        <v>2</v>
      </c>
      <c r="CQ30" s="21" cm="1">
        <f t="array" aca="1" ref="CQ30" ca="1">INDEX(Master!$H$2:'Master'!$H$4384,MATCH($A30&amp;CQ$2,Master!$A$2:'Master'!$A$4384&amp;Master!$C$2:'Master'!$C$4384,0))</f>
        <v>2</v>
      </c>
      <c r="CR30" s="21" cm="1">
        <f t="array" aca="1" ref="CR30" ca="1">INDEX(Master!$H$2:'Master'!$H$4384,MATCH($A30&amp;CR$2,Master!$A$2:'Master'!$A$4384&amp;Master!$C$2:'Master'!$C$4384,0))</f>
        <v>0</v>
      </c>
      <c r="CS30" s="21" cm="1">
        <f t="array" aca="1" ref="CS30" ca="1">INDEX(Master!$H$2:'Master'!$H$4384,MATCH($A30&amp;CS$2,Master!$A$2:'Master'!$A$4384&amp;Master!$C$2:'Master'!$C$4384,0))</f>
        <v>0</v>
      </c>
    </row>
    <row r="31" spans="1:97">
      <c r="A31" s="22" t="str">
        <f>VLOOKUP(Staff!$A28,Staff!$A$1:A$73,1,FALSE)</f>
        <v>Sunny Khan</v>
      </c>
      <c r="B31" s="21" cm="1">
        <f t="array" aca="1" ref="B31" ca="1">INDEX(Master!$H$2:'Master'!$H$4384,MATCH($A31&amp;B$2,Master!$A$2:'Master'!$A$4384&amp;Master!$C$2:'Master'!$C$4384,0))</f>
        <v>-2</v>
      </c>
      <c r="C31" s="21" cm="1">
        <f t="array" aca="1" ref="C31" ca="1">INDEX(Master!$H$2:'Master'!$H$4384,MATCH($A31&amp;C$2,Master!$A$2:'Master'!$A$4384&amp;Master!$C$2:'Master'!$C$4384,0))</f>
        <v>-1</v>
      </c>
      <c r="D31" s="21" cm="1">
        <f t="array" aca="1" ref="D31" ca="1">INDEX(Master!$H$2:'Master'!$H$4384,MATCH($A31&amp;D$2,Master!$A$2:'Master'!$A$4384&amp;Master!$C$2:'Master'!$C$4384,0))</f>
        <v>0</v>
      </c>
      <c r="E31" s="21" cm="1">
        <f t="array" aca="1" ref="E31" ca="1">INDEX(Master!$H$2:'Master'!$H$4384,MATCH($A31&amp;E$2,Master!$A$2:'Master'!$A$4384&amp;Master!$C$2:'Master'!$C$4384,0))</f>
        <v>-2</v>
      </c>
      <c r="F31" s="21" cm="1">
        <f t="array" aca="1" ref="F31" ca="1">INDEX(Master!$H$2:'Master'!$H$4384,MATCH($A31&amp;F$2,Master!$A$2:'Master'!$A$4384&amp;Master!$C$2:'Master'!$C$4384,0))</f>
        <v>0</v>
      </c>
      <c r="G31" s="21" cm="1">
        <f t="array" aca="1" ref="G31" ca="1">INDEX(Master!$H$2:'Master'!$H$4384,MATCH($A31&amp;G$2,Master!$A$2:'Master'!$A$4384&amp;Master!$C$2:'Master'!$C$4384,0))</f>
        <v>-1</v>
      </c>
      <c r="H31" s="21" cm="1">
        <f t="array" aca="1" ref="H31" ca="1">INDEX(Master!$H$2:'Master'!$H$4384,MATCH($A31&amp;H$2,Master!$A$2:'Master'!$A$4384&amp;Master!$C$2:'Master'!$C$4384,0))</f>
        <v>-2</v>
      </c>
      <c r="I31" s="21" cm="1">
        <f t="array" aca="1" ref="I31" ca="1">INDEX(Master!$H$2:'Master'!$H$4384,MATCH($A31&amp;I$2,Master!$A$2:'Master'!$A$4384&amp;Master!$C$2:'Master'!$C$4384,0))</f>
        <v>0</v>
      </c>
      <c r="J31" s="21" cm="1">
        <f t="array" aca="1" ref="J31" ca="1">INDEX(Master!$H$2:'Master'!$H$4384,MATCH($A31&amp;J$2,Master!$A$2:'Master'!$A$4384&amp;Master!$C$2:'Master'!$C$4384,0))</f>
        <v>-2</v>
      </c>
      <c r="K31" s="21" cm="1">
        <f t="array" aca="1" ref="K31" ca="1">INDEX(Master!$H$2:'Master'!$H$4384,MATCH($A31&amp;K$2,Master!$A$2:'Master'!$A$4384&amp;Master!$C$2:'Master'!$C$4384,0))</f>
        <v>-2</v>
      </c>
      <c r="L31" s="21" cm="1">
        <f t="array" aca="1" ref="L31" ca="1">INDEX(Master!$H$2:'Master'!$H$4384,MATCH($A31&amp;L$2,Master!$A$2:'Master'!$A$4384&amp;Master!$C$2:'Master'!$C$4384,0))</f>
        <v>-2</v>
      </c>
      <c r="M31" s="21" cm="1">
        <f t="array" aca="1" ref="M31" ca="1">INDEX(Master!$H$2:'Master'!$H$4384,MATCH($A31&amp;M$2,Master!$A$2:'Master'!$A$4384&amp;Master!$C$2:'Master'!$C$4384,0))</f>
        <v>-2</v>
      </c>
      <c r="N31" s="21" cm="1">
        <f t="array" aca="1" ref="N31" ca="1">INDEX(Master!$H$2:'Master'!$H$4384,MATCH($A31&amp;N$2,Master!$A$2:'Master'!$A$4384&amp;Master!$C$2:'Master'!$C$4384,0))</f>
        <v>-2</v>
      </c>
      <c r="O31" s="21" cm="1">
        <f t="array" aca="1" ref="O31" ca="1">INDEX(Master!$H$2:'Master'!$H$4384,MATCH($A31&amp;O$2,Master!$A$2:'Master'!$A$4384&amp;Master!$C$2:'Master'!$C$4384,0))</f>
        <v>-2</v>
      </c>
      <c r="P31" s="21" cm="1">
        <f t="array" aca="1" ref="P31" ca="1">INDEX(Master!$H$2:'Master'!$H$4384,MATCH($A31&amp;P$2,Master!$A$2:'Master'!$A$4384&amp;Master!$C$2:'Master'!$C$4384,0))</f>
        <v>-1</v>
      </c>
      <c r="Q31" s="21" cm="1">
        <f t="array" aca="1" ref="Q31" ca="1">INDEX(Master!$H$2:'Master'!$H$4384,MATCH($A31&amp;Q$2,Master!$A$2:'Master'!$A$4384&amp;Master!$C$2:'Master'!$C$4384,0))</f>
        <v>-1</v>
      </c>
      <c r="R31" s="21" cm="1">
        <f t="array" aca="1" ref="R31" ca="1">INDEX(Master!$H$2:'Master'!$H$4384,MATCH($A31&amp;R$2,Master!$A$2:'Master'!$A$4384&amp;Master!$C$2:'Master'!$C$4384,0))</f>
        <v>-2</v>
      </c>
      <c r="S31" s="21" cm="1">
        <f t="array" aca="1" ref="S31" ca="1">INDEX(Master!$H$2:'Master'!$H$4384,MATCH($A31&amp;S$2,Master!$A$2:'Master'!$A$4384&amp;Master!$C$2:'Master'!$C$4384,0))</f>
        <v>-2</v>
      </c>
      <c r="T31" s="21" cm="1">
        <f t="array" aca="1" ref="T31" ca="1">INDEX(Master!$H$2:'Master'!$H$4384,MATCH($A31&amp;T$2,Master!$A$2:'Master'!$A$4384&amp;Master!$C$2:'Master'!$C$4384,0))</f>
        <v>-2</v>
      </c>
      <c r="U31" s="21" cm="1">
        <f t="array" aca="1" ref="U31" ca="1">INDEX(Master!$H$2:'Master'!$H$4384,MATCH($A31&amp;U$2,Master!$A$2:'Master'!$A$4384&amp;Master!$C$2:'Master'!$C$4384,0))</f>
        <v>-1</v>
      </c>
      <c r="V31" s="21" cm="1">
        <f t="array" aca="1" ref="V31" ca="1">INDEX(Master!$H$2:'Master'!$H$4384,MATCH($A31&amp;V$2,Master!$A$2:'Master'!$A$4384&amp;Master!$C$2:'Master'!$C$4384,0))</f>
        <v>0</v>
      </c>
      <c r="W31" s="21" cm="1">
        <f t="array" aca="1" ref="W31" ca="1">INDEX(Master!$H$2:'Master'!$H$4384,MATCH($A31&amp;W$2,Master!$A$2:'Master'!$A$4384&amp;Master!$C$2:'Master'!$C$4384,0))</f>
        <v>2</v>
      </c>
      <c r="X31" s="21" cm="1">
        <f t="array" aca="1" ref="X31" ca="1">INDEX(Master!$H$2:'Master'!$H$4384,MATCH($A31&amp;X$2,Master!$A$2:'Master'!$A$4384&amp;Master!$C$2:'Master'!$C$4384,0))</f>
        <v>2</v>
      </c>
      <c r="Y31" s="21" cm="1">
        <f t="array" aca="1" ref="Y31" ca="1">INDEX(Master!$H$2:'Master'!$H$4384,MATCH($A31&amp;Y$2,Master!$A$2:'Master'!$A$4384&amp;Master!$C$2:'Master'!$C$4384,0))</f>
        <v>1</v>
      </c>
      <c r="Z31" s="21" cm="1">
        <f t="array" aca="1" ref="Z31" ca="1">INDEX(Master!$H$2:'Master'!$H$4384,MATCH($A31&amp;Z$2,Master!$A$2:'Master'!$A$4384&amp;Master!$C$2:'Master'!$C$4384,0))</f>
        <v>1</v>
      </c>
      <c r="AA31" s="21" cm="1">
        <f t="array" aca="1" ref="AA31" ca="1">INDEX(Master!$H$2:'Master'!$H$4384,MATCH($A31&amp;AA$2,Master!$A$2:'Master'!$A$4384&amp;Master!$C$2:'Master'!$C$4384,0))</f>
        <v>-1</v>
      </c>
      <c r="AB31" s="21" cm="1">
        <f t="array" aca="1" ref="AB31" ca="1">INDEX(Master!$H$2:'Master'!$H$4384,MATCH($A31&amp;AB$2,Master!$A$2:'Master'!$A$4384&amp;Master!$C$2:'Master'!$C$4384,0))</f>
        <v>1</v>
      </c>
      <c r="AC31" s="21" cm="1">
        <f t="array" aca="1" ref="AC31" ca="1">INDEX(Master!$H$2:'Master'!$H$4384,MATCH($A31&amp;AC$2,Master!$A$2:'Master'!$A$4384&amp;Master!$C$2:'Master'!$C$4384,0))</f>
        <v>3</v>
      </c>
      <c r="AD31" s="21" cm="1">
        <f t="array" aca="1" ref="AD31" ca="1">INDEX(Master!$H$2:'Master'!$H$4384,MATCH($A31&amp;AD$2,Master!$A$2:'Master'!$A$4384&amp;Master!$C$2:'Master'!$C$4384,0))</f>
        <v>2</v>
      </c>
      <c r="AE31" s="21" cm="1">
        <f t="array" aca="1" ref="AE31" ca="1">INDEX(Master!$H$2:'Master'!$H$4384,MATCH($A31&amp;AE$2,Master!$A$2:'Master'!$A$4384&amp;Master!$C$2:'Master'!$C$4384,0))</f>
        <v>0</v>
      </c>
      <c r="AF31" s="21" cm="1">
        <f t="array" aca="1" ref="AF31" ca="1">INDEX(Master!$H$2:'Master'!$H$4384,MATCH($A31&amp;AF$2,Master!$A$2:'Master'!$A$4384&amp;Master!$C$2:'Master'!$C$4384,0))</f>
        <v>1</v>
      </c>
      <c r="AG31" s="21" cm="1">
        <f t="array" aca="1" ref="AG31" ca="1">INDEX(Master!$H$2:'Master'!$H$4384,MATCH($A31&amp;AG$2,Master!$A$2:'Master'!$A$4384&amp;Master!$C$2:'Master'!$C$4384,0))</f>
        <v>-1</v>
      </c>
      <c r="AH31" s="21" cm="1">
        <f t="array" aca="1" ref="AH31" ca="1">INDEX(Master!$H$2:'Master'!$H$4384,MATCH($A31&amp;AH$2,Master!$A$2:'Master'!$A$4384&amp;Master!$C$2:'Master'!$C$4384,0))</f>
        <v>1</v>
      </c>
      <c r="AI31" s="21" cm="1">
        <f t="array" aca="1" ref="AI31" ca="1">INDEX(Master!$H$2:'Master'!$H$4384,MATCH($A31&amp;AI$2,Master!$A$2:'Master'!$A$4384&amp;Master!$C$2:'Master'!$C$4384,0))</f>
        <v>1</v>
      </c>
      <c r="AJ31" s="21" cm="1">
        <f t="array" aca="1" ref="AJ31" ca="1">INDEX(Master!$H$2:'Master'!$H$4384,MATCH($A31&amp;AJ$2,Master!$A$2:'Master'!$A$4384&amp;Master!$C$2:'Master'!$C$4384,0))</f>
        <v>1</v>
      </c>
      <c r="AK31" s="21" cm="1">
        <f t="array" aca="1" ref="AK31" ca="1">INDEX(Master!$H$2:'Master'!$H$4384,MATCH($A31&amp;AK$2,Master!$A$2:'Master'!$A$4384&amp;Master!$C$2:'Master'!$C$4384,0))</f>
        <v>2</v>
      </c>
      <c r="AL31" s="21" cm="1">
        <f t="array" aca="1" ref="AL31" ca="1">INDEX(Master!$H$2:'Master'!$H$4384,MATCH($A31&amp;AL$2,Master!$A$2:'Master'!$A$4384&amp;Master!$C$2:'Master'!$C$4384,0))</f>
        <v>0</v>
      </c>
      <c r="AM31" s="21" cm="1">
        <f t="array" aca="1" ref="AM31" ca="1">INDEX(Master!$H$2:'Master'!$H$4384,MATCH($A31&amp;AM$2,Master!$A$2:'Master'!$A$4384&amp;Master!$C$2:'Master'!$C$4384,0))</f>
        <v>2</v>
      </c>
      <c r="AN31" s="21" cm="1">
        <f t="array" aca="1" ref="AN31" ca="1">INDEX(Master!$H$2:'Master'!$H$4384,MATCH($A31&amp;AN$2,Master!$A$2:'Master'!$A$4384&amp;Master!$C$2:'Master'!$C$4384,0))</f>
        <v>2</v>
      </c>
      <c r="AO31" s="21" cm="1">
        <f t="array" aca="1" ref="AO31" ca="1">INDEX(Master!$H$2:'Master'!$H$4384,MATCH($A31&amp;AO$2,Master!$A$2:'Master'!$A$4384&amp;Master!$C$2:'Master'!$C$4384,0))</f>
        <v>0</v>
      </c>
      <c r="AP31" s="21" cm="1">
        <f t="array" aca="1" ref="AP31" ca="1">INDEX(Master!$H$2:'Master'!$H$4384,MATCH($A31&amp;AP$2,Master!$A$2:'Master'!$A$4384&amp;Master!$C$2:'Master'!$C$4384,0))</f>
        <v>0</v>
      </c>
      <c r="AQ31" s="21" cm="1">
        <f t="array" aca="1" ref="AQ31" ca="1">INDEX(Master!$H$2:'Master'!$H$4384,MATCH($A31&amp;AQ$2,Master!$A$2:'Master'!$A$4384&amp;Master!$C$2:'Master'!$C$4384,0))</f>
        <v>2</v>
      </c>
      <c r="AR31" s="21" cm="1">
        <f t="array" aca="1" ref="AR31" ca="1">INDEX(Master!$H$2:'Master'!$H$4384,MATCH($A31&amp;AR$2,Master!$A$2:'Master'!$A$4384&amp;Master!$C$2:'Master'!$C$4384,0))</f>
        <v>1</v>
      </c>
      <c r="AS31" s="21" cm="1">
        <f t="array" aca="1" ref="AS31" ca="1">INDEX(Master!$H$2:'Master'!$H$4384,MATCH($A31&amp;AS$2,Master!$A$2:'Master'!$A$4384&amp;Master!$C$2:'Master'!$C$4384,0))</f>
        <v>0</v>
      </c>
      <c r="AT31" s="21" cm="1">
        <f t="array" aca="1" ref="AT31" ca="1">INDEX(Master!$H$2:'Master'!$H$4384,MATCH($A31&amp;AT$2,Master!$A$2:'Master'!$A$4384&amp;Master!$C$2:'Master'!$C$4384,0))</f>
        <v>2</v>
      </c>
      <c r="AU31" s="21" cm="1">
        <f t="array" aca="1" ref="AU31" ca="1">INDEX(Master!$H$2:'Master'!$H$4384,MATCH($A31&amp;AU$2,Master!$A$2:'Master'!$A$4384&amp;Master!$C$2:'Master'!$C$4384,0))</f>
        <v>0</v>
      </c>
      <c r="AV31" s="21" cm="1">
        <f t="array" aca="1" ref="AV31" ca="1">INDEX(Master!$H$2:'Master'!$H$4384,MATCH($A31&amp;AV$2,Master!$A$2:'Master'!$A$4384&amp;Master!$C$2:'Master'!$C$4384,0))</f>
        <v>1</v>
      </c>
      <c r="AW31" s="21" cm="1">
        <f t="array" aca="1" ref="AW31" ca="1">INDEX(Master!$H$2:'Master'!$H$4384,MATCH($A31&amp;AW$2,Master!$A$2:'Master'!$A$4384&amp;Master!$C$2:'Master'!$C$4384,0))</f>
        <v>0</v>
      </c>
      <c r="AX31" s="21" cm="1">
        <f t="array" aca="1" ref="AX31" ca="1">INDEX(Master!$H$2:'Master'!$H$4384,MATCH($A31&amp;AX$2,Master!$A$2:'Master'!$A$4384&amp;Master!$C$2:'Master'!$C$4384,0))</f>
        <v>2</v>
      </c>
      <c r="AY31" s="21" cm="1">
        <f t="array" aca="1" ref="AY31" ca="1">INDEX(Master!$H$2:'Master'!$H$4384,MATCH($A31&amp;AY$2,Master!$A$2:'Master'!$A$4384&amp;Master!$C$2:'Master'!$C$4384,0))</f>
        <v>1</v>
      </c>
      <c r="AZ31" s="21" cm="1">
        <f t="array" aca="1" ref="AZ31" ca="1">INDEX(Master!$H$2:'Master'!$H$4384,MATCH($A31&amp;AZ$2,Master!$A$2:'Master'!$A$4384&amp;Master!$C$2:'Master'!$C$4384,0))</f>
        <v>-1</v>
      </c>
      <c r="BA31" s="21" cm="1">
        <f t="array" aca="1" ref="BA31" ca="1">INDEX(Master!$H$2:'Master'!$H$4384,MATCH($A31&amp;BA$2,Master!$A$2:'Master'!$A$4384&amp;Master!$C$2:'Master'!$C$4384,0))</f>
        <v>3</v>
      </c>
      <c r="BB31" s="21" cm="1">
        <f t="array" aca="1" ref="BB31" ca="1">INDEX(Master!$H$2:'Master'!$H$4384,MATCH($A31&amp;BB$2,Master!$A$2:'Master'!$A$4384&amp;Master!$C$2:'Master'!$C$4384,0))</f>
        <v>0</v>
      </c>
      <c r="BC31" s="21" cm="1">
        <f t="array" aca="1" ref="BC31" ca="1">INDEX(Master!$H$2:'Master'!$H$4384,MATCH($A31&amp;BC$2,Master!$A$2:'Master'!$A$4384&amp;Master!$C$2:'Master'!$C$4384,0))</f>
        <v>0</v>
      </c>
      <c r="BD31" s="21" cm="1">
        <f t="array" aca="1" ref="BD31" ca="1">INDEX(Master!$H$2:'Master'!$H$4384,MATCH($A31&amp;BD$2,Master!$A$2:'Master'!$A$4384&amp;Master!$C$2:'Master'!$C$4384,0))</f>
        <v>2</v>
      </c>
      <c r="BE31" s="21" cm="1">
        <f t="array" aca="1" ref="BE31" ca="1">INDEX(Master!$H$2:'Master'!$H$4384,MATCH($A31&amp;BE$2,Master!$A$2:'Master'!$A$4384&amp;Master!$C$2:'Master'!$C$4384,0))</f>
        <v>1</v>
      </c>
      <c r="BF31" s="21" cm="1">
        <f t="array" aca="1" ref="BF31" ca="1">INDEX(Master!$H$2:'Master'!$H$4384,MATCH($A31&amp;BF$2,Master!$A$2:'Master'!$A$4384&amp;Master!$C$2:'Master'!$C$4384,0))</f>
        <v>-1</v>
      </c>
      <c r="BG31" s="21" cm="1">
        <f t="array" aca="1" ref="BG31" ca="1">INDEX(Master!$H$2:'Master'!$H$4384,MATCH($A31&amp;BG$2,Master!$A$2:'Master'!$A$4384&amp;Master!$C$2:'Master'!$C$4384,0))</f>
        <v>1</v>
      </c>
      <c r="BH31" s="21" cm="1">
        <f t="array" aca="1" ref="BH31" ca="1">INDEX(Master!$H$2:'Master'!$H$4384,MATCH($A31&amp;BH$2,Master!$A$2:'Master'!$A$4384&amp;Master!$C$2:'Master'!$C$4384,0))</f>
        <v>0</v>
      </c>
      <c r="BI31" s="21" cm="1">
        <f t="array" aca="1" ref="BI31" ca="1">INDEX(Master!$H$2:'Master'!$H$4384,MATCH($A31&amp;BI$2,Master!$A$2:'Master'!$A$4384&amp;Master!$C$2:'Master'!$C$4384,0))</f>
        <v>0</v>
      </c>
      <c r="BJ31" s="21" cm="1">
        <f t="array" aca="1" ref="BJ31" ca="1">INDEX(Master!$H$2:'Master'!$H$4384,MATCH($A31&amp;BJ$2,Master!$A$2:'Master'!$A$4384&amp;Master!$C$2:'Master'!$C$4384,0))</f>
        <v>0</v>
      </c>
      <c r="BK31" s="21" cm="1">
        <f t="array" aca="1" ref="BK31" ca="1">INDEX(Master!$H$2:'Master'!$H$4384,MATCH($A31&amp;BK$2,Master!$A$2:'Master'!$A$4384&amp;Master!$C$2:'Master'!$C$4384,0))</f>
        <v>0</v>
      </c>
      <c r="BL31" s="21" cm="1">
        <f t="array" aca="1" ref="BL31" ca="1">INDEX(Master!$H$2:'Master'!$H$4384,MATCH($A31&amp;BL$2,Master!$A$2:'Master'!$A$4384&amp;Master!$C$2:'Master'!$C$4384,0))</f>
        <v>1</v>
      </c>
      <c r="BM31" s="21" cm="1">
        <f t="array" aca="1" ref="BM31" ca="1">INDEX(Master!$H$2:'Master'!$H$4384,MATCH($A31&amp;BM$2,Master!$A$2:'Master'!$A$4384&amp;Master!$C$2:'Master'!$C$4384,0))</f>
        <v>1</v>
      </c>
      <c r="BN31" s="21" cm="1">
        <f t="array" aca="1" ref="BN31" ca="1">INDEX(Master!$H$2:'Master'!$H$4384,MATCH($A31&amp;BN$2,Master!$A$2:'Master'!$A$4384&amp;Master!$C$2:'Master'!$C$4384,0))</f>
        <v>-1</v>
      </c>
      <c r="BO31" s="21" cm="1">
        <f t="array" aca="1" ref="BO31" ca="1">INDEX(Master!$H$2:'Master'!$H$4384,MATCH($A31&amp;BO$2,Master!$A$2:'Master'!$A$4384&amp;Master!$C$2:'Master'!$C$4384,0))</f>
        <v>-1</v>
      </c>
      <c r="BP31" s="21" cm="1">
        <f t="array" aca="1" ref="BP31" ca="1">INDEX(Master!$H$2:'Master'!$H$4384,MATCH($A31&amp;BP$2,Master!$A$2:'Master'!$A$4384&amp;Master!$C$2:'Master'!$C$4384,0))</f>
        <v>-1</v>
      </c>
      <c r="BQ31" s="21" cm="1">
        <f t="array" aca="1" ref="BQ31" ca="1">INDEX(Master!$H$2:'Master'!$H$4384,MATCH($A31&amp;BQ$2,Master!$A$2:'Master'!$A$4384&amp;Master!$C$2:'Master'!$C$4384,0))</f>
        <v>-1</v>
      </c>
      <c r="BR31" s="21" cm="1">
        <f t="array" aca="1" ref="BR31" ca="1">INDEX(Master!$H$2:'Master'!$H$4384,MATCH($A31&amp;BR$2,Master!$A$2:'Master'!$A$4384&amp;Master!$C$2:'Master'!$C$4384,0))</f>
        <v>-1</v>
      </c>
      <c r="BS31" s="21" cm="1">
        <f t="array" aca="1" ref="BS31" ca="1">INDEX(Master!$H$2:'Master'!$H$4384,MATCH($A31&amp;BS$2,Master!$A$2:'Master'!$A$4384&amp;Master!$C$2:'Master'!$C$4384,0))</f>
        <v>0</v>
      </c>
      <c r="BT31" s="21" cm="1">
        <f t="array" aca="1" ref="BT31" ca="1">INDEX(Master!$H$2:'Master'!$H$4384,MATCH($A31&amp;BT$2,Master!$A$2:'Master'!$A$4384&amp;Master!$C$2:'Master'!$C$4384,0))</f>
        <v>1</v>
      </c>
      <c r="BU31" s="21" cm="1">
        <f t="array" aca="1" ref="BU31" ca="1">INDEX(Master!$H$2:'Master'!$H$4384,MATCH($A31&amp;BU$2,Master!$A$2:'Master'!$A$4384&amp;Master!$C$2:'Master'!$C$4384,0))</f>
        <v>0</v>
      </c>
      <c r="BV31" s="21" cm="1">
        <f t="array" aca="1" ref="BV31" ca="1">INDEX(Master!$H$2:'Master'!$H$4384,MATCH($A31&amp;BV$2,Master!$A$2:'Master'!$A$4384&amp;Master!$C$2:'Master'!$C$4384,0))</f>
        <v>0</v>
      </c>
      <c r="BW31" s="21" cm="1">
        <f t="array" aca="1" ref="BW31" ca="1">INDEX(Master!$H$2:'Master'!$H$4384,MATCH($A31&amp;BW$2,Master!$A$2:'Master'!$A$4384&amp;Master!$C$2:'Master'!$C$4384,0))</f>
        <v>-1</v>
      </c>
      <c r="BX31" s="21" cm="1">
        <f t="array" aca="1" ref="BX31" ca="1">INDEX(Master!$H$2:'Master'!$H$4384,MATCH($A31&amp;BX$2,Master!$A$2:'Master'!$A$4384&amp;Master!$C$2:'Master'!$C$4384,0))</f>
        <v>1</v>
      </c>
      <c r="BY31" s="21" cm="1">
        <f t="array" aca="1" ref="BY31" ca="1">INDEX(Master!$H$2:'Master'!$H$4384,MATCH($A31&amp;BY$2,Master!$A$2:'Master'!$A$4384&amp;Master!$C$2:'Master'!$C$4384,0))</f>
        <v>0</v>
      </c>
      <c r="BZ31" s="21" cm="1">
        <f t="array" aca="1" ref="BZ31" ca="1">INDEX(Master!$H$2:'Master'!$H$4384,MATCH($A31&amp;BZ$2,Master!$A$2:'Master'!$A$4384&amp;Master!$C$2:'Master'!$C$4384,0))</f>
        <v>0</v>
      </c>
      <c r="CA31" s="21" cm="1">
        <f t="array" aca="1" ref="CA31" ca="1">INDEX(Master!$H$2:'Master'!$H$4384,MATCH($A31&amp;CA$2,Master!$A$2:'Master'!$A$4384&amp;Master!$C$2:'Master'!$C$4384,0))</f>
        <v>0</v>
      </c>
      <c r="CB31" s="21" cm="1">
        <f t="array" aca="1" ref="CB31" ca="1">INDEX(Master!$H$2:'Master'!$H$4384,MATCH($A31&amp;CB$2,Master!$A$2:'Master'!$A$4384&amp;Master!$C$2:'Master'!$C$4384,0))</f>
        <v>0</v>
      </c>
      <c r="CC31" s="21" cm="1">
        <f t="array" aca="1" ref="CC31" ca="1">INDEX(Master!$H$2:'Master'!$H$4384,MATCH($A31&amp;CC$2,Master!$A$2:'Master'!$A$4384&amp;Master!$C$2:'Master'!$C$4384,0))</f>
        <v>1</v>
      </c>
      <c r="CD31" s="21" cm="1">
        <f t="array" aca="1" ref="CD31" ca="1">INDEX(Master!$H$2:'Master'!$H$4384,MATCH($A31&amp;CD$2,Master!$A$2:'Master'!$A$4384&amp;Master!$C$2:'Master'!$C$4384,0))</f>
        <v>1</v>
      </c>
      <c r="CE31" s="21" cm="1">
        <f t="array" aca="1" ref="CE31" ca="1">INDEX(Master!$H$2:'Master'!$H$4384,MATCH($A31&amp;CE$2,Master!$A$2:'Master'!$A$4384&amp;Master!$C$2:'Master'!$C$4384,0))</f>
        <v>-1</v>
      </c>
      <c r="CF31" s="21" cm="1">
        <f t="array" aca="1" ref="CF31" ca="1">INDEX(Master!$H$2:'Master'!$H$4384,MATCH($A31&amp;CF$2,Master!$A$2:'Master'!$A$4384&amp;Master!$C$2:'Master'!$C$4384,0))</f>
        <v>-2</v>
      </c>
      <c r="CG31" s="21" cm="1">
        <f t="array" aca="1" ref="CG31" ca="1">INDEX(Master!$H$2:'Master'!$H$4384,MATCH($A31&amp;CG$2,Master!$A$2:'Master'!$A$4384&amp;Master!$C$2:'Master'!$C$4384,0))</f>
        <v>-1</v>
      </c>
      <c r="CH31" s="21" cm="1">
        <f t="array" aca="1" ref="CH31" ca="1">INDEX(Master!$H$2:'Master'!$H$4384,MATCH($A31&amp;CH$2,Master!$A$2:'Master'!$A$4384&amp;Master!$C$2:'Master'!$C$4384,0))</f>
        <v>-2</v>
      </c>
      <c r="CI31" s="21" cm="1">
        <f t="array" aca="1" ref="CI31" ca="1">INDEX(Master!$H$2:'Master'!$H$4384,MATCH($A31&amp;CI$2,Master!$A$2:'Master'!$A$4384&amp;Master!$C$2:'Master'!$C$4384,0))</f>
        <v>0</v>
      </c>
      <c r="CJ31" s="21" cm="1">
        <f t="array" aca="1" ref="CJ31" ca="1">INDEX(Master!$H$2:'Master'!$H$4384,MATCH($A31&amp;CJ$2,Master!$A$2:'Master'!$A$4384&amp;Master!$C$2:'Master'!$C$4384,0))</f>
        <v>-1</v>
      </c>
      <c r="CK31" s="21" cm="1">
        <f t="array" aca="1" ref="CK31" ca="1">INDEX(Master!$H$2:'Master'!$H$4384,MATCH($A31&amp;CK$2,Master!$A$2:'Master'!$A$4384&amp;Master!$C$2:'Master'!$C$4384,0))</f>
        <v>0</v>
      </c>
      <c r="CL31" s="21" cm="1">
        <f t="array" aca="1" ref="CL31" ca="1">INDEX(Master!$H$2:'Master'!$H$4384,MATCH($A31&amp;CL$2,Master!$A$2:'Master'!$A$4384&amp;Master!$C$2:'Master'!$C$4384,0))</f>
        <v>0</v>
      </c>
      <c r="CM31" s="21" cm="1">
        <f t="array" aca="1" ref="CM31" ca="1">INDEX(Master!$H$2:'Master'!$H$4384,MATCH($A31&amp;CM$2,Master!$A$2:'Master'!$A$4384&amp;Master!$C$2:'Master'!$C$4384,0))</f>
        <v>0</v>
      </c>
      <c r="CN31" s="21" cm="1">
        <f t="array" aca="1" ref="CN31" ca="1">INDEX(Master!$H$2:'Master'!$H$4384,MATCH($A31&amp;CN$2,Master!$A$2:'Master'!$A$4384&amp;Master!$C$2:'Master'!$C$4384,0))</f>
        <v>0</v>
      </c>
      <c r="CO31" s="21" cm="1">
        <f t="array" aca="1" ref="CO31" ca="1">INDEX(Master!$H$2:'Master'!$H$4384,MATCH($A31&amp;CO$2,Master!$A$2:'Master'!$A$4384&amp;Master!$C$2:'Master'!$C$4384,0))</f>
        <v>0</v>
      </c>
      <c r="CP31" s="21" cm="1">
        <f t="array" aca="1" ref="CP31" ca="1">INDEX(Master!$H$2:'Master'!$H$4384,MATCH($A31&amp;CP$2,Master!$A$2:'Master'!$A$4384&amp;Master!$C$2:'Master'!$C$4384,0))</f>
        <v>0</v>
      </c>
      <c r="CQ31" s="21" cm="1">
        <f t="array" aca="1" ref="CQ31" ca="1">INDEX(Master!$H$2:'Master'!$H$4384,MATCH($A31&amp;CQ$2,Master!$A$2:'Master'!$A$4384&amp;Master!$C$2:'Master'!$C$4384,0))</f>
        <v>1</v>
      </c>
      <c r="CR31" s="21" cm="1">
        <f t="array" aca="1" ref="CR31" ca="1">INDEX(Master!$H$2:'Master'!$H$4384,MATCH($A31&amp;CR$2,Master!$A$2:'Master'!$A$4384&amp;Master!$C$2:'Master'!$C$4384,0))</f>
        <v>1</v>
      </c>
      <c r="CS31" s="21" cm="1">
        <f t="array" aca="1" ref="CS31" ca="1">INDEX(Master!$H$2:'Master'!$H$4384,MATCH($A31&amp;CS$2,Master!$A$2:'Master'!$A$4384&amp;Master!$C$2:'Master'!$C$4384,0))</f>
        <v>1</v>
      </c>
    </row>
    <row r="32" spans="1:97">
      <c r="A32" s="22" t="str">
        <f>VLOOKUP(Staff!$A29,Staff!$A$1:A$73,1,FALSE)</f>
        <v>Sherlock Holmes</v>
      </c>
      <c r="B32" s="21" cm="1">
        <f t="array" aca="1" ref="B32" ca="1">INDEX(Master!$H$2:'Master'!$H$4384,MATCH($A32&amp;B$2,Master!$A$2:'Master'!$A$4384&amp;Master!$C$2:'Master'!$C$4384,0))</f>
        <v>97</v>
      </c>
      <c r="C32" s="21" cm="1">
        <f t="array" aca="1" ref="C32" ca="1">INDEX(Master!$H$2:'Master'!$H$4384,MATCH($A32&amp;C$2,Master!$A$2:'Master'!$A$4384&amp;Master!$C$2:'Master'!$C$4384,0))</f>
        <v>97</v>
      </c>
      <c r="D32" s="21" cm="1">
        <f t="array" aca="1" ref="D32" ca="1">INDEX(Master!$H$2:'Master'!$H$4384,MATCH($A32&amp;D$2,Master!$A$2:'Master'!$A$4384&amp;Master!$C$2:'Master'!$C$4384,0))</f>
        <v>96</v>
      </c>
      <c r="E32" s="21" cm="1">
        <f t="array" aca="1" ref="E32" ca="1">INDEX(Master!$H$2:'Master'!$H$4384,MATCH($A32&amp;E$2,Master!$A$2:'Master'!$A$4384&amp;Master!$C$2:'Master'!$C$4384,0))</f>
        <v>97</v>
      </c>
      <c r="F32" s="21" cm="1">
        <f t="array" aca="1" ref="F32" ca="1">INDEX(Master!$H$2:'Master'!$H$4384,MATCH($A32&amp;F$2,Master!$A$2:'Master'!$A$4384&amp;Master!$C$2:'Master'!$C$4384,0))</f>
        <v>96</v>
      </c>
      <c r="G32" s="21" cm="1">
        <f t="array" aca="1" ref="G32" ca="1">INDEX(Master!$H$2:'Master'!$H$4384,MATCH($A32&amp;G$2,Master!$A$2:'Master'!$A$4384&amp;Master!$C$2:'Master'!$C$4384,0))</f>
        <v>97</v>
      </c>
      <c r="H32" s="21" cm="1">
        <f t="array" aca="1" ref="H32" ca="1">INDEX(Master!$H$2:'Master'!$H$4384,MATCH($A32&amp;H$2,Master!$A$2:'Master'!$A$4384&amp;Master!$C$2:'Master'!$C$4384,0))</f>
        <v>97</v>
      </c>
      <c r="I32" s="21" cm="1">
        <f t="array" aca="1" ref="I32" ca="1">INDEX(Master!$H$2:'Master'!$H$4384,MATCH($A32&amp;I$2,Master!$A$2:'Master'!$A$4384&amp;Master!$C$2:'Master'!$C$4384,0))</f>
        <v>97</v>
      </c>
      <c r="J32" s="21" cm="1">
        <f t="array" aca="1" ref="J32" ca="1">INDEX(Master!$H$2:'Master'!$H$4384,MATCH($A32&amp;J$2,Master!$A$2:'Master'!$A$4384&amp;Master!$C$2:'Master'!$C$4384,0))</f>
        <v>97</v>
      </c>
      <c r="K32" s="21" cm="1">
        <f t="array" aca="1" ref="K32" ca="1">INDEX(Master!$H$2:'Master'!$H$4384,MATCH($A32&amp;K$2,Master!$A$2:'Master'!$A$4384&amp;Master!$C$2:'Master'!$C$4384,0))</f>
        <v>98</v>
      </c>
      <c r="L32" s="21" cm="1">
        <f t="array" aca="1" ref="L32" ca="1">INDEX(Master!$H$2:'Master'!$H$4384,MATCH($A32&amp;L$2,Master!$A$2:'Master'!$A$4384&amp;Master!$C$2:'Master'!$C$4384,0))</f>
        <v>99</v>
      </c>
      <c r="M32" s="21" cm="1">
        <f t="array" aca="1" ref="M32" ca="1">INDEX(Master!$H$2:'Master'!$H$4384,MATCH($A32&amp;M$2,Master!$A$2:'Master'!$A$4384&amp;Master!$C$2:'Master'!$C$4384,0))</f>
        <v>98</v>
      </c>
      <c r="N32" s="21" cm="1">
        <f t="array" aca="1" ref="N32" ca="1">INDEX(Master!$H$2:'Master'!$H$4384,MATCH($A32&amp;N$2,Master!$A$2:'Master'!$A$4384&amp;Master!$C$2:'Master'!$C$4384,0))</f>
        <v>98</v>
      </c>
      <c r="O32" s="21" cm="1">
        <f t="array" aca="1" ref="O32" ca="1">INDEX(Master!$H$2:'Master'!$H$4384,MATCH($A32&amp;O$2,Master!$A$2:'Master'!$A$4384&amp;Master!$C$2:'Master'!$C$4384,0))</f>
        <v>98</v>
      </c>
      <c r="P32" s="21" cm="1">
        <f t="array" aca="1" ref="P32" ca="1">INDEX(Master!$H$2:'Master'!$H$4384,MATCH($A32&amp;P$2,Master!$A$2:'Master'!$A$4384&amp;Master!$C$2:'Master'!$C$4384,0))</f>
        <v>97</v>
      </c>
      <c r="Q32" s="21" cm="1">
        <f t="array" aca="1" ref="Q32" ca="1">INDEX(Master!$H$2:'Master'!$H$4384,MATCH($A32&amp;Q$2,Master!$A$2:'Master'!$A$4384&amp;Master!$C$2:'Master'!$C$4384,0))</f>
        <v>98</v>
      </c>
      <c r="R32" s="21" cm="1">
        <f t="array" aca="1" ref="R32" ca="1">INDEX(Master!$H$2:'Master'!$H$4384,MATCH($A32&amp;R$2,Master!$A$2:'Master'!$A$4384&amp;Master!$C$2:'Master'!$C$4384,0))</f>
        <v>99</v>
      </c>
      <c r="S32" s="21" cm="1">
        <f t="array" aca="1" ref="S32" ca="1">INDEX(Master!$H$2:'Master'!$H$4384,MATCH($A32&amp;S$2,Master!$A$2:'Master'!$A$4384&amp;Master!$C$2:'Master'!$C$4384,0))</f>
        <v>99</v>
      </c>
      <c r="T32" s="21" cm="1">
        <f t="array" aca="1" ref="T32" ca="1">INDEX(Master!$H$2:'Master'!$H$4384,MATCH($A32&amp;T$2,Master!$A$2:'Master'!$A$4384&amp;Master!$C$2:'Master'!$C$4384,0))</f>
        <v>97</v>
      </c>
      <c r="U32" s="21" cm="1">
        <f t="array" aca="1" ref="U32" ca="1">INDEX(Master!$H$2:'Master'!$H$4384,MATCH($A32&amp;U$2,Master!$A$2:'Master'!$A$4384&amp;Master!$C$2:'Master'!$C$4384,0))</f>
        <v>97</v>
      </c>
      <c r="V32" s="21" cm="1">
        <f t="array" aca="1" ref="V32" ca="1">INDEX(Master!$H$2:'Master'!$H$4384,MATCH($A32&amp;V$2,Master!$A$2:'Master'!$A$4384&amp;Master!$C$2:'Master'!$C$4384,0))</f>
        <v>98</v>
      </c>
      <c r="W32" s="21" cm="1">
        <f t="array" aca="1" ref="W32" ca="1">INDEX(Master!$H$2:'Master'!$H$4384,MATCH($A32&amp;W$2,Master!$A$2:'Master'!$A$4384&amp;Master!$C$2:'Master'!$C$4384,0))</f>
        <v>97</v>
      </c>
      <c r="X32" s="21" cm="1">
        <f t="array" aca="1" ref="X32" ca="1">INDEX(Master!$H$2:'Master'!$H$4384,MATCH($A32&amp;X$2,Master!$A$2:'Master'!$A$4384&amp;Master!$C$2:'Master'!$C$4384,0))</f>
        <v>99</v>
      </c>
      <c r="Y32" s="21" cm="1">
        <f t="array" aca="1" ref="Y32" ca="1">INDEX(Master!$H$2:'Master'!$H$4384,MATCH($A32&amp;Y$2,Master!$A$2:'Master'!$A$4384&amp;Master!$C$2:'Master'!$C$4384,0))</f>
        <v>99</v>
      </c>
      <c r="Z32" s="21" cm="1">
        <f t="array" aca="1" ref="Z32" ca="1">INDEX(Master!$H$2:'Master'!$H$4384,MATCH($A32&amp;Z$2,Master!$A$2:'Master'!$A$4384&amp;Master!$C$2:'Master'!$C$4384,0))</f>
        <v>99</v>
      </c>
      <c r="AA32" s="21" cm="1">
        <f t="array" aca="1" ref="AA32" ca="1">INDEX(Master!$H$2:'Master'!$H$4384,MATCH($A32&amp;AA$2,Master!$A$2:'Master'!$A$4384&amp;Master!$C$2:'Master'!$C$4384,0))</f>
        <v>99</v>
      </c>
      <c r="AB32" s="21" cm="1">
        <f t="array" aca="1" ref="AB32" ca="1">INDEX(Master!$H$2:'Master'!$H$4384,MATCH($A32&amp;AB$2,Master!$A$2:'Master'!$A$4384&amp;Master!$C$2:'Master'!$C$4384,0))</f>
        <v>99</v>
      </c>
      <c r="AC32" s="21" cm="1">
        <f t="array" aca="1" ref="AC32" ca="1">INDEX(Master!$H$2:'Master'!$H$4384,MATCH($A32&amp;AC$2,Master!$A$2:'Master'!$A$4384&amp;Master!$C$2:'Master'!$C$4384,0))</f>
        <v>99</v>
      </c>
      <c r="AD32" s="21" cm="1">
        <f t="array" aca="1" ref="AD32" ca="1">INDEX(Master!$H$2:'Master'!$H$4384,MATCH($A32&amp;AD$2,Master!$A$2:'Master'!$A$4384&amp;Master!$C$2:'Master'!$C$4384,0))</f>
        <v>99</v>
      </c>
      <c r="AE32" s="21" cm="1">
        <f t="array" aca="1" ref="AE32" ca="1">INDEX(Master!$H$2:'Master'!$H$4384,MATCH($A32&amp;AE$2,Master!$A$2:'Master'!$A$4384&amp;Master!$C$2:'Master'!$C$4384,0))</f>
        <v>99</v>
      </c>
      <c r="AF32" s="21" cm="1">
        <f t="array" aca="1" ref="AF32" ca="1">INDEX(Master!$H$2:'Master'!$H$4384,MATCH($A32&amp;AF$2,Master!$A$2:'Master'!$A$4384&amp;Master!$C$2:'Master'!$C$4384,0))</f>
        <v>98</v>
      </c>
      <c r="AG32" s="21" cm="1">
        <f t="array" aca="1" ref="AG32" ca="1">INDEX(Master!$H$2:'Master'!$H$4384,MATCH($A32&amp;AG$2,Master!$A$2:'Master'!$A$4384&amp;Master!$C$2:'Master'!$C$4384,0))</f>
        <v>98</v>
      </c>
      <c r="AH32" s="21" cm="1">
        <f t="array" aca="1" ref="AH32" ca="1">INDEX(Master!$H$2:'Master'!$H$4384,MATCH($A32&amp;AH$2,Master!$A$2:'Master'!$A$4384&amp;Master!$C$2:'Master'!$C$4384,0))</f>
        <v>97</v>
      </c>
      <c r="AI32" s="21" cm="1">
        <f t="array" aca="1" ref="AI32" ca="1">INDEX(Master!$H$2:'Master'!$H$4384,MATCH($A32&amp;AI$2,Master!$A$2:'Master'!$A$4384&amp;Master!$C$2:'Master'!$C$4384,0))</f>
        <v>98</v>
      </c>
      <c r="AJ32" s="21" cm="1">
        <f t="array" aca="1" ref="AJ32" ca="1">INDEX(Master!$H$2:'Master'!$H$4384,MATCH($A32&amp;AJ$2,Master!$A$2:'Master'!$A$4384&amp;Master!$C$2:'Master'!$C$4384,0))</f>
        <v>98</v>
      </c>
      <c r="AK32" s="21" cm="1">
        <f t="array" aca="1" ref="AK32" ca="1">INDEX(Master!$H$2:'Master'!$H$4384,MATCH($A32&amp;AK$2,Master!$A$2:'Master'!$A$4384&amp;Master!$C$2:'Master'!$C$4384,0))</f>
        <v>99</v>
      </c>
      <c r="AL32" s="21" cm="1">
        <f t="array" aca="1" ref="AL32" ca="1">INDEX(Master!$H$2:'Master'!$H$4384,MATCH($A32&amp;AL$2,Master!$A$2:'Master'!$A$4384&amp;Master!$C$2:'Master'!$C$4384,0))</f>
        <v>99</v>
      </c>
      <c r="AM32" s="21" cm="1">
        <f t="array" aca="1" ref="AM32" ca="1">INDEX(Master!$H$2:'Master'!$H$4384,MATCH($A32&amp;AM$2,Master!$A$2:'Master'!$A$4384&amp;Master!$C$2:'Master'!$C$4384,0))</f>
        <v>97</v>
      </c>
      <c r="AN32" s="21" cm="1">
        <f t="array" aca="1" ref="AN32" ca="1">INDEX(Master!$H$2:'Master'!$H$4384,MATCH($A32&amp;AN$2,Master!$A$2:'Master'!$A$4384&amp;Master!$C$2:'Master'!$C$4384,0))</f>
        <v>99</v>
      </c>
      <c r="AO32" s="21" cm="1">
        <f t="array" aca="1" ref="AO32" ca="1">INDEX(Master!$H$2:'Master'!$H$4384,MATCH($A32&amp;AO$2,Master!$A$2:'Master'!$A$4384&amp;Master!$C$2:'Master'!$C$4384,0))</f>
        <v>99</v>
      </c>
      <c r="AP32" s="21" cm="1">
        <f t="array" aca="1" ref="AP32" ca="1">INDEX(Master!$H$2:'Master'!$H$4384,MATCH($A32&amp;AP$2,Master!$A$2:'Master'!$A$4384&amp;Master!$C$2:'Master'!$C$4384,0))</f>
        <v>99</v>
      </c>
      <c r="AQ32" s="21" cm="1">
        <f t="array" aca="1" ref="AQ32" ca="1">INDEX(Master!$H$2:'Master'!$H$4384,MATCH($A32&amp;AQ$2,Master!$A$2:'Master'!$A$4384&amp;Master!$C$2:'Master'!$C$4384,0))</f>
        <v>99</v>
      </c>
      <c r="AR32" s="21" cm="1">
        <f t="array" aca="1" ref="AR32" ca="1">INDEX(Master!$H$2:'Master'!$H$4384,MATCH($A32&amp;AR$2,Master!$A$2:'Master'!$A$4384&amp;Master!$C$2:'Master'!$C$4384,0))</f>
        <v>99</v>
      </c>
      <c r="AS32" s="21" cm="1">
        <f t="array" aca="1" ref="AS32" ca="1">INDEX(Master!$H$2:'Master'!$H$4384,MATCH($A32&amp;AS$2,Master!$A$2:'Master'!$A$4384&amp;Master!$C$2:'Master'!$C$4384,0))</f>
        <v>99</v>
      </c>
      <c r="AT32" s="21" cm="1">
        <f t="array" aca="1" ref="AT32" ca="1">INDEX(Master!$H$2:'Master'!$H$4384,MATCH($A32&amp;AT$2,Master!$A$2:'Master'!$A$4384&amp;Master!$C$2:'Master'!$C$4384,0))</f>
        <v>99</v>
      </c>
      <c r="AU32" s="21" cm="1">
        <f t="array" aca="1" ref="AU32" ca="1">INDEX(Master!$H$2:'Master'!$H$4384,MATCH($A32&amp;AU$2,Master!$A$2:'Master'!$A$4384&amp;Master!$C$2:'Master'!$C$4384,0))</f>
        <v>99</v>
      </c>
      <c r="AV32" s="21" cm="1">
        <f t="array" aca="1" ref="AV32" ca="1">INDEX(Master!$H$2:'Master'!$H$4384,MATCH($A32&amp;AV$2,Master!$A$2:'Master'!$A$4384&amp;Master!$C$2:'Master'!$C$4384,0))</f>
        <v>99</v>
      </c>
      <c r="AW32" s="21" cm="1">
        <f t="array" aca="1" ref="AW32" ca="1">INDEX(Master!$H$2:'Master'!$H$4384,MATCH($A32&amp;AW$2,Master!$A$2:'Master'!$A$4384&amp;Master!$C$2:'Master'!$C$4384,0))</f>
        <v>99</v>
      </c>
      <c r="AX32" s="21" cm="1">
        <f t="array" aca="1" ref="AX32" ca="1">INDEX(Master!$H$2:'Master'!$H$4384,MATCH($A32&amp;AX$2,Master!$A$2:'Master'!$A$4384&amp;Master!$C$2:'Master'!$C$4384,0))</f>
        <v>97</v>
      </c>
      <c r="AY32" s="21" cm="1">
        <f t="array" aca="1" ref="AY32" ca="1">INDEX(Master!$H$2:'Master'!$H$4384,MATCH($A32&amp;AY$2,Master!$A$2:'Master'!$A$4384&amp;Master!$C$2:'Master'!$C$4384,0))</f>
        <v>97</v>
      </c>
      <c r="AZ32" s="21" cm="1">
        <f t="array" aca="1" ref="AZ32" ca="1">INDEX(Master!$H$2:'Master'!$H$4384,MATCH($A32&amp;AZ$2,Master!$A$2:'Master'!$A$4384&amp;Master!$C$2:'Master'!$C$4384,0))</f>
        <v>99</v>
      </c>
      <c r="BA32" s="21" cm="1">
        <f t="array" aca="1" ref="BA32" ca="1">INDEX(Master!$H$2:'Master'!$H$4384,MATCH($A32&amp;BA$2,Master!$A$2:'Master'!$A$4384&amp;Master!$C$2:'Master'!$C$4384,0))</f>
        <v>99</v>
      </c>
      <c r="BB32" s="21" cm="1">
        <f t="array" aca="1" ref="BB32" ca="1">INDEX(Master!$H$2:'Master'!$H$4384,MATCH($A32&amp;BB$2,Master!$A$2:'Master'!$A$4384&amp;Master!$C$2:'Master'!$C$4384,0))</f>
        <v>99</v>
      </c>
      <c r="BC32" s="21" cm="1">
        <f t="array" aca="1" ref="BC32" ca="1">INDEX(Master!$H$2:'Master'!$H$4384,MATCH($A32&amp;BC$2,Master!$A$2:'Master'!$A$4384&amp;Master!$C$2:'Master'!$C$4384,0))</f>
        <v>97</v>
      </c>
      <c r="BD32" s="21" cm="1">
        <f t="array" aca="1" ref="BD32" ca="1">INDEX(Master!$H$2:'Master'!$H$4384,MATCH($A32&amp;BD$2,Master!$A$2:'Master'!$A$4384&amp;Master!$C$2:'Master'!$C$4384,0))</f>
        <v>98</v>
      </c>
      <c r="BE32" s="21" cm="1">
        <f t="array" aca="1" ref="BE32" ca="1">INDEX(Master!$H$2:'Master'!$H$4384,MATCH($A32&amp;BE$2,Master!$A$2:'Master'!$A$4384&amp;Master!$C$2:'Master'!$C$4384,0))</f>
        <v>99</v>
      </c>
      <c r="BF32" s="21" cm="1">
        <f t="array" aca="1" ref="BF32" ca="1">INDEX(Master!$H$2:'Master'!$H$4384,MATCH($A32&amp;BF$2,Master!$A$2:'Master'!$A$4384&amp;Master!$C$2:'Master'!$C$4384,0))</f>
        <v>98</v>
      </c>
      <c r="BG32" s="21" cm="1">
        <f t="array" aca="1" ref="BG32" ca="1">INDEX(Master!$H$2:'Master'!$H$4384,MATCH($A32&amp;BG$2,Master!$A$2:'Master'!$A$4384&amp;Master!$C$2:'Master'!$C$4384,0))</f>
        <v>99</v>
      </c>
      <c r="BH32" s="21" cm="1">
        <f t="array" aca="1" ref="BH32" ca="1">INDEX(Master!$H$2:'Master'!$H$4384,MATCH($A32&amp;BH$2,Master!$A$2:'Master'!$A$4384&amp;Master!$C$2:'Master'!$C$4384,0))</f>
        <v>99</v>
      </c>
      <c r="BI32" s="21" cm="1">
        <f t="array" aca="1" ref="BI32" ca="1">INDEX(Master!$H$2:'Master'!$H$4384,MATCH($A32&amp;BI$2,Master!$A$2:'Master'!$A$4384&amp;Master!$C$2:'Master'!$C$4384,0))</f>
        <v>98</v>
      </c>
      <c r="BJ32" s="21" cm="1">
        <f t="array" aca="1" ref="BJ32" ca="1">INDEX(Master!$H$2:'Master'!$H$4384,MATCH($A32&amp;BJ$2,Master!$A$2:'Master'!$A$4384&amp;Master!$C$2:'Master'!$C$4384,0))</f>
        <v>99</v>
      </c>
      <c r="BK32" s="21" cm="1">
        <f t="array" aca="1" ref="BK32" ca="1">INDEX(Master!$H$2:'Master'!$H$4384,MATCH($A32&amp;BK$2,Master!$A$2:'Master'!$A$4384&amp;Master!$C$2:'Master'!$C$4384,0))</f>
        <v>98</v>
      </c>
      <c r="BL32" s="21" cm="1">
        <f t="array" aca="1" ref="BL32" ca="1">INDEX(Master!$H$2:'Master'!$H$4384,MATCH($A32&amp;BL$2,Master!$A$2:'Master'!$A$4384&amp;Master!$C$2:'Master'!$C$4384,0))</f>
        <v>98</v>
      </c>
      <c r="BM32" s="21" cm="1">
        <f t="array" aca="1" ref="BM32" ca="1">INDEX(Master!$H$2:'Master'!$H$4384,MATCH($A32&amp;BM$2,Master!$A$2:'Master'!$A$4384&amp;Master!$C$2:'Master'!$C$4384,0))</f>
        <v>98</v>
      </c>
      <c r="BN32" s="21" cm="1">
        <f t="array" aca="1" ref="BN32" ca="1">INDEX(Master!$H$2:'Master'!$H$4384,MATCH($A32&amp;BN$2,Master!$A$2:'Master'!$A$4384&amp;Master!$C$2:'Master'!$C$4384,0))</f>
        <v>98</v>
      </c>
      <c r="BO32" s="21" cm="1">
        <f t="array" aca="1" ref="BO32" ca="1">INDEX(Master!$H$2:'Master'!$H$4384,MATCH($A32&amp;BO$2,Master!$A$2:'Master'!$A$4384&amp;Master!$C$2:'Master'!$C$4384,0))</f>
        <v>98</v>
      </c>
      <c r="BP32" s="21" cm="1">
        <f t="array" aca="1" ref="BP32" ca="1">INDEX(Master!$H$2:'Master'!$H$4384,MATCH($A32&amp;BP$2,Master!$A$2:'Master'!$A$4384&amp;Master!$C$2:'Master'!$C$4384,0))</f>
        <v>99</v>
      </c>
      <c r="BQ32" s="21" cm="1">
        <f t="array" aca="1" ref="BQ32" ca="1">INDEX(Master!$H$2:'Master'!$H$4384,MATCH($A32&amp;BQ$2,Master!$A$2:'Master'!$A$4384&amp;Master!$C$2:'Master'!$C$4384,0))</f>
        <v>99</v>
      </c>
      <c r="BR32" s="21" cm="1">
        <f t="array" aca="1" ref="BR32" ca="1">INDEX(Master!$H$2:'Master'!$H$4384,MATCH($A32&amp;BR$2,Master!$A$2:'Master'!$A$4384&amp;Master!$C$2:'Master'!$C$4384,0))</f>
        <v>99</v>
      </c>
      <c r="BS32" s="21" cm="1">
        <f t="array" aca="1" ref="BS32" ca="1">INDEX(Master!$H$2:'Master'!$H$4384,MATCH($A32&amp;BS$2,Master!$A$2:'Master'!$A$4384&amp;Master!$C$2:'Master'!$C$4384,0))</f>
        <v>99</v>
      </c>
      <c r="BT32" s="21" cm="1">
        <f t="array" aca="1" ref="BT32" ca="1">INDEX(Master!$H$2:'Master'!$H$4384,MATCH($A32&amp;BT$2,Master!$A$2:'Master'!$A$4384&amp;Master!$C$2:'Master'!$C$4384,0))</f>
        <v>98</v>
      </c>
      <c r="BU32" s="21" cm="1">
        <f t="array" aca="1" ref="BU32" ca="1">INDEX(Master!$H$2:'Master'!$H$4384,MATCH($A32&amp;BU$2,Master!$A$2:'Master'!$A$4384&amp;Master!$C$2:'Master'!$C$4384,0))</f>
        <v>99</v>
      </c>
      <c r="BV32" s="21" cm="1">
        <f t="array" aca="1" ref="BV32" ca="1">INDEX(Master!$H$2:'Master'!$H$4384,MATCH($A32&amp;BV$2,Master!$A$2:'Master'!$A$4384&amp;Master!$C$2:'Master'!$C$4384,0))</f>
        <v>99</v>
      </c>
      <c r="BW32" s="21" cm="1">
        <f t="array" aca="1" ref="BW32" ca="1">INDEX(Master!$H$2:'Master'!$H$4384,MATCH($A32&amp;BW$2,Master!$A$2:'Master'!$A$4384&amp;Master!$C$2:'Master'!$C$4384,0))</f>
        <v>98</v>
      </c>
      <c r="BX32" s="21" cm="1">
        <f t="array" aca="1" ref="BX32" ca="1">INDEX(Master!$H$2:'Master'!$H$4384,MATCH($A32&amp;BX$2,Master!$A$2:'Master'!$A$4384&amp;Master!$C$2:'Master'!$C$4384,0))</f>
        <v>99</v>
      </c>
      <c r="BY32" s="21" cm="1">
        <f t="array" aca="1" ref="BY32" ca="1">INDEX(Master!$H$2:'Master'!$H$4384,MATCH($A32&amp;BY$2,Master!$A$2:'Master'!$A$4384&amp;Master!$C$2:'Master'!$C$4384,0))</f>
        <v>99</v>
      </c>
      <c r="BZ32" s="21" cm="1">
        <f t="array" aca="1" ref="BZ32" ca="1">INDEX(Master!$H$2:'Master'!$H$4384,MATCH($A32&amp;BZ$2,Master!$A$2:'Master'!$A$4384&amp;Master!$C$2:'Master'!$C$4384,0))</f>
        <v>98</v>
      </c>
      <c r="CA32" s="21" cm="1">
        <f t="array" aca="1" ref="CA32" ca="1">INDEX(Master!$H$2:'Master'!$H$4384,MATCH($A32&amp;CA$2,Master!$A$2:'Master'!$A$4384&amp;Master!$C$2:'Master'!$C$4384,0))</f>
        <v>99</v>
      </c>
      <c r="CB32" s="21" cm="1">
        <f t="array" aca="1" ref="CB32" ca="1">INDEX(Master!$H$2:'Master'!$H$4384,MATCH($A32&amp;CB$2,Master!$A$2:'Master'!$A$4384&amp;Master!$C$2:'Master'!$C$4384,0))</f>
        <v>98</v>
      </c>
      <c r="CC32" s="21" cm="1">
        <f t="array" aca="1" ref="CC32" ca="1">INDEX(Master!$H$2:'Master'!$H$4384,MATCH($A32&amp;CC$2,Master!$A$2:'Master'!$A$4384&amp;Master!$C$2:'Master'!$C$4384,0))</f>
        <v>98</v>
      </c>
      <c r="CD32" s="21" cm="1">
        <f t="array" aca="1" ref="CD32" ca="1">INDEX(Master!$H$2:'Master'!$H$4384,MATCH($A32&amp;CD$2,Master!$A$2:'Master'!$A$4384&amp;Master!$C$2:'Master'!$C$4384,0))</f>
        <v>98</v>
      </c>
      <c r="CE32" s="21" cm="1">
        <f t="array" aca="1" ref="CE32" ca="1">INDEX(Master!$H$2:'Master'!$H$4384,MATCH($A32&amp;CE$2,Master!$A$2:'Master'!$A$4384&amp;Master!$C$2:'Master'!$C$4384,0))</f>
        <v>99</v>
      </c>
      <c r="CF32" s="21" cm="1">
        <f t="array" aca="1" ref="CF32" ca="1">INDEX(Master!$H$2:'Master'!$H$4384,MATCH($A32&amp;CF$2,Master!$A$2:'Master'!$A$4384&amp;Master!$C$2:'Master'!$C$4384,0))</f>
        <v>99</v>
      </c>
      <c r="CG32" s="21" cm="1">
        <f t="array" aca="1" ref="CG32" ca="1">INDEX(Master!$H$2:'Master'!$H$4384,MATCH($A32&amp;CG$2,Master!$A$2:'Master'!$A$4384&amp;Master!$C$2:'Master'!$C$4384,0))</f>
        <v>97</v>
      </c>
      <c r="CH32" s="21" cm="1">
        <f t="array" aca="1" ref="CH32" ca="1">INDEX(Master!$H$2:'Master'!$H$4384,MATCH($A32&amp;CH$2,Master!$A$2:'Master'!$A$4384&amp;Master!$C$2:'Master'!$C$4384,0))</f>
        <v>99</v>
      </c>
      <c r="CI32" s="21" cm="1">
        <f t="array" aca="1" ref="CI32" ca="1">INDEX(Master!$H$2:'Master'!$H$4384,MATCH($A32&amp;CI$2,Master!$A$2:'Master'!$A$4384&amp;Master!$C$2:'Master'!$C$4384,0))</f>
        <v>97</v>
      </c>
      <c r="CJ32" s="21" cm="1">
        <f t="array" aca="1" ref="CJ32" ca="1">INDEX(Master!$H$2:'Master'!$H$4384,MATCH($A32&amp;CJ$2,Master!$A$2:'Master'!$A$4384&amp;Master!$C$2:'Master'!$C$4384,0))</f>
        <v>99</v>
      </c>
      <c r="CK32" s="21" cm="1">
        <f t="array" aca="1" ref="CK32" ca="1">INDEX(Master!$H$2:'Master'!$H$4384,MATCH($A32&amp;CK$2,Master!$A$2:'Master'!$A$4384&amp;Master!$C$2:'Master'!$C$4384,0))</f>
        <v>99</v>
      </c>
      <c r="CL32" s="21" cm="1">
        <f t="array" aca="1" ref="CL32" ca="1">INDEX(Master!$H$2:'Master'!$H$4384,MATCH($A32&amp;CL$2,Master!$A$2:'Master'!$A$4384&amp;Master!$C$2:'Master'!$C$4384,0))</f>
        <v>99</v>
      </c>
      <c r="CM32" s="21" cm="1">
        <f t="array" aca="1" ref="CM32" ca="1">INDEX(Master!$H$2:'Master'!$H$4384,MATCH($A32&amp;CM$2,Master!$A$2:'Master'!$A$4384&amp;Master!$C$2:'Master'!$C$4384,0))</f>
        <v>99</v>
      </c>
      <c r="CN32" s="21" cm="1">
        <f t="array" aca="1" ref="CN32" ca="1">INDEX(Master!$H$2:'Master'!$H$4384,MATCH($A32&amp;CN$2,Master!$A$2:'Master'!$A$4384&amp;Master!$C$2:'Master'!$C$4384,0))</f>
        <v>99</v>
      </c>
      <c r="CO32" s="21" cm="1">
        <f t="array" aca="1" ref="CO32" ca="1">INDEX(Master!$H$2:'Master'!$H$4384,MATCH($A32&amp;CO$2,Master!$A$2:'Master'!$A$4384&amp;Master!$C$2:'Master'!$C$4384,0))</f>
        <v>99</v>
      </c>
      <c r="CP32" s="21" cm="1">
        <f t="array" aca="1" ref="CP32" ca="1">INDEX(Master!$H$2:'Master'!$H$4384,MATCH($A32&amp;CP$2,Master!$A$2:'Master'!$A$4384&amp;Master!$C$2:'Master'!$C$4384,0))</f>
        <v>99</v>
      </c>
      <c r="CQ32" s="21" cm="1">
        <f t="array" aca="1" ref="CQ32" ca="1">INDEX(Master!$H$2:'Master'!$H$4384,MATCH($A32&amp;CQ$2,Master!$A$2:'Master'!$A$4384&amp;Master!$C$2:'Master'!$C$4384,0))</f>
        <v>99</v>
      </c>
      <c r="CR32" s="21" cm="1">
        <f t="array" aca="1" ref="CR32" ca="1">INDEX(Master!$H$2:'Master'!$H$4384,MATCH($A32&amp;CR$2,Master!$A$2:'Master'!$A$4384&amp;Master!$C$2:'Master'!$C$4384,0))</f>
        <v>99</v>
      </c>
      <c r="CS32" s="21" cm="1">
        <f t="array" aca="1" ref="CS32" ca="1">INDEX(Master!$H$2:'Master'!$H$4384,MATCH($A32&amp;CS$2,Master!$A$2:'Master'!$A$4384&amp;Master!$C$2:'Master'!$C$4384,0))</f>
        <v>98</v>
      </c>
    </row>
    <row r="33" spans="1:97">
      <c r="A33" s="22" t="str">
        <f>VLOOKUP(Staff!$A30,Staff!$A$1:A$73,1,FALSE)</f>
        <v>Jonathan Creek</v>
      </c>
      <c r="B33" s="21" cm="1">
        <f t="array" aca="1" ref="B33" ca="1">INDEX(Master!$H$2:'Master'!$H$4384,MATCH($A33&amp;B$2,Master!$A$2:'Master'!$A$4384&amp;Master!$C$2:'Master'!$C$4384,0))</f>
        <v>99</v>
      </c>
      <c r="C33" s="21" cm="1">
        <f t="array" aca="1" ref="C33" ca="1">INDEX(Master!$H$2:'Master'!$H$4384,MATCH($A33&amp;C$2,Master!$A$2:'Master'!$A$4384&amp;Master!$C$2:'Master'!$C$4384,0))</f>
        <v>99</v>
      </c>
      <c r="D33" s="21" cm="1">
        <f t="array" aca="1" ref="D33" ca="1">INDEX(Master!$H$2:'Master'!$H$4384,MATCH($A33&amp;D$2,Master!$A$2:'Master'!$A$4384&amp;Master!$C$2:'Master'!$C$4384,0))</f>
        <v>99</v>
      </c>
      <c r="E33" s="21" cm="1">
        <f t="array" aca="1" ref="E33" ca="1">INDEX(Master!$H$2:'Master'!$H$4384,MATCH($A33&amp;E$2,Master!$A$2:'Master'!$A$4384&amp;Master!$C$2:'Master'!$C$4384,0))</f>
        <v>97</v>
      </c>
      <c r="F33" s="21" cm="1">
        <f t="array" aca="1" ref="F33" ca="1">INDEX(Master!$H$2:'Master'!$H$4384,MATCH($A33&amp;F$2,Master!$A$2:'Master'!$A$4384&amp;Master!$C$2:'Master'!$C$4384,0))</f>
        <v>99</v>
      </c>
      <c r="G33" s="21" cm="1">
        <f t="array" aca="1" ref="G33" ca="1">INDEX(Master!$H$2:'Master'!$H$4384,MATCH($A33&amp;G$2,Master!$A$2:'Master'!$A$4384&amp;Master!$C$2:'Master'!$C$4384,0))</f>
        <v>97</v>
      </c>
      <c r="H33" s="21" cm="1">
        <f t="array" aca="1" ref="H33" ca="1">INDEX(Master!$H$2:'Master'!$H$4384,MATCH($A33&amp;H$2,Master!$A$2:'Master'!$A$4384&amp;Master!$C$2:'Master'!$C$4384,0))</f>
        <v>99</v>
      </c>
      <c r="I33" s="21" cm="1">
        <f t="array" aca="1" ref="I33" ca="1">INDEX(Master!$H$2:'Master'!$H$4384,MATCH($A33&amp;I$2,Master!$A$2:'Master'!$A$4384&amp;Master!$C$2:'Master'!$C$4384,0))</f>
        <v>99</v>
      </c>
      <c r="J33" s="21" cm="1">
        <f t="array" aca="1" ref="J33" ca="1">INDEX(Master!$H$2:'Master'!$H$4384,MATCH($A33&amp;J$2,Master!$A$2:'Master'!$A$4384&amp;Master!$C$2:'Master'!$C$4384,0))</f>
        <v>96</v>
      </c>
      <c r="K33" s="21" cm="1">
        <f t="array" aca="1" ref="K33" ca="1">INDEX(Master!$H$2:'Master'!$H$4384,MATCH($A33&amp;K$2,Master!$A$2:'Master'!$A$4384&amp;Master!$C$2:'Master'!$C$4384,0))</f>
        <v>97</v>
      </c>
      <c r="L33" s="21" cm="1">
        <f t="array" aca="1" ref="L33" ca="1">INDEX(Master!$H$2:'Master'!$H$4384,MATCH($A33&amp;L$2,Master!$A$2:'Master'!$A$4384&amp;Master!$C$2:'Master'!$C$4384,0))</f>
        <v>97</v>
      </c>
      <c r="M33" s="21" cm="1">
        <f t="array" aca="1" ref="M33" ca="1">INDEX(Master!$H$2:'Master'!$H$4384,MATCH($A33&amp;M$2,Master!$A$2:'Master'!$A$4384&amp;Master!$C$2:'Master'!$C$4384,0))</f>
        <v>96</v>
      </c>
      <c r="N33" s="21" cm="1">
        <f t="array" aca="1" ref="N33" ca="1">INDEX(Master!$H$2:'Master'!$H$4384,MATCH($A33&amp;N$2,Master!$A$2:'Master'!$A$4384&amp;Master!$C$2:'Master'!$C$4384,0))</f>
        <v>97</v>
      </c>
      <c r="O33" s="21" cm="1">
        <f t="array" aca="1" ref="O33" ca="1">INDEX(Master!$H$2:'Master'!$H$4384,MATCH($A33&amp;O$2,Master!$A$2:'Master'!$A$4384&amp;Master!$C$2:'Master'!$C$4384,0))</f>
        <v>97</v>
      </c>
      <c r="P33" s="21" cm="1">
        <f t="array" aca="1" ref="P33" ca="1">INDEX(Master!$H$2:'Master'!$H$4384,MATCH($A33&amp;P$2,Master!$A$2:'Master'!$A$4384&amp;Master!$C$2:'Master'!$C$4384,0))</f>
        <v>97</v>
      </c>
      <c r="Q33" s="21" cm="1">
        <f t="array" aca="1" ref="Q33" ca="1">INDEX(Master!$H$2:'Master'!$H$4384,MATCH($A33&amp;Q$2,Master!$A$2:'Master'!$A$4384&amp;Master!$C$2:'Master'!$C$4384,0))</f>
        <v>98</v>
      </c>
      <c r="R33" s="21" cm="1">
        <f t="array" aca="1" ref="R33" ca="1">INDEX(Master!$H$2:'Master'!$H$4384,MATCH($A33&amp;R$2,Master!$A$2:'Master'!$A$4384&amp;Master!$C$2:'Master'!$C$4384,0))</f>
        <v>99</v>
      </c>
      <c r="S33" s="21" cm="1">
        <f t="array" aca="1" ref="S33" ca="1">INDEX(Master!$H$2:'Master'!$H$4384,MATCH($A33&amp;S$2,Master!$A$2:'Master'!$A$4384&amp;Master!$C$2:'Master'!$C$4384,0))</f>
        <v>99</v>
      </c>
      <c r="T33" s="21" cm="1">
        <f t="array" aca="1" ref="T33" ca="1">INDEX(Master!$H$2:'Master'!$H$4384,MATCH($A33&amp;T$2,Master!$A$2:'Master'!$A$4384&amp;Master!$C$2:'Master'!$C$4384,0))</f>
        <v>98</v>
      </c>
      <c r="U33" s="21" cm="1">
        <f t="array" aca="1" ref="U33" ca="1">INDEX(Master!$H$2:'Master'!$H$4384,MATCH($A33&amp;U$2,Master!$A$2:'Master'!$A$4384&amp;Master!$C$2:'Master'!$C$4384,0))</f>
        <v>99</v>
      </c>
      <c r="V33" s="21" cm="1">
        <f t="array" aca="1" ref="V33" ca="1">INDEX(Master!$H$2:'Master'!$H$4384,MATCH($A33&amp;V$2,Master!$A$2:'Master'!$A$4384&amp;Master!$C$2:'Master'!$C$4384,0))</f>
        <v>97</v>
      </c>
      <c r="W33" s="21" cm="1">
        <f t="array" aca="1" ref="W33" ca="1">INDEX(Master!$H$2:'Master'!$H$4384,MATCH($A33&amp;W$2,Master!$A$2:'Master'!$A$4384&amp;Master!$C$2:'Master'!$C$4384,0))</f>
        <v>98</v>
      </c>
      <c r="X33" s="21" cm="1">
        <f t="array" aca="1" ref="X33" ca="1">INDEX(Master!$H$2:'Master'!$H$4384,MATCH($A33&amp;X$2,Master!$A$2:'Master'!$A$4384&amp;Master!$C$2:'Master'!$C$4384,0))</f>
        <v>99</v>
      </c>
      <c r="Y33" s="21" cm="1">
        <f t="array" aca="1" ref="Y33" ca="1">INDEX(Master!$H$2:'Master'!$H$4384,MATCH($A33&amp;Y$2,Master!$A$2:'Master'!$A$4384&amp;Master!$C$2:'Master'!$C$4384,0))</f>
        <v>99</v>
      </c>
      <c r="Z33" s="21" cm="1">
        <f t="array" aca="1" ref="Z33" ca="1">INDEX(Master!$H$2:'Master'!$H$4384,MATCH($A33&amp;Z$2,Master!$A$2:'Master'!$A$4384&amp;Master!$C$2:'Master'!$C$4384,0))</f>
        <v>97</v>
      </c>
      <c r="AA33" s="21" cm="1">
        <f t="array" aca="1" ref="AA33" ca="1">INDEX(Master!$H$2:'Master'!$H$4384,MATCH($A33&amp;AA$2,Master!$A$2:'Master'!$A$4384&amp;Master!$C$2:'Master'!$C$4384,0))</f>
        <v>97</v>
      </c>
      <c r="AB33" s="21" cm="1">
        <f t="array" aca="1" ref="AB33" ca="1">INDEX(Master!$H$2:'Master'!$H$4384,MATCH($A33&amp;AB$2,Master!$A$2:'Master'!$A$4384&amp;Master!$C$2:'Master'!$C$4384,0))</f>
        <v>98</v>
      </c>
      <c r="AC33" s="21" cm="1">
        <f t="array" aca="1" ref="AC33" ca="1">INDEX(Master!$H$2:'Master'!$H$4384,MATCH($A33&amp;AC$2,Master!$A$2:'Master'!$A$4384&amp;Master!$C$2:'Master'!$C$4384,0))</f>
        <v>97</v>
      </c>
      <c r="AD33" s="21" cm="1">
        <f t="array" aca="1" ref="AD33" ca="1">INDEX(Master!$H$2:'Master'!$H$4384,MATCH($A33&amp;AD$2,Master!$A$2:'Master'!$A$4384&amp;Master!$C$2:'Master'!$C$4384,0))</f>
        <v>98</v>
      </c>
      <c r="AE33" s="21" cm="1">
        <f t="array" aca="1" ref="AE33" ca="1">INDEX(Master!$H$2:'Master'!$H$4384,MATCH($A33&amp;AE$2,Master!$A$2:'Master'!$A$4384&amp;Master!$C$2:'Master'!$C$4384,0))</f>
        <v>99</v>
      </c>
      <c r="AF33" s="21" cm="1">
        <f t="array" aca="1" ref="AF33" ca="1">INDEX(Master!$H$2:'Master'!$H$4384,MATCH($A33&amp;AF$2,Master!$A$2:'Master'!$A$4384&amp;Master!$C$2:'Master'!$C$4384,0))</f>
        <v>99</v>
      </c>
      <c r="AG33" s="21" cm="1">
        <f t="array" aca="1" ref="AG33" ca="1">INDEX(Master!$H$2:'Master'!$H$4384,MATCH($A33&amp;AG$2,Master!$A$2:'Master'!$A$4384&amp;Master!$C$2:'Master'!$C$4384,0))</f>
        <v>99</v>
      </c>
      <c r="AH33" s="21" cm="1">
        <f t="array" aca="1" ref="AH33" ca="1">INDEX(Master!$H$2:'Master'!$H$4384,MATCH($A33&amp;AH$2,Master!$A$2:'Master'!$A$4384&amp;Master!$C$2:'Master'!$C$4384,0))</f>
        <v>99</v>
      </c>
      <c r="AI33" s="21" cm="1">
        <f t="array" aca="1" ref="AI33" ca="1">INDEX(Master!$H$2:'Master'!$H$4384,MATCH($A33&amp;AI$2,Master!$A$2:'Master'!$A$4384&amp;Master!$C$2:'Master'!$C$4384,0))</f>
        <v>99</v>
      </c>
      <c r="AJ33" s="21" cm="1">
        <f t="array" aca="1" ref="AJ33" ca="1">INDEX(Master!$H$2:'Master'!$H$4384,MATCH($A33&amp;AJ$2,Master!$A$2:'Master'!$A$4384&amp;Master!$C$2:'Master'!$C$4384,0))</f>
        <v>99</v>
      </c>
      <c r="AK33" s="21" cm="1">
        <f t="array" aca="1" ref="AK33" ca="1">INDEX(Master!$H$2:'Master'!$H$4384,MATCH($A33&amp;AK$2,Master!$A$2:'Master'!$A$4384&amp;Master!$C$2:'Master'!$C$4384,0))</f>
        <v>99</v>
      </c>
      <c r="AL33" s="21" cm="1">
        <f t="array" aca="1" ref="AL33" ca="1">INDEX(Master!$H$2:'Master'!$H$4384,MATCH($A33&amp;AL$2,Master!$A$2:'Master'!$A$4384&amp;Master!$C$2:'Master'!$C$4384,0))</f>
        <v>99</v>
      </c>
      <c r="AM33" s="21" cm="1">
        <f t="array" aca="1" ref="AM33" ca="1">INDEX(Master!$H$2:'Master'!$H$4384,MATCH($A33&amp;AM$2,Master!$A$2:'Master'!$A$4384&amp;Master!$C$2:'Master'!$C$4384,0))</f>
        <v>99</v>
      </c>
      <c r="AN33" s="21" cm="1">
        <f t="array" aca="1" ref="AN33" ca="1">INDEX(Master!$H$2:'Master'!$H$4384,MATCH($A33&amp;AN$2,Master!$A$2:'Master'!$A$4384&amp;Master!$C$2:'Master'!$C$4384,0))</f>
        <v>99</v>
      </c>
      <c r="AO33" s="21" cm="1">
        <f t="array" aca="1" ref="AO33" ca="1">INDEX(Master!$H$2:'Master'!$H$4384,MATCH($A33&amp;AO$2,Master!$A$2:'Master'!$A$4384&amp;Master!$C$2:'Master'!$C$4384,0))</f>
        <v>98</v>
      </c>
      <c r="AP33" s="21" cm="1">
        <f t="array" aca="1" ref="AP33" ca="1">INDEX(Master!$H$2:'Master'!$H$4384,MATCH($A33&amp;AP$2,Master!$A$2:'Master'!$A$4384&amp;Master!$C$2:'Master'!$C$4384,0))</f>
        <v>97</v>
      </c>
      <c r="AQ33" s="21" cm="1">
        <f t="array" aca="1" ref="AQ33" ca="1">INDEX(Master!$H$2:'Master'!$H$4384,MATCH($A33&amp;AQ$2,Master!$A$2:'Master'!$A$4384&amp;Master!$C$2:'Master'!$C$4384,0))</f>
        <v>98</v>
      </c>
      <c r="AR33" s="21" cm="1">
        <f t="array" aca="1" ref="AR33" ca="1">INDEX(Master!$H$2:'Master'!$H$4384,MATCH($A33&amp;AR$2,Master!$A$2:'Master'!$A$4384&amp;Master!$C$2:'Master'!$C$4384,0))</f>
        <v>98</v>
      </c>
      <c r="AS33" s="21" cm="1">
        <f t="array" aca="1" ref="AS33" ca="1">INDEX(Master!$H$2:'Master'!$H$4384,MATCH($A33&amp;AS$2,Master!$A$2:'Master'!$A$4384&amp;Master!$C$2:'Master'!$C$4384,0))</f>
        <v>99</v>
      </c>
      <c r="AT33" s="21" cm="1">
        <f t="array" aca="1" ref="AT33" ca="1">INDEX(Master!$H$2:'Master'!$H$4384,MATCH($A33&amp;AT$2,Master!$A$2:'Master'!$A$4384&amp;Master!$C$2:'Master'!$C$4384,0))</f>
        <v>99</v>
      </c>
      <c r="AU33" s="21" cm="1">
        <f t="array" aca="1" ref="AU33" ca="1">INDEX(Master!$H$2:'Master'!$H$4384,MATCH($A33&amp;AU$2,Master!$A$2:'Master'!$A$4384&amp;Master!$C$2:'Master'!$C$4384,0))</f>
        <v>99</v>
      </c>
      <c r="AV33" s="21" cm="1">
        <f t="array" aca="1" ref="AV33" ca="1">INDEX(Master!$H$2:'Master'!$H$4384,MATCH($A33&amp;AV$2,Master!$A$2:'Master'!$A$4384&amp;Master!$C$2:'Master'!$C$4384,0))</f>
        <v>97</v>
      </c>
      <c r="AW33" s="21" cm="1">
        <f t="array" aca="1" ref="AW33" ca="1">INDEX(Master!$H$2:'Master'!$H$4384,MATCH($A33&amp;AW$2,Master!$A$2:'Master'!$A$4384&amp;Master!$C$2:'Master'!$C$4384,0))</f>
        <v>99</v>
      </c>
      <c r="AX33" s="21" cm="1">
        <f t="array" aca="1" ref="AX33" ca="1">INDEX(Master!$H$2:'Master'!$H$4384,MATCH($A33&amp;AX$2,Master!$A$2:'Master'!$A$4384&amp;Master!$C$2:'Master'!$C$4384,0))</f>
        <v>99</v>
      </c>
      <c r="AY33" s="21" cm="1">
        <f t="array" aca="1" ref="AY33" ca="1">INDEX(Master!$H$2:'Master'!$H$4384,MATCH($A33&amp;AY$2,Master!$A$2:'Master'!$A$4384&amp;Master!$C$2:'Master'!$C$4384,0))</f>
        <v>99</v>
      </c>
      <c r="AZ33" s="21" cm="1">
        <f t="array" aca="1" ref="AZ33" ca="1">INDEX(Master!$H$2:'Master'!$H$4384,MATCH($A33&amp;AZ$2,Master!$A$2:'Master'!$A$4384&amp;Master!$C$2:'Master'!$C$4384,0))</f>
        <v>98</v>
      </c>
      <c r="BA33" s="21" cm="1">
        <f t="array" aca="1" ref="BA33" ca="1">INDEX(Master!$H$2:'Master'!$H$4384,MATCH($A33&amp;BA$2,Master!$A$2:'Master'!$A$4384&amp;Master!$C$2:'Master'!$C$4384,0))</f>
        <v>99</v>
      </c>
      <c r="BB33" s="21" cm="1">
        <f t="array" aca="1" ref="BB33" ca="1">INDEX(Master!$H$2:'Master'!$H$4384,MATCH($A33&amp;BB$2,Master!$A$2:'Master'!$A$4384&amp;Master!$C$2:'Master'!$C$4384,0))</f>
        <v>99</v>
      </c>
      <c r="BC33" s="21" cm="1">
        <f t="array" aca="1" ref="BC33" ca="1">INDEX(Master!$H$2:'Master'!$H$4384,MATCH($A33&amp;BC$2,Master!$A$2:'Master'!$A$4384&amp;Master!$C$2:'Master'!$C$4384,0))</f>
        <v>99</v>
      </c>
      <c r="BD33" s="21" cm="1">
        <f t="array" aca="1" ref="BD33" ca="1">INDEX(Master!$H$2:'Master'!$H$4384,MATCH($A33&amp;BD$2,Master!$A$2:'Master'!$A$4384&amp;Master!$C$2:'Master'!$C$4384,0))</f>
        <v>99</v>
      </c>
      <c r="BE33" s="21" cm="1">
        <f t="array" aca="1" ref="BE33" ca="1">INDEX(Master!$H$2:'Master'!$H$4384,MATCH($A33&amp;BE$2,Master!$A$2:'Master'!$A$4384&amp;Master!$C$2:'Master'!$C$4384,0))</f>
        <v>99</v>
      </c>
      <c r="BF33" s="21" cm="1">
        <f t="array" aca="1" ref="BF33" ca="1">INDEX(Master!$H$2:'Master'!$H$4384,MATCH($A33&amp;BF$2,Master!$A$2:'Master'!$A$4384&amp;Master!$C$2:'Master'!$C$4384,0))</f>
        <v>99</v>
      </c>
      <c r="BG33" s="21" cm="1">
        <f t="array" aca="1" ref="BG33" ca="1">INDEX(Master!$H$2:'Master'!$H$4384,MATCH($A33&amp;BG$2,Master!$A$2:'Master'!$A$4384&amp;Master!$C$2:'Master'!$C$4384,0))</f>
        <v>97</v>
      </c>
      <c r="BH33" s="21" cm="1">
        <f t="array" aca="1" ref="BH33" ca="1">INDEX(Master!$H$2:'Master'!$H$4384,MATCH($A33&amp;BH$2,Master!$A$2:'Master'!$A$4384&amp;Master!$C$2:'Master'!$C$4384,0))</f>
        <v>99</v>
      </c>
      <c r="BI33" s="21" cm="1">
        <f t="array" aca="1" ref="BI33" ca="1">INDEX(Master!$H$2:'Master'!$H$4384,MATCH($A33&amp;BI$2,Master!$A$2:'Master'!$A$4384&amp;Master!$C$2:'Master'!$C$4384,0))</f>
        <v>98</v>
      </c>
      <c r="BJ33" s="21" cm="1">
        <f t="array" aca="1" ref="BJ33" ca="1">INDEX(Master!$H$2:'Master'!$H$4384,MATCH($A33&amp;BJ$2,Master!$A$2:'Master'!$A$4384&amp;Master!$C$2:'Master'!$C$4384,0))</f>
        <v>99</v>
      </c>
      <c r="BK33" s="21" cm="1">
        <f t="array" aca="1" ref="BK33" ca="1">INDEX(Master!$H$2:'Master'!$H$4384,MATCH($A33&amp;BK$2,Master!$A$2:'Master'!$A$4384&amp;Master!$C$2:'Master'!$C$4384,0))</f>
        <v>98</v>
      </c>
      <c r="BL33" s="21" cm="1">
        <f t="array" aca="1" ref="BL33" ca="1">INDEX(Master!$H$2:'Master'!$H$4384,MATCH($A33&amp;BL$2,Master!$A$2:'Master'!$A$4384&amp;Master!$C$2:'Master'!$C$4384,0))</f>
        <v>98</v>
      </c>
      <c r="BM33" s="21" cm="1">
        <f t="array" aca="1" ref="BM33" ca="1">INDEX(Master!$H$2:'Master'!$H$4384,MATCH($A33&amp;BM$2,Master!$A$2:'Master'!$A$4384&amp;Master!$C$2:'Master'!$C$4384,0))</f>
        <v>98</v>
      </c>
      <c r="BN33" s="21" cm="1">
        <f t="array" aca="1" ref="BN33" ca="1">INDEX(Master!$H$2:'Master'!$H$4384,MATCH($A33&amp;BN$2,Master!$A$2:'Master'!$A$4384&amp;Master!$C$2:'Master'!$C$4384,0))</f>
        <v>99</v>
      </c>
      <c r="BO33" s="21" cm="1">
        <f t="array" aca="1" ref="BO33" ca="1">INDEX(Master!$H$2:'Master'!$H$4384,MATCH($A33&amp;BO$2,Master!$A$2:'Master'!$A$4384&amp;Master!$C$2:'Master'!$C$4384,0))</f>
        <v>99</v>
      </c>
      <c r="BP33" s="21" cm="1">
        <f t="array" aca="1" ref="BP33" ca="1">INDEX(Master!$H$2:'Master'!$H$4384,MATCH($A33&amp;BP$2,Master!$A$2:'Master'!$A$4384&amp;Master!$C$2:'Master'!$C$4384,0))</f>
        <v>99</v>
      </c>
      <c r="BQ33" s="21" cm="1">
        <f t="array" aca="1" ref="BQ33" ca="1">INDEX(Master!$H$2:'Master'!$H$4384,MATCH($A33&amp;BQ$2,Master!$A$2:'Master'!$A$4384&amp;Master!$C$2:'Master'!$C$4384,0))</f>
        <v>98</v>
      </c>
      <c r="BR33" s="21" cm="1">
        <f t="array" aca="1" ref="BR33" ca="1">INDEX(Master!$H$2:'Master'!$H$4384,MATCH($A33&amp;BR$2,Master!$A$2:'Master'!$A$4384&amp;Master!$C$2:'Master'!$C$4384,0))</f>
        <v>99</v>
      </c>
      <c r="BS33" s="21" cm="1">
        <f t="array" aca="1" ref="BS33" ca="1">INDEX(Master!$H$2:'Master'!$H$4384,MATCH($A33&amp;BS$2,Master!$A$2:'Master'!$A$4384&amp;Master!$C$2:'Master'!$C$4384,0))</f>
        <v>99</v>
      </c>
      <c r="BT33" s="21" cm="1">
        <f t="array" aca="1" ref="BT33" ca="1">INDEX(Master!$H$2:'Master'!$H$4384,MATCH($A33&amp;BT$2,Master!$A$2:'Master'!$A$4384&amp;Master!$C$2:'Master'!$C$4384,0))</f>
        <v>99</v>
      </c>
      <c r="BU33" s="21" cm="1">
        <f t="array" aca="1" ref="BU33" ca="1">INDEX(Master!$H$2:'Master'!$H$4384,MATCH($A33&amp;BU$2,Master!$A$2:'Master'!$A$4384&amp;Master!$C$2:'Master'!$C$4384,0))</f>
        <v>99</v>
      </c>
      <c r="BV33" s="21" cm="1">
        <f t="array" aca="1" ref="BV33" ca="1">INDEX(Master!$H$2:'Master'!$H$4384,MATCH($A33&amp;BV$2,Master!$A$2:'Master'!$A$4384&amp;Master!$C$2:'Master'!$C$4384,0))</f>
        <v>97</v>
      </c>
      <c r="BW33" s="21" cm="1">
        <f t="array" aca="1" ref="BW33" ca="1">INDEX(Master!$H$2:'Master'!$H$4384,MATCH($A33&amp;BW$2,Master!$A$2:'Master'!$A$4384&amp;Master!$C$2:'Master'!$C$4384,0))</f>
        <v>99</v>
      </c>
      <c r="BX33" s="21" cm="1">
        <f t="array" aca="1" ref="BX33" ca="1">INDEX(Master!$H$2:'Master'!$H$4384,MATCH($A33&amp;BX$2,Master!$A$2:'Master'!$A$4384&amp;Master!$C$2:'Master'!$C$4384,0))</f>
        <v>97</v>
      </c>
      <c r="BY33" s="21" cm="1">
        <f t="array" aca="1" ref="BY33" ca="1">INDEX(Master!$H$2:'Master'!$H$4384,MATCH($A33&amp;BY$2,Master!$A$2:'Master'!$A$4384&amp;Master!$C$2:'Master'!$C$4384,0))</f>
        <v>99</v>
      </c>
      <c r="BZ33" s="21" cm="1">
        <f t="array" aca="1" ref="BZ33" ca="1">INDEX(Master!$H$2:'Master'!$H$4384,MATCH($A33&amp;BZ$2,Master!$A$2:'Master'!$A$4384&amp;Master!$C$2:'Master'!$C$4384,0))</f>
        <v>98</v>
      </c>
      <c r="CA33" s="21" cm="1">
        <f t="array" aca="1" ref="CA33" ca="1">INDEX(Master!$H$2:'Master'!$H$4384,MATCH($A33&amp;CA$2,Master!$A$2:'Master'!$A$4384&amp;Master!$C$2:'Master'!$C$4384,0))</f>
        <v>99</v>
      </c>
      <c r="CB33" s="21" cm="1">
        <f t="array" aca="1" ref="CB33" ca="1">INDEX(Master!$H$2:'Master'!$H$4384,MATCH($A33&amp;CB$2,Master!$A$2:'Master'!$A$4384&amp;Master!$C$2:'Master'!$C$4384,0))</f>
        <v>98</v>
      </c>
      <c r="CC33" s="21" cm="1">
        <f t="array" aca="1" ref="CC33" ca="1">INDEX(Master!$H$2:'Master'!$H$4384,MATCH($A33&amp;CC$2,Master!$A$2:'Master'!$A$4384&amp;Master!$C$2:'Master'!$C$4384,0))</f>
        <v>98</v>
      </c>
      <c r="CD33" s="21" cm="1">
        <f t="array" aca="1" ref="CD33" ca="1">INDEX(Master!$H$2:'Master'!$H$4384,MATCH($A33&amp;CD$2,Master!$A$2:'Master'!$A$4384&amp;Master!$C$2:'Master'!$C$4384,0))</f>
        <v>98</v>
      </c>
      <c r="CE33" s="21" cm="1">
        <f t="array" aca="1" ref="CE33" ca="1">INDEX(Master!$H$2:'Master'!$H$4384,MATCH($A33&amp;CE$2,Master!$A$2:'Master'!$A$4384&amp;Master!$C$2:'Master'!$C$4384,0))</f>
        <v>98</v>
      </c>
      <c r="CF33" s="21" cm="1">
        <f t="array" aca="1" ref="CF33" ca="1">INDEX(Master!$H$2:'Master'!$H$4384,MATCH($A33&amp;CF$2,Master!$A$2:'Master'!$A$4384&amp;Master!$C$2:'Master'!$C$4384,0))</f>
        <v>98</v>
      </c>
      <c r="CG33" s="21" cm="1">
        <f t="array" aca="1" ref="CG33" ca="1">INDEX(Master!$H$2:'Master'!$H$4384,MATCH($A33&amp;CG$2,Master!$A$2:'Master'!$A$4384&amp;Master!$C$2:'Master'!$C$4384,0))</f>
        <v>98</v>
      </c>
      <c r="CH33" s="21" cm="1">
        <f t="array" aca="1" ref="CH33" ca="1">INDEX(Master!$H$2:'Master'!$H$4384,MATCH($A33&amp;CH$2,Master!$A$2:'Master'!$A$4384&amp;Master!$C$2:'Master'!$C$4384,0))</f>
        <v>98</v>
      </c>
      <c r="CI33" s="21" cm="1">
        <f t="array" aca="1" ref="CI33" ca="1">INDEX(Master!$H$2:'Master'!$H$4384,MATCH($A33&amp;CI$2,Master!$A$2:'Master'!$A$4384&amp;Master!$C$2:'Master'!$C$4384,0))</f>
        <v>98</v>
      </c>
      <c r="CJ33" s="21" cm="1">
        <f t="array" aca="1" ref="CJ33" ca="1">INDEX(Master!$H$2:'Master'!$H$4384,MATCH($A33&amp;CJ$2,Master!$A$2:'Master'!$A$4384&amp;Master!$C$2:'Master'!$C$4384,0))</f>
        <v>99</v>
      </c>
      <c r="CK33" s="21" cm="1">
        <f t="array" aca="1" ref="CK33" ca="1">INDEX(Master!$H$2:'Master'!$H$4384,MATCH($A33&amp;CK$2,Master!$A$2:'Master'!$A$4384&amp;Master!$C$2:'Master'!$C$4384,0))</f>
        <v>99</v>
      </c>
      <c r="CL33" s="21" cm="1">
        <f t="array" aca="1" ref="CL33" ca="1">INDEX(Master!$H$2:'Master'!$H$4384,MATCH($A33&amp;CL$2,Master!$A$2:'Master'!$A$4384&amp;Master!$C$2:'Master'!$C$4384,0))</f>
        <v>99</v>
      </c>
      <c r="CM33" s="21" cm="1">
        <f t="array" aca="1" ref="CM33" ca="1">INDEX(Master!$H$2:'Master'!$H$4384,MATCH($A33&amp;CM$2,Master!$A$2:'Master'!$A$4384&amp;Master!$C$2:'Master'!$C$4384,0))</f>
        <v>99</v>
      </c>
      <c r="CN33" s="21" cm="1">
        <f t="array" aca="1" ref="CN33" ca="1">INDEX(Master!$H$2:'Master'!$H$4384,MATCH($A33&amp;CN$2,Master!$A$2:'Master'!$A$4384&amp;Master!$C$2:'Master'!$C$4384,0))</f>
        <v>97</v>
      </c>
      <c r="CO33" s="21" cm="1">
        <f t="array" aca="1" ref="CO33" ca="1">INDEX(Master!$H$2:'Master'!$H$4384,MATCH($A33&amp;CO$2,Master!$A$2:'Master'!$A$4384&amp;Master!$C$2:'Master'!$C$4384,0))</f>
        <v>97</v>
      </c>
      <c r="CP33" s="21" cm="1">
        <f t="array" aca="1" ref="CP33" ca="1">INDEX(Master!$H$2:'Master'!$H$4384,MATCH($A33&amp;CP$2,Master!$A$2:'Master'!$A$4384&amp;Master!$C$2:'Master'!$C$4384,0))</f>
        <v>97</v>
      </c>
      <c r="CQ33" s="21" cm="1">
        <f t="array" aca="1" ref="CQ33" ca="1">INDEX(Master!$H$2:'Master'!$H$4384,MATCH($A33&amp;CQ$2,Master!$A$2:'Master'!$A$4384&amp;Master!$C$2:'Master'!$C$4384,0))</f>
        <v>99</v>
      </c>
      <c r="CR33" s="21" cm="1">
        <f t="array" aca="1" ref="CR33" ca="1">INDEX(Master!$H$2:'Master'!$H$4384,MATCH($A33&amp;CR$2,Master!$A$2:'Master'!$A$4384&amp;Master!$C$2:'Master'!$C$4384,0))</f>
        <v>99</v>
      </c>
      <c r="CS33" s="21" cm="1">
        <f t="array" aca="1" ref="CS33" ca="1">INDEX(Master!$H$2:'Master'!$H$4384,MATCH($A33&amp;CS$2,Master!$A$2:'Master'!$A$4384&amp;Master!$C$2:'Master'!$C$4384,0))</f>
        <v>98</v>
      </c>
    </row>
    <row r="34" spans="1:97">
      <c r="A34" s="22" t="str">
        <f>VLOOKUP(Staff!$A31,Staff!$A$1:A$73,1,FALSE)</f>
        <v>Hercule Poirot</v>
      </c>
      <c r="B34" s="21" cm="1">
        <f t="array" aca="1" ref="B34" ca="1">INDEX(Master!$H$2:'Master'!$H$4384,MATCH($A34&amp;B$2,Master!$A$2:'Master'!$A$4384&amp;Master!$C$2:'Master'!$C$4384,0))</f>
        <v>97</v>
      </c>
      <c r="C34" s="21" cm="1">
        <f t="array" aca="1" ref="C34" ca="1">INDEX(Master!$H$2:'Master'!$H$4384,MATCH($A34&amp;C$2,Master!$A$2:'Master'!$A$4384&amp;Master!$C$2:'Master'!$C$4384,0))</f>
        <v>97</v>
      </c>
      <c r="D34" s="21" cm="1">
        <f t="array" aca="1" ref="D34" ca="1">INDEX(Master!$H$2:'Master'!$H$4384,MATCH($A34&amp;D$2,Master!$A$2:'Master'!$A$4384&amp;Master!$C$2:'Master'!$C$4384,0))</f>
        <v>96</v>
      </c>
      <c r="E34" s="21" cm="1">
        <f t="array" aca="1" ref="E34" ca="1">INDEX(Master!$H$2:'Master'!$H$4384,MATCH($A34&amp;E$2,Master!$A$2:'Master'!$A$4384&amp;Master!$C$2:'Master'!$C$4384,0))</f>
        <v>97</v>
      </c>
      <c r="F34" s="21" cm="1">
        <f t="array" aca="1" ref="F34" ca="1">INDEX(Master!$H$2:'Master'!$H$4384,MATCH($A34&amp;F$2,Master!$A$2:'Master'!$A$4384&amp;Master!$C$2:'Master'!$C$4384,0))</f>
        <v>96</v>
      </c>
      <c r="G34" s="21" cm="1">
        <f t="array" aca="1" ref="G34" ca="1">INDEX(Master!$H$2:'Master'!$H$4384,MATCH($A34&amp;G$2,Master!$A$2:'Master'!$A$4384&amp;Master!$C$2:'Master'!$C$4384,0))</f>
        <v>97</v>
      </c>
      <c r="H34" s="21" cm="1">
        <f t="array" aca="1" ref="H34" ca="1">INDEX(Master!$H$2:'Master'!$H$4384,MATCH($A34&amp;H$2,Master!$A$2:'Master'!$A$4384&amp;Master!$C$2:'Master'!$C$4384,0))</f>
        <v>97</v>
      </c>
      <c r="I34" s="21" cm="1">
        <f t="array" aca="1" ref="I34" ca="1">INDEX(Master!$H$2:'Master'!$H$4384,MATCH($A34&amp;I$2,Master!$A$2:'Master'!$A$4384&amp;Master!$C$2:'Master'!$C$4384,0))</f>
        <v>97</v>
      </c>
      <c r="J34" s="21" cm="1">
        <f t="array" aca="1" ref="J34" ca="1">INDEX(Master!$H$2:'Master'!$H$4384,MATCH($A34&amp;J$2,Master!$A$2:'Master'!$A$4384&amp;Master!$C$2:'Master'!$C$4384,0))</f>
        <v>97</v>
      </c>
      <c r="K34" s="21" cm="1">
        <f t="array" aca="1" ref="K34" ca="1">INDEX(Master!$H$2:'Master'!$H$4384,MATCH($A34&amp;K$2,Master!$A$2:'Master'!$A$4384&amp;Master!$C$2:'Master'!$C$4384,0))</f>
        <v>98</v>
      </c>
      <c r="L34" s="21" cm="1">
        <f t="array" aca="1" ref="L34" ca="1">INDEX(Master!$H$2:'Master'!$H$4384,MATCH($A34&amp;L$2,Master!$A$2:'Master'!$A$4384&amp;Master!$C$2:'Master'!$C$4384,0))</f>
        <v>99</v>
      </c>
      <c r="M34" s="21" cm="1">
        <f t="array" aca="1" ref="M34" ca="1">INDEX(Master!$H$2:'Master'!$H$4384,MATCH($A34&amp;M$2,Master!$A$2:'Master'!$A$4384&amp;Master!$C$2:'Master'!$C$4384,0))</f>
        <v>98</v>
      </c>
      <c r="N34" s="21" cm="1">
        <f t="array" aca="1" ref="N34" ca="1">INDEX(Master!$H$2:'Master'!$H$4384,MATCH($A34&amp;N$2,Master!$A$2:'Master'!$A$4384&amp;Master!$C$2:'Master'!$C$4384,0))</f>
        <v>98</v>
      </c>
      <c r="O34" s="21" cm="1">
        <f t="array" aca="1" ref="O34" ca="1">INDEX(Master!$H$2:'Master'!$H$4384,MATCH($A34&amp;O$2,Master!$A$2:'Master'!$A$4384&amp;Master!$C$2:'Master'!$C$4384,0))</f>
        <v>98</v>
      </c>
      <c r="P34" s="21" cm="1">
        <f t="array" aca="1" ref="P34" ca="1">INDEX(Master!$H$2:'Master'!$H$4384,MATCH($A34&amp;P$2,Master!$A$2:'Master'!$A$4384&amp;Master!$C$2:'Master'!$C$4384,0))</f>
        <v>97</v>
      </c>
      <c r="Q34" s="21" cm="1">
        <f t="array" aca="1" ref="Q34" ca="1">INDEX(Master!$H$2:'Master'!$H$4384,MATCH($A34&amp;Q$2,Master!$A$2:'Master'!$A$4384&amp;Master!$C$2:'Master'!$C$4384,0))</f>
        <v>98</v>
      </c>
      <c r="R34" s="21" cm="1">
        <f t="array" aca="1" ref="R34" ca="1">INDEX(Master!$H$2:'Master'!$H$4384,MATCH($A34&amp;R$2,Master!$A$2:'Master'!$A$4384&amp;Master!$C$2:'Master'!$C$4384,0))</f>
        <v>99</v>
      </c>
      <c r="S34" s="21" cm="1">
        <f t="array" aca="1" ref="S34" ca="1">INDEX(Master!$H$2:'Master'!$H$4384,MATCH($A34&amp;S$2,Master!$A$2:'Master'!$A$4384&amp;Master!$C$2:'Master'!$C$4384,0))</f>
        <v>99</v>
      </c>
      <c r="T34" s="21" cm="1">
        <f t="array" aca="1" ref="T34" ca="1">INDEX(Master!$H$2:'Master'!$H$4384,MATCH($A34&amp;T$2,Master!$A$2:'Master'!$A$4384&amp;Master!$C$2:'Master'!$C$4384,0))</f>
        <v>97</v>
      </c>
      <c r="U34" s="21" cm="1">
        <f t="array" aca="1" ref="U34" ca="1">INDEX(Master!$H$2:'Master'!$H$4384,MATCH($A34&amp;U$2,Master!$A$2:'Master'!$A$4384&amp;Master!$C$2:'Master'!$C$4384,0))</f>
        <v>97</v>
      </c>
      <c r="V34" s="21" cm="1">
        <f t="array" aca="1" ref="V34" ca="1">INDEX(Master!$H$2:'Master'!$H$4384,MATCH($A34&amp;V$2,Master!$A$2:'Master'!$A$4384&amp;Master!$C$2:'Master'!$C$4384,0))</f>
        <v>98</v>
      </c>
      <c r="W34" s="21" cm="1">
        <f t="array" aca="1" ref="W34" ca="1">INDEX(Master!$H$2:'Master'!$H$4384,MATCH($A34&amp;W$2,Master!$A$2:'Master'!$A$4384&amp;Master!$C$2:'Master'!$C$4384,0))</f>
        <v>97</v>
      </c>
      <c r="X34" s="21" cm="1">
        <f t="array" aca="1" ref="X34" ca="1">INDEX(Master!$H$2:'Master'!$H$4384,MATCH($A34&amp;X$2,Master!$A$2:'Master'!$A$4384&amp;Master!$C$2:'Master'!$C$4384,0))</f>
        <v>99</v>
      </c>
      <c r="Y34" s="21" cm="1">
        <f t="array" aca="1" ref="Y34" ca="1">INDEX(Master!$H$2:'Master'!$H$4384,MATCH($A34&amp;Y$2,Master!$A$2:'Master'!$A$4384&amp;Master!$C$2:'Master'!$C$4384,0))</f>
        <v>99</v>
      </c>
      <c r="Z34" s="21" cm="1">
        <f t="array" aca="1" ref="Z34" ca="1">INDEX(Master!$H$2:'Master'!$H$4384,MATCH($A34&amp;Z$2,Master!$A$2:'Master'!$A$4384&amp;Master!$C$2:'Master'!$C$4384,0))</f>
        <v>99</v>
      </c>
      <c r="AA34" s="21" cm="1">
        <f t="array" aca="1" ref="AA34" ca="1">INDEX(Master!$H$2:'Master'!$H$4384,MATCH($A34&amp;AA$2,Master!$A$2:'Master'!$A$4384&amp;Master!$C$2:'Master'!$C$4384,0))</f>
        <v>99</v>
      </c>
      <c r="AB34" s="21" cm="1">
        <f t="array" aca="1" ref="AB34" ca="1">INDEX(Master!$H$2:'Master'!$H$4384,MATCH($A34&amp;AB$2,Master!$A$2:'Master'!$A$4384&amp;Master!$C$2:'Master'!$C$4384,0))</f>
        <v>99</v>
      </c>
      <c r="AC34" s="21" cm="1">
        <f t="array" aca="1" ref="AC34" ca="1">INDEX(Master!$H$2:'Master'!$H$4384,MATCH($A34&amp;AC$2,Master!$A$2:'Master'!$A$4384&amp;Master!$C$2:'Master'!$C$4384,0))</f>
        <v>99</v>
      </c>
      <c r="AD34" s="21" cm="1">
        <f t="array" aca="1" ref="AD34" ca="1">INDEX(Master!$H$2:'Master'!$H$4384,MATCH($A34&amp;AD$2,Master!$A$2:'Master'!$A$4384&amp;Master!$C$2:'Master'!$C$4384,0))</f>
        <v>99</v>
      </c>
      <c r="AE34" s="21" cm="1">
        <f t="array" aca="1" ref="AE34" ca="1">INDEX(Master!$H$2:'Master'!$H$4384,MATCH($A34&amp;AE$2,Master!$A$2:'Master'!$A$4384&amp;Master!$C$2:'Master'!$C$4384,0))</f>
        <v>99</v>
      </c>
      <c r="AF34" s="21" cm="1">
        <f t="array" aca="1" ref="AF34" ca="1">INDEX(Master!$H$2:'Master'!$H$4384,MATCH($A34&amp;AF$2,Master!$A$2:'Master'!$A$4384&amp;Master!$C$2:'Master'!$C$4384,0))</f>
        <v>98</v>
      </c>
      <c r="AG34" s="21" cm="1">
        <f t="array" aca="1" ref="AG34" ca="1">INDEX(Master!$H$2:'Master'!$H$4384,MATCH($A34&amp;AG$2,Master!$A$2:'Master'!$A$4384&amp;Master!$C$2:'Master'!$C$4384,0))</f>
        <v>98</v>
      </c>
      <c r="AH34" s="21" cm="1">
        <f t="array" aca="1" ref="AH34" ca="1">INDEX(Master!$H$2:'Master'!$H$4384,MATCH($A34&amp;AH$2,Master!$A$2:'Master'!$A$4384&amp;Master!$C$2:'Master'!$C$4384,0))</f>
        <v>97</v>
      </c>
      <c r="AI34" s="21" cm="1">
        <f t="array" aca="1" ref="AI34" ca="1">INDEX(Master!$H$2:'Master'!$H$4384,MATCH($A34&amp;AI$2,Master!$A$2:'Master'!$A$4384&amp;Master!$C$2:'Master'!$C$4384,0))</f>
        <v>98</v>
      </c>
      <c r="AJ34" s="21" cm="1">
        <f t="array" aca="1" ref="AJ34" ca="1">INDEX(Master!$H$2:'Master'!$H$4384,MATCH($A34&amp;AJ$2,Master!$A$2:'Master'!$A$4384&amp;Master!$C$2:'Master'!$C$4384,0))</f>
        <v>98</v>
      </c>
      <c r="AK34" s="21" cm="1">
        <f t="array" aca="1" ref="AK34" ca="1">INDEX(Master!$H$2:'Master'!$H$4384,MATCH($A34&amp;AK$2,Master!$A$2:'Master'!$A$4384&amp;Master!$C$2:'Master'!$C$4384,0))</f>
        <v>99</v>
      </c>
      <c r="AL34" s="21" cm="1">
        <f t="array" aca="1" ref="AL34" ca="1">INDEX(Master!$H$2:'Master'!$H$4384,MATCH($A34&amp;AL$2,Master!$A$2:'Master'!$A$4384&amp;Master!$C$2:'Master'!$C$4384,0))</f>
        <v>99</v>
      </c>
      <c r="AM34" s="21" cm="1">
        <f t="array" aca="1" ref="AM34" ca="1">INDEX(Master!$H$2:'Master'!$H$4384,MATCH($A34&amp;AM$2,Master!$A$2:'Master'!$A$4384&amp;Master!$C$2:'Master'!$C$4384,0))</f>
        <v>97</v>
      </c>
      <c r="AN34" s="21" cm="1">
        <f t="array" aca="1" ref="AN34" ca="1">INDEX(Master!$H$2:'Master'!$H$4384,MATCH($A34&amp;AN$2,Master!$A$2:'Master'!$A$4384&amp;Master!$C$2:'Master'!$C$4384,0))</f>
        <v>99</v>
      </c>
      <c r="AO34" s="21" cm="1">
        <f t="array" aca="1" ref="AO34" ca="1">INDEX(Master!$H$2:'Master'!$H$4384,MATCH($A34&amp;AO$2,Master!$A$2:'Master'!$A$4384&amp;Master!$C$2:'Master'!$C$4384,0))</f>
        <v>99</v>
      </c>
      <c r="AP34" s="21" cm="1">
        <f t="array" aca="1" ref="AP34" ca="1">INDEX(Master!$H$2:'Master'!$H$4384,MATCH($A34&amp;AP$2,Master!$A$2:'Master'!$A$4384&amp;Master!$C$2:'Master'!$C$4384,0))</f>
        <v>99</v>
      </c>
      <c r="AQ34" s="21" cm="1">
        <f t="array" aca="1" ref="AQ34" ca="1">INDEX(Master!$H$2:'Master'!$H$4384,MATCH($A34&amp;AQ$2,Master!$A$2:'Master'!$A$4384&amp;Master!$C$2:'Master'!$C$4384,0))</f>
        <v>99</v>
      </c>
      <c r="AR34" s="21" cm="1">
        <f t="array" aca="1" ref="AR34" ca="1">INDEX(Master!$H$2:'Master'!$H$4384,MATCH($A34&amp;AR$2,Master!$A$2:'Master'!$A$4384&amp;Master!$C$2:'Master'!$C$4384,0))</f>
        <v>99</v>
      </c>
      <c r="AS34" s="21" cm="1">
        <f t="array" aca="1" ref="AS34" ca="1">INDEX(Master!$H$2:'Master'!$H$4384,MATCH($A34&amp;AS$2,Master!$A$2:'Master'!$A$4384&amp;Master!$C$2:'Master'!$C$4384,0))</f>
        <v>99</v>
      </c>
      <c r="AT34" s="21" cm="1">
        <f t="array" aca="1" ref="AT34" ca="1">INDEX(Master!$H$2:'Master'!$H$4384,MATCH($A34&amp;AT$2,Master!$A$2:'Master'!$A$4384&amp;Master!$C$2:'Master'!$C$4384,0))</f>
        <v>99</v>
      </c>
      <c r="AU34" s="21" cm="1">
        <f t="array" aca="1" ref="AU34" ca="1">INDEX(Master!$H$2:'Master'!$H$4384,MATCH($A34&amp;AU$2,Master!$A$2:'Master'!$A$4384&amp;Master!$C$2:'Master'!$C$4384,0))</f>
        <v>99</v>
      </c>
      <c r="AV34" s="21" cm="1">
        <f t="array" aca="1" ref="AV34" ca="1">INDEX(Master!$H$2:'Master'!$H$4384,MATCH($A34&amp;AV$2,Master!$A$2:'Master'!$A$4384&amp;Master!$C$2:'Master'!$C$4384,0))</f>
        <v>99</v>
      </c>
      <c r="AW34" s="21" cm="1">
        <f t="array" aca="1" ref="AW34" ca="1">INDEX(Master!$H$2:'Master'!$H$4384,MATCH($A34&amp;AW$2,Master!$A$2:'Master'!$A$4384&amp;Master!$C$2:'Master'!$C$4384,0))</f>
        <v>99</v>
      </c>
      <c r="AX34" s="21" cm="1">
        <f t="array" aca="1" ref="AX34" ca="1">INDEX(Master!$H$2:'Master'!$H$4384,MATCH($A34&amp;AX$2,Master!$A$2:'Master'!$A$4384&amp;Master!$C$2:'Master'!$C$4384,0))</f>
        <v>97</v>
      </c>
      <c r="AY34" s="21" cm="1">
        <f t="array" aca="1" ref="AY34" ca="1">INDEX(Master!$H$2:'Master'!$H$4384,MATCH($A34&amp;AY$2,Master!$A$2:'Master'!$A$4384&amp;Master!$C$2:'Master'!$C$4384,0))</f>
        <v>97</v>
      </c>
      <c r="AZ34" s="21" cm="1">
        <f t="array" aca="1" ref="AZ34" ca="1">INDEX(Master!$H$2:'Master'!$H$4384,MATCH($A34&amp;AZ$2,Master!$A$2:'Master'!$A$4384&amp;Master!$C$2:'Master'!$C$4384,0))</f>
        <v>99</v>
      </c>
      <c r="BA34" s="21" cm="1">
        <f t="array" aca="1" ref="BA34" ca="1">INDEX(Master!$H$2:'Master'!$H$4384,MATCH($A34&amp;BA$2,Master!$A$2:'Master'!$A$4384&amp;Master!$C$2:'Master'!$C$4384,0))</f>
        <v>99</v>
      </c>
      <c r="BB34" s="21" cm="1">
        <f t="array" aca="1" ref="BB34" ca="1">INDEX(Master!$H$2:'Master'!$H$4384,MATCH($A34&amp;BB$2,Master!$A$2:'Master'!$A$4384&amp;Master!$C$2:'Master'!$C$4384,0))</f>
        <v>99</v>
      </c>
      <c r="BC34" s="21" cm="1">
        <f t="array" aca="1" ref="BC34" ca="1">INDEX(Master!$H$2:'Master'!$H$4384,MATCH($A34&amp;BC$2,Master!$A$2:'Master'!$A$4384&amp;Master!$C$2:'Master'!$C$4384,0))</f>
        <v>97</v>
      </c>
      <c r="BD34" s="21" cm="1">
        <f t="array" aca="1" ref="BD34" ca="1">INDEX(Master!$H$2:'Master'!$H$4384,MATCH($A34&amp;BD$2,Master!$A$2:'Master'!$A$4384&amp;Master!$C$2:'Master'!$C$4384,0))</f>
        <v>98</v>
      </c>
      <c r="BE34" s="21" cm="1">
        <f t="array" aca="1" ref="BE34" ca="1">INDEX(Master!$H$2:'Master'!$H$4384,MATCH($A34&amp;BE$2,Master!$A$2:'Master'!$A$4384&amp;Master!$C$2:'Master'!$C$4384,0))</f>
        <v>99</v>
      </c>
      <c r="BF34" s="21" cm="1">
        <f t="array" aca="1" ref="BF34" ca="1">INDEX(Master!$H$2:'Master'!$H$4384,MATCH($A34&amp;BF$2,Master!$A$2:'Master'!$A$4384&amp;Master!$C$2:'Master'!$C$4384,0))</f>
        <v>98</v>
      </c>
      <c r="BG34" s="21" cm="1">
        <f t="array" aca="1" ref="BG34" ca="1">INDEX(Master!$H$2:'Master'!$H$4384,MATCH($A34&amp;BG$2,Master!$A$2:'Master'!$A$4384&amp;Master!$C$2:'Master'!$C$4384,0))</f>
        <v>99</v>
      </c>
      <c r="BH34" s="21" cm="1">
        <f t="array" aca="1" ref="BH34" ca="1">INDEX(Master!$H$2:'Master'!$H$4384,MATCH($A34&amp;BH$2,Master!$A$2:'Master'!$A$4384&amp;Master!$C$2:'Master'!$C$4384,0))</f>
        <v>99</v>
      </c>
      <c r="BI34" s="21" cm="1">
        <f t="array" aca="1" ref="BI34" ca="1">INDEX(Master!$H$2:'Master'!$H$4384,MATCH($A34&amp;BI$2,Master!$A$2:'Master'!$A$4384&amp;Master!$C$2:'Master'!$C$4384,0))</f>
        <v>98</v>
      </c>
      <c r="BJ34" s="21" cm="1">
        <f t="array" aca="1" ref="BJ34" ca="1">INDEX(Master!$H$2:'Master'!$H$4384,MATCH($A34&amp;BJ$2,Master!$A$2:'Master'!$A$4384&amp;Master!$C$2:'Master'!$C$4384,0))</f>
        <v>99</v>
      </c>
      <c r="BK34" s="21" cm="1">
        <f t="array" aca="1" ref="BK34" ca="1">INDEX(Master!$H$2:'Master'!$H$4384,MATCH($A34&amp;BK$2,Master!$A$2:'Master'!$A$4384&amp;Master!$C$2:'Master'!$C$4384,0))</f>
        <v>98</v>
      </c>
      <c r="BL34" s="21" cm="1">
        <f t="array" aca="1" ref="BL34" ca="1">INDEX(Master!$H$2:'Master'!$H$4384,MATCH($A34&amp;BL$2,Master!$A$2:'Master'!$A$4384&amp;Master!$C$2:'Master'!$C$4384,0))</f>
        <v>98</v>
      </c>
      <c r="BM34" s="21" cm="1">
        <f t="array" aca="1" ref="BM34" ca="1">INDEX(Master!$H$2:'Master'!$H$4384,MATCH($A34&amp;BM$2,Master!$A$2:'Master'!$A$4384&amp;Master!$C$2:'Master'!$C$4384,0))</f>
        <v>98</v>
      </c>
      <c r="BN34" s="21" cm="1">
        <f t="array" aca="1" ref="BN34" ca="1">INDEX(Master!$H$2:'Master'!$H$4384,MATCH($A34&amp;BN$2,Master!$A$2:'Master'!$A$4384&amp;Master!$C$2:'Master'!$C$4384,0))</f>
        <v>98</v>
      </c>
      <c r="BO34" s="21" cm="1">
        <f t="array" aca="1" ref="BO34" ca="1">INDEX(Master!$H$2:'Master'!$H$4384,MATCH($A34&amp;BO$2,Master!$A$2:'Master'!$A$4384&amp;Master!$C$2:'Master'!$C$4384,0))</f>
        <v>98</v>
      </c>
      <c r="BP34" s="21" cm="1">
        <f t="array" aca="1" ref="BP34" ca="1">INDEX(Master!$H$2:'Master'!$H$4384,MATCH($A34&amp;BP$2,Master!$A$2:'Master'!$A$4384&amp;Master!$C$2:'Master'!$C$4384,0))</f>
        <v>99</v>
      </c>
      <c r="BQ34" s="21" cm="1">
        <f t="array" aca="1" ref="BQ34" ca="1">INDEX(Master!$H$2:'Master'!$H$4384,MATCH($A34&amp;BQ$2,Master!$A$2:'Master'!$A$4384&amp;Master!$C$2:'Master'!$C$4384,0))</f>
        <v>99</v>
      </c>
      <c r="BR34" s="21" cm="1">
        <f t="array" aca="1" ref="BR34" ca="1">INDEX(Master!$H$2:'Master'!$H$4384,MATCH($A34&amp;BR$2,Master!$A$2:'Master'!$A$4384&amp;Master!$C$2:'Master'!$C$4384,0))</f>
        <v>99</v>
      </c>
      <c r="BS34" s="21" cm="1">
        <f t="array" aca="1" ref="BS34" ca="1">INDEX(Master!$H$2:'Master'!$H$4384,MATCH($A34&amp;BS$2,Master!$A$2:'Master'!$A$4384&amp;Master!$C$2:'Master'!$C$4384,0))</f>
        <v>99</v>
      </c>
      <c r="BT34" s="21" cm="1">
        <f t="array" aca="1" ref="BT34" ca="1">INDEX(Master!$H$2:'Master'!$H$4384,MATCH($A34&amp;BT$2,Master!$A$2:'Master'!$A$4384&amp;Master!$C$2:'Master'!$C$4384,0))</f>
        <v>98</v>
      </c>
      <c r="BU34" s="21" cm="1">
        <f t="array" aca="1" ref="BU34" ca="1">INDEX(Master!$H$2:'Master'!$H$4384,MATCH($A34&amp;BU$2,Master!$A$2:'Master'!$A$4384&amp;Master!$C$2:'Master'!$C$4384,0))</f>
        <v>99</v>
      </c>
      <c r="BV34" s="21" cm="1">
        <f t="array" aca="1" ref="BV34" ca="1">INDEX(Master!$H$2:'Master'!$H$4384,MATCH($A34&amp;BV$2,Master!$A$2:'Master'!$A$4384&amp;Master!$C$2:'Master'!$C$4384,0))</f>
        <v>99</v>
      </c>
      <c r="BW34" s="21" cm="1">
        <f t="array" aca="1" ref="BW34" ca="1">INDEX(Master!$H$2:'Master'!$H$4384,MATCH($A34&amp;BW$2,Master!$A$2:'Master'!$A$4384&amp;Master!$C$2:'Master'!$C$4384,0))</f>
        <v>98</v>
      </c>
      <c r="BX34" s="21" cm="1">
        <f t="array" aca="1" ref="BX34" ca="1">INDEX(Master!$H$2:'Master'!$H$4384,MATCH($A34&amp;BX$2,Master!$A$2:'Master'!$A$4384&amp;Master!$C$2:'Master'!$C$4384,0))</f>
        <v>99</v>
      </c>
      <c r="BY34" s="21" cm="1">
        <f t="array" aca="1" ref="BY34" ca="1">INDEX(Master!$H$2:'Master'!$H$4384,MATCH($A34&amp;BY$2,Master!$A$2:'Master'!$A$4384&amp;Master!$C$2:'Master'!$C$4384,0))</f>
        <v>99</v>
      </c>
      <c r="BZ34" s="21" cm="1">
        <f t="array" aca="1" ref="BZ34" ca="1">INDEX(Master!$H$2:'Master'!$H$4384,MATCH($A34&amp;BZ$2,Master!$A$2:'Master'!$A$4384&amp;Master!$C$2:'Master'!$C$4384,0))</f>
        <v>98</v>
      </c>
      <c r="CA34" s="21" cm="1">
        <f t="array" aca="1" ref="CA34" ca="1">INDEX(Master!$H$2:'Master'!$H$4384,MATCH($A34&amp;CA$2,Master!$A$2:'Master'!$A$4384&amp;Master!$C$2:'Master'!$C$4384,0))</f>
        <v>99</v>
      </c>
      <c r="CB34" s="21" cm="1">
        <f t="array" aca="1" ref="CB34" ca="1">INDEX(Master!$H$2:'Master'!$H$4384,MATCH($A34&amp;CB$2,Master!$A$2:'Master'!$A$4384&amp;Master!$C$2:'Master'!$C$4384,0))</f>
        <v>98</v>
      </c>
      <c r="CC34" s="21" cm="1">
        <f t="array" aca="1" ref="CC34" ca="1">INDEX(Master!$H$2:'Master'!$H$4384,MATCH($A34&amp;CC$2,Master!$A$2:'Master'!$A$4384&amp;Master!$C$2:'Master'!$C$4384,0))</f>
        <v>98</v>
      </c>
      <c r="CD34" s="21" cm="1">
        <f t="array" aca="1" ref="CD34" ca="1">INDEX(Master!$H$2:'Master'!$H$4384,MATCH($A34&amp;CD$2,Master!$A$2:'Master'!$A$4384&amp;Master!$C$2:'Master'!$C$4384,0))</f>
        <v>98</v>
      </c>
      <c r="CE34" s="21" cm="1">
        <f t="array" aca="1" ref="CE34" ca="1">INDEX(Master!$H$2:'Master'!$H$4384,MATCH($A34&amp;CE$2,Master!$A$2:'Master'!$A$4384&amp;Master!$C$2:'Master'!$C$4384,0))</f>
        <v>99</v>
      </c>
      <c r="CF34" s="21" cm="1">
        <f t="array" aca="1" ref="CF34" ca="1">INDEX(Master!$H$2:'Master'!$H$4384,MATCH($A34&amp;CF$2,Master!$A$2:'Master'!$A$4384&amp;Master!$C$2:'Master'!$C$4384,0))</f>
        <v>99</v>
      </c>
      <c r="CG34" s="21" cm="1">
        <f t="array" aca="1" ref="CG34" ca="1">INDEX(Master!$H$2:'Master'!$H$4384,MATCH($A34&amp;CG$2,Master!$A$2:'Master'!$A$4384&amp;Master!$C$2:'Master'!$C$4384,0))</f>
        <v>97</v>
      </c>
      <c r="CH34" s="21" cm="1">
        <f t="array" aca="1" ref="CH34" ca="1">INDEX(Master!$H$2:'Master'!$H$4384,MATCH($A34&amp;CH$2,Master!$A$2:'Master'!$A$4384&amp;Master!$C$2:'Master'!$C$4384,0))</f>
        <v>99</v>
      </c>
      <c r="CI34" s="21" cm="1">
        <f t="array" aca="1" ref="CI34" ca="1">INDEX(Master!$H$2:'Master'!$H$4384,MATCH($A34&amp;CI$2,Master!$A$2:'Master'!$A$4384&amp;Master!$C$2:'Master'!$C$4384,0))</f>
        <v>97</v>
      </c>
      <c r="CJ34" s="21" cm="1">
        <f t="array" aca="1" ref="CJ34" ca="1">INDEX(Master!$H$2:'Master'!$H$4384,MATCH($A34&amp;CJ$2,Master!$A$2:'Master'!$A$4384&amp;Master!$C$2:'Master'!$C$4384,0))</f>
        <v>99</v>
      </c>
      <c r="CK34" s="21" cm="1">
        <f t="array" aca="1" ref="CK34" ca="1">INDEX(Master!$H$2:'Master'!$H$4384,MATCH($A34&amp;CK$2,Master!$A$2:'Master'!$A$4384&amp;Master!$C$2:'Master'!$C$4384,0))</f>
        <v>99</v>
      </c>
      <c r="CL34" s="21" cm="1">
        <f t="array" aca="1" ref="CL34" ca="1">INDEX(Master!$H$2:'Master'!$H$4384,MATCH($A34&amp;CL$2,Master!$A$2:'Master'!$A$4384&amp;Master!$C$2:'Master'!$C$4384,0))</f>
        <v>99</v>
      </c>
      <c r="CM34" s="21" cm="1">
        <f t="array" aca="1" ref="CM34" ca="1">INDEX(Master!$H$2:'Master'!$H$4384,MATCH($A34&amp;CM$2,Master!$A$2:'Master'!$A$4384&amp;Master!$C$2:'Master'!$C$4384,0))</f>
        <v>99</v>
      </c>
      <c r="CN34" s="21" cm="1">
        <f t="array" aca="1" ref="CN34" ca="1">INDEX(Master!$H$2:'Master'!$H$4384,MATCH($A34&amp;CN$2,Master!$A$2:'Master'!$A$4384&amp;Master!$C$2:'Master'!$C$4384,0))</f>
        <v>99</v>
      </c>
      <c r="CO34" s="21" cm="1">
        <f t="array" aca="1" ref="CO34" ca="1">INDEX(Master!$H$2:'Master'!$H$4384,MATCH($A34&amp;CO$2,Master!$A$2:'Master'!$A$4384&amp;Master!$C$2:'Master'!$C$4384,0))</f>
        <v>99</v>
      </c>
      <c r="CP34" s="21" cm="1">
        <f t="array" aca="1" ref="CP34" ca="1">INDEX(Master!$H$2:'Master'!$H$4384,MATCH($A34&amp;CP$2,Master!$A$2:'Master'!$A$4384&amp;Master!$C$2:'Master'!$C$4384,0))</f>
        <v>99</v>
      </c>
      <c r="CQ34" s="21" cm="1">
        <f t="array" aca="1" ref="CQ34" ca="1">INDEX(Master!$H$2:'Master'!$H$4384,MATCH($A34&amp;CQ$2,Master!$A$2:'Master'!$A$4384&amp;Master!$C$2:'Master'!$C$4384,0))</f>
        <v>99</v>
      </c>
      <c r="CR34" s="21" cm="1">
        <f t="array" aca="1" ref="CR34" ca="1">INDEX(Master!$H$2:'Master'!$H$4384,MATCH($A34&amp;CR$2,Master!$A$2:'Master'!$A$4384&amp;Master!$C$2:'Master'!$C$4384,0))</f>
        <v>99</v>
      </c>
      <c r="CS34" s="21" cm="1">
        <f t="array" aca="1" ref="CS34" ca="1">INDEX(Master!$H$2:'Master'!$H$4384,MATCH($A34&amp;CS$2,Master!$A$2:'Master'!$A$4384&amp;Master!$C$2:'Master'!$C$4384,0))</f>
        <v>98</v>
      </c>
    </row>
    <row r="35" spans="1:97">
      <c r="A35" s="22" t="str">
        <f>VLOOKUP(Staff!$A32,Staff!$A$1:A$73,1,FALSE)</f>
        <v>Stella Gibson</v>
      </c>
      <c r="B35" s="21" cm="1">
        <f t="array" aca="1" ref="B35" ca="1">INDEX(Master!$H$2:'Master'!$H$4384,MATCH($A35&amp;B$2,Master!$A$2:'Master'!$A$4384&amp;Master!$C$2:'Master'!$C$4384,0))</f>
        <v>99</v>
      </c>
      <c r="C35" s="21" cm="1">
        <f t="array" aca="1" ref="C35" ca="1">INDEX(Master!$H$2:'Master'!$H$4384,MATCH($A35&amp;C$2,Master!$A$2:'Master'!$A$4384&amp;Master!$C$2:'Master'!$C$4384,0))</f>
        <v>99</v>
      </c>
      <c r="D35" s="21" cm="1">
        <f t="array" aca="1" ref="D35" ca="1">INDEX(Master!$H$2:'Master'!$H$4384,MATCH($A35&amp;D$2,Master!$A$2:'Master'!$A$4384&amp;Master!$C$2:'Master'!$C$4384,0))</f>
        <v>99</v>
      </c>
      <c r="E35" s="21" cm="1">
        <f t="array" aca="1" ref="E35" ca="1">INDEX(Master!$H$2:'Master'!$H$4384,MATCH($A35&amp;E$2,Master!$A$2:'Master'!$A$4384&amp;Master!$C$2:'Master'!$C$4384,0))</f>
        <v>97</v>
      </c>
      <c r="F35" s="21" cm="1">
        <f t="array" aca="1" ref="F35" ca="1">INDEX(Master!$H$2:'Master'!$H$4384,MATCH($A35&amp;F$2,Master!$A$2:'Master'!$A$4384&amp;Master!$C$2:'Master'!$C$4384,0))</f>
        <v>99</v>
      </c>
      <c r="G35" s="21" cm="1">
        <f t="array" aca="1" ref="G35" ca="1">INDEX(Master!$H$2:'Master'!$H$4384,MATCH($A35&amp;G$2,Master!$A$2:'Master'!$A$4384&amp;Master!$C$2:'Master'!$C$4384,0))</f>
        <v>97</v>
      </c>
      <c r="H35" s="21" cm="1">
        <f t="array" aca="1" ref="H35" ca="1">INDEX(Master!$H$2:'Master'!$H$4384,MATCH($A35&amp;H$2,Master!$A$2:'Master'!$A$4384&amp;Master!$C$2:'Master'!$C$4384,0))</f>
        <v>99</v>
      </c>
      <c r="I35" s="21" cm="1">
        <f t="array" aca="1" ref="I35" ca="1">INDEX(Master!$H$2:'Master'!$H$4384,MATCH($A35&amp;I$2,Master!$A$2:'Master'!$A$4384&amp;Master!$C$2:'Master'!$C$4384,0))</f>
        <v>99</v>
      </c>
      <c r="J35" s="21" cm="1">
        <f t="array" aca="1" ref="J35" ca="1">INDEX(Master!$H$2:'Master'!$H$4384,MATCH($A35&amp;J$2,Master!$A$2:'Master'!$A$4384&amp;Master!$C$2:'Master'!$C$4384,0))</f>
        <v>96</v>
      </c>
      <c r="K35" s="21" cm="1">
        <f t="array" aca="1" ref="K35" ca="1">INDEX(Master!$H$2:'Master'!$H$4384,MATCH($A35&amp;K$2,Master!$A$2:'Master'!$A$4384&amp;Master!$C$2:'Master'!$C$4384,0))</f>
        <v>97</v>
      </c>
      <c r="L35" s="21" cm="1">
        <f t="array" aca="1" ref="L35" ca="1">INDEX(Master!$H$2:'Master'!$H$4384,MATCH($A35&amp;L$2,Master!$A$2:'Master'!$A$4384&amp;Master!$C$2:'Master'!$C$4384,0))</f>
        <v>97</v>
      </c>
      <c r="M35" s="21" cm="1">
        <f t="array" aca="1" ref="M35" ca="1">INDEX(Master!$H$2:'Master'!$H$4384,MATCH($A35&amp;M$2,Master!$A$2:'Master'!$A$4384&amp;Master!$C$2:'Master'!$C$4384,0))</f>
        <v>96</v>
      </c>
      <c r="N35" s="21" cm="1">
        <f t="array" aca="1" ref="N35" ca="1">INDEX(Master!$H$2:'Master'!$H$4384,MATCH($A35&amp;N$2,Master!$A$2:'Master'!$A$4384&amp;Master!$C$2:'Master'!$C$4384,0))</f>
        <v>97</v>
      </c>
      <c r="O35" s="21" cm="1">
        <f t="array" aca="1" ref="O35" ca="1">INDEX(Master!$H$2:'Master'!$H$4384,MATCH($A35&amp;O$2,Master!$A$2:'Master'!$A$4384&amp;Master!$C$2:'Master'!$C$4384,0))</f>
        <v>97</v>
      </c>
      <c r="P35" s="21" cm="1">
        <f t="array" aca="1" ref="P35" ca="1">INDEX(Master!$H$2:'Master'!$H$4384,MATCH($A35&amp;P$2,Master!$A$2:'Master'!$A$4384&amp;Master!$C$2:'Master'!$C$4384,0))</f>
        <v>97</v>
      </c>
      <c r="Q35" s="21" cm="1">
        <f t="array" aca="1" ref="Q35" ca="1">INDEX(Master!$H$2:'Master'!$H$4384,MATCH($A35&amp;Q$2,Master!$A$2:'Master'!$A$4384&amp;Master!$C$2:'Master'!$C$4384,0))</f>
        <v>98</v>
      </c>
      <c r="R35" s="21" cm="1">
        <f t="array" aca="1" ref="R35" ca="1">INDEX(Master!$H$2:'Master'!$H$4384,MATCH($A35&amp;R$2,Master!$A$2:'Master'!$A$4384&amp;Master!$C$2:'Master'!$C$4384,0))</f>
        <v>99</v>
      </c>
      <c r="S35" s="21" cm="1">
        <f t="array" aca="1" ref="S35" ca="1">INDEX(Master!$H$2:'Master'!$H$4384,MATCH($A35&amp;S$2,Master!$A$2:'Master'!$A$4384&amp;Master!$C$2:'Master'!$C$4384,0))</f>
        <v>99</v>
      </c>
      <c r="T35" s="21" cm="1">
        <f t="array" aca="1" ref="T35" ca="1">INDEX(Master!$H$2:'Master'!$H$4384,MATCH($A35&amp;T$2,Master!$A$2:'Master'!$A$4384&amp;Master!$C$2:'Master'!$C$4384,0))</f>
        <v>98</v>
      </c>
      <c r="U35" s="21" cm="1">
        <f t="array" aca="1" ref="U35" ca="1">INDEX(Master!$H$2:'Master'!$H$4384,MATCH($A35&amp;U$2,Master!$A$2:'Master'!$A$4384&amp;Master!$C$2:'Master'!$C$4384,0))</f>
        <v>99</v>
      </c>
      <c r="V35" s="21" cm="1">
        <f t="array" aca="1" ref="V35" ca="1">INDEX(Master!$H$2:'Master'!$H$4384,MATCH($A35&amp;V$2,Master!$A$2:'Master'!$A$4384&amp;Master!$C$2:'Master'!$C$4384,0))</f>
        <v>97</v>
      </c>
      <c r="W35" s="21" cm="1">
        <f t="array" aca="1" ref="W35" ca="1">INDEX(Master!$H$2:'Master'!$H$4384,MATCH($A35&amp;W$2,Master!$A$2:'Master'!$A$4384&amp;Master!$C$2:'Master'!$C$4384,0))</f>
        <v>98</v>
      </c>
      <c r="X35" s="21" cm="1">
        <f t="array" aca="1" ref="X35" ca="1">INDEX(Master!$H$2:'Master'!$H$4384,MATCH($A35&amp;X$2,Master!$A$2:'Master'!$A$4384&amp;Master!$C$2:'Master'!$C$4384,0))</f>
        <v>99</v>
      </c>
      <c r="Y35" s="21" cm="1">
        <f t="array" aca="1" ref="Y35" ca="1">INDEX(Master!$H$2:'Master'!$H$4384,MATCH($A35&amp;Y$2,Master!$A$2:'Master'!$A$4384&amp;Master!$C$2:'Master'!$C$4384,0))</f>
        <v>99</v>
      </c>
      <c r="Z35" s="21" cm="1">
        <f t="array" aca="1" ref="Z35" ca="1">INDEX(Master!$H$2:'Master'!$H$4384,MATCH($A35&amp;Z$2,Master!$A$2:'Master'!$A$4384&amp;Master!$C$2:'Master'!$C$4384,0))</f>
        <v>97</v>
      </c>
      <c r="AA35" s="21" cm="1">
        <f t="array" aca="1" ref="AA35" ca="1">INDEX(Master!$H$2:'Master'!$H$4384,MATCH($A35&amp;AA$2,Master!$A$2:'Master'!$A$4384&amp;Master!$C$2:'Master'!$C$4384,0))</f>
        <v>97</v>
      </c>
      <c r="AB35" s="21" cm="1">
        <f t="array" aca="1" ref="AB35" ca="1">INDEX(Master!$H$2:'Master'!$H$4384,MATCH($A35&amp;AB$2,Master!$A$2:'Master'!$A$4384&amp;Master!$C$2:'Master'!$C$4384,0))</f>
        <v>98</v>
      </c>
      <c r="AC35" s="21" cm="1">
        <f t="array" aca="1" ref="AC35" ca="1">INDEX(Master!$H$2:'Master'!$H$4384,MATCH($A35&amp;AC$2,Master!$A$2:'Master'!$A$4384&amp;Master!$C$2:'Master'!$C$4384,0))</f>
        <v>97</v>
      </c>
      <c r="AD35" s="21" cm="1">
        <f t="array" aca="1" ref="AD35" ca="1">INDEX(Master!$H$2:'Master'!$H$4384,MATCH($A35&amp;AD$2,Master!$A$2:'Master'!$A$4384&amp;Master!$C$2:'Master'!$C$4384,0))</f>
        <v>98</v>
      </c>
      <c r="AE35" s="21" cm="1">
        <f t="array" aca="1" ref="AE35" ca="1">INDEX(Master!$H$2:'Master'!$H$4384,MATCH($A35&amp;AE$2,Master!$A$2:'Master'!$A$4384&amp;Master!$C$2:'Master'!$C$4384,0))</f>
        <v>99</v>
      </c>
      <c r="AF35" s="21" cm="1">
        <f t="array" aca="1" ref="AF35" ca="1">INDEX(Master!$H$2:'Master'!$H$4384,MATCH($A35&amp;AF$2,Master!$A$2:'Master'!$A$4384&amp;Master!$C$2:'Master'!$C$4384,0))</f>
        <v>99</v>
      </c>
      <c r="AG35" s="21" cm="1">
        <f t="array" aca="1" ref="AG35" ca="1">INDEX(Master!$H$2:'Master'!$H$4384,MATCH($A35&amp;AG$2,Master!$A$2:'Master'!$A$4384&amp;Master!$C$2:'Master'!$C$4384,0))</f>
        <v>99</v>
      </c>
      <c r="AH35" s="21" cm="1">
        <f t="array" aca="1" ref="AH35" ca="1">INDEX(Master!$H$2:'Master'!$H$4384,MATCH($A35&amp;AH$2,Master!$A$2:'Master'!$A$4384&amp;Master!$C$2:'Master'!$C$4384,0))</f>
        <v>99</v>
      </c>
      <c r="AI35" s="21" cm="1">
        <f t="array" aca="1" ref="AI35" ca="1">INDEX(Master!$H$2:'Master'!$H$4384,MATCH($A35&amp;AI$2,Master!$A$2:'Master'!$A$4384&amp;Master!$C$2:'Master'!$C$4384,0))</f>
        <v>99</v>
      </c>
      <c r="AJ35" s="21" cm="1">
        <f t="array" aca="1" ref="AJ35" ca="1">INDEX(Master!$H$2:'Master'!$H$4384,MATCH($A35&amp;AJ$2,Master!$A$2:'Master'!$A$4384&amp;Master!$C$2:'Master'!$C$4384,0))</f>
        <v>99</v>
      </c>
      <c r="AK35" s="21" cm="1">
        <f t="array" aca="1" ref="AK35" ca="1">INDEX(Master!$H$2:'Master'!$H$4384,MATCH($A35&amp;AK$2,Master!$A$2:'Master'!$A$4384&amp;Master!$C$2:'Master'!$C$4384,0))</f>
        <v>99</v>
      </c>
      <c r="AL35" s="21" cm="1">
        <f t="array" aca="1" ref="AL35" ca="1">INDEX(Master!$H$2:'Master'!$H$4384,MATCH($A35&amp;AL$2,Master!$A$2:'Master'!$A$4384&amp;Master!$C$2:'Master'!$C$4384,0))</f>
        <v>99</v>
      </c>
      <c r="AM35" s="21" cm="1">
        <f t="array" aca="1" ref="AM35" ca="1">INDEX(Master!$H$2:'Master'!$H$4384,MATCH($A35&amp;AM$2,Master!$A$2:'Master'!$A$4384&amp;Master!$C$2:'Master'!$C$4384,0))</f>
        <v>99</v>
      </c>
      <c r="AN35" s="21" cm="1">
        <f t="array" aca="1" ref="AN35" ca="1">INDEX(Master!$H$2:'Master'!$H$4384,MATCH($A35&amp;AN$2,Master!$A$2:'Master'!$A$4384&amp;Master!$C$2:'Master'!$C$4384,0))</f>
        <v>99</v>
      </c>
      <c r="AO35" s="21" cm="1">
        <f t="array" aca="1" ref="AO35" ca="1">INDEX(Master!$H$2:'Master'!$H$4384,MATCH($A35&amp;AO$2,Master!$A$2:'Master'!$A$4384&amp;Master!$C$2:'Master'!$C$4384,0))</f>
        <v>98</v>
      </c>
      <c r="AP35" s="21" cm="1">
        <f t="array" aca="1" ref="AP35" ca="1">INDEX(Master!$H$2:'Master'!$H$4384,MATCH($A35&amp;AP$2,Master!$A$2:'Master'!$A$4384&amp;Master!$C$2:'Master'!$C$4384,0))</f>
        <v>97</v>
      </c>
      <c r="AQ35" s="21" cm="1">
        <f t="array" aca="1" ref="AQ35" ca="1">INDEX(Master!$H$2:'Master'!$H$4384,MATCH($A35&amp;AQ$2,Master!$A$2:'Master'!$A$4384&amp;Master!$C$2:'Master'!$C$4384,0))</f>
        <v>98</v>
      </c>
      <c r="AR35" s="21" cm="1">
        <f t="array" aca="1" ref="AR35" ca="1">INDEX(Master!$H$2:'Master'!$H$4384,MATCH($A35&amp;AR$2,Master!$A$2:'Master'!$A$4384&amp;Master!$C$2:'Master'!$C$4384,0))</f>
        <v>98</v>
      </c>
      <c r="AS35" s="21" cm="1">
        <f t="array" aca="1" ref="AS35" ca="1">INDEX(Master!$H$2:'Master'!$H$4384,MATCH($A35&amp;AS$2,Master!$A$2:'Master'!$A$4384&amp;Master!$C$2:'Master'!$C$4384,0))</f>
        <v>99</v>
      </c>
      <c r="AT35" s="21" cm="1">
        <f t="array" aca="1" ref="AT35" ca="1">INDEX(Master!$H$2:'Master'!$H$4384,MATCH($A35&amp;AT$2,Master!$A$2:'Master'!$A$4384&amp;Master!$C$2:'Master'!$C$4384,0))</f>
        <v>99</v>
      </c>
      <c r="AU35" s="21" cm="1">
        <f t="array" aca="1" ref="AU35" ca="1">INDEX(Master!$H$2:'Master'!$H$4384,MATCH($A35&amp;AU$2,Master!$A$2:'Master'!$A$4384&amp;Master!$C$2:'Master'!$C$4384,0))</f>
        <v>99</v>
      </c>
      <c r="AV35" s="21" cm="1">
        <f t="array" aca="1" ref="AV35" ca="1">INDEX(Master!$H$2:'Master'!$H$4384,MATCH($A35&amp;AV$2,Master!$A$2:'Master'!$A$4384&amp;Master!$C$2:'Master'!$C$4384,0))</f>
        <v>97</v>
      </c>
      <c r="AW35" s="21" cm="1">
        <f t="array" aca="1" ref="AW35" ca="1">INDEX(Master!$H$2:'Master'!$H$4384,MATCH($A35&amp;AW$2,Master!$A$2:'Master'!$A$4384&amp;Master!$C$2:'Master'!$C$4384,0))</f>
        <v>99</v>
      </c>
      <c r="AX35" s="21" cm="1">
        <f t="array" aca="1" ref="AX35" ca="1">INDEX(Master!$H$2:'Master'!$H$4384,MATCH($A35&amp;AX$2,Master!$A$2:'Master'!$A$4384&amp;Master!$C$2:'Master'!$C$4384,0))</f>
        <v>99</v>
      </c>
      <c r="AY35" s="21" cm="1">
        <f t="array" aca="1" ref="AY35" ca="1">INDEX(Master!$H$2:'Master'!$H$4384,MATCH($A35&amp;AY$2,Master!$A$2:'Master'!$A$4384&amp;Master!$C$2:'Master'!$C$4384,0))</f>
        <v>99</v>
      </c>
      <c r="AZ35" s="21" cm="1">
        <f t="array" aca="1" ref="AZ35" ca="1">INDEX(Master!$H$2:'Master'!$H$4384,MATCH($A35&amp;AZ$2,Master!$A$2:'Master'!$A$4384&amp;Master!$C$2:'Master'!$C$4384,0))</f>
        <v>98</v>
      </c>
      <c r="BA35" s="21" cm="1">
        <f t="array" aca="1" ref="BA35" ca="1">INDEX(Master!$H$2:'Master'!$H$4384,MATCH($A35&amp;BA$2,Master!$A$2:'Master'!$A$4384&amp;Master!$C$2:'Master'!$C$4384,0))</f>
        <v>99</v>
      </c>
      <c r="BB35" s="21" cm="1">
        <f t="array" aca="1" ref="BB35" ca="1">INDEX(Master!$H$2:'Master'!$H$4384,MATCH($A35&amp;BB$2,Master!$A$2:'Master'!$A$4384&amp;Master!$C$2:'Master'!$C$4384,0))</f>
        <v>99</v>
      </c>
      <c r="BC35" s="21" cm="1">
        <f t="array" aca="1" ref="BC35" ca="1">INDEX(Master!$H$2:'Master'!$H$4384,MATCH($A35&amp;BC$2,Master!$A$2:'Master'!$A$4384&amp;Master!$C$2:'Master'!$C$4384,0))</f>
        <v>99</v>
      </c>
      <c r="BD35" s="21" cm="1">
        <f t="array" aca="1" ref="BD35" ca="1">INDEX(Master!$H$2:'Master'!$H$4384,MATCH($A35&amp;BD$2,Master!$A$2:'Master'!$A$4384&amp;Master!$C$2:'Master'!$C$4384,0))</f>
        <v>99</v>
      </c>
      <c r="BE35" s="21" cm="1">
        <f t="array" aca="1" ref="BE35" ca="1">INDEX(Master!$H$2:'Master'!$H$4384,MATCH($A35&amp;BE$2,Master!$A$2:'Master'!$A$4384&amp;Master!$C$2:'Master'!$C$4384,0))</f>
        <v>99</v>
      </c>
      <c r="BF35" s="21" cm="1">
        <f t="array" aca="1" ref="BF35" ca="1">INDEX(Master!$H$2:'Master'!$H$4384,MATCH($A35&amp;BF$2,Master!$A$2:'Master'!$A$4384&amp;Master!$C$2:'Master'!$C$4384,0))</f>
        <v>99</v>
      </c>
      <c r="BG35" s="21" cm="1">
        <f t="array" aca="1" ref="BG35" ca="1">INDEX(Master!$H$2:'Master'!$H$4384,MATCH($A35&amp;BG$2,Master!$A$2:'Master'!$A$4384&amp;Master!$C$2:'Master'!$C$4384,0))</f>
        <v>97</v>
      </c>
      <c r="BH35" s="21" cm="1">
        <f t="array" aca="1" ref="BH35" ca="1">INDEX(Master!$H$2:'Master'!$H$4384,MATCH($A35&amp;BH$2,Master!$A$2:'Master'!$A$4384&amp;Master!$C$2:'Master'!$C$4384,0))</f>
        <v>99</v>
      </c>
      <c r="BI35" s="21" cm="1">
        <f t="array" aca="1" ref="BI35" ca="1">INDEX(Master!$H$2:'Master'!$H$4384,MATCH($A35&amp;BI$2,Master!$A$2:'Master'!$A$4384&amp;Master!$C$2:'Master'!$C$4384,0))</f>
        <v>98</v>
      </c>
      <c r="BJ35" s="21" cm="1">
        <f t="array" aca="1" ref="BJ35" ca="1">INDEX(Master!$H$2:'Master'!$H$4384,MATCH($A35&amp;BJ$2,Master!$A$2:'Master'!$A$4384&amp;Master!$C$2:'Master'!$C$4384,0))</f>
        <v>99</v>
      </c>
      <c r="BK35" s="21" cm="1">
        <f t="array" aca="1" ref="BK35" ca="1">INDEX(Master!$H$2:'Master'!$H$4384,MATCH($A35&amp;BK$2,Master!$A$2:'Master'!$A$4384&amp;Master!$C$2:'Master'!$C$4384,0))</f>
        <v>98</v>
      </c>
      <c r="BL35" s="21" cm="1">
        <f t="array" aca="1" ref="BL35" ca="1">INDEX(Master!$H$2:'Master'!$H$4384,MATCH($A35&amp;BL$2,Master!$A$2:'Master'!$A$4384&amp;Master!$C$2:'Master'!$C$4384,0))</f>
        <v>98</v>
      </c>
      <c r="BM35" s="21" cm="1">
        <f t="array" aca="1" ref="BM35" ca="1">INDEX(Master!$H$2:'Master'!$H$4384,MATCH($A35&amp;BM$2,Master!$A$2:'Master'!$A$4384&amp;Master!$C$2:'Master'!$C$4384,0))</f>
        <v>98</v>
      </c>
      <c r="BN35" s="21" cm="1">
        <f t="array" aca="1" ref="BN35" ca="1">INDEX(Master!$H$2:'Master'!$H$4384,MATCH($A35&amp;BN$2,Master!$A$2:'Master'!$A$4384&amp;Master!$C$2:'Master'!$C$4384,0))</f>
        <v>99</v>
      </c>
      <c r="BO35" s="21" cm="1">
        <f t="array" aca="1" ref="BO35" ca="1">INDEX(Master!$H$2:'Master'!$H$4384,MATCH($A35&amp;BO$2,Master!$A$2:'Master'!$A$4384&amp;Master!$C$2:'Master'!$C$4384,0))</f>
        <v>99</v>
      </c>
      <c r="BP35" s="21" cm="1">
        <f t="array" aca="1" ref="BP35" ca="1">INDEX(Master!$H$2:'Master'!$H$4384,MATCH($A35&amp;BP$2,Master!$A$2:'Master'!$A$4384&amp;Master!$C$2:'Master'!$C$4384,0))</f>
        <v>99</v>
      </c>
      <c r="BQ35" s="21" cm="1">
        <f t="array" aca="1" ref="BQ35" ca="1">INDEX(Master!$H$2:'Master'!$H$4384,MATCH($A35&amp;BQ$2,Master!$A$2:'Master'!$A$4384&amp;Master!$C$2:'Master'!$C$4384,0))</f>
        <v>98</v>
      </c>
      <c r="BR35" s="21" cm="1">
        <f t="array" aca="1" ref="BR35" ca="1">INDEX(Master!$H$2:'Master'!$H$4384,MATCH($A35&amp;BR$2,Master!$A$2:'Master'!$A$4384&amp;Master!$C$2:'Master'!$C$4384,0))</f>
        <v>99</v>
      </c>
      <c r="BS35" s="21" cm="1">
        <f t="array" aca="1" ref="BS35" ca="1">INDEX(Master!$H$2:'Master'!$H$4384,MATCH($A35&amp;BS$2,Master!$A$2:'Master'!$A$4384&amp;Master!$C$2:'Master'!$C$4384,0))</f>
        <v>99</v>
      </c>
      <c r="BT35" s="21" cm="1">
        <f t="array" aca="1" ref="BT35" ca="1">INDEX(Master!$H$2:'Master'!$H$4384,MATCH($A35&amp;BT$2,Master!$A$2:'Master'!$A$4384&amp;Master!$C$2:'Master'!$C$4384,0))</f>
        <v>99</v>
      </c>
      <c r="BU35" s="21" cm="1">
        <f t="array" aca="1" ref="BU35" ca="1">INDEX(Master!$H$2:'Master'!$H$4384,MATCH($A35&amp;BU$2,Master!$A$2:'Master'!$A$4384&amp;Master!$C$2:'Master'!$C$4384,0))</f>
        <v>99</v>
      </c>
      <c r="BV35" s="21" cm="1">
        <f t="array" aca="1" ref="BV35" ca="1">INDEX(Master!$H$2:'Master'!$H$4384,MATCH($A35&amp;BV$2,Master!$A$2:'Master'!$A$4384&amp;Master!$C$2:'Master'!$C$4384,0))</f>
        <v>97</v>
      </c>
      <c r="BW35" s="21" cm="1">
        <f t="array" aca="1" ref="BW35" ca="1">INDEX(Master!$H$2:'Master'!$H$4384,MATCH($A35&amp;BW$2,Master!$A$2:'Master'!$A$4384&amp;Master!$C$2:'Master'!$C$4384,0))</f>
        <v>99</v>
      </c>
      <c r="BX35" s="21" cm="1">
        <f t="array" aca="1" ref="BX35" ca="1">INDEX(Master!$H$2:'Master'!$H$4384,MATCH($A35&amp;BX$2,Master!$A$2:'Master'!$A$4384&amp;Master!$C$2:'Master'!$C$4384,0))</f>
        <v>97</v>
      </c>
      <c r="BY35" s="21" cm="1">
        <f t="array" aca="1" ref="BY35" ca="1">INDEX(Master!$H$2:'Master'!$H$4384,MATCH($A35&amp;BY$2,Master!$A$2:'Master'!$A$4384&amp;Master!$C$2:'Master'!$C$4384,0))</f>
        <v>99</v>
      </c>
      <c r="BZ35" s="21" cm="1">
        <f t="array" aca="1" ref="BZ35" ca="1">INDEX(Master!$H$2:'Master'!$H$4384,MATCH($A35&amp;BZ$2,Master!$A$2:'Master'!$A$4384&amp;Master!$C$2:'Master'!$C$4384,0))</f>
        <v>98</v>
      </c>
      <c r="CA35" s="21" cm="1">
        <f t="array" aca="1" ref="CA35" ca="1">INDEX(Master!$H$2:'Master'!$H$4384,MATCH($A35&amp;CA$2,Master!$A$2:'Master'!$A$4384&amp;Master!$C$2:'Master'!$C$4384,0))</f>
        <v>99</v>
      </c>
      <c r="CB35" s="21" cm="1">
        <f t="array" aca="1" ref="CB35" ca="1">INDEX(Master!$H$2:'Master'!$H$4384,MATCH($A35&amp;CB$2,Master!$A$2:'Master'!$A$4384&amp;Master!$C$2:'Master'!$C$4384,0))</f>
        <v>98</v>
      </c>
      <c r="CC35" s="21" cm="1">
        <f t="array" aca="1" ref="CC35" ca="1">INDEX(Master!$H$2:'Master'!$H$4384,MATCH($A35&amp;CC$2,Master!$A$2:'Master'!$A$4384&amp;Master!$C$2:'Master'!$C$4384,0))</f>
        <v>98</v>
      </c>
      <c r="CD35" s="21" cm="1">
        <f t="array" aca="1" ref="CD35" ca="1">INDEX(Master!$H$2:'Master'!$H$4384,MATCH($A35&amp;CD$2,Master!$A$2:'Master'!$A$4384&amp;Master!$C$2:'Master'!$C$4384,0))</f>
        <v>98</v>
      </c>
      <c r="CE35" s="21" cm="1">
        <f t="array" aca="1" ref="CE35" ca="1">INDEX(Master!$H$2:'Master'!$H$4384,MATCH($A35&amp;CE$2,Master!$A$2:'Master'!$A$4384&amp;Master!$C$2:'Master'!$C$4384,0))</f>
        <v>98</v>
      </c>
      <c r="CF35" s="21" cm="1">
        <f t="array" aca="1" ref="CF35" ca="1">INDEX(Master!$H$2:'Master'!$H$4384,MATCH($A35&amp;CF$2,Master!$A$2:'Master'!$A$4384&amp;Master!$C$2:'Master'!$C$4384,0))</f>
        <v>98</v>
      </c>
      <c r="CG35" s="21" cm="1">
        <f t="array" aca="1" ref="CG35" ca="1">INDEX(Master!$H$2:'Master'!$H$4384,MATCH($A35&amp;CG$2,Master!$A$2:'Master'!$A$4384&amp;Master!$C$2:'Master'!$C$4384,0))</f>
        <v>98</v>
      </c>
      <c r="CH35" s="21" cm="1">
        <f t="array" aca="1" ref="CH35" ca="1">INDEX(Master!$H$2:'Master'!$H$4384,MATCH($A35&amp;CH$2,Master!$A$2:'Master'!$A$4384&amp;Master!$C$2:'Master'!$C$4384,0))</f>
        <v>98</v>
      </c>
      <c r="CI35" s="21" cm="1">
        <f t="array" aca="1" ref="CI35" ca="1">INDEX(Master!$H$2:'Master'!$H$4384,MATCH($A35&amp;CI$2,Master!$A$2:'Master'!$A$4384&amp;Master!$C$2:'Master'!$C$4384,0))</f>
        <v>98</v>
      </c>
      <c r="CJ35" s="21" cm="1">
        <f t="array" aca="1" ref="CJ35" ca="1">INDEX(Master!$H$2:'Master'!$H$4384,MATCH($A35&amp;CJ$2,Master!$A$2:'Master'!$A$4384&amp;Master!$C$2:'Master'!$C$4384,0))</f>
        <v>99</v>
      </c>
      <c r="CK35" s="21" cm="1">
        <f t="array" aca="1" ref="CK35" ca="1">INDEX(Master!$H$2:'Master'!$H$4384,MATCH($A35&amp;CK$2,Master!$A$2:'Master'!$A$4384&amp;Master!$C$2:'Master'!$C$4384,0))</f>
        <v>99</v>
      </c>
      <c r="CL35" s="21" cm="1">
        <f t="array" aca="1" ref="CL35" ca="1">INDEX(Master!$H$2:'Master'!$H$4384,MATCH($A35&amp;CL$2,Master!$A$2:'Master'!$A$4384&amp;Master!$C$2:'Master'!$C$4384,0))</f>
        <v>99</v>
      </c>
      <c r="CM35" s="21" cm="1">
        <f t="array" aca="1" ref="CM35" ca="1">INDEX(Master!$H$2:'Master'!$H$4384,MATCH($A35&amp;CM$2,Master!$A$2:'Master'!$A$4384&amp;Master!$C$2:'Master'!$C$4384,0))</f>
        <v>99</v>
      </c>
      <c r="CN35" s="21" cm="1">
        <f t="array" aca="1" ref="CN35" ca="1">INDEX(Master!$H$2:'Master'!$H$4384,MATCH($A35&amp;CN$2,Master!$A$2:'Master'!$A$4384&amp;Master!$C$2:'Master'!$C$4384,0))</f>
        <v>97</v>
      </c>
      <c r="CO35" s="21" cm="1">
        <f t="array" aca="1" ref="CO35" ca="1">INDEX(Master!$H$2:'Master'!$H$4384,MATCH($A35&amp;CO$2,Master!$A$2:'Master'!$A$4384&amp;Master!$C$2:'Master'!$C$4384,0))</f>
        <v>97</v>
      </c>
      <c r="CP35" s="21" cm="1">
        <f t="array" aca="1" ref="CP35" ca="1">INDEX(Master!$H$2:'Master'!$H$4384,MATCH($A35&amp;CP$2,Master!$A$2:'Master'!$A$4384&amp;Master!$C$2:'Master'!$C$4384,0))</f>
        <v>97</v>
      </c>
      <c r="CQ35" s="21" cm="1">
        <f t="array" aca="1" ref="CQ35" ca="1">INDEX(Master!$H$2:'Master'!$H$4384,MATCH($A35&amp;CQ$2,Master!$A$2:'Master'!$A$4384&amp;Master!$C$2:'Master'!$C$4384,0))</f>
        <v>99</v>
      </c>
      <c r="CR35" s="21" cm="1">
        <f t="array" aca="1" ref="CR35" ca="1">INDEX(Master!$H$2:'Master'!$H$4384,MATCH($A35&amp;CR$2,Master!$A$2:'Master'!$A$4384&amp;Master!$C$2:'Master'!$C$4384,0))</f>
        <v>99</v>
      </c>
      <c r="CS35" s="21" cm="1">
        <f t="array" aca="1" ref="CS35" ca="1">INDEX(Master!$H$2:'Master'!$H$4384,MATCH($A35&amp;CS$2,Master!$A$2:'Master'!$A$4384&amp;Master!$C$2:'Master'!$C$4384,0))</f>
        <v>98</v>
      </c>
    </row>
    <row r="36" spans="1:97">
      <c r="A36" s="22" t="str">
        <f>VLOOKUP(Staff!$A33,Staff!$A$1:A$73,1,FALSE)</f>
        <v>Robin Ellacott</v>
      </c>
      <c r="B36" s="21" cm="1">
        <f t="array" aca="1" ref="B36" ca="1">INDEX(Master!$H$2:'Master'!$H$4384,MATCH($A36&amp;B$2,Master!$A$2:'Master'!$A$4384&amp;Master!$C$2:'Master'!$C$4384,0))</f>
        <v>-1</v>
      </c>
      <c r="C36" s="21" cm="1">
        <f t="array" aca="1" ref="C36" ca="1">INDEX(Master!$H$2:'Master'!$H$4384,MATCH($A36&amp;C$2,Master!$A$2:'Master'!$A$4384&amp;Master!$C$2:'Master'!$C$4384,0))</f>
        <v>-1</v>
      </c>
      <c r="D36" s="21" cm="1">
        <f t="array" aca="1" ref="D36" ca="1">INDEX(Master!$H$2:'Master'!$H$4384,MATCH($A36&amp;D$2,Master!$A$2:'Master'!$A$4384&amp;Master!$C$2:'Master'!$C$4384,0))</f>
        <v>0</v>
      </c>
      <c r="E36" s="21" cm="1">
        <f t="array" aca="1" ref="E36" ca="1">INDEX(Master!$H$2:'Master'!$H$4384,MATCH($A36&amp;E$2,Master!$A$2:'Master'!$A$4384&amp;Master!$C$2:'Master'!$C$4384,0))</f>
        <v>0</v>
      </c>
      <c r="F36" s="21" cm="1">
        <f t="array" aca="1" ref="F36" ca="1">INDEX(Master!$H$2:'Master'!$H$4384,MATCH($A36&amp;F$2,Master!$A$2:'Master'!$A$4384&amp;Master!$C$2:'Master'!$C$4384,0))</f>
        <v>0</v>
      </c>
      <c r="G36" s="21" cm="1">
        <f t="array" aca="1" ref="G36" ca="1">INDEX(Master!$H$2:'Master'!$H$4384,MATCH($A36&amp;G$2,Master!$A$2:'Master'!$A$4384&amp;Master!$C$2:'Master'!$C$4384,0))</f>
        <v>1</v>
      </c>
      <c r="H36" s="21" cm="1">
        <f t="array" aca="1" ref="H36" ca="1">INDEX(Master!$H$2:'Master'!$H$4384,MATCH($A36&amp;H$2,Master!$A$2:'Master'!$A$4384&amp;Master!$C$2:'Master'!$C$4384,0))</f>
        <v>0</v>
      </c>
      <c r="I36" s="21" cm="1">
        <f t="array" aca="1" ref="I36" ca="1">INDEX(Master!$H$2:'Master'!$H$4384,MATCH($A36&amp;I$2,Master!$A$2:'Master'!$A$4384&amp;Master!$C$2:'Master'!$C$4384,0))</f>
        <v>-1</v>
      </c>
      <c r="J36" s="21" cm="1">
        <f t="array" aca="1" ref="J36" ca="1">INDEX(Master!$H$2:'Master'!$H$4384,MATCH($A36&amp;J$2,Master!$A$2:'Master'!$A$4384&amp;Master!$C$2:'Master'!$C$4384,0))</f>
        <v>1</v>
      </c>
      <c r="K36" s="21" cm="1">
        <f t="array" aca="1" ref="K36" ca="1">INDEX(Master!$H$2:'Master'!$H$4384,MATCH($A36&amp;K$2,Master!$A$2:'Master'!$A$4384&amp;Master!$C$2:'Master'!$C$4384,0))</f>
        <v>-2</v>
      </c>
      <c r="L36" s="21" cm="1">
        <f t="array" aca="1" ref="L36" ca="1">INDEX(Master!$H$2:'Master'!$H$4384,MATCH($A36&amp;L$2,Master!$A$2:'Master'!$A$4384&amp;Master!$C$2:'Master'!$C$4384,0))</f>
        <v>-2</v>
      </c>
      <c r="M36" s="21" cm="1">
        <f t="array" aca="1" ref="M36" ca="1">INDEX(Master!$H$2:'Master'!$H$4384,MATCH($A36&amp;M$2,Master!$A$2:'Master'!$A$4384&amp;Master!$C$2:'Master'!$C$4384,0))</f>
        <v>0</v>
      </c>
      <c r="N36" s="21" cm="1">
        <f t="array" aca="1" ref="N36" ca="1">INDEX(Master!$H$2:'Master'!$H$4384,MATCH($A36&amp;N$2,Master!$A$2:'Master'!$A$4384&amp;Master!$C$2:'Master'!$C$4384,0))</f>
        <v>-1</v>
      </c>
      <c r="O36" s="21" cm="1">
        <f t="array" aca="1" ref="O36" ca="1">INDEX(Master!$H$2:'Master'!$H$4384,MATCH($A36&amp;O$2,Master!$A$2:'Master'!$A$4384&amp;Master!$C$2:'Master'!$C$4384,0))</f>
        <v>-2</v>
      </c>
      <c r="P36" s="21" cm="1">
        <f t="array" aca="1" ref="P36" ca="1">INDEX(Master!$H$2:'Master'!$H$4384,MATCH($A36&amp;P$2,Master!$A$2:'Master'!$A$4384&amp;Master!$C$2:'Master'!$C$4384,0))</f>
        <v>-1</v>
      </c>
      <c r="Q36" s="21" cm="1">
        <f t="array" aca="1" ref="Q36" ca="1">INDEX(Master!$H$2:'Master'!$H$4384,MATCH($A36&amp;Q$2,Master!$A$2:'Master'!$A$4384&amp;Master!$C$2:'Master'!$C$4384,0))</f>
        <v>-2</v>
      </c>
      <c r="R36" s="21" cm="1">
        <f t="array" aca="1" ref="R36" ca="1">INDEX(Master!$H$2:'Master'!$H$4384,MATCH($A36&amp;R$2,Master!$A$2:'Master'!$A$4384&amp;Master!$C$2:'Master'!$C$4384,0))</f>
        <v>0</v>
      </c>
      <c r="S36" s="21" cm="1">
        <f t="array" aca="1" ref="S36" ca="1">INDEX(Master!$H$2:'Master'!$H$4384,MATCH($A36&amp;S$2,Master!$A$2:'Master'!$A$4384&amp;Master!$C$2:'Master'!$C$4384,0))</f>
        <v>0</v>
      </c>
      <c r="T36" s="21" cm="1">
        <f t="array" aca="1" ref="T36" ca="1">INDEX(Master!$H$2:'Master'!$H$4384,MATCH($A36&amp;T$2,Master!$A$2:'Master'!$A$4384&amp;Master!$C$2:'Master'!$C$4384,0))</f>
        <v>0</v>
      </c>
      <c r="U36" s="21" cm="1">
        <f t="array" aca="1" ref="U36" ca="1">INDEX(Master!$H$2:'Master'!$H$4384,MATCH($A36&amp;U$2,Master!$A$2:'Master'!$A$4384&amp;Master!$C$2:'Master'!$C$4384,0))</f>
        <v>-2</v>
      </c>
      <c r="V36" s="21" cm="1">
        <f t="array" aca="1" ref="V36" ca="1">INDEX(Master!$H$2:'Master'!$H$4384,MATCH($A36&amp;V$2,Master!$A$2:'Master'!$A$4384&amp;Master!$C$2:'Master'!$C$4384,0))</f>
        <v>-2</v>
      </c>
      <c r="W36" s="21" cm="1">
        <f t="array" aca="1" ref="W36" ca="1">INDEX(Master!$H$2:'Master'!$H$4384,MATCH($A36&amp;W$2,Master!$A$2:'Master'!$A$4384&amp;Master!$C$2:'Master'!$C$4384,0))</f>
        <v>0</v>
      </c>
      <c r="X36" s="21" cm="1">
        <f t="array" aca="1" ref="X36" ca="1">INDEX(Master!$H$2:'Master'!$H$4384,MATCH($A36&amp;X$2,Master!$A$2:'Master'!$A$4384&amp;Master!$C$2:'Master'!$C$4384,0))</f>
        <v>1</v>
      </c>
      <c r="Y36" s="21" cm="1">
        <f t="array" aca="1" ref="Y36" ca="1">INDEX(Master!$H$2:'Master'!$H$4384,MATCH($A36&amp;Y$2,Master!$A$2:'Master'!$A$4384&amp;Master!$C$2:'Master'!$C$4384,0))</f>
        <v>1</v>
      </c>
      <c r="Z36" s="21" cm="1">
        <f t="array" aca="1" ref="Z36" ca="1">INDEX(Master!$H$2:'Master'!$H$4384,MATCH($A36&amp;Z$2,Master!$A$2:'Master'!$A$4384&amp;Master!$C$2:'Master'!$C$4384,0))</f>
        <v>2</v>
      </c>
      <c r="AA36" s="21" cm="1">
        <f t="array" aca="1" ref="AA36" ca="1">INDEX(Master!$H$2:'Master'!$H$4384,MATCH($A36&amp;AA$2,Master!$A$2:'Master'!$A$4384&amp;Master!$C$2:'Master'!$C$4384,0))</f>
        <v>2</v>
      </c>
      <c r="AB36" s="21" cm="1">
        <f t="array" aca="1" ref="AB36" ca="1">INDEX(Master!$H$2:'Master'!$H$4384,MATCH($A36&amp;AB$2,Master!$A$2:'Master'!$A$4384&amp;Master!$C$2:'Master'!$C$4384,0))</f>
        <v>1</v>
      </c>
      <c r="AC36" s="21" cm="1">
        <f t="array" aca="1" ref="AC36" ca="1">INDEX(Master!$H$2:'Master'!$H$4384,MATCH($A36&amp;AC$2,Master!$A$2:'Master'!$A$4384&amp;Master!$C$2:'Master'!$C$4384,0))</f>
        <v>-1</v>
      </c>
      <c r="AD36" s="21" cm="1">
        <f t="array" aca="1" ref="AD36" ca="1">INDEX(Master!$H$2:'Master'!$H$4384,MATCH($A36&amp;AD$2,Master!$A$2:'Master'!$A$4384&amp;Master!$C$2:'Master'!$C$4384,0))</f>
        <v>3</v>
      </c>
      <c r="AE36" s="21" cm="1">
        <f t="array" aca="1" ref="AE36" ca="1">INDEX(Master!$H$2:'Master'!$H$4384,MATCH($A36&amp;AE$2,Master!$A$2:'Master'!$A$4384&amp;Master!$C$2:'Master'!$C$4384,0))</f>
        <v>0</v>
      </c>
      <c r="AF36" s="21" cm="1">
        <f t="array" aca="1" ref="AF36" ca="1">INDEX(Master!$H$2:'Master'!$H$4384,MATCH($A36&amp;AF$2,Master!$A$2:'Master'!$A$4384&amp;Master!$C$2:'Master'!$C$4384,0))</f>
        <v>-1</v>
      </c>
      <c r="AG36" s="21" cm="1">
        <f t="array" aca="1" ref="AG36" ca="1">INDEX(Master!$H$2:'Master'!$H$4384,MATCH($A36&amp;AG$2,Master!$A$2:'Master'!$A$4384&amp;Master!$C$2:'Master'!$C$4384,0))</f>
        <v>-1</v>
      </c>
      <c r="AH36" s="21" cm="1">
        <f t="array" aca="1" ref="AH36" ca="1">INDEX(Master!$H$2:'Master'!$H$4384,MATCH($A36&amp;AH$2,Master!$A$2:'Master'!$A$4384&amp;Master!$C$2:'Master'!$C$4384,0))</f>
        <v>-1</v>
      </c>
      <c r="AI36" s="21" cm="1">
        <f t="array" aca="1" ref="AI36" ca="1">INDEX(Master!$H$2:'Master'!$H$4384,MATCH($A36&amp;AI$2,Master!$A$2:'Master'!$A$4384&amp;Master!$C$2:'Master'!$C$4384,0))</f>
        <v>-1</v>
      </c>
      <c r="AJ36" s="21" cm="1">
        <f t="array" aca="1" ref="AJ36" ca="1">INDEX(Master!$H$2:'Master'!$H$4384,MATCH($A36&amp;AJ$2,Master!$A$2:'Master'!$A$4384&amp;Master!$C$2:'Master'!$C$4384,0))</f>
        <v>-1</v>
      </c>
      <c r="AK36" s="21" cm="1">
        <f t="array" aca="1" ref="AK36" ca="1">INDEX(Master!$H$2:'Master'!$H$4384,MATCH($A36&amp;AK$2,Master!$A$2:'Master'!$A$4384&amp;Master!$C$2:'Master'!$C$4384,0))</f>
        <v>0</v>
      </c>
      <c r="AL36" s="21" cm="1">
        <f t="array" aca="1" ref="AL36" ca="1">INDEX(Master!$H$2:'Master'!$H$4384,MATCH($A36&amp;AL$2,Master!$A$2:'Master'!$A$4384&amp;Master!$C$2:'Master'!$C$4384,0))</f>
        <v>-1</v>
      </c>
      <c r="AM36" s="21" cm="1">
        <f t="array" aca="1" ref="AM36" ca="1">INDEX(Master!$H$2:'Master'!$H$4384,MATCH($A36&amp;AM$2,Master!$A$2:'Master'!$A$4384&amp;Master!$C$2:'Master'!$C$4384,0))</f>
        <v>-1</v>
      </c>
      <c r="AN36" s="21" cm="1">
        <f t="array" aca="1" ref="AN36" ca="1">INDEX(Master!$H$2:'Master'!$H$4384,MATCH($A36&amp;AN$2,Master!$A$2:'Master'!$A$4384&amp;Master!$C$2:'Master'!$C$4384,0))</f>
        <v>-2</v>
      </c>
      <c r="AO36" s="21" cm="1">
        <f t="array" aca="1" ref="AO36" ca="1">INDEX(Master!$H$2:'Master'!$H$4384,MATCH($A36&amp;AO$2,Master!$A$2:'Master'!$A$4384&amp;Master!$C$2:'Master'!$C$4384,0))</f>
        <v>2</v>
      </c>
      <c r="AP36" s="21" cm="1">
        <f t="array" aca="1" ref="AP36" ca="1">INDEX(Master!$H$2:'Master'!$H$4384,MATCH($A36&amp;AP$2,Master!$A$2:'Master'!$A$4384&amp;Master!$C$2:'Master'!$C$4384,0))</f>
        <v>-1</v>
      </c>
      <c r="AQ36" s="21" cm="1">
        <f t="array" aca="1" ref="AQ36" ca="1">INDEX(Master!$H$2:'Master'!$H$4384,MATCH($A36&amp;AQ$2,Master!$A$2:'Master'!$A$4384&amp;Master!$C$2:'Master'!$C$4384,0))</f>
        <v>-1</v>
      </c>
      <c r="AR36" s="21" cm="1">
        <f t="array" aca="1" ref="AR36" ca="1">INDEX(Master!$H$2:'Master'!$H$4384,MATCH($A36&amp;AR$2,Master!$A$2:'Master'!$A$4384&amp;Master!$C$2:'Master'!$C$4384,0))</f>
        <v>2</v>
      </c>
      <c r="AS36" s="21" cm="1">
        <f t="array" aca="1" ref="AS36" ca="1">INDEX(Master!$H$2:'Master'!$H$4384,MATCH($A36&amp;AS$2,Master!$A$2:'Master'!$A$4384&amp;Master!$C$2:'Master'!$C$4384,0))</f>
        <v>-2</v>
      </c>
      <c r="AT36" s="21" cm="1">
        <f t="array" aca="1" ref="AT36" ca="1">INDEX(Master!$H$2:'Master'!$H$4384,MATCH($A36&amp;AT$2,Master!$A$2:'Master'!$A$4384&amp;Master!$C$2:'Master'!$C$4384,0))</f>
        <v>-2</v>
      </c>
      <c r="AU36" s="21" cm="1">
        <f t="array" aca="1" ref="AU36" ca="1">INDEX(Master!$H$2:'Master'!$H$4384,MATCH($A36&amp;AU$2,Master!$A$2:'Master'!$A$4384&amp;Master!$C$2:'Master'!$C$4384,0))</f>
        <v>-3</v>
      </c>
      <c r="AV36" s="21" cm="1">
        <f t="array" aca="1" ref="AV36" ca="1">INDEX(Master!$H$2:'Master'!$H$4384,MATCH($A36&amp;AV$2,Master!$A$2:'Master'!$A$4384&amp;Master!$C$2:'Master'!$C$4384,0))</f>
        <v>-1</v>
      </c>
      <c r="AW36" s="21" cm="1">
        <f t="array" aca="1" ref="AW36" ca="1">INDEX(Master!$H$2:'Master'!$H$4384,MATCH($A36&amp;AW$2,Master!$A$2:'Master'!$A$4384&amp;Master!$C$2:'Master'!$C$4384,0))</f>
        <v>0</v>
      </c>
      <c r="AX36" s="21" cm="1">
        <f t="array" aca="1" ref="AX36" ca="1">INDEX(Master!$H$2:'Master'!$H$4384,MATCH($A36&amp;AX$2,Master!$A$2:'Master'!$A$4384&amp;Master!$C$2:'Master'!$C$4384,0))</f>
        <v>-2</v>
      </c>
      <c r="AY36" s="21" cm="1">
        <f t="array" aca="1" ref="AY36" ca="1">INDEX(Master!$H$2:'Master'!$H$4384,MATCH($A36&amp;AY$2,Master!$A$2:'Master'!$A$4384&amp;Master!$C$2:'Master'!$C$4384,0))</f>
        <v>1</v>
      </c>
      <c r="AZ36" s="21" cm="1">
        <f t="array" aca="1" ref="AZ36" ca="1">INDEX(Master!$H$2:'Master'!$H$4384,MATCH($A36&amp;AZ$2,Master!$A$2:'Master'!$A$4384&amp;Master!$C$2:'Master'!$C$4384,0))</f>
        <v>-2</v>
      </c>
      <c r="BA36" s="21" cm="1">
        <f t="array" aca="1" ref="BA36" ca="1">INDEX(Master!$H$2:'Master'!$H$4384,MATCH($A36&amp;BA$2,Master!$A$2:'Master'!$A$4384&amp;Master!$C$2:'Master'!$C$4384,0))</f>
        <v>-1</v>
      </c>
      <c r="BB36" s="21" cm="1">
        <f t="array" aca="1" ref="BB36" ca="1">INDEX(Master!$H$2:'Master'!$H$4384,MATCH($A36&amp;BB$2,Master!$A$2:'Master'!$A$4384&amp;Master!$C$2:'Master'!$C$4384,0))</f>
        <v>-1</v>
      </c>
      <c r="BC36" s="21" cm="1">
        <f t="array" aca="1" ref="BC36" ca="1">INDEX(Master!$H$2:'Master'!$H$4384,MATCH($A36&amp;BC$2,Master!$A$2:'Master'!$A$4384&amp;Master!$C$2:'Master'!$C$4384,0))</f>
        <v>-1</v>
      </c>
      <c r="BD36" s="21" cm="1">
        <f t="array" aca="1" ref="BD36" ca="1">INDEX(Master!$H$2:'Master'!$H$4384,MATCH($A36&amp;BD$2,Master!$A$2:'Master'!$A$4384&amp;Master!$C$2:'Master'!$C$4384,0))</f>
        <v>1</v>
      </c>
      <c r="BE36" s="21" cm="1">
        <f t="array" aca="1" ref="BE36" ca="1">INDEX(Master!$H$2:'Master'!$H$4384,MATCH($A36&amp;BE$2,Master!$A$2:'Master'!$A$4384&amp;Master!$C$2:'Master'!$C$4384,0))</f>
        <v>0</v>
      </c>
      <c r="BF36" s="21" cm="1">
        <f t="array" aca="1" ref="BF36" ca="1">INDEX(Master!$H$2:'Master'!$H$4384,MATCH($A36&amp;BF$2,Master!$A$2:'Master'!$A$4384&amp;Master!$C$2:'Master'!$C$4384,0))</f>
        <v>-2</v>
      </c>
      <c r="BG36" s="21" cm="1">
        <f t="array" aca="1" ref="BG36" ca="1">INDEX(Master!$H$2:'Master'!$H$4384,MATCH($A36&amp;BG$2,Master!$A$2:'Master'!$A$4384&amp;Master!$C$2:'Master'!$C$4384,0))</f>
        <v>-2</v>
      </c>
      <c r="BH36" s="21" cm="1">
        <f t="array" aca="1" ref="BH36" ca="1">INDEX(Master!$H$2:'Master'!$H$4384,MATCH($A36&amp;BH$2,Master!$A$2:'Master'!$A$4384&amp;Master!$C$2:'Master'!$C$4384,0))</f>
        <v>-3</v>
      </c>
      <c r="BI36" s="21" cm="1">
        <f t="array" aca="1" ref="BI36" ca="1">INDEX(Master!$H$2:'Master'!$H$4384,MATCH($A36&amp;BI$2,Master!$A$2:'Master'!$A$4384&amp;Master!$C$2:'Master'!$C$4384,0))</f>
        <v>0</v>
      </c>
      <c r="BJ36" s="21" cm="1">
        <f t="array" aca="1" ref="BJ36" ca="1">INDEX(Master!$H$2:'Master'!$H$4384,MATCH($A36&amp;BJ$2,Master!$A$2:'Master'!$A$4384&amp;Master!$C$2:'Master'!$C$4384,0))</f>
        <v>-1</v>
      </c>
      <c r="BK36" s="21" cm="1">
        <f t="array" aca="1" ref="BK36" ca="1">INDEX(Master!$H$2:'Master'!$H$4384,MATCH($A36&amp;BK$2,Master!$A$2:'Master'!$A$4384&amp;Master!$C$2:'Master'!$C$4384,0))</f>
        <v>-3</v>
      </c>
      <c r="BL36" s="21" cm="1">
        <f t="array" aca="1" ref="BL36" ca="1">INDEX(Master!$H$2:'Master'!$H$4384,MATCH($A36&amp;BL$2,Master!$A$2:'Master'!$A$4384&amp;Master!$C$2:'Master'!$C$4384,0))</f>
        <v>-1</v>
      </c>
      <c r="BM36" s="21" cm="1">
        <f t="array" aca="1" ref="BM36" ca="1">INDEX(Master!$H$2:'Master'!$H$4384,MATCH($A36&amp;BM$2,Master!$A$2:'Master'!$A$4384&amp;Master!$C$2:'Master'!$C$4384,0))</f>
        <v>2</v>
      </c>
      <c r="BN36" s="21" cm="1">
        <f t="array" aca="1" ref="BN36" ca="1">INDEX(Master!$H$2:'Master'!$H$4384,MATCH($A36&amp;BN$2,Master!$A$2:'Master'!$A$4384&amp;Master!$C$2:'Master'!$C$4384,0))</f>
        <v>-1</v>
      </c>
      <c r="BO36" s="21" cm="1">
        <f t="array" aca="1" ref="BO36" ca="1">INDEX(Master!$H$2:'Master'!$H$4384,MATCH($A36&amp;BO$2,Master!$A$2:'Master'!$A$4384&amp;Master!$C$2:'Master'!$C$4384,0))</f>
        <v>-1</v>
      </c>
      <c r="BP36" s="21" cm="1">
        <f t="array" aca="1" ref="BP36" ca="1">INDEX(Master!$H$2:'Master'!$H$4384,MATCH($A36&amp;BP$2,Master!$A$2:'Master'!$A$4384&amp;Master!$C$2:'Master'!$C$4384,0))</f>
        <v>1</v>
      </c>
      <c r="BQ36" s="21" cm="1">
        <f t="array" aca="1" ref="BQ36" ca="1">INDEX(Master!$H$2:'Master'!$H$4384,MATCH($A36&amp;BQ$2,Master!$A$2:'Master'!$A$4384&amp;Master!$C$2:'Master'!$C$4384,0))</f>
        <v>1</v>
      </c>
      <c r="BR36" s="21" cm="1">
        <f t="array" aca="1" ref="BR36" ca="1">INDEX(Master!$H$2:'Master'!$H$4384,MATCH($A36&amp;BR$2,Master!$A$2:'Master'!$A$4384&amp;Master!$C$2:'Master'!$C$4384,0))</f>
        <v>1</v>
      </c>
      <c r="BS36" s="21" cm="1">
        <f t="array" aca="1" ref="BS36" ca="1">INDEX(Master!$H$2:'Master'!$H$4384,MATCH($A36&amp;BS$2,Master!$A$2:'Master'!$A$4384&amp;Master!$C$2:'Master'!$C$4384,0))</f>
        <v>1</v>
      </c>
      <c r="BT36" s="21" cm="1">
        <f t="array" aca="1" ref="BT36" ca="1">INDEX(Master!$H$2:'Master'!$H$4384,MATCH($A36&amp;BT$2,Master!$A$2:'Master'!$A$4384&amp;Master!$C$2:'Master'!$C$4384,0))</f>
        <v>-1</v>
      </c>
      <c r="BU36" s="21" cm="1">
        <f t="array" aca="1" ref="BU36" ca="1">INDEX(Master!$H$2:'Master'!$H$4384,MATCH($A36&amp;BU$2,Master!$A$2:'Master'!$A$4384&amp;Master!$C$2:'Master'!$C$4384,0))</f>
        <v>-1</v>
      </c>
      <c r="BV36" s="21" cm="1">
        <f t="array" aca="1" ref="BV36" ca="1">INDEX(Master!$H$2:'Master'!$H$4384,MATCH($A36&amp;BV$2,Master!$A$2:'Master'!$A$4384&amp;Master!$C$2:'Master'!$C$4384,0))</f>
        <v>-1</v>
      </c>
      <c r="BW36" s="21" cm="1">
        <f t="array" aca="1" ref="BW36" ca="1">INDEX(Master!$H$2:'Master'!$H$4384,MATCH($A36&amp;BW$2,Master!$A$2:'Master'!$A$4384&amp;Master!$C$2:'Master'!$C$4384,0))</f>
        <v>-2</v>
      </c>
      <c r="BX36" s="21" cm="1">
        <f t="array" aca="1" ref="BX36" ca="1">INDEX(Master!$H$2:'Master'!$H$4384,MATCH($A36&amp;BX$2,Master!$A$2:'Master'!$A$4384&amp;Master!$C$2:'Master'!$C$4384,0))</f>
        <v>-2</v>
      </c>
      <c r="BY36" s="21" cm="1">
        <f t="array" aca="1" ref="BY36" ca="1">INDEX(Master!$H$2:'Master'!$H$4384,MATCH($A36&amp;BY$2,Master!$A$2:'Master'!$A$4384&amp;Master!$C$2:'Master'!$C$4384,0))</f>
        <v>-3</v>
      </c>
      <c r="BZ36" s="21" cm="1">
        <f t="array" aca="1" ref="BZ36" ca="1">INDEX(Master!$H$2:'Master'!$H$4384,MATCH($A36&amp;BZ$2,Master!$A$2:'Master'!$A$4384&amp;Master!$C$2:'Master'!$C$4384,0))</f>
        <v>0</v>
      </c>
      <c r="CA36" s="21" cm="1">
        <f t="array" aca="1" ref="CA36" ca="1">INDEX(Master!$H$2:'Master'!$H$4384,MATCH($A36&amp;CA$2,Master!$A$2:'Master'!$A$4384&amp;Master!$C$2:'Master'!$C$4384,0))</f>
        <v>-1</v>
      </c>
      <c r="CB36" s="21" cm="1">
        <f t="array" aca="1" ref="CB36" ca="1">INDEX(Master!$H$2:'Master'!$H$4384,MATCH($A36&amp;CB$2,Master!$A$2:'Master'!$A$4384&amp;Master!$C$2:'Master'!$C$4384,0))</f>
        <v>-3</v>
      </c>
      <c r="CC36" s="21" cm="1">
        <f t="array" aca="1" ref="CC36" ca="1">INDEX(Master!$H$2:'Master'!$H$4384,MATCH($A36&amp;CC$2,Master!$A$2:'Master'!$A$4384&amp;Master!$C$2:'Master'!$C$4384,0))</f>
        <v>-1</v>
      </c>
      <c r="CD36" s="21" cm="1">
        <f t="array" aca="1" ref="CD36" ca="1">INDEX(Master!$H$2:'Master'!$H$4384,MATCH($A36&amp;CD$2,Master!$A$2:'Master'!$A$4384&amp;Master!$C$2:'Master'!$C$4384,0))</f>
        <v>2</v>
      </c>
      <c r="CE36" s="21" cm="1">
        <f t="array" aca="1" ref="CE36" ca="1">INDEX(Master!$H$2:'Master'!$H$4384,MATCH($A36&amp;CE$2,Master!$A$2:'Master'!$A$4384&amp;Master!$C$2:'Master'!$C$4384,0))</f>
        <v>0</v>
      </c>
      <c r="CF36" s="21" cm="1">
        <f t="array" aca="1" ref="CF36" ca="1">INDEX(Master!$H$2:'Master'!$H$4384,MATCH($A36&amp;CF$2,Master!$A$2:'Master'!$A$4384&amp;Master!$C$2:'Master'!$C$4384,0))</f>
        <v>-1</v>
      </c>
      <c r="CG36" s="21" cm="1">
        <f t="array" aca="1" ref="CG36" ca="1">INDEX(Master!$H$2:'Master'!$H$4384,MATCH($A36&amp;CG$2,Master!$A$2:'Master'!$A$4384&amp;Master!$C$2:'Master'!$C$4384,0))</f>
        <v>-1</v>
      </c>
      <c r="CH36" s="21" cm="1">
        <f t="array" aca="1" ref="CH36" ca="1">INDEX(Master!$H$2:'Master'!$H$4384,MATCH($A36&amp;CH$2,Master!$A$2:'Master'!$A$4384&amp;Master!$C$2:'Master'!$C$4384,0))</f>
        <v>-3</v>
      </c>
      <c r="CI36" s="21" cm="1">
        <f t="array" aca="1" ref="CI36" ca="1">INDEX(Master!$H$2:'Master'!$H$4384,MATCH($A36&amp;CI$2,Master!$A$2:'Master'!$A$4384&amp;Master!$C$2:'Master'!$C$4384,0))</f>
        <v>-4</v>
      </c>
      <c r="CJ36" s="21" cm="1">
        <f t="array" aca="1" ref="CJ36" ca="1">INDEX(Master!$H$2:'Master'!$H$4384,MATCH($A36&amp;CJ$2,Master!$A$2:'Master'!$A$4384&amp;Master!$C$2:'Master'!$C$4384,0))</f>
        <v>3</v>
      </c>
      <c r="CK36" s="21" cm="1">
        <f t="array" aca="1" ref="CK36" ca="1">INDEX(Master!$H$2:'Master'!$H$4384,MATCH($A36&amp;CK$2,Master!$A$2:'Master'!$A$4384&amp;Master!$C$2:'Master'!$C$4384,0))</f>
        <v>-1</v>
      </c>
      <c r="CL36" s="21" cm="1">
        <f t="array" aca="1" ref="CL36" ca="1">INDEX(Master!$H$2:'Master'!$H$4384,MATCH($A36&amp;CL$2,Master!$A$2:'Master'!$A$4384&amp;Master!$C$2:'Master'!$C$4384,0))</f>
        <v>-2</v>
      </c>
      <c r="CM36" s="21" cm="1">
        <f t="array" aca="1" ref="CM36" ca="1">INDEX(Master!$H$2:'Master'!$H$4384,MATCH($A36&amp;CM$2,Master!$A$2:'Master'!$A$4384&amp;Master!$C$2:'Master'!$C$4384,0))</f>
        <v>0</v>
      </c>
      <c r="CN36" s="21" cm="1">
        <f t="array" aca="1" ref="CN36" ca="1">INDEX(Master!$H$2:'Master'!$H$4384,MATCH($A36&amp;CN$2,Master!$A$2:'Master'!$A$4384&amp;Master!$C$2:'Master'!$C$4384,0))</f>
        <v>1</v>
      </c>
      <c r="CO36" s="21" cm="1">
        <f t="array" aca="1" ref="CO36" ca="1">INDEX(Master!$H$2:'Master'!$H$4384,MATCH($A36&amp;CO$2,Master!$A$2:'Master'!$A$4384&amp;Master!$C$2:'Master'!$C$4384,0))</f>
        <v>0</v>
      </c>
      <c r="CP36" s="21" cm="1">
        <f t="array" aca="1" ref="CP36" ca="1">INDEX(Master!$H$2:'Master'!$H$4384,MATCH($A36&amp;CP$2,Master!$A$2:'Master'!$A$4384&amp;Master!$C$2:'Master'!$C$4384,0))</f>
        <v>-1</v>
      </c>
      <c r="CQ36" s="21" cm="1">
        <f t="array" aca="1" ref="CQ36" ca="1">INDEX(Master!$H$2:'Master'!$H$4384,MATCH($A36&amp;CQ$2,Master!$A$2:'Master'!$A$4384&amp;Master!$C$2:'Master'!$C$4384,0))</f>
        <v>-1</v>
      </c>
      <c r="CR36" s="21" cm="1">
        <f t="array" aca="1" ref="CR36" ca="1">INDEX(Master!$H$2:'Master'!$H$4384,MATCH($A36&amp;CR$2,Master!$A$2:'Master'!$A$4384&amp;Master!$C$2:'Master'!$C$4384,0))</f>
        <v>2</v>
      </c>
      <c r="CS36" s="21" cm="1">
        <f t="array" aca="1" ref="CS36" ca="1">INDEX(Master!$H$2:'Master'!$H$4384,MATCH($A36&amp;CS$2,Master!$A$2:'Master'!$A$4384&amp;Master!$C$2:'Master'!$C$4384,0))</f>
        <v>-2</v>
      </c>
    </row>
    <row r="37" spans="1:97">
      <c r="A37" s="22" t="str">
        <f>VLOOKUP(Staff!$A34,Staff!$A$1:A$73,1,FALSE)</f>
        <v>Adam Dalgliesh</v>
      </c>
      <c r="B37" s="21" cm="1">
        <f t="array" aca="1" ref="B37" ca="1">INDEX(Master!$H$2:'Master'!$H$4384,MATCH($A37&amp;B$2,Master!$A$2:'Master'!$A$4384&amp;Master!$C$2:'Master'!$C$4384,0))</f>
        <v>-2</v>
      </c>
      <c r="C37" s="21" cm="1">
        <f t="array" aca="1" ref="C37" ca="1">INDEX(Master!$H$2:'Master'!$H$4384,MATCH($A37&amp;C$2,Master!$A$2:'Master'!$A$4384&amp;Master!$C$2:'Master'!$C$4384,0))</f>
        <v>-1</v>
      </c>
      <c r="D37" s="21" cm="1">
        <f t="array" aca="1" ref="D37" ca="1">INDEX(Master!$H$2:'Master'!$H$4384,MATCH($A37&amp;D$2,Master!$A$2:'Master'!$A$4384&amp;Master!$C$2:'Master'!$C$4384,0))</f>
        <v>-2</v>
      </c>
      <c r="E37" s="21" cm="1">
        <f t="array" aca="1" ref="E37" ca="1">INDEX(Master!$H$2:'Master'!$H$4384,MATCH($A37&amp;E$2,Master!$A$2:'Master'!$A$4384&amp;Master!$C$2:'Master'!$C$4384,0))</f>
        <v>0</v>
      </c>
      <c r="F37" s="21" cm="1">
        <f t="array" aca="1" ref="F37" ca="1">INDEX(Master!$H$2:'Master'!$H$4384,MATCH($A37&amp;F$2,Master!$A$2:'Master'!$A$4384&amp;Master!$C$2:'Master'!$C$4384,0))</f>
        <v>1</v>
      </c>
      <c r="G37" s="21" cm="1">
        <f t="array" aca="1" ref="G37" ca="1">INDEX(Master!$H$2:'Master'!$H$4384,MATCH($A37&amp;G$2,Master!$A$2:'Master'!$A$4384&amp;Master!$C$2:'Master'!$C$4384,0))</f>
        <v>-1</v>
      </c>
      <c r="H37" s="21" cm="1">
        <f t="array" aca="1" ref="H37" ca="1">INDEX(Master!$H$2:'Master'!$H$4384,MATCH($A37&amp;H$2,Master!$A$2:'Master'!$A$4384&amp;Master!$C$2:'Master'!$C$4384,0))</f>
        <v>1</v>
      </c>
      <c r="I37" s="21" cm="1">
        <f t="array" aca="1" ref="I37" ca="1">INDEX(Master!$H$2:'Master'!$H$4384,MATCH($A37&amp;I$2,Master!$A$2:'Master'!$A$4384&amp;Master!$C$2:'Master'!$C$4384,0))</f>
        <v>0</v>
      </c>
      <c r="J37" s="21" cm="1">
        <f t="array" aca="1" ref="J37" ca="1">INDEX(Master!$H$2:'Master'!$H$4384,MATCH($A37&amp;J$2,Master!$A$2:'Master'!$A$4384&amp;Master!$C$2:'Master'!$C$4384,0))</f>
        <v>0</v>
      </c>
      <c r="K37" s="21" cm="1">
        <f t="array" aca="1" ref="K37" ca="1">INDEX(Master!$H$2:'Master'!$H$4384,MATCH($A37&amp;K$2,Master!$A$2:'Master'!$A$4384&amp;Master!$C$2:'Master'!$C$4384,0))</f>
        <v>0</v>
      </c>
      <c r="L37" s="21" cm="1">
        <f t="array" aca="1" ref="L37" ca="1">INDEX(Master!$H$2:'Master'!$H$4384,MATCH($A37&amp;L$2,Master!$A$2:'Master'!$A$4384&amp;Master!$C$2:'Master'!$C$4384,0))</f>
        <v>0</v>
      </c>
      <c r="M37" s="21" cm="1">
        <f t="array" aca="1" ref="M37" ca="1">INDEX(Master!$H$2:'Master'!$H$4384,MATCH($A37&amp;M$2,Master!$A$2:'Master'!$A$4384&amp;Master!$C$2:'Master'!$C$4384,0))</f>
        <v>1</v>
      </c>
      <c r="N37" s="21" cm="1">
        <f t="array" aca="1" ref="N37" ca="1">INDEX(Master!$H$2:'Master'!$H$4384,MATCH($A37&amp;N$2,Master!$A$2:'Master'!$A$4384&amp;Master!$C$2:'Master'!$C$4384,0))</f>
        <v>0</v>
      </c>
      <c r="O37" s="21" cm="1">
        <f t="array" aca="1" ref="O37" ca="1">INDEX(Master!$H$2:'Master'!$H$4384,MATCH($A37&amp;O$2,Master!$A$2:'Master'!$A$4384&amp;Master!$C$2:'Master'!$C$4384,0))</f>
        <v>-1</v>
      </c>
      <c r="P37" s="21" cm="1">
        <f t="array" aca="1" ref="P37" ca="1">INDEX(Master!$H$2:'Master'!$H$4384,MATCH($A37&amp;P$2,Master!$A$2:'Master'!$A$4384&amp;Master!$C$2:'Master'!$C$4384,0))</f>
        <v>0</v>
      </c>
      <c r="Q37" s="21" cm="1">
        <f t="array" aca="1" ref="Q37" ca="1">INDEX(Master!$H$2:'Master'!$H$4384,MATCH($A37&amp;Q$2,Master!$A$2:'Master'!$A$4384&amp;Master!$C$2:'Master'!$C$4384,0))</f>
        <v>0</v>
      </c>
      <c r="R37" s="21" cm="1">
        <f t="array" aca="1" ref="R37" ca="1">INDEX(Master!$H$2:'Master'!$H$4384,MATCH($A37&amp;R$2,Master!$A$2:'Master'!$A$4384&amp;Master!$C$2:'Master'!$C$4384,0))</f>
        <v>1</v>
      </c>
      <c r="S37" s="21" cm="1">
        <f t="array" aca="1" ref="S37" ca="1">INDEX(Master!$H$2:'Master'!$H$4384,MATCH($A37&amp;S$2,Master!$A$2:'Master'!$A$4384&amp;Master!$C$2:'Master'!$C$4384,0))</f>
        <v>-1</v>
      </c>
      <c r="T37" s="21" cm="1">
        <f t="array" aca="1" ref="T37" ca="1">INDEX(Master!$H$2:'Master'!$H$4384,MATCH($A37&amp;T$2,Master!$A$2:'Master'!$A$4384&amp;Master!$C$2:'Master'!$C$4384,0))</f>
        <v>0</v>
      </c>
      <c r="U37" s="21" cm="1">
        <f t="array" aca="1" ref="U37" ca="1">INDEX(Master!$H$2:'Master'!$H$4384,MATCH($A37&amp;U$2,Master!$A$2:'Master'!$A$4384&amp;Master!$C$2:'Master'!$C$4384,0))</f>
        <v>1</v>
      </c>
      <c r="V37" s="21" cm="1">
        <f t="array" aca="1" ref="V37" ca="1">INDEX(Master!$H$2:'Master'!$H$4384,MATCH($A37&amp;V$2,Master!$A$2:'Master'!$A$4384&amp;Master!$C$2:'Master'!$C$4384,0))</f>
        <v>-1</v>
      </c>
      <c r="W37" s="21" cm="1">
        <f t="array" aca="1" ref="W37" ca="1">INDEX(Master!$H$2:'Master'!$H$4384,MATCH($A37&amp;W$2,Master!$A$2:'Master'!$A$4384&amp;Master!$C$2:'Master'!$C$4384,0))</f>
        <v>2</v>
      </c>
      <c r="X37" s="21" cm="1">
        <f t="array" aca="1" ref="X37" ca="1">INDEX(Master!$H$2:'Master'!$H$4384,MATCH($A37&amp;X$2,Master!$A$2:'Master'!$A$4384&amp;Master!$C$2:'Master'!$C$4384,0))</f>
        <v>4</v>
      </c>
      <c r="Y37" s="21" cm="1">
        <f t="array" aca="1" ref="Y37" ca="1">INDEX(Master!$H$2:'Master'!$H$4384,MATCH($A37&amp;Y$2,Master!$A$2:'Master'!$A$4384&amp;Master!$C$2:'Master'!$C$4384,0))</f>
        <v>4</v>
      </c>
      <c r="Z37" s="21" cm="1">
        <f t="array" aca="1" ref="Z37" ca="1">INDEX(Master!$H$2:'Master'!$H$4384,MATCH($A37&amp;Z$2,Master!$A$2:'Master'!$A$4384&amp;Master!$C$2:'Master'!$C$4384,0))</f>
        <v>4</v>
      </c>
      <c r="AA37" s="21" cm="1">
        <f t="array" aca="1" ref="AA37" ca="1">INDEX(Master!$H$2:'Master'!$H$4384,MATCH($A37&amp;AA$2,Master!$A$2:'Master'!$A$4384&amp;Master!$C$2:'Master'!$C$4384,0))</f>
        <v>4</v>
      </c>
      <c r="AB37" s="21" cm="1">
        <f t="array" aca="1" ref="AB37" ca="1">INDEX(Master!$H$2:'Master'!$H$4384,MATCH($A37&amp;AB$2,Master!$A$2:'Master'!$A$4384&amp;Master!$C$2:'Master'!$C$4384,0))</f>
        <v>4</v>
      </c>
      <c r="AC37" s="21" cm="1">
        <f t="array" aca="1" ref="AC37" ca="1">INDEX(Master!$H$2:'Master'!$H$4384,MATCH($A37&amp;AC$2,Master!$A$2:'Master'!$A$4384&amp;Master!$C$2:'Master'!$C$4384,0))</f>
        <v>-1</v>
      </c>
      <c r="AD37" s="21" cm="1">
        <f t="array" aca="1" ref="AD37" ca="1">INDEX(Master!$H$2:'Master'!$H$4384,MATCH($A37&amp;AD$2,Master!$A$2:'Master'!$A$4384&amp;Master!$C$2:'Master'!$C$4384,0))</f>
        <v>2</v>
      </c>
      <c r="AE37" s="21" cm="1">
        <f t="array" aca="1" ref="AE37" ca="1">INDEX(Master!$H$2:'Master'!$H$4384,MATCH($A37&amp;AE$2,Master!$A$2:'Master'!$A$4384&amp;Master!$C$2:'Master'!$C$4384,0))</f>
        <v>-2</v>
      </c>
      <c r="AF37" s="21" cm="1">
        <f t="array" aca="1" ref="AF37" ca="1">INDEX(Master!$H$2:'Master'!$H$4384,MATCH($A37&amp;AF$2,Master!$A$2:'Master'!$A$4384&amp;Master!$C$2:'Master'!$C$4384,0))</f>
        <v>-1</v>
      </c>
      <c r="AG37" s="21" cm="1">
        <f t="array" aca="1" ref="AG37" ca="1">INDEX(Master!$H$2:'Master'!$H$4384,MATCH($A37&amp;AG$2,Master!$A$2:'Master'!$A$4384&amp;Master!$C$2:'Master'!$C$4384,0))</f>
        <v>1</v>
      </c>
      <c r="AH37" s="21" cm="1">
        <f t="array" aca="1" ref="AH37" ca="1">INDEX(Master!$H$2:'Master'!$H$4384,MATCH($A37&amp;AH$2,Master!$A$2:'Master'!$A$4384&amp;Master!$C$2:'Master'!$C$4384,0))</f>
        <v>-2</v>
      </c>
      <c r="AI37" s="21" cm="1">
        <f t="array" aca="1" ref="AI37" ca="1">INDEX(Master!$H$2:'Master'!$H$4384,MATCH($A37&amp;AI$2,Master!$A$2:'Master'!$A$4384&amp;Master!$C$2:'Master'!$C$4384,0))</f>
        <v>0</v>
      </c>
      <c r="AJ37" s="21" cm="1">
        <f t="array" aca="1" ref="AJ37" ca="1">INDEX(Master!$H$2:'Master'!$H$4384,MATCH($A37&amp;AJ$2,Master!$A$2:'Master'!$A$4384&amp;Master!$C$2:'Master'!$C$4384,0))</f>
        <v>0</v>
      </c>
      <c r="AK37" s="21" cm="1">
        <f t="array" aca="1" ref="AK37" ca="1">INDEX(Master!$H$2:'Master'!$H$4384,MATCH($A37&amp;AK$2,Master!$A$2:'Master'!$A$4384&amp;Master!$C$2:'Master'!$C$4384,0))</f>
        <v>1</v>
      </c>
      <c r="AL37" s="21" cm="1">
        <f t="array" aca="1" ref="AL37" ca="1">INDEX(Master!$H$2:'Master'!$H$4384,MATCH($A37&amp;AL$2,Master!$A$2:'Master'!$A$4384&amp;Master!$C$2:'Master'!$C$4384,0))</f>
        <v>1</v>
      </c>
      <c r="AM37" s="21" cm="1">
        <f t="array" aca="1" ref="AM37" ca="1">INDEX(Master!$H$2:'Master'!$H$4384,MATCH($A37&amp;AM$2,Master!$A$2:'Master'!$A$4384&amp;Master!$C$2:'Master'!$C$4384,0))</f>
        <v>1</v>
      </c>
      <c r="AN37" s="21" cm="1">
        <f t="array" aca="1" ref="AN37" ca="1">INDEX(Master!$H$2:'Master'!$H$4384,MATCH($A37&amp;AN$2,Master!$A$2:'Master'!$A$4384&amp;Master!$C$2:'Master'!$C$4384,0))</f>
        <v>1</v>
      </c>
      <c r="AO37" s="21" cm="1">
        <f t="array" aca="1" ref="AO37" ca="1">INDEX(Master!$H$2:'Master'!$H$4384,MATCH($A37&amp;AO$2,Master!$A$2:'Master'!$A$4384&amp;Master!$C$2:'Master'!$C$4384,0))</f>
        <v>0</v>
      </c>
      <c r="AP37" s="21" cm="1">
        <f t="array" aca="1" ref="AP37" ca="1">INDEX(Master!$H$2:'Master'!$H$4384,MATCH($A37&amp;AP$2,Master!$A$2:'Master'!$A$4384&amp;Master!$C$2:'Master'!$C$4384,0))</f>
        <v>-2</v>
      </c>
      <c r="AQ37" s="21" cm="1">
        <f t="array" aca="1" ref="AQ37" ca="1">INDEX(Master!$H$2:'Master'!$H$4384,MATCH($A37&amp;AQ$2,Master!$A$2:'Master'!$A$4384&amp;Master!$C$2:'Master'!$C$4384,0))</f>
        <v>3</v>
      </c>
      <c r="AR37" s="21" cm="1">
        <f t="array" aca="1" ref="AR37" ca="1">INDEX(Master!$H$2:'Master'!$H$4384,MATCH($A37&amp;AR$2,Master!$A$2:'Master'!$A$4384&amp;Master!$C$2:'Master'!$C$4384,0))</f>
        <v>2</v>
      </c>
      <c r="AS37" s="21" cm="1">
        <f t="array" aca="1" ref="AS37" ca="1">INDEX(Master!$H$2:'Master'!$H$4384,MATCH($A37&amp;AS$2,Master!$A$2:'Master'!$A$4384&amp;Master!$C$2:'Master'!$C$4384,0))</f>
        <v>0</v>
      </c>
      <c r="AT37" s="21" cm="1">
        <f t="array" aca="1" ref="AT37" ca="1">INDEX(Master!$H$2:'Master'!$H$4384,MATCH($A37&amp;AT$2,Master!$A$2:'Master'!$A$4384&amp;Master!$C$2:'Master'!$C$4384,0))</f>
        <v>-1</v>
      </c>
      <c r="AU37" s="21" cm="1">
        <f t="array" aca="1" ref="AU37" ca="1">INDEX(Master!$H$2:'Master'!$H$4384,MATCH($A37&amp;AU$2,Master!$A$2:'Master'!$A$4384&amp;Master!$C$2:'Master'!$C$4384,0))</f>
        <v>-2</v>
      </c>
      <c r="AV37" s="21" cm="1">
        <f t="array" aca="1" ref="AV37" ca="1">INDEX(Master!$H$2:'Master'!$H$4384,MATCH($A37&amp;AV$2,Master!$A$2:'Master'!$A$4384&amp;Master!$C$2:'Master'!$C$4384,0))</f>
        <v>-1</v>
      </c>
      <c r="AW37" s="21" cm="1">
        <f t="array" aca="1" ref="AW37" ca="1">INDEX(Master!$H$2:'Master'!$H$4384,MATCH($A37&amp;AW$2,Master!$A$2:'Master'!$A$4384&amp;Master!$C$2:'Master'!$C$4384,0))</f>
        <v>-1</v>
      </c>
      <c r="AX37" s="21" cm="1">
        <f t="array" aca="1" ref="AX37" ca="1">INDEX(Master!$H$2:'Master'!$H$4384,MATCH($A37&amp;AX$2,Master!$A$2:'Master'!$A$4384&amp;Master!$C$2:'Master'!$C$4384,0))</f>
        <v>-1</v>
      </c>
      <c r="AY37" s="21" cm="1">
        <f t="array" aca="1" ref="AY37" ca="1">INDEX(Master!$H$2:'Master'!$H$4384,MATCH($A37&amp;AY$2,Master!$A$2:'Master'!$A$4384&amp;Master!$C$2:'Master'!$C$4384,0))</f>
        <v>0</v>
      </c>
      <c r="AZ37" s="21" cm="1">
        <f t="array" aca="1" ref="AZ37" ca="1">INDEX(Master!$H$2:'Master'!$H$4384,MATCH($A37&amp;AZ$2,Master!$A$2:'Master'!$A$4384&amp;Master!$C$2:'Master'!$C$4384,0))</f>
        <v>0</v>
      </c>
      <c r="BA37" s="21" cm="1">
        <f t="array" aca="1" ref="BA37" ca="1">INDEX(Master!$H$2:'Master'!$H$4384,MATCH($A37&amp;BA$2,Master!$A$2:'Master'!$A$4384&amp;Master!$C$2:'Master'!$C$4384,0))</f>
        <v>0</v>
      </c>
      <c r="BB37" s="21" cm="1">
        <f t="array" aca="1" ref="BB37" ca="1">INDEX(Master!$H$2:'Master'!$H$4384,MATCH($A37&amp;BB$2,Master!$A$2:'Master'!$A$4384&amp;Master!$C$2:'Master'!$C$4384,0))</f>
        <v>0</v>
      </c>
      <c r="BC37" s="21" cm="1">
        <f t="array" aca="1" ref="BC37" ca="1">INDEX(Master!$H$2:'Master'!$H$4384,MATCH($A37&amp;BC$2,Master!$A$2:'Master'!$A$4384&amp;Master!$C$2:'Master'!$C$4384,0))</f>
        <v>0</v>
      </c>
      <c r="BD37" s="21" cm="1">
        <f t="array" aca="1" ref="BD37" ca="1">INDEX(Master!$H$2:'Master'!$H$4384,MATCH($A37&amp;BD$2,Master!$A$2:'Master'!$A$4384&amp;Master!$C$2:'Master'!$C$4384,0))</f>
        <v>1</v>
      </c>
      <c r="BE37" s="21" cm="1">
        <f t="array" aca="1" ref="BE37" ca="1">INDEX(Master!$H$2:'Master'!$H$4384,MATCH($A37&amp;BE$2,Master!$A$2:'Master'!$A$4384&amp;Master!$C$2:'Master'!$C$4384,0))</f>
        <v>0</v>
      </c>
      <c r="BF37" s="21" cm="1">
        <f t="array" aca="1" ref="BF37" ca="1">INDEX(Master!$H$2:'Master'!$H$4384,MATCH($A37&amp;BF$2,Master!$A$2:'Master'!$A$4384&amp;Master!$C$2:'Master'!$C$4384,0))</f>
        <v>-2</v>
      </c>
      <c r="BG37" s="21" cm="1">
        <f t="array" aca="1" ref="BG37" ca="1">INDEX(Master!$H$2:'Master'!$H$4384,MATCH($A37&amp;BG$2,Master!$A$2:'Master'!$A$4384&amp;Master!$C$2:'Master'!$C$4384,0))</f>
        <v>-2</v>
      </c>
      <c r="BH37" s="21" cm="1">
        <f t="array" aca="1" ref="BH37" ca="1">INDEX(Master!$H$2:'Master'!$H$4384,MATCH($A37&amp;BH$2,Master!$A$2:'Master'!$A$4384&amp;Master!$C$2:'Master'!$C$4384,0))</f>
        <v>-2</v>
      </c>
      <c r="BI37" s="21" cm="1">
        <f t="array" aca="1" ref="BI37" ca="1">INDEX(Master!$H$2:'Master'!$H$4384,MATCH($A37&amp;BI$2,Master!$A$2:'Master'!$A$4384&amp;Master!$C$2:'Master'!$C$4384,0))</f>
        <v>-2</v>
      </c>
      <c r="BJ37" s="21" cm="1">
        <f t="array" aca="1" ref="BJ37" ca="1">INDEX(Master!$H$2:'Master'!$H$4384,MATCH($A37&amp;BJ$2,Master!$A$2:'Master'!$A$4384&amp;Master!$C$2:'Master'!$C$4384,0))</f>
        <v>-2</v>
      </c>
      <c r="BK37" s="21" cm="1">
        <f t="array" aca="1" ref="BK37" ca="1">INDEX(Master!$H$2:'Master'!$H$4384,MATCH($A37&amp;BK$2,Master!$A$2:'Master'!$A$4384&amp;Master!$C$2:'Master'!$C$4384,0))</f>
        <v>-2</v>
      </c>
      <c r="BL37" s="21" cm="1">
        <f t="array" aca="1" ref="BL37" ca="1">INDEX(Master!$H$2:'Master'!$H$4384,MATCH($A37&amp;BL$2,Master!$A$2:'Master'!$A$4384&amp;Master!$C$2:'Master'!$C$4384,0))</f>
        <v>-2</v>
      </c>
      <c r="BM37" s="21" cm="1">
        <f t="array" aca="1" ref="BM37" ca="1">INDEX(Master!$H$2:'Master'!$H$4384,MATCH($A37&amp;BM$2,Master!$A$2:'Master'!$A$4384&amp;Master!$C$2:'Master'!$C$4384,0))</f>
        <v>0</v>
      </c>
      <c r="BN37" s="21" cm="1">
        <f t="array" aca="1" ref="BN37" ca="1">INDEX(Master!$H$2:'Master'!$H$4384,MATCH($A37&amp;BN$2,Master!$A$2:'Master'!$A$4384&amp;Master!$C$2:'Master'!$C$4384,0))</f>
        <v>0</v>
      </c>
      <c r="BO37" s="21" cm="1">
        <f t="array" aca="1" ref="BO37" ca="1">INDEX(Master!$H$2:'Master'!$H$4384,MATCH($A37&amp;BO$2,Master!$A$2:'Master'!$A$4384&amp;Master!$C$2:'Master'!$C$4384,0))</f>
        <v>-1</v>
      </c>
      <c r="BP37" s="21" cm="1">
        <f t="array" aca="1" ref="BP37" ca="1">INDEX(Master!$H$2:'Master'!$H$4384,MATCH($A37&amp;BP$2,Master!$A$2:'Master'!$A$4384&amp;Master!$C$2:'Master'!$C$4384,0))</f>
        <v>0</v>
      </c>
      <c r="BQ37" s="21" cm="1">
        <f t="array" aca="1" ref="BQ37" ca="1">INDEX(Master!$H$2:'Master'!$H$4384,MATCH($A37&amp;BQ$2,Master!$A$2:'Master'!$A$4384&amp;Master!$C$2:'Master'!$C$4384,0))</f>
        <v>0</v>
      </c>
      <c r="BR37" s="21" cm="1">
        <f t="array" aca="1" ref="BR37" ca="1">INDEX(Master!$H$2:'Master'!$H$4384,MATCH($A37&amp;BR$2,Master!$A$2:'Master'!$A$4384&amp;Master!$C$2:'Master'!$C$4384,0))</f>
        <v>0</v>
      </c>
      <c r="BS37" s="21" cm="1">
        <f t="array" aca="1" ref="BS37" ca="1">INDEX(Master!$H$2:'Master'!$H$4384,MATCH($A37&amp;BS$2,Master!$A$2:'Master'!$A$4384&amp;Master!$C$2:'Master'!$C$4384,0))</f>
        <v>2</v>
      </c>
      <c r="BT37" s="21" cm="1">
        <f t="array" aca="1" ref="BT37" ca="1">INDEX(Master!$H$2:'Master'!$H$4384,MATCH($A37&amp;BT$2,Master!$A$2:'Master'!$A$4384&amp;Master!$C$2:'Master'!$C$4384,0))</f>
        <v>0</v>
      </c>
      <c r="BU37" s="21" cm="1">
        <f t="array" aca="1" ref="BU37" ca="1">INDEX(Master!$H$2:'Master'!$H$4384,MATCH($A37&amp;BU$2,Master!$A$2:'Master'!$A$4384&amp;Master!$C$2:'Master'!$C$4384,0))</f>
        <v>1</v>
      </c>
      <c r="BV37" s="21" cm="1">
        <f t="array" aca="1" ref="BV37" ca="1">INDEX(Master!$H$2:'Master'!$H$4384,MATCH($A37&amp;BV$2,Master!$A$2:'Master'!$A$4384&amp;Master!$C$2:'Master'!$C$4384,0))</f>
        <v>-1</v>
      </c>
      <c r="BW37" s="21" cm="1">
        <f t="array" aca="1" ref="BW37" ca="1">INDEX(Master!$H$2:'Master'!$H$4384,MATCH($A37&amp;BW$2,Master!$A$2:'Master'!$A$4384&amp;Master!$C$2:'Master'!$C$4384,0))</f>
        <v>-2</v>
      </c>
      <c r="BX37" s="21" cm="1">
        <f t="array" aca="1" ref="BX37" ca="1">INDEX(Master!$H$2:'Master'!$H$4384,MATCH($A37&amp;BX$2,Master!$A$2:'Master'!$A$4384&amp;Master!$C$2:'Master'!$C$4384,0))</f>
        <v>-2</v>
      </c>
      <c r="BY37" s="21" cm="1">
        <f t="array" aca="1" ref="BY37" ca="1">INDEX(Master!$H$2:'Master'!$H$4384,MATCH($A37&amp;BY$2,Master!$A$2:'Master'!$A$4384&amp;Master!$C$2:'Master'!$C$4384,0))</f>
        <v>-2</v>
      </c>
      <c r="BZ37" s="21" cm="1">
        <f t="array" aca="1" ref="BZ37" ca="1">INDEX(Master!$H$2:'Master'!$H$4384,MATCH($A37&amp;BZ$2,Master!$A$2:'Master'!$A$4384&amp;Master!$C$2:'Master'!$C$4384,0))</f>
        <v>-2</v>
      </c>
      <c r="CA37" s="21" cm="1">
        <f t="array" aca="1" ref="CA37" ca="1">INDEX(Master!$H$2:'Master'!$H$4384,MATCH($A37&amp;CA$2,Master!$A$2:'Master'!$A$4384&amp;Master!$C$2:'Master'!$C$4384,0))</f>
        <v>-2</v>
      </c>
      <c r="CB37" s="21" cm="1">
        <f t="array" aca="1" ref="CB37" ca="1">INDEX(Master!$H$2:'Master'!$H$4384,MATCH($A37&amp;CB$2,Master!$A$2:'Master'!$A$4384&amp;Master!$C$2:'Master'!$C$4384,0))</f>
        <v>-2</v>
      </c>
      <c r="CC37" s="21" cm="1">
        <f t="array" aca="1" ref="CC37" ca="1">INDEX(Master!$H$2:'Master'!$H$4384,MATCH($A37&amp;CC$2,Master!$A$2:'Master'!$A$4384&amp;Master!$C$2:'Master'!$C$4384,0))</f>
        <v>-2</v>
      </c>
      <c r="CD37" s="21" cm="1">
        <f t="array" aca="1" ref="CD37" ca="1">INDEX(Master!$H$2:'Master'!$H$4384,MATCH($A37&amp;CD$2,Master!$A$2:'Master'!$A$4384&amp;Master!$C$2:'Master'!$C$4384,0))</f>
        <v>0</v>
      </c>
      <c r="CE37" s="21" cm="1">
        <f t="array" aca="1" ref="CE37" ca="1">INDEX(Master!$H$2:'Master'!$H$4384,MATCH($A37&amp;CE$2,Master!$A$2:'Master'!$A$4384&amp;Master!$C$2:'Master'!$C$4384,0))</f>
        <v>-2</v>
      </c>
      <c r="CF37" s="21" cm="1">
        <f t="array" aca="1" ref="CF37" ca="1">INDEX(Master!$H$2:'Master'!$H$4384,MATCH($A37&amp;CF$2,Master!$A$2:'Master'!$A$4384&amp;Master!$C$2:'Master'!$C$4384,0))</f>
        <v>-2</v>
      </c>
      <c r="CG37" s="21" cm="1">
        <f t="array" aca="1" ref="CG37" ca="1">INDEX(Master!$H$2:'Master'!$H$4384,MATCH($A37&amp;CG$2,Master!$A$2:'Master'!$A$4384&amp;Master!$C$2:'Master'!$C$4384,0))</f>
        <v>-3</v>
      </c>
      <c r="CH37" s="21" cm="1">
        <f t="array" aca="1" ref="CH37" ca="1">INDEX(Master!$H$2:'Master'!$H$4384,MATCH($A37&amp;CH$2,Master!$A$2:'Master'!$A$4384&amp;Master!$C$2:'Master'!$C$4384,0))</f>
        <v>-3</v>
      </c>
      <c r="CI37" s="21" cm="1">
        <f t="array" aca="1" ref="CI37" ca="1">INDEX(Master!$H$2:'Master'!$H$4384,MATCH($A37&amp;CI$2,Master!$A$2:'Master'!$A$4384&amp;Master!$C$2:'Master'!$C$4384,0))</f>
        <v>-2</v>
      </c>
      <c r="CJ37" s="21" cm="1">
        <f t="array" aca="1" ref="CJ37" ca="1">INDEX(Master!$H$2:'Master'!$H$4384,MATCH($A37&amp;CJ$2,Master!$A$2:'Master'!$A$4384&amp;Master!$C$2:'Master'!$C$4384,0))</f>
        <v>1</v>
      </c>
      <c r="CK37" s="21" cm="1">
        <f t="array" aca="1" ref="CK37" ca="1">INDEX(Master!$H$2:'Master'!$H$4384,MATCH($A37&amp;CK$2,Master!$A$2:'Master'!$A$4384&amp;Master!$C$2:'Master'!$C$4384,0))</f>
        <v>-2</v>
      </c>
      <c r="CL37" s="21" cm="1">
        <f t="array" aca="1" ref="CL37" ca="1">INDEX(Master!$H$2:'Master'!$H$4384,MATCH($A37&amp;CL$2,Master!$A$2:'Master'!$A$4384&amp;Master!$C$2:'Master'!$C$4384,0))</f>
        <v>-2</v>
      </c>
      <c r="CM37" s="21" cm="1">
        <f t="array" aca="1" ref="CM37" ca="1">INDEX(Master!$H$2:'Master'!$H$4384,MATCH($A37&amp;CM$2,Master!$A$2:'Master'!$A$4384&amp;Master!$C$2:'Master'!$C$4384,0))</f>
        <v>-2</v>
      </c>
      <c r="CN37" s="21" cm="1">
        <f t="array" aca="1" ref="CN37" ca="1">INDEX(Master!$H$2:'Master'!$H$4384,MATCH($A37&amp;CN$2,Master!$A$2:'Master'!$A$4384&amp;Master!$C$2:'Master'!$C$4384,0))</f>
        <v>0</v>
      </c>
      <c r="CO37" s="21" cm="1">
        <f t="array" aca="1" ref="CO37" ca="1">INDEX(Master!$H$2:'Master'!$H$4384,MATCH($A37&amp;CO$2,Master!$A$2:'Master'!$A$4384&amp;Master!$C$2:'Master'!$C$4384,0))</f>
        <v>-2</v>
      </c>
      <c r="CP37" s="21" cm="1">
        <f t="array" aca="1" ref="CP37" ca="1">INDEX(Master!$H$2:'Master'!$H$4384,MATCH($A37&amp;CP$2,Master!$A$2:'Master'!$A$4384&amp;Master!$C$2:'Master'!$C$4384,0))</f>
        <v>-2</v>
      </c>
      <c r="CQ37" s="21" cm="1">
        <f t="array" aca="1" ref="CQ37" ca="1">INDEX(Master!$H$2:'Master'!$H$4384,MATCH($A37&amp;CQ$2,Master!$A$2:'Master'!$A$4384&amp;Master!$C$2:'Master'!$C$4384,0))</f>
        <v>-2</v>
      </c>
      <c r="CR37" s="21" cm="1">
        <f t="array" aca="1" ref="CR37" ca="1">INDEX(Master!$H$2:'Master'!$H$4384,MATCH($A37&amp;CR$2,Master!$A$2:'Master'!$A$4384&amp;Master!$C$2:'Master'!$C$4384,0))</f>
        <v>-1</v>
      </c>
      <c r="CS37" s="21" cm="1">
        <f t="array" aca="1" ref="CS37" ca="1">INDEX(Master!$H$2:'Master'!$H$4384,MATCH($A37&amp;CS$2,Master!$A$2:'Master'!$A$4384&amp;Master!$C$2:'Master'!$C$4384,0))</f>
        <v>-3</v>
      </c>
    </row>
  </sheetData>
  <mergeCells count="7">
    <mergeCell ref="CE1:CJ1"/>
    <mergeCell ref="CK1:CS1"/>
    <mergeCell ref="K1:O1"/>
    <mergeCell ref="B1:J1"/>
    <mergeCell ref="P1:BE1"/>
    <mergeCell ref="BF1:BM1"/>
    <mergeCell ref="BN1:CD1"/>
  </mergeCells>
  <conditionalFormatting sqref="B4:CS37">
    <cfRule type="cellIs" dxfId="6" priority="1" operator="greaterThan">
      <formula>0</formula>
    </cfRule>
    <cfRule type="cellIs" dxfId="5" priority="2" operator="equal">
      <formula>0</formula>
    </cfRule>
    <cfRule type="cellIs" dxfId="4" priority="3" operator="equal">
      <formula>-1</formula>
    </cfRule>
    <cfRule type="cellIs" dxfId="3" priority="4" operator="equal">
      <formula>-2</formula>
    </cfRule>
    <cfRule type="cellIs" dxfId="2" priority="5" operator="lessThanOrEqual">
      <formula>-3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8E78-8803-4DF9-B097-CA0760CC46E2}">
  <dimension ref="A1:CS40"/>
  <sheetViews>
    <sheetView topLeftCell="AK9" zoomScale="87" zoomScaleNormal="87" workbookViewId="0">
      <selection activeCell="AZ48" sqref="AZ48"/>
    </sheetView>
  </sheetViews>
  <sheetFormatPr defaultRowHeight="15"/>
  <cols>
    <col min="1" max="1" width="21.85546875" customWidth="1"/>
    <col min="2" max="2" width="18.85546875" style="2" customWidth="1"/>
    <col min="3" max="3" width="9.140625" style="2" customWidth="1"/>
    <col min="4" max="4" width="8" style="2" customWidth="1"/>
    <col min="5" max="5" width="9.85546875" style="2" customWidth="1"/>
    <col min="6" max="11" width="9.140625" style="2" customWidth="1"/>
    <col min="12" max="95" width="9.140625" customWidth="1"/>
    <col min="96" max="96" width="5.5703125" customWidth="1"/>
    <col min="97" max="97" width="8.140625" customWidth="1"/>
  </cols>
  <sheetData>
    <row r="1" spans="1:97">
      <c r="A1" s="17" t="s">
        <v>393</v>
      </c>
      <c r="B1" s="212" t="s">
        <v>376</v>
      </c>
      <c r="C1" s="212"/>
      <c r="D1" s="212"/>
      <c r="E1" s="212"/>
      <c r="F1" s="212"/>
      <c r="G1" s="212"/>
      <c r="H1" s="212"/>
      <c r="I1" s="212"/>
      <c r="J1" s="212"/>
      <c r="K1" s="209" t="s">
        <v>374</v>
      </c>
      <c r="L1" s="210"/>
      <c r="M1" s="210"/>
      <c r="N1" s="210"/>
      <c r="O1" s="211"/>
      <c r="P1" s="213" t="s">
        <v>384</v>
      </c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4" t="s">
        <v>385</v>
      </c>
      <c r="BG1" s="214"/>
      <c r="BH1" s="214"/>
      <c r="BI1" s="214"/>
      <c r="BJ1" s="214"/>
      <c r="BK1" s="214"/>
      <c r="BL1" s="214"/>
      <c r="BM1" s="214"/>
      <c r="BN1" s="215" t="s">
        <v>404</v>
      </c>
      <c r="BO1" s="215"/>
      <c r="BP1" s="215"/>
      <c r="BQ1" s="215"/>
      <c r="BR1" s="215"/>
      <c r="BS1" s="215"/>
      <c r="BT1" s="215"/>
      <c r="BU1" s="215"/>
      <c r="BV1" s="215"/>
      <c r="BW1" s="215"/>
      <c r="BX1" s="215"/>
      <c r="BY1" s="215"/>
      <c r="BZ1" s="215"/>
      <c r="CA1" s="215"/>
      <c r="CB1" s="215"/>
      <c r="CC1" s="215"/>
      <c r="CD1" s="215"/>
      <c r="CE1" s="207" t="s">
        <v>377</v>
      </c>
      <c r="CF1" s="207"/>
      <c r="CG1" s="207"/>
      <c r="CH1" s="207"/>
      <c r="CI1" s="207"/>
      <c r="CJ1" s="207"/>
      <c r="CK1" s="208" t="s">
        <v>373</v>
      </c>
      <c r="CL1" s="208"/>
      <c r="CM1" s="208"/>
      <c r="CN1" s="208"/>
      <c r="CO1" s="208"/>
      <c r="CP1" s="208"/>
      <c r="CQ1" s="208"/>
      <c r="CR1" s="208"/>
      <c r="CS1" s="208"/>
    </row>
    <row r="2" spans="1:97" s="10" customFormat="1" ht="146.1" customHeight="1">
      <c r="A2" s="23" t="s">
        <v>386</v>
      </c>
      <c r="B2" s="33" t="s">
        <v>106</v>
      </c>
      <c r="C2" s="33" t="s">
        <v>115</v>
      </c>
      <c r="D2" s="33" t="s">
        <v>112</v>
      </c>
      <c r="E2" s="33" t="s">
        <v>124</v>
      </c>
      <c r="F2" s="33" t="s">
        <v>121</v>
      </c>
      <c r="G2" s="33" t="s">
        <v>127</v>
      </c>
      <c r="H2" s="33" t="s">
        <v>109</v>
      </c>
      <c r="I2" s="33" t="s">
        <v>118</v>
      </c>
      <c r="J2" s="33" t="s">
        <v>130</v>
      </c>
      <c r="K2" s="31" t="s">
        <v>133</v>
      </c>
      <c r="L2" s="31" t="s">
        <v>136</v>
      </c>
      <c r="M2" s="32" t="s">
        <v>139</v>
      </c>
      <c r="N2" s="31" t="s">
        <v>142</v>
      </c>
      <c r="O2" s="31" t="s">
        <v>145</v>
      </c>
      <c r="P2" s="30" t="s">
        <v>148</v>
      </c>
      <c r="Q2" s="30" t="s">
        <v>151</v>
      </c>
      <c r="R2" s="30" t="s">
        <v>154</v>
      </c>
      <c r="S2" s="30" t="s">
        <v>158</v>
      </c>
      <c r="T2" s="30" t="s">
        <v>161</v>
      </c>
      <c r="U2" s="30" t="s">
        <v>164</v>
      </c>
      <c r="V2" s="30" t="s">
        <v>234</v>
      </c>
      <c r="W2" s="30" t="s">
        <v>237</v>
      </c>
      <c r="X2" s="30" t="s">
        <v>240</v>
      </c>
      <c r="Y2" s="30" t="s">
        <v>243</v>
      </c>
      <c r="Z2" s="30" t="s">
        <v>246</v>
      </c>
      <c r="AA2" s="30" t="s">
        <v>249</v>
      </c>
      <c r="AB2" s="30" t="s">
        <v>252</v>
      </c>
      <c r="AC2" s="30" t="s">
        <v>255</v>
      </c>
      <c r="AD2" s="30" t="s">
        <v>258</v>
      </c>
      <c r="AE2" s="30" t="s">
        <v>261</v>
      </c>
      <c r="AF2" s="30" t="s">
        <v>264</v>
      </c>
      <c r="AG2" s="30" t="s">
        <v>51</v>
      </c>
      <c r="AH2" s="30" t="s">
        <v>267</v>
      </c>
      <c r="AI2" s="30" t="s">
        <v>270</v>
      </c>
      <c r="AJ2" s="30" t="s">
        <v>50</v>
      </c>
      <c r="AK2" s="30" t="s">
        <v>275</v>
      </c>
      <c r="AL2" s="30" t="s">
        <v>278</v>
      </c>
      <c r="AM2" s="30" t="s">
        <v>281</v>
      </c>
      <c r="AN2" s="30" t="s">
        <v>284</v>
      </c>
      <c r="AO2" s="30" t="s">
        <v>287</v>
      </c>
      <c r="AP2" s="30" t="s">
        <v>290</v>
      </c>
      <c r="AQ2" s="30" t="s">
        <v>293</v>
      </c>
      <c r="AR2" s="30" t="s">
        <v>296</v>
      </c>
      <c r="AS2" s="30" t="s">
        <v>299</v>
      </c>
      <c r="AT2" s="30" t="s">
        <v>302</v>
      </c>
      <c r="AU2" s="30" t="s">
        <v>305</v>
      </c>
      <c r="AV2" s="30" t="s">
        <v>308</v>
      </c>
      <c r="AW2" s="30" t="s">
        <v>311</v>
      </c>
      <c r="AX2" s="30" t="s">
        <v>314</v>
      </c>
      <c r="AY2" s="30" t="s">
        <v>317</v>
      </c>
      <c r="AZ2" s="30" t="s">
        <v>320</v>
      </c>
      <c r="BA2" s="30" t="s">
        <v>323</v>
      </c>
      <c r="BB2" s="30" t="s">
        <v>326</v>
      </c>
      <c r="BC2" s="30" t="s">
        <v>328</v>
      </c>
      <c r="BD2" s="30" t="s">
        <v>330</v>
      </c>
      <c r="BE2" s="30" t="s">
        <v>332</v>
      </c>
      <c r="BF2" s="29" t="s">
        <v>211</v>
      </c>
      <c r="BG2" s="29" t="s">
        <v>214</v>
      </c>
      <c r="BH2" s="29" t="s">
        <v>217</v>
      </c>
      <c r="BI2" s="29" t="s">
        <v>49</v>
      </c>
      <c r="BJ2" s="29" t="s">
        <v>222</v>
      </c>
      <c r="BK2" s="29" t="s">
        <v>225</v>
      </c>
      <c r="BL2" s="29" t="s">
        <v>228</v>
      </c>
      <c r="BM2" s="29" t="s">
        <v>231</v>
      </c>
      <c r="BN2" s="28" t="s">
        <v>185</v>
      </c>
      <c r="BO2" s="28" t="s">
        <v>188</v>
      </c>
      <c r="BP2" s="28" t="s">
        <v>191</v>
      </c>
      <c r="BQ2" s="28" t="s">
        <v>194</v>
      </c>
      <c r="BR2" s="28" t="s">
        <v>197</v>
      </c>
      <c r="BS2" s="28" t="s">
        <v>200</v>
      </c>
      <c r="BT2" s="28" t="s">
        <v>203</v>
      </c>
      <c r="BU2" s="28" t="s">
        <v>206</v>
      </c>
      <c r="BV2" s="28" t="s">
        <v>208</v>
      </c>
      <c r="BW2" s="28" t="s">
        <v>211</v>
      </c>
      <c r="BX2" s="28" t="s">
        <v>214</v>
      </c>
      <c r="BY2" s="28" t="s">
        <v>217</v>
      </c>
      <c r="BZ2" s="28" t="s">
        <v>49</v>
      </c>
      <c r="CA2" s="28" t="s">
        <v>222</v>
      </c>
      <c r="CB2" s="28" t="s">
        <v>225</v>
      </c>
      <c r="CC2" s="28" t="s">
        <v>228</v>
      </c>
      <c r="CD2" s="28" t="s">
        <v>231</v>
      </c>
      <c r="CE2" s="26" t="s">
        <v>167</v>
      </c>
      <c r="CF2" s="27" t="s">
        <v>170</v>
      </c>
      <c r="CG2" s="26" t="s">
        <v>173</v>
      </c>
      <c r="CH2" s="26" t="s">
        <v>176</v>
      </c>
      <c r="CI2" s="27" t="s">
        <v>179</v>
      </c>
      <c r="CJ2" s="26" t="s">
        <v>182</v>
      </c>
      <c r="CK2" s="25" t="s">
        <v>334</v>
      </c>
      <c r="CL2" s="25" t="s">
        <v>337</v>
      </c>
      <c r="CM2" s="25" t="s">
        <v>340</v>
      </c>
      <c r="CN2" s="25" t="s">
        <v>343</v>
      </c>
      <c r="CO2" s="25" t="s">
        <v>346</v>
      </c>
      <c r="CP2" s="25" t="s">
        <v>349</v>
      </c>
      <c r="CQ2" s="25" t="s">
        <v>352</v>
      </c>
      <c r="CR2" s="25" t="s">
        <v>355</v>
      </c>
      <c r="CS2" s="25" t="s">
        <v>358</v>
      </c>
    </row>
    <row r="3" spans="1:97" ht="206.1" hidden="1" customHeight="1">
      <c r="A3" s="23" t="s">
        <v>405</v>
      </c>
      <c r="B3" s="20" t="s">
        <v>406</v>
      </c>
      <c r="C3" s="21"/>
      <c r="D3" s="21"/>
      <c r="E3" s="35" t="s">
        <v>407</v>
      </c>
      <c r="F3" s="21"/>
      <c r="G3" s="21"/>
      <c r="H3" s="21"/>
      <c r="I3" s="21"/>
      <c r="J3" s="21"/>
      <c r="K3" s="21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</row>
    <row r="4" spans="1:97">
      <c r="A4" s="22"/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</row>
    <row r="5" spans="1:97">
      <c r="A5" s="22" t="str">
        <f>VLOOKUP(Staff!$A1,Staff!$A$1:A$73,1,FALSE)</f>
        <v>Steve Arnott</v>
      </c>
      <c r="B5" s="21" cm="1">
        <f t="array" aca="1" ref="B5" ca="1">INDEX(Master!$H$2:'Master'!$H$4384,MATCH($A5&amp;B$2,Master!$A$2:'Master'!$A$4384&amp;Master!$C$2:'Master'!$C$4384,0))</f>
        <v>1</v>
      </c>
      <c r="C5" s="21" cm="1">
        <f t="array" aca="1" ref="C5" ca="1">INDEX(Master!$H$2:'Master'!$H$4384,MATCH($A5&amp;C$2,Master!$A$2:'Master'!$A$4384&amp;Master!$C$2:'Master'!$C$4384,0))</f>
        <v>1</v>
      </c>
      <c r="D5" s="21" cm="1">
        <f t="array" aca="1" ref="D5" ca="1">INDEX(Master!$H$2:'Master'!$H$4384,MATCH($A5&amp;D$2,Master!$A$2:'Master'!$A$4384&amp;Master!$C$2:'Master'!$C$4384,0))</f>
        <v>0</v>
      </c>
      <c r="E5" s="21" cm="1">
        <f t="array" aca="1" ref="E5" ca="1">INDEX(Master!$H$2:'Master'!$H$4384,MATCH($A5&amp;E$2,Master!$A$2:'Master'!$A$4384&amp;Master!$C$2:'Master'!$C$4384,0))</f>
        <v>0</v>
      </c>
      <c r="F5" s="21" cm="1">
        <f t="array" aca="1" ref="F5" ca="1">INDEX(Master!$H$2:'Master'!$H$4384,MATCH($A5&amp;F$2,Master!$A$2:'Master'!$A$4384&amp;Master!$C$2:'Master'!$C$4384,0))</f>
        <v>0</v>
      </c>
      <c r="G5" s="21" cm="1">
        <f t="array" aca="1" ref="G5" ca="1">INDEX(Master!$H$2:'Master'!$H$4384,MATCH($A5&amp;G$2,Master!$A$2:'Master'!$A$4384&amp;Master!$C$2:'Master'!$C$4384,0))</f>
        <v>0</v>
      </c>
      <c r="H5" s="21" cm="1">
        <f t="array" aca="1" ref="H5" ca="1">INDEX(Master!$H$2:'Master'!$H$4384,MATCH($A5&amp;H$2,Master!$A$2:'Master'!$A$4384&amp;Master!$C$2:'Master'!$C$4384,0))</f>
        <v>0</v>
      </c>
      <c r="I5" s="21" cm="1">
        <f t="array" aca="1" ref="I5" ca="1">INDEX(Master!$H$2:'Master'!$H$4384,MATCH($A5&amp;I$2,Master!$A$2:'Master'!$A$4384&amp;Master!$C$2:'Master'!$C$4384,0))</f>
        <v>0</v>
      </c>
      <c r="J5" s="21" cm="1">
        <f t="array" aca="1" ref="J5" ca="1">INDEX(Master!$H$2:'Master'!$H$4384,MATCH($A5&amp;J$2,Master!$A$2:'Master'!$A$4384&amp;Master!$C$2:'Master'!$C$4384,0))</f>
        <v>-1</v>
      </c>
      <c r="K5" s="21" cm="1">
        <f t="array" aca="1" ref="K5" ca="1">INDEX(Master!$H$2:'Master'!$H$4384,MATCH($A5&amp;K$2,Master!$A$2:'Master'!$A$4384&amp;Master!$C$2:'Master'!$C$4384,0))</f>
        <v>0</v>
      </c>
      <c r="L5" s="21" cm="1">
        <f t="array" aca="1" ref="L5" ca="1">INDEX(Master!$H$2:'Master'!$H$4384,MATCH($A5&amp;L$2,Master!$A$2:'Master'!$A$4384&amp;Master!$C$2:'Master'!$C$4384,0))</f>
        <v>2</v>
      </c>
      <c r="M5" s="21" cm="1">
        <f t="array" aca="1" ref="M5" ca="1">INDEX(Master!$H$2:'Master'!$H$4384,MATCH($A5&amp;M$2,Master!$A$2:'Master'!$A$4384&amp;Master!$C$2:'Master'!$C$4384,0))</f>
        <v>1</v>
      </c>
      <c r="N5" s="21" cm="1">
        <f t="array" aca="1" ref="N5" ca="1">INDEX(Master!$H$2:'Master'!$H$4384,MATCH($A5&amp;N$2,Master!$A$2:'Master'!$A$4384&amp;Master!$C$2:'Master'!$C$4384,0))</f>
        <v>0</v>
      </c>
      <c r="O5" s="21" cm="1">
        <f t="array" aca="1" ref="O5" ca="1">INDEX(Master!$H$2:'Master'!$H$4384,MATCH($A5&amp;O$2,Master!$A$2:'Master'!$A$4384&amp;Master!$C$2:'Master'!$C$4384,0))</f>
        <v>0</v>
      </c>
      <c r="P5" s="21" cm="1">
        <f t="array" aca="1" ref="P5" ca="1">INDEX(Master!$H$2:'Master'!$H$4384,MATCH($A5&amp;P$2,Master!$A$2:'Master'!$A$4384&amp;Master!$C$2:'Master'!$C$4384,0))</f>
        <v>0</v>
      </c>
      <c r="Q5" s="21" cm="1">
        <f t="array" aca="1" ref="Q5" ca="1">INDEX(Master!$H$2:'Master'!$H$4384,MATCH($A5&amp;Q$2,Master!$A$2:'Master'!$A$4384&amp;Master!$C$2:'Master'!$C$4384,0))</f>
        <v>-1</v>
      </c>
      <c r="R5" s="21" cm="1">
        <f t="array" aca="1" ref="R5" ca="1">INDEX(Master!$H$2:'Master'!$H$4384,MATCH($A5&amp;R$2,Master!$A$2:'Master'!$A$4384&amp;Master!$C$2:'Master'!$C$4384,0))</f>
        <v>0</v>
      </c>
      <c r="S5" s="21" cm="1">
        <f t="array" aca="1" ref="S5" ca="1">INDEX(Master!$H$2:'Master'!$H$4384,MATCH($A5&amp;S$2,Master!$A$2:'Master'!$A$4384&amp;Master!$C$2:'Master'!$C$4384,0))</f>
        <v>-1</v>
      </c>
      <c r="T5" s="21" cm="1">
        <f t="array" aca="1" ref="T5" ca="1">INDEX(Master!$H$2:'Master'!$H$4384,MATCH($A5&amp;T$2,Master!$A$2:'Master'!$A$4384&amp;Master!$C$2:'Master'!$C$4384,0))</f>
        <v>0</v>
      </c>
      <c r="U5" s="21" cm="1">
        <f t="array" aca="1" ref="U5" ca="1">INDEX(Master!$H$2:'Master'!$H$4384,MATCH($A5&amp;U$2,Master!$A$2:'Master'!$A$4384&amp;Master!$C$2:'Master'!$C$4384,0))</f>
        <v>1</v>
      </c>
      <c r="V5" s="21" cm="1">
        <f t="array" aca="1" ref="V5" ca="1">INDEX(Master!$H$2:'Master'!$H$4384,MATCH($A5&amp;V$2,Master!$A$2:'Master'!$A$4384&amp;Master!$C$2:'Master'!$C$4384,0))</f>
        <v>0</v>
      </c>
      <c r="W5" s="21" cm="1">
        <f t="array" aca="1" ref="W5" ca="1">INDEX(Master!$H$2:'Master'!$H$4384,MATCH($A5&amp;W$2,Master!$A$2:'Master'!$A$4384&amp;Master!$C$2:'Master'!$C$4384,0))</f>
        <v>2</v>
      </c>
      <c r="X5" s="21" cm="1">
        <f t="array" aca="1" ref="X5" ca="1">INDEX(Master!$H$2:'Master'!$H$4384,MATCH($A5&amp;X$2,Master!$A$2:'Master'!$A$4384&amp;Master!$C$2:'Master'!$C$4384,0))</f>
        <v>1</v>
      </c>
      <c r="Y5" s="21" cm="1">
        <f t="array" aca="1" ref="Y5" ca="1">INDEX(Master!$H$2:'Master'!$H$4384,MATCH($A5&amp;Y$2,Master!$A$2:'Master'!$A$4384&amp;Master!$C$2:'Master'!$C$4384,0))</f>
        <v>3</v>
      </c>
      <c r="Z5" s="21" cm="1">
        <f t="array" aca="1" ref="Z5" ca="1">INDEX(Master!$H$2:'Master'!$H$4384,MATCH($A5&amp;Z$2,Master!$A$2:'Master'!$A$4384&amp;Master!$C$2:'Master'!$C$4384,0))</f>
        <v>3</v>
      </c>
      <c r="AA5" s="21" cm="1">
        <f t="array" aca="1" ref="AA5" ca="1">INDEX(Master!$H$2:'Master'!$H$4384,MATCH($A5&amp;AA$2,Master!$A$2:'Master'!$A$4384&amp;Master!$C$2:'Master'!$C$4384,0))</f>
        <v>2</v>
      </c>
      <c r="AB5" s="21" cm="1">
        <f t="array" aca="1" ref="AB5" ca="1">INDEX(Master!$H$2:'Master'!$H$4384,MATCH($A5&amp;AB$2,Master!$A$2:'Master'!$A$4384&amp;Master!$C$2:'Master'!$C$4384,0))</f>
        <v>3</v>
      </c>
      <c r="AC5" s="21" cm="1">
        <f t="array" aca="1" ref="AC5" ca="1">INDEX(Master!$H$2:'Master'!$H$4384,MATCH($A5&amp;AC$2,Master!$A$2:'Master'!$A$4384&amp;Master!$C$2:'Master'!$C$4384,0))</f>
        <v>3</v>
      </c>
      <c r="AD5" s="21" cm="1">
        <f t="array" aca="1" ref="AD5" ca="1">INDEX(Master!$H$2:'Master'!$H$4384,MATCH($A5&amp;AD$2,Master!$A$2:'Master'!$A$4384&amp;Master!$C$2:'Master'!$C$4384,0))</f>
        <v>3</v>
      </c>
      <c r="AE5" s="21" cm="1">
        <f t="array" aca="1" ref="AE5" ca="1">INDEX(Master!$H$2:'Master'!$H$4384,MATCH($A5&amp;AE$2,Master!$A$2:'Master'!$A$4384&amp;Master!$C$2:'Master'!$C$4384,0))</f>
        <v>3</v>
      </c>
      <c r="AF5" s="21" cm="1">
        <f t="array" aca="1" ref="AF5" ca="1">INDEX(Master!$H$2:'Master'!$H$4384,MATCH($A5&amp;AF$2,Master!$A$2:'Master'!$A$4384&amp;Master!$C$2:'Master'!$C$4384,0))</f>
        <v>2</v>
      </c>
      <c r="AG5" s="21" cm="1">
        <f t="array" aca="1" ref="AG5" ca="1">INDEX(Master!$H$2:'Master'!$H$4384,MATCH($A5&amp;AG$2,Master!$A$2:'Master'!$A$4384&amp;Master!$C$2:'Master'!$C$4384,0))</f>
        <v>3</v>
      </c>
      <c r="AH5" s="21" cm="1">
        <f t="array" aca="1" ref="AH5" ca="1">INDEX(Master!$H$2:'Master'!$H$4384,MATCH($A5&amp;AH$2,Master!$A$2:'Master'!$A$4384&amp;Master!$C$2:'Master'!$C$4384,0))</f>
        <v>1</v>
      </c>
      <c r="AI5" s="21" cm="1">
        <f t="array" aca="1" ref="AI5" ca="1">INDEX(Master!$H$2:'Master'!$H$4384,MATCH($A5&amp;AI$2,Master!$A$2:'Master'!$A$4384&amp;Master!$C$2:'Master'!$C$4384,0))</f>
        <v>3</v>
      </c>
      <c r="AJ5" s="21" cm="1">
        <f t="array" aca="1" ref="AJ5" ca="1">INDEX(Master!$H$2:'Master'!$H$4384,MATCH($A5&amp;AJ$2,Master!$A$2:'Master'!$A$4384&amp;Master!$C$2:'Master'!$C$4384,0))</f>
        <v>2</v>
      </c>
      <c r="AK5" s="21" cm="1">
        <f t="array" aca="1" ref="AK5" ca="1">INDEX(Master!$H$2:'Master'!$H$4384,MATCH($A5&amp;AK$2,Master!$A$2:'Master'!$A$4384&amp;Master!$C$2:'Master'!$C$4384,0))</f>
        <v>3</v>
      </c>
      <c r="AL5" s="21" cm="1">
        <f t="array" aca="1" ref="AL5" ca="1">INDEX(Master!$H$2:'Master'!$H$4384,MATCH($A5&amp;AL$2,Master!$A$2:'Master'!$A$4384&amp;Master!$C$2:'Master'!$C$4384,0))</f>
        <v>2</v>
      </c>
      <c r="AM5" s="21" cm="1">
        <f t="array" aca="1" ref="AM5" ca="1">INDEX(Master!$H$2:'Master'!$H$4384,MATCH($A5&amp;AM$2,Master!$A$2:'Master'!$A$4384&amp;Master!$C$2:'Master'!$C$4384,0))</f>
        <v>0</v>
      </c>
      <c r="AN5" s="21" cm="1">
        <f t="array" aca="1" ref="AN5" ca="1">INDEX(Master!$H$2:'Master'!$H$4384,MATCH($A5&amp;AN$2,Master!$A$2:'Master'!$A$4384&amp;Master!$C$2:'Master'!$C$4384,0))</f>
        <v>2</v>
      </c>
      <c r="AO5" s="21" cm="1">
        <f t="array" aca="1" ref="AO5" ca="1">INDEX(Master!$H$2:'Master'!$H$4384,MATCH($A5&amp;AO$2,Master!$A$2:'Master'!$A$4384&amp;Master!$C$2:'Master'!$C$4384,0))</f>
        <v>2</v>
      </c>
      <c r="AP5" s="21" cm="1">
        <f t="array" aca="1" ref="AP5" ca="1">INDEX(Master!$H$2:'Master'!$H$4384,MATCH($A5&amp;AP$2,Master!$A$2:'Master'!$A$4384&amp;Master!$C$2:'Master'!$C$4384,0))</f>
        <v>3</v>
      </c>
      <c r="AQ5" s="21" cm="1">
        <f t="array" aca="1" ref="AQ5" ca="1">INDEX(Master!$H$2:'Master'!$H$4384,MATCH($A5&amp;AQ$2,Master!$A$2:'Master'!$A$4384&amp;Master!$C$2:'Master'!$C$4384,0))</f>
        <v>3</v>
      </c>
      <c r="AR5" s="21" cm="1">
        <f t="array" aca="1" ref="AR5" ca="1">INDEX(Master!$H$2:'Master'!$H$4384,MATCH($A5&amp;AR$2,Master!$A$2:'Master'!$A$4384&amp;Master!$C$2:'Master'!$C$4384,0))</f>
        <v>4</v>
      </c>
      <c r="AS5" s="21" cm="1">
        <f t="array" aca="1" ref="AS5" ca="1">INDEX(Master!$H$2:'Master'!$H$4384,MATCH($A5&amp;AS$2,Master!$A$2:'Master'!$A$4384&amp;Master!$C$2:'Master'!$C$4384,0))</f>
        <v>4</v>
      </c>
      <c r="AT5" s="21" cm="1">
        <f t="array" aca="1" ref="AT5" ca="1">INDEX(Master!$H$2:'Master'!$H$4384,MATCH($A5&amp;AT$2,Master!$A$2:'Master'!$A$4384&amp;Master!$C$2:'Master'!$C$4384,0))</f>
        <v>4</v>
      </c>
      <c r="AU5" s="21" cm="1">
        <f t="array" aca="1" ref="AU5" ca="1">INDEX(Master!$H$2:'Master'!$H$4384,MATCH($A5&amp;AU$2,Master!$A$2:'Master'!$A$4384&amp;Master!$C$2:'Master'!$C$4384,0))</f>
        <v>2</v>
      </c>
      <c r="AV5" s="21" cm="1">
        <f t="array" aca="1" ref="AV5" ca="1">INDEX(Master!$H$2:'Master'!$H$4384,MATCH($A5&amp;AV$2,Master!$A$2:'Master'!$A$4384&amp;Master!$C$2:'Master'!$C$4384,0))</f>
        <v>3</v>
      </c>
      <c r="AW5" s="21" cm="1">
        <f t="array" aca="1" ref="AW5" ca="1">INDEX(Master!$H$2:'Master'!$H$4384,MATCH($A5&amp;AW$2,Master!$A$2:'Master'!$A$4384&amp;Master!$C$2:'Master'!$C$4384,0))</f>
        <v>2</v>
      </c>
      <c r="AX5" s="21" cm="1">
        <f t="array" aca="1" ref="AX5" ca="1">INDEX(Master!$H$2:'Master'!$H$4384,MATCH($A5&amp;AX$2,Master!$A$2:'Master'!$A$4384&amp;Master!$C$2:'Master'!$C$4384,0))</f>
        <v>1</v>
      </c>
      <c r="AY5" s="21" cm="1">
        <f t="array" aca="1" ref="AY5" ca="1">INDEX(Master!$H$2:'Master'!$H$4384,MATCH($A5&amp;AY$2,Master!$A$2:'Master'!$A$4384&amp;Master!$C$2:'Master'!$C$4384,0))</f>
        <v>1</v>
      </c>
      <c r="AZ5" s="21" cm="1">
        <f t="array" aca="1" ref="AZ5" ca="1">INDEX(Master!$H$2:'Master'!$H$4384,MATCH($A5&amp;AZ$2,Master!$A$2:'Master'!$A$4384&amp;Master!$C$2:'Master'!$C$4384,0))</f>
        <v>3</v>
      </c>
      <c r="BA5" s="21" cm="1">
        <f t="array" aca="1" ref="BA5" ca="1">INDEX(Master!$H$2:'Master'!$H$4384,MATCH($A5&amp;BA$2,Master!$A$2:'Master'!$A$4384&amp;Master!$C$2:'Master'!$C$4384,0))</f>
        <v>3</v>
      </c>
      <c r="BB5" s="21" cm="1">
        <f t="array" aca="1" ref="BB5" ca="1">INDEX(Master!$H$2:'Master'!$H$4384,MATCH($A5&amp;BB$2,Master!$A$2:'Master'!$A$4384&amp;Master!$C$2:'Master'!$C$4384,0))</f>
        <v>0</v>
      </c>
      <c r="BC5" s="21" cm="1">
        <f t="array" aca="1" ref="BC5" ca="1">INDEX(Master!$H$2:'Master'!$H$4384,MATCH($A5&amp;BC$2,Master!$A$2:'Master'!$A$4384&amp;Master!$C$2:'Master'!$C$4384,0))</f>
        <v>0</v>
      </c>
      <c r="BD5" s="21" cm="1">
        <f t="array" aca="1" ref="BD5" ca="1">INDEX(Master!$H$2:'Master'!$H$4384,MATCH($A5&amp;BD$2,Master!$A$2:'Master'!$A$4384&amp;Master!$C$2:'Master'!$C$4384,0))</f>
        <v>0</v>
      </c>
      <c r="BE5" s="21" cm="1">
        <f t="array" aca="1" ref="BE5" ca="1">INDEX(Master!$H$2:'Master'!$H$4384,MATCH($A5&amp;BE$2,Master!$A$2:'Master'!$A$4384&amp;Master!$C$2:'Master'!$C$4384,0))</f>
        <v>0</v>
      </c>
      <c r="BF5" s="21" cm="1">
        <f t="array" aca="1" ref="BF5" ca="1">INDEX(Master!$H$2:'Master'!$H$4384,MATCH($A5&amp;BF$2,Master!$A$2:'Master'!$A$4384&amp;Master!$C$2:'Master'!$C$4384,0))</f>
        <v>0</v>
      </c>
      <c r="BG5" s="21" cm="1">
        <f t="array" aca="1" ref="BG5" ca="1">INDEX(Master!$H$2:'Master'!$H$4384,MATCH($A5&amp;BG$2,Master!$A$2:'Master'!$A$4384&amp;Master!$C$2:'Master'!$C$4384,0))</f>
        <v>1</v>
      </c>
      <c r="BH5" s="21" cm="1">
        <f t="array" aca="1" ref="BH5" ca="1">INDEX(Master!$H$2:'Master'!$H$4384,MATCH($A5&amp;BH$2,Master!$A$2:'Master'!$A$4384&amp;Master!$C$2:'Master'!$C$4384,0))</f>
        <v>1</v>
      </c>
      <c r="BI5" s="21" cm="1">
        <f t="array" aca="1" ref="BI5" ca="1">INDEX(Master!$H$2:'Master'!$H$4384,MATCH($A5&amp;BI$2,Master!$A$2:'Master'!$A$4384&amp;Master!$C$2:'Master'!$C$4384,0))</f>
        <v>1</v>
      </c>
      <c r="BJ5" s="21" cm="1">
        <f t="array" aca="1" ref="BJ5" ca="1">INDEX(Master!$H$2:'Master'!$H$4384,MATCH($A5&amp;BJ$2,Master!$A$2:'Master'!$A$4384&amp;Master!$C$2:'Master'!$C$4384,0))</f>
        <v>0</v>
      </c>
      <c r="BK5" s="21" cm="1">
        <f t="array" aca="1" ref="BK5" ca="1">INDEX(Master!$H$2:'Master'!$H$4384,MATCH($A5&amp;BK$2,Master!$A$2:'Master'!$A$4384&amp;Master!$C$2:'Master'!$C$4384,0))</f>
        <v>0</v>
      </c>
      <c r="BL5" s="21" cm="1">
        <f t="array" aca="1" ref="BL5" ca="1">INDEX(Master!$H$2:'Master'!$H$4384,MATCH($A5&amp;BL$2,Master!$A$2:'Master'!$A$4384&amp;Master!$C$2:'Master'!$C$4384,0))</f>
        <v>0</v>
      </c>
      <c r="BM5" s="21" cm="1">
        <f t="array" aca="1" ref="BM5" ca="1">INDEX(Master!$H$2:'Master'!$H$4384,MATCH($A5&amp;BM$2,Master!$A$2:'Master'!$A$4384&amp;Master!$C$2:'Master'!$C$4384,0))</f>
        <v>2</v>
      </c>
      <c r="BN5" s="21" cm="1">
        <f t="array" aca="1" ref="BN5" ca="1">INDEX(Master!$H$2:'Master'!$H$4384,MATCH($A5&amp;BN$2,Master!$A$2:'Master'!$A$4384&amp;Master!$C$2:'Master'!$C$4384,0))</f>
        <v>1</v>
      </c>
      <c r="BO5" s="21" cm="1">
        <f t="array" aca="1" ref="BO5" ca="1">INDEX(Master!$H$2:'Master'!$H$4384,MATCH($A5&amp;BO$2,Master!$A$2:'Master'!$A$4384&amp;Master!$C$2:'Master'!$C$4384,0))</f>
        <v>3</v>
      </c>
      <c r="BP5" s="21" cm="1">
        <f t="array" aca="1" ref="BP5" ca="1">INDEX(Master!$H$2:'Master'!$H$4384,MATCH($A5&amp;BP$2,Master!$A$2:'Master'!$A$4384&amp;Master!$C$2:'Master'!$C$4384,0))</f>
        <v>2</v>
      </c>
      <c r="BQ5" s="21" cm="1">
        <f t="array" aca="1" ref="BQ5" ca="1">INDEX(Master!$H$2:'Master'!$H$4384,MATCH($A5&amp;BQ$2,Master!$A$2:'Master'!$A$4384&amp;Master!$C$2:'Master'!$C$4384,0))</f>
        <v>3</v>
      </c>
      <c r="BR5" s="21" cm="1">
        <f t="array" aca="1" ref="BR5" ca="1">INDEX(Master!$H$2:'Master'!$H$4384,MATCH($A5&amp;BR$2,Master!$A$2:'Master'!$A$4384&amp;Master!$C$2:'Master'!$C$4384,0))</f>
        <v>1</v>
      </c>
      <c r="BS5" s="21" cm="1">
        <f t="array" aca="1" ref="BS5" ca="1">INDEX(Master!$H$2:'Master'!$H$4384,MATCH($A5&amp;BS$2,Master!$A$2:'Master'!$A$4384&amp;Master!$C$2:'Master'!$C$4384,0))</f>
        <v>2</v>
      </c>
      <c r="BT5" s="21" cm="1">
        <f t="array" aca="1" ref="BT5" ca="1">INDEX(Master!$H$2:'Master'!$H$4384,MATCH($A5&amp;BT$2,Master!$A$2:'Master'!$A$4384&amp;Master!$C$2:'Master'!$C$4384,0))</f>
        <v>0</v>
      </c>
      <c r="BU5" s="21" cm="1">
        <f t="array" aca="1" ref="BU5" ca="1">INDEX(Master!$H$2:'Master'!$H$4384,MATCH($A5&amp;BU$2,Master!$A$2:'Master'!$A$4384&amp;Master!$C$2:'Master'!$C$4384,0))</f>
        <v>1</v>
      </c>
      <c r="BV5" s="21" cm="1">
        <f t="array" aca="1" ref="BV5" ca="1">INDEX(Master!$H$2:'Master'!$H$4384,MATCH($A5&amp;BV$2,Master!$A$2:'Master'!$A$4384&amp;Master!$C$2:'Master'!$C$4384,0))</f>
        <v>0</v>
      </c>
      <c r="BW5" s="21" cm="1">
        <f t="array" aca="1" ref="BW5" ca="1">INDEX(Master!$H$2:'Master'!$H$4384,MATCH($A5&amp;BW$2,Master!$A$2:'Master'!$A$4384&amp;Master!$C$2:'Master'!$C$4384,0))</f>
        <v>0</v>
      </c>
      <c r="BX5" s="21" cm="1">
        <f t="array" aca="1" ref="BX5" ca="1">INDEX(Master!$H$2:'Master'!$H$4384,MATCH($A5&amp;BX$2,Master!$A$2:'Master'!$A$4384&amp;Master!$C$2:'Master'!$C$4384,0))</f>
        <v>1</v>
      </c>
      <c r="BY5" s="21" cm="1">
        <f t="array" aca="1" ref="BY5" ca="1">INDEX(Master!$H$2:'Master'!$H$4384,MATCH($A5&amp;BY$2,Master!$A$2:'Master'!$A$4384&amp;Master!$C$2:'Master'!$C$4384,0))</f>
        <v>1</v>
      </c>
      <c r="BZ5" s="21" cm="1">
        <f t="array" aca="1" ref="BZ5" ca="1">INDEX(Master!$H$2:'Master'!$H$4384,MATCH($A5&amp;BZ$2,Master!$A$2:'Master'!$A$4384&amp;Master!$C$2:'Master'!$C$4384,0))</f>
        <v>1</v>
      </c>
      <c r="CA5" s="21" cm="1">
        <f t="array" aca="1" ref="CA5" ca="1">INDEX(Master!$H$2:'Master'!$H$4384,MATCH($A5&amp;CA$2,Master!$A$2:'Master'!$A$4384&amp;Master!$C$2:'Master'!$C$4384,0))</f>
        <v>0</v>
      </c>
      <c r="CB5" s="21" cm="1">
        <f t="array" aca="1" ref="CB5" ca="1">INDEX(Master!$H$2:'Master'!$H$4384,MATCH($A5&amp;CB$2,Master!$A$2:'Master'!$A$4384&amp;Master!$C$2:'Master'!$C$4384,0))</f>
        <v>0</v>
      </c>
      <c r="CC5" s="21" cm="1">
        <f t="array" aca="1" ref="CC5" ca="1">INDEX(Master!$H$2:'Master'!$H$4384,MATCH($A5&amp;CC$2,Master!$A$2:'Master'!$A$4384&amp;Master!$C$2:'Master'!$C$4384,0))</f>
        <v>0</v>
      </c>
      <c r="CD5" s="21" cm="1">
        <f t="array" aca="1" ref="CD5" ca="1">INDEX(Master!$H$2:'Master'!$H$4384,MATCH($A5&amp;CD$2,Master!$A$2:'Master'!$A$4384&amp;Master!$C$2:'Master'!$C$4384,0))</f>
        <v>2</v>
      </c>
      <c r="CE5" s="21" cm="1">
        <f t="array" aca="1" ref="CE5" ca="1">INDEX(Master!$H$2:'Master'!$H$4384,MATCH($A5&amp;CE$2,Master!$A$2:'Master'!$A$4384&amp;Master!$C$2:'Master'!$C$4384,0))</f>
        <v>1</v>
      </c>
      <c r="CF5" s="21" cm="1">
        <f t="array" aca="1" ref="CF5" ca="1">INDEX(Master!$H$2:'Master'!$H$4384,MATCH($A5&amp;CF$2,Master!$A$2:'Master'!$A$4384&amp;Master!$C$2:'Master'!$C$4384,0))</f>
        <v>1</v>
      </c>
      <c r="CG5" s="21" cm="1">
        <f t="array" aca="1" ref="CG5" ca="1">INDEX(Master!$H$2:'Master'!$H$4384,MATCH($A5&amp;CG$2,Master!$A$2:'Master'!$A$4384&amp;Master!$C$2:'Master'!$C$4384,0))</f>
        <v>0</v>
      </c>
      <c r="CH5" s="21" cm="1">
        <f t="array" aca="1" ref="CH5" ca="1">INDEX(Master!$H$2:'Master'!$H$4384,MATCH($A5&amp;CH$2,Master!$A$2:'Master'!$A$4384&amp;Master!$C$2:'Master'!$C$4384,0))</f>
        <v>4</v>
      </c>
      <c r="CI5" s="21" cm="1">
        <f t="array" aca="1" ref="CI5" ca="1">INDEX(Master!$H$2:'Master'!$H$4384,MATCH($A5&amp;CI$2,Master!$A$2:'Master'!$A$4384&amp;Master!$C$2:'Master'!$C$4384,0))</f>
        <v>2</v>
      </c>
      <c r="CJ5" s="21" cm="1">
        <f t="array" aca="1" ref="CJ5" ca="1">INDEX(Master!$H$2:'Master'!$H$4384,MATCH($A5&amp;CJ$2,Master!$A$2:'Master'!$A$4384&amp;Master!$C$2:'Master'!$C$4384,0))</f>
        <v>2</v>
      </c>
      <c r="CK5" s="21" cm="1">
        <f t="array" aca="1" ref="CK5" ca="1">INDEX(Master!$H$2:'Master'!$H$4384,MATCH($A5&amp;CK$2,Master!$A$2:'Master'!$A$4384&amp;Master!$C$2:'Master'!$C$4384,0))</f>
        <v>2</v>
      </c>
      <c r="CL5" s="21" cm="1">
        <f t="array" aca="1" ref="CL5" ca="1">INDEX(Master!$H$2:'Master'!$H$4384,MATCH($A5&amp;CL$2,Master!$A$2:'Master'!$A$4384&amp;Master!$C$2:'Master'!$C$4384,0))</f>
        <v>3</v>
      </c>
      <c r="CM5" s="21" cm="1">
        <f t="array" aca="1" ref="CM5" ca="1">INDEX(Master!$H$2:'Master'!$H$4384,MATCH($A5&amp;CM$2,Master!$A$2:'Master'!$A$4384&amp;Master!$C$2:'Master'!$C$4384,0))</f>
        <v>4</v>
      </c>
      <c r="CN5" s="21" cm="1">
        <f t="array" aca="1" ref="CN5" ca="1">INDEX(Master!$H$2:'Master'!$H$4384,MATCH($A5&amp;CN$2,Master!$A$2:'Master'!$A$4384&amp;Master!$C$2:'Master'!$C$4384,0))</f>
        <v>1</v>
      </c>
      <c r="CO5" s="21" cm="1">
        <f t="array" aca="1" ref="CO5" ca="1">INDEX(Master!$H$2:'Master'!$H$4384,MATCH($A5&amp;CO$2,Master!$A$2:'Master'!$A$4384&amp;Master!$C$2:'Master'!$C$4384,0))</f>
        <v>3</v>
      </c>
      <c r="CP5" s="21" cm="1">
        <f t="array" aca="1" ref="CP5" ca="1">INDEX(Master!$H$2:'Master'!$H$4384,MATCH($A5&amp;CP$2,Master!$A$2:'Master'!$A$4384&amp;Master!$C$2:'Master'!$C$4384,0))</f>
        <v>2</v>
      </c>
      <c r="CQ5" s="21" cm="1">
        <f t="array" aca="1" ref="CQ5" ca="1">INDEX(Master!$H$2:'Master'!$H$4384,MATCH($A5&amp;CQ$2,Master!$A$2:'Master'!$A$4384&amp;Master!$C$2:'Master'!$C$4384,0))</f>
        <v>2</v>
      </c>
      <c r="CR5" s="21" cm="1">
        <f t="array" aca="1" ref="CR5" ca="1">INDEX(Master!$H$2:'Master'!$H$4384,MATCH($A5&amp;CR$2,Master!$A$2:'Master'!$A$4384&amp;Master!$C$2:'Master'!$C$4384,0))</f>
        <v>3</v>
      </c>
      <c r="CS5" s="21" cm="1">
        <f t="array" aca="1" ref="CS5" ca="1">INDEX(Master!$H$2:'Master'!$H$4384,MATCH($A5&amp;CS$2,Master!$A$2:'Master'!$A$4384&amp;Master!$C$2:'Master'!$C$4384,0))</f>
        <v>1</v>
      </c>
    </row>
    <row r="6" spans="1:97">
      <c r="A6" s="22" t="str">
        <f>VLOOKUP(Staff!$A2,Staff!$A$1:A$73,1,FALSE)</f>
        <v>Humphrey Goodman</v>
      </c>
      <c r="B6" s="21" cm="1">
        <f t="array" aca="1" ref="B6" ca="1">INDEX(Master!$H$2:'Master'!$H$4384,MATCH($A6&amp;B$2,Master!$A$2:'Master'!$A$4384&amp;Master!$C$2:'Master'!$C$4384,0))</f>
        <v>0</v>
      </c>
      <c r="C6" s="21" cm="1">
        <f t="array" aca="1" ref="C6" ca="1">INDEX(Master!$H$2:'Master'!$H$4384,MATCH($A6&amp;C$2,Master!$A$2:'Master'!$A$4384&amp;Master!$C$2:'Master'!$C$4384,0))</f>
        <v>1</v>
      </c>
      <c r="D6" s="21" cm="1">
        <f t="array" aca="1" ref="D6" ca="1">INDEX(Master!$H$2:'Master'!$H$4384,MATCH($A6&amp;D$2,Master!$A$2:'Master'!$A$4384&amp;Master!$C$2:'Master'!$C$4384,0))</f>
        <v>3</v>
      </c>
      <c r="E6" s="21" cm="1">
        <f t="array" aca="1" ref="E6" ca="1">INDEX(Master!$H$2:'Master'!$H$4384,MATCH($A6&amp;E$2,Master!$A$2:'Master'!$A$4384&amp;Master!$C$2:'Master'!$C$4384,0))</f>
        <v>0</v>
      </c>
      <c r="F6" s="21" cm="1">
        <f t="array" aca="1" ref="F6" ca="1">INDEX(Master!$H$2:'Master'!$H$4384,MATCH($A6&amp;F$2,Master!$A$2:'Master'!$A$4384&amp;Master!$C$2:'Master'!$C$4384,0))</f>
        <v>0</v>
      </c>
      <c r="G6" s="21" cm="1">
        <f t="array" aca="1" ref="G6" ca="1">INDEX(Master!$H$2:'Master'!$H$4384,MATCH($A6&amp;G$2,Master!$A$2:'Master'!$A$4384&amp;Master!$C$2:'Master'!$C$4384,0))</f>
        <v>1</v>
      </c>
      <c r="H6" s="21" cm="1">
        <f t="array" aca="1" ref="H6" ca="1">INDEX(Master!$H$2:'Master'!$H$4384,MATCH($A6&amp;H$2,Master!$A$2:'Master'!$A$4384&amp;Master!$C$2:'Master'!$C$4384,0))</f>
        <v>-1</v>
      </c>
      <c r="I6" s="21" cm="1">
        <f t="array" aca="1" ref="I6" ca="1">INDEX(Master!$H$2:'Master'!$H$4384,MATCH($A6&amp;I$2,Master!$A$2:'Master'!$A$4384&amp;Master!$C$2:'Master'!$C$4384,0))</f>
        <v>0</v>
      </c>
      <c r="J6" s="21" cm="1">
        <f t="array" aca="1" ref="J6" ca="1">INDEX(Master!$H$2:'Master'!$H$4384,MATCH($A6&amp;J$2,Master!$A$2:'Master'!$A$4384&amp;Master!$C$2:'Master'!$C$4384,0))</f>
        <v>0</v>
      </c>
      <c r="K6" s="21" cm="1">
        <f t="array" aca="1" ref="K6" ca="1">INDEX(Master!$H$2:'Master'!$H$4384,MATCH($A6&amp;K$2,Master!$A$2:'Master'!$A$4384&amp;Master!$C$2:'Master'!$C$4384,0))</f>
        <v>0</v>
      </c>
      <c r="L6" s="21" cm="1">
        <f t="array" aca="1" ref="L6" ca="1">INDEX(Master!$H$2:'Master'!$H$4384,MATCH($A6&amp;L$2,Master!$A$2:'Master'!$A$4384&amp;Master!$C$2:'Master'!$C$4384,0))</f>
        <v>0</v>
      </c>
      <c r="M6" s="21" cm="1">
        <f t="array" aca="1" ref="M6" ca="1">INDEX(Master!$H$2:'Master'!$H$4384,MATCH($A6&amp;M$2,Master!$A$2:'Master'!$A$4384&amp;Master!$C$2:'Master'!$C$4384,0))</f>
        <v>1</v>
      </c>
      <c r="N6" s="21" cm="1">
        <f t="array" aca="1" ref="N6" ca="1">INDEX(Master!$H$2:'Master'!$H$4384,MATCH($A6&amp;N$2,Master!$A$2:'Master'!$A$4384&amp;Master!$C$2:'Master'!$C$4384,0))</f>
        <v>2</v>
      </c>
      <c r="O6" s="21" cm="1">
        <f t="array" aca="1" ref="O6" ca="1">INDEX(Master!$H$2:'Master'!$H$4384,MATCH($A6&amp;O$2,Master!$A$2:'Master'!$A$4384&amp;Master!$C$2:'Master'!$C$4384,0))</f>
        <v>2</v>
      </c>
      <c r="P6" s="21" cm="1">
        <f t="array" aca="1" ref="P6" ca="1">INDEX(Master!$H$2:'Master'!$H$4384,MATCH($A6&amp;P$2,Master!$A$2:'Master'!$A$4384&amp;Master!$C$2:'Master'!$C$4384,0))</f>
        <v>3</v>
      </c>
      <c r="Q6" s="21" cm="1">
        <f t="array" aca="1" ref="Q6" ca="1">INDEX(Master!$H$2:'Master'!$H$4384,MATCH($A6&amp;Q$2,Master!$A$2:'Master'!$A$4384&amp;Master!$C$2:'Master'!$C$4384,0))</f>
        <v>4</v>
      </c>
      <c r="R6" s="21" cm="1">
        <f t="array" aca="1" ref="R6" ca="1">INDEX(Master!$H$2:'Master'!$H$4384,MATCH($A6&amp;R$2,Master!$A$2:'Master'!$A$4384&amp;Master!$C$2:'Master'!$C$4384,0))</f>
        <v>4</v>
      </c>
      <c r="S6" s="21" cm="1">
        <f t="array" aca="1" ref="S6" ca="1">INDEX(Master!$H$2:'Master'!$H$4384,MATCH($A6&amp;S$2,Master!$A$2:'Master'!$A$4384&amp;Master!$C$2:'Master'!$C$4384,0))</f>
        <v>4</v>
      </c>
      <c r="T6" s="21" cm="1">
        <f t="array" aca="1" ref="T6" ca="1">INDEX(Master!$H$2:'Master'!$H$4384,MATCH($A6&amp;T$2,Master!$A$2:'Master'!$A$4384&amp;Master!$C$2:'Master'!$C$4384,0))</f>
        <v>4</v>
      </c>
      <c r="U6" s="21" cm="1">
        <f t="array" aca="1" ref="U6" ca="1">INDEX(Master!$H$2:'Master'!$H$4384,MATCH($A6&amp;U$2,Master!$A$2:'Master'!$A$4384&amp;Master!$C$2:'Master'!$C$4384,0))</f>
        <v>3</v>
      </c>
      <c r="V6" s="21" cm="1">
        <f t="array" aca="1" ref="V6" ca="1">INDEX(Master!$H$2:'Master'!$H$4384,MATCH($A6&amp;V$2,Master!$A$2:'Master'!$A$4384&amp;Master!$C$2:'Master'!$C$4384,0))</f>
        <v>1</v>
      </c>
      <c r="W6" s="21" cm="1">
        <f t="array" aca="1" ref="W6" ca="1">INDEX(Master!$H$2:'Master'!$H$4384,MATCH($A6&amp;W$2,Master!$A$2:'Master'!$A$4384&amp;Master!$C$2:'Master'!$C$4384,0))</f>
        <v>4</v>
      </c>
      <c r="X6" s="21" cm="1">
        <f t="array" aca="1" ref="X6" ca="1">INDEX(Master!$H$2:'Master'!$H$4384,MATCH($A6&amp;X$2,Master!$A$2:'Master'!$A$4384&amp;Master!$C$2:'Master'!$C$4384,0))</f>
        <v>3</v>
      </c>
      <c r="Y6" s="21" cm="1">
        <f t="array" aca="1" ref="Y6" ca="1">INDEX(Master!$H$2:'Master'!$H$4384,MATCH($A6&amp;Y$2,Master!$A$2:'Master'!$A$4384&amp;Master!$C$2:'Master'!$C$4384,0))</f>
        <v>3</v>
      </c>
      <c r="Z6" s="21" cm="1">
        <f t="array" aca="1" ref="Z6" ca="1">INDEX(Master!$H$2:'Master'!$H$4384,MATCH($A6&amp;Z$2,Master!$A$2:'Master'!$A$4384&amp;Master!$C$2:'Master'!$C$4384,0))</f>
        <v>0</v>
      </c>
      <c r="AA6" s="21" cm="1">
        <f t="array" aca="1" ref="AA6" ca="1">INDEX(Master!$H$2:'Master'!$H$4384,MATCH($A6&amp;AA$2,Master!$A$2:'Master'!$A$4384&amp;Master!$C$2:'Master'!$C$4384,0))</f>
        <v>-1</v>
      </c>
      <c r="AB6" s="21" cm="1">
        <f t="array" aca="1" ref="AB6" ca="1">INDEX(Master!$H$2:'Master'!$H$4384,MATCH($A6&amp;AB$2,Master!$A$2:'Master'!$A$4384&amp;Master!$C$2:'Master'!$C$4384,0))</f>
        <v>0</v>
      </c>
      <c r="AC6" s="21" cm="1">
        <f t="array" aca="1" ref="AC6" ca="1">INDEX(Master!$H$2:'Master'!$H$4384,MATCH($A6&amp;AC$2,Master!$A$2:'Master'!$A$4384&amp;Master!$C$2:'Master'!$C$4384,0))</f>
        <v>0</v>
      </c>
      <c r="AD6" s="21" cm="1">
        <f t="array" aca="1" ref="AD6" ca="1">INDEX(Master!$H$2:'Master'!$H$4384,MATCH($A6&amp;AD$2,Master!$A$2:'Master'!$A$4384&amp;Master!$C$2:'Master'!$C$4384,0))</f>
        <v>-1</v>
      </c>
      <c r="AE6" s="21" cm="1">
        <f t="array" aca="1" ref="AE6" ca="1">INDEX(Master!$H$2:'Master'!$H$4384,MATCH($A6&amp;AE$2,Master!$A$2:'Master'!$A$4384&amp;Master!$C$2:'Master'!$C$4384,0))</f>
        <v>1</v>
      </c>
      <c r="AF6" s="21" cm="1">
        <f t="array" aca="1" ref="AF6" ca="1">INDEX(Master!$H$2:'Master'!$H$4384,MATCH($A6&amp;AF$2,Master!$A$2:'Master'!$A$4384&amp;Master!$C$2:'Master'!$C$4384,0))</f>
        <v>0</v>
      </c>
      <c r="AG6" s="21" cm="1">
        <f t="array" aca="1" ref="AG6" ca="1">INDEX(Master!$H$2:'Master'!$H$4384,MATCH($A6&amp;AG$2,Master!$A$2:'Master'!$A$4384&amp;Master!$C$2:'Master'!$C$4384,0))</f>
        <v>-2</v>
      </c>
      <c r="AH6" s="21" cm="1">
        <f t="array" aca="1" ref="AH6" ca="1">INDEX(Master!$H$2:'Master'!$H$4384,MATCH($A6&amp;AH$2,Master!$A$2:'Master'!$A$4384&amp;Master!$C$2:'Master'!$C$4384,0))</f>
        <v>1</v>
      </c>
      <c r="AI6" s="21" cm="1">
        <f t="array" aca="1" ref="AI6" ca="1">INDEX(Master!$H$2:'Master'!$H$4384,MATCH($A6&amp;AI$2,Master!$A$2:'Master'!$A$4384&amp;Master!$C$2:'Master'!$C$4384,0))</f>
        <v>2</v>
      </c>
      <c r="AJ6" s="21" cm="1">
        <f t="array" aca="1" ref="AJ6" ca="1">INDEX(Master!$H$2:'Master'!$H$4384,MATCH($A6&amp;AJ$2,Master!$A$2:'Master'!$A$4384&amp;Master!$C$2:'Master'!$C$4384,0))</f>
        <v>4</v>
      </c>
      <c r="AK6" s="21" cm="1">
        <f t="array" aca="1" ref="AK6" ca="1">INDEX(Master!$H$2:'Master'!$H$4384,MATCH($A6&amp;AK$2,Master!$A$2:'Master'!$A$4384&amp;Master!$C$2:'Master'!$C$4384,0))</f>
        <v>0</v>
      </c>
      <c r="AL6" s="21" cm="1">
        <f t="array" aca="1" ref="AL6" ca="1">INDEX(Master!$H$2:'Master'!$H$4384,MATCH($A6&amp;AL$2,Master!$A$2:'Master'!$A$4384&amp;Master!$C$2:'Master'!$C$4384,0))</f>
        <v>3</v>
      </c>
      <c r="AM6" s="21" cm="1">
        <f t="array" aca="1" ref="AM6" ca="1">INDEX(Master!$H$2:'Master'!$H$4384,MATCH($A6&amp;AM$2,Master!$A$2:'Master'!$A$4384&amp;Master!$C$2:'Master'!$C$4384,0))</f>
        <v>3</v>
      </c>
      <c r="AN6" s="21" cm="1">
        <f t="array" aca="1" ref="AN6" ca="1">INDEX(Master!$H$2:'Master'!$H$4384,MATCH($A6&amp;AN$2,Master!$A$2:'Master'!$A$4384&amp;Master!$C$2:'Master'!$C$4384,0))</f>
        <v>0</v>
      </c>
      <c r="AO6" s="21" cm="1">
        <f t="array" aca="1" ref="AO6" ca="1">INDEX(Master!$H$2:'Master'!$H$4384,MATCH($A6&amp;AO$2,Master!$A$2:'Master'!$A$4384&amp;Master!$C$2:'Master'!$C$4384,0))</f>
        <v>0</v>
      </c>
      <c r="AP6" s="21" cm="1">
        <f t="array" aca="1" ref="AP6" ca="1">INDEX(Master!$H$2:'Master'!$H$4384,MATCH($A6&amp;AP$2,Master!$A$2:'Master'!$A$4384&amp;Master!$C$2:'Master'!$C$4384,0))</f>
        <v>0</v>
      </c>
      <c r="AQ6" s="21" cm="1">
        <f t="array" aca="1" ref="AQ6" ca="1">INDEX(Master!$H$2:'Master'!$H$4384,MATCH($A6&amp;AQ$2,Master!$A$2:'Master'!$A$4384&amp;Master!$C$2:'Master'!$C$4384,0))</f>
        <v>0</v>
      </c>
      <c r="AR6" s="21" cm="1">
        <f t="array" aca="1" ref="AR6" ca="1">INDEX(Master!$H$2:'Master'!$H$4384,MATCH($A6&amp;AR$2,Master!$A$2:'Master'!$A$4384&amp;Master!$C$2:'Master'!$C$4384,0))</f>
        <v>0</v>
      </c>
      <c r="AS6" s="21" cm="1">
        <f t="array" aca="1" ref="AS6" ca="1">INDEX(Master!$H$2:'Master'!$H$4384,MATCH($A6&amp;AS$2,Master!$A$2:'Master'!$A$4384&amp;Master!$C$2:'Master'!$C$4384,0))</f>
        <v>0</v>
      </c>
      <c r="AT6" s="21" cm="1">
        <f t="array" aca="1" ref="AT6" ca="1">INDEX(Master!$H$2:'Master'!$H$4384,MATCH($A6&amp;AT$2,Master!$A$2:'Master'!$A$4384&amp;Master!$C$2:'Master'!$C$4384,0))</f>
        <v>1</v>
      </c>
      <c r="AU6" s="21" cm="1">
        <f t="array" aca="1" ref="AU6" ca="1">INDEX(Master!$H$2:'Master'!$H$4384,MATCH($A6&amp;AU$2,Master!$A$2:'Master'!$A$4384&amp;Master!$C$2:'Master'!$C$4384,0))</f>
        <v>0</v>
      </c>
      <c r="AV6" s="21" cm="1">
        <f t="array" aca="1" ref="AV6" ca="1">INDEX(Master!$H$2:'Master'!$H$4384,MATCH($A6&amp;AV$2,Master!$A$2:'Master'!$A$4384&amp;Master!$C$2:'Master'!$C$4384,0))</f>
        <v>1</v>
      </c>
      <c r="AW6" s="21" cm="1">
        <f t="array" aca="1" ref="AW6" ca="1">INDEX(Master!$H$2:'Master'!$H$4384,MATCH($A6&amp;AW$2,Master!$A$2:'Master'!$A$4384&amp;Master!$C$2:'Master'!$C$4384,0))</f>
        <v>0</v>
      </c>
      <c r="AX6" s="21" cm="1">
        <f t="array" aca="1" ref="AX6" ca="1">INDEX(Master!$H$2:'Master'!$H$4384,MATCH($A6&amp;AX$2,Master!$A$2:'Master'!$A$4384&amp;Master!$C$2:'Master'!$C$4384,0))</f>
        <v>3</v>
      </c>
      <c r="AY6" s="21" cm="1">
        <f t="array" aca="1" ref="AY6" ca="1">INDEX(Master!$H$2:'Master'!$H$4384,MATCH($A6&amp;AY$2,Master!$A$2:'Master'!$A$4384&amp;Master!$C$2:'Master'!$C$4384,0))</f>
        <v>2</v>
      </c>
      <c r="AZ6" s="21" cm="1">
        <f t="array" aca="1" ref="AZ6" ca="1">INDEX(Master!$H$2:'Master'!$H$4384,MATCH($A6&amp;AZ$2,Master!$A$2:'Master'!$A$4384&amp;Master!$C$2:'Master'!$C$4384,0))</f>
        <v>2</v>
      </c>
      <c r="BA6" s="21" cm="1">
        <f t="array" aca="1" ref="BA6" ca="1">INDEX(Master!$H$2:'Master'!$H$4384,MATCH($A6&amp;BA$2,Master!$A$2:'Master'!$A$4384&amp;Master!$C$2:'Master'!$C$4384,0))</f>
        <v>2</v>
      </c>
      <c r="BB6" s="21" cm="1">
        <f t="array" aca="1" ref="BB6" ca="1">INDEX(Master!$H$2:'Master'!$H$4384,MATCH($A6&amp;BB$2,Master!$A$2:'Master'!$A$4384&amp;Master!$C$2:'Master'!$C$4384,0))</f>
        <v>3</v>
      </c>
      <c r="BC6" s="21" cm="1">
        <f t="array" aca="1" ref="BC6" ca="1">INDEX(Master!$H$2:'Master'!$H$4384,MATCH($A6&amp;BC$2,Master!$A$2:'Master'!$A$4384&amp;Master!$C$2:'Master'!$C$4384,0))</f>
        <v>1</v>
      </c>
      <c r="BD6" s="21" cm="1">
        <f t="array" aca="1" ref="BD6" ca="1">INDEX(Master!$H$2:'Master'!$H$4384,MATCH($A6&amp;BD$2,Master!$A$2:'Master'!$A$4384&amp;Master!$C$2:'Master'!$C$4384,0))</f>
        <v>4</v>
      </c>
      <c r="BE6" s="21" cm="1">
        <f t="array" aca="1" ref="BE6" ca="1">INDEX(Master!$H$2:'Master'!$H$4384,MATCH($A6&amp;BE$2,Master!$A$2:'Master'!$A$4384&amp;Master!$C$2:'Master'!$C$4384,0))</f>
        <v>2</v>
      </c>
      <c r="BF6" s="21" cm="1">
        <f t="array" aca="1" ref="BF6" ca="1">INDEX(Master!$H$2:'Master'!$H$4384,MATCH($A6&amp;BF$2,Master!$A$2:'Master'!$A$4384&amp;Master!$C$2:'Master'!$C$4384,0))</f>
        <v>1</v>
      </c>
      <c r="BG6" s="21" cm="1">
        <f t="array" aca="1" ref="BG6" ca="1">INDEX(Master!$H$2:'Master'!$H$4384,MATCH($A6&amp;BG$2,Master!$A$2:'Master'!$A$4384&amp;Master!$C$2:'Master'!$C$4384,0))</f>
        <v>1</v>
      </c>
      <c r="BH6" s="21" cm="1">
        <f t="array" aca="1" ref="BH6" ca="1">INDEX(Master!$H$2:'Master'!$H$4384,MATCH($A6&amp;BH$2,Master!$A$2:'Master'!$A$4384&amp;Master!$C$2:'Master'!$C$4384,0))</f>
        <v>2</v>
      </c>
      <c r="BI6" s="21" cm="1">
        <f t="array" aca="1" ref="BI6" ca="1">INDEX(Master!$H$2:'Master'!$H$4384,MATCH($A6&amp;BI$2,Master!$A$2:'Master'!$A$4384&amp;Master!$C$2:'Master'!$C$4384,0))</f>
        <v>0</v>
      </c>
      <c r="BJ6" s="21" cm="1">
        <f t="array" aca="1" ref="BJ6" ca="1">INDEX(Master!$H$2:'Master'!$H$4384,MATCH($A6&amp;BJ$2,Master!$A$2:'Master'!$A$4384&amp;Master!$C$2:'Master'!$C$4384,0))</f>
        <v>2</v>
      </c>
      <c r="BK6" s="21" cm="1">
        <f t="array" aca="1" ref="BK6" ca="1">INDEX(Master!$H$2:'Master'!$H$4384,MATCH($A6&amp;BK$2,Master!$A$2:'Master'!$A$4384&amp;Master!$C$2:'Master'!$C$4384,0))</f>
        <v>2</v>
      </c>
      <c r="BL6" s="21" cm="1">
        <f t="array" aca="1" ref="BL6" ca="1">INDEX(Master!$H$2:'Master'!$H$4384,MATCH($A6&amp;BL$2,Master!$A$2:'Master'!$A$4384&amp;Master!$C$2:'Master'!$C$4384,0))</f>
        <v>2</v>
      </c>
      <c r="BM6" s="21" cm="1">
        <f t="array" aca="1" ref="BM6" ca="1">INDEX(Master!$H$2:'Master'!$H$4384,MATCH($A6&amp;BM$2,Master!$A$2:'Master'!$A$4384&amp;Master!$C$2:'Master'!$C$4384,0))</f>
        <v>2</v>
      </c>
      <c r="BN6" s="21" cm="1">
        <f t="array" aca="1" ref="BN6" ca="1">INDEX(Master!$H$2:'Master'!$H$4384,MATCH($A6&amp;BN$2,Master!$A$2:'Master'!$A$4384&amp;Master!$C$2:'Master'!$C$4384,0))</f>
        <v>4</v>
      </c>
      <c r="BO6" s="21" cm="1">
        <f t="array" aca="1" ref="BO6" ca="1">INDEX(Master!$H$2:'Master'!$H$4384,MATCH($A6&amp;BO$2,Master!$A$2:'Master'!$A$4384&amp;Master!$C$2:'Master'!$C$4384,0))</f>
        <v>2</v>
      </c>
      <c r="BP6" s="21" cm="1">
        <f t="array" aca="1" ref="BP6" ca="1">INDEX(Master!$H$2:'Master'!$H$4384,MATCH($A6&amp;BP$2,Master!$A$2:'Master'!$A$4384&amp;Master!$C$2:'Master'!$C$4384,0))</f>
        <v>3</v>
      </c>
      <c r="BQ6" s="21" cm="1">
        <f t="array" aca="1" ref="BQ6" ca="1">INDEX(Master!$H$2:'Master'!$H$4384,MATCH($A6&amp;BQ$2,Master!$A$2:'Master'!$A$4384&amp;Master!$C$2:'Master'!$C$4384,0))</f>
        <v>4</v>
      </c>
      <c r="BR6" s="21" cm="1">
        <f t="array" aca="1" ref="BR6" ca="1">INDEX(Master!$H$2:'Master'!$H$4384,MATCH($A6&amp;BR$2,Master!$A$2:'Master'!$A$4384&amp;Master!$C$2:'Master'!$C$4384,0))</f>
        <v>4</v>
      </c>
      <c r="BS6" s="21" cm="1">
        <f t="array" aca="1" ref="BS6" ca="1">INDEX(Master!$H$2:'Master'!$H$4384,MATCH($A6&amp;BS$2,Master!$A$2:'Master'!$A$4384&amp;Master!$C$2:'Master'!$C$4384,0))</f>
        <v>3</v>
      </c>
      <c r="BT6" s="21" cm="1">
        <f t="array" aca="1" ref="BT6" ca="1">INDEX(Master!$H$2:'Master'!$H$4384,MATCH($A6&amp;BT$2,Master!$A$2:'Master'!$A$4384&amp;Master!$C$2:'Master'!$C$4384,0))</f>
        <v>2</v>
      </c>
      <c r="BU6" s="21" cm="1">
        <f t="array" aca="1" ref="BU6" ca="1">INDEX(Master!$H$2:'Master'!$H$4384,MATCH($A6&amp;BU$2,Master!$A$2:'Master'!$A$4384&amp;Master!$C$2:'Master'!$C$4384,0))</f>
        <v>4</v>
      </c>
      <c r="BV6" s="21" cm="1">
        <f t="array" aca="1" ref="BV6" ca="1">INDEX(Master!$H$2:'Master'!$H$4384,MATCH($A6&amp;BV$2,Master!$A$2:'Master'!$A$4384&amp;Master!$C$2:'Master'!$C$4384,0))</f>
        <v>4</v>
      </c>
      <c r="BW6" s="21" cm="1">
        <f t="array" aca="1" ref="BW6" ca="1">INDEX(Master!$H$2:'Master'!$H$4384,MATCH($A6&amp;BW$2,Master!$A$2:'Master'!$A$4384&amp;Master!$C$2:'Master'!$C$4384,0))</f>
        <v>1</v>
      </c>
      <c r="BX6" s="21" cm="1">
        <f t="array" aca="1" ref="BX6" ca="1">INDEX(Master!$H$2:'Master'!$H$4384,MATCH($A6&amp;BX$2,Master!$A$2:'Master'!$A$4384&amp;Master!$C$2:'Master'!$C$4384,0))</f>
        <v>1</v>
      </c>
      <c r="BY6" s="21" cm="1">
        <f t="array" aca="1" ref="BY6" ca="1">INDEX(Master!$H$2:'Master'!$H$4384,MATCH($A6&amp;BY$2,Master!$A$2:'Master'!$A$4384&amp;Master!$C$2:'Master'!$C$4384,0))</f>
        <v>2</v>
      </c>
      <c r="BZ6" s="21" cm="1">
        <f t="array" aca="1" ref="BZ6" ca="1">INDEX(Master!$H$2:'Master'!$H$4384,MATCH($A6&amp;BZ$2,Master!$A$2:'Master'!$A$4384&amp;Master!$C$2:'Master'!$C$4384,0))</f>
        <v>0</v>
      </c>
      <c r="CA6" s="21" cm="1">
        <f t="array" aca="1" ref="CA6" ca="1">INDEX(Master!$H$2:'Master'!$H$4384,MATCH($A6&amp;CA$2,Master!$A$2:'Master'!$A$4384&amp;Master!$C$2:'Master'!$C$4384,0))</f>
        <v>2</v>
      </c>
      <c r="CB6" s="21" cm="1">
        <f t="array" aca="1" ref="CB6" ca="1">INDEX(Master!$H$2:'Master'!$H$4384,MATCH($A6&amp;CB$2,Master!$A$2:'Master'!$A$4384&amp;Master!$C$2:'Master'!$C$4384,0))</f>
        <v>2</v>
      </c>
      <c r="CC6" s="21" cm="1">
        <f t="array" aca="1" ref="CC6" ca="1">INDEX(Master!$H$2:'Master'!$H$4384,MATCH($A6&amp;CC$2,Master!$A$2:'Master'!$A$4384&amp;Master!$C$2:'Master'!$C$4384,0))</f>
        <v>2</v>
      </c>
      <c r="CD6" s="21" cm="1">
        <f t="array" aca="1" ref="CD6" ca="1">INDEX(Master!$H$2:'Master'!$H$4384,MATCH($A6&amp;CD$2,Master!$A$2:'Master'!$A$4384&amp;Master!$C$2:'Master'!$C$4384,0))</f>
        <v>2</v>
      </c>
      <c r="CE6" s="21" cm="1">
        <f t="array" aca="1" ref="CE6" ca="1">INDEX(Master!$H$2:'Master'!$H$4384,MATCH($A6&amp;CE$2,Master!$A$2:'Master'!$A$4384&amp;Master!$C$2:'Master'!$C$4384,0))</f>
        <v>2</v>
      </c>
      <c r="CF6" s="21" cm="1">
        <f t="array" aca="1" ref="CF6" ca="1">INDEX(Master!$H$2:'Master'!$H$4384,MATCH($A6&amp;CF$2,Master!$A$2:'Master'!$A$4384&amp;Master!$C$2:'Master'!$C$4384,0))</f>
        <v>0</v>
      </c>
      <c r="CG6" s="21" cm="1">
        <f t="array" aca="1" ref="CG6" ca="1">INDEX(Master!$H$2:'Master'!$H$4384,MATCH($A6&amp;CG$2,Master!$A$2:'Master'!$A$4384&amp;Master!$C$2:'Master'!$C$4384,0))</f>
        <v>0</v>
      </c>
      <c r="CH6" s="21" cm="1">
        <f t="array" aca="1" ref="CH6" ca="1">INDEX(Master!$H$2:'Master'!$H$4384,MATCH($A6&amp;CH$2,Master!$A$2:'Master'!$A$4384&amp;Master!$C$2:'Master'!$C$4384,0))</f>
        <v>-1</v>
      </c>
      <c r="CI6" s="21" cm="1">
        <f t="array" aca="1" ref="CI6" ca="1">INDEX(Master!$H$2:'Master'!$H$4384,MATCH($A6&amp;CI$2,Master!$A$2:'Master'!$A$4384&amp;Master!$C$2:'Master'!$C$4384,0))</f>
        <v>-1</v>
      </c>
      <c r="CJ6" s="21" cm="1">
        <f t="array" aca="1" ref="CJ6" ca="1">INDEX(Master!$H$2:'Master'!$H$4384,MATCH($A6&amp;CJ$2,Master!$A$2:'Master'!$A$4384&amp;Master!$C$2:'Master'!$C$4384,0))</f>
        <v>-1</v>
      </c>
      <c r="CK6" s="21" cm="1">
        <f t="array" aca="1" ref="CK6" ca="1">INDEX(Master!$H$2:'Master'!$H$4384,MATCH($A6&amp;CK$2,Master!$A$2:'Master'!$A$4384&amp;Master!$C$2:'Master'!$C$4384,0))</f>
        <v>2</v>
      </c>
      <c r="CL6" s="21" cm="1">
        <f t="array" aca="1" ref="CL6" ca="1">INDEX(Master!$H$2:'Master'!$H$4384,MATCH($A6&amp;CL$2,Master!$A$2:'Master'!$A$4384&amp;Master!$C$2:'Master'!$C$4384,0))</f>
        <v>4</v>
      </c>
      <c r="CM6" s="21" cm="1">
        <f t="array" aca="1" ref="CM6" ca="1">INDEX(Master!$H$2:'Master'!$H$4384,MATCH($A6&amp;CM$2,Master!$A$2:'Master'!$A$4384&amp;Master!$C$2:'Master'!$C$4384,0))</f>
        <v>3</v>
      </c>
      <c r="CN6" s="21" cm="1">
        <f t="array" aca="1" ref="CN6" ca="1">INDEX(Master!$H$2:'Master'!$H$4384,MATCH($A6&amp;CN$2,Master!$A$2:'Master'!$A$4384&amp;Master!$C$2:'Master'!$C$4384,0))</f>
        <v>1</v>
      </c>
      <c r="CO6" s="21" cm="1">
        <f t="array" aca="1" ref="CO6" ca="1">INDEX(Master!$H$2:'Master'!$H$4384,MATCH($A6&amp;CO$2,Master!$A$2:'Master'!$A$4384&amp;Master!$C$2:'Master'!$C$4384,0))</f>
        <v>1</v>
      </c>
      <c r="CP6" s="21" cm="1">
        <f t="array" aca="1" ref="CP6" ca="1">INDEX(Master!$H$2:'Master'!$H$4384,MATCH($A6&amp;CP$2,Master!$A$2:'Master'!$A$4384&amp;Master!$C$2:'Master'!$C$4384,0))</f>
        <v>2</v>
      </c>
      <c r="CQ6" s="21" cm="1">
        <f t="array" aca="1" ref="CQ6" ca="1">INDEX(Master!$H$2:'Master'!$H$4384,MATCH($A6&amp;CQ$2,Master!$A$2:'Master'!$A$4384&amp;Master!$C$2:'Master'!$C$4384,0))</f>
        <v>2</v>
      </c>
      <c r="CR6" s="21" cm="1">
        <f t="array" aca="1" ref="CR6" ca="1">INDEX(Master!$H$2:'Master'!$H$4384,MATCH($A6&amp;CR$2,Master!$A$2:'Master'!$A$4384&amp;Master!$C$2:'Master'!$C$4384,0))</f>
        <v>2</v>
      </c>
      <c r="CS6" s="21" cm="1">
        <f t="array" aca="1" ref="CS6" ca="1">INDEX(Master!$H$2:'Master'!$H$4384,MATCH($A6&amp;CS$2,Master!$A$2:'Master'!$A$4384&amp;Master!$C$2:'Master'!$C$4384,0))</f>
        <v>2</v>
      </c>
    </row>
    <row r="7" spans="1:97">
      <c r="A7" s="22" t="str">
        <f>VLOOKUP(Staff!$A3,Staff!$A$1:A$73,1,FALSE)</f>
        <v>Ted Hastings</v>
      </c>
      <c r="B7" s="21" cm="1">
        <f t="array" aca="1" ref="B7" ca="1">INDEX(Master!$H$2:'Master'!$H$4384,MATCH($A7&amp;B$2,Master!$A$2:'Master'!$A$4384&amp;Master!$C$2:'Master'!$C$4384,0))</f>
        <v>0</v>
      </c>
      <c r="C7" s="21" cm="1">
        <f t="array" aca="1" ref="C7" ca="1">INDEX(Master!$H$2:'Master'!$H$4384,MATCH($A7&amp;C$2,Master!$A$2:'Master'!$A$4384&amp;Master!$C$2:'Master'!$C$4384,0))</f>
        <v>1</v>
      </c>
      <c r="D7" s="21" cm="1">
        <f t="array" aca="1" ref="D7" ca="1">INDEX(Master!$H$2:'Master'!$H$4384,MATCH($A7&amp;D$2,Master!$A$2:'Master'!$A$4384&amp;Master!$C$2:'Master'!$C$4384,0))</f>
        <v>1</v>
      </c>
      <c r="E7" s="21" cm="1">
        <f t="array" aca="1" ref="E7" ca="1">INDEX(Master!$H$2:'Master'!$H$4384,MATCH($A7&amp;E$2,Master!$A$2:'Master'!$A$4384&amp;Master!$C$2:'Master'!$C$4384,0))</f>
        <v>-1</v>
      </c>
      <c r="F7" s="21" cm="1">
        <f t="array" aca="1" ref="F7" ca="1">INDEX(Master!$H$2:'Master'!$H$4384,MATCH($A7&amp;F$2,Master!$A$2:'Master'!$A$4384&amp;Master!$C$2:'Master'!$C$4384,0))</f>
        <v>1</v>
      </c>
      <c r="G7" s="21" cm="1">
        <f t="array" aca="1" ref="G7" ca="1">INDEX(Master!$H$2:'Master'!$H$4384,MATCH($A7&amp;G$2,Master!$A$2:'Master'!$A$4384&amp;Master!$C$2:'Master'!$C$4384,0))</f>
        <v>0</v>
      </c>
      <c r="H7" s="21" cm="1">
        <f t="array" aca="1" ref="H7" ca="1">INDEX(Master!$H$2:'Master'!$H$4384,MATCH($A7&amp;H$2,Master!$A$2:'Master'!$A$4384&amp;Master!$C$2:'Master'!$C$4384,0))</f>
        <v>1</v>
      </c>
      <c r="I7" s="21" cm="1">
        <f t="array" aca="1" ref="I7" ca="1">INDEX(Master!$H$2:'Master'!$H$4384,MATCH($A7&amp;I$2,Master!$A$2:'Master'!$A$4384&amp;Master!$C$2:'Master'!$C$4384,0))</f>
        <v>-1</v>
      </c>
      <c r="J7" s="21" cm="1">
        <f t="array" aca="1" ref="J7" ca="1">INDEX(Master!$H$2:'Master'!$H$4384,MATCH($A7&amp;J$2,Master!$A$2:'Master'!$A$4384&amp;Master!$C$2:'Master'!$C$4384,0))</f>
        <v>0</v>
      </c>
      <c r="K7" s="21" cm="1">
        <f t="array" aca="1" ref="K7" ca="1">INDEX(Master!$H$2:'Master'!$H$4384,MATCH($A7&amp;K$2,Master!$A$2:'Master'!$A$4384&amp;Master!$C$2:'Master'!$C$4384,0))</f>
        <v>0</v>
      </c>
      <c r="L7" s="21" cm="1">
        <f t="array" aca="1" ref="L7" ca="1">INDEX(Master!$H$2:'Master'!$H$4384,MATCH($A7&amp;L$2,Master!$A$2:'Master'!$A$4384&amp;Master!$C$2:'Master'!$C$4384,0))</f>
        <v>1</v>
      </c>
      <c r="M7" s="21" cm="1">
        <f t="array" aca="1" ref="M7" ca="1">INDEX(Master!$H$2:'Master'!$H$4384,MATCH($A7&amp;M$2,Master!$A$2:'Master'!$A$4384&amp;Master!$C$2:'Master'!$C$4384,0))</f>
        <v>0</v>
      </c>
      <c r="N7" s="21" cm="1">
        <f t="array" aca="1" ref="N7" ca="1">INDEX(Master!$H$2:'Master'!$H$4384,MATCH($A7&amp;N$2,Master!$A$2:'Master'!$A$4384&amp;Master!$C$2:'Master'!$C$4384,0))</f>
        <v>0</v>
      </c>
      <c r="O7" s="21" cm="1">
        <f t="array" aca="1" ref="O7" ca="1">INDEX(Master!$H$2:'Master'!$H$4384,MATCH($A7&amp;O$2,Master!$A$2:'Master'!$A$4384&amp;Master!$C$2:'Master'!$C$4384,0))</f>
        <v>-1</v>
      </c>
      <c r="P7" s="21" cm="1">
        <f t="array" aca="1" ref="P7" ca="1">INDEX(Master!$H$2:'Master'!$H$4384,MATCH($A7&amp;P$2,Master!$A$2:'Master'!$A$4384&amp;Master!$C$2:'Master'!$C$4384,0))</f>
        <v>0</v>
      </c>
      <c r="Q7" s="21" cm="1">
        <f t="array" aca="1" ref="Q7" ca="1">INDEX(Master!$H$2:'Master'!$H$4384,MATCH($A7&amp;Q$2,Master!$A$2:'Master'!$A$4384&amp;Master!$C$2:'Master'!$C$4384,0))</f>
        <v>0</v>
      </c>
      <c r="R7" s="21" cm="1">
        <f t="array" aca="1" ref="R7" ca="1">INDEX(Master!$H$2:'Master'!$H$4384,MATCH($A7&amp;R$2,Master!$A$2:'Master'!$A$4384&amp;Master!$C$2:'Master'!$C$4384,0))</f>
        <v>0</v>
      </c>
      <c r="S7" s="21" cm="1">
        <f t="array" aca="1" ref="S7" ca="1">INDEX(Master!$H$2:'Master'!$H$4384,MATCH($A7&amp;S$2,Master!$A$2:'Master'!$A$4384&amp;Master!$C$2:'Master'!$C$4384,0))</f>
        <v>1</v>
      </c>
      <c r="T7" s="21" cm="1">
        <f t="array" aca="1" ref="T7" ca="1">INDEX(Master!$H$2:'Master'!$H$4384,MATCH($A7&amp;T$2,Master!$A$2:'Master'!$A$4384&amp;Master!$C$2:'Master'!$C$4384,0))</f>
        <v>0</v>
      </c>
      <c r="U7" s="21" cm="1">
        <f t="array" aca="1" ref="U7" ca="1">INDEX(Master!$H$2:'Master'!$H$4384,MATCH($A7&amp;U$2,Master!$A$2:'Master'!$A$4384&amp;Master!$C$2:'Master'!$C$4384,0))</f>
        <v>2</v>
      </c>
      <c r="V7" s="21" cm="1">
        <f t="array" aca="1" ref="V7" ca="1">INDEX(Master!$H$2:'Master'!$H$4384,MATCH($A7&amp;V$2,Master!$A$2:'Master'!$A$4384&amp;Master!$C$2:'Master'!$C$4384,0))</f>
        <v>1</v>
      </c>
      <c r="W7" s="21" cm="1">
        <f t="array" aca="1" ref="W7" ca="1">INDEX(Master!$H$2:'Master'!$H$4384,MATCH($A7&amp;W$2,Master!$A$2:'Master'!$A$4384&amp;Master!$C$2:'Master'!$C$4384,0))</f>
        <v>0</v>
      </c>
      <c r="X7" s="21" cm="1">
        <f t="array" aca="1" ref="X7" ca="1">INDEX(Master!$H$2:'Master'!$H$4384,MATCH($A7&amp;X$2,Master!$A$2:'Master'!$A$4384&amp;Master!$C$2:'Master'!$C$4384,0))</f>
        <v>0</v>
      </c>
      <c r="Y7" s="21" cm="1">
        <f t="array" aca="1" ref="Y7" ca="1">INDEX(Master!$H$2:'Master'!$H$4384,MATCH($A7&amp;Y$2,Master!$A$2:'Master'!$A$4384&amp;Master!$C$2:'Master'!$C$4384,0))</f>
        <v>0</v>
      </c>
      <c r="Z7" s="21" cm="1">
        <f t="array" aca="1" ref="Z7" ca="1">INDEX(Master!$H$2:'Master'!$H$4384,MATCH($A7&amp;Z$2,Master!$A$2:'Master'!$A$4384&amp;Master!$C$2:'Master'!$C$4384,0))</f>
        <v>0</v>
      </c>
      <c r="AA7" s="21" cm="1">
        <f t="array" aca="1" ref="AA7" ca="1">INDEX(Master!$H$2:'Master'!$H$4384,MATCH($A7&amp;AA$2,Master!$A$2:'Master'!$A$4384&amp;Master!$C$2:'Master'!$C$4384,0))</f>
        <v>0</v>
      </c>
      <c r="AB7" s="21" cm="1">
        <f t="array" aca="1" ref="AB7" ca="1">INDEX(Master!$H$2:'Master'!$H$4384,MATCH($A7&amp;AB$2,Master!$A$2:'Master'!$A$4384&amp;Master!$C$2:'Master'!$C$4384,0))</f>
        <v>0</v>
      </c>
      <c r="AC7" s="21" cm="1">
        <f t="array" aca="1" ref="AC7" ca="1">INDEX(Master!$H$2:'Master'!$H$4384,MATCH($A7&amp;AC$2,Master!$A$2:'Master'!$A$4384&amp;Master!$C$2:'Master'!$C$4384,0))</f>
        <v>0</v>
      </c>
      <c r="AD7" s="21" cm="1">
        <f t="array" aca="1" ref="AD7" ca="1">INDEX(Master!$H$2:'Master'!$H$4384,MATCH($A7&amp;AD$2,Master!$A$2:'Master'!$A$4384&amp;Master!$C$2:'Master'!$C$4384,0))</f>
        <v>0</v>
      </c>
      <c r="AE7" s="21" cm="1">
        <f t="array" aca="1" ref="AE7" ca="1">INDEX(Master!$H$2:'Master'!$H$4384,MATCH($A7&amp;AE$2,Master!$A$2:'Master'!$A$4384&amp;Master!$C$2:'Master'!$C$4384,0))</f>
        <v>0</v>
      </c>
      <c r="AF7" s="21" cm="1">
        <f t="array" aca="1" ref="AF7" ca="1">INDEX(Master!$H$2:'Master'!$H$4384,MATCH($A7&amp;AF$2,Master!$A$2:'Master'!$A$4384&amp;Master!$C$2:'Master'!$C$4384,0))</f>
        <v>1</v>
      </c>
      <c r="AG7" s="21" cm="1">
        <f t="array" aca="1" ref="AG7" ca="1">INDEX(Master!$H$2:'Master'!$H$4384,MATCH($A7&amp;AG$2,Master!$A$2:'Master'!$A$4384&amp;Master!$C$2:'Master'!$C$4384,0))</f>
        <v>1</v>
      </c>
      <c r="AH7" s="21" cm="1">
        <f t="array" aca="1" ref="AH7" ca="1">INDEX(Master!$H$2:'Master'!$H$4384,MATCH($A7&amp;AH$2,Master!$A$2:'Master'!$A$4384&amp;Master!$C$2:'Master'!$C$4384,0))</f>
        <v>0</v>
      </c>
      <c r="AI7" s="21" cm="1">
        <f t="array" aca="1" ref="AI7" ca="1">INDEX(Master!$H$2:'Master'!$H$4384,MATCH($A7&amp;AI$2,Master!$A$2:'Master'!$A$4384&amp;Master!$C$2:'Master'!$C$4384,0))</f>
        <v>-1</v>
      </c>
      <c r="AJ7" s="21" cm="1">
        <f t="array" aca="1" ref="AJ7" ca="1">INDEX(Master!$H$2:'Master'!$H$4384,MATCH($A7&amp;AJ$2,Master!$A$2:'Master'!$A$4384&amp;Master!$C$2:'Master'!$C$4384,0))</f>
        <v>1</v>
      </c>
      <c r="AK7" s="21" cm="1">
        <f t="array" aca="1" ref="AK7" ca="1">INDEX(Master!$H$2:'Master'!$H$4384,MATCH($A7&amp;AK$2,Master!$A$2:'Master'!$A$4384&amp;Master!$C$2:'Master'!$C$4384,0))</f>
        <v>-2</v>
      </c>
      <c r="AL7" s="21" cm="1">
        <f t="array" aca="1" ref="AL7" ca="1">INDEX(Master!$H$2:'Master'!$H$4384,MATCH($A7&amp;AL$2,Master!$A$2:'Master'!$A$4384&amp;Master!$C$2:'Master'!$C$4384,0))</f>
        <v>1</v>
      </c>
      <c r="AM7" s="21" cm="1">
        <f t="array" aca="1" ref="AM7" ca="1">INDEX(Master!$H$2:'Master'!$H$4384,MATCH($A7&amp;AM$2,Master!$A$2:'Master'!$A$4384&amp;Master!$C$2:'Master'!$C$4384,0))</f>
        <v>2</v>
      </c>
      <c r="AN7" s="21" cm="1">
        <f t="array" aca="1" ref="AN7" ca="1">INDEX(Master!$H$2:'Master'!$H$4384,MATCH($A7&amp;AN$2,Master!$A$2:'Master'!$A$4384&amp;Master!$C$2:'Master'!$C$4384,0))</f>
        <v>0</v>
      </c>
      <c r="AO7" s="21" cm="1">
        <f t="array" aca="1" ref="AO7" ca="1">INDEX(Master!$H$2:'Master'!$H$4384,MATCH($A7&amp;AO$2,Master!$A$2:'Master'!$A$4384&amp;Master!$C$2:'Master'!$C$4384,0))</f>
        <v>0</v>
      </c>
      <c r="AP7" s="21" cm="1">
        <f t="array" aca="1" ref="AP7" ca="1">INDEX(Master!$H$2:'Master'!$H$4384,MATCH($A7&amp;AP$2,Master!$A$2:'Master'!$A$4384&amp;Master!$C$2:'Master'!$C$4384,0))</f>
        <v>0</v>
      </c>
      <c r="AQ7" s="21" cm="1">
        <f t="array" aca="1" ref="AQ7" ca="1">INDEX(Master!$H$2:'Master'!$H$4384,MATCH($A7&amp;AQ$2,Master!$A$2:'Master'!$A$4384&amp;Master!$C$2:'Master'!$C$4384,0))</f>
        <v>0</v>
      </c>
      <c r="AR7" s="21" cm="1">
        <f t="array" aca="1" ref="AR7" ca="1">INDEX(Master!$H$2:'Master'!$H$4384,MATCH($A7&amp;AR$2,Master!$A$2:'Master'!$A$4384&amp;Master!$C$2:'Master'!$C$4384,0))</f>
        <v>0</v>
      </c>
      <c r="AS7" s="21" cm="1">
        <f t="array" aca="1" ref="AS7" ca="1">INDEX(Master!$H$2:'Master'!$H$4384,MATCH($A7&amp;AS$2,Master!$A$2:'Master'!$A$4384&amp;Master!$C$2:'Master'!$C$4384,0))</f>
        <v>0</v>
      </c>
      <c r="AT7" s="21" cm="1">
        <f t="array" aca="1" ref="AT7" ca="1">INDEX(Master!$H$2:'Master'!$H$4384,MATCH($A7&amp;AT$2,Master!$A$2:'Master'!$A$4384&amp;Master!$C$2:'Master'!$C$4384,0))</f>
        <v>-1</v>
      </c>
      <c r="AU7" s="21" cm="1">
        <f t="array" aca="1" ref="AU7" ca="1">INDEX(Master!$H$2:'Master'!$H$4384,MATCH($A7&amp;AU$2,Master!$A$2:'Master'!$A$4384&amp;Master!$C$2:'Master'!$C$4384,0))</f>
        <v>-2</v>
      </c>
      <c r="AV7" s="21" cm="1">
        <f t="array" aca="1" ref="AV7" ca="1">INDEX(Master!$H$2:'Master'!$H$4384,MATCH($A7&amp;AV$2,Master!$A$2:'Master'!$A$4384&amp;Master!$C$2:'Master'!$C$4384,0))</f>
        <v>-1</v>
      </c>
      <c r="AW7" s="21" cm="1">
        <f t="array" aca="1" ref="AW7" ca="1">INDEX(Master!$H$2:'Master'!$H$4384,MATCH($A7&amp;AW$2,Master!$A$2:'Master'!$A$4384&amp;Master!$C$2:'Master'!$C$4384,0))</f>
        <v>-1</v>
      </c>
      <c r="AX7" s="21" cm="1">
        <f t="array" aca="1" ref="AX7" ca="1">INDEX(Master!$H$2:'Master'!$H$4384,MATCH($A7&amp;AX$2,Master!$A$2:'Master'!$A$4384&amp;Master!$C$2:'Master'!$C$4384,0))</f>
        <v>2</v>
      </c>
      <c r="AY7" s="21" cm="1">
        <f t="array" aca="1" ref="AY7" ca="1">INDEX(Master!$H$2:'Master'!$H$4384,MATCH($A7&amp;AY$2,Master!$A$2:'Master'!$A$4384&amp;Master!$C$2:'Master'!$C$4384,0))</f>
        <v>2</v>
      </c>
      <c r="AZ7" s="21" cm="1">
        <f t="array" aca="1" ref="AZ7" ca="1">INDEX(Master!$H$2:'Master'!$H$4384,MATCH($A7&amp;AZ$2,Master!$A$2:'Master'!$A$4384&amp;Master!$C$2:'Master'!$C$4384,0))</f>
        <v>0</v>
      </c>
      <c r="BA7" s="21" cm="1">
        <f t="array" aca="1" ref="BA7" ca="1">INDEX(Master!$H$2:'Master'!$H$4384,MATCH($A7&amp;BA$2,Master!$A$2:'Master'!$A$4384&amp;Master!$C$2:'Master'!$C$4384,0))</f>
        <v>1</v>
      </c>
      <c r="BB7" s="21" cm="1">
        <f t="array" aca="1" ref="BB7" ca="1">INDEX(Master!$H$2:'Master'!$H$4384,MATCH($A7&amp;BB$2,Master!$A$2:'Master'!$A$4384&amp;Master!$C$2:'Master'!$C$4384,0))</f>
        <v>1</v>
      </c>
      <c r="BC7" s="21" cm="1">
        <f t="array" aca="1" ref="BC7" ca="1">INDEX(Master!$H$2:'Master'!$H$4384,MATCH($A7&amp;BC$2,Master!$A$2:'Master'!$A$4384&amp;Master!$C$2:'Master'!$C$4384,0))</f>
        <v>2</v>
      </c>
      <c r="BD7" s="21" cm="1">
        <f t="array" aca="1" ref="BD7" ca="1">INDEX(Master!$H$2:'Master'!$H$4384,MATCH($A7&amp;BD$2,Master!$A$2:'Master'!$A$4384&amp;Master!$C$2:'Master'!$C$4384,0))</f>
        <v>3</v>
      </c>
      <c r="BE7" s="21" cm="1">
        <f t="array" aca="1" ref="BE7" ca="1">INDEX(Master!$H$2:'Master'!$H$4384,MATCH($A7&amp;BE$2,Master!$A$2:'Master'!$A$4384&amp;Master!$C$2:'Master'!$C$4384,0))</f>
        <v>1</v>
      </c>
      <c r="BF7" s="21" cm="1">
        <f t="array" aca="1" ref="BF7" ca="1">INDEX(Master!$H$2:'Master'!$H$4384,MATCH($A7&amp;BF$2,Master!$A$2:'Master'!$A$4384&amp;Master!$C$2:'Master'!$C$4384,0))</f>
        <v>1</v>
      </c>
      <c r="BG7" s="21" cm="1">
        <f t="array" aca="1" ref="BG7" ca="1">INDEX(Master!$H$2:'Master'!$H$4384,MATCH($A7&amp;BG$2,Master!$A$2:'Master'!$A$4384&amp;Master!$C$2:'Master'!$C$4384,0))</f>
        <v>1</v>
      </c>
      <c r="BH7" s="21" cm="1">
        <f t="array" aca="1" ref="BH7" ca="1">INDEX(Master!$H$2:'Master'!$H$4384,MATCH($A7&amp;BH$2,Master!$A$2:'Master'!$A$4384&amp;Master!$C$2:'Master'!$C$4384,0))</f>
        <v>0</v>
      </c>
      <c r="BI7" s="21" cm="1">
        <f t="array" aca="1" ref="BI7" ca="1">INDEX(Master!$H$2:'Master'!$H$4384,MATCH($A7&amp;BI$2,Master!$A$2:'Master'!$A$4384&amp;Master!$C$2:'Master'!$C$4384,0))</f>
        <v>0</v>
      </c>
      <c r="BJ7" s="21" cm="1">
        <f t="array" aca="1" ref="BJ7" ca="1">INDEX(Master!$H$2:'Master'!$H$4384,MATCH($A7&amp;BJ$2,Master!$A$2:'Master'!$A$4384&amp;Master!$C$2:'Master'!$C$4384,0))</f>
        <v>0</v>
      </c>
      <c r="BK7" s="21" cm="1">
        <f t="array" aca="1" ref="BK7" ca="1">INDEX(Master!$H$2:'Master'!$H$4384,MATCH($A7&amp;BK$2,Master!$A$2:'Master'!$A$4384&amp;Master!$C$2:'Master'!$C$4384,0))</f>
        <v>-1</v>
      </c>
      <c r="BL7" s="21" cm="1">
        <f t="array" aca="1" ref="BL7" ca="1">INDEX(Master!$H$2:'Master'!$H$4384,MATCH($A7&amp;BL$2,Master!$A$2:'Master'!$A$4384&amp;Master!$C$2:'Master'!$C$4384,0))</f>
        <v>0</v>
      </c>
      <c r="BM7" s="21" cm="1">
        <f t="array" aca="1" ref="BM7" ca="1">INDEX(Master!$H$2:'Master'!$H$4384,MATCH($A7&amp;BM$2,Master!$A$2:'Master'!$A$4384&amp;Master!$C$2:'Master'!$C$4384,0))</f>
        <v>0</v>
      </c>
      <c r="BN7" s="21" cm="1">
        <f t="array" aca="1" ref="BN7" ca="1">INDEX(Master!$H$2:'Master'!$H$4384,MATCH($A7&amp;BN$2,Master!$A$2:'Master'!$A$4384&amp;Master!$C$2:'Master'!$C$4384,0))</f>
        <v>-1</v>
      </c>
      <c r="BO7" s="21" cm="1">
        <f t="array" aca="1" ref="BO7" ca="1">INDEX(Master!$H$2:'Master'!$H$4384,MATCH($A7&amp;BO$2,Master!$A$2:'Master'!$A$4384&amp;Master!$C$2:'Master'!$C$4384,0))</f>
        <v>0</v>
      </c>
      <c r="BP7" s="21" cm="1">
        <f t="array" aca="1" ref="BP7" ca="1">INDEX(Master!$H$2:'Master'!$H$4384,MATCH($A7&amp;BP$2,Master!$A$2:'Master'!$A$4384&amp;Master!$C$2:'Master'!$C$4384,0))</f>
        <v>-1</v>
      </c>
      <c r="BQ7" s="21" cm="1">
        <f t="array" aca="1" ref="BQ7" ca="1">INDEX(Master!$H$2:'Master'!$H$4384,MATCH($A7&amp;BQ$2,Master!$A$2:'Master'!$A$4384&amp;Master!$C$2:'Master'!$C$4384,0))</f>
        <v>-1</v>
      </c>
      <c r="BR7" s="21" cm="1">
        <f t="array" aca="1" ref="BR7" ca="1">INDEX(Master!$H$2:'Master'!$H$4384,MATCH($A7&amp;BR$2,Master!$A$2:'Master'!$A$4384&amp;Master!$C$2:'Master'!$C$4384,0))</f>
        <v>0</v>
      </c>
      <c r="BS7" s="21" cm="1">
        <f t="array" aca="1" ref="BS7" ca="1">INDEX(Master!$H$2:'Master'!$H$4384,MATCH($A7&amp;BS$2,Master!$A$2:'Master'!$A$4384&amp;Master!$C$2:'Master'!$C$4384,0))</f>
        <v>1</v>
      </c>
      <c r="BT7" s="21" cm="1">
        <f t="array" aca="1" ref="BT7" ca="1">INDEX(Master!$H$2:'Master'!$H$4384,MATCH($A7&amp;BT$2,Master!$A$2:'Master'!$A$4384&amp;Master!$C$2:'Master'!$C$4384,0))</f>
        <v>1</v>
      </c>
      <c r="BU7" s="21" cm="1">
        <f t="array" aca="1" ref="BU7" ca="1">INDEX(Master!$H$2:'Master'!$H$4384,MATCH($A7&amp;BU$2,Master!$A$2:'Master'!$A$4384&amp;Master!$C$2:'Master'!$C$4384,0))</f>
        <v>0</v>
      </c>
      <c r="BV7" s="21" cm="1">
        <f t="array" aca="1" ref="BV7" ca="1">INDEX(Master!$H$2:'Master'!$H$4384,MATCH($A7&amp;BV$2,Master!$A$2:'Master'!$A$4384&amp;Master!$C$2:'Master'!$C$4384,0))</f>
        <v>1</v>
      </c>
      <c r="BW7" s="21" cm="1">
        <f t="array" aca="1" ref="BW7" ca="1">INDEX(Master!$H$2:'Master'!$H$4384,MATCH($A7&amp;BW$2,Master!$A$2:'Master'!$A$4384&amp;Master!$C$2:'Master'!$C$4384,0))</f>
        <v>1</v>
      </c>
      <c r="BX7" s="21" cm="1">
        <f t="array" aca="1" ref="BX7" ca="1">INDEX(Master!$H$2:'Master'!$H$4384,MATCH($A7&amp;BX$2,Master!$A$2:'Master'!$A$4384&amp;Master!$C$2:'Master'!$C$4384,0))</f>
        <v>1</v>
      </c>
      <c r="BY7" s="21" cm="1">
        <f t="array" aca="1" ref="BY7" ca="1">INDEX(Master!$H$2:'Master'!$H$4384,MATCH($A7&amp;BY$2,Master!$A$2:'Master'!$A$4384&amp;Master!$C$2:'Master'!$C$4384,0))</f>
        <v>0</v>
      </c>
      <c r="BZ7" s="21" cm="1">
        <f t="array" aca="1" ref="BZ7" ca="1">INDEX(Master!$H$2:'Master'!$H$4384,MATCH($A7&amp;BZ$2,Master!$A$2:'Master'!$A$4384&amp;Master!$C$2:'Master'!$C$4384,0))</f>
        <v>0</v>
      </c>
      <c r="CA7" s="21" cm="1">
        <f t="array" aca="1" ref="CA7" ca="1">INDEX(Master!$H$2:'Master'!$H$4384,MATCH($A7&amp;CA$2,Master!$A$2:'Master'!$A$4384&amp;Master!$C$2:'Master'!$C$4384,0))</f>
        <v>0</v>
      </c>
      <c r="CB7" s="21" cm="1">
        <f t="array" aca="1" ref="CB7" ca="1">INDEX(Master!$H$2:'Master'!$H$4384,MATCH($A7&amp;CB$2,Master!$A$2:'Master'!$A$4384&amp;Master!$C$2:'Master'!$C$4384,0))</f>
        <v>-1</v>
      </c>
      <c r="CC7" s="21" cm="1">
        <f t="array" aca="1" ref="CC7" ca="1">INDEX(Master!$H$2:'Master'!$H$4384,MATCH($A7&amp;CC$2,Master!$A$2:'Master'!$A$4384&amp;Master!$C$2:'Master'!$C$4384,0))</f>
        <v>0</v>
      </c>
      <c r="CD7" s="21" cm="1">
        <f t="array" aca="1" ref="CD7" ca="1">INDEX(Master!$H$2:'Master'!$H$4384,MATCH($A7&amp;CD$2,Master!$A$2:'Master'!$A$4384&amp;Master!$C$2:'Master'!$C$4384,0))</f>
        <v>0</v>
      </c>
      <c r="CE7" s="21" cm="1">
        <f t="array" aca="1" ref="CE7" ca="1">INDEX(Master!$H$2:'Master'!$H$4384,MATCH($A7&amp;CE$2,Master!$A$2:'Master'!$A$4384&amp;Master!$C$2:'Master'!$C$4384,0))</f>
        <v>0</v>
      </c>
      <c r="CF7" s="21" cm="1">
        <f t="array" aca="1" ref="CF7" ca="1">INDEX(Master!$H$2:'Master'!$H$4384,MATCH($A7&amp;CF$2,Master!$A$2:'Master'!$A$4384&amp;Master!$C$2:'Master'!$C$4384,0))</f>
        <v>1</v>
      </c>
      <c r="CG7" s="21" cm="1">
        <f t="array" aca="1" ref="CG7" ca="1">INDEX(Master!$H$2:'Master'!$H$4384,MATCH($A7&amp;CG$2,Master!$A$2:'Master'!$A$4384&amp;Master!$C$2:'Master'!$C$4384,0))</f>
        <v>1</v>
      </c>
      <c r="CH7" s="21" cm="1">
        <f t="array" aca="1" ref="CH7" ca="1">INDEX(Master!$H$2:'Master'!$H$4384,MATCH($A7&amp;CH$2,Master!$A$2:'Master'!$A$4384&amp;Master!$C$2:'Master'!$C$4384,0))</f>
        <v>1</v>
      </c>
      <c r="CI7" s="21" cm="1">
        <f t="array" aca="1" ref="CI7" ca="1">INDEX(Master!$H$2:'Master'!$H$4384,MATCH($A7&amp;CI$2,Master!$A$2:'Master'!$A$4384&amp;Master!$C$2:'Master'!$C$4384,0))</f>
        <v>1</v>
      </c>
      <c r="CJ7" s="21" cm="1">
        <f t="array" aca="1" ref="CJ7" ca="1">INDEX(Master!$H$2:'Master'!$H$4384,MATCH($A7&amp;CJ$2,Master!$A$2:'Master'!$A$4384&amp;Master!$C$2:'Master'!$C$4384,0))</f>
        <v>0</v>
      </c>
      <c r="CK7" s="21" cm="1">
        <f t="array" aca="1" ref="CK7" ca="1">INDEX(Master!$H$2:'Master'!$H$4384,MATCH($A7&amp;CK$2,Master!$A$2:'Master'!$A$4384&amp;Master!$C$2:'Master'!$C$4384,0))</f>
        <v>0</v>
      </c>
      <c r="CL7" s="21" cm="1">
        <f t="array" aca="1" ref="CL7" ca="1">INDEX(Master!$H$2:'Master'!$H$4384,MATCH($A7&amp;CL$2,Master!$A$2:'Master'!$A$4384&amp;Master!$C$2:'Master'!$C$4384,0))</f>
        <v>0</v>
      </c>
      <c r="CM7" s="21" cm="1">
        <f t="array" aca="1" ref="CM7" ca="1">INDEX(Master!$H$2:'Master'!$H$4384,MATCH($A7&amp;CM$2,Master!$A$2:'Master'!$A$4384&amp;Master!$C$2:'Master'!$C$4384,0))</f>
        <v>0</v>
      </c>
      <c r="CN7" s="21" cm="1">
        <f t="array" aca="1" ref="CN7" ca="1">INDEX(Master!$H$2:'Master'!$H$4384,MATCH($A7&amp;CN$2,Master!$A$2:'Master'!$A$4384&amp;Master!$C$2:'Master'!$C$4384,0))</f>
        <v>0</v>
      </c>
      <c r="CO7" s="21" cm="1">
        <f t="array" aca="1" ref="CO7" ca="1">INDEX(Master!$H$2:'Master'!$H$4384,MATCH($A7&amp;CO$2,Master!$A$2:'Master'!$A$4384&amp;Master!$C$2:'Master'!$C$4384,0))</f>
        <v>0</v>
      </c>
      <c r="CP7" s="21" cm="1">
        <f t="array" aca="1" ref="CP7" ca="1">INDEX(Master!$H$2:'Master'!$H$4384,MATCH($A7&amp;CP$2,Master!$A$2:'Master'!$A$4384&amp;Master!$C$2:'Master'!$C$4384,0))</f>
        <v>0</v>
      </c>
      <c r="CQ7" s="21" cm="1">
        <f t="array" aca="1" ref="CQ7" ca="1">INDEX(Master!$H$2:'Master'!$H$4384,MATCH($A7&amp;CQ$2,Master!$A$2:'Master'!$A$4384&amp;Master!$C$2:'Master'!$C$4384,0))</f>
        <v>0</v>
      </c>
      <c r="CR7" s="21" cm="1">
        <f t="array" aca="1" ref="CR7" ca="1">INDEX(Master!$H$2:'Master'!$H$4384,MATCH($A7&amp;CR$2,Master!$A$2:'Master'!$A$4384&amp;Master!$C$2:'Master'!$C$4384,0))</f>
        <v>0</v>
      </c>
      <c r="CS7" s="21" cm="1">
        <f t="array" aca="1" ref="CS7" ca="1">INDEX(Master!$H$2:'Master'!$H$4384,MATCH($A7&amp;CS$2,Master!$A$2:'Master'!$A$4384&amp;Master!$C$2:'Master'!$C$4384,0))</f>
        <v>0</v>
      </c>
    </row>
    <row r="8" spans="1:97">
      <c r="A8" s="22" t="str">
        <f>VLOOKUP(Staff!$A4,Staff!$A$1:A$73,1,FALSE)</f>
        <v>Neville Parker</v>
      </c>
      <c r="B8" s="21" cm="1">
        <f t="array" aca="1" ref="B8" ca="1">INDEX(Master!$H$2:'Master'!$H$4384,MATCH($A8&amp;B$2,Master!$A$2:'Master'!$A$4384&amp;Master!$C$2:'Master'!$C$4384,0))</f>
        <v>99</v>
      </c>
      <c r="C8" s="21" cm="1">
        <f t="array" aca="1" ref="C8" ca="1">INDEX(Master!$H$2:'Master'!$H$4384,MATCH($A8&amp;C$2,Master!$A$2:'Master'!$A$4384&amp;Master!$C$2:'Master'!$C$4384,0))</f>
        <v>99</v>
      </c>
      <c r="D8" s="21" cm="1">
        <f t="array" aca="1" ref="D8" ca="1">INDEX(Master!$H$2:'Master'!$H$4384,MATCH($A8&amp;D$2,Master!$A$2:'Master'!$A$4384&amp;Master!$C$2:'Master'!$C$4384,0))</f>
        <v>99</v>
      </c>
      <c r="E8" s="21" cm="1">
        <f t="array" aca="1" ref="E8" ca="1">INDEX(Master!$H$2:'Master'!$H$4384,MATCH($A8&amp;E$2,Master!$A$2:'Master'!$A$4384&amp;Master!$C$2:'Master'!$C$4384,0))</f>
        <v>97</v>
      </c>
      <c r="F8" s="21" cm="1">
        <f t="array" aca="1" ref="F8" ca="1">INDEX(Master!$H$2:'Master'!$H$4384,MATCH($A8&amp;F$2,Master!$A$2:'Master'!$A$4384&amp;Master!$C$2:'Master'!$C$4384,0))</f>
        <v>99</v>
      </c>
      <c r="G8" s="21" cm="1">
        <f t="array" aca="1" ref="G8" ca="1">INDEX(Master!$H$2:'Master'!$H$4384,MATCH($A8&amp;G$2,Master!$A$2:'Master'!$A$4384&amp;Master!$C$2:'Master'!$C$4384,0))</f>
        <v>97</v>
      </c>
      <c r="H8" s="21" cm="1">
        <f t="array" aca="1" ref="H8" ca="1">INDEX(Master!$H$2:'Master'!$H$4384,MATCH($A8&amp;H$2,Master!$A$2:'Master'!$A$4384&amp;Master!$C$2:'Master'!$C$4384,0))</f>
        <v>99</v>
      </c>
      <c r="I8" s="21" cm="1">
        <f t="array" aca="1" ref="I8" ca="1">INDEX(Master!$H$2:'Master'!$H$4384,MATCH($A8&amp;I$2,Master!$A$2:'Master'!$A$4384&amp;Master!$C$2:'Master'!$C$4384,0))</f>
        <v>99</v>
      </c>
      <c r="J8" s="21" cm="1">
        <f t="array" aca="1" ref="J8" ca="1">INDEX(Master!$H$2:'Master'!$H$4384,MATCH($A8&amp;J$2,Master!$A$2:'Master'!$A$4384&amp;Master!$C$2:'Master'!$C$4384,0))</f>
        <v>96</v>
      </c>
      <c r="K8" s="21" cm="1">
        <f t="array" aca="1" ref="K8" ca="1">INDEX(Master!$H$2:'Master'!$H$4384,MATCH($A8&amp;K$2,Master!$A$2:'Master'!$A$4384&amp;Master!$C$2:'Master'!$C$4384,0))</f>
        <v>97</v>
      </c>
      <c r="L8" s="21" cm="1">
        <f t="array" aca="1" ref="L8" ca="1">INDEX(Master!$H$2:'Master'!$H$4384,MATCH($A8&amp;L$2,Master!$A$2:'Master'!$A$4384&amp;Master!$C$2:'Master'!$C$4384,0))</f>
        <v>97</v>
      </c>
      <c r="M8" s="21" cm="1">
        <f t="array" aca="1" ref="M8" ca="1">INDEX(Master!$H$2:'Master'!$H$4384,MATCH($A8&amp;M$2,Master!$A$2:'Master'!$A$4384&amp;Master!$C$2:'Master'!$C$4384,0))</f>
        <v>96</v>
      </c>
      <c r="N8" s="21" cm="1">
        <f t="array" aca="1" ref="N8" ca="1">INDEX(Master!$H$2:'Master'!$H$4384,MATCH($A8&amp;N$2,Master!$A$2:'Master'!$A$4384&amp;Master!$C$2:'Master'!$C$4384,0))</f>
        <v>97</v>
      </c>
      <c r="O8" s="21" cm="1">
        <f t="array" aca="1" ref="O8" ca="1">INDEX(Master!$H$2:'Master'!$H$4384,MATCH($A8&amp;O$2,Master!$A$2:'Master'!$A$4384&amp;Master!$C$2:'Master'!$C$4384,0))</f>
        <v>97</v>
      </c>
      <c r="P8" s="21" cm="1">
        <f t="array" aca="1" ref="P8" ca="1">INDEX(Master!$H$2:'Master'!$H$4384,MATCH($A8&amp;P$2,Master!$A$2:'Master'!$A$4384&amp;Master!$C$2:'Master'!$C$4384,0))</f>
        <v>97</v>
      </c>
      <c r="Q8" s="21" cm="1">
        <f t="array" aca="1" ref="Q8" ca="1">INDEX(Master!$H$2:'Master'!$H$4384,MATCH($A8&amp;Q$2,Master!$A$2:'Master'!$A$4384&amp;Master!$C$2:'Master'!$C$4384,0))</f>
        <v>98</v>
      </c>
      <c r="R8" s="21" cm="1">
        <f t="array" aca="1" ref="R8" ca="1">INDEX(Master!$H$2:'Master'!$H$4384,MATCH($A8&amp;R$2,Master!$A$2:'Master'!$A$4384&amp;Master!$C$2:'Master'!$C$4384,0))</f>
        <v>99</v>
      </c>
      <c r="S8" s="21" cm="1">
        <f t="array" aca="1" ref="S8" ca="1">INDEX(Master!$H$2:'Master'!$H$4384,MATCH($A8&amp;S$2,Master!$A$2:'Master'!$A$4384&amp;Master!$C$2:'Master'!$C$4384,0))</f>
        <v>99</v>
      </c>
      <c r="T8" s="21" cm="1">
        <f t="array" aca="1" ref="T8" ca="1">INDEX(Master!$H$2:'Master'!$H$4384,MATCH($A8&amp;T$2,Master!$A$2:'Master'!$A$4384&amp;Master!$C$2:'Master'!$C$4384,0))</f>
        <v>98</v>
      </c>
      <c r="U8" s="21" cm="1">
        <f t="array" aca="1" ref="U8" ca="1">INDEX(Master!$H$2:'Master'!$H$4384,MATCH($A8&amp;U$2,Master!$A$2:'Master'!$A$4384&amp;Master!$C$2:'Master'!$C$4384,0))</f>
        <v>99</v>
      </c>
      <c r="V8" s="21" cm="1">
        <f t="array" aca="1" ref="V8" ca="1">INDEX(Master!$H$2:'Master'!$H$4384,MATCH($A8&amp;V$2,Master!$A$2:'Master'!$A$4384&amp;Master!$C$2:'Master'!$C$4384,0))</f>
        <v>97</v>
      </c>
      <c r="W8" s="21" cm="1">
        <f t="array" aca="1" ref="W8" ca="1">INDEX(Master!$H$2:'Master'!$H$4384,MATCH($A8&amp;W$2,Master!$A$2:'Master'!$A$4384&amp;Master!$C$2:'Master'!$C$4384,0))</f>
        <v>98</v>
      </c>
      <c r="X8" s="21" cm="1">
        <f t="array" aca="1" ref="X8" ca="1">INDEX(Master!$H$2:'Master'!$H$4384,MATCH($A8&amp;X$2,Master!$A$2:'Master'!$A$4384&amp;Master!$C$2:'Master'!$C$4384,0))</f>
        <v>99</v>
      </c>
      <c r="Y8" s="21" cm="1">
        <f t="array" aca="1" ref="Y8" ca="1">INDEX(Master!$H$2:'Master'!$H$4384,MATCH($A8&amp;Y$2,Master!$A$2:'Master'!$A$4384&amp;Master!$C$2:'Master'!$C$4384,0))</f>
        <v>99</v>
      </c>
      <c r="Z8" s="21" cm="1">
        <f t="array" aca="1" ref="Z8" ca="1">INDEX(Master!$H$2:'Master'!$H$4384,MATCH($A8&amp;Z$2,Master!$A$2:'Master'!$A$4384&amp;Master!$C$2:'Master'!$C$4384,0))</f>
        <v>97</v>
      </c>
      <c r="AA8" s="21" cm="1">
        <f t="array" aca="1" ref="AA8" ca="1">INDEX(Master!$H$2:'Master'!$H$4384,MATCH($A8&amp;AA$2,Master!$A$2:'Master'!$A$4384&amp;Master!$C$2:'Master'!$C$4384,0))</f>
        <v>97</v>
      </c>
      <c r="AB8" s="21" cm="1">
        <f t="array" aca="1" ref="AB8" ca="1">INDEX(Master!$H$2:'Master'!$H$4384,MATCH($A8&amp;AB$2,Master!$A$2:'Master'!$A$4384&amp;Master!$C$2:'Master'!$C$4384,0))</f>
        <v>98</v>
      </c>
      <c r="AC8" s="21" cm="1">
        <f t="array" aca="1" ref="AC8" ca="1">INDEX(Master!$H$2:'Master'!$H$4384,MATCH($A8&amp;AC$2,Master!$A$2:'Master'!$A$4384&amp;Master!$C$2:'Master'!$C$4384,0))</f>
        <v>97</v>
      </c>
      <c r="AD8" s="21" cm="1">
        <f t="array" aca="1" ref="AD8" ca="1">INDEX(Master!$H$2:'Master'!$H$4384,MATCH($A8&amp;AD$2,Master!$A$2:'Master'!$A$4384&amp;Master!$C$2:'Master'!$C$4384,0))</f>
        <v>98</v>
      </c>
      <c r="AE8" s="21" cm="1">
        <f t="array" aca="1" ref="AE8" ca="1">INDEX(Master!$H$2:'Master'!$H$4384,MATCH($A8&amp;AE$2,Master!$A$2:'Master'!$A$4384&amp;Master!$C$2:'Master'!$C$4384,0))</f>
        <v>99</v>
      </c>
      <c r="AF8" s="21" cm="1">
        <f t="array" aca="1" ref="AF8" ca="1">INDEX(Master!$H$2:'Master'!$H$4384,MATCH($A8&amp;AF$2,Master!$A$2:'Master'!$A$4384&amp;Master!$C$2:'Master'!$C$4384,0))</f>
        <v>99</v>
      </c>
      <c r="AG8" s="21" cm="1">
        <f t="array" aca="1" ref="AG8" ca="1">INDEX(Master!$H$2:'Master'!$H$4384,MATCH($A8&amp;AG$2,Master!$A$2:'Master'!$A$4384&amp;Master!$C$2:'Master'!$C$4384,0))</f>
        <v>99</v>
      </c>
      <c r="AH8" s="21" cm="1">
        <f t="array" aca="1" ref="AH8" ca="1">INDEX(Master!$H$2:'Master'!$H$4384,MATCH($A8&amp;AH$2,Master!$A$2:'Master'!$A$4384&amp;Master!$C$2:'Master'!$C$4384,0))</f>
        <v>99</v>
      </c>
      <c r="AI8" s="21" cm="1">
        <f t="array" aca="1" ref="AI8" ca="1">INDEX(Master!$H$2:'Master'!$H$4384,MATCH($A8&amp;AI$2,Master!$A$2:'Master'!$A$4384&amp;Master!$C$2:'Master'!$C$4384,0))</f>
        <v>99</v>
      </c>
      <c r="AJ8" s="21" cm="1">
        <f t="array" aca="1" ref="AJ8" ca="1">INDEX(Master!$H$2:'Master'!$H$4384,MATCH($A8&amp;AJ$2,Master!$A$2:'Master'!$A$4384&amp;Master!$C$2:'Master'!$C$4384,0))</f>
        <v>99</v>
      </c>
      <c r="AK8" s="21" cm="1">
        <f t="array" aca="1" ref="AK8" ca="1">INDEX(Master!$H$2:'Master'!$H$4384,MATCH($A8&amp;AK$2,Master!$A$2:'Master'!$A$4384&amp;Master!$C$2:'Master'!$C$4384,0))</f>
        <v>99</v>
      </c>
      <c r="AL8" s="21" cm="1">
        <f t="array" aca="1" ref="AL8" ca="1">INDEX(Master!$H$2:'Master'!$H$4384,MATCH($A8&amp;AL$2,Master!$A$2:'Master'!$A$4384&amp;Master!$C$2:'Master'!$C$4384,0))</f>
        <v>99</v>
      </c>
      <c r="AM8" s="21" cm="1">
        <f t="array" aca="1" ref="AM8" ca="1">INDEX(Master!$H$2:'Master'!$H$4384,MATCH($A8&amp;AM$2,Master!$A$2:'Master'!$A$4384&amp;Master!$C$2:'Master'!$C$4384,0))</f>
        <v>99</v>
      </c>
      <c r="AN8" s="21" cm="1">
        <f t="array" aca="1" ref="AN8" ca="1">INDEX(Master!$H$2:'Master'!$H$4384,MATCH($A8&amp;AN$2,Master!$A$2:'Master'!$A$4384&amp;Master!$C$2:'Master'!$C$4384,0))</f>
        <v>99</v>
      </c>
      <c r="AO8" s="21" cm="1">
        <f t="array" aca="1" ref="AO8" ca="1">INDEX(Master!$H$2:'Master'!$H$4384,MATCH($A8&amp;AO$2,Master!$A$2:'Master'!$A$4384&amp;Master!$C$2:'Master'!$C$4384,0))</f>
        <v>98</v>
      </c>
      <c r="AP8" s="21" cm="1">
        <f t="array" aca="1" ref="AP8" ca="1">INDEX(Master!$H$2:'Master'!$H$4384,MATCH($A8&amp;AP$2,Master!$A$2:'Master'!$A$4384&amp;Master!$C$2:'Master'!$C$4384,0))</f>
        <v>97</v>
      </c>
      <c r="AQ8" s="21" cm="1">
        <f t="array" aca="1" ref="AQ8" ca="1">INDEX(Master!$H$2:'Master'!$H$4384,MATCH($A8&amp;AQ$2,Master!$A$2:'Master'!$A$4384&amp;Master!$C$2:'Master'!$C$4384,0))</f>
        <v>98</v>
      </c>
      <c r="AR8" s="21" cm="1">
        <f t="array" aca="1" ref="AR8" ca="1">INDEX(Master!$H$2:'Master'!$H$4384,MATCH($A8&amp;AR$2,Master!$A$2:'Master'!$A$4384&amp;Master!$C$2:'Master'!$C$4384,0))</f>
        <v>98</v>
      </c>
      <c r="AS8" s="21" cm="1">
        <f t="array" aca="1" ref="AS8" ca="1">INDEX(Master!$H$2:'Master'!$H$4384,MATCH($A8&amp;AS$2,Master!$A$2:'Master'!$A$4384&amp;Master!$C$2:'Master'!$C$4384,0))</f>
        <v>99</v>
      </c>
      <c r="AT8" s="21" cm="1">
        <f t="array" aca="1" ref="AT8" ca="1">INDEX(Master!$H$2:'Master'!$H$4384,MATCH($A8&amp;AT$2,Master!$A$2:'Master'!$A$4384&amp;Master!$C$2:'Master'!$C$4384,0))</f>
        <v>99</v>
      </c>
      <c r="AU8" s="21" cm="1">
        <f t="array" aca="1" ref="AU8" ca="1">INDEX(Master!$H$2:'Master'!$H$4384,MATCH($A8&amp;AU$2,Master!$A$2:'Master'!$A$4384&amp;Master!$C$2:'Master'!$C$4384,0))</f>
        <v>99</v>
      </c>
      <c r="AV8" s="21" cm="1">
        <f t="array" aca="1" ref="AV8" ca="1">INDEX(Master!$H$2:'Master'!$H$4384,MATCH($A8&amp;AV$2,Master!$A$2:'Master'!$A$4384&amp;Master!$C$2:'Master'!$C$4384,0))</f>
        <v>97</v>
      </c>
      <c r="AW8" s="21" cm="1">
        <f t="array" aca="1" ref="AW8" ca="1">INDEX(Master!$H$2:'Master'!$H$4384,MATCH($A8&amp;AW$2,Master!$A$2:'Master'!$A$4384&amp;Master!$C$2:'Master'!$C$4384,0))</f>
        <v>99</v>
      </c>
      <c r="AX8" s="21" cm="1">
        <f t="array" aca="1" ref="AX8" ca="1">INDEX(Master!$H$2:'Master'!$H$4384,MATCH($A8&amp;AX$2,Master!$A$2:'Master'!$A$4384&amp;Master!$C$2:'Master'!$C$4384,0))</f>
        <v>99</v>
      </c>
      <c r="AY8" s="21" cm="1">
        <f t="array" aca="1" ref="AY8" ca="1">INDEX(Master!$H$2:'Master'!$H$4384,MATCH($A8&amp;AY$2,Master!$A$2:'Master'!$A$4384&amp;Master!$C$2:'Master'!$C$4384,0))</f>
        <v>99</v>
      </c>
      <c r="AZ8" s="21" cm="1">
        <f t="array" aca="1" ref="AZ8" ca="1">INDEX(Master!$H$2:'Master'!$H$4384,MATCH($A8&amp;AZ$2,Master!$A$2:'Master'!$A$4384&amp;Master!$C$2:'Master'!$C$4384,0))</f>
        <v>98</v>
      </c>
      <c r="BA8" s="21" cm="1">
        <f t="array" aca="1" ref="BA8" ca="1">INDEX(Master!$H$2:'Master'!$H$4384,MATCH($A8&amp;BA$2,Master!$A$2:'Master'!$A$4384&amp;Master!$C$2:'Master'!$C$4384,0))</f>
        <v>99</v>
      </c>
      <c r="BB8" s="21" cm="1">
        <f t="array" aca="1" ref="BB8" ca="1">INDEX(Master!$H$2:'Master'!$H$4384,MATCH($A8&amp;BB$2,Master!$A$2:'Master'!$A$4384&amp;Master!$C$2:'Master'!$C$4384,0))</f>
        <v>99</v>
      </c>
      <c r="BC8" s="21" cm="1">
        <f t="array" aca="1" ref="BC8" ca="1">INDEX(Master!$H$2:'Master'!$H$4384,MATCH($A8&amp;BC$2,Master!$A$2:'Master'!$A$4384&amp;Master!$C$2:'Master'!$C$4384,0))</f>
        <v>99</v>
      </c>
      <c r="BD8" s="21" cm="1">
        <f t="array" aca="1" ref="BD8" ca="1">INDEX(Master!$H$2:'Master'!$H$4384,MATCH($A8&amp;BD$2,Master!$A$2:'Master'!$A$4384&amp;Master!$C$2:'Master'!$C$4384,0))</f>
        <v>99</v>
      </c>
      <c r="BE8" s="21" cm="1">
        <f t="array" aca="1" ref="BE8" ca="1">INDEX(Master!$H$2:'Master'!$H$4384,MATCH($A8&amp;BE$2,Master!$A$2:'Master'!$A$4384&amp;Master!$C$2:'Master'!$C$4384,0))</f>
        <v>99</v>
      </c>
      <c r="BF8" s="21" cm="1">
        <f t="array" aca="1" ref="BF8" ca="1">INDEX(Master!$H$2:'Master'!$H$4384,MATCH($A8&amp;BF$2,Master!$A$2:'Master'!$A$4384&amp;Master!$C$2:'Master'!$C$4384,0))</f>
        <v>99</v>
      </c>
      <c r="BG8" s="21" cm="1">
        <f t="array" aca="1" ref="BG8" ca="1">INDEX(Master!$H$2:'Master'!$H$4384,MATCH($A8&amp;BG$2,Master!$A$2:'Master'!$A$4384&amp;Master!$C$2:'Master'!$C$4384,0))</f>
        <v>97</v>
      </c>
      <c r="BH8" s="21" cm="1">
        <f t="array" aca="1" ref="BH8" ca="1">INDEX(Master!$H$2:'Master'!$H$4384,MATCH($A8&amp;BH$2,Master!$A$2:'Master'!$A$4384&amp;Master!$C$2:'Master'!$C$4384,0))</f>
        <v>99</v>
      </c>
      <c r="BI8" s="21" cm="1">
        <f t="array" aca="1" ref="BI8" ca="1">INDEX(Master!$H$2:'Master'!$H$4384,MATCH($A8&amp;BI$2,Master!$A$2:'Master'!$A$4384&amp;Master!$C$2:'Master'!$C$4384,0))</f>
        <v>98</v>
      </c>
      <c r="BJ8" s="21" cm="1">
        <f t="array" aca="1" ref="BJ8" ca="1">INDEX(Master!$H$2:'Master'!$H$4384,MATCH($A8&amp;BJ$2,Master!$A$2:'Master'!$A$4384&amp;Master!$C$2:'Master'!$C$4384,0))</f>
        <v>99</v>
      </c>
      <c r="BK8" s="21" cm="1">
        <f t="array" aca="1" ref="BK8" ca="1">INDEX(Master!$H$2:'Master'!$H$4384,MATCH($A8&amp;BK$2,Master!$A$2:'Master'!$A$4384&amp;Master!$C$2:'Master'!$C$4384,0))</f>
        <v>98</v>
      </c>
      <c r="BL8" s="21" cm="1">
        <f t="array" aca="1" ref="BL8" ca="1">INDEX(Master!$H$2:'Master'!$H$4384,MATCH($A8&amp;BL$2,Master!$A$2:'Master'!$A$4384&amp;Master!$C$2:'Master'!$C$4384,0))</f>
        <v>98</v>
      </c>
      <c r="BM8" s="21" cm="1">
        <f t="array" aca="1" ref="BM8" ca="1">INDEX(Master!$H$2:'Master'!$H$4384,MATCH($A8&amp;BM$2,Master!$A$2:'Master'!$A$4384&amp;Master!$C$2:'Master'!$C$4384,0))</f>
        <v>98</v>
      </c>
      <c r="BN8" s="21" cm="1">
        <f t="array" aca="1" ref="BN8" ca="1">INDEX(Master!$H$2:'Master'!$H$4384,MATCH($A8&amp;BN$2,Master!$A$2:'Master'!$A$4384&amp;Master!$C$2:'Master'!$C$4384,0))</f>
        <v>99</v>
      </c>
      <c r="BO8" s="21" cm="1">
        <f t="array" aca="1" ref="BO8" ca="1">INDEX(Master!$H$2:'Master'!$H$4384,MATCH($A8&amp;BO$2,Master!$A$2:'Master'!$A$4384&amp;Master!$C$2:'Master'!$C$4384,0))</f>
        <v>99</v>
      </c>
      <c r="BP8" s="21" cm="1">
        <f t="array" aca="1" ref="BP8" ca="1">INDEX(Master!$H$2:'Master'!$H$4384,MATCH($A8&amp;BP$2,Master!$A$2:'Master'!$A$4384&amp;Master!$C$2:'Master'!$C$4384,0))</f>
        <v>99</v>
      </c>
      <c r="BQ8" s="21" cm="1">
        <f t="array" aca="1" ref="BQ8" ca="1">INDEX(Master!$H$2:'Master'!$H$4384,MATCH($A8&amp;BQ$2,Master!$A$2:'Master'!$A$4384&amp;Master!$C$2:'Master'!$C$4384,0))</f>
        <v>98</v>
      </c>
      <c r="BR8" s="21" cm="1">
        <f t="array" aca="1" ref="BR8" ca="1">INDEX(Master!$H$2:'Master'!$H$4384,MATCH($A8&amp;BR$2,Master!$A$2:'Master'!$A$4384&amp;Master!$C$2:'Master'!$C$4384,0))</f>
        <v>99</v>
      </c>
      <c r="BS8" s="21" cm="1">
        <f t="array" aca="1" ref="BS8" ca="1">INDEX(Master!$H$2:'Master'!$H$4384,MATCH($A8&amp;BS$2,Master!$A$2:'Master'!$A$4384&amp;Master!$C$2:'Master'!$C$4384,0))</f>
        <v>99</v>
      </c>
      <c r="BT8" s="21" cm="1">
        <f t="array" aca="1" ref="BT8" ca="1">INDEX(Master!$H$2:'Master'!$H$4384,MATCH($A8&amp;BT$2,Master!$A$2:'Master'!$A$4384&amp;Master!$C$2:'Master'!$C$4384,0))</f>
        <v>99</v>
      </c>
      <c r="BU8" s="21" cm="1">
        <f t="array" aca="1" ref="BU8" ca="1">INDEX(Master!$H$2:'Master'!$H$4384,MATCH($A8&amp;BU$2,Master!$A$2:'Master'!$A$4384&amp;Master!$C$2:'Master'!$C$4384,0))</f>
        <v>99</v>
      </c>
      <c r="BV8" s="21" cm="1">
        <f t="array" aca="1" ref="BV8" ca="1">INDEX(Master!$H$2:'Master'!$H$4384,MATCH($A8&amp;BV$2,Master!$A$2:'Master'!$A$4384&amp;Master!$C$2:'Master'!$C$4384,0))</f>
        <v>97</v>
      </c>
      <c r="BW8" s="21" cm="1">
        <f t="array" aca="1" ref="BW8" ca="1">INDEX(Master!$H$2:'Master'!$H$4384,MATCH($A8&amp;BW$2,Master!$A$2:'Master'!$A$4384&amp;Master!$C$2:'Master'!$C$4384,0))</f>
        <v>99</v>
      </c>
      <c r="BX8" s="21" cm="1">
        <f t="array" aca="1" ref="BX8" ca="1">INDEX(Master!$H$2:'Master'!$H$4384,MATCH($A8&amp;BX$2,Master!$A$2:'Master'!$A$4384&amp;Master!$C$2:'Master'!$C$4384,0))</f>
        <v>97</v>
      </c>
      <c r="BY8" s="21" cm="1">
        <f t="array" aca="1" ref="BY8" ca="1">INDEX(Master!$H$2:'Master'!$H$4384,MATCH($A8&amp;BY$2,Master!$A$2:'Master'!$A$4384&amp;Master!$C$2:'Master'!$C$4384,0))</f>
        <v>99</v>
      </c>
      <c r="BZ8" s="21" cm="1">
        <f t="array" aca="1" ref="BZ8" ca="1">INDEX(Master!$H$2:'Master'!$H$4384,MATCH($A8&amp;BZ$2,Master!$A$2:'Master'!$A$4384&amp;Master!$C$2:'Master'!$C$4384,0))</f>
        <v>98</v>
      </c>
      <c r="CA8" s="21" cm="1">
        <f t="array" aca="1" ref="CA8" ca="1">INDEX(Master!$H$2:'Master'!$H$4384,MATCH($A8&amp;CA$2,Master!$A$2:'Master'!$A$4384&amp;Master!$C$2:'Master'!$C$4384,0))</f>
        <v>99</v>
      </c>
      <c r="CB8" s="21" cm="1">
        <f t="array" aca="1" ref="CB8" ca="1">INDEX(Master!$H$2:'Master'!$H$4384,MATCH($A8&amp;CB$2,Master!$A$2:'Master'!$A$4384&amp;Master!$C$2:'Master'!$C$4384,0))</f>
        <v>98</v>
      </c>
      <c r="CC8" s="21" cm="1">
        <f t="array" aca="1" ref="CC8" ca="1">INDEX(Master!$H$2:'Master'!$H$4384,MATCH($A8&amp;CC$2,Master!$A$2:'Master'!$A$4384&amp;Master!$C$2:'Master'!$C$4384,0))</f>
        <v>98</v>
      </c>
      <c r="CD8" s="21" cm="1">
        <f t="array" aca="1" ref="CD8" ca="1">INDEX(Master!$H$2:'Master'!$H$4384,MATCH($A8&amp;CD$2,Master!$A$2:'Master'!$A$4384&amp;Master!$C$2:'Master'!$C$4384,0))</f>
        <v>98</v>
      </c>
      <c r="CE8" s="21" cm="1">
        <f t="array" aca="1" ref="CE8" ca="1">INDEX(Master!$H$2:'Master'!$H$4384,MATCH($A8&amp;CE$2,Master!$A$2:'Master'!$A$4384&amp;Master!$C$2:'Master'!$C$4384,0))</f>
        <v>98</v>
      </c>
      <c r="CF8" s="21" cm="1">
        <f t="array" aca="1" ref="CF8" ca="1">INDEX(Master!$H$2:'Master'!$H$4384,MATCH($A8&amp;CF$2,Master!$A$2:'Master'!$A$4384&amp;Master!$C$2:'Master'!$C$4384,0))</f>
        <v>98</v>
      </c>
      <c r="CG8" s="21" cm="1">
        <f t="array" aca="1" ref="CG8" ca="1">INDEX(Master!$H$2:'Master'!$H$4384,MATCH($A8&amp;CG$2,Master!$A$2:'Master'!$A$4384&amp;Master!$C$2:'Master'!$C$4384,0))</f>
        <v>98</v>
      </c>
      <c r="CH8" s="21" cm="1">
        <f t="array" aca="1" ref="CH8" ca="1">INDEX(Master!$H$2:'Master'!$H$4384,MATCH($A8&amp;CH$2,Master!$A$2:'Master'!$A$4384&amp;Master!$C$2:'Master'!$C$4384,0))</f>
        <v>98</v>
      </c>
      <c r="CI8" s="21" cm="1">
        <f t="array" aca="1" ref="CI8" ca="1">INDEX(Master!$H$2:'Master'!$H$4384,MATCH($A8&amp;CI$2,Master!$A$2:'Master'!$A$4384&amp;Master!$C$2:'Master'!$C$4384,0))</f>
        <v>98</v>
      </c>
      <c r="CJ8" s="21" cm="1">
        <f t="array" aca="1" ref="CJ8" ca="1">INDEX(Master!$H$2:'Master'!$H$4384,MATCH($A8&amp;CJ$2,Master!$A$2:'Master'!$A$4384&amp;Master!$C$2:'Master'!$C$4384,0))</f>
        <v>99</v>
      </c>
      <c r="CK8" s="21" cm="1">
        <f t="array" aca="1" ref="CK8" ca="1">INDEX(Master!$H$2:'Master'!$H$4384,MATCH($A8&amp;CK$2,Master!$A$2:'Master'!$A$4384&amp;Master!$C$2:'Master'!$C$4384,0))</f>
        <v>99</v>
      </c>
      <c r="CL8" s="21" cm="1">
        <f t="array" aca="1" ref="CL8" ca="1">INDEX(Master!$H$2:'Master'!$H$4384,MATCH($A8&amp;CL$2,Master!$A$2:'Master'!$A$4384&amp;Master!$C$2:'Master'!$C$4384,0))</f>
        <v>99</v>
      </c>
      <c r="CM8" s="21" cm="1">
        <f t="array" aca="1" ref="CM8" ca="1">INDEX(Master!$H$2:'Master'!$H$4384,MATCH($A8&amp;CM$2,Master!$A$2:'Master'!$A$4384&amp;Master!$C$2:'Master'!$C$4384,0))</f>
        <v>99</v>
      </c>
      <c r="CN8" s="21" cm="1">
        <f t="array" aca="1" ref="CN8" ca="1">INDEX(Master!$H$2:'Master'!$H$4384,MATCH($A8&amp;CN$2,Master!$A$2:'Master'!$A$4384&amp;Master!$C$2:'Master'!$C$4384,0))</f>
        <v>97</v>
      </c>
      <c r="CO8" s="21" cm="1">
        <f t="array" aca="1" ref="CO8" ca="1">INDEX(Master!$H$2:'Master'!$H$4384,MATCH($A8&amp;CO$2,Master!$A$2:'Master'!$A$4384&amp;Master!$C$2:'Master'!$C$4384,0))</f>
        <v>97</v>
      </c>
      <c r="CP8" s="21" cm="1">
        <f t="array" aca="1" ref="CP8" ca="1">INDEX(Master!$H$2:'Master'!$H$4384,MATCH($A8&amp;CP$2,Master!$A$2:'Master'!$A$4384&amp;Master!$C$2:'Master'!$C$4384,0))</f>
        <v>97</v>
      </c>
      <c r="CQ8" s="21" cm="1">
        <f t="array" aca="1" ref="CQ8" ca="1">INDEX(Master!$H$2:'Master'!$H$4384,MATCH($A8&amp;CQ$2,Master!$A$2:'Master'!$A$4384&amp;Master!$C$2:'Master'!$C$4384,0))</f>
        <v>99</v>
      </c>
      <c r="CR8" s="21" cm="1">
        <f t="array" aca="1" ref="CR8" ca="1">INDEX(Master!$H$2:'Master'!$H$4384,MATCH($A8&amp;CR$2,Master!$A$2:'Master'!$A$4384&amp;Master!$C$2:'Master'!$C$4384,0))</f>
        <v>99</v>
      </c>
      <c r="CS8" s="21" cm="1">
        <f t="array" aca="1" ref="CS8" ca="1">INDEX(Master!$H$2:'Master'!$H$4384,MATCH($A8&amp;CS$2,Master!$A$2:'Master'!$A$4384&amp;Master!$C$2:'Master'!$C$4384,0))</f>
        <v>98</v>
      </c>
    </row>
    <row r="9" spans="1:97">
      <c r="A9" s="22" t="str">
        <f>VLOOKUP(Staff!$A5,Staff!$A$1:A$73,1,FALSE)</f>
        <v>Christopher Foyle</v>
      </c>
      <c r="B9" s="21" cm="1">
        <f t="array" aca="1" ref="B9" ca="1">INDEX(Master!$H$2:'Master'!$H$4384,MATCH($A9&amp;B$2,Master!$A$2:'Master'!$A$4384&amp;Master!$C$2:'Master'!$C$4384,0))</f>
        <v>2</v>
      </c>
      <c r="C9" s="21" cm="1">
        <f t="array" aca="1" ref="C9" ca="1">INDEX(Master!$H$2:'Master'!$H$4384,MATCH($A9&amp;C$2,Master!$A$2:'Master'!$A$4384&amp;Master!$C$2:'Master'!$C$4384,0))</f>
        <v>3</v>
      </c>
      <c r="D9" s="21" cm="1">
        <f t="array" aca="1" ref="D9" ca="1">INDEX(Master!$H$2:'Master'!$H$4384,MATCH($A9&amp;D$2,Master!$A$2:'Master'!$A$4384&amp;Master!$C$2:'Master'!$C$4384,0))</f>
        <v>2</v>
      </c>
      <c r="E9" s="21" cm="1">
        <f t="array" aca="1" ref="E9" ca="1">INDEX(Master!$H$2:'Master'!$H$4384,MATCH($A9&amp;E$2,Master!$A$2:'Master'!$A$4384&amp;Master!$C$2:'Master'!$C$4384,0))</f>
        <v>1</v>
      </c>
      <c r="F9" s="21" cm="1">
        <f t="array" aca="1" ref="F9" ca="1">INDEX(Master!$H$2:'Master'!$H$4384,MATCH($A9&amp;F$2,Master!$A$2:'Master'!$A$4384&amp;Master!$C$2:'Master'!$C$4384,0))</f>
        <v>3</v>
      </c>
      <c r="G9" s="21" cm="1">
        <f t="array" aca="1" ref="G9" ca="1">INDEX(Master!$H$2:'Master'!$H$4384,MATCH($A9&amp;G$2,Master!$A$2:'Master'!$A$4384&amp;Master!$C$2:'Master'!$C$4384,0))</f>
        <v>3</v>
      </c>
      <c r="H9" s="21" cm="1">
        <f t="array" aca="1" ref="H9" ca="1">INDEX(Master!$H$2:'Master'!$H$4384,MATCH($A9&amp;H$2,Master!$A$2:'Master'!$A$4384&amp;Master!$C$2:'Master'!$C$4384,0))</f>
        <v>1</v>
      </c>
      <c r="I9" s="21" cm="1">
        <f t="array" aca="1" ref="I9" ca="1">INDEX(Master!$H$2:'Master'!$H$4384,MATCH($A9&amp;I$2,Master!$A$2:'Master'!$A$4384&amp;Master!$C$2:'Master'!$C$4384,0))</f>
        <v>2</v>
      </c>
      <c r="J9" s="21" cm="1">
        <f t="array" aca="1" ref="J9" ca="1">INDEX(Master!$H$2:'Master'!$H$4384,MATCH($A9&amp;J$2,Master!$A$2:'Master'!$A$4384&amp;Master!$C$2:'Master'!$C$4384,0))</f>
        <v>3</v>
      </c>
      <c r="K9" s="21" cm="1">
        <f t="array" aca="1" ref="K9" ca="1">INDEX(Master!$H$2:'Master'!$H$4384,MATCH($A9&amp;K$2,Master!$A$2:'Master'!$A$4384&amp;Master!$C$2:'Master'!$C$4384,0))</f>
        <v>2</v>
      </c>
      <c r="L9" s="21" cm="1">
        <f t="array" aca="1" ref="L9" ca="1">INDEX(Master!$H$2:'Master'!$H$4384,MATCH($A9&amp;L$2,Master!$A$2:'Master'!$A$4384&amp;Master!$C$2:'Master'!$C$4384,0))</f>
        <v>1</v>
      </c>
      <c r="M9" s="21" cm="1">
        <f t="array" aca="1" ref="M9" ca="1">INDEX(Master!$H$2:'Master'!$H$4384,MATCH($A9&amp;M$2,Master!$A$2:'Master'!$A$4384&amp;Master!$C$2:'Master'!$C$4384,0))</f>
        <v>1</v>
      </c>
      <c r="N9" s="21" cm="1">
        <f t="array" aca="1" ref="N9" ca="1">INDEX(Master!$H$2:'Master'!$H$4384,MATCH($A9&amp;N$2,Master!$A$2:'Master'!$A$4384&amp;Master!$C$2:'Master'!$C$4384,0))</f>
        <v>1</v>
      </c>
      <c r="O9" s="21" cm="1">
        <f t="array" aca="1" ref="O9" ca="1">INDEX(Master!$H$2:'Master'!$H$4384,MATCH($A9&amp;O$2,Master!$A$2:'Master'!$A$4384&amp;Master!$C$2:'Master'!$C$4384,0))</f>
        <v>1</v>
      </c>
      <c r="P9" s="21" cm="1">
        <f t="array" aca="1" ref="P9" ca="1">INDEX(Master!$H$2:'Master'!$H$4384,MATCH($A9&amp;P$2,Master!$A$2:'Master'!$A$4384&amp;Master!$C$2:'Master'!$C$4384,0))</f>
        <v>0</v>
      </c>
      <c r="Q9" s="21" cm="1">
        <f t="array" aca="1" ref="Q9" ca="1">INDEX(Master!$H$2:'Master'!$H$4384,MATCH($A9&amp;Q$2,Master!$A$2:'Master'!$A$4384&amp;Master!$C$2:'Master'!$C$4384,0))</f>
        <v>0</v>
      </c>
      <c r="R9" s="21" cm="1">
        <f t="array" aca="1" ref="R9" ca="1">INDEX(Master!$H$2:'Master'!$H$4384,MATCH($A9&amp;R$2,Master!$A$2:'Master'!$A$4384&amp;Master!$C$2:'Master'!$C$4384,0))</f>
        <v>0</v>
      </c>
      <c r="S9" s="21" cm="1">
        <f t="array" aca="1" ref="S9" ca="1">INDEX(Master!$H$2:'Master'!$H$4384,MATCH($A9&amp;S$2,Master!$A$2:'Master'!$A$4384&amp;Master!$C$2:'Master'!$C$4384,0))</f>
        <v>1</v>
      </c>
      <c r="T9" s="21" cm="1">
        <f t="array" aca="1" ref="T9" ca="1">INDEX(Master!$H$2:'Master'!$H$4384,MATCH($A9&amp;T$2,Master!$A$2:'Master'!$A$4384&amp;Master!$C$2:'Master'!$C$4384,0))</f>
        <v>3</v>
      </c>
      <c r="U9" s="21" cm="1">
        <f t="array" aca="1" ref="U9" ca="1">INDEX(Master!$H$2:'Master'!$H$4384,MATCH($A9&amp;U$2,Master!$A$2:'Master'!$A$4384&amp;Master!$C$2:'Master'!$C$4384,0))</f>
        <v>0</v>
      </c>
      <c r="V9" s="21" cm="1">
        <f t="array" aca="1" ref="V9" ca="1">INDEX(Master!$H$2:'Master'!$H$4384,MATCH($A9&amp;V$2,Master!$A$2:'Master'!$A$4384&amp;Master!$C$2:'Master'!$C$4384,0))</f>
        <v>1</v>
      </c>
      <c r="W9" s="21" cm="1">
        <f t="array" aca="1" ref="W9" ca="1">INDEX(Master!$H$2:'Master'!$H$4384,MATCH($A9&amp;W$2,Master!$A$2:'Master'!$A$4384&amp;Master!$C$2:'Master'!$C$4384,0))</f>
        <v>2</v>
      </c>
      <c r="X9" s="21" cm="1">
        <f t="array" aca="1" ref="X9" ca="1">INDEX(Master!$H$2:'Master'!$H$4384,MATCH($A9&amp;X$2,Master!$A$2:'Master'!$A$4384&amp;Master!$C$2:'Master'!$C$4384,0))</f>
        <v>0</v>
      </c>
      <c r="Y9" s="21" cm="1">
        <f t="array" aca="1" ref="Y9" ca="1">INDEX(Master!$H$2:'Master'!$H$4384,MATCH($A9&amp;Y$2,Master!$A$2:'Master'!$A$4384&amp;Master!$C$2:'Master'!$C$4384,0))</f>
        <v>2</v>
      </c>
      <c r="Z9" s="21" cm="1">
        <f t="array" aca="1" ref="Z9" ca="1">INDEX(Master!$H$2:'Master'!$H$4384,MATCH($A9&amp;Z$2,Master!$A$2:'Master'!$A$4384&amp;Master!$C$2:'Master'!$C$4384,0))</f>
        <v>1</v>
      </c>
      <c r="AA9" s="21" cm="1">
        <f t="array" aca="1" ref="AA9" ca="1">INDEX(Master!$H$2:'Master'!$H$4384,MATCH($A9&amp;AA$2,Master!$A$2:'Master'!$A$4384&amp;Master!$C$2:'Master'!$C$4384,0))</f>
        <v>1</v>
      </c>
      <c r="AB9" s="21" cm="1">
        <f t="array" aca="1" ref="AB9" ca="1">INDEX(Master!$H$2:'Master'!$H$4384,MATCH($A9&amp;AB$2,Master!$A$2:'Master'!$A$4384&amp;Master!$C$2:'Master'!$C$4384,0))</f>
        <v>1</v>
      </c>
      <c r="AC9" s="21" cm="1">
        <f t="array" aca="1" ref="AC9" ca="1">INDEX(Master!$H$2:'Master'!$H$4384,MATCH($A9&amp;AC$2,Master!$A$2:'Master'!$A$4384&amp;Master!$C$2:'Master'!$C$4384,0))</f>
        <v>2</v>
      </c>
      <c r="AD9" s="21" cm="1">
        <f t="array" aca="1" ref="AD9" ca="1">INDEX(Master!$H$2:'Master'!$H$4384,MATCH($A9&amp;AD$2,Master!$A$2:'Master'!$A$4384&amp;Master!$C$2:'Master'!$C$4384,0))</f>
        <v>-2</v>
      </c>
      <c r="AE9" s="21" cm="1">
        <f t="array" aca="1" ref="AE9" ca="1">INDEX(Master!$H$2:'Master'!$H$4384,MATCH($A9&amp;AE$2,Master!$A$2:'Master'!$A$4384&amp;Master!$C$2:'Master'!$C$4384,0))</f>
        <v>-1</v>
      </c>
      <c r="AF9" s="21" cm="1">
        <f t="array" aca="1" ref="AF9" ca="1">INDEX(Master!$H$2:'Master'!$H$4384,MATCH($A9&amp;AF$2,Master!$A$2:'Master'!$A$4384&amp;Master!$C$2:'Master'!$C$4384,0))</f>
        <v>1</v>
      </c>
      <c r="AG9" s="21" cm="1">
        <f t="array" aca="1" ref="AG9" ca="1">INDEX(Master!$H$2:'Master'!$H$4384,MATCH($A9&amp;AG$2,Master!$A$2:'Master'!$A$4384&amp;Master!$C$2:'Master'!$C$4384,0))</f>
        <v>2</v>
      </c>
      <c r="AH9" s="21" cm="1">
        <f t="array" aca="1" ref="AH9" ca="1">INDEX(Master!$H$2:'Master'!$H$4384,MATCH($A9&amp;AH$2,Master!$A$2:'Master'!$A$4384&amp;Master!$C$2:'Master'!$C$4384,0))</f>
        <v>3</v>
      </c>
      <c r="AI9" s="21" cm="1">
        <f t="array" aca="1" ref="AI9" ca="1">INDEX(Master!$H$2:'Master'!$H$4384,MATCH($A9&amp;AI$2,Master!$A$2:'Master'!$A$4384&amp;Master!$C$2:'Master'!$C$4384,0))</f>
        <v>1</v>
      </c>
      <c r="AJ9" s="21" cm="1">
        <f t="array" aca="1" ref="AJ9" ca="1">INDEX(Master!$H$2:'Master'!$H$4384,MATCH($A9&amp;AJ$2,Master!$A$2:'Master'!$A$4384&amp;Master!$C$2:'Master'!$C$4384,0))</f>
        <v>1</v>
      </c>
      <c r="AK9" s="21" cm="1">
        <f t="array" aca="1" ref="AK9" ca="1">INDEX(Master!$H$2:'Master'!$H$4384,MATCH($A9&amp;AK$2,Master!$A$2:'Master'!$A$4384&amp;Master!$C$2:'Master'!$C$4384,0))</f>
        <v>3</v>
      </c>
      <c r="AL9" s="21" cm="1">
        <f t="array" aca="1" ref="AL9" ca="1">INDEX(Master!$H$2:'Master'!$H$4384,MATCH($A9&amp;AL$2,Master!$A$2:'Master'!$A$4384&amp;Master!$C$2:'Master'!$C$4384,0))</f>
        <v>3</v>
      </c>
      <c r="AM9" s="21" cm="1">
        <f t="array" aca="1" ref="AM9" ca="1">INDEX(Master!$H$2:'Master'!$H$4384,MATCH($A9&amp;AM$2,Master!$A$2:'Master'!$A$4384&amp;Master!$C$2:'Master'!$C$4384,0))</f>
        <v>3</v>
      </c>
      <c r="AN9" s="21" cm="1">
        <f t="array" aca="1" ref="AN9" ca="1">INDEX(Master!$H$2:'Master'!$H$4384,MATCH($A9&amp;AN$2,Master!$A$2:'Master'!$A$4384&amp;Master!$C$2:'Master'!$C$4384,0))</f>
        <v>0</v>
      </c>
      <c r="AO9" s="21" cm="1">
        <f t="array" aca="1" ref="AO9" ca="1">INDEX(Master!$H$2:'Master'!$H$4384,MATCH($A9&amp;AO$2,Master!$A$2:'Master'!$A$4384&amp;Master!$C$2:'Master'!$C$4384,0))</f>
        <v>0</v>
      </c>
      <c r="AP9" s="21" cm="1">
        <f t="array" aca="1" ref="AP9" ca="1">INDEX(Master!$H$2:'Master'!$H$4384,MATCH($A9&amp;AP$2,Master!$A$2:'Master'!$A$4384&amp;Master!$C$2:'Master'!$C$4384,0))</f>
        <v>-1</v>
      </c>
      <c r="AQ9" s="21" cm="1">
        <f t="array" aca="1" ref="AQ9" ca="1">INDEX(Master!$H$2:'Master'!$H$4384,MATCH($A9&amp;AQ$2,Master!$A$2:'Master'!$A$4384&amp;Master!$C$2:'Master'!$C$4384,0))</f>
        <v>2</v>
      </c>
      <c r="AR9" s="21" cm="1">
        <f t="array" aca="1" ref="AR9" ca="1">INDEX(Master!$H$2:'Master'!$H$4384,MATCH($A9&amp;AR$2,Master!$A$2:'Master'!$A$4384&amp;Master!$C$2:'Master'!$C$4384,0))</f>
        <v>-1</v>
      </c>
      <c r="AS9" s="21" cm="1">
        <f t="array" aca="1" ref="AS9" ca="1">INDEX(Master!$H$2:'Master'!$H$4384,MATCH($A9&amp;AS$2,Master!$A$2:'Master'!$A$4384&amp;Master!$C$2:'Master'!$C$4384,0))</f>
        <v>-2</v>
      </c>
      <c r="AT9" s="21" cm="1">
        <f t="array" aca="1" ref="AT9" ca="1">INDEX(Master!$H$2:'Master'!$H$4384,MATCH($A9&amp;AT$2,Master!$A$2:'Master'!$A$4384&amp;Master!$C$2:'Master'!$C$4384,0))</f>
        <v>1</v>
      </c>
      <c r="AU9" s="21" cm="1">
        <f t="array" aca="1" ref="AU9" ca="1">INDEX(Master!$H$2:'Master'!$H$4384,MATCH($A9&amp;AU$2,Master!$A$2:'Master'!$A$4384&amp;Master!$C$2:'Master'!$C$4384,0))</f>
        <v>0</v>
      </c>
      <c r="AV9" s="21" cm="1">
        <f t="array" aca="1" ref="AV9" ca="1">INDEX(Master!$H$2:'Master'!$H$4384,MATCH($A9&amp;AV$2,Master!$A$2:'Master'!$A$4384&amp;Master!$C$2:'Master'!$C$4384,0))</f>
        <v>1</v>
      </c>
      <c r="AW9" s="21" cm="1">
        <f t="array" aca="1" ref="AW9" ca="1">INDEX(Master!$H$2:'Master'!$H$4384,MATCH($A9&amp;AW$2,Master!$A$2:'Master'!$A$4384&amp;Master!$C$2:'Master'!$C$4384,0))</f>
        <v>-1</v>
      </c>
      <c r="AX9" s="21" cm="1">
        <f t="array" aca="1" ref="AX9" ca="1">INDEX(Master!$H$2:'Master'!$H$4384,MATCH($A9&amp;AX$2,Master!$A$2:'Master'!$A$4384&amp;Master!$C$2:'Master'!$C$4384,0))</f>
        <v>4</v>
      </c>
      <c r="AY9" s="21" cm="1">
        <f t="array" aca="1" ref="AY9" ca="1">INDEX(Master!$H$2:'Master'!$H$4384,MATCH($A9&amp;AY$2,Master!$A$2:'Master'!$A$4384&amp;Master!$C$2:'Master'!$C$4384,0))</f>
        <v>1</v>
      </c>
      <c r="AZ9" s="21" cm="1">
        <f t="array" aca="1" ref="AZ9" ca="1">INDEX(Master!$H$2:'Master'!$H$4384,MATCH($A9&amp;AZ$2,Master!$A$2:'Master'!$A$4384&amp;Master!$C$2:'Master'!$C$4384,0))</f>
        <v>0</v>
      </c>
      <c r="BA9" s="21" cm="1">
        <f t="array" aca="1" ref="BA9" ca="1">INDEX(Master!$H$2:'Master'!$H$4384,MATCH($A9&amp;BA$2,Master!$A$2:'Master'!$A$4384&amp;Master!$C$2:'Master'!$C$4384,0))</f>
        <v>2</v>
      </c>
      <c r="BB9" s="21" cm="1">
        <f t="array" aca="1" ref="BB9" ca="1">INDEX(Master!$H$2:'Master'!$H$4384,MATCH($A9&amp;BB$2,Master!$A$2:'Master'!$A$4384&amp;Master!$C$2:'Master'!$C$4384,0))</f>
        <v>2</v>
      </c>
      <c r="BC9" s="21" cm="1">
        <f t="array" aca="1" ref="BC9" ca="1">INDEX(Master!$H$2:'Master'!$H$4384,MATCH($A9&amp;BC$2,Master!$A$2:'Master'!$A$4384&amp;Master!$C$2:'Master'!$C$4384,0))</f>
        <v>1</v>
      </c>
      <c r="BD9" s="21" cm="1">
        <f t="array" aca="1" ref="BD9" ca="1">INDEX(Master!$H$2:'Master'!$H$4384,MATCH($A9&amp;BD$2,Master!$A$2:'Master'!$A$4384&amp;Master!$C$2:'Master'!$C$4384,0))</f>
        <v>3</v>
      </c>
      <c r="BE9" s="21" cm="1">
        <f t="array" aca="1" ref="BE9" ca="1">INDEX(Master!$H$2:'Master'!$H$4384,MATCH($A9&amp;BE$2,Master!$A$2:'Master'!$A$4384&amp;Master!$C$2:'Master'!$C$4384,0))</f>
        <v>3</v>
      </c>
      <c r="BF9" s="21" cm="1">
        <f t="array" aca="1" ref="BF9" ca="1">INDEX(Master!$H$2:'Master'!$H$4384,MATCH($A9&amp;BF$2,Master!$A$2:'Master'!$A$4384&amp;Master!$C$2:'Master'!$C$4384,0))</f>
        <v>-1</v>
      </c>
      <c r="BG9" s="21" cm="1">
        <f t="array" aca="1" ref="BG9" ca="1">INDEX(Master!$H$2:'Master'!$H$4384,MATCH($A9&amp;BG$2,Master!$A$2:'Master'!$A$4384&amp;Master!$C$2:'Master'!$C$4384,0))</f>
        <v>-2</v>
      </c>
      <c r="BH9" s="21" cm="1">
        <f t="array" aca="1" ref="BH9" ca="1">INDEX(Master!$H$2:'Master'!$H$4384,MATCH($A9&amp;BH$2,Master!$A$2:'Master'!$A$4384&amp;Master!$C$2:'Master'!$C$4384,0))</f>
        <v>-1</v>
      </c>
      <c r="BI9" s="21" cm="1">
        <f t="array" aca="1" ref="BI9" ca="1">INDEX(Master!$H$2:'Master'!$H$4384,MATCH($A9&amp;BI$2,Master!$A$2:'Master'!$A$4384&amp;Master!$C$2:'Master'!$C$4384,0))</f>
        <v>-1</v>
      </c>
      <c r="BJ9" s="21" cm="1">
        <f t="array" aca="1" ref="BJ9" ca="1">INDEX(Master!$H$2:'Master'!$H$4384,MATCH($A9&amp;BJ$2,Master!$A$2:'Master'!$A$4384&amp;Master!$C$2:'Master'!$C$4384,0))</f>
        <v>-1</v>
      </c>
      <c r="BK9" s="21" cm="1">
        <f t="array" aca="1" ref="BK9" ca="1">INDEX(Master!$H$2:'Master'!$H$4384,MATCH($A9&amp;BK$2,Master!$A$2:'Master'!$A$4384&amp;Master!$C$2:'Master'!$C$4384,0))</f>
        <v>2</v>
      </c>
      <c r="BL9" s="21" cm="1">
        <f t="array" aca="1" ref="BL9" ca="1">INDEX(Master!$H$2:'Master'!$H$4384,MATCH($A9&amp;BL$2,Master!$A$2:'Master'!$A$4384&amp;Master!$C$2:'Master'!$C$4384,0))</f>
        <v>0</v>
      </c>
      <c r="BM9" s="21" cm="1">
        <f t="array" aca="1" ref="BM9" ca="1">INDEX(Master!$H$2:'Master'!$H$4384,MATCH($A9&amp;BM$2,Master!$A$2:'Master'!$A$4384&amp;Master!$C$2:'Master'!$C$4384,0))</f>
        <v>0</v>
      </c>
      <c r="BN9" s="21" cm="1">
        <f t="array" aca="1" ref="BN9" ca="1">INDEX(Master!$H$2:'Master'!$H$4384,MATCH($A9&amp;BN$2,Master!$A$2:'Master'!$A$4384&amp;Master!$C$2:'Master'!$C$4384,0))</f>
        <v>1</v>
      </c>
      <c r="BO9" s="21" cm="1">
        <f t="array" aca="1" ref="BO9" ca="1">INDEX(Master!$H$2:'Master'!$H$4384,MATCH($A9&amp;BO$2,Master!$A$2:'Master'!$A$4384&amp;Master!$C$2:'Master'!$C$4384,0))</f>
        <v>1</v>
      </c>
      <c r="BP9" s="21" cm="1">
        <f t="array" aca="1" ref="BP9" ca="1">INDEX(Master!$H$2:'Master'!$H$4384,MATCH($A9&amp;BP$2,Master!$A$2:'Master'!$A$4384&amp;Master!$C$2:'Master'!$C$4384,0))</f>
        <v>0</v>
      </c>
      <c r="BQ9" s="21" cm="1">
        <f t="array" aca="1" ref="BQ9" ca="1">INDEX(Master!$H$2:'Master'!$H$4384,MATCH($A9&amp;BQ$2,Master!$A$2:'Master'!$A$4384&amp;Master!$C$2:'Master'!$C$4384,0))</f>
        <v>1</v>
      </c>
      <c r="BR9" s="21" cm="1">
        <f t="array" aca="1" ref="BR9" ca="1">INDEX(Master!$H$2:'Master'!$H$4384,MATCH($A9&amp;BR$2,Master!$A$2:'Master'!$A$4384&amp;Master!$C$2:'Master'!$C$4384,0))</f>
        <v>0</v>
      </c>
      <c r="BS9" s="21" cm="1">
        <f t="array" aca="1" ref="BS9" ca="1">INDEX(Master!$H$2:'Master'!$H$4384,MATCH($A9&amp;BS$2,Master!$A$2:'Master'!$A$4384&amp;Master!$C$2:'Master'!$C$4384,0))</f>
        <v>0</v>
      </c>
      <c r="BT9" s="21" cm="1">
        <f t="array" aca="1" ref="BT9" ca="1">INDEX(Master!$H$2:'Master'!$H$4384,MATCH($A9&amp;BT$2,Master!$A$2:'Master'!$A$4384&amp;Master!$C$2:'Master'!$C$4384,0))</f>
        <v>1</v>
      </c>
      <c r="BU9" s="21" cm="1">
        <f t="array" aca="1" ref="BU9" ca="1">INDEX(Master!$H$2:'Master'!$H$4384,MATCH($A9&amp;BU$2,Master!$A$2:'Master'!$A$4384&amp;Master!$C$2:'Master'!$C$4384,0))</f>
        <v>1</v>
      </c>
      <c r="BV9" s="21" cm="1">
        <f t="array" aca="1" ref="BV9" ca="1">INDEX(Master!$H$2:'Master'!$H$4384,MATCH($A9&amp;BV$2,Master!$A$2:'Master'!$A$4384&amp;Master!$C$2:'Master'!$C$4384,0))</f>
        <v>0</v>
      </c>
      <c r="BW9" s="21" cm="1">
        <f t="array" aca="1" ref="BW9" ca="1">INDEX(Master!$H$2:'Master'!$H$4384,MATCH($A9&amp;BW$2,Master!$A$2:'Master'!$A$4384&amp;Master!$C$2:'Master'!$C$4384,0))</f>
        <v>-1</v>
      </c>
      <c r="BX9" s="21" cm="1">
        <f t="array" aca="1" ref="BX9" ca="1">INDEX(Master!$H$2:'Master'!$H$4384,MATCH($A9&amp;BX$2,Master!$A$2:'Master'!$A$4384&amp;Master!$C$2:'Master'!$C$4384,0))</f>
        <v>-2</v>
      </c>
      <c r="BY9" s="21" cm="1">
        <f t="array" aca="1" ref="BY9" ca="1">INDEX(Master!$H$2:'Master'!$H$4384,MATCH($A9&amp;BY$2,Master!$A$2:'Master'!$A$4384&amp;Master!$C$2:'Master'!$C$4384,0))</f>
        <v>-1</v>
      </c>
      <c r="BZ9" s="21" cm="1">
        <f t="array" aca="1" ref="BZ9" ca="1">INDEX(Master!$H$2:'Master'!$H$4384,MATCH($A9&amp;BZ$2,Master!$A$2:'Master'!$A$4384&amp;Master!$C$2:'Master'!$C$4384,0))</f>
        <v>-1</v>
      </c>
      <c r="CA9" s="21" cm="1">
        <f t="array" aca="1" ref="CA9" ca="1">INDEX(Master!$H$2:'Master'!$H$4384,MATCH($A9&amp;CA$2,Master!$A$2:'Master'!$A$4384&amp;Master!$C$2:'Master'!$C$4384,0))</f>
        <v>-1</v>
      </c>
      <c r="CB9" s="21" cm="1">
        <f t="array" aca="1" ref="CB9" ca="1">INDEX(Master!$H$2:'Master'!$H$4384,MATCH($A9&amp;CB$2,Master!$A$2:'Master'!$A$4384&amp;Master!$C$2:'Master'!$C$4384,0))</f>
        <v>2</v>
      </c>
      <c r="CC9" s="21" cm="1">
        <f t="array" aca="1" ref="CC9" ca="1">INDEX(Master!$H$2:'Master'!$H$4384,MATCH($A9&amp;CC$2,Master!$A$2:'Master'!$A$4384&amp;Master!$C$2:'Master'!$C$4384,0))</f>
        <v>0</v>
      </c>
      <c r="CD9" s="21" cm="1">
        <f t="array" aca="1" ref="CD9" ca="1">INDEX(Master!$H$2:'Master'!$H$4384,MATCH($A9&amp;CD$2,Master!$A$2:'Master'!$A$4384&amp;Master!$C$2:'Master'!$C$4384,0))</f>
        <v>0</v>
      </c>
      <c r="CE9" s="21" cm="1">
        <f t="array" aca="1" ref="CE9" ca="1">INDEX(Master!$H$2:'Master'!$H$4384,MATCH($A9&amp;CE$2,Master!$A$2:'Master'!$A$4384&amp;Master!$C$2:'Master'!$C$4384,0))</f>
        <v>1</v>
      </c>
      <c r="CF9" s="21" cm="1">
        <f t="array" aca="1" ref="CF9" ca="1">INDEX(Master!$H$2:'Master'!$H$4384,MATCH($A9&amp;CF$2,Master!$A$2:'Master'!$A$4384&amp;Master!$C$2:'Master'!$C$4384,0))</f>
        <v>2</v>
      </c>
      <c r="CG9" s="21" cm="1">
        <f t="array" aca="1" ref="CG9" ca="1">INDEX(Master!$H$2:'Master'!$H$4384,MATCH($A9&amp;CG$2,Master!$A$2:'Master'!$A$4384&amp;Master!$C$2:'Master'!$C$4384,0))</f>
        <v>3</v>
      </c>
      <c r="CH9" s="21" cm="1">
        <f t="array" aca="1" ref="CH9" ca="1">INDEX(Master!$H$2:'Master'!$H$4384,MATCH($A9&amp;CH$2,Master!$A$2:'Master'!$A$4384&amp;Master!$C$2:'Master'!$C$4384,0))</f>
        <v>1</v>
      </c>
      <c r="CI9" s="21" cm="1">
        <f t="array" aca="1" ref="CI9" ca="1">INDEX(Master!$H$2:'Master'!$H$4384,MATCH($A9&amp;CI$2,Master!$A$2:'Master'!$A$4384&amp;Master!$C$2:'Master'!$C$4384,0))</f>
        <v>2</v>
      </c>
      <c r="CJ9" s="21" cm="1">
        <f t="array" aca="1" ref="CJ9" ca="1">INDEX(Master!$H$2:'Master'!$H$4384,MATCH($A9&amp;CJ$2,Master!$A$2:'Master'!$A$4384&amp;Master!$C$2:'Master'!$C$4384,0))</f>
        <v>1</v>
      </c>
      <c r="CK9" s="21" cm="1">
        <f t="array" aca="1" ref="CK9" ca="1">INDEX(Master!$H$2:'Master'!$H$4384,MATCH($A9&amp;CK$2,Master!$A$2:'Master'!$A$4384&amp;Master!$C$2:'Master'!$C$4384,0))</f>
        <v>1</v>
      </c>
      <c r="CL9" s="21" cm="1">
        <f t="array" aca="1" ref="CL9" ca="1">INDEX(Master!$H$2:'Master'!$H$4384,MATCH($A9&amp;CL$2,Master!$A$2:'Master'!$A$4384&amp;Master!$C$2:'Master'!$C$4384,0))</f>
        <v>1</v>
      </c>
      <c r="CM9" s="21" cm="1">
        <f t="array" aca="1" ref="CM9" ca="1">INDEX(Master!$H$2:'Master'!$H$4384,MATCH($A9&amp;CM$2,Master!$A$2:'Master'!$A$4384&amp;Master!$C$2:'Master'!$C$4384,0))</f>
        <v>-2</v>
      </c>
      <c r="CN9" s="21" cm="1">
        <f t="array" aca="1" ref="CN9" ca="1">INDEX(Master!$H$2:'Master'!$H$4384,MATCH($A9&amp;CN$2,Master!$A$2:'Master'!$A$4384&amp;Master!$C$2:'Master'!$C$4384,0))</f>
        <v>-2</v>
      </c>
      <c r="CO9" s="21" cm="1">
        <f t="array" aca="1" ref="CO9" ca="1">INDEX(Master!$H$2:'Master'!$H$4384,MATCH($A9&amp;CO$2,Master!$A$2:'Master'!$A$4384&amp;Master!$C$2:'Master'!$C$4384,0))</f>
        <v>-2</v>
      </c>
      <c r="CP9" s="21" cm="1">
        <f t="array" aca="1" ref="CP9" ca="1">INDEX(Master!$H$2:'Master'!$H$4384,MATCH($A9&amp;CP$2,Master!$A$2:'Master'!$A$4384&amp;Master!$C$2:'Master'!$C$4384,0))</f>
        <v>0</v>
      </c>
      <c r="CQ9" s="21" cm="1">
        <f t="array" aca="1" ref="CQ9" ca="1">INDEX(Master!$H$2:'Master'!$H$4384,MATCH($A9&amp;CQ$2,Master!$A$2:'Master'!$A$4384&amp;Master!$C$2:'Master'!$C$4384,0))</f>
        <v>-2</v>
      </c>
      <c r="CR9" s="21" cm="1">
        <f t="array" aca="1" ref="CR9" ca="1">INDEX(Master!$H$2:'Master'!$H$4384,MATCH($A9&amp;CR$2,Master!$A$2:'Master'!$A$4384&amp;Master!$C$2:'Master'!$C$4384,0))</f>
        <v>2</v>
      </c>
      <c r="CS9" s="21" cm="1">
        <f t="array" aca="1" ref="CS9" ca="1">INDEX(Master!$H$2:'Master'!$H$4384,MATCH($A9&amp;CS$2,Master!$A$2:'Master'!$A$4384&amp;Master!$C$2:'Master'!$C$4384,0))</f>
        <v>1</v>
      </c>
    </row>
    <row r="10" spans="1:97">
      <c r="A10" s="22" t="str">
        <f>VLOOKUP(Staff!$A6,Staff!$A$1:A$73,1,FALSE)</f>
        <v>Robbie Lewis</v>
      </c>
      <c r="B10" s="21" cm="1">
        <f t="array" aca="1" ref="B10" ca="1">INDEX(Master!$H$2:'Master'!$H$4384,MATCH($A10&amp;B$2,Master!$A$2:'Master'!$A$4384&amp;Master!$C$2:'Master'!$C$4384,0))</f>
        <v>-1</v>
      </c>
      <c r="C10" s="21" cm="1">
        <f t="array" aca="1" ref="C10" ca="1">INDEX(Master!$H$2:'Master'!$H$4384,MATCH($A10&amp;C$2,Master!$A$2:'Master'!$A$4384&amp;Master!$C$2:'Master'!$C$4384,0))</f>
        <v>1</v>
      </c>
      <c r="D10" s="21" cm="1">
        <f t="array" aca="1" ref="D10" ca="1">INDEX(Master!$H$2:'Master'!$H$4384,MATCH($A10&amp;D$2,Master!$A$2:'Master'!$A$4384&amp;Master!$C$2:'Master'!$C$4384,0))</f>
        <v>0</v>
      </c>
      <c r="E10" s="21" cm="1">
        <f t="array" aca="1" ref="E10" ca="1">INDEX(Master!$H$2:'Master'!$H$4384,MATCH($A10&amp;E$2,Master!$A$2:'Master'!$A$4384&amp;Master!$C$2:'Master'!$C$4384,0))</f>
        <v>0</v>
      </c>
      <c r="F10" s="21" cm="1">
        <f t="array" aca="1" ref="F10" ca="1">INDEX(Master!$H$2:'Master'!$H$4384,MATCH($A10&amp;F$2,Master!$A$2:'Master'!$A$4384&amp;Master!$C$2:'Master'!$C$4384,0))</f>
        <v>-1</v>
      </c>
      <c r="G10" s="21" cm="1">
        <f t="array" aca="1" ref="G10" ca="1">INDEX(Master!$H$2:'Master'!$H$4384,MATCH($A10&amp;G$2,Master!$A$2:'Master'!$A$4384&amp;Master!$C$2:'Master'!$C$4384,0))</f>
        <v>1</v>
      </c>
      <c r="H10" s="21" cm="1">
        <f t="array" aca="1" ref="H10" ca="1">INDEX(Master!$H$2:'Master'!$H$4384,MATCH($A10&amp;H$2,Master!$A$2:'Master'!$A$4384&amp;Master!$C$2:'Master'!$C$4384,0))</f>
        <v>1</v>
      </c>
      <c r="I10" s="21" cm="1">
        <f t="array" aca="1" ref="I10" ca="1">INDEX(Master!$H$2:'Master'!$H$4384,MATCH($A10&amp;I$2,Master!$A$2:'Master'!$A$4384&amp;Master!$C$2:'Master'!$C$4384,0))</f>
        <v>-1</v>
      </c>
      <c r="J10" s="21" cm="1">
        <f t="array" aca="1" ref="J10" ca="1">INDEX(Master!$H$2:'Master'!$H$4384,MATCH($A10&amp;J$2,Master!$A$2:'Master'!$A$4384&amp;Master!$C$2:'Master'!$C$4384,0))</f>
        <v>-1</v>
      </c>
      <c r="K10" s="21" cm="1">
        <f t="array" aca="1" ref="K10" ca="1">INDEX(Master!$H$2:'Master'!$H$4384,MATCH($A10&amp;K$2,Master!$A$2:'Master'!$A$4384&amp;Master!$C$2:'Master'!$C$4384,0))</f>
        <v>0</v>
      </c>
      <c r="L10" s="21" cm="1">
        <f t="array" aca="1" ref="L10" ca="1">INDEX(Master!$H$2:'Master'!$H$4384,MATCH($A10&amp;L$2,Master!$A$2:'Master'!$A$4384&amp;Master!$C$2:'Master'!$C$4384,0))</f>
        <v>-1</v>
      </c>
      <c r="M10" s="21" cm="1">
        <f t="array" aca="1" ref="M10" ca="1">INDEX(Master!$H$2:'Master'!$H$4384,MATCH($A10&amp;M$2,Master!$A$2:'Master'!$A$4384&amp;Master!$C$2:'Master'!$C$4384,0))</f>
        <v>-1</v>
      </c>
      <c r="N10" s="21" cm="1">
        <f t="array" aca="1" ref="N10" ca="1">INDEX(Master!$H$2:'Master'!$H$4384,MATCH($A10&amp;N$2,Master!$A$2:'Master'!$A$4384&amp;Master!$C$2:'Master'!$C$4384,0))</f>
        <v>-1</v>
      </c>
      <c r="O10" s="21" cm="1">
        <f t="array" aca="1" ref="O10" ca="1">INDEX(Master!$H$2:'Master'!$H$4384,MATCH($A10&amp;O$2,Master!$A$2:'Master'!$A$4384&amp;Master!$C$2:'Master'!$C$4384,0))</f>
        <v>-2</v>
      </c>
      <c r="P10" s="21" cm="1">
        <f t="array" aca="1" ref="P10" ca="1">INDEX(Master!$H$2:'Master'!$H$4384,MATCH($A10&amp;P$2,Master!$A$2:'Master'!$A$4384&amp;Master!$C$2:'Master'!$C$4384,0))</f>
        <v>1</v>
      </c>
      <c r="Q10" s="21" cm="1">
        <f t="array" aca="1" ref="Q10" ca="1">INDEX(Master!$H$2:'Master'!$H$4384,MATCH($A10&amp;Q$2,Master!$A$2:'Master'!$A$4384&amp;Master!$C$2:'Master'!$C$4384,0))</f>
        <v>0</v>
      </c>
      <c r="R10" s="21" cm="1">
        <f t="array" aca="1" ref="R10" ca="1">INDEX(Master!$H$2:'Master'!$H$4384,MATCH($A10&amp;R$2,Master!$A$2:'Master'!$A$4384&amp;Master!$C$2:'Master'!$C$4384,0))</f>
        <v>-2</v>
      </c>
      <c r="S10" s="21" cm="1">
        <f t="array" aca="1" ref="S10" ca="1">INDEX(Master!$H$2:'Master'!$H$4384,MATCH($A10&amp;S$2,Master!$A$2:'Master'!$A$4384&amp;Master!$C$2:'Master'!$C$4384,0))</f>
        <v>-3</v>
      </c>
      <c r="T10" s="21" cm="1">
        <f t="array" aca="1" ref="T10" ca="1">INDEX(Master!$H$2:'Master'!$H$4384,MATCH($A10&amp;T$2,Master!$A$2:'Master'!$A$4384&amp;Master!$C$2:'Master'!$C$4384,0))</f>
        <v>0</v>
      </c>
      <c r="U10" s="21" cm="1">
        <f t="array" aca="1" ref="U10" ca="1">INDEX(Master!$H$2:'Master'!$H$4384,MATCH($A10&amp;U$2,Master!$A$2:'Master'!$A$4384&amp;Master!$C$2:'Master'!$C$4384,0))</f>
        <v>1</v>
      </c>
      <c r="V10" s="21" cm="1">
        <f t="array" aca="1" ref="V10" ca="1">INDEX(Master!$H$2:'Master'!$H$4384,MATCH($A10&amp;V$2,Master!$A$2:'Master'!$A$4384&amp;Master!$C$2:'Master'!$C$4384,0))</f>
        <v>1</v>
      </c>
      <c r="W10" s="21" cm="1">
        <f t="array" aca="1" ref="W10" ca="1">INDEX(Master!$H$2:'Master'!$H$4384,MATCH($A10&amp;W$2,Master!$A$2:'Master'!$A$4384&amp;Master!$C$2:'Master'!$C$4384,0))</f>
        <v>2</v>
      </c>
      <c r="X10" s="21" cm="1">
        <f t="array" aca="1" ref="X10" ca="1">INDEX(Master!$H$2:'Master'!$H$4384,MATCH($A10&amp;X$2,Master!$A$2:'Master'!$A$4384&amp;Master!$C$2:'Master'!$C$4384,0))</f>
        <v>0</v>
      </c>
      <c r="Y10" s="21" cm="1">
        <f t="array" aca="1" ref="Y10" ca="1">INDEX(Master!$H$2:'Master'!$H$4384,MATCH($A10&amp;Y$2,Master!$A$2:'Master'!$A$4384&amp;Master!$C$2:'Master'!$C$4384,0))</f>
        <v>-2</v>
      </c>
      <c r="Z10" s="21" cm="1">
        <f t="array" aca="1" ref="Z10" ca="1">INDEX(Master!$H$2:'Master'!$H$4384,MATCH($A10&amp;Z$2,Master!$A$2:'Master'!$A$4384&amp;Master!$C$2:'Master'!$C$4384,0))</f>
        <v>0</v>
      </c>
      <c r="AA10" s="21" cm="1">
        <f t="array" aca="1" ref="AA10" ca="1">INDEX(Master!$H$2:'Master'!$H$4384,MATCH($A10&amp;AA$2,Master!$A$2:'Master'!$A$4384&amp;Master!$C$2:'Master'!$C$4384,0))</f>
        <v>-1</v>
      </c>
      <c r="AB10" s="21" cm="1">
        <f t="array" aca="1" ref="AB10" ca="1">INDEX(Master!$H$2:'Master'!$H$4384,MATCH($A10&amp;AB$2,Master!$A$2:'Master'!$A$4384&amp;Master!$C$2:'Master'!$C$4384,0))</f>
        <v>-1</v>
      </c>
      <c r="AC10" s="21" cm="1">
        <f t="array" aca="1" ref="AC10" ca="1">INDEX(Master!$H$2:'Master'!$H$4384,MATCH($A10&amp;AC$2,Master!$A$2:'Master'!$A$4384&amp;Master!$C$2:'Master'!$C$4384,0))</f>
        <v>-1</v>
      </c>
      <c r="AD10" s="21" cm="1">
        <f t="array" aca="1" ref="AD10" ca="1">INDEX(Master!$H$2:'Master'!$H$4384,MATCH($A10&amp;AD$2,Master!$A$2:'Master'!$A$4384&amp;Master!$C$2:'Master'!$C$4384,0))</f>
        <v>-1</v>
      </c>
      <c r="AE10" s="21" cm="1">
        <f t="array" aca="1" ref="AE10" ca="1">INDEX(Master!$H$2:'Master'!$H$4384,MATCH($A10&amp;AE$2,Master!$A$2:'Master'!$A$4384&amp;Master!$C$2:'Master'!$C$4384,0))</f>
        <v>0</v>
      </c>
      <c r="AF10" s="21" cm="1">
        <f t="array" aca="1" ref="AF10" ca="1">INDEX(Master!$H$2:'Master'!$H$4384,MATCH($A10&amp;AF$2,Master!$A$2:'Master'!$A$4384&amp;Master!$C$2:'Master'!$C$4384,0))</f>
        <v>1</v>
      </c>
      <c r="AG10" s="21" cm="1">
        <f t="array" aca="1" ref="AG10" ca="1">INDEX(Master!$H$2:'Master'!$H$4384,MATCH($A10&amp;AG$2,Master!$A$2:'Master'!$A$4384&amp;Master!$C$2:'Master'!$C$4384,0))</f>
        <v>-1</v>
      </c>
      <c r="AH10" s="21" cm="1">
        <f t="array" aca="1" ref="AH10" ca="1">INDEX(Master!$H$2:'Master'!$H$4384,MATCH($A10&amp;AH$2,Master!$A$2:'Master'!$A$4384&amp;Master!$C$2:'Master'!$C$4384,0))</f>
        <v>2</v>
      </c>
      <c r="AI10" s="21" cm="1">
        <f t="array" aca="1" ref="AI10" ca="1">INDEX(Master!$H$2:'Master'!$H$4384,MATCH($A10&amp;AI$2,Master!$A$2:'Master'!$A$4384&amp;Master!$C$2:'Master'!$C$4384,0))</f>
        <v>1</v>
      </c>
      <c r="AJ10" s="21" cm="1">
        <f t="array" aca="1" ref="AJ10" ca="1">INDEX(Master!$H$2:'Master'!$H$4384,MATCH($A10&amp;AJ$2,Master!$A$2:'Master'!$A$4384&amp;Master!$C$2:'Master'!$C$4384,0))</f>
        <v>2</v>
      </c>
      <c r="AK10" s="21" cm="1">
        <f t="array" aca="1" ref="AK10" ca="1">INDEX(Master!$H$2:'Master'!$H$4384,MATCH($A10&amp;AK$2,Master!$A$2:'Master'!$A$4384&amp;Master!$C$2:'Master'!$C$4384,0))</f>
        <v>0</v>
      </c>
      <c r="AL10" s="21" cm="1">
        <f t="array" aca="1" ref="AL10" ca="1">INDEX(Master!$H$2:'Master'!$H$4384,MATCH($A10&amp;AL$2,Master!$A$2:'Master'!$A$4384&amp;Master!$C$2:'Master'!$C$4384,0))</f>
        <v>1</v>
      </c>
      <c r="AM10" s="21" cm="1">
        <f t="array" aca="1" ref="AM10" ca="1">INDEX(Master!$H$2:'Master'!$H$4384,MATCH($A10&amp;AM$2,Master!$A$2:'Master'!$A$4384&amp;Master!$C$2:'Master'!$C$4384,0))</f>
        <v>3</v>
      </c>
      <c r="AN10" s="21" cm="1">
        <f t="array" aca="1" ref="AN10" ca="1">INDEX(Master!$H$2:'Master'!$H$4384,MATCH($A10&amp;AN$2,Master!$A$2:'Master'!$A$4384&amp;Master!$C$2:'Master'!$C$4384,0))</f>
        <v>0</v>
      </c>
      <c r="AO10" s="21" cm="1">
        <f t="array" aca="1" ref="AO10" ca="1">INDEX(Master!$H$2:'Master'!$H$4384,MATCH($A10&amp;AO$2,Master!$A$2:'Master'!$A$4384&amp;Master!$C$2:'Master'!$C$4384,0))</f>
        <v>0</v>
      </c>
      <c r="AP10" s="21" cm="1">
        <f t="array" aca="1" ref="AP10" ca="1">INDEX(Master!$H$2:'Master'!$H$4384,MATCH($A10&amp;AP$2,Master!$A$2:'Master'!$A$4384&amp;Master!$C$2:'Master'!$C$4384,0))</f>
        <v>1</v>
      </c>
      <c r="AQ10" s="21" cm="1">
        <f t="array" aca="1" ref="AQ10" ca="1">INDEX(Master!$H$2:'Master'!$H$4384,MATCH($A10&amp;AQ$2,Master!$A$2:'Master'!$A$4384&amp;Master!$C$2:'Master'!$C$4384,0))</f>
        <v>1</v>
      </c>
      <c r="AR10" s="21" cm="1">
        <f t="array" aca="1" ref="AR10" ca="1">INDEX(Master!$H$2:'Master'!$H$4384,MATCH($A10&amp;AR$2,Master!$A$2:'Master'!$A$4384&amp;Master!$C$2:'Master'!$C$4384,0))</f>
        <v>0</v>
      </c>
      <c r="AS10" s="21" cm="1">
        <f t="array" aca="1" ref="AS10" ca="1">INDEX(Master!$H$2:'Master'!$H$4384,MATCH($A10&amp;AS$2,Master!$A$2:'Master'!$A$4384&amp;Master!$C$2:'Master'!$C$4384,0))</f>
        <v>0</v>
      </c>
      <c r="AT10" s="21" cm="1">
        <f t="array" aca="1" ref="AT10" ca="1">INDEX(Master!$H$2:'Master'!$H$4384,MATCH($A10&amp;AT$2,Master!$A$2:'Master'!$A$4384&amp;Master!$C$2:'Master'!$C$4384,0))</f>
        <v>2</v>
      </c>
      <c r="AU10" s="21" cm="1">
        <f t="array" aca="1" ref="AU10" ca="1">INDEX(Master!$H$2:'Master'!$H$4384,MATCH($A10&amp;AU$2,Master!$A$2:'Master'!$A$4384&amp;Master!$C$2:'Master'!$C$4384,0))</f>
        <v>1</v>
      </c>
      <c r="AV10" s="21" cm="1">
        <f t="array" aca="1" ref="AV10" ca="1">INDEX(Master!$H$2:'Master'!$H$4384,MATCH($A10&amp;AV$2,Master!$A$2:'Master'!$A$4384&amp;Master!$C$2:'Master'!$C$4384,0))</f>
        <v>0</v>
      </c>
      <c r="AW10" s="21" cm="1">
        <f t="array" aca="1" ref="AW10" ca="1">INDEX(Master!$H$2:'Master'!$H$4384,MATCH($A10&amp;AW$2,Master!$A$2:'Master'!$A$4384&amp;Master!$C$2:'Master'!$C$4384,0))</f>
        <v>0</v>
      </c>
      <c r="AX10" s="21" cm="1">
        <f t="array" aca="1" ref="AX10" ca="1">INDEX(Master!$H$2:'Master'!$H$4384,MATCH($A10&amp;AX$2,Master!$A$2:'Master'!$A$4384&amp;Master!$C$2:'Master'!$C$4384,0))</f>
        <v>3</v>
      </c>
      <c r="AY10" s="21" cm="1">
        <f t="array" aca="1" ref="AY10" ca="1">INDEX(Master!$H$2:'Master'!$H$4384,MATCH($A10&amp;AY$2,Master!$A$2:'Master'!$A$4384&amp;Master!$C$2:'Master'!$C$4384,0))</f>
        <v>1</v>
      </c>
      <c r="AZ10" s="21" cm="1">
        <f t="array" aca="1" ref="AZ10" ca="1">INDEX(Master!$H$2:'Master'!$H$4384,MATCH($A10&amp;AZ$2,Master!$A$2:'Master'!$A$4384&amp;Master!$C$2:'Master'!$C$4384,0))</f>
        <v>1</v>
      </c>
      <c r="BA10" s="21" cm="1">
        <f t="array" aca="1" ref="BA10" ca="1">INDEX(Master!$H$2:'Master'!$H$4384,MATCH($A10&amp;BA$2,Master!$A$2:'Master'!$A$4384&amp;Master!$C$2:'Master'!$C$4384,0))</f>
        <v>1</v>
      </c>
      <c r="BB10" s="21" cm="1">
        <f t="array" aca="1" ref="BB10" ca="1">INDEX(Master!$H$2:'Master'!$H$4384,MATCH($A10&amp;BB$2,Master!$A$2:'Master'!$A$4384&amp;Master!$C$2:'Master'!$C$4384,0))</f>
        <v>1</v>
      </c>
      <c r="BC10" s="21" cm="1">
        <f t="array" aca="1" ref="BC10" ca="1">INDEX(Master!$H$2:'Master'!$H$4384,MATCH($A10&amp;BC$2,Master!$A$2:'Master'!$A$4384&amp;Master!$C$2:'Master'!$C$4384,0))</f>
        <v>2</v>
      </c>
      <c r="BD10" s="21" cm="1">
        <f t="array" aca="1" ref="BD10" ca="1">INDEX(Master!$H$2:'Master'!$H$4384,MATCH($A10&amp;BD$2,Master!$A$2:'Master'!$A$4384&amp;Master!$C$2:'Master'!$C$4384,0))</f>
        <v>3</v>
      </c>
      <c r="BE10" s="21" cm="1">
        <f t="array" aca="1" ref="BE10" ca="1">INDEX(Master!$H$2:'Master'!$H$4384,MATCH($A10&amp;BE$2,Master!$A$2:'Master'!$A$4384&amp;Master!$C$2:'Master'!$C$4384,0))</f>
        <v>0</v>
      </c>
      <c r="BF10" s="21" cm="1">
        <f t="array" aca="1" ref="BF10" ca="1">INDEX(Master!$H$2:'Master'!$H$4384,MATCH($A10&amp;BF$2,Master!$A$2:'Master'!$A$4384&amp;Master!$C$2:'Master'!$C$4384,0))</f>
        <v>0</v>
      </c>
      <c r="BG10" s="21" cm="1">
        <f t="array" aca="1" ref="BG10" ca="1">INDEX(Master!$H$2:'Master'!$H$4384,MATCH($A10&amp;BG$2,Master!$A$2:'Master'!$A$4384&amp;Master!$C$2:'Master'!$C$4384,0))</f>
        <v>0</v>
      </c>
      <c r="BH10" s="21" cm="1">
        <f t="array" aca="1" ref="BH10" ca="1">INDEX(Master!$H$2:'Master'!$H$4384,MATCH($A10&amp;BH$2,Master!$A$2:'Master'!$A$4384&amp;Master!$C$2:'Master'!$C$4384,0))</f>
        <v>0</v>
      </c>
      <c r="BI10" s="21" cm="1">
        <f t="array" aca="1" ref="BI10" ca="1">INDEX(Master!$H$2:'Master'!$H$4384,MATCH($A10&amp;BI$2,Master!$A$2:'Master'!$A$4384&amp;Master!$C$2:'Master'!$C$4384,0))</f>
        <v>-1</v>
      </c>
      <c r="BJ10" s="21" cm="1">
        <f t="array" aca="1" ref="BJ10" ca="1">INDEX(Master!$H$2:'Master'!$H$4384,MATCH($A10&amp;BJ$2,Master!$A$2:'Master'!$A$4384&amp;Master!$C$2:'Master'!$C$4384,0))</f>
        <v>0</v>
      </c>
      <c r="BK10" s="21" cm="1">
        <f t="array" aca="1" ref="BK10" ca="1">INDEX(Master!$H$2:'Master'!$H$4384,MATCH($A10&amp;BK$2,Master!$A$2:'Master'!$A$4384&amp;Master!$C$2:'Master'!$C$4384,0))</f>
        <v>1</v>
      </c>
      <c r="BL10" s="21" cm="1">
        <f t="array" aca="1" ref="BL10" ca="1">INDEX(Master!$H$2:'Master'!$H$4384,MATCH($A10&amp;BL$2,Master!$A$2:'Master'!$A$4384&amp;Master!$C$2:'Master'!$C$4384,0))</f>
        <v>1</v>
      </c>
      <c r="BM10" s="21" cm="1">
        <f t="array" aca="1" ref="BM10" ca="1">INDEX(Master!$H$2:'Master'!$H$4384,MATCH($A10&amp;BM$2,Master!$A$2:'Master'!$A$4384&amp;Master!$C$2:'Master'!$C$4384,0))</f>
        <v>1</v>
      </c>
      <c r="BN10" s="21" cm="1">
        <f t="array" aca="1" ref="BN10" ca="1">INDEX(Master!$H$2:'Master'!$H$4384,MATCH($A10&amp;BN$2,Master!$A$2:'Master'!$A$4384&amp;Master!$C$2:'Master'!$C$4384,0))</f>
        <v>-1</v>
      </c>
      <c r="BO10" s="21" cm="1">
        <f t="array" aca="1" ref="BO10" ca="1">INDEX(Master!$H$2:'Master'!$H$4384,MATCH($A10&amp;BO$2,Master!$A$2:'Master'!$A$4384&amp;Master!$C$2:'Master'!$C$4384,0))</f>
        <v>1</v>
      </c>
      <c r="BP10" s="21" cm="1">
        <f t="array" aca="1" ref="BP10" ca="1">INDEX(Master!$H$2:'Master'!$H$4384,MATCH($A10&amp;BP$2,Master!$A$2:'Master'!$A$4384&amp;Master!$C$2:'Master'!$C$4384,0))</f>
        <v>1</v>
      </c>
      <c r="BQ10" s="21" cm="1">
        <f t="array" aca="1" ref="BQ10" ca="1">INDEX(Master!$H$2:'Master'!$H$4384,MATCH($A10&amp;BQ$2,Master!$A$2:'Master'!$A$4384&amp;Master!$C$2:'Master'!$C$4384,0))</f>
        <v>0</v>
      </c>
      <c r="BR10" s="21" cm="1">
        <f t="array" aca="1" ref="BR10" ca="1">INDEX(Master!$H$2:'Master'!$H$4384,MATCH($A10&amp;BR$2,Master!$A$2:'Master'!$A$4384&amp;Master!$C$2:'Master'!$C$4384,0))</f>
        <v>1</v>
      </c>
      <c r="BS10" s="21" cm="1">
        <f t="array" aca="1" ref="BS10" ca="1">INDEX(Master!$H$2:'Master'!$H$4384,MATCH($A10&amp;BS$2,Master!$A$2:'Master'!$A$4384&amp;Master!$C$2:'Master'!$C$4384,0))</f>
        <v>0</v>
      </c>
      <c r="BT10" s="21" cm="1">
        <f t="array" aca="1" ref="BT10" ca="1">INDEX(Master!$H$2:'Master'!$H$4384,MATCH($A10&amp;BT$2,Master!$A$2:'Master'!$A$4384&amp;Master!$C$2:'Master'!$C$4384,0))</f>
        <v>1</v>
      </c>
      <c r="BU10" s="21" cm="1">
        <f t="array" aca="1" ref="BU10" ca="1">INDEX(Master!$H$2:'Master'!$H$4384,MATCH($A10&amp;BU$2,Master!$A$2:'Master'!$A$4384&amp;Master!$C$2:'Master'!$C$4384,0))</f>
        <v>0</v>
      </c>
      <c r="BV10" s="21" cm="1">
        <f t="array" aca="1" ref="BV10" ca="1">INDEX(Master!$H$2:'Master'!$H$4384,MATCH($A10&amp;BV$2,Master!$A$2:'Master'!$A$4384&amp;Master!$C$2:'Master'!$C$4384,0))</f>
        <v>1</v>
      </c>
      <c r="BW10" s="21" cm="1">
        <f t="array" aca="1" ref="BW10" ca="1">INDEX(Master!$H$2:'Master'!$H$4384,MATCH($A10&amp;BW$2,Master!$A$2:'Master'!$A$4384&amp;Master!$C$2:'Master'!$C$4384,0))</f>
        <v>0</v>
      </c>
      <c r="BX10" s="21" cm="1">
        <f t="array" aca="1" ref="BX10" ca="1">INDEX(Master!$H$2:'Master'!$H$4384,MATCH($A10&amp;BX$2,Master!$A$2:'Master'!$A$4384&amp;Master!$C$2:'Master'!$C$4384,0))</f>
        <v>0</v>
      </c>
      <c r="BY10" s="21" cm="1">
        <f t="array" aca="1" ref="BY10" ca="1">INDEX(Master!$H$2:'Master'!$H$4384,MATCH($A10&amp;BY$2,Master!$A$2:'Master'!$A$4384&amp;Master!$C$2:'Master'!$C$4384,0))</f>
        <v>0</v>
      </c>
      <c r="BZ10" s="21" cm="1">
        <f t="array" aca="1" ref="BZ10" ca="1">INDEX(Master!$H$2:'Master'!$H$4384,MATCH($A10&amp;BZ$2,Master!$A$2:'Master'!$A$4384&amp;Master!$C$2:'Master'!$C$4384,0))</f>
        <v>-1</v>
      </c>
      <c r="CA10" s="21" cm="1">
        <f t="array" aca="1" ref="CA10" ca="1">INDEX(Master!$H$2:'Master'!$H$4384,MATCH($A10&amp;CA$2,Master!$A$2:'Master'!$A$4384&amp;Master!$C$2:'Master'!$C$4384,0))</f>
        <v>0</v>
      </c>
      <c r="CB10" s="21" cm="1">
        <f t="array" aca="1" ref="CB10" ca="1">INDEX(Master!$H$2:'Master'!$H$4384,MATCH($A10&amp;CB$2,Master!$A$2:'Master'!$A$4384&amp;Master!$C$2:'Master'!$C$4384,0))</f>
        <v>1</v>
      </c>
      <c r="CC10" s="21" cm="1">
        <f t="array" aca="1" ref="CC10" ca="1">INDEX(Master!$H$2:'Master'!$H$4384,MATCH($A10&amp;CC$2,Master!$A$2:'Master'!$A$4384&amp;Master!$C$2:'Master'!$C$4384,0))</f>
        <v>1</v>
      </c>
      <c r="CD10" s="21" cm="1">
        <f t="array" aca="1" ref="CD10" ca="1">INDEX(Master!$H$2:'Master'!$H$4384,MATCH($A10&amp;CD$2,Master!$A$2:'Master'!$A$4384&amp;Master!$C$2:'Master'!$C$4384,0))</f>
        <v>1</v>
      </c>
      <c r="CE10" s="21" cm="1">
        <f t="array" aca="1" ref="CE10" ca="1">INDEX(Master!$H$2:'Master'!$H$4384,MATCH($A10&amp;CE$2,Master!$A$2:'Master'!$A$4384&amp;Master!$C$2:'Master'!$C$4384,0))</f>
        <v>2</v>
      </c>
      <c r="CF10" s="21" cm="1">
        <f t="array" aca="1" ref="CF10" ca="1">INDEX(Master!$H$2:'Master'!$H$4384,MATCH($A10&amp;CF$2,Master!$A$2:'Master'!$A$4384&amp;Master!$C$2:'Master'!$C$4384,0))</f>
        <v>-2</v>
      </c>
      <c r="CG10" s="21" cm="1">
        <f t="array" aca="1" ref="CG10" ca="1">INDEX(Master!$H$2:'Master'!$H$4384,MATCH($A10&amp;CG$2,Master!$A$2:'Master'!$A$4384&amp;Master!$C$2:'Master'!$C$4384,0))</f>
        <v>0</v>
      </c>
      <c r="CH10" s="21" cm="1">
        <f t="array" aca="1" ref="CH10" ca="1">INDEX(Master!$H$2:'Master'!$H$4384,MATCH($A10&amp;CH$2,Master!$A$2:'Master'!$A$4384&amp;Master!$C$2:'Master'!$C$4384,0))</f>
        <v>1</v>
      </c>
      <c r="CI10" s="21" cm="1">
        <f t="array" aca="1" ref="CI10" ca="1">INDEX(Master!$H$2:'Master'!$H$4384,MATCH($A10&amp;CI$2,Master!$A$2:'Master'!$A$4384&amp;Master!$C$2:'Master'!$C$4384,0))</f>
        <v>0</v>
      </c>
      <c r="CJ10" s="21" cm="1">
        <f t="array" aca="1" ref="CJ10" ca="1">INDEX(Master!$H$2:'Master'!$H$4384,MATCH($A10&amp;CJ$2,Master!$A$2:'Master'!$A$4384&amp;Master!$C$2:'Master'!$C$4384,0))</f>
        <v>0</v>
      </c>
      <c r="CK10" s="21" cm="1">
        <f t="array" aca="1" ref="CK10" ca="1">INDEX(Master!$H$2:'Master'!$H$4384,MATCH($A10&amp;CK$2,Master!$A$2:'Master'!$A$4384&amp;Master!$C$2:'Master'!$C$4384,0))</f>
        <v>1</v>
      </c>
      <c r="CL10" s="21" cm="1">
        <f t="array" aca="1" ref="CL10" ca="1">INDEX(Master!$H$2:'Master'!$H$4384,MATCH($A10&amp;CL$2,Master!$A$2:'Master'!$A$4384&amp;Master!$C$2:'Master'!$C$4384,0))</f>
        <v>1</v>
      </c>
      <c r="CM10" s="21" cm="1">
        <f t="array" aca="1" ref="CM10" ca="1">INDEX(Master!$H$2:'Master'!$H$4384,MATCH($A10&amp;CM$2,Master!$A$2:'Master'!$A$4384&amp;Master!$C$2:'Master'!$C$4384,0))</f>
        <v>1</v>
      </c>
      <c r="CN10" s="21" cm="1">
        <f t="array" aca="1" ref="CN10" ca="1">INDEX(Master!$H$2:'Master'!$H$4384,MATCH($A10&amp;CN$2,Master!$A$2:'Master'!$A$4384&amp;Master!$C$2:'Master'!$C$4384,0))</f>
        <v>1</v>
      </c>
      <c r="CO10" s="21" cm="1">
        <f t="array" aca="1" ref="CO10" ca="1">INDEX(Master!$H$2:'Master'!$H$4384,MATCH($A10&amp;CO$2,Master!$A$2:'Master'!$A$4384&amp;Master!$C$2:'Master'!$C$4384,0))</f>
        <v>0</v>
      </c>
      <c r="CP10" s="21" cm="1">
        <f t="array" aca="1" ref="CP10" ca="1">INDEX(Master!$H$2:'Master'!$H$4384,MATCH($A10&amp;CP$2,Master!$A$2:'Master'!$A$4384&amp;Master!$C$2:'Master'!$C$4384,0))</f>
        <v>1</v>
      </c>
      <c r="CQ10" s="21" cm="1">
        <f t="array" aca="1" ref="CQ10" ca="1">INDEX(Master!$H$2:'Master'!$H$4384,MATCH($A10&amp;CQ$2,Master!$A$2:'Master'!$A$4384&amp;Master!$C$2:'Master'!$C$4384,0))</f>
        <v>0</v>
      </c>
      <c r="CR10" s="21" cm="1">
        <f t="array" aca="1" ref="CR10" ca="1">INDEX(Master!$H$2:'Master'!$H$4384,MATCH($A10&amp;CR$2,Master!$A$2:'Master'!$A$4384&amp;Master!$C$2:'Master'!$C$4384,0))</f>
        <v>0</v>
      </c>
      <c r="CS10" s="21" cm="1">
        <f t="array" aca="1" ref="CS10" ca="1">INDEX(Master!$H$2:'Master'!$H$4384,MATCH($A10&amp;CS$2,Master!$A$2:'Master'!$A$4384&amp;Master!$C$2:'Master'!$C$4384,0))</f>
        <v>1</v>
      </c>
    </row>
    <row r="11" spans="1:97">
      <c r="A11" s="22" t="s">
        <v>381</v>
      </c>
      <c r="B11" s="21" cm="1">
        <f t="array" aca="1" ref="B11" ca="1">INDEX(Master!$H$2:'Master'!$H$4384,MATCH($A11&amp;B$2,Master!$A$2:'Master'!$A$4384&amp;Master!$C$2:'Master'!$C$4384,0))</f>
        <v>3</v>
      </c>
      <c r="C11" s="21" cm="1">
        <f t="array" aca="1" ref="C11" ca="1">INDEX(Master!$H$2:'Master'!$H$4384,MATCH($A11&amp;C$2,Master!$A$2:'Master'!$A$4384&amp;Master!$C$2:'Master'!$C$4384,0))</f>
        <v>4</v>
      </c>
      <c r="D11" s="21" cm="1">
        <f t="array" aca="1" ref="D11" ca="1">INDEX(Master!$H$2:'Master'!$H$4384,MATCH($A11&amp;D$2,Master!$A$2:'Master'!$A$4384&amp;Master!$C$2:'Master'!$C$4384,0))</f>
        <v>4</v>
      </c>
      <c r="E11" s="21" cm="1">
        <f t="array" aca="1" ref="E11" ca="1">INDEX(Master!$H$2:'Master'!$H$4384,MATCH($A11&amp;E$2,Master!$A$2:'Master'!$A$4384&amp;Master!$C$2:'Master'!$C$4384,0))</f>
        <v>1</v>
      </c>
      <c r="F11" s="21" cm="1">
        <f t="array" aca="1" ref="F11" ca="1">INDEX(Master!$H$2:'Master'!$H$4384,MATCH($A11&amp;F$2,Master!$A$2:'Master'!$A$4384&amp;Master!$C$2:'Master'!$C$4384,0))</f>
        <v>3</v>
      </c>
      <c r="G11" s="21" cm="1">
        <f t="array" aca="1" ref="G11" ca="1">INDEX(Master!$H$2:'Master'!$H$4384,MATCH($A11&amp;G$2,Master!$A$2:'Master'!$A$4384&amp;Master!$C$2:'Master'!$C$4384,0))</f>
        <v>1</v>
      </c>
      <c r="H11" s="21" cm="1">
        <f t="array" aca="1" ref="H11" ca="1">INDEX(Master!$H$2:'Master'!$H$4384,MATCH($A11&amp;H$2,Master!$A$2:'Master'!$A$4384&amp;Master!$C$2:'Master'!$C$4384,0))</f>
        <v>3</v>
      </c>
      <c r="I11" s="21" cm="1">
        <f t="array" aca="1" ref="I11" ca="1">INDEX(Master!$H$2:'Master'!$H$4384,MATCH($A11&amp;I$2,Master!$A$2:'Master'!$A$4384&amp;Master!$C$2:'Master'!$C$4384,0))</f>
        <v>3</v>
      </c>
      <c r="J11" s="21" cm="1">
        <f t="array" aca="1" ref="J11" ca="1">INDEX(Master!$H$2:'Master'!$H$4384,MATCH($A11&amp;J$2,Master!$A$2:'Master'!$A$4384&amp;Master!$C$2:'Master'!$C$4384,0))</f>
        <v>0</v>
      </c>
      <c r="K11" s="21" cm="1">
        <f t="array" aca="1" ref="K11" ca="1">INDEX(Master!$H$2:'Master'!$H$4384,MATCH($A11&amp;K$2,Master!$A$2:'Master'!$A$4384&amp;Master!$C$2:'Master'!$C$4384,0))</f>
        <v>-1</v>
      </c>
      <c r="L11" s="21" cm="1">
        <f t="array" aca="1" ref="L11" ca="1">INDEX(Master!$H$2:'Master'!$H$4384,MATCH($A11&amp;L$2,Master!$A$2:'Master'!$A$4384&amp;Master!$C$2:'Master'!$C$4384,0))</f>
        <v>-2</v>
      </c>
      <c r="M11" s="21" cm="1">
        <f t="array" aca="1" ref="M11" ca="1">INDEX(Master!$H$2:'Master'!$H$4384,MATCH($A11&amp;M$2,Master!$A$2:'Master'!$A$4384&amp;Master!$C$2:'Master'!$C$4384,0))</f>
        <v>-2</v>
      </c>
      <c r="N11" s="21" cm="1">
        <f t="array" aca="1" ref="N11" ca="1">INDEX(Master!$H$2:'Master'!$H$4384,MATCH($A11&amp;N$2,Master!$A$2:'Master'!$A$4384&amp;Master!$C$2:'Master'!$C$4384,0))</f>
        <v>-1</v>
      </c>
      <c r="O11" s="21" cm="1">
        <f t="array" aca="1" ref="O11" ca="1">INDEX(Master!$H$2:'Master'!$H$4384,MATCH($A11&amp;O$2,Master!$A$2:'Master'!$A$4384&amp;Master!$C$2:'Master'!$C$4384,0))</f>
        <v>-1</v>
      </c>
      <c r="P11" s="21" cm="1">
        <f t="array" aca="1" ref="P11" ca="1">INDEX(Master!$H$2:'Master'!$H$4384,MATCH($A11&amp;P$2,Master!$A$2:'Master'!$A$4384&amp;Master!$C$2:'Master'!$C$4384,0))</f>
        <v>1</v>
      </c>
      <c r="Q11" s="21" cm="1">
        <f t="array" aca="1" ref="Q11" ca="1">INDEX(Master!$H$2:'Master'!$H$4384,MATCH($A11&amp;Q$2,Master!$A$2:'Master'!$A$4384&amp;Master!$C$2:'Master'!$C$4384,0))</f>
        <v>0</v>
      </c>
      <c r="R11" s="21" cm="1">
        <f t="array" aca="1" ref="R11" ca="1">INDEX(Master!$H$2:'Master'!$H$4384,MATCH($A11&amp;R$2,Master!$A$2:'Master'!$A$4384&amp;Master!$C$2:'Master'!$C$4384,0))</f>
        <v>0</v>
      </c>
      <c r="S11" s="21" cm="1">
        <f t="array" aca="1" ref="S11" ca="1">INDEX(Master!$H$2:'Master'!$H$4384,MATCH($A11&amp;S$2,Master!$A$2:'Master'!$A$4384&amp;Master!$C$2:'Master'!$C$4384,0))</f>
        <v>0</v>
      </c>
      <c r="T11" s="21" cm="1">
        <f t="array" aca="1" ref="T11" ca="1">INDEX(Master!$H$2:'Master'!$H$4384,MATCH($A11&amp;T$2,Master!$A$2:'Master'!$A$4384&amp;Master!$C$2:'Master'!$C$4384,0))</f>
        <v>0</v>
      </c>
      <c r="U11" s="21" cm="1">
        <f t="array" aca="1" ref="U11" ca="1">INDEX(Master!$H$2:'Master'!$H$4384,MATCH($A11&amp;U$2,Master!$A$2:'Master'!$A$4384&amp;Master!$C$2:'Master'!$C$4384,0))</f>
        <v>3</v>
      </c>
      <c r="V11" s="21" cm="1">
        <f t="array" aca="1" ref="V11" ca="1">INDEX(Master!$H$2:'Master'!$H$4384,MATCH($A11&amp;V$2,Master!$A$2:'Master'!$A$4384&amp;Master!$C$2:'Master'!$C$4384,0))</f>
        <v>-1</v>
      </c>
      <c r="W11" s="21" cm="1">
        <f t="array" aca="1" ref="W11" ca="1">INDEX(Master!$H$2:'Master'!$H$4384,MATCH($A11&amp;W$2,Master!$A$2:'Master'!$A$4384&amp;Master!$C$2:'Master'!$C$4384,0))</f>
        <v>2</v>
      </c>
      <c r="X11" s="21" cm="1">
        <f t="array" aca="1" ref="X11" ca="1">INDEX(Master!$H$2:'Master'!$H$4384,MATCH($A11&amp;X$2,Master!$A$2:'Master'!$A$4384&amp;Master!$C$2:'Master'!$C$4384,0))</f>
        <v>0</v>
      </c>
      <c r="Y11" s="21" cm="1">
        <f t="array" aca="1" ref="Y11" ca="1">INDEX(Master!$H$2:'Master'!$H$4384,MATCH($A11&amp;Y$2,Master!$A$2:'Master'!$A$4384&amp;Master!$C$2:'Master'!$C$4384,0))</f>
        <v>0</v>
      </c>
      <c r="Z11" s="21" cm="1">
        <f t="array" aca="1" ref="Z11" ca="1">INDEX(Master!$H$2:'Master'!$H$4384,MATCH($A11&amp;Z$2,Master!$A$2:'Master'!$A$4384&amp;Master!$C$2:'Master'!$C$4384,0))</f>
        <v>-2</v>
      </c>
      <c r="AA11" s="21" cm="1">
        <f t="array" aca="1" ref="AA11" ca="1">INDEX(Master!$H$2:'Master'!$H$4384,MATCH($A11&amp;AA$2,Master!$A$2:'Master'!$A$4384&amp;Master!$C$2:'Master'!$C$4384,0))</f>
        <v>-2</v>
      </c>
      <c r="AB11" s="21" cm="1">
        <f t="array" aca="1" ref="AB11" ca="1">INDEX(Master!$H$2:'Master'!$H$4384,MATCH($A11&amp;AB$2,Master!$A$2:'Master'!$A$4384&amp;Master!$C$2:'Master'!$C$4384,0))</f>
        <v>-1</v>
      </c>
      <c r="AC11" s="21" cm="1">
        <f t="array" aca="1" ref="AC11" ca="1">INDEX(Master!$H$2:'Master'!$H$4384,MATCH($A11&amp;AC$2,Master!$A$2:'Master'!$A$4384&amp;Master!$C$2:'Master'!$C$4384,0))</f>
        <v>-1</v>
      </c>
      <c r="AD11" s="21" cm="1">
        <f t="array" aca="1" ref="AD11" ca="1">INDEX(Master!$H$2:'Master'!$H$4384,MATCH($A11&amp;AD$2,Master!$A$2:'Master'!$A$4384&amp;Master!$C$2:'Master'!$C$4384,0))</f>
        <v>-1</v>
      </c>
      <c r="AE11" s="21" cm="1">
        <f t="array" aca="1" ref="AE11" ca="1">INDEX(Master!$H$2:'Master'!$H$4384,MATCH($A11&amp;AE$2,Master!$A$2:'Master'!$A$4384&amp;Master!$C$2:'Master'!$C$4384,0))</f>
        <v>0</v>
      </c>
      <c r="AF11" s="21" cm="1">
        <f t="array" aca="1" ref="AF11" ca="1">INDEX(Master!$H$2:'Master'!$H$4384,MATCH($A11&amp;AF$2,Master!$A$2:'Master'!$A$4384&amp;Master!$C$2:'Master'!$C$4384,0))</f>
        <v>1</v>
      </c>
      <c r="AG11" s="21" cm="1">
        <f t="array" aca="1" ref="AG11" ca="1">INDEX(Master!$H$2:'Master'!$H$4384,MATCH($A11&amp;AG$2,Master!$A$2:'Master'!$A$4384&amp;Master!$C$2:'Master'!$C$4384,0))</f>
        <v>0</v>
      </c>
      <c r="AH11" s="21" cm="1">
        <f t="array" aca="1" ref="AH11" ca="1">INDEX(Master!$H$2:'Master'!$H$4384,MATCH($A11&amp;AH$2,Master!$A$2:'Master'!$A$4384&amp;Master!$C$2:'Master'!$C$4384,0))</f>
        <v>3</v>
      </c>
      <c r="AI11" s="21" cm="1">
        <f t="array" aca="1" ref="AI11" ca="1">INDEX(Master!$H$2:'Master'!$H$4384,MATCH($A11&amp;AI$2,Master!$A$2:'Master'!$A$4384&amp;Master!$C$2:'Master'!$C$4384,0))</f>
        <v>1</v>
      </c>
      <c r="AJ11" s="21" cm="1">
        <f t="array" aca="1" ref="AJ11" ca="1">INDEX(Master!$H$2:'Master'!$H$4384,MATCH($A11&amp;AJ$2,Master!$A$2:'Master'!$A$4384&amp;Master!$C$2:'Master'!$C$4384,0))</f>
        <v>3</v>
      </c>
      <c r="AK11" s="21" cm="1">
        <f t="array" aca="1" ref="AK11" ca="1">INDEX(Master!$H$2:'Master'!$H$4384,MATCH($A11&amp;AK$2,Master!$A$2:'Master'!$A$4384&amp;Master!$C$2:'Master'!$C$4384,0))</f>
        <v>0</v>
      </c>
      <c r="AL11" s="21" cm="1">
        <f t="array" aca="1" ref="AL11" ca="1">INDEX(Master!$H$2:'Master'!$H$4384,MATCH($A11&amp;AL$2,Master!$A$2:'Master'!$A$4384&amp;Master!$C$2:'Master'!$C$4384,0))</f>
        <v>3</v>
      </c>
      <c r="AM11" s="21" cm="1">
        <f t="array" aca="1" ref="AM11" ca="1">INDEX(Master!$H$2:'Master'!$H$4384,MATCH($A11&amp;AM$2,Master!$A$2:'Master'!$A$4384&amp;Master!$C$2:'Master'!$C$4384,0))</f>
        <v>3</v>
      </c>
      <c r="AN11" s="21" cm="1">
        <f t="array" aca="1" ref="AN11" ca="1">INDEX(Master!$H$2:'Master'!$H$4384,MATCH($A11&amp;AN$2,Master!$A$2:'Master'!$A$4384&amp;Master!$C$2:'Master'!$C$4384,0))</f>
        <v>0</v>
      </c>
      <c r="AO11" s="21" cm="1">
        <f t="array" aca="1" ref="AO11" ca="1">INDEX(Master!$H$2:'Master'!$H$4384,MATCH($A11&amp;AO$2,Master!$A$2:'Master'!$A$4384&amp;Master!$C$2:'Master'!$C$4384,0))</f>
        <v>-1</v>
      </c>
      <c r="AP11" s="21" cm="1">
        <f t="array" aca="1" ref="AP11" ca="1">INDEX(Master!$H$2:'Master'!$H$4384,MATCH($A11&amp;AP$2,Master!$A$2:'Master'!$A$4384&amp;Master!$C$2:'Master'!$C$4384,0))</f>
        <v>-1</v>
      </c>
      <c r="AQ11" s="21" cm="1">
        <f t="array" aca="1" ref="AQ11" ca="1">INDEX(Master!$H$2:'Master'!$H$4384,MATCH($A11&amp;AQ$2,Master!$A$2:'Master'!$A$4384&amp;Master!$C$2:'Master'!$C$4384,0))</f>
        <v>-1</v>
      </c>
      <c r="AR11" s="21" cm="1">
        <f t="array" aca="1" ref="AR11" ca="1">INDEX(Master!$H$2:'Master'!$H$4384,MATCH($A11&amp;AR$2,Master!$A$2:'Master'!$A$4384&amp;Master!$C$2:'Master'!$C$4384,0))</f>
        <v>-1</v>
      </c>
      <c r="AS11" s="21" cm="1">
        <f t="array" aca="1" ref="AS11" ca="1">INDEX(Master!$H$2:'Master'!$H$4384,MATCH($A11&amp;AS$2,Master!$A$2:'Master'!$A$4384&amp;Master!$C$2:'Master'!$C$4384,0))</f>
        <v>0</v>
      </c>
      <c r="AT11" s="21" cm="1">
        <f t="array" aca="1" ref="AT11" ca="1">INDEX(Master!$H$2:'Master'!$H$4384,MATCH($A11&amp;AT$2,Master!$A$2:'Master'!$A$4384&amp;Master!$C$2:'Master'!$C$4384,0))</f>
        <v>1</v>
      </c>
      <c r="AU11" s="21" cm="1">
        <f t="array" aca="1" ref="AU11" ca="1">INDEX(Master!$H$2:'Master'!$H$4384,MATCH($A11&amp;AU$2,Master!$A$2:'Master'!$A$4384&amp;Master!$C$2:'Master'!$C$4384,0))</f>
        <v>0</v>
      </c>
      <c r="AV11" s="21" cm="1">
        <f t="array" aca="1" ref="AV11" ca="1">INDEX(Master!$H$2:'Master'!$H$4384,MATCH($A11&amp;AV$2,Master!$A$2:'Master'!$A$4384&amp;Master!$C$2:'Master'!$C$4384,0))</f>
        <v>-2</v>
      </c>
      <c r="AW11" s="21" cm="1">
        <f t="array" aca="1" ref="AW11" ca="1">INDEX(Master!$H$2:'Master'!$H$4384,MATCH($A11&amp;AW$2,Master!$A$2:'Master'!$A$4384&amp;Master!$C$2:'Master'!$C$4384,0))</f>
        <v>0</v>
      </c>
      <c r="AX11" s="21" cm="1">
        <f t="array" aca="1" ref="AX11" ca="1">INDEX(Master!$H$2:'Master'!$H$4384,MATCH($A11&amp;AX$2,Master!$A$2:'Master'!$A$4384&amp;Master!$C$2:'Master'!$C$4384,0))</f>
        <v>4</v>
      </c>
      <c r="AY11" s="21" cm="1">
        <f t="array" aca="1" ref="AY11" ca="1">INDEX(Master!$H$2:'Master'!$H$4384,MATCH($A11&amp;AY$2,Master!$A$2:'Master'!$A$4384&amp;Master!$C$2:'Master'!$C$4384,0))</f>
        <v>3</v>
      </c>
      <c r="AZ11" s="21" cm="1">
        <f t="array" aca="1" ref="AZ11" ca="1">INDEX(Master!$H$2:'Master'!$H$4384,MATCH($A11&amp;AZ$2,Master!$A$2:'Master'!$A$4384&amp;Master!$C$2:'Master'!$C$4384,0))</f>
        <v>-1</v>
      </c>
      <c r="BA11" s="21" cm="1">
        <f t="array" aca="1" ref="BA11" ca="1">INDEX(Master!$H$2:'Master'!$H$4384,MATCH($A11&amp;BA$2,Master!$A$2:'Master'!$A$4384&amp;Master!$C$2:'Master'!$C$4384,0))</f>
        <v>0</v>
      </c>
      <c r="BB11" s="21" cm="1">
        <f t="array" aca="1" ref="BB11" ca="1">INDEX(Master!$H$2:'Master'!$H$4384,MATCH($A11&amp;BB$2,Master!$A$2:'Master'!$A$4384&amp;Master!$C$2:'Master'!$C$4384,0))</f>
        <v>0</v>
      </c>
      <c r="BC11" s="21" cm="1">
        <f t="array" aca="1" ref="BC11" ca="1">INDEX(Master!$H$2:'Master'!$H$4384,MATCH($A11&amp;BC$2,Master!$A$2:'Master'!$A$4384&amp;Master!$C$2:'Master'!$C$4384,0))</f>
        <v>3</v>
      </c>
      <c r="BD11" s="21" cm="1">
        <f t="array" aca="1" ref="BD11" ca="1">INDEX(Master!$H$2:'Master'!$H$4384,MATCH($A11&amp;BD$2,Master!$A$2:'Master'!$A$4384&amp;Master!$C$2:'Master'!$C$4384,0))</f>
        <v>3</v>
      </c>
      <c r="BE11" s="21" cm="1">
        <f t="array" aca="1" ref="BE11" ca="1">INDEX(Master!$H$2:'Master'!$H$4384,MATCH($A11&amp;BE$2,Master!$A$2:'Master'!$A$4384&amp;Master!$C$2:'Master'!$C$4384,0))</f>
        <v>1</v>
      </c>
      <c r="BF11" s="21" cm="1">
        <f t="array" aca="1" ref="BF11" ca="1">INDEX(Master!$H$2:'Master'!$H$4384,MATCH($A11&amp;BF$2,Master!$A$2:'Master'!$A$4384&amp;Master!$C$2:'Master'!$C$4384,0))</f>
        <v>1</v>
      </c>
      <c r="BG11" s="21" cm="1">
        <f t="array" aca="1" ref="BG11" ca="1">INDEX(Master!$H$2:'Master'!$H$4384,MATCH($A11&amp;BG$2,Master!$A$2:'Master'!$A$4384&amp;Master!$C$2:'Master'!$C$4384,0))</f>
        <v>-1</v>
      </c>
      <c r="BH11" s="21" cm="1">
        <f t="array" aca="1" ref="BH11" ca="1">INDEX(Master!$H$2:'Master'!$H$4384,MATCH($A11&amp;BH$2,Master!$A$2:'Master'!$A$4384&amp;Master!$C$2:'Master'!$C$4384,0))</f>
        <v>4</v>
      </c>
      <c r="BI11" s="21" cm="1">
        <f t="array" aca="1" ref="BI11" ca="1">INDEX(Master!$H$2:'Master'!$H$4384,MATCH($A11&amp;BI$2,Master!$A$2:'Master'!$A$4384&amp;Master!$C$2:'Master'!$C$4384,0))</f>
        <v>0</v>
      </c>
      <c r="BJ11" s="21" cm="1">
        <f t="array" aca="1" ref="BJ11" ca="1">INDEX(Master!$H$2:'Master'!$H$4384,MATCH($A11&amp;BJ$2,Master!$A$2:'Master'!$A$4384&amp;Master!$C$2:'Master'!$C$4384,0))</f>
        <v>0</v>
      </c>
      <c r="BK11" s="21" cm="1">
        <f t="array" aca="1" ref="BK11" ca="1">INDEX(Master!$H$2:'Master'!$H$4384,MATCH($A11&amp;BK$2,Master!$A$2:'Master'!$A$4384&amp;Master!$C$2:'Master'!$C$4384,0))</f>
        <v>0</v>
      </c>
      <c r="BL11" s="21" cm="1">
        <f t="array" aca="1" ref="BL11" ca="1">INDEX(Master!$H$2:'Master'!$H$4384,MATCH($A11&amp;BL$2,Master!$A$2:'Master'!$A$4384&amp;Master!$C$2:'Master'!$C$4384,0))</f>
        <v>-1</v>
      </c>
      <c r="BM11" s="21" cm="1">
        <f t="array" aca="1" ref="BM11" ca="1">INDEX(Master!$H$2:'Master'!$H$4384,MATCH($A11&amp;BM$2,Master!$A$2:'Master'!$A$4384&amp;Master!$C$2:'Master'!$C$4384,0))</f>
        <v>0</v>
      </c>
      <c r="BN11" s="21" cm="1">
        <f t="array" aca="1" ref="BN11" ca="1">INDEX(Master!$H$2:'Master'!$H$4384,MATCH($A11&amp;BN$2,Master!$A$2:'Master'!$A$4384&amp;Master!$C$2:'Master'!$C$4384,0))</f>
        <v>1</v>
      </c>
      <c r="BO11" s="21" cm="1">
        <f t="array" aca="1" ref="BO11" ca="1">INDEX(Master!$H$2:'Master'!$H$4384,MATCH($A11&amp;BO$2,Master!$A$2:'Master'!$A$4384&amp;Master!$C$2:'Master'!$C$4384,0))</f>
        <v>3</v>
      </c>
      <c r="BP11" s="21" cm="1">
        <f t="array" aca="1" ref="BP11" ca="1">INDEX(Master!$H$2:'Master'!$H$4384,MATCH($A11&amp;BP$2,Master!$A$2:'Master'!$A$4384&amp;Master!$C$2:'Master'!$C$4384,0))</f>
        <v>0</v>
      </c>
      <c r="BQ11" s="21" cm="1">
        <f t="array" aca="1" ref="BQ11" ca="1">INDEX(Master!$H$2:'Master'!$H$4384,MATCH($A11&amp;BQ$2,Master!$A$2:'Master'!$A$4384&amp;Master!$C$2:'Master'!$C$4384,0))</f>
        <v>0</v>
      </c>
      <c r="BR11" s="21" cm="1">
        <f t="array" aca="1" ref="BR11" ca="1">INDEX(Master!$H$2:'Master'!$H$4384,MATCH($A11&amp;BR$2,Master!$A$2:'Master'!$A$4384&amp;Master!$C$2:'Master'!$C$4384,0))</f>
        <v>1</v>
      </c>
      <c r="BS11" s="21" cm="1">
        <f t="array" aca="1" ref="BS11" ca="1">INDEX(Master!$H$2:'Master'!$H$4384,MATCH($A11&amp;BS$2,Master!$A$2:'Master'!$A$4384&amp;Master!$C$2:'Master'!$C$4384,0))</f>
        <v>1</v>
      </c>
      <c r="BT11" s="21" cm="1">
        <f t="array" aca="1" ref="BT11" ca="1">INDEX(Master!$H$2:'Master'!$H$4384,MATCH($A11&amp;BT$2,Master!$A$2:'Master'!$A$4384&amp;Master!$C$2:'Master'!$C$4384,0))</f>
        <v>3</v>
      </c>
      <c r="BU11" s="21" cm="1">
        <f t="array" aca="1" ref="BU11" ca="1">INDEX(Master!$H$2:'Master'!$H$4384,MATCH($A11&amp;BU$2,Master!$A$2:'Master'!$A$4384&amp;Master!$C$2:'Master'!$C$4384,0))</f>
        <v>0</v>
      </c>
      <c r="BV11" s="21" cm="1">
        <f t="array" aca="1" ref="BV11" ca="1">INDEX(Master!$H$2:'Master'!$H$4384,MATCH($A11&amp;BV$2,Master!$A$2:'Master'!$A$4384&amp;Master!$C$2:'Master'!$C$4384,0))</f>
        <v>-1</v>
      </c>
      <c r="BW11" s="21" cm="1">
        <f t="array" aca="1" ref="BW11" ca="1">INDEX(Master!$H$2:'Master'!$H$4384,MATCH($A11&amp;BW$2,Master!$A$2:'Master'!$A$4384&amp;Master!$C$2:'Master'!$C$4384,0))</f>
        <v>1</v>
      </c>
      <c r="BX11" s="21" cm="1">
        <f t="array" aca="1" ref="BX11" ca="1">INDEX(Master!$H$2:'Master'!$H$4384,MATCH($A11&amp;BX$2,Master!$A$2:'Master'!$A$4384&amp;Master!$C$2:'Master'!$C$4384,0))</f>
        <v>-1</v>
      </c>
      <c r="BY11" s="21" cm="1">
        <f t="array" aca="1" ref="BY11" ca="1">INDEX(Master!$H$2:'Master'!$H$4384,MATCH($A11&amp;BY$2,Master!$A$2:'Master'!$A$4384&amp;Master!$C$2:'Master'!$C$4384,0))</f>
        <v>4</v>
      </c>
      <c r="BZ11" s="21" cm="1">
        <f t="array" aca="1" ref="BZ11" ca="1">INDEX(Master!$H$2:'Master'!$H$4384,MATCH($A11&amp;BZ$2,Master!$A$2:'Master'!$A$4384&amp;Master!$C$2:'Master'!$C$4384,0))</f>
        <v>0</v>
      </c>
      <c r="CA11" s="21" cm="1">
        <f t="array" aca="1" ref="CA11" ca="1">INDEX(Master!$H$2:'Master'!$H$4384,MATCH($A11&amp;CA$2,Master!$A$2:'Master'!$A$4384&amp;Master!$C$2:'Master'!$C$4384,0))</f>
        <v>0</v>
      </c>
      <c r="CB11" s="21" cm="1">
        <f t="array" aca="1" ref="CB11" ca="1">INDEX(Master!$H$2:'Master'!$H$4384,MATCH($A11&amp;CB$2,Master!$A$2:'Master'!$A$4384&amp;Master!$C$2:'Master'!$C$4384,0))</f>
        <v>0</v>
      </c>
      <c r="CC11" s="21" cm="1">
        <f t="array" aca="1" ref="CC11" ca="1">INDEX(Master!$H$2:'Master'!$H$4384,MATCH($A11&amp;CC$2,Master!$A$2:'Master'!$A$4384&amp;Master!$C$2:'Master'!$C$4384,0))</f>
        <v>-1</v>
      </c>
      <c r="CD11" s="21" cm="1">
        <f t="array" aca="1" ref="CD11" ca="1">INDEX(Master!$H$2:'Master'!$H$4384,MATCH($A11&amp;CD$2,Master!$A$2:'Master'!$A$4384&amp;Master!$C$2:'Master'!$C$4384,0))</f>
        <v>0</v>
      </c>
      <c r="CE11" s="21" cm="1">
        <f t="array" aca="1" ref="CE11" ca="1">INDEX(Master!$H$2:'Master'!$H$4384,MATCH($A11&amp;CE$2,Master!$A$2:'Master'!$A$4384&amp;Master!$C$2:'Master'!$C$4384,0))</f>
        <v>0</v>
      </c>
      <c r="CF11" s="21" cm="1">
        <f t="array" aca="1" ref="CF11" ca="1">INDEX(Master!$H$2:'Master'!$H$4384,MATCH($A11&amp;CF$2,Master!$A$2:'Master'!$A$4384&amp;Master!$C$2:'Master'!$C$4384,0))</f>
        <v>-1</v>
      </c>
      <c r="CG11" s="21" cm="1">
        <f t="array" aca="1" ref="CG11" ca="1">INDEX(Master!$H$2:'Master'!$H$4384,MATCH($A11&amp;CG$2,Master!$A$2:'Master'!$A$4384&amp;Master!$C$2:'Master'!$C$4384,0))</f>
        <v>0</v>
      </c>
      <c r="CH11" s="21" cm="1">
        <f t="array" aca="1" ref="CH11" ca="1">INDEX(Master!$H$2:'Master'!$H$4384,MATCH($A11&amp;CH$2,Master!$A$2:'Master'!$A$4384&amp;Master!$C$2:'Master'!$C$4384,0))</f>
        <v>-1</v>
      </c>
      <c r="CI11" s="21" cm="1">
        <f t="array" aca="1" ref="CI11" ca="1">INDEX(Master!$H$2:'Master'!$H$4384,MATCH($A11&amp;CI$2,Master!$A$2:'Master'!$A$4384&amp;Master!$C$2:'Master'!$C$4384,0))</f>
        <v>0</v>
      </c>
      <c r="CJ11" s="21" cm="1">
        <f t="array" aca="1" ref="CJ11" ca="1">INDEX(Master!$H$2:'Master'!$H$4384,MATCH($A11&amp;CJ$2,Master!$A$2:'Master'!$A$4384&amp;Master!$C$2:'Master'!$C$4384,0))</f>
        <v>0</v>
      </c>
      <c r="CK11" s="21" cm="1">
        <f t="array" aca="1" ref="CK11" ca="1">INDEX(Master!$H$2:'Master'!$H$4384,MATCH($A11&amp;CK$2,Master!$A$2:'Master'!$A$4384&amp;Master!$C$2:'Master'!$C$4384,0))</f>
        <v>0</v>
      </c>
      <c r="CL11" s="21" cm="1">
        <f t="array" aca="1" ref="CL11" ca="1">INDEX(Master!$H$2:'Master'!$H$4384,MATCH($A11&amp;CL$2,Master!$A$2:'Master'!$A$4384&amp;Master!$C$2:'Master'!$C$4384,0))</f>
        <v>0</v>
      </c>
      <c r="CM11" s="21" cm="1">
        <f t="array" aca="1" ref="CM11" ca="1">INDEX(Master!$H$2:'Master'!$H$4384,MATCH($A11&amp;CM$2,Master!$A$2:'Master'!$A$4384&amp;Master!$C$2:'Master'!$C$4384,0))</f>
        <v>0</v>
      </c>
      <c r="CN11" s="21" cm="1">
        <f t="array" aca="1" ref="CN11" ca="1">INDEX(Master!$H$2:'Master'!$H$4384,MATCH($A11&amp;CN$2,Master!$A$2:'Master'!$A$4384&amp;Master!$C$2:'Master'!$C$4384,0))</f>
        <v>-2</v>
      </c>
      <c r="CO11" s="21" cm="1">
        <f t="array" aca="1" ref="CO11" ca="1">INDEX(Master!$H$2:'Master'!$H$4384,MATCH($A11&amp;CO$2,Master!$A$2:'Master'!$A$4384&amp;Master!$C$2:'Master'!$C$4384,0))</f>
        <v>-2</v>
      </c>
      <c r="CP11" s="21" cm="1">
        <f t="array" aca="1" ref="CP11" ca="1">INDEX(Master!$H$2:'Master'!$H$4384,MATCH($A11&amp;CP$2,Master!$A$2:'Master'!$A$4384&amp;Master!$C$2:'Master'!$C$4384,0))</f>
        <v>-2</v>
      </c>
      <c r="CQ11" s="21" cm="1">
        <f t="array" aca="1" ref="CQ11" ca="1">INDEX(Master!$H$2:'Master'!$H$4384,MATCH($A11&amp;CQ$2,Master!$A$2:'Master'!$A$4384&amp;Master!$C$2:'Master'!$C$4384,0))</f>
        <v>0</v>
      </c>
      <c r="CR11" s="21" cm="1">
        <f t="array" aca="1" ref="CR11" ca="1">INDEX(Master!$H$2:'Master'!$H$4384,MATCH($A11&amp;CR$2,Master!$A$2:'Master'!$A$4384&amp;Master!$C$2:'Master'!$C$4384,0))</f>
        <v>3</v>
      </c>
      <c r="CS11" s="21" cm="1">
        <f t="array" aca="1" ref="CS11" ca="1">INDEX(Master!$H$2:'Master'!$H$4384,MATCH($A11&amp;CS$2,Master!$A$2:'Master'!$A$4384&amp;Master!$C$2:'Master'!$C$4384,0))</f>
        <v>-1</v>
      </c>
    </row>
    <row r="12" spans="1:97">
      <c r="A12" s="22" t="str">
        <f>VLOOKUP(Staff!$A8,Staff!$A$1:A$73,1,FALSE)</f>
        <v>Kate Fleming</v>
      </c>
      <c r="B12" s="21" cm="1">
        <f t="array" aca="1" ref="B12" ca="1">INDEX(Master!$H$2:'Master'!$H$4384,MATCH($A12&amp;B$2,Master!$A$2:'Master'!$A$4384&amp;Master!$C$2:'Master'!$C$4384,0))</f>
        <v>1</v>
      </c>
      <c r="C12" s="21" cm="1">
        <f t="array" aca="1" ref="C12" ca="1">INDEX(Master!$H$2:'Master'!$H$4384,MATCH($A12&amp;C$2,Master!$A$2:'Master'!$A$4384&amp;Master!$C$2:'Master'!$C$4384,0))</f>
        <v>1</v>
      </c>
      <c r="D12" s="21" cm="1">
        <f t="array" aca="1" ref="D12" ca="1">INDEX(Master!$H$2:'Master'!$H$4384,MATCH($A12&amp;D$2,Master!$A$2:'Master'!$A$4384&amp;Master!$C$2:'Master'!$C$4384,0))</f>
        <v>1</v>
      </c>
      <c r="E12" s="21" cm="1">
        <f t="array" aca="1" ref="E12" ca="1">INDEX(Master!$H$2:'Master'!$H$4384,MATCH($A12&amp;E$2,Master!$A$2:'Master'!$A$4384&amp;Master!$C$2:'Master'!$C$4384,0))</f>
        <v>0</v>
      </c>
      <c r="F12" s="21" cm="1">
        <f t="array" aca="1" ref="F12" ca="1">INDEX(Master!$H$2:'Master'!$H$4384,MATCH($A12&amp;F$2,Master!$A$2:'Master'!$A$4384&amp;Master!$C$2:'Master'!$C$4384,0))</f>
        <v>0</v>
      </c>
      <c r="G12" s="21" cm="1">
        <f t="array" aca="1" ref="G12" ca="1">INDEX(Master!$H$2:'Master'!$H$4384,MATCH($A12&amp;G$2,Master!$A$2:'Master'!$A$4384&amp;Master!$C$2:'Master'!$C$4384,0))</f>
        <v>0</v>
      </c>
      <c r="H12" s="21" cm="1">
        <f t="array" aca="1" ref="H12" ca="1">INDEX(Master!$H$2:'Master'!$H$4384,MATCH($A12&amp;H$2,Master!$A$2:'Master'!$A$4384&amp;Master!$C$2:'Master'!$C$4384,0))</f>
        <v>1</v>
      </c>
      <c r="I12" s="21" cm="1">
        <f t="array" aca="1" ref="I12" ca="1">INDEX(Master!$H$2:'Master'!$H$4384,MATCH($A12&amp;I$2,Master!$A$2:'Master'!$A$4384&amp;Master!$C$2:'Master'!$C$4384,0))</f>
        <v>0</v>
      </c>
      <c r="J12" s="21" cm="1">
        <f t="array" aca="1" ref="J12" ca="1">INDEX(Master!$H$2:'Master'!$H$4384,MATCH($A12&amp;J$2,Master!$A$2:'Master'!$A$4384&amp;Master!$C$2:'Master'!$C$4384,0))</f>
        <v>0</v>
      </c>
      <c r="K12" s="21" cm="1">
        <f t="array" aca="1" ref="K12" ca="1">INDEX(Master!$H$2:'Master'!$H$4384,MATCH($A12&amp;K$2,Master!$A$2:'Master'!$A$4384&amp;Master!$C$2:'Master'!$C$4384,0))</f>
        <v>-1</v>
      </c>
      <c r="L12" s="21" cm="1">
        <f t="array" aca="1" ref="L12" ca="1">INDEX(Master!$H$2:'Master'!$H$4384,MATCH($A12&amp;L$2,Master!$A$2:'Master'!$A$4384&amp;Master!$C$2:'Master'!$C$4384,0))</f>
        <v>0</v>
      </c>
      <c r="M12" s="21" cm="1">
        <f t="array" aca="1" ref="M12" ca="1">INDEX(Master!$H$2:'Master'!$H$4384,MATCH($A12&amp;M$2,Master!$A$2:'Master'!$A$4384&amp;Master!$C$2:'Master'!$C$4384,0))</f>
        <v>-1</v>
      </c>
      <c r="N12" s="21" cm="1">
        <f t="array" aca="1" ref="N12" ca="1">INDEX(Master!$H$2:'Master'!$H$4384,MATCH($A12&amp;N$2,Master!$A$2:'Master'!$A$4384&amp;Master!$C$2:'Master'!$C$4384,0))</f>
        <v>0</v>
      </c>
      <c r="O12" s="21" cm="1">
        <f t="array" aca="1" ref="O12" ca="1">INDEX(Master!$H$2:'Master'!$H$4384,MATCH($A12&amp;O$2,Master!$A$2:'Master'!$A$4384&amp;Master!$C$2:'Master'!$C$4384,0))</f>
        <v>1</v>
      </c>
      <c r="P12" s="21" cm="1">
        <f t="array" aca="1" ref="P12" ca="1">INDEX(Master!$H$2:'Master'!$H$4384,MATCH($A12&amp;P$2,Master!$A$2:'Master'!$A$4384&amp;Master!$C$2:'Master'!$C$4384,0))</f>
        <v>3</v>
      </c>
      <c r="Q12" s="21" cm="1">
        <f t="array" aca="1" ref="Q12" ca="1">INDEX(Master!$H$2:'Master'!$H$4384,MATCH($A12&amp;Q$2,Master!$A$2:'Master'!$A$4384&amp;Master!$C$2:'Master'!$C$4384,0))</f>
        <v>2</v>
      </c>
      <c r="R12" s="21" cm="1">
        <f t="array" aca="1" ref="R12" ca="1">INDEX(Master!$H$2:'Master'!$H$4384,MATCH($A12&amp;R$2,Master!$A$2:'Master'!$A$4384&amp;Master!$C$2:'Master'!$C$4384,0))</f>
        <v>0</v>
      </c>
      <c r="S12" s="21" cm="1">
        <f t="array" aca="1" ref="S12" ca="1">INDEX(Master!$H$2:'Master'!$H$4384,MATCH($A12&amp;S$2,Master!$A$2:'Master'!$A$4384&amp;Master!$C$2:'Master'!$C$4384,0))</f>
        <v>2</v>
      </c>
      <c r="T12" s="21" cm="1">
        <f t="array" aca="1" ref="T12" ca="1">INDEX(Master!$H$2:'Master'!$H$4384,MATCH($A12&amp;T$2,Master!$A$2:'Master'!$A$4384&amp;Master!$C$2:'Master'!$C$4384,0))</f>
        <v>3</v>
      </c>
      <c r="U12" s="21" cm="1">
        <f t="array" aca="1" ref="U12" ca="1">INDEX(Master!$H$2:'Master'!$H$4384,MATCH($A12&amp;U$2,Master!$A$2:'Master'!$A$4384&amp;Master!$C$2:'Master'!$C$4384,0))</f>
        <v>2</v>
      </c>
      <c r="V12" s="21" cm="1">
        <f t="array" aca="1" ref="V12" ca="1">INDEX(Master!$H$2:'Master'!$H$4384,MATCH($A12&amp;V$2,Master!$A$2:'Master'!$A$4384&amp;Master!$C$2:'Master'!$C$4384,0))</f>
        <v>0</v>
      </c>
      <c r="W12" s="21" cm="1">
        <f t="array" aca="1" ref="W12" ca="1">INDEX(Master!$H$2:'Master'!$H$4384,MATCH($A12&amp;W$2,Master!$A$2:'Master'!$A$4384&amp;Master!$C$2:'Master'!$C$4384,0))</f>
        <v>-1</v>
      </c>
      <c r="X12" s="21" cm="1">
        <f t="array" aca="1" ref="X12" ca="1">INDEX(Master!$H$2:'Master'!$H$4384,MATCH($A12&amp;X$2,Master!$A$2:'Master'!$A$4384&amp;Master!$C$2:'Master'!$C$4384,0))</f>
        <v>-2</v>
      </c>
      <c r="Y12" s="21" cm="1">
        <f t="array" aca="1" ref="Y12" ca="1">INDEX(Master!$H$2:'Master'!$H$4384,MATCH($A12&amp;Y$2,Master!$A$2:'Master'!$A$4384&amp;Master!$C$2:'Master'!$C$4384,0))</f>
        <v>0</v>
      </c>
      <c r="Z12" s="21" cm="1">
        <f t="array" aca="1" ref="Z12" ca="1">INDEX(Master!$H$2:'Master'!$H$4384,MATCH($A12&amp;Z$2,Master!$A$2:'Master'!$A$4384&amp;Master!$C$2:'Master'!$C$4384,0))</f>
        <v>0</v>
      </c>
      <c r="AA12" s="21" cm="1">
        <f t="array" aca="1" ref="AA12" ca="1">INDEX(Master!$H$2:'Master'!$H$4384,MATCH($A12&amp;AA$2,Master!$A$2:'Master'!$A$4384&amp;Master!$C$2:'Master'!$C$4384,0))</f>
        <v>-2</v>
      </c>
      <c r="AB12" s="21" cm="1">
        <f t="array" aca="1" ref="AB12" ca="1">INDEX(Master!$H$2:'Master'!$H$4384,MATCH($A12&amp;AB$2,Master!$A$2:'Master'!$A$4384&amp;Master!$C$2:'Master'!$C$4384,0))</f>
        <v>1</v>
      </c>
      <c r="AC12" s="21" cm="1">
        <f t="array" aca="1" ref="AC12" ca="1">INDEX(Master!$H$2:'Master'!$H$4384,MATCH($A12&amp;AC$2,Master!$A$2:'Master'!$A$4384&amp;Master!$C$2:'Master'!$C$4384,0))</f>
        <v>1</v>
      </c>
      <c r="AD12" s="21" cm="1">
        <f t="array" aca="1" ref="AD12" ca="1">INDEX(Master!$H$2:'Master'!$H$4384,MATCH($A12&amp;AD$2,Master!$A$2:'Master'!$A$4384&amp;Master!$C$2:'Master'!$C$4384,0))</f>
        <v>0</v>
      </c>
      <c r="AE12" s="21" cm="1">
        <f t="array" aca="1" ref="AE12" ca="1">INDEX(Master!$H$2:'Master'!$H$4384,MATCH($A12&amp;AE$2,Master!$A$2:'Master'!$A$4384&amp;Master!$C$2:'Master'!$C$4384,0))</f>
        <v>-1</v>
      </c>
      <c r="AF12" s="21" cm="1">
        <f t="array" aca="1" ref="AF12" ca="1">INDEX(Master!$H$2:'Master'!$H$4384,MATCH($A12&amp;AF$2,Master!$A$2:'Master'!$A$4384&amp;Master!$C$2:'Master'!$C$4384,0))</f>
        <v>0</v>
      </c>
      <c r="AG12" s="21" cm="1">
        <f t="array" aca="1" ref="AG12" ca="1">INDEX(Master!$H$2:'Master'!$H$4384,MATCH($A12&amp;AG$2,Master!$A$2:'Master'!$A$4384&amp;Master!$C$2:'Master'!$C$4384,0))</f>
        <v>0</v>
      </c>
      <c r="AH12" s="21" cm="1">
        <f t="array" aca="1" ref="AH12" ca="1">INDEX(Master!$H$2:'Master'!$H$4384,MATCH($A12&amp;AH$2,Master!$A$2:'Master'!$A$4384&amp;Master!$C$2:'Master'!$C$4384,0))</f>
        <v>2</v>
      </c>
      <c r="AI12" s="21" cm="1">
        <f t="array" aca="1" ref="AI12" ca="1">INDEX(Master!$H$2:'Master'!$H$4384,MATCH($A12&amp;AI$2,Master!$A$2:'Master'!$A$4384&amp;Master!$C$2:'Master'!$C$4384,0))</f>
        <v>0</v>
      </c>
      <c r="AJ12" s="21" cm="1">
        <f t="array" aca="1" ref="AJ12" ca="1">INDEX(Master!$H$2:'Master'!$H$4384,MATCH($A12&amp;AJ$2,Master!$A$2:'Master'!$A$4384&amp;Master!$C$2:'Master'!$C$4384,0))</f>
        <v>1</v>
      </c>
      <c r="AK12" s="21" cm="1">
        <f t="array" aca="1" ref="AK12" ca="1">INDEX(Master!$H$2:'Master'!$H$4384,MATCH($A12&amp;AK$2,Master!$A$2:'Master'!$A$4384&amp;Master!$C$2:'Master'!$C$4384,0))</f>
        <v>-1</v>
      </c>
      <c r="AL12" s="21" cm="1">
        <f t="array" aca="1" ref="AL12" ca="1">INDEX(Master!$H$2:'Master'!$H$4384,MATCH($A12&amp;AL$2,Master!$A$2:'Master'!$A$4384&amp;Master!$C$2:'Master'!$C$4384,0))</f>
        <v>0</v>
      </c>
      <c r="AM12" s="21" cm="1">
        <f t="array" aca="1" ref="AM12" ca="1">INDEX(Master!$H$2:'Master'!$H$4384,MATCH($A12&amp;AM$2,Master!$A$2:'Master'!$A$4384&amp;Master!$C$2:'Master'!$C$4384,0))</f>
        <v>2</v>
      </c>
      <c r="AN12" s="21" cm="1">
        <f t="array" aca="1" ref="AN12" ca="1">INDEX(Master!$H$2:'Master'!$H$4384,MATCH($A12&amp;AN$2,Master!$A$2:'Master'!$A$4384&amp;Master!$C$2:'Master'!$C$4384,0))</f>
        <v>0</v>
      </c>
      <c r="AO12" s="21" cm="1">
        <f t="array" aca="1" ref="AO12" ca="1">INDEX(Master!$H$2:'Master'!$H$4384,MATCH($A12&amp;AO$2,Master!$A$2:'Master'!$A$4384&amp;Master!$C$2:'Master'!$C$4384,0))</f>
        <v>0</v>
      </c>
      <c r="AP12" s="21" cm="1">
        <f t="array" aca="1" ref="AP12" ca="1">INDEX(Master!$H$2:'Master'!$H$4384,MATCH($A12&amp;AP$2,Master!$A$2:'Master'!$A$4384&amp;Master!$C$2:'Master'!$C$4384,0))</f>
        <v>1</v>
      </c>
      <c r="AQ12" s="21" cm="1">
        <f t="array" aca="1" ref="AQ12" ca="1">INDEX(Master!$H$2:'Master'!$H$4384,MATCH($A12&amp;AQ$2,Master!$A$2:'Master'!$A$4384&amp;Master!$C$2:'Master'!$C$4384,0))</f>
        <v>0</v>
      </c>
      <c r="AR12" s="21" cm="1">
        <f t="array" aca="1" ref="AR12" ca="1">INDEX(Master!$H$2:'Master'!$H$4384,MATCH($A12&amp;AR$2,Master!$A$2:'Master'!$A$4384&amp;Master!$C$2:'Master'!$C$4384,0))</f>
        <v>0</v>
      </c>
      <c r="AS12" s="21" cm="1">
        <f t="array" aca="1" ref="AS12" ca="1">INDEX(Master!$H$2:'Master'!$H$4384,MATCH($A12&amp;AS$2,Master!$A$2:'Master'!$A$4384&amp;Master!$C$2:'Master'!$C$4384,0))</f>
        <v>0</v>
      </c>
      <c r="AT12" s="21" cm="1">
        <f t="array" aca="1" ref="AT12" ca="1">INDEX(Master!$H$2:'Master'!$H$4384,MATCH($A12&amp;AT$2,Master!$A$2:'Master'!$A$4384&amp;Master!$C$2:'Master'!$C$4384,0))</f>
        <v>0</v>
      </c>
      <c r="AU12" s="21" cm="1">
        <f t="array" aca="1" ref="AU12" ca="1">INDEX(Master!$H$2:'Master'!$H$4384,MATCH($A12&amp;AU$2,Master!$A$2:'Master'!$A$4384&amp;Master!$C$2:'Master'!$C$4384,0))</f>
        <v>0</v>
      </c>
      <c r="AV12" s="21" cm="1">
        <f t="array" aca="1" ref="AV12" ca="1">INDEX(Master!$H$2:'Master'!$H$4384,MATCH($A12&amp;AV$2,Master!$A$2:'Master'!$A$4384&amp;Master!$C$2:'Master'!$C$4384,0))</f>
        <v>0</v>
      </c>
      <c r="AW12" s="21" cm="1">
        <f t="array" aca="1" ref="AW12" ca="1">INDEX(Master!$H$2:'Master'!$H$4384,MATCH($A12&amp;AW$2,Master!$A$2:'Master'!$A$4384&amp;Master!$C$2:'Master'!$C$4384,0))</f>
        <v>0</v>
      </c>
      <c r="AX12" s="21" cm="1">
        <f t="array" aca="1" ref="AX12" ca="1">INDEX(Master!$H$2:'Master'!$H$4384,MATCH($A12&amp;AX$2,Master!$A$2:'Master'!$A$4384&amp;Master!$C$2:'Master'!$C$4384,0))</f>
        <v>3</v>
      </c>
      <c r="AY12" s="21" cm="1">
        <f t="array" aca="1" ref="AY12" ca="1">INDEX(Master!$H$2:'Master'!$H$4384,MATCH($A12&amp;AY$2,Master!$A$2:'Master'!$A$4384&amp;Master!$C$2:'Master'!$C$4384,0))</f>
        <v>0</v>
      </c>
      <c r="AZ12" s="21" cm="1">
        <f t="array" aca="1" ref="AZ12" ca="1">INDEX(Master!$H$2:'Master'!$H$4384,MATCH($A12&amp;AZ$2,Master!$A$2:'Master'!$A$4384&amp;Master!$C$2:'Master'!$C$4384,0))</f>
        <v>0</v>
      </c>
      <c r="BA12" s="21" cm="1">
        <f t="array" aca="1" ref="BA12" ca="1">INDEX(Master!$H$2:'Master'!$H$4384,MATCH($A12&amp;BA$2,Master!$A$2:'Master'!$A$4384&amp;Master!$C$2:'Master'!$C$4384,0))</f>
        <v>0</v>
      </c>
      <c r="BB12" s="21" cm="1">
        <f t="array" aca="1" ref="BB12" ca="1">INDEX(Master!$H$2:'Master'!$H$4384,MATCH($A12&amp;BB$2,Master!$A$2:'Master'!$A$4384&amp;Master!$C$2:'Master'!$C$4384,0))</f>
        <v>0</v>
      </c>
      <c r="BC12" s="21" cm="1">
        <f t="array" aca="1" ref="BC12" ca="1">INDEX(Master!$H$2:'Master'!$H$4384,MATCH($A12&amp;BC$2,Master!$A$2:'Master'!$A$4384&amp;Master!$C$2:'Master'!$C$4384,0))</f>
        <v>2</v>
      </c>
      <c r="BD12" s="21" cm="1">
        <f t="array" aca="1" ref="BD12" ca="1">INDEX(Master!$H$2:'Master'!$H$4384,MATCH($A12&amp;BD$2,Master!$A$2:'Master'!$A$4384&amp;Master!$C$2:'Master'!$C$4384,0))</f>
        <v>3</v>
      </c>
      <c r="BE12" s="21" cm="1">
        <f t="array" aca="1" ref="BE12" ca="1">INDEX(Master!$H$2:'Master'!$H$4384,MATCH($A12&amp;BE$2,Master!$A$2:'Master'!$A$4384&amp;Master!$C$2:'Master'!$C$4384,0))</f>
        <v>1</v>
      </c>
      <c r="BF12" s="21" cm="1">
        <f t="array" aca="1" ref="BF12" ca="1">INDEX(Master!$H$2:'Master'!$H$4384,MATCH($A12&amp;BF$2,Master!$A$2:'Master'!$A$4384&amp;Master!$C$2:'Master'!$C$4384,0))</f>
        <v>1</v>
      </c>
      <c r="BG12" s="21" cm="1">
        <f t="array" aca="1" ref="BG12" ca="1">INDEX(Master!$H$2:'Master'!$H$4384,MATCH($A12&amp;BG$2,Master!$A$2:'Master'!$A$4384&amp;Master!$C$2:'Master'!$C$4384,0))</f>
        <v>-1</v>
      </c>
      <c r="BH12" s="21" cm="1">
        <f t="array" aca="1" ref="BH12" ca="1">INDEX(Master!$H$2:'Master'!$H$4384,MATCH($A12&amp;BH$2,Master!$A$2:'Master'!$A$4384&amp;Master!$C$2:'Master'!$C$4384,0))</f>
        <v>-1</v>
      </c>
      <c r="BI12" s="21" cm="1">
        <f t="array" aca="1" ref="BI12" ca="1">INDEX(Master!$H$2:'Master'!$H$4384,MATCH($A12&amp;BI$2,Master!$A$2:'Master'!$A$4384&amp;Master!$C$2:'Master'!$C$4384,0))</f>
        <v>2</v>
      </c>
      <c r="BJ12" s="21" cm="1">
        <f t="array" aca="1" ref="BJ12" ca="1">INDEX(Master!$H$2:'Master'!$H$4384,MATCH($A12&amp;BJ$2,Master!$A$2:'Master'!$A$4384&amp;Master!$C$2:'Master'!$C$4384,0))</f>
        <v>2</v>
      </c>
      <c r="BK12" s="21" cm="1">
        <f t="array" aca="1" ref="BK12" ca="1">INDEX(Master!$H$2:'Master'!$H$4384,MATCH($A12&amp;BK$2,Master!$A$2:'Master'!$A$4384&amp;Master!$C$2:'Master'!$C$4384,0))</f>
        <v>3</v>
      </c>
      <c r="BL12" s="21" cm="1">
        <f t="array" aca="1" ref="BL12" ca="1">INDEX(Master!$H$2:'Master'!$H$4384,MATCH($A12&amp;BL$2,Master!$A$2:'Master'!$A$4384&amp;Master!$C$2:'Master'!$C$4384,0))</f>
        <v>2</v>
      </c>
      <c r="BM12" s="21" cm="1">
        <f t="array" aca="1" ref="BM12" ca="1">INDEX(Master!$H$2:'Master'!$H$4384,MATCH($A12&amp;BM$2,Master!$A$2:'Master'!$A$4384&amp;Master!$C$2:'Master'!$C$4384,0))</f>
        <v>1</v>
      </c>
      <c r="BN12" s="21" cm="1">
        <f t="array" aca="1" ref="BN12" ca="1">INDEX(Master!$H$2:'Master'!$H$4384,MATCH($A12&amp;BN$2,Master!$A$2:'Master'!$A$4384&amp;Master!$C$2:'Master'!$C$4384,0))</f>
        <v>0</v>
      </c>
      <c r="BO12" s="21" cm="1">
        <f t="array" aca="1" ref="BO12" ca="1">INDEX(Master!$H$2:'Master'!$H$4384,MATCH($A12&amp;BO$2,Master!$A$2:'Master'!$A$4384&amp;Master!$C$2:'Master'!$C$4384,0))</f>
        <v>2</v>
      </c>
      <c r="BP12" s="21" cm="1">
        <f t="array" aca="1" ref="BP12" ca="1">INDEX(Master!$H$2:'Master'!$H$4384,MATCH($A12&amp;BP$2,Master!$A$2:'Master'!$A$4384&amp;Master!$C$2:'Master'!$C$4384,0))</f>
        <v>2</v>
      </c>
      <c r="BQ12" s="21" cm="1">
        <f t="array" aca="1" ref="BQ12" ca="1">INDEX(Master!$H$2:'Master'!$H$4384,MATCH($A12&amp;BQ$2,Master!$A$2:'Master'!$A$4384&amp;Master!$C$2:'Master'!$C$4384,0))</f>
        <v>2</v>
      </c>
      <c r="BR12" s="21" cm="1">
        <f t="array" aca="1" ref="BR12" ca="1">INDEX(Master!$H$2:'Master'!$H$4384,MATCH($A12&amp;BR$2,Master!$A$2:'Master'!$A$4384&amp;Master!$C$2:'Master'!$C$4384,0))</f>
        <v>2</v>
      </c>
      <c r="BS12" s="21" cm="1">
        <f t="array" aca="1" ref="BS12" ca="1">INDEX(Master!$H$2:'Master'!$H$4384,MATCH($A12&amp;BS$2,Master!$A$2:'Master'!$A$4384&amp;Master!$C$2:'Master'!$C$4384,0))</f>
        <v>3</v>
      </c>
      <c r="BT12" s="21" cm="1">
        <f t="array" aca="1" ref="BT12" ca="1">INDEX(Master!$H$2:'Master'!$H$4384,MATCH($A12&amp;BT$2,Master!$A$2:'Master'!$A$4384&amp;Master!$C$2:'Master'!$C$4384,0))</f>
        <v>2</v>
      </c>
      <c r="BU12" s="21" cm="1">
        <f t="array" aca="1" ref="BU12" ca="1">INDEX(Master!$H$2:'Master'!$H$4384,MATCH($A12&amp;BU$2,Master!$A$2:'Master'!$A$4384&amp;Master!$C$2:'Master'!$C$4384,0))</f>
        <v>2</v>
      </c>
      <c r="BV12" s="21" cm="1">
        <f t="array" aca="1" ref="BV12" ca="1">INDEX(Master!$H$2:'Master'!$H$4384,MATCH($A12&amp;BV$2,Master!$A$2:'Master'!$A$4384&amp;Master!$C$2:'Master'!$C$4384,0))</f>
        <v>3</v>
      </c>
      <c r="BW12" s="21" cm="1">
        <f t="array" aca="1" ref="BW12" ca="1">INDEX(Master!$H$2:'Master'!$H$4384,MATCH($A12&amp;BW$2,Master!$A$2:'Master'!$A$4384&amp;Master!$C$2:'Master'!$C$4384,0))</f>
        <v>1</v>
      </c>
      <c r="BX12" s="21" cm="1">
        <f t="array" aca="1" ref="BX12" ca="1">INDEX(Master!$H$2:'Master'!$H$4384,MATCH($A12&amp;BX$2,Master!$A$2:'Master'!$A$4384&amp;Master!$C$2:'Master'!$C$4384,0))</f>
        <v>-1</v>
      </c>
      <c r="BY12" s="21" cm="1">
        <f t="array" aca="1" ref="BY12" ca="1">INDEX(Master!$H$2:'Master'!$H$4384,MATCH($A12&amp;BY$2,Master!$A$2:'Master'!$A$4384&amp;Master!$C$2:'Master'!$C$4384,0))</f>
        <v>-1</v>
      </c>
      <c r="BZ12" s="21" cm="1">
        <f t="array" aca="1" ref="BZ12" ca="1">INDEX(Master!$H$2:'Master'!$H$4384,MATCH($A12&amp;BZ$2,Master!$A$2:'Master'!$A$4384&amp;Master!$C$2:'Master'!$C$4384,0))</f>
        <v>2</v>
      </c>
      <c r="CA12" s="21" cm="1">
        <f t="array" aca="1" ref="CA12" ca="1">INDEX(Master!$H$2:'Master'!$H$4384,MATCH($A12&amp;CA$2,Master!$A$2:'Master'!$A$4384&amp;Master!$C$2:'Master'!$C$4384,0))</f>
        <v>2</v>
      </c>
      <c r="CB12" s="21" cm="1">
        <f t="array" aca="1" ref="CB12" ca="1">INDEX(Master!$H$2:'Master'!$H$4384,MATCH($A12&amp;CB$2,Master!$A$2:'Master'!$A$4384&amp;Master!$C$2:'Master'!$C$4384,0))</f>
        <v>3</v>
      </c>
      <c r="CC12" s="21" cm="1">
        <f t="array" aca="1" ref="CC12" ca="1">INDEX(Master!$H$2:'Master'!$H$4384,MATCH($A12&amp;CC$2,Master!$A$2:'Master'!$A$4384&amp;Master!$C$2:'Master'!$C$4384,0))</f>
        <v>2</v>
      </c>
      <c r="CD12" s="21" cm="1">
        <f t="array" aca="1" ref="CD12" ca="1">INDEX(Master!$H$2:'Master'!$H$4384,MATCH($A12&amp;CD$2,Master!$A$2:'Master'!$A$4384&amp;Master!$C$2:'Master'!$C$4384,0))</f>
        <v>1</v>
      </c>
      <c r="CE12" s="21" cm="1">
        <f t="array" aca="1" ref="CE12" ca="1">INDEX(Master!$H$2:'Master'!$H$4384,MATCH($A12&amp;CE$2,Master!$A$2:'Master'!$A$4384&amp;Master!$C$2:'Master'!$C$4384,0))</f>
        <v>0</v>
      </c>
      <c r="CF12" s="21" cm="1">
        <f t="array" aca="1" ref="CF12" ca="1">INDEX(Master!$H$2:'Master'!$H$4384,MATCH($A12&amp;CF$2,Master!$A$2:'Master'!$A$4384&amp;Master!$C$2:'Master'!$C$4384,0))</f>
        <v>0</v>
      </c>
      <c r="CG12" s="21" cm="1">
        <f t="array" aca="1" ref="CG12" ca="1">INDEX(Master!$H$2:'Master'!$H$4384,MATCH($A12&amp;CG$2,Master!$A$2:'Master'!$A$4384&amp;Master!$C$2:'Master'!$C$4384,0))</f>
        <v>1</v>
      </c>
      <c r="CH12" s="21" cm="1">
        <f t="array" aca="1" ref="CH12" ca="1">INDEX(Master!$H$2:'Master'!$H$4384,MATCH($A12&amp;CH$2,Master!$A$2:'Master'!$A$4384&amp;Master!$C$2:'Master'!$C$4384,0))</f>
        <v>-1</v>
      </c>
      <c r="CI12" s="21" cm="1">
        <f t="array" aca="1" ref="CI12" ca="1">INDEX(Master!$H$2:'Master'!$H$4384,MATCH($A12&amp;CI$2,Master!$A$2:'Master'!$A$4384&amp;Master!$C$2:'Master'!$C$4384,0))</f>
        <v>2</v>
      </c>
      <c r="CJ12" s="21" cm="1">
        <f t="array" aca="1" ref="CJ12" ca="1">INDEX(Master!$H$2:'Master'!$H$4384,MATCH($A12&amp;CJ$2,Master!$A$2:'Master'!$A$4384&amp;Master!$C$2:'Master'!$C$4384,0))</f>
        <v>0</v>
      </c>
      <c r="CK12" s="21" cm="1">
        <f t="array" aca="1" ref="CK12" ca="1">INDEX(Master!$H$2:'Master'!$H$4384,MATCH($A12&amp;CK$2,Master!$A$2:'Master'!$A$4384&amp;Master!$C$2:'Master'!$C$4384,0))</f>
        <v>0</v>
      </c>
      <c r="CL12" s="21" cm="1">
        <f t="array" aca="1" ref="CL12" ca="1">INDEX(Master!$H$2:'Master'!$H$4384,MATCH($A12&amp;CL$2,Master!$A$2:'Master'!$A$4384&amp;Master!$C$2:'Master'!$C$4384,0))</f>
        <v>1</v>
      </c>
      <c r="CM12" s="21" cm="1">
        <f t="array" aca="1" ref="CM12" ca="1">INDEX(Master!$H$2:'Master'!$H$4384,MATCH($A12&amp;CM$2,Master!$A$2:'Master'!$A$4384&amp;Master!$C$2:'Master'!$C$4384,0))</f>
        <v>1</v>
      </c>
      <c r="CN12" s="21" cm="1">
        <f t="array" aca="1" ref="CN12" ca="1">INDEX(Master!$H$2:'Master'!$H$4384,MATCH($A12&amp;CN$2,Master!$A$2:'Master'!$A$4384&amp;Master!$C$2:'Master'!$C$4384,0))</f>
        <v>0</v>
      </c>
      <c r="CO12" s="21" cm="1">
        <f t="array" aca="1" ref="CO12" ca="1">INDEX(Master!$H$2:'Master'!$H$4384,MATCH($A12&amp;CO$2,Master!$A$2:'Master'!$A$4384&amp;Master!$C$2:'Master'!$C$4384,0))</f>
        <v>0</v>
      </c>
      <c r="CP12" s="21" cm="1">
        <f t="array" aca="1" ref="CP12" ca="1">INDEX(Master!$H$2:'Master'!$H$4384,MATCH($A12&amp;CP$2,Master!$A$2:'Master'!$A$4384&amp;Master!$C$2:'Master'!$C$4384,0))</f>
        <v>-1</v>
      </c>
      <c r="CQ12" s="21" cm="1">
        <f t="array" aca="1" ref="CQ12" ca="1">INDEX(Master!$H$2:'Master'!$H$4384,MATCH($A12&amp;CQ$2,Master!$A$2:'Master'!$A$4384&amp;Master!$C$2:'Master'!$C$4384,0))</f>
        <v>0</v>
      </c>
      <c r="CR12" s="21" cm="1">
        <f t="array" aca="1" ref="CR12" ca="1">INDEX(Master!$H$2:'Master'!$H$4384,MATCH($A12&amp;CR$2,Master!$A$2:'Master'!$A$4384&amp;Master!$C$2:'Master'!$C$4384,0))</f>
        <v>1</v>
      </c>
      <c r="CS12" s="21" cm="1">
        <f t="array" aca="1" ref="CS12" ca="1">INDEX(Master!$H$2:'Master'!$H$4384,MATCH($A12&amp;CS$2,Master!$A$2:'Master'!$A$4384&amp;Master!$C$2:'Master'!$C$4384,0))</f>
        <v>2</v>
      </c>
    </row>
    <row r="13" spans="1:97">
      <c r="A13" s="22" t="str">
        <f>VLOOKUP(Staff!$A9,Staff!$A$1:A$73,1,FALSE)</f>
        <v>Ellie Miller</v>
      </c>
      <c r="B13" s="21" cm="1">
        <f t="array" aca="1" ref="B13" ca="1">INDEX(Master!$H$2:'Master'!$H$4384,MATCH($A13&amp;B$2,Master!$A$2:'Master'!$A$4384&amp;Master!$C$2:'Master'!$C$4384,0))</f>
        <v>0</v>
      </c>
      <c r="C13" s="21" cm="1">
        <f t="array" aca="1" ref="C13" ca="1">INDEX(Master!$H$2:'Master'!$H$4384,MATCH($A13&amp;C$2,Master!$A$2:'Master'!$A$4384&amp;Master!$C$2:'Master'!$C$4384,0))</f>
        <v>2</v>
      </c>
      <c r="D13" s="21" cm="1">
        <f t="array" aca="1" ref="D13" ca="1">INDEX(Master!$H$2:'Master'!$H$4384,MATCH($A13&amp;D$2,Master!$A$2:'Master'!$A$4384&amp;Master!$C$2:'Master'!$C$4384,0))</f>
        <v>1</v>
      </c>
      <c r="E13" s="21" cm="1">
        <f t="array" aca="1" ref="E13" ca="1">INDEX(Master!$H$2:'Master'!$H$4384,MATCH($A13&amp;E$2,Master!$A$2:'Master'!$A$4384&amp;Master!$C$2:'Master'!$C$4384,0))</f>
        <v>1</v>
      </c>
      <c r="F13" s="21" cm="1">
        <f t="array" aca="1" ref="F13" ca="1">INDEX(Master!$H$2:'Master'!$H$4384,MATCH($A13&amp;F$2,Master!$A$2:'Master'!$A$4384&amp;Master!$C$2:'Master'!$C$4384,0))</f>
        <v>1</v>
      </c>
      <c r="G13" s="21" cm="1">
        <f t="array" aca="1" ref="G13" ca="1">INDEX(Master!$H$2:'Master'!$H$4384,MATCH($A13&amp;G$2,Master!$A$2:'Master'!$A$4384&amp;Master!$C$2:'Master'!$C$4384,0))</f>
        <v>1</v>
      </c>
      <c r="H13" s="21" cm="1">
        <f t="array" aca="1" ref="H13" ca="1">INDEX(Master!$H$2:'Master'!$H$4384,MATCH($A13&amp;H$2,Master!$A$2:'Master'!$A$4384&amp;Master!$C$2:'Master'!$C$4384,0))</f>
        <v>0</v>
      </c>
      <c r="I13" s="21" cm="1">
        <f t="array" aca="1" ref="I13" ca="1">INDEX(Master!$H$2:'Master'!$H$4384,MATCH($A13&amp;I$2,Master!$A$2:'Master'!$A$4384&amp;Master!$C$2:'Master'!$C$4384,0))</f>
        <v>-1</v>
      </c>
      <c r="J13" s="21" cm="1">
        <f t="array" aca="1" ref="J13" ca="1">INDEX(Master!$H$2:'Master'!$H$4384,MATCH($A13&amp;J$2,Master!$A$2:'Master'!$A$4384&amp;Master!$C$2:'Master'!$C$4384,0))</f>
        <v>1</v>
      </c>
      <c r="K13" s="21" cm="1">
        <f t="array" aca="1" ref="K13" ca="1">INDEX(Master!$H$2:'Master'!$H$4384,MATCH($A13&amp;K$2,Master!$A$2:'Master'!$A$4384&amp;Master!$C$2:'Master'!$C$4384,0))</f>
        <v>2</v>
      </c>
      <c r="L13" s="21" cm="1">
        <f t="array" aca="1" ref="L13" ca="1">INDEX(Master!$H$2:'Master'!$H$4384,MATCH($A13&amp;L$2,Master!$A$2:'Master'!$A$4384&amp;Master!$C$2:'Master'!$C$4384,0))</f>
        <v>2</v>
      </c>
      <c r="M13" s="21" cm="1">
        <f t="array" aca="1" ref="M13" ca="1">INDEX(Master!$H$2:'Master'!$H$4384,MATCH($A13&amp;M$2,Master!$A$2:'Master'!$A$4384&amp;Master!$C$2:'Master'!$C$4384,0))</f>
        <v>-2</v>
      </c>
      <c r="N13" s="21" cm="1">
        <f t="array" aca="1" ref="N13" ca="1">INDEX(Master!$H$2:'Master'!$H$4384,MATCH($A13&amp;N$2,Master!$A$2:'Master'!$A$4384&amp;Master!$C$2:'Master'!$C$4384,0))</f>
        <v>-1</v>
      </c>
      <c r="O13" s="21" cm="1">
        <f t="array" aca="1" ref="O13" ca="1">INDEX(Master!$H$2:'Master'!$H$4384,MATCH($A13&amp;O$2,Master!$A$2:'Master'!$A$4384&amp;Master!$C$2:'Master'!$C$4384,0))</f>
        <v>1</v>
      </c>
      <c r="P13" s="21" cm="1">
        <f t="array" aca="1" ref="P13" ca="1">INDEX(Master!$H$2:'Master'!$H$4384,MATCH($A13&amp;P$2,Master!$A$2:'Master'!$A$4384&amp;Master!$C$2:'Master'!$C$4384,0))</f>
        <v>1</v>
      </c>
      <c r="Q13" s="21" cm="1">
        <f t="array" aca="1" ref="Q13" ca="1">INDEX(Master!$H$2:'Master'!$H$4384,MATCH($A13&amp;Q$2,Master!$A$2:'Master'!$A$4384&amp;Master!$C$2:'Master'!$C$4384,0))</f>
        <v>1</v>
      </c>
      <c r="R13" s="21" cm="1">
        <f t="array" aca="1" ref="R13" ca="1">INDEX(Master!$H$2:'Master'!$H$4384,MATCH($A13&amp;R$2,Master!$A$2:'Master'!$A$4384&amp;Master!$C$2:'Master'!$C$4384,0))</f>
        <v>0</v>
      </c>
      <c r="S13" s="21" cm="1">
        <f t="array" aca="1" ref="S13" ca="1">INDEX(Master!$H$2:'Master'!$H$4384,MATCH($A13&amp;S$2,Master!$A$2:'Master'!$A$4384&amp;Master!$C$2:'Master'!$C$4384,0))</f>
        <v>0</v>
      </c>
      <c r="T13" s="21" cm="1">
        <f t="array" aca="1" ref="T13" ca="1">INDEX(Master!$H$2:'Master'!$H$4384,MATCH($A13&amp;T$2,Master!$A$2:'Master'!$A$4384&amp;Master!$C$2:'Master'!$C$4384,0))</f>
        <v>1</v>
      </c>
      <c r="U13" s="21" cm="1">
        <f t="array" aca="1" ref="U13" ca="1">INDEX(Master!$H$2:'Master'!$H$4384,MATCH($A13&amp;U$2,Master!$A$2:'Master'!$A$4384&amp;Master!$C$2:'Master'!$C$4384,0))</f>
        <v>3</v>
      </c>
      <c r="V13" s="21" cm="1">
        <f t="array" aca="1" ref="V13" ca="1">INDEX(Master!$H$2:'Master'!$H$4384,MATCH($A13&amp;V$2,Master!$A$2:'Master'!$A$4384&amp;Master!$C$2:'Master'!$C$4384,0))</f>
        <v>1</v>
      </c>
      <c r="W13" s="21" cm="1">
        <f t="array" aca="1" ref="W13" ca="1">INDEX(Master!$H$2:'Master'!$H$4384,MATCH($A13&amp;W$2,Master!$A$2:'Master'!$A$4384&amp;Master!$C$2:'Master'!$C$4384,0))</f>
        <v>2</v>
      </c>
      <c r="X13" s="21" cm="1">
        <f t="array" aca="1" ref="X13" ca="1">INDEX(Master!$H$2:'Master'!$H$4384,MATCH($A13&amp;X$2,Master!$A$2:'Master'!$A$4384&amp;Master!$C$2:'Master'!$C$4384,0))</f>
        <v>0</v>
      </c>
      <c r="Y13" s="21" cm="1">
        <f t="array" aca="1" ref="Y13" ca="1">INDEX(Master!$H$2:'Master'!$H$4384,MATCH($A13&amp;Y$2,Master!$A$2:'Master'!$A$4384&amp;Master!$C$2:'Master'!$C$4384,0))</f>
        <v>0</v>
      </c>
      <c r="Z13" s="21" cm="1">
        <f t="array" aca="1" ref="Z13" ca="1">INDEX(Master!$H$2:'Master'!$H$4384,MATCH($A13&amp;Z$2,Master!$A$2:'Master'!$A$4384&amp;Master!$C$2:'Master'!$C$4384,0))</f>
        <v>-1</v>
      </c>
      <c r="AA13" s="21" cm="1">
        <f t="array" aca="1" ref="AA13" ca="1">INDEX(Master!$H$2:'Master'!$H$4384,MATCH($A13&amp;AA$2,Master!$A$2:'Master'!$A$4384&amp;Master!$C$2:'Master'!$C$4384,0))</f>
        <v>0</v>
      </c>
      <c r="AB13" s="21" cm="1">
        <f t="array" aca="1" ref="AB13" ca="1">INDEX(Master!$H$2:'Master'!$H$4384,MATCH($A13&amp;AB$2,Master!$A$2:'Master'!$A$4384&amp;Master!$C$2:'Master'!$C$4384,0))</f>
        <v>1</v>
      </c>
      <c r="AC13" s="21" cm="1">
        <f t="array" aca="1" ref="AC13" ca="1">INDEX(Master!$H$2:'Master'!$H$4384,MATCH($A13&amp;AC$2,Master!$A$2:'Master'!$A$4384&amp;Master!$C$2:'Master'!$C$4384,0))</f>
        <v>1</v>
      </c>
      <c r="AD13" s="21" cm="1">
        <f t="array" aca="1" ref="AD13" ca="1">INDEX(Master!$H$2:'Master'!$H$4384,MATCH($A13&amp;AD$2,Master!$A$2:'Master'!$A$4384&amp;Master!$C$2:'Master'!$C$4384,0))</f>
        <v>1</v>
      </c>
      <c r="AE13" s="21" cm="1">
        <f t="array" aca="1" ref="AE13" ca="1">INDEX(Master!$H$2:'Master'!$H$4384,MATCH($A13&amp;AE$2,Master!$A$2:'Master'!$A$4384&amp;Master!$C$2:'Master'!$C$4384,0))</f>
        <v>3</v>
      </c>
      <c r="AF13" s="21" cm="1">
        <f t="array" aca="1" ref="AF13" ca="1">INDEX(Master!$H$2:'Master'!$H$4384,MATCH($A13&amp;AF$2,Master!$A$2:'Master'!$A$4384&amp;Master!$C$2:'Master'!$C$4384,0))</f>
        <v>1</v>
      </c>
      <c r="AG13" s="21" cm="1">
        <f t="array" aca="1" ref="AG13" ca="1">INDEX(Master!$H$2:'Master'!$H$4384,MATCH($A13&amp;AG$2,Master!$A$2:'Master'!$A$4384&amp;Master!$C$2:'Master'!$C$4384,0))</f>
        <v>1</v>
      </c>
      <c r="AH13" s="21" cm="1">
        <f t="array" aca="1" ref="AH13" ca="1">INDEX(Master!$H$2:'Master'!$H$4384,MATCH($A13&amp;AH$2,Master!$A$2:'Master'!$A$4384&amp;Master!$C$2:'Master'!$C$4384,0))</f>
        <v>2</v>
      </c>
      <c r="AI13" s="21" cm="1">
        <f t="array" aca="1" ref="AI13" ca="1">INDEX(Master!$H$2:'Master'!$H$4384,MATCH($A13&amp;AI$2,Master!$A$2:'Master'!$A$4384&amp;Master!$C$2:'Master'!$C$4384,0))</f>
        <v>1</v>
      </c>
      <c r="AJ13" s="21" cm="1">
        <f t="array" aca="1" ref="AJ13" ca="1">INDEX(Master!$H$2:'Master'!$H$4384,MATCH($A13&amp;AJ$2,Master!$A$2:'Master'!$A$4384&amp;Master!$C$2:'Master'!$C$4384,0))</f>
        <v>4</v>
      </c>
      <c r="AK13" s="21" cm="1">
        <f t="array" aca="1" ref="AK13" ca="1">INDEX(Master!$H$2:'Master'!$H$4384,MATCH($A13&amp;AK$2,Master!$A$2:'Master'!$A$4384&amp;Master!$C$2:'Master'!$C$4384,0))</f>
        <v>1</v>
      </c>
      <c r="AL13" s="21" cm="1">
        <f t="array" aca="1" ref="AL13" ca="1">INDEX(Master!$H$2:'Master'!$H$4384,MATCH($A13&amp;AL$2,Master!$A$2:'Master'!$A$4384&amp;Master!$C$2:'Master'!$C$4384,0))</f>
        <v>0</v>
      </c>
      <c r="AM13" s="21" cm="1">
        <f t="array" aca="1" ref="AM13" ca="1">INDEX(Master!$H$2:'Master'!$H$4384,MATCH($A13&amp;AM$2,Master!$A$2:'Master'!$A$4384&amp;Master!$C$2:'Master'!$C$4384,0))</f>
        <v>2</v>
      </c>
      <c r="AN13" s="21" cm="1">
        <f t="array" aca="1" ref="AN13" ca="1">INDEX(Master!$H$2:'Master'!$H$4384,MATCH($A13&amp;AN$2,Master!$A$2:'Master'!$A$4384&amp;Master!$C$2:'Master'!$C$4384,0))</f>
        <v>1</v>
      </c>
      <c r="AO13" s="21" cm="1">
        <f t="array" aca="1" ref="AO13" ca="1">INDEX(Master!$H$2:'Master'!$H$4384,MATCH($A13&amp;AO$2,Master!$A$2:'Master'!$A$4384&amp;Master!$C$2:'Master'!$C$4384,0))</f>
        <v>1</v>
      </c>
      <c r="AP13" s="21" cm="1">
        <f t="array" aca="1" ref="AP13" ca="1">INDEX(Master!$H$2:'Master'!$H$4384,MATCH($A13&amp;AP$2,Master!$A$2:'Master'!$A$4384&amp;Master!$C$2:'Master'!$C$4384,0))</f>
        <v>2</v>
      </c>
      <c r="AQ13" s="21" cm="1">
        <f t="array" aca="1" ref="AQ13" ca="1">INDEX(Master!$H$2:'Master'!$H$4384,MATCH($A13&amp;AQ$2,Master!$A$2:'Master'!$A$4384&amp;Master!$C$2:'Master'!$C$4384,0))</f>
        <v>1</v>
      </c>
      <c r="AR13" s="21" cm="1">
        <f t="array" aca="1" ref="AR13" ca="1">INDEX(Master!$H$2:'Master'!$H$4384,MATCH($A13&amp;AR$2,Master!$A$2:'Master'!$A$4384&amp;Master!$C$2:'Master'!$C$4384,0))</f>
        <v>1</v>
      </c>
      <c r="AS13" s="21" cm="1">
        <f t="array" aca="1" ref="AS13" ca="1">INDEX(Master!$H$2:'Master'!$H$4384,MATCH($A13&amp;AS$2,Master!$A$2:'Master'!$A$4384&amp;Master!$C$2:'Master'!$C$4384,0))</f>
        <v>1</v>
      </c>
      <c r="AT13" s="21" cm="1">
        <f t="array" aca="1" ref="AT13" ca="1">INDEX(Master!$H$2:'Master'!$H$4384,MATCH($A13&amp;AT$2,Master!$A$2:'Master'!$A$4384&amp;Master!$C$2:'Master'!$C$4384,0))</f>
        <v>0</v>
      </c>
      <c r="AU13" s="21" cm="1">
        <f t="array" aca="1" ref="AU13" ca="1">INDEX(Master!$H$2:'Master'!$H$4384,MATCH($A13&amp;AU$2,Master!$A$2:'Master'!$A$4384&amp;Master!$C$2:'Master'!$C$4384,0))</f>
        <v>1</v>
      </c>
      <c r="AV13" s="21" cm="1">
        <f t="array" aca="1" ref="AV13" ca="1">INDEX(Master!$H$2:'Master'!$H$4384,MATCH($A13&amp;AV$2,Master!$A$2:'Master'!$A$4384&amp;Master!$C$2:'Master'!$C$4384,0))</f>
        <v>2</v>
      </c>
      <c r="AW13" s="21" cm="1">
        <f t="array" aca="1" ref="AW13" ca="1">INDEX(Master!$H$2:'Master'!$H$4384,MATCH($A13&amp;AW$2,Master!$A$2:'Master'!$A$4384&amp;Master!$C$2:'Master'!$C$4384,0))</f>
        <v>2</v>
      </c>
      <c r="AX13" s="21" cm="1">
        <f t="array" aca="1" ref="AX13" ca="1">INDEX(Master!$H$2:'Master'!$H$4384,MATCH($A13&amp;AX$2,Master!$A$2:'Master'!$A$4384&amp;Master!$C$2:'Master'!$C$4384,0))</f>
        <v>4</v>
      </c>
      <c r="AY13" s="21" cm="1">
        <f t="array" aca="1" ref="AY13" ca="1">INDEX(Master!$H$2:'Master'!$H$4384,MATCH($A13&amp;AY$2,Master!$A$2:'Master'!$A$4384&amp;Master!$C$2:'Master'!$C$4384,0))</f>
        <v>2</v>
      </c>
      <c r="AZ13" s="21" cm="1">
        <f t="array" aca="1" ref="AZ13" ca="1">INDEX(Master!$H$2:'Master'!$H$4384,MATCH($A13&amp;AZ$2,Master!$A$2:'Master'!$A$4384&amp;Master!$C$2:'Master'!$C$4384,0))</f>
        <v>1</v>
      </c>
      <c r="BA13" s="21" cm="1">
        <f t="array" aca="1" ref="BA13" ca="1">INDEX(Master!$H$2:'Master'!$H$4384,MATCH($A13&amp;BA$2,Master!$A$2:'Master'!$A$4384&amp;Master!$C$2:'Master'!$C$4384,0))</f>
        <v>4</v>
      </c>
      <c r="BB13" s="21" cm="1">
        <f t="array" aca="1" ref="BB13" ca="1">INDEX(Master!$H$2:'Master'!$H$4384,MATCH($A13&amp;BB$2,Master!$A$2:'Master'!$A$4384&amp;Master!$C$2:'Master'!$C$4384,0))</f>
        <v>2</v>
      </c>
      <c r="BC13" s="21" cm="1">
        <f t="array" aca="1" ref="BC13" ca="1">INDEX(Master!$H$2:'Master'!$H$4384,MATCH($A13&amp;BC$2,Master!$A$2:'Master'!$A$4384&amp;Master!$C$2:'Master'!$C$4384,0))</f>
        <v>3</v>
      </c>
      <c r="BD13" s="21" cm="1">
        <f t="array" aca="1" ref="BD13" ca="1">INDEX(Master!$H$2:'Master'!$H$4384,MATCH($A13&amp;BD$2,Master!$A$2:'Master'!$A$4384&amp;Master!$C$2:'Master'!$C$4384,0))</f>
        <v>1</v>
      </c>
      <c r="BE13" s="21" cm="1">
        <f t="array" aca="1" ref="BE13" ca="1">INDEX(Master!$H$2:'Master'!$H$4384,MATCH($A13&amp;BE$2,Master!$A$2:'Master'!$A$4384&amp;Master!$C$2:'Master'!$C$4384,0))</f>
        <v>0</v>
      </c>
      <c r="BF13" s="21" cm="1">
        <f t="array" aca="1" ref="BF13" ca="1">INDEX(Master!$H$2:'Master'!$H$4384,MATCH($A13&amp;BF$2,Master!$A$2:'Master'!$A$4384&amp;Master!$C$2:'Master'!$C$4384,0))</f>
        <v>-2</v>
      </c>
      <c r="BG13" s="21" cm="1">
        <f t="array" aca="1" ref="BG13" ca="1">INDEX(Master!$H$2:'Master'!$H$4384,MATCH($A13&amp;BG$2,Master!$A$2:'Master'!$A$4384&amp;Master!$C$2:'Master'!$C$4384,0))</f>
        <v>-2</v>
      </c>
      <c r="BH13" s="21" cm="1">
        <f t="array" aca="1" ref="BH13" ca="1">INDEX(Master!$H$2:'Master'!$H$4384,MATCH($A13&amp;BH$2,Master!$A$2:'Master'!$A$4384&amp;Master!$C$2:'Master'!$C$4384,0))</f>
        <v>-1</v>
      </c>
      <c r="BI13" s="21" cm="1">
        <f t="array" aca="1" ref="BI13" ca="1">INDEX(Master!$H$2:'Master'!$H$4384,MATCH($A13&amp;BI$2,Master!$A$2:'Master'!$A$4384&amp;Master!$C$2:'Master'!$C$4384,0))</f>
        <v>0</v>
      </c>
      <c r="BJ13" s="21" cm="1">
        <f t="array" aca="1" ref="BJ13" ca="1">INDEX(Master!$H$2:'Master'!$H$4384,MATCH($A13&amp;BJ$2,Master!$A$2:'Master'!$A$4384&amp;Master!$C$2:'Master'!$C$4384,0))</f>
        <v>0</v>
      </c>
      <c r="BK13" s="21" cm="1">
        <f t="array" aca="1" ref="BK13" ca="1">INDEX(Master!$H$2:'Master'!$H$4384,MATCH($A13&amp;BK$2,Master!$A$2:'Master'!$A$4384&amp;Master!$C$2:'Master'!$C$4384,0))</f>
        <v>3</v>
      </c>
      <c r="BL13" s="21" cm="1">
        <f t="array" aca="1" ref="BL13" ca="1">INDEX(Master!$H$2:'Master'!$H$4384,MATCH($A13&amp;BL$2,Master!$A$2:'Master'!$A$4384&amp;Master!$C$2:'Master'!$C$4384,0))</f>
        <v>3</v>
      </c>
      <c r="BM13" s="21" cm="1">
        <f t="array" aca="1" ref="BM13" ca="1">INDEX(Master!$H$2:'Master'!$H$4384,MATCH($A13&amp;BM$2,Master!$A$2:'Master'!$A$4384&amp;Master!$C$2:'Master'!$C$4384,0))</f>
        <v>-1</v>
      </c>
      <c r="BN13" s="21" cm="1">
        <f t="array" aca="1" ref="BN13" ca="1">INDEX(Master!$H$2:'Master'!$H$4384,MATCH($A13&amp;BN$2,Master!$A$2:'Master'!$A$4384&amp;Master!$C$2:'Master'!$C$4384,0))</f>
        <v>1</v>
      </c>
      <c r="BO13" s="21" cm="1">
        <f t="array" aca="1" ref="BO13" ca="1">INDEX(Master!$H$2:'Master'!$H$4384,MATCH($A13&amp;BO$2,Master!$A$2:'Master'!$A$4384&amp;Master!$C$2:'Master'!$C$4384,0))</f>
        <v>0</v>
      </c>
      <c r="BP13" s="21" cm="1">
        <f t="array" aca="1" ref="BP13" ca="1">INDEX(Master!$H$2:'Master'!$H$4384,MATCH($A13&amp;BP$2,Master!$A$2:'Master'!$A$4384&amp;Master!$C$2:'Master'!$C$4384,0))</f>
        <v>-1</v>
      </c>
      <c r="BQ13" s="21" cm="1">
        <f t="array" aca="1" ref="BQ13" ca="1">INDEX(Master!$H$2:'Master'!$H$4384,MATCH($A13&amp;BQ$2,Master!$A$2:'Master'!$A$4384&amp;Master!$C$2:'Master'!$C$4384,0))</f>
        <v>-2</v>
      </c>
      <c r="BR13" s="21" cm="1">
        <f t="array" aca="1" ref="BR13" ca="1">INDEX(Master!$H$2:'Master'!$H$4384,MATCH($A13&amp;BR$2,Master!$A$2:'Master'!$A$4384&amp;Master!$C$2:'Master'!$C$4384,0))</f>
        <v>1</v>
      </c>
      <c r="BS13" s="21" cm="1">
        <f t="array" aca="1" ref="BS13" ca="1">INDEX(Master!$H$2:'Master'!$H$4384,MATCH($A13&amp;BS$2,Master!$A$2:'Master'!$A$4384&amp;Master!$C$2:'Master'!$C$4384,0))</f>
        <v>1</v>
      </c>
      <c r="BT13" s="21" cm="1">
        <f t="array" aca="1" ref="BT13" ca="1">INDEX(Master!$H$2:'Master'!$H$4384,MATCH($A13&amp;BT$2,Master!$A$2:'Master'!$A$4384&amp;Master!$C$2:'Master'!$C$4384,0))</f>
        <v>-1</v>
      </c>
      <c r="BU13" s="21" cm="1">
        <f t="array" aca="1" ref="BU13" ca="1">INDEX(Master!$H$2:'Master'!$H$4384,MATCH($A13&amp;BU$2,Master!$A$2:'Master'!$A$4384&amp;Master!$C$2:'Master'!$C$4384,0))</f>
        <v>-2</v>
      </c>
      <c r="BV13" s="21" cm="1">
        <f t="array" aca="1" ref="BV13" ca="1">INDEX(Master!$H$2:'Master'!$H$4384,MATCH($A13&amp;BV$2,Master!$A$2:'Master'!$A$4384&amp;Master!$C$2:'Master'!$C$4384,0))</f>
        <v>-2</v>
      </c>
      <c r="BW13" s="21" cm="1">
        <f t="array" aca="1" ref="BW13" ca="1">INDEX(Master!$H$2:'Master'!$H$4384,MATCH($A13&amp;BW$2,Master!$A$2:'Master'!$A$4384&amp;Master!$C$2:'Master'!$C$4384,0))</f>
        <v>-2</v>
      </c>
      <c r="BX13" s="21" cm="1">
        <f t="array" aca="1" ref="BX13" ca="1">INDEX(Master!$H$2:'Master'!$H$4384,MATCH($A13&amp;BX$2,Master!$A$2:'Master'!$A$4384&amp;Master!$C$2:'Master'!$C$4384,0))</f>
        <v>-2</v>
      </c>
      <c r="BY13" s="21" cm="1">
        <f t="array" aca="1" ref="BY13" ca="1">INDEX(Master!$H$2:'Master'!$H$4384,MATCH($A13&amp;BY$2,Master!$A$2:'Master'!$A$4384&amp;Master!$C$2:'Master'!$C$4384,0))</f>
        <v>-1</v>
      </c>
      <c r="BZ13" s="21" cm="1">
        <f t="array" aca="1" ref="BZ13" ca="1">INDEX(Master!$H$2:'Master'!$H$4384,MATCH($A13&amp;BZ$2,Master!$A$2:'Master'!$A$4384&amp;Master!$C$2:'Master'!$C$4384,0))</f>
        <v>0</v>
      </c>
      <c r="CA13" s="21" cm="1">
        <f t="array" aca="1" ref="CA13" ca="1">INDEX(Master!$H$2:'Master'!$H$4384,MATCH($A13&amp;CA$2,Master!$A$2:'Master'!$A$4384&amp;Master!$C$2:'Master'!$C$4384,0))</f>
        <v>0</v>
      </c>
      <c r="CB13" s="21" cm="1">
        <f t="array" aca="1" ref="CB13" ca="1">INDEX(Master!$H$2:'Master'!$H$4384,MATCH($A13&amp;CB$2,Master!$A$2:'Master'!$A$4384&amp;Master!$C$2:'Master'!$C$4384,0))</f>
        <v>3</v>
      </c>
      <c r="CC13" s="21" cm="1">
        <f t="array" aca="1" ref="CC13" ca="1">INDEX(Master!$H$2:'Master'!$H$4384,MATCH($A13&amp;CC$2,Master!$A$2:'Master'!$A$4384&amp;Master!$C$2:'Master'!$C$4384,0))</f>
        <v>3</v>
      </c>
      <c r="CD13" s="21" cm="1">
        <f t="array" aca="1" ref="CD13" ca="1">INDEX(Master!$H$2:'Master'!$H$4384,MATCH($A13&amp;CD$2,Master!$A$2:'Master'!$A$4384&amp;Master!$C$2:'Master'!$C$4384,0))</f>
        <v>-1</v>
      </c>
      <c r="CE13" s="21" cm="1">
        <f t="array" aca="1" ref="CE13" ca="1">INDEX(Master!$H$2:'Master'!$H$4384,MATCH($A13&amp;CE$2,Master!$A$2:'Master'!$A$4384&amp;Master!$C$2:'Master'!$C$4384,0))</f>
        <v>1</v>
      </c>
      <c r="CF13" s="21" cm="1">
        <f t="array" aca="1" ref="CF13" ca="1">INDEX(Master!$H$2:'Master'!$H$4384,MATCH($A13&amp;CF$2,Master!$A$2:'Master'!$A$4384&amp;Master!$C$2:'Master'!$C$4384,0))</f>
        <v>1</v>
      </c>
      <c r="CG13" s="21" cm="1">
        <f t="array" aca="1" ref="CG13" ca="1">INDEX(Master!$H$2:'Master'!$H$4384,MATCH($A13&amp;CG$2,Master!$A$2:'Master'!$A$4384&amp;Master!$C$2:'Master'!$C$4384,0))</f>
        <v>2</v>
      </c>
      <c r="CH13" s="21" cm="1">
        <f t="array" aca="1" ref="CH13" ca="1">INDEX(Master!$H$2:'Master'!$H$4384,MATCH($A13&amp;CH$2,Master!$A$2:'Master'!$A$4384&amp;Master!$C$2:'Master'!$C$4384,0))</f>
        <v>0</v>
      </c>
      <c r="CI13" s="21" cm="1">
        <f t="array" aca="1" ref="CI13" ca="1">INDEX(Master!$H$2:'Master'!$H$4384,MATCH($A13&amp;CI$2,Master!$A$2:'Master'!$A$4384&amp;Master!$C$2:'Master'!$C$4384,0))</f>
        <v>1</v>
      </c>
      <c r="CJ13" s="21" cm="1">
        <f t="array" aca="1" ref="CJ13" ca="1">INDEX(Master!$H$2:'Master'!$H$4384,MATCH($A13&amp;CJ$2,Master!$A$2:'Master'!$A$4384&amp;Master!$C$2:'Master'!$C$4384,0))</f>
        <v>0</v>
      </c>
      <c r="CK13" s="21" cm="1">
        <f t="array" aca="1" ref="CK13" ca="1">INDEX(Master!$H$2:'Master'!$H$4384,MATCH($A13&amp;CK$2,Master!$A$2:'Master'!$A$4384&amp;Master!$C$2:'Master'!$C$4384,0))</f>
        <v>-1</v>
      </c>
      <c r="CL13" s="21" cm="1">
        <f t="array" aca="1" ref="CL13" ca="1">INDEX(Master!$H$2:'Master'!$H$4384,MATCH($A13&amp;CL$2,Master!$A$2:'Master'!$A$4384&amp;Master!$C$2:'Master'!$C$4384,0))</f>
        <v>1</v>
      </c>
      <c r="CM13" s="21" cm="1">
        <f t="array" aca="1" ref="CM13" ca="1">INDEX(Master!$H$2:'Master'!$H$4384,MATCH($A13&amp;CM$2,Master!$A$2:'Master'!$A$4384&amp;Master!$C$2:'Master'!$C$4384,0))</f>
        <v>1</v>
      </c>
      <c r="CN13" s="21" cm="1">
        <f t="array" aca="1" ref="CN13" ca="1">INDEX(Master!$H$2:'Master'!$H$4384,MATCH($A13&amp;CN$2,Master!$A$2:'Master'!$A$4384&amp;Master!$C$2:'Master'!$C$4384,0))</f>
        <v>0</v>
      </c>
      <c r="CO13" s="21" cm="1">
        <f t="array" aca="1" ref="CO13" ca="1">INDEX(Master!$H$2:'Master'!$H$4384,MATCH($A13&amp;CO$2,Master!$A$2:'Master'!$A$4384&amp;Master!$C$2:'Master'!$C$4384,0))</f>
        <v>0</v>
      </c>
      <c r="CP13" s="21" cm="1">
        <f t="array" aca="1" ref="CP13" ca="1">INDEX(Master!$H$2:'Master'!$H$4384,MATCH($A13&amp;CP$2,Master!$A$2:'Master'!$A$4384&amp;Master!$C$2:'Master'!$C$4384,0))</f>
        <v>1</v>
      </c>
      <c r="CQ13" s="21" cm="1">
        <f t="array" aca="1" ref="CQ13" ca="1">INDEX(Master!$H$2:'Master'!$H$4384,MATCH($A13&amp;CQ$2,Master!$A$2:'Master'!$A$4384&amp;Master!$C$2:'Master'!$C$4384,0))</f>
        <v>1</v>
      </c>
      <c r="CR13" s="21" cm="1">
        <f t="array" aca="1" ref="CR13" ca="1">INDEX(Master!$H$2:'Master'!$H$4384,MATCH($A13&amp;CR$2,Master!$A$2:'Master'!$A$4384&amp;Master!$C$2:'Master'!$C$4384,0))</f>
        <v>1</v>
      </c>
      <c r="CS13" s="21" cm="1">
        <f t="array" aca="1" ref="CS13" ca="1">INDEX(Master!$H$2:'Master'!$H$4384,MATCH($A13&amp;CS$2,Master!$A$2:'Master'!$A$4384&amp;Master!$C$2:'Master'!$C$4384,0))</f>
        <v>1</v>
      </c>
    </row>
    <row r="14" spans="1:97">
      <c r="A14" s="22" t="str">
        <f>VLOOKUP(Staff!$A10,Staff!$A$1:A$73,1,FALSE)</f>
        <v>Jackson Brodie</v>
      </c>
      <c r="B14" s="21" cm="1">
        <f t="array" aca="1" ref="B14" ca="1">INDEX(Master!$H$2:'Master'!$H$4384,MATCH($A14&amp;B$2,Master!$A$2:'Master'!$A$4384&amp;Master!$C$2:'Master'!$C$4384,0))</f>
        <v>0</v>
      </c>
      <c r="C14" s="21" cm="1">
        <f t="array" aca="1" ref="C14" ca="1">INDEX(Master!$H$2:'Master'!$H$4384,MATCH($A14&amp;C$2,Master!$A$2:'Master'!$A$4384&amp;Master!$C$2:'Master'!$C$4384,0))</f>
        <v>0</v>
      </c>
      <c r="D14" s="21" cm="1">
        <f t="array" aca="1" ref="D14" ca="1">INDEX(Master!$H$2:'Master'!$H$4384,MATCH($A14&amp;D$2,Master!$A$2:'Master'!$A$4384&amp;Master!$C$2:'Master'!$C$4384,0))</f>
        <v>0</v>
      </c>
      <c r="E14" s="21" cm="1">
        <f t="array" aca="1" ref="E14" ca="1">INDEX(Master!$H$2:'Master'!$H$4384,MATCH($A14&amp;E$2,Master!$A$2:'Master'!$A$4384&amp;Master!$C$2:'Master'!$C$4384,0))</f>
        <v>0</v>
      </c>
      <c r="F14" s="21" cm="1">
        <f t="array" aca="1" ref="F14" ca="1">INDEX(Master!$H$2:'Master'!$H$4384,MATCH($A14&amp;F$2,Master!$A$2:'Master'!$A$4384&amp;Master!$C$2:'Master'!$C$4384,0))</f>
        <v>0</v>
      </c>
      <c r="G14" s="21" cm="1">
        <f t="array" aca="1" ref="G14" ca="1">INDEX(Master!$H$2:'Master'!$H$4384,MATCH($A14&amp;G$2,Master!$A$2:'Master'!$A$4384&amp;Master!$C$2:'Master'!$C$4384,0))</f>
        <v>1</v>
      </c>
      <c r="H14" s="21" cm="1">
        <f t="array" aca="1" ref="H14" ca="1">INDEX(Master!$H$2:'Master'!$H$4384,MATCH($A14&amp;H$2,Master!$A$2:'Master'!$A$4384&amp;Master!$C$2:'Master'!$C$4384,0))</f>
        <v>-1</v>
      </c>
      <c r="I14" s="21" cm="1">
        <f t="array" aca="1" ref="I14" ca="1">INDEX(Master!$H$2:'Master'!$H$4384,MATCH($A14&amp;I$2,Master!$A$2:'Master'!$A$4384&amp;Master!$C$2:'Master'!$C$4384,0))</f>
        <v>0</v>
      </c>
      <c r="J14" s="21" cm="1">
        <f t="array" aca="1" ref="J14" ca="1">INDEX(Master!$H$2:'Master'!$H$4384,MATCH($A14&amp;J$2,Master!$A$2:'Master'!$A$4384&amp;Master!$C$2:'Master'!$C$4384,0))</f>
        <v>-1</v>
      </c>
      <c r="K14" s="21" cm="1">
        <f t="array" aca="1" ref="K14" ca="1">INDEX(Master!$H$2:'Master'!$H$4384,MATCH($A14&amp;K$2,Master!$A$2:'Master'!$A$4384&amp;Master!$C$2:'Master'!$C$4384,0))</f>
        <v>0</v>
      </c>
      <c r="L14" s="21" cm="1">
        <f t="array" aca="1" ref="L14" ca="1">INDEX(Master!$H$2:'Master'!$H$4384,MATCH($A14&amp;L$2,Master!$A$2:'Master'!$A$4384&amp;Master!$C$2:'Master'!$C$4384,0))</f>
        <v>-2</v>
      </c>
      <c r="M14" s="21" cm="1">
        <f t="array" aca="1" ref="M14" ca="1">INDEX(Master!$H$2:'Master'!$H$4384,MATCH($A14&amp;M$2,Master!$A$2:'Master'!$A$4384&amp;Master!$C$2:'Master'!$C$4384,0))</f>
        <v>-2</v>
      </c>
      <c r="N14" s="21" cm="1">
        <f t="array" aca="1" ref="N14" ca="1">INDEX(Master!$H$2:'Master'!$H$4384,MATCH($A14&amp;N$2,Master!$A$2:'Master'!$A$4384&amp;Master!$C$2:'Master'!$C$4384,0))</f>
        <v>-2</v>
      </c>
      <c r="O14" s="21" cm="1">
        <f t="array" aca="1" ref="O14" ca="1">INDEX(Master!$H$2:'Master'!$H$4384,MATCH($A14&amp;O$2,Master!$A$2:'Master'!$A$4384&amp;Master!$C$2:'Master'!$C$4384,0))</f>
        <v>-1</v>
      </c>
      <c r="P14" s="21" cm="1">
        <f t="array" aca="1" ref="P14" ca="1">INDEX(Master!$H$2:'Master'!$H$4384,MATCH($A14&amp;P$2,Master!$A$2:'Master'!$A$4384&amp;Master!$C$2:'Master'!$C$4384,0))</f>
        <v>-1</v>
      </c>
      <c r="Q14" s="21" cm="1">
        <f t="array" aca="1" ref="Q14" ca="1">INDEX(Master!$H$2:'Master'!$H$4384,MATCH($A14&amp;Q$2,Master!$A$2:'Master'!$A$4384&amp;Master!$C$2:'Master'!$C$4384,0))</f>
        <v>0</v>
      </c>
      <c r="R14" s="21" cm="1">
        <f t="array" aca="1" ref="R14" ca="1">INDEX(Master!$H$2:'Master'!$H$4384,MATCH($A14&amp;R$2,Master!$A$2:'Master'!$A$4384&amp;Master!$C$2:'Master'!$C$4384,0))</f>
        <v>1</v>
      </c>
      <c r="S14" s="21" cm="1">
        <f t="array" aca="1" ref="S14" ca="1">INDEX(Master!$H$2:'Master'!$H$4384,MATCH($A14&amp;S$2,Master!$A$2:'Master'!$A$4384&amp;Master!$C$2:'Master'!$C$4384,0))</f>
        <v>0</v>
      </c>
      <c r="T14" s="21" cm="1">
        <f t="array" aca="1" ref="T14" ca="1">INDEX(Master!$H$2:'Master'!$H$4384,MATCH($A14&amp;T$2,Master!$A$2:'Master'!$A$4384&amp;Master!$C$2:'Master'!$C$4384,0))</f>
        <v>1</v>
      </c>
      <c r="U14" s="21" cm="1">
        <f t="array" aca="1" ref="U14" ca="1">INDEX(Master!$H$2:'Master'!$H$4384,MATCH($A14&amp;U$2,Master!$A$2:'Master'!$A$4384&amp;Master!$C$2:'Master'!$C$4384,0))</f>
        <v>-1</v>
      </c>
      <c r="V14" s="21" cm="1">
        <f t="array" aca="1" ref="V14" ca="1">INDEX(Master!$H$2:'Master'!$H$4384,MATCH($A14&amp;V$2,Master!$A$2:'Master'!$A$4384&amp;Master!$C$2:'Master'!$C$4384,0))</f>
        <v>2</v>
      </c>
      <c r="W14" s="21" cm="1">
        <f t="array" aca="1" ref="W14" ca="1">INDEX(Master!$H$2:'Master'!$H$4384,MATCH($A14&amp;W$2,Master!$A$2:'Master'!$A$4384&amp;Master!$C$2:'Master'!$C$4384,0))</f>
        <v>2</v>
      </c>
      <c r="X14" s="21" cm="1">
        <f t="array" aca="1" ref="X14" ca="1">INDEX(Master!$H$2:'Master'!$H$4384,MATCH($A14&amp;X$2,Master!$A$2:'Master'!$A$4384&amp;Master!$C$2:'Master'!$C$4384,0))</f>
        <v>1</v>
      </c>
      <c r="Y14" s="21" cm="1">
        <f t="array" aca="1" ref="Y14" ca="1">INDEX(Master!$H$2:'Master'!$H$4384,MATCH($A14&amp;Y$2,Master!$A$2:'Master'!$A$4384&amp;Master!$C$2:'Master'!$C$4384,0))</f>
        <v>1</v>
      </c>
      <c r="Z14" s="21" cm="1">
        <f t="array" aca="1" ref="Z14" ca="1">INDEX(Master!$H$2:'Master'!$H$4384,MATCH($A14&amp;Z$2,Master!$A$2:'Master'!$A$4384&amp;Master!$C$2:'Master'!$C$4384,0))</f>
        <v>1</v>
      </c>
      <c r="AA14" s="21" cm="1">
        <f t="array" aca="1" ref="AA14" ca="1">INDEX(Master!$H$2:'Master'!$H$4384,MATCH($A14&amp;AA$2,Master!$A$2:'Master'!$A$4384&amp;Master!$C$2:'Master'!$C$4384,0))</f>
        <v>-1</v>
      </c>
      <c r="AB14" s="21" cm="1">
        <f t="array" aca="1" ref="AB14" ca="1">INDEX(Master!$H$2:'Master'!$H$4384,MATCH($A14&amp;AB$2,Master!$A$2:'Master'!$A$4384&amp;Master!$C$2:'Master'!$C$4384,0))</f>
        <v>1</v>
      </c>
      <c r="AC14" s="21" cm="1">
        <f t="array" aca="1" ref="AC14" ca="1">INDEX(Master!$H$2:'Master'!$H$4384,MATCH($A14&amp;AC$2,Master!$A$2:'Master'!$A$4384&amp;Master!$C$2:'Master'!$C$4384,0))</f>
        <v>1</v>
      </c>
      <c r="AD14" s="21" cm="1">
        <f t="array" aca="1" ref="AD14" ca="1">INDEX(Master!$H$2:'Master'!$H$4384,MATCH($A14&amp;AD$2,Master!$A$2:'Master'!$A$4384&amp;Master!$C$2:'Master'!$C$4384,0))</f>
        <v>1</v>
      </c>
      <c r="AE14" s="21" cm="1">
        <f t="array" aca="1" ref="AE14" ca="1">INDEX(Master!$H$2:'Master'!$H$4384,MATCH($A14&amp;AE$2,Master!$A$2:'Master'!$A$4384&amp;Master!$C$2:'Master'!$C$4384,0))</f>
        <v>2</v>
      </c>
      <c r="AF14" s="21" cm="1">
        <f t="array" aca="1" ref="AF14" ca="1">INDEX(Master!$H$2:'Master'!$H$4384,MATCH($A14&amp;AF$2,Master!$A$2:'Master'!$A$4384&amp;Master!$C$2:'Master'!$C$4384,0))</f>
        <v>1</v>
      </c>
      <c r="AG14" s="21" cm="1">
        <f t="array" aca="1" ref="AG14" ca="1">INDEX(Master!$H$2:'Master'!$H$4384,MATCH($A14&amp;AG$2,Master!$A$2:'Master'!$A$4384&amp;Master!$C$2:'Master'!$C$4384,0))</f>
        <v>2</v>
      </c>
      <c r="AH14" s="21" cm="1">
        <f t="array" aca="1" ref="AH14" ca="1">INDEX(Master!$H$2:'Master'!$H$4384,MATCH($A14&amp;AH$2,Master!$A$2:'Master'!$A$4384&amp;Master!$C$2:'Master'!$C$4384,0))</f>
        <v>1</v>
      </c>
      <c r="AI14" s="21" cm="1">
        <f t="array" aca="1" ref="AI14" ca="1">INDEX(Master!$H$2:'Master'!$H$4384,MATCH($A14&amp;AI$2,Master!$A$2:'Master'!$A$4384&amp;Master!$C$2:'Master'!$C$4384,0))</f>
        <v>-1</v>
      </c>
      <c r="AJ14" s="21" cm="1">
        <f t="array" aca="1" ref="AJ14" ca="1">INDEX(Master!$H$2:'Master'!$H$4384,MATCH($A14&amp;AJ$2,Master!$A$2:'Master'!$A$4384&amp;Master!$C$2:'Master'!$C$4384,0))</f>
        <v>1</v>
      </c>
      <c r="AK14" s="21" cm="1">
        <f t="array" aca="1" ref="AK14" ca="1">INDEX(Master!$H$2:'Master'!$H$4384,MATCH($A14&amp;AK$2,Master!$A$2:'Master'!$A$4384&amp;Master!$C$2:'Master'!$C$4384,0))</f>
        <v>2</v>
      </c>
      <c r="AL14" s="21" cm="1">
        <f t="array" aca="1" ref="AL14" ca="1">INDEX(Master!$H$2:'Master'!$H$4384,MATCH($A14&amp;AL$2,Master!$A$2:'Master'!$A$4384&amp;Master!$C$2:'Master'!$C$4384,0))</f>
        <v>2</v>
      </c>
      <c r="AM14" s="21" cm="1">
        <f t="array" aca="1" ref="AM14" ca="1">INDEX(Master!$H$2:'Master'!$H$4384,MATCH($A14&amp;AM$2,Master!$A$2:'Master'!$A$4384&amp;Master!$C$2:'Master'!$C$4384,0))</f>
        <v>3</v>
      </c>
      <c r="AN14" s="21" cm="1">
        <f t="array" aca="1" ref="AN14" ca="1">INDEX(Master!$H$2:'Master'!$H$4384,MATCH($A14&amp;AN$2,Master!$A$2:'Master'!$A$4384&amp;Master!$C$2:'Master'!$C$4384,0))</f>
        <v>1</v>
      </c>
      <c r="AO14" s="21" cm="1">
        <f t="array" aca="1" ref="AO14" ca="1">INDEX(Master!$H$2:'Master'!$H$4384,MATCH($A14&amp;AO$2,Master!$A$2:'Master'!$A$4384&amp;Master!$C$2:'Master'!$C$4384,0))</f>
        <v>1</v>
      </c>
      <c r="AP14" s="21" cm="1">
        <f t="array" aca="1" ref="AP14" ca="1">INDEX(Master!$H$2:'Master'!$H$4384,MATCH($A14&amp;AP$2,Master!$A$2:'Master'!$A$4384&amp;Master!$C$2:'Master'!$C$4384,0))</f>
        <v>1</v>
      </c>
      <c r="AQ14" s="21" cm="1">
        <f t="array" aca="1" ref="AQ14" ca="1">INDEX(Master!$H$2:'Master'!$H$4384,MATCH($A14&amp;AQ$2,Master!$A$2:'Master'!$A$4384&amp;Master!$C$2:'Master'!$C$4384,0))</f>
        <v>2</v>
      </c>
      <c r="AR14" s="21" cm="1">
        <f t="array" aca="1" ref="AR14" ca="1">INDEX(Master!$H$2:'Master'!$H$4384,MATCH($A14&amp;AR$2,Master!$A$2:'Master'!$A$4384&amp;Master!$C$2:'Master'!$C$4384,0))</f>
        <v>1</v>
      </c>
      <c r="AS14" s="21" cm="1">
        <f t="array" aca="1" ref="AS14" ca="1">INDEX(Master!$H$2:'Master'!$H$4384,MATCH($A14&amp;AS$2,Master!$A$2:'Master'!$A$4384&amp;Master!$C$2:'Master'!$C$4384,0))</f>
        <v>1</v>
      </c>
      <c r="AT14" s="21" cm="1">
        <f t="array" aca="1" ref="AT14" ca="1">INDEX(Master!$H$2:'Master'!$H$4384,MATCH($A14&amp;AT$2,Master!$A$2:'Master'!$A$4384&amp;Master!$C$2:'Master'!$C$4384,0))</f>
        <v>2</v>
      </c>
      <c r="AU14" s="21" cm="1">
        <f t="array" aca="1" ref="AU14" ca="1">INDEX(Master!$H$2:'Master'!$H$4384,MATCH($A14&amp;AU$2,Master!$A$2:'Master'!$A$4384&amp;Master!$C$2:'Master'!$C$4384,0))</f>
        <v>1</v>
      </c>
      <c r="AV14" s="21" cm="1">
        <f t="array" aca="1" ref="AV14" ca="1">INDEX(Master!$H$2:'Master'!$H$4384,MATCH($A14&amp;AV$2,Master!$A$2:'Master'!$A$4384&amp;Master!$C$2:'Master'!$C$4384,0))</f>
        <v>1</v>
      </c>
      <c r="AW14" s="21" cm="1">
        <f t="array" aca="1" ref="AW14" ca="1">INDEX(Master!$H$2:'Master'!$H$4384,MATCH($A14&amp;AW$2,Master!$A$2:'Master'!$A$4384&amp;Master!$C$2:'Master'!$C$4384,0))</f>
        <v>1</v>
      </c>
      <c r="AX14" s="21" cm="1">
        <f t="array" aca="1" ref="AX14" ca="1">INDEX(Master!$H$2:'Master'!$H$4384,MATCH($A14&amp;AX$2,Master!$A$2:'Master'!$A$4384&amp;Master!$C$2:'Master'!$C$4384,0))</f>
        <v>2</v>
      </c>
      <c r="AY14" s="21" cm="1">
        <f t="array" aca="1" ref="AY14" ca="1">INDEX(Master!$H$2:'Master'!$H$4384,MATCH($A14&amp;AY$2,Master!$A$2:'Master'!$A$4384&amp;Master!$C$2:'Master'!$C$4384,0))</f>
        <v>0</v>
      </c>
      <c r="AZ14" s="21" cm="1">
        <f t="array" aca="1" ref="AZ14" ca="1">INDEX(Master!$H$2:'Master'!$H$4384,MATCH($A14&amp;AZ$2,Master!$A$2:'Master'!$A$4384&amp;Master!$C$2:'Master'!$C$4384,0))</f>
        <v>2</v>
      </c>
      <c r="BA14" s="21" cm="1">
        <f t="array" aca="1" ref="BA14" ca="1">INDEX(Master!$H$2:'Master'!$H$4384,MATCH($A14&amp;BA$2,Master!$A$2:'Master'!$A$4384&amp;Master!$C$2:'Master'!$C$4384,0))</f>
        <v>2</v>
      </c>
      <c r="BB14" s="21" cm="1">
        <f t="array" aca="1" ref="BB14" ca="1">INDEX(Master!$H$2:'Master'!$H$4384,MATCH($A14&amp;BB$2,Master!$A$2:'Master'!$A$4384&amp;Master!$C$2:'Master'!$C$4384,0))</f>
        <v>2</v>
      </c>
      <c r="BC14" s="21" cm="1">
        <f t="array" aca="1" ref="BC14" ca="1">INDEX(Master!$H$2:'Master'!$H$4384,MATCH($A14&amp;BC$2,Master!$A$2:'Master'!$A$4384&amp;Master!$C$2:'Master'!$C$4384,0))</f>
        <v>1</v>
      </c>
      <c r="BD14" s="21" cm="1">
        <f t="array" aca="1" ref="BD14" ca="1">INDEX(Master!$H$2:'Master'!$H$4384,MATCH($A14&amp;BD$2,Master!$A$2:'Master'!$A$4384&amp;Master!$C$2:'Master'!$C$4384,0))</f>
        <v>3</v>
      </c>
      <c r="BE14" s="21" cm="1">
        <f t="array" aca="1" ref="BE14" ca="1">INDEX(Master!$H$2:'Master'!$H$4384,MATCH($A14&amp;BE$2,Master!$A$2:'Master'!$A$4384&amp;Master!$C$2:'Master'!$C$4384,0))</f>
        <v>2</v>
      </c>
      <c r="BF14" s="21" cm="1">
        <f t="array" aca="1" ref="BF14" ca="1">INDEX(Master!$H$2:'Master'!$H$4384,MATCH($A14&amp;BF$2,Master!$A$2:'Master'!$A$4384&amp;Master!$C$2:'Master'!$C$4384,0))</f>
        <v>0</v>
      </c>
      <c r="BG14" s="21" cm="1">
        <f t="array" aca="1" ref="BG14" ca="1">INDEX(Master!$H$2:'Master'!$H$4384,MATCH($A14&amp;BG$2,Master!$A$2:'Master'!$A$4384&amp;Master!$C$2:'Master'!$C$4384,0))</f>
        <v>1</v>
      </c>
      <c r="BH14" s="21" cm="1">
        <f t="array" aca="1" ref="BH14" ca="1">INDEX(Master!$H$2:'Master'!$H$4384,MATCH($A14&amp;BH$2,Master!$A$2:'Master'!$A$4384&amp;Master!$C$2:'Master'!$C$4384,0))</f>
        <v>-1</v>
      </c>
      <c r="BI14" s="21" cm="1">
        <f t="array" aca="1" ref="BI14" ca="1">INDEX(Master!$H$2:'Master'!$H$4384,MATCH($A14&amp;BI$2,Master!$A$2:'Master'!$A$4384&amp;Master!$C$2:'Master'!$C$4384,0))</f>
        <v>0</v>
      </c>
      <c r="BJ14" s="21" cm="1">
        <f t="array" aca="1" ref="BJ14" ca="1">INDEX(Master!$H$2:'Master'!$H$4384,MATCH($A14&amp;BJ$2,Master!$A$2:'Master'!$A$4384&amp;Master!$C$2:'Master'!$C$4384,0))</f>
        <v>1</v>
      </c>
      <c r="BK14" s="21" cm="1">
        <f t="array" aca="1" ref="BK14" ca="1">INDEX(Master!$H$2:'Master'!$H$4384,MATCH($A14&amp;BK$2,Master!$A$2:'Master'!$A$4384&amp;Master!$C$2:'Master'!$C$4384,0))</f>
        <v>3</v>
      </c>
      <c r="BL14" s="21" cm="1">
        <f t="array" aca="1" ref="BL14" ca="1">INDEX(Master!$H$2:'Master'!$H$4384,MATCH($A14&amp;BL$2,Master!$A$2:'Master'!$A$4384&amp;Master!$C$2:'Master'!$C$4384,0))</f>
        <v>1</v>
      </c>
      <c r="BM14" s="21" cm="1">
        <f t="array" aca="1" ref="BM14" ca="1">INDEX(Master!$H$2:'Master'!$H$4384,MATCH($A14&amp;BM$2,Master!$A$2:'Master'!$A$4384&amp;Master!$C$2:'Master'!$C$4384,0))</f>
        <v>1</v>
      </c>
      <c r="BN14" s="21" cm="1">
        <f t="array" aca="1" ref="BN14" ca="1">INDEX(Master!$H$2:'Master'!$H$4384,MATCH($A14&amp;BN$2,Master!$A$2:'Master'!$A$4384&amp;Master!$C$2:'Master'!$C$4384,0))</f>
        <v>0</v>
      </c>
      <c r="BO14" s="21" cm="1">
        <f t="array" aca="1" ref="BO14" ca="1">INDEX(Master!$H$2:'Master'!$H$4384,MATCH($A14&amp;BO$2,Master!$A$2:'Master'!$A$4384&amp;Master!$C$2:'Master'!$C$4384,0))</f>
        <v>2</v>
      </c>
      <c r="BP14" s="21" cm="1">
        <f t="array" aca="1" ref="BP14" ca="1">INDEX(Master!$H$2:'Master'!$H$4384,MATCH($A14&amp;BP$2,Master!$A$2:'Master'!$A$4384&amp;Master!$C$2:'Master'!$C$4384,0))</f>
        <v>0</v>
      </c>
      <c r="BQ14" s="21" cm="1">
        <f t="array" aca="1" ref="BQ14" ca="1">INDEX(Master!$H$2:'Master'!$H$4384,MATCH($A14&amp;BQ$2,Master!$A$2:'Master'!$A$4384&amp;Master!$C$2:'Master'!$C$4384,0))</f>
        <v>2</v>
      </c>
      <c r="BR14" s="21" cm="1">
        <f t="array" aca="1" ref="BR14" ca="1">INDEX(Master!$H$2:'Master'!$H$4384,MATCH($A14&amp;BR$2,Master!$A$2:'Master'!$A$4384&amp;Master!$C$2:'Master'!$C$4384,0))</f>
        <v>1</v>
      </c>
      <c r="BS14" s="21" cm="1">
        <f t="array" aca="1" ref="BS14" ca="1">INDEX(Master!$H$2:'Master'!$H$4384,MATCH($A14&amp;BS$2,Master!$A$2:'Master'!$A$4384&amp;Master!$C$2:'Master'!$C$4384,0))</f>
        <v>0</v>
      </c>
      <c r="BT14" s="21" cm="1">
        <f t="array" aca="1" ref="BT14" ca="1">INDEX(Master!$H$2:'Master'!$H$4384,MATCH($A14&amp;BT$2,Master!$A$2:'Master'!$A$4384&amp;Master!$C$2:'Master'!$C$4384,0))</f>
        <v>1</v>
      </c>
      <c r="BU14" s="21" cm="1">
        <f t="array" aca="1" ref="BU14" ca="1">INDEX(Master!$H$2:'Master'!$H$4384,MATCH($A14&amp;BU$2,Master!$A$2:'Master'!$A$4384&amp;Master!$C$2:'Master'!$C$4384,0))</f>
        <v>1</v>
      </c>
      <c r="BV14" s="21" cm="1">
        <f t="array" aca="1" ref="BV14" ca="1">INDEX(Master!$H$2:'Master'!$H$4384,MATCH($A14&amp;BV$2,Master!$A$2:'Master'!$A$4384&amp;Master!$C$2:'Master'!$C$4384,0))</f>
        <v>1</v>
      </c>
      <c r="BW14" s="21" cm="1">
        <f t="array" aca="1" ref="BW14" ca="1">INDEX(Master!$H$2:'Master'!$H$4384,MATCH($A14&amp;BW$2,Master!$A$2:'Master'!$A$4384&amp;Master!$C$2:'Master'!$C$4384,0))</f>
        <v>0</v>
      </c>
      <c r="BX14" s="21" cm="1">
        <f t="array" aca="1" ref="BX14" ca="1">INDEX(Master!$H$2:'Master'!$H$4384,MATCH($A14&amp;BX$2,Master!$A$2:'Master'!$A$4384&amp;Master!$C$2:'Master'!$C$4384,0))</f>
        <v>1</v>
      </c>
      <c r="BY14" s="21" cm="1">
        <f t="array" aca="1" ref="BY14" ca="1">INDEX(Master!$H$2:'Master'!$H$4384,MATCH($A14&amp;BY$2,Master!$A$2:'Master'!$A$4384&amp;Master!$C$2:'Master'!$C$4384,0))</f>
        <v>-1</v>
      </c>
      <c r="BZ14" s="21" cm="1">
        <f t="array" aca="1" ref="BZ14" ca="1">INDEX(Master!$H$2:'Master'!$H$4384,MATCH($A14&amp;BZ$2,Master!$A$2:'Master'!$A$4384&amp;Master!$C$2:'Master'!$C$4384,0))</f>
        <v>0</v>
      </c>
      <c r="CA14" s="21" cm="1">
        <f t="array" aca="1" ref="CA14" ca="1">INDEX(Master!$H$2:'Master'!$H$4384,MATCH($A14&amp;CA$2,Master!$A$2:'Master'!$A$4384&amp;Master!$C$2:'Master'!$C$4384,0))</f>
        <v>1</v>
      </c>
      <c r="CB14" s="21" cm="1">
        <f t="array" aca="1" ref="CB14" ca="1">INDEX(Master!$H$2:'Master'!$H$4384,MATCH($A14&amp;CB$2,Master!$A$2:'Master'!$A$4384&amp;Master!$C$2:'Master'!$C$4384,0))</f>
        <v>3</v>
      </c>
      <c r="CC14" s="21" cm="1">
        <f t="array" aca="1" ref="CC14" ca="1">INDEX(Master!$H$2:'Master'!$H$4384,MATCH($A14&amp;CC$2,Master!$A$2:'Master'!$A$4384&amp;Master!$C$2:'Master'!$C$4384,0))</f>
        <v>1</v>
      </c>
      <c r="CD14" s="21" cm="1">
        <f t="array" aca="1" ref="CD14" ca="1">INDEX(Master!$H$2:'Master'!$H$4384,MATCH($A14&amp;CD$2,Master!$A$2:'Master'!$A$4384&amp;Master!$C$2:'Master'!$C$4384,0))</f>
        <v>1</v>
      </c>
      <c r="CE14" s="21" cm="1">
        <f t="array" aca="1" ref="CE14" ca="1">INDEX(Master!$H$2:'Master'!$H$4384,MATCH($A14&amp;CE$2,Master!$A$2:'Master'!$A$4384&amp;Master!$C$2:'Master'!$C$4384,0))</f>
        <v>-1</v>
      </c>
      <c r="CF14" s="21" cm="1">
        <f t="array" aca="1" ref="CF14" ca="1">INDEX(Master!$H$2:'Master'!$H$4384,MATCH($A14&amp;CF$2,Master!$A$2:'Master'!$A$4384&amp;Master!$C$2:'Master'!$C$4384,0))</f>
        <v>0</v>
      </c>
      <c r="CG14" s="21" cm="1">
        <f t="array" aca="1" ref="CG14" ca="1">INDEX(Master!$H$2:'Master'!$H$4384,MATCH($A14&amp;CG$2,Master!$A$2:'Master'!$A$4384&amp;Master!$C$2:'Master'!$C$4384,0))</f>
        <v>1</v>
      </c>
      <c r="CH14" s="21" cm="1">
        <f t="array" aca="1" ref="CH14" ca="1">INDEX(Master!$H$2:'Master'!$H$4384,MATCH($A14&amp;CH$2,Master!$A$2:'Master'!$A$4384&amp;Master!$C$2:'Master'!$C$4384,0))</f>
        <v>0</v>
      </c>
      <c r="CI14" s="21" cm="1">
        <f t="array" aca="1" ref="CI14" ca="1">INDEX(Master!$H$2:'Master'!$H$4384,MATCH($A14&amp;CI$2,Master!$A$2:'Master'!$A$4384&amp;Master!$C$2:'Master'!$C$4384,0))</f>
        <v>1</v>
      </c>
      <c r="CJ14" s="21" cm="1">
        <f t="array" aca="1" ref="CJ14" ca="1">INDEX(Master!$H$2:'Master'!$H$4384,MATCH($A14&amp;CJ$2,Master!$A$2:'Master'!$A$4384&amp;Master!$C$2:'Master'!$C$4384,0))</f>
        <v>0</v>
      </c>
      <c r="CK14" s="21" cm="1">
        <f t="array" aca="1" ref="CK14" ca="1">INDEX(Master!$H$2:'Master'!$H$4384,MATCH($A14&amp;CK$2,Master!$A$2:'Master'!$A$4384&amp;Master!$C$2:'Master'!$C$4384,0))</f>
        <v>1</v>
      </c>
      <c r="CL14" s="21" cm="1">
        <f t="array" aca="1" ref="CL14" ca="1">INDEX(Master!$H$2:'Master'!$H$4384,MATCH($A14&amp;CL$2,Master!$A$2:'Master'!$A$4384&amp;Master!$C$2:'Master'!$C$4384,0))</f>
        <v>2</v>
      </c>
      <c r="CM14" s="21" cm="1">
        <f t="array" aca="1" ref="CM14" ca="1">INDEX(Master!$H$2:'Master'!$H$4384,MATCH($A14&amp;CM$2,Master!$A$2:'Master'!$A$4384&amp;Master!$C$2:'Master'!$C$4384,0))</f>
        <v>0</v>
      </c>
      <c r="CN14" s="21" cm="1">
        <f t="array" aca="1" ref="CN14" ca="1">INDEX(Master!$H$2:'Master'!$H$4384,MATCH($A14&amp;CN$2,Master!$A$2:'Master'!$A$4384&amp;Master!$C$2:'Master'!$C$4384,0))</f>
        <v>1</v>
      </c>
      <c r="CO14" s="21" cm="1">
        <f t="array" aca="1" ref="CO14" ca="1">INDEX(Master!$H$2:'Master'!$H$4384,MATCH($A14&amp;CO$2,Master!$A$2:'Master'!$A$4384&amp;Master!$C$2:'Master'!$C$4384,0))</f>
        <v>0</v>
      </c>
      <c r="CP14" s="21" cm="1">
        <f t="array" aca="1" ref="CP14" ca="1">INDEX(Master!$H$2:'Master'!$H$4384,MATCH($A14&amp;CP$2,Master!$A$2:'Master'!$A$4384&amp;Master!$C$2:'Master'!$C$4384,0))</f>
        <v>0</v>
      </c>
      <c r="CQ14" s="21" cm="1">
        <f t="array" aca="1" ref="CQ14" ca="1">INDEX(Master!$H$2:'Master'!$H$4384,MATCH($A14&amp;CQ$2,Master!$A$2:'Master'!$A$4384&amp;Master!$C$2:'Master'!$C$4384,0))</f>
        <v>0</v>
      </c>
      <c r="CR14" s="21" cm="1">
        <f t="array" aca="1" ref="CR14" ca="1">INDEX(Master!$H$2:'Master'!$H$4384,MATCH($A14&amp;CR$2,Master!$A$2:'Master'!$A$4384&amp;Master!$C$2:'Master'!$C$4384,0))</f>
        <v>1</v>
      </c>
      <c r="CS14" s="21" cm="1">
        <f t="array" aca="1" ref="CS14" ca="1">INDEX(Master!$H$2:'Master'!$H$4384,MATCH($A14&amp;CS$2,Master!$A$2:'Master'!$A$4384&amp;Master!$C$2:'Master'!$C$4384,0))</f>
        <v>1</v>
      </c>
    </row>
    <row r="15" spans="1:97">
      <c r="A15" s="22" t="str">
        <f>VLOOKUP(Staff!$A11,Staff!$A$1:A$73,1,FALSE)</f>
        <v>Cormoran Strike</v>
      </c>
      <c r="B15" s="21" cm="1">
        <f t="array" aca="1" ref="B15" ca="1">INDEX(Master!$H$2:'Master'!$H$4384,MATCH($A15&amp;B$2,Master!$A$2:'Master'!$A$4384&amp;Master!$C$2:'Master'!$C$4384,0))</f>
        <v>-1</v>
      </c>
      <c r="C15" s="21" cm="1">
        <f t="array" aca="1" ref="C15" ca="1">INDEX(Master!$H$2:'Master'!$H$4384,MATCH($A15&amp;C$2,Master!$A$2:'Master'!$A$4384&amp;Master!$C$2:'Master'!$C$4384,0))</f>
        <v>0</v>
      </c>
      <c r="D15" s="21" cm="1">
        <f t="array" aca="1" ref="D15" ca="1">INDEX(Master!$H$2:'Master'!$H$4384,MATCH($A15&amp;D$2,Master!$A$2:'Master'!$A$4384&amp;Master!$C$2:'Master'!$C$4384,0))</f>
        <v>1</v>
      </c>
      <c r="E15" s="21" cm="1">
        <f t="array" aca="1" ref="E15" ca="1">INDEX(Master!$H$2:'Master'!$H$4384,MATCH($A15&amp;E$2,Master!$A$2:'Master'!$A$4384&amp;Master!$C$2:'Master'!$C$4384,0))</f>
        <v>0</v>
      </c>
      <c r="F15" s="21" cm="1">
        <f t="array" aca="1" ref="F15" ca="1">INDEX(Master!$H$2:'Master'!$H$4384,MATCH($A15&amp;F$2,Master!$A$2:'Master'!$A$4384&amp;Master!$C$2:'Master'!$C$4384,0))</f>
        <v>0</v>
      </c>
      <c r="G15" s="21" cm="1">
        <f t="array" aca="1" ref="G15" ca="1">INDEX(Master!$H$2:'Master'!$H$4384,MATCH($A15&amp;G$2,Master!$A$2:'Master'!$A$4384&amp;Master!$C$2:'Master'!$C$4384,0))</f>
        <v>1</v>
      </c>
      <c r="H15" s="21" cm="1">
        <f t="array" aca="1" ref="H15" ca="1">INDEX(Master!$H$2:'Master'!$H$4384,MATCH($A15&amp;H$2,Master!$A$2:'Master'!$A$4384&amp;Master!$C$2:'Master'!$C$4384,0))</f>
        <v>0</v>
      </c>
      <c r="I15" s="21" cm="1">
        <f t="array" aca="1" ref="I15" ca="1">INDEX(Master!$H$2:'Master'!$H$4384,MATCH($A15&amp;I$2,Master!$A$2:'Master'!$A$4384&amp;Master!$C$2:'Master'!$C$4384,0))</f>
        <v>0</v>
      </c>
      <c r="J15" s="21" cm="1">
        <f t="array" aca="1" ref="J15" ca="1">INDEX(Master!$H$2:'Master'!$H$4384,MATCH($A15&amp;J$2,Master!$A$2:'Master'!$A$4384&amp;Master!$C$2:'Master'!$C$4384,0))</f>
        <v>1</v>
      </c>
      <c r="K15" s="21" cm="1">
        <f t="array" aca="1" ref="K15" ca="1">INDEX(Master!$H$2:'Master'!$H$4384,MATCH($A15&amp;K$2,Master!$A$2:'Master'!$A$4384&amp;Master!$C$2:'Master'!$C$4384,0))</f>
        <v>-1</v>
      </c>
      <c r="L15" s="21" cm="1">
        <f t="array" aca="1" ref="L15" ca="1">INDEX(Master!$H$2:'Master'!$H$4384,MATCH($A15&amp;L$2,Master!$A$2:'Master'!$A$4384&amp;Master!$C$2:'Master'!$C$4384,0))</f>
        <v>-1</v>
      </c>
      <c r="M15" s="21" cm="1">
        <f t="array" aca="1" ref="M15" ca="1">INDEX(Master!$H$2:'Master'!$H$4384,MATCH($A15&amp;M$2,Master!$A$2:'Master'!$A$4384&amp;Master!$C$2:'Master'!$C$4384,0))</f>
        <v>0</v>
      </c>
      <c r="N15" s="21" cm="1">
        <f t="array" aca="1" ref="N15" ca="1">INDEX(Master!$H$2:'Master'!$H$4384,MATCH($A15&amp;N$2,Master!$A$2:'Master'!$A$4384&amp;Master!$C$2:'Master'!$C$4384,0))</f>
        <v>-1</v>
      </c>
      <c r="O15" s="21" cm="1">
        <f t="array" aca="1" ref="O15" ca="1">INDEX(Master!$H$2:'Master'!$H$4384,MATCH($A15&amp;O$2,Master!$A$2:'Master'!$A$4384&amp;Master!$C$2:'Master'!$C$4384,0))</f>
        <v>-1</v>
      </c>
      <c r="P15" s="21" cm="1">
        <f t="array" aca="1" ref="P15" ca="1">INDEX(Master!$H$2:'Master'!$H$4384,MATCH($A15&amp;P$2,Master!$A$2:'Master'!$A$4384&amp;Master!$C$2:'Master'!$C$4384,0))</f>
        <v>0</v>
      </c>
      <c r="Q15" s="21" cm="1">
        <f t="array" aca="1" ref="Q15" ca="1">INDEX(Master!$H$2:'Master'!$H$4384,MATCH($A15&amp;Q$2,Master!$A$2:'Master'!$A$4384&amp;Master!$C$2:'Master'!$C$4384,0))</f>
        <v>0</v>
      </c>
      <c r="R15" s="21" cm="1">
        <f t="array" aca="1" ref="R15" ca="1">INDEX(Master!$H$2:'Master'!$H$4384,MATCH($A15&amp;R$2,Master!$A$2:'Master'!$A$4384&amp;Master!$C$2:'Master'!$C$4384,0))</f>
        <v>-1</v>
      </c>
      <c r="S15" s="21" cm="1">
        <f t="array" aca="1" ref="S15" ca="1">INDEX(Master!$H$2:'Master'!$H$4384,MATCH($A15&amp;S$2,Master!$A$2:'Master'!$A$4384&amp;Master!$C$2:'Master'!$C$4384,0))</f>
        <v>0</v>
      </c>
      <c r="T15" s="21" cm="1">
        <f t="array" aca="1" ref="T15" ca="1">INDEX(Master!$H$2:'Master'!$H$4384,MATCH($A15&amp;T$2,Master!$A$2:'Master'!$A$4384&amp;Master!$C$2:'Master'!$C$4384,0))</f>
        <v>0</v>
      </c>
      <c r="U15" s="21" cm="1">
        <f t="array" aca="1" ref="U15" ca="1">INDEX(Master!$H$2:'Master'!$H$4384,MATCH($A15&amp;U$2,Master!$A$2:'Master'!$A$4384&amp;Master!$C$2:'Master'!$C$4384,0))</f>
        <v>-2</v>
      </c>
      <c r="V15" s="21" cm="1">
        <f t="array" aca="1" ref="V15" ca="1">INDEX(Master!$H$2:'Master'!$H$4384,MATCH($A15&amp;V$2,Master!$A$2:'Master'!$A$4384&amp;Master!$C$2:'Master'!$C$4384,0))</f>
        <v>0</v>
      </c>
      <c r="W15" s="21" cm="1">
        <f t="array" aca="1" ref="W15" ca="1">INDEX(Master!$H$2:'Master'!$H$4384,MATCH($A15&amp;W$2,Master!$A$2:'Master'!$A$4384&amp;Master!$C$2:'Master'!$C$4384,0))</f>
        <v>1</v>
      </c>
      <c r="X15" s="21" cm="1">
        <f t="array" aca="1" ref="X15" ca="1">INDEX(Master!$H$2:'Master'!$H$4384,MATCH($A15&amp;X$2,Master!$A$2:'Master'!$A$4384&amp;Master!$C$2:'Master'!$C$4384,0))</f>
        <v>3</v>
      </c>
      <c r="Y15" s="21" cm="1">
        <f t="array" aca="1" ref="Y15" ca="1">INDEX(Master!$H$2:'Master'!$H$4384,MATCH($A15&amp;Y$2,Master!$A$2:'Master'!$A$4384&amp;Master!$C$2:'Master'!$C$4384,0))</f>
        <v>2</v>
      </c>
      <c r="Z15" s="21" cm="1">
        <f t="array" aca="1" ref="Z15" ca="1">INDEX(Master!$H$2:'Master'!$H$4384,MATCH($A15&amp;Z$2,Master!$A$2:'Master'!$A$4384&amp;Master!$C$2:'Master'!$C$4384,0))</f>
        <v>1</v>
      </c>
      <c r="AA15" s="21" cm="1">
        <f t="array" aca="1" ref="AA15" ca="1">INDEX(Master!$H$2:'Master'!$H$4384,MATCH($A15&amp;AA$2,Master!$A$2:'Master'!$A$4384&amp;Master!$C$2:'Master'!$C$4384,0))</f>
        <v>2</v>
      </c>
      <c r="AB15" s="21" cm="1">
        <f t="array" aca="1" ref="AB15" ca="1">INDEX(Master!$H$2:'Master'!$H$4384,MATCH($A15&amp;AB$2,Master!$A$2:'Master'!$A$4384&amp;Master!$C$2:'Master'!$C$4384,0))</f>
        <v>3</v>
      </c>
      <c r="AC15" s="21" cm="1">
        <f t="array" aca="1" ref="AC15" ca="1">INDEX(Master!$H$2:'Master'!$H$4384,MATCH($A15&amp;AC$2,Master!$A$2:'Master'!$A$4384&amp;Master!$C$2:'Master'!$C$4384,0))</f>
        <v>2</v>
      </c>
      <c r="AD15" s="21" cm="1">
        <f t="array" aca="1" ref="AD15" ca="1">INDEX(Master!$H$2:'Master'!$H$4384,MATCH($A15&amp;AD$2,Master!$A$2:'Master'!$A$4384&amp;Master!$C$2:'Master'!$C$4384,0))</f>
        <v>2</v>
      </c>
      <c r="AE15" s="21" cm="1">
        <f t="array" aca="1" ref="AE15" ca="1">INDEX(Master!$H$2:'Master'!$H$4384,MATCH($A15&amp;AE$2,Master!$A$2:'Master'!$A$4384&amp;Master!$C$2:'Master'!$C$4384,0))</f>
        <v>-2</v>
      </c>
      <c r="AF15" s="21" cm="1">
        <f t="array" aca="1" ref="AF15" ca="1">INDEX(Master!$H$2:'Master'!$H$4384,MATCH($A15&amp;AF$2,Master!$A$2:'Master'!$A$4384&amp;Master!$C$2:'Master'!$C$4384,0))</f>
        <v>-1</v>
      </c>
      <c r="AG15" s="21" cm="1">
        <f t="array" aca="1" ref="AG15" ca="1">INDEX(Master!$H$2:'Master'!$H$4384,MATCH($A15&amp;AG$2,Master!$A$2:'Master'!$A$4384&amp;Master!$C$2:'Master'!$C$4384,0))</f>
        <v>-1</v>
      </c>
      <c r="AH15" s="21" cm="1">
        <f t="array" aca="1" ref="AH15" ca="1">INDEX(Master!$H$2:'Master'!$H$4384,MATCH($A15&amp;AH$2,Master!$A$2:'Master'!$A$4384&amp;Master!$C$2:'Master'!$C$4384,0))</f>
        <v>-2</v>
      </c>
      <c r="AI15" s="21" cm="1">
        <f t="array" aca="1" ref="AI15" ca="1">INDEX(Master!$H$2:'Master'!$H$4384,MATCH($A15&amp;AI$2,Master!$A$2:'Master'!$A$4384&amp;Master!$C$2:'Master'!$C$4384,0))</f>
        <v>0</v>
      </c>
      <c r="AJ15" s="21" cm="1">
        <f t="array" aca="1" ref="AJ15" ca="1">INDEX(Master!$H$2:'Master'!$H$4384,MATCH($A15&amp;AJ$2,Master!$A$2:'Master'!$A$4384&amp;Master!$C$2:'Master'!$C$4384,0))</f>
        <v>-2</v>
      </c>
      <c r="AK15" s="21" cm="1">
        <f t="array" aca="1" ref="AK15" ca="1">INDEX(Master!$H$2:'Master'!$H$4384,MATCH($A15&amp;AK$2,Master!$A$2:'Master'!$A$4384&amp;Master!$C$2:'Master'!$C$4384,0))</f>
        <v>-1</v>
      </c>
      <c r="AL15" s="21" cm="1">
        <f t="array" aca="1" ref="AL15" ca="1">INDEX(Master!$H$2:'Master'!$H$4384,MATCH($A15&amp;AL$2,Master!$A$2:'Master'!$A$4384&amp;Master!$C$2:'Master'!$C$4384,0))</f>
        <v>0</v>
      </c>
      <c r="AM15" s="21" cm="1">
        <f t="array" aca="1" ref="AM15" ca="1">INDEX(Master!$H$2:'Master'!$H$4384,MATCH($A15&amp;AM$2,Master!$A$2:'Master'!$A$4384&amp;Master!$C$2:'Master'!$C$4384,0))</f>
        <v>0</v>
      </c>
      <c r="AN15" s="21" cm="1">
        <f t="array" aca="1" ref="AN15" ca="1">INDEX(Master!$H$2:'Master'!$H$4384,MATCH($A15&amp;AN$2,Master!$A$2:'Master'!$A$4384&amp;Master!$C$2:'Master'!$C$4384,0))</f>
        <v>-1</v>
      </c>
      <c r="AO15" s="21" cm="1">
        <f t="array" aca="1" ref="AO15" ca="1">INDEX(Master!$H$2:'Master'!$H$4384,MATCH($A15&amp;AO$2,Master!$A$2:'Master'!$A$4384&amp;Master!$C$2:'Master'!$C$4384,0))</f>
        <v>2</v>
      </c>
      <c r="AP15" s="21" cm="1">
        <f t="array" aca="1" ref="AP15" ca="1">INDEX(Master!$H$2:'Master'!$H$4384,MATCH($A15&amp;AP$2,Master!$A$2:'Master'!$A$4384&amp;Master!$C$2:'Master'!$C$4384,0))</f>
        <v>-1</v>
      </c>
      <c r="AQ15" s="21" cm="1">
        <f t="array" aca="1" ref="AQ15" ca="1">INDEX(Master!$H$2:'Master'!$H$4384,MATCH($A15&amp;AQ$2,Master!$A$2:'Master'!$A$4384&amp;Master!$C$2:'Master'!$C$4384,0))</f>
        <v>0</v>
      </c>
      <c r="AR15" s="21" cm="1">
        <f t="array" aca="1" ref="AR15" ca="1">INDEX(Master!$H$2:'Master'!$H$4384,MATCH($A15&amp;AR$2,Master!$A$2:'Master'!$A$4384&amp;Master!$C$2:'Master'!$C$4384,0))</f>
        <v>1</v>
      </c>
      <c r="AS15" s="21" cm="1">
        <f t="array" aca="1" ref="AS15" ca="1">INDEX(Master!$H$2:'Master'!$H$4384,MATCH($A15&amp;AS$2,Master!$A$2:'Master'!$A$4384&amp;Master!$C$2:'Master'!$C$4384,0))</f>
        <v>0</v>
      </c>
      <c r="AT15" s="21" cm="1">
        <f t="array" aca="1" ref="AT15" ca="1">INDEX(Master!$H$2:'Master'!$H$4384,MATCH($A15&amp;AT$2,Master!$A$2:'Master'!$A$4384&amp;Master!$C$2:'Master'!$C$4384,0))</f>
        <v>-2</v>
      </c>
      <c r="AU15" s="21" cm="1">
        <f t="array" aca="1" ref="AU15" ca="1">INDEX(Master!$H$2:'Master'!$H$4384,MATCH($A15&amp;AU$2,Master!$A$2:'Master'!$A$4384&amp;Master!$C$2:'Master'!$C$4384,0))</f>
        <v>-2</v>
      </c>
      <c r="AV15" s="21" cm="1">
        <f t="array" aca="1" ref="AV15" ca="1">INDEX(Master!$H$2:'Master'!$H$4384,MATCH($A15&amp;AV$2,Master!$A$2:'Master'!$A$4384&amp;Master!$C$2:'Master'!$C$4384,0))</f>
        <v>-1</v>
      </c>
      <c r="AW15" s="21" cm="1">
        <f t="array" aca="1" ref="AW15" ca="1">INDEX(Master!$H$2:'Master'!$H$4384,MATCH($A15&amp;AW$2,Master!$A$2:'Master'!$A$4384&amp;Master!$C$2:'Master'!$C$4384,0))</f>
        <v>0</v>
      </c>
      <c r="AX15" s="21" cm="1">
        <f t="array" aca="1" ref="AX15" ca="1">INDEX(Master!$H$2:'Master'!$H$4384,MATCH($A15&amp;AX$2,Master!$A$2:'Master'!$A$4384&amp;Master!$C$2:'Master'!$C$4384,0))</f>
        <v>0</v>
      </c>
      <c r="AY15" s="21" cm="1">
        <f t="array" aca="1" ref="AY15" ca="1">INDEX(Master!$H$2:'Master'!$H$4384,MATCH($A15&amp;AY$2,Master!$A$2:'Master'!$A$4384&amp;Master!$C$2:'Master'!$C$4384,0))</f>
        <v>-1</v>
      </c>
      <c r="AZ15" s="21" cm="1">
        <f t="array" aca="1" ref="AZ15" ca="1">INDEX(Master!$H$2:'Master'!$H$4384,MATCH($A15&amp;AZ$2,Master!$A$2:'Master'!$A$4384&amp;Master!$C$2:'Master'!$C$4384,0))</f>
        <v>-2</v>
      </c>
      <c r="BA15" s="21" cm="1">
        <f t="array" aca="1" ref="BA15" ca="1">INDEX(Master!$H$2:'Master'!$H$4384,MATCH($A15&amp;BA$2,Master!$A$2:'Master'!$A$4384&amp;Master!$C$2:'Master'!$C$4384,0))</f>
        <v>-2</v>
      </c>
      <c r="BB15" s="21" cm="1">
        <f t="array" aca="1" ref="BB15" ca="1">INDEX(Master!$H$2:'Master'!$H$4384,MATCH($A15&amp;BB$2,Master!$A$2:'Master'!$A$4384&amp;Master!$C$2:'Master'!$C$4384,0))</f>
        <v>-1</v>
      </c>
      <c r="BC15" s="21" cm="1">
        <f t="array" aca="1" ref="BC15" ca="1">INDEX(Master!$H$2:'Master'!$H$4384,MATCH($A15&amp;BC$2,Master!$A$2:'Master'!$A$4384&amp;Master!$C$2:'Master'!$C$4384,0))</f>
        <v>-1</v>
      </c>
      <c r="BD15" s="21" cm="1">
        <f t="array" aca="1" ref="BD15" ca="1">INDEX(Master!$H$2:'Master'!$H$4384,MATCH($A15&amp;BD$2,Master!$A$2:'Master'!$A$4384&amp;Master!$C$2:'Master'!$C$4384,0))</f>
        <v>-1</v>
      </c>
      <c r="BE15" s="21" cm="1">
        <f t="array" aca="1" ref="BE15" ca="1">INDEX(Master!$H$2:'Master'!$H$4384,MATCH($A15&amp;BE$2,Master!$A$2:'Master'!$A$4384&amp;Master!$C$2:'Master'!$C$4384,0))</f>
        <v>1</v>
      </c>
      <c r="BF15" s="21" cm="1">
        <f t="array" aca="1" ref="BF15" ca="1">INDEX(Master!$H$2:'Master'!$H$4384,MATCH($A15&amp;BF$2,Master!$A$2:'Master'!$A$4384&amp;Master!$C$2:'Master'!$C$4384,0))</f>
        <v>-2</v>
      </c>
      <c r="BG15" s="21" cm="1">
        <f t="array" aca="1" ref="BG15" ca="1">INDEX(Master!$H$2:'Master'!$H$4384,MATCH($A15&amp;BG$2,Master!$A$2:'Master'!$A$4384&amp;Master!$C$2:'Master'!$C$4384,0))</f>
        <v>-1</v>
      </c>
      <c r="BH15" s="21" cm="1">
        <f t="array" aca="1" ref="BH15" ca="1">INDEX(Master!$H$2:'Master'!$H$4384,MATCH($A15&amp;BH$2,Master!$A$2:'Master'!$A$4384&amp;Master!$C$2:'Master'!$C$4384,0))</f>
        <v>-1</v>
      </c>
      <c r="BI15" s="21" cm="1">
        <f t="array" aca="1" ref="BI15" ca="1">INDEX(Master!$H$2:'Master'!$H$4384,MATCH($A15&amp;BI$2,Master!$A$2:'Master'!$A$4384&amp;Master!$C$2:'Master'!$C$4384,0))</f>
        <v>-1</v>
      </c>
      <c r="BJ15" s="21" cm="1">
        <f t="array" aca="1" ref="BJ15" ca="1">INDEX(Master!$H$2:'Master'!$H$4384,MATCH($A15&amp;BJ$2,Master!$A$2:'Master'!$A$4384&amp;Master!$C$2:'Master'!$C$4384,0))</f>
        <v>-1</v>
      </c>
      <c r="BK15" s="21" cm="1">
        <f t="array" aca="1" ref="BK15" ca="1">INDEX(Master!$H$2:'Master'!$H$4384,MATCH($A15&amp;BK$2,Master!$A$2:'Master'!$A$4384&amp;Master!$C$2:'Master'!$C$4384,0))</f>
        <v>-1</v>
      </c>
      <c r="BL15" s="21" cm="1">
        <f t="array" aca="1" ref="BL15" ca="1">INDEX(Master!$H$2:'Master'!$H$4384,MATCH($A15&amp;BL$2,Master!$A$2:'Master'!$A$4384&amp;Master!$C$2:'Master'!$C$4384,0))</f>
        <v>-2</v>
      </c>
      <c r="BM15" s="21" cm="1">
        <f t="array" aca="1" ref="BM15" ca="1">INDEX(Master!$H$2:'Master'!$H$4384,MATCH($A15&amp;BM$2,Master!$A$2:'Master'!$A$4384&amp;Master!$C$2:'Master'!$C$4384,0))</f>
        <v>1</v>
      </c>
      <c r="BN15" s="21" cm="1">
        <f t="array" aca="1" ref="BN15" ca="1">INDEX(Master!$H$2:'Master'!$H$4384,MATCH($A15&amp;BN$2,Master!$A$2:'Master'!$A$4384&amp;Master!$C$2:'Master'!$C$4384,0))</f>
        <v>-1</v>
      </c>
      <c r="BO15" s="21" cm="1">
        <f t="array" aca="1" ref="BO15" ca="1">INDEX(Master!$H$2:'Master'!$H$4384,MATCH($A15&amp;BO$2,Master!$A$2:'Master'!$A$4384&amp;Master!$C$2:'Master'!$C$4384,0))</f>
        <v>2</v>
      </c>
      <c r="BP15" s="21" cm="1">
        <f t="array" aca="1" ref="BP15" ca="1">INDEX(Master!$H$2:'Master'!$H$4384,MATCH($A15&amp;BP$2,Master!$A$2:'Master'!$A$4384&amp;Master!$C$2:'Master'!$C$4384,0))</f>
        <v>2</v>
      </c>
      <c r="BQ15" s="21" cm="1">
        <f t="array" aca="1" ref="BQ15" ca="1">INDEX(Master!$H$2:'Master'!$H$4384,MATCH($A15&amp;BQ$2,Master!$A$2:'Master'!$A$4384&amp;Master!$C$2:'Master'!$C$4384,0))</f>
        <v>1</v>
      </c>
      <c r="BR15" s="21" cm="1">
        <f t="array" aca="1" ref="BR15" ca="1">INDEX(Master!$H$2:'Master'!$H$4384,MATCH($A15&amp;BR$2,Master!$A$2:'Master'!$A$4384&amp;Master!$C$2:'Master'!$C$4384,0))</f>
        <v>0</v>
      </c>
      <c r="BS15" s="21" cm="1">
        <f t="array" aca="1" ref="BS15" ca="1">INDEX(Master!$H$2:'Master'!$H$4384,MATCH($A15&amp;BS$2,Master!$A$2:'Master'!$A$4384&amp;Master!$C$2:'Master'!$C$4384,0))</f>
        <v>1</v>
      </c>
      <c r="BT15" s="21" cm="1">
        <f t="array" aca="1" ref="BT15" ca="1">INDEX(Master!$H$2:'Master'!$H$4384,MATCH($A15&amp;BT$2,Master!$A$2:'Master'!$A$4384&amp;Master!$C$2:'Master'!$C$4384,0))</f>
        <v>-1</v>
      </c>
      <c r="BU15" s="21" cm="1">
        <f t="array" aca="1" ref="BU15" ca="1">INDEX(Master!$H$2:'Master'!$H$4384,MATCH($A15&amp;BU$2,Master!$A$2:'Master'!$A$4384&amp;Master!$C$2:'Master'!$C$4384,0))</f>
        <v>0</v>
      </c>
      <c r="BV15" s="21" cm="1">
        <f t="array" aca="1" ref="BV15" ca="1">INDEX(Master!$H$2:'Master'!$H$4384,MATCH($A15&amp;BV$2,Master!$A$2:'Master'!$A$4384&amp;Master!$C$2:'Master'!$C$4384,0))</f>
        <v>-1</v>
      </c>
      <c r="BW15" s="21" cm="1">
        <f t="array" aca="1" ref="BW15" ca="1">INDEX(Master!$H$2:'Master'!$H$4384,MATCH($A15&amp;BW$2,Master!$A$2:'Master'!$A$4384&amp;Master!$C$2:'Master'!$C$4384,0))</f>
        <v>-2</v>
      </c>
      <c r="BX15" s="21" cm="1">
        <f t="array" aca="1" ref="BX15" ca="1">INDEX(Master!$H$2:'Master'!$H$4384,MATCH($A15&amp;BX$2,Master!$A$2:'Master'!$A$4384&amp;Master!$C$2:'Master'!$C$4384,0))</f>
        <v>-1</v>
      </c>
      <c r="BY15" s="21" cm="1">
        <f t="array" aca="1" ref="BY15" ca="1">INDEX(Master!$H$2:'Master'!$H$4384,MATCH($A15&amp;BY$2,Master!$A$2:'Master'!$A$4384&amp;Master!$C$2:'Master'!$C$4384,0))</f>
        <v>-1</v>
      </c>
      <c r="BZ15" s="21" cm="1">
        <f t="array" aca="1" ref="BZ15" ca="1">INDEX(Master!$H$2:'Master'!$H$4384,MATCH($A15&amp;BZ$2,Master!$A$2:'Master'!$A$4384&amp;Master!$C$2:'Master'!$C$4384,0))</f>
        <v>-1</v>
      </c>
      <c r="CA15" s="21" cm="1">
        <f t="array" aca="1" ref="CA15" ca="1">INDEX(Master!$H$2:'Master'!$H$4384,MATCH($A15&amp;CA$2,Master!$A$2:'Master'!$A$4384&amp;Master!$C$2:'Master'!$C$4384,0))</f>
        <v>-1</v>
      </c>
      <c r="CB15" s="21" cm="1">
        <f t="array" aca="1" ref="CB15" ca="1">INDEX(Master!$H$2:'Master'!$H$4384,MATCH($A15&amp;CB$2,Master!$A$2:'Master'!$A$4384&amp;Master!$C$2:'Master'!$C$4384,0))</f>
        <v>-1</v>
      </c>
      <c r="CC15" s="21" cm="1">
        <f t="array" aca="1" ref="CC15" ca="1">INDEX(Master!$H$2:'Master'!$H$4384,MATCH($A15&amp;CC$2,Master!$A$2:'Master'!$A$4384&amp;Master!$C$2:'Master'!$C$4384,0))</f>
        <v>-2</v>
      </c>
      <c r="CD15" s="21" cm="1">
        <f t="array" aca="1" ref="CD15" ca="1">INDEX(Master!$H$2:'Master'!$H$4384,MATCH($A15&amp;CD$2,Master!$A$2:'Master'!$A$4384&amp;Master!$C$2:'Master'!$C$4384,0))</f>
        <v>1</v>
      </c>
      <c r="CE15" s="21" cm="1">
        <f t="array" aca="1" ref="CE15" ca="1">INDEX(Master!$H$2:'Master'!$H$4384,MATCH($A15&amp;CE$2,Master!$A$2:'Master'!$A$4384&amp;Master!$C$2:'Master'!$C$4384,0))</f>
        <v>-2</v>
      </c>
      <c r="CF15" s="21" cm="1">
        <f t="array" aca="1" ref="CF15" ca="1">INDEX(Master!$H$2:'Master'!$H$4384,MATCH($A15&amp;CF$2,Master!$A$2:'Master'!$A$4384&amp;Master!$C$2:'Master'!$C$4384,0))</f>
        <v>-1</v>
      </c>
      <c r="CG15" s="21" cm="1">
        <f t="array" aca="1" ref="CG15" ca="1">INDEX(Master!$H$2:'Master'!$H$4384,MATCH($A15&amp;CG$2,Master!$A$2:'Master'!$A$4384&amp;Master!$C$2:'Master'!$C$4384,0))</f>
        <v>-2</v>
      </c>
      <c r="CH15" s="21" cm="1">
        <f t="array" aca="1" ref="CH15" ca="1">INDEX(Master!$H$2:'Master'!$H$4384,MATCH($A15&amp;CH$2,Master!$A$2:'Master'!$A$4384&amp;Master!$C$2:'Master'!$C$4384,0))</f>
        <v>-2</v>
      </c>
      <c r="CI15" s="21" cm="1">
        <f t="array" aca="1" ref="CI15" ca="1">INDEX(Master!$H$2:'Master'!$H$4384,MATCH($A15&amp;CI$2,Master!$A$2:'Master'!$A$4384&amp;Master!$C$2:'Master'!$C$4384,0))</f>
        <v>-3</v>
      </c>
      <c r="CJ15" s="21" cm="1">
        <f t="array" aca="1" ref="CJ15" ca="1">INDEX(Master!$H$2:'Master'!$H$4384,MATCH($A15&amp;CJ$2,Master!$A$2:'Master'!$A$4384&amp;Master!$C$2:'Master'!$C$4384,0))</f>
        <v>2</v>
      </c>
      <c r="CK15" s="21" cm="1">
        <f t="array" aca="1" ref="CK15" ca="1">INDEX(Master!$H$2:'Master'!$H$4384,MATCH($A15&amp;CK$2,Master!$A$2:'Master'!$A$4384&amp;Master!$C$2:'Master'!$C$4384,0))</f>
        <v>-1</v>
      </c>
      <c r="CL15" s="21" cm="1">
        <f t="array" aca="1" ref="CL15" ca="1">INDEX(Master!$H$2:'Master'!$H$4384,MATCH($A15&amp;CL$2,Master!$A$2:'Master'!$A$4384&amp;Master!$C$2:'Master'!$C$4384,0))</f>
        <v>-2</v>
      </c>
      <c r="CM15" s="21" cm="1">
        <f t="array" aca="1" ref="CM15" ca="1">INDEX(Master!$H$2:'Master'!$H$4384,MATCH($A15&amp;CM$2,Master!$A$2:'Master'!$A$4384&amp;Master!$C$2:'Master'!$C$4384,0))</f>
        <v>-1</v>
      </c>
      <c r="CN15" s="21" cm="1">
        <f t="array" aca="1" ref="CN15" ca="1">INDEX(Master!$H$2:'Master'!$H$4384,MATCH($A15&amp;CN$2,Master!$A$2:'Master'!$A$4384&amp;Master!$C$2:'Master'!$C$4384,0))</f>
        <v>2</v>
      </c>
      <c r="CO15" s="21" cm="1">
        <f t="array" aca="1" ref="CO15" ca="1">INDEX(Master!$H$2:'Master'!$H$4384,MATCH($A15&amp;CO$2,Master!$A$2:'Master'!$A$4384&amp;Master!$C$2:'Master'!$C$4384,0))</f>
        <v>-2</v>
      </c>
      <c r="CP15" s="21" cm="1">
        <f t="array" aca="1" ref="CP15" ca="1">INDEX(Master!$H$2:'Master'!$H$4384,MATCH($A15&amp;CP$2,Master!$A$2:'Master'!$A$4384&amp;Master!$C$2:'Master'!$C$4384,0))</f>
        <v>-2</v>
      </c>
      <c r="CQ15" s="21" cm="1">
        <f t="array" aca="1" ref="CQ15" ca="1">INDEX(Master!$H$2:'Master'!$H$4384,MATCH($A15&amp;CQ$2,Master!$A$2:'Master'!$A$4384&amp;Master!$C$2:'Master'!$C$4384,0))</f>
        <v>-1</v>
      </c>
      <c r="CR15" s="21" cm="1">
        <f t="array" aca="1" ref="CR15" ca="1">INDEX(Master!$H$2:'Master'!$H$4384,MATCH($A15&amp;CR$2,Master!$A$2:'Master'!$A$4384&amp;Master!$C$2:'Master'!$C$4384,0))</f>
        <v>-1</v>
      </c>
      <c r="CS15" s="21" cm="1">
        <f t="array" aca="1" ref="CS15" ca="1">INDEX(Master!$H$2:'Master'!$H$4384,MATCH($A15&amp;CS$2,Master!$A$2:'Master'!$A$4384&amp;Master!$C$2:'Master'!$C$4384,0))</f>
        <v>0</v>
      </c>
    </row>
    <row r="16" spans="1:97">
      <c r="A16" s="22" t="str">
        <f>VLOOKUP(Staff!$A12,Staff!$A$1:A$73,1,FALSE)</f>
        <v>Marcella Backland</v>
      </c>
      <c r="B16" s="21" cm="1">
        <f t="array" aca="1" ref="B16" ca="1">INDEX(Master!$H$2:'Master'!$H$4384,MATCH($A16&amp;B$2,Master!$A$2:'Master'!$A$4384&amp;Master!$C$2:'Master'!$C$4384,0))</f>
        <v>99</v>
      </c>
      <c r="C16" s="21" cm="1">
        <f t="array" aca="1" ref="C16" ca="1">INDEX(Master!$H$2:'Master'!$H$4384,MATCH($A16&amp;C$2,Master!$A$2:'Master'!$A$4384&amp;Master!$C$2:'Master'!$C$4384,0))</f>
        <v>99</v>
      </c>
      <c r="D16" s="21" cm="1">
        <f t="array" aca="1" ref="D16" ca="1">INDEX(Master!$H$2:'Master'!$H$4384,MATCH($A16&amp;D$2,Master!$A$2:'Master'!$A$4384&amp;Master!$C$2:'Master'!$C$4384,0))</f>
        <v>99</v>
      </c>
      <c r="E16" s="21" cm="1">
        <f t="array" aca="1" ref="E16" ca="1">INDEX(Master!$H$2:'Master'!$H$4384,MATCH($A16&amp;E$2,Master!$A$2:'Master'!$A$4384&amp;Master!$C$2:'Master'!$C$4384,0))</f>
        <v>97</v>
      </c>
      <c r="F16" s="21" cm="1">
        <f t="array" aca="1" ref="F16" ca="1">INDEX(Master!$H$2:'Master'!$H$4384,MATCH($A16&amp;F$2,Master!$A$2:'Master'!$A$4384&amp;Master!$C$2:'Master'!$C$4384,0))</f>
        <v>99</v>
      </c>
      <c r="G16" s="21" cm="1">
        <f t="array" aca="1" ref="G16" ca="1">INDEX(Master!$H$2:'Master'!$H$4384,MATCH($A16&amp;G$2,Master!$A$2:'Master'!$A$4384&amp;Master!$C$2:'Master'!$C$4384,0))</f>
        <v>97</v>
      </c>
      <c r="H16" s="21" cm="1">
        <f t="array" aca="1" ref="H16" ca="1">INDEX(Master!$H$2:'Master'!$H$4384,MATCH($A16&amp;H$2,Master!$A$2:'Master'!$A$4384&amp;Master!$C$2:'Master'!$C$4384,0))</f>
        <v>99</v>
      </c>
      <c r="I16" s="21" cm="1">
        <f t="array" aca="1" ref="I16" ca="1">INDEX(Master!$H$2:'Master'!$H$4384,MATCH($A16&amp;I$2,Master!$A$2:'Master'!$A$4384&amp;Master!$C$2:'Master'!$C$4384,0))</f>
        <v>99</v>
      </c>
      <c r="J16" s="21" cm="1">
        <f t="array" aca="1" ref="J16" ca="1">INDEX(Master!$H$2:'Master'!$H$4384,MATCH($A16&amp;J$2,Master!$A$2:'Master'!$A$4384&amp;Master!$C$2:'Master'!$C$4384,0))</f>
        <v>96</v>
      </c>
      <c r="K16" s="21" cm="1">
        <f t="array" aca="1" ref="K16" ca="1">INDEX(Master!$H$2:'Master'!$H$4384,MATCH($A16&amp;K$2,Master!$A$2:'Master'!$A$4384&amp;Master!$C$2:'Master'!$C$4384,0))</f>
        <v>97</v>
      </c>
      <c r="L16" s="21" cm="1">
        <f t="array" aca="1" ref="L16" ca="1">INDEX(Master!$H$2:'Master'!$H$4384,MATCH($A16&amp;L$2,Master!$A$2:'Master'!$A$4384&amp;Master!$C$2:'Master'!$C$4384,0))</f>
        <v>97</v>
      </c>
      <c r="M16" s="21" cm="1">
        <f t="array" aca="1" ref="M16" ca="1">INDEX(Master!$H$2:'Master'!$H$4384,MATCH($A16&amp;M$2,Master!$A$2:'Master'!$A$4384&amp;Master!$C$2:'Master'!$C$4384,0))</f>
        <v>96</v>
      </c>
      <c r="N16" s="21" cm="1">
        <f t="array" aca="1" ref="N16" ca="1">INDEX(Master!$H$2:'Master'!$H$4384,MATCH($A16&amp;N$2,Master!$A$2:'Master'!$A$4384&amp;Master!$C$2:'Master'!$C$4384,0))</f>
        <v>97</v>
      </c>
      <c r="O16" s="21" cm="1">
        <f t="array" aca="1" ref="O16" ca="1">INDEX(Master!$H$2:'Master'!$H$4384,MATCH($A16&amp;O$2,Master!$A$2:'Master'!$A$4384&amp;Master!$C$2:'Master'!$C$4384,0))</f>
        <v>97</v>
      </c>
      <c r="P16" s="21" cm="1">
        <f t="array" aca="1" ref="P16" ca="1">INDEX(Master!$H$2:'Master'!$H$4384,MATCH($A16&amp;P$2,Master!$A$2:'Master'!$A$4384&amp;Master!$C$2:'Master'!$C$4384,0))</f>
        <v>97</v>
      </c>
      <c r="Q16" s="21" cm="1">
        <f t="array" aca="1" ref="Q16" ca="1">INDEX(Master!$H$2:'Master'!$H$4384,MATCH($A16&amp;Q$2,Master!$A$2:'Master'!$A$4384&amp;Master!$C$2:'Master'!$C$4384,0))</f>
        <v>98</v>
      </c>
      <c r="R16" s="21" cm="1">
        <f t="array" aca="1" ref="R16" ca="1">INDEX(Master!$H$2:'Master'!$H$4384,MATCH($A16&amp;R$2,Master!$A$2:'Master'!$A$4384&amp;Master!$C$2:'Master'!$C$4384,0))</f>
        <v>99</v>
      </c>
      <c r="S16" s="21" cm="1">
        <f t="array" aca="1" ref="S16" ca="1">INDEX(Master!$H$2:'Master'!$H$4384,MATCH($A16&amp;S$2,Master!$A$2:'Master'!$A$4384&amp;Master!$C$2:'Master'!$C$4384,0))</f>
        <v>99</v>
      </c>
      <c r="T16" s="21" cm="1">
        <f t="array" aca="1" ref="T16" ca="1">INDEX(Master!$H$2:'Master'!$H$4384,MATCH($A16&amp;T$2,Master!$A$2:'Master'!$A$4384&amp;Master!$C$2:'Master'!$C$4384,0))</f>
        <v>98</v>
      </c>
      <c r="U16" s="21" cm="1">
        <f t="array" aca="1" ref="U16" ca="1">INDEX(Master!$H$2:'Master'!$H$4384,MATCH($A16&amp;U$2,Master!$A$2:'Master'!$A$4384&amp;Master!$C$2:'Master'!$C$4384,0))</f>
        <v>99</v>
      </c>
      <c r="V16" s="21" cm="1">
        <f t="array" aca="1" ref="V16" ca="1">INDEX(Master!$H$2:'Master'!$H$4384,MATCH($A16&amp;V$2,Master!$A$2:'Master'!$A$4384&amp;Master!$C$2:'Master'!$C$4384,0))</f>
        <v>97</v>
      </c>
      <c r="W16" s="21" cm="1">
        <f t="array" aca="1" ref="W16" ca="1">INDEX(Master!$H$2:'Master'!$H$4384,MATCH($A16&amp;W$2,Master!$A$2:'Master'!$A$4384&amp;Master!$C$2:'Master'!$C$4384,0))</f>
        <v>98</v>
      </c>
      <c r="X16" s="21" cm="1">
        <f t="array" aca="1" ref="X16" ca="1">INDEX(Master!$H$2:'Master'!$H$4384,MATCH($A16&amp;X$2,Master!$A$2:'Master'!$A$4384&amp;Master!$C$2:'Master'!$C$4384,0))</f>
        <v>99</v>
      </c>
      <c r="Y16" s="21" cm="1">
        <f t="array" aca="1" ref="Y16" ca="1">INDEX(Master!$H$2:'Master'!$H$4384,MATCH($A16&amp;Y$2,Master!$A$2:'Master'!$A$4384&amp;Master!$C$2:'Master'!$C$4384,0))</f>
        <v>99</v>
      </c>
      <c r="Z16" s="21" cm="1">
        <f t="array" aca="1" ref="Z16" ca="1">INDEX(Master!$H$2:'Master'!$H$4384,MATCH($A16&amp;Z$2,Master!$A$2:'Master'!$A$4384&amp;Master!$C$2:'Master'!$C$4384,0))</f>
        <v>97</v>
      </c>
      <c r="AA16" s="21" cm="1">
        <f t="array" aca="1" ref="AA16" ca="1">INDEX(Master!$H$2:'Master'!$H$4384,MATCH($A16&amp;AA$2,Master!$A$2:'Master'!$A$4384&amp;Master!$C$2:'Master'!$C$4384,0))</f>
        <v>97</v>
      </c>
      <c r="AB16" s="21" cm="1">
        <f t="array" aca="1" ref="AB16" ca="1">INDEX(Master!$H$2:'Master'!$H$4384,MATCH($A16&amp;AB$2,Master!$A$2:'Master'!$A$4384&amp;Master!$C$2:'Master'!$C$4384,0))</f>
        <v>98</v>
      </c>
      <c r="AC16" s="21" cm="1">
        <f t="array" aca="1" ref="AC16" ca="1">INDEX(Master!$H$2:'Master'!$H$4384,MATCH($A16&amp;AC$2,Master!$A$2:'Master'!$A$4384&amp;Master!$C$2:'Master'!$C$4384,0))</f>
        <v>97</v>
      </c>
      <c r="AD16" s="21" cm="1">
        <f t="array" aca="1" ref="AD16" ca="1">INDEX(Master!$H$2:'Master'!$H$4384,MATCH($A16&amp;AD$2,Master!$A$2:'Master'!$A$4384&amp;Master!$C$2:'Master'!$C$4384,0))</f>
        <v>98</v>
      </c>
      <c r="AE16" s="21" cm="1">
        <f t="array" aca="1" ref="AE16" ca="1">INDEX(Master!$H$2:'Master'!$H$4384,MATCH($A16&amp;AE$2,Master!$A$2:'Master'!$A$4384&amp;Master!$C$2:'Master'!$C$4384,0))</f>
        <v>99</v>
      </c>
      <c r="AF16" s="21" cm="1">
        <f t="array" aca="1" ref="AF16" ca="1">INDEX(Master!$H$2:'Master'!$H$4384,MATCH($A16&amp;AF$2,Master!$A$2:'Master'!$A$4384&amp;Master!$C$2:'Master'!$C$4384,0))</f>
        <v>99</v>
      </c>
      <c r="AG16" s="21" cm="1">
        <f t="array" aca="1" ref="AG16" ca="1">INDEX(Master!$H$2:'Master'!$H$4384,MATCH($A16&amp;AG$2,Master!$A$2:'Master'!$A$4384&amp;Master!$C$2:'Master'!$C$4384,0))</f>
        <v>99</v>
      </c>
      <c r="AH16" s="21" cm="1">
        <f t="array" aca="1" ref="AH16" ca="1">INDEX(Master!$H$2:'Master'!$H$4384,MATCH($A16&amp;AH$2,Master!$A$2:'Master'!$A$4384&amp;Master!$C$2:'Master'!$C$4384,0))</f>
        <v>99</v>
      </c>
      <c r="AI16" s="21" cm="1">
        <f t="array" aca="1" ref="AI16" ca="1">INDEX(Master!$H$2:'Master'!$H$4384,MATCH($A16&amp;AI$2,Master!$A$2:'Master'!$A$4384&amp;Master!$C$2:'Master'!$C$4384,0))</f>
        <v>99</v>
      </c>
      <c r="AJ16" s="21" cm="1">
        <f t="array" aca="1" ref="AJ16" ca="1">INDEX(Master!$H$2:'Master'!$H$4384,MATCH($A16&amp;AJ$2,Master!$A$2:'Master'!$A$4384&amp;Master!$C$2:'Master'!$C$4384,0))</f>
        <v>99</v>
      </c>
      <c r="AK16" s="21" cm="1">
        <f t="array" aca="1" ref="AK16" ca="1">INDEX(Master!$H$2:'Master'!$H$4384,MATCH($A16&amp;AK$2,Master!$A$2:'Master'!$A$4384&amp;Master!$C$2:'Master'!$C$4384,0))</f>
        <v>99</v>
      </c>
      <c r="AL16" s="21" cm="1">
        <f t="array" aca="1" ref="AL16" ca="1">INDEX(Master!$H$2:'Master'!$H$4384,MATCH($A16&amp;AL$2,Master!$A$2:'Master'!$A$4384&amp;Master!$C$2:'Master'!$C$4384,0))</f>
        <v>99</v>
      </c>
      <c r="AM16" s="21" cm="1">
        <f t="array" aca="1" ref="AM16" ca="1">INDEX(Master!$H$2:'Master'!$H$4384,MATCH($A16&amp;AM$2,Master!$A$2:'Master'!$A$4384&amp;Master!$C$2:'Master'!$C$4384,0))</f>
        <v>99</v>
      </c>
      <c r="AN16" s="21" cm="1">
        <f t="array" aca="1" ref="AN16" ca="1">INDEX(Master!$H$2:'Master'!$H$4384,MATCH($A16&amp;AN$2,Master!$A$2:'Master'!$A$4384&amp;Master!$C$2:'Master'!$C$4384,0))</f>
        <v>99</v>
      </c>
      <c r="AO16" s="21" cm="1">
        <f t="array" aca="1" ref="AO16" ca="1">INDEX(Master!$H$2:'Master'!$H$4384,MATCH($A16&amp;AO$2,Master!$A$2:'Master'!$A$4384&amp;Master!$C$2:'Master'!$C$4384,0))</f>
        <v>98</v>
      </c>
      <c r="AP16" s="21" cm="1">
        <f t="array" aca="1" ref="AP16" ca="1">INDEX(Master!$H$2:'Master'!$H$4384,MATCH($A16&amp;AP$2,Master!$A$2:'Master'!$A$4384&amp;Master!$C$2:'Master'!$C$4384,0))</f>
        <v>97</v>
      </c>
      <c r="AQ16" s="21" cm="1">
        <f t="array" aca="1" ref="AQ16" ca="1">INDEX(Master!$H$2:'Master'!$H$4384,MATCH($A16&amp;AQ$2,Master!$A$2:'Master'!$A$4384&amp;Master!$C$2:'Master'!$C$4384,0))</f>
        <v>98</v>
      </c>
      <c r="AR16" s="21" cm="1">
        <f t="array" aca="1" ref="AR16" ca="1">INDEX(Master!$H$2:'Master'!$H$4384,MATCH($A16&amp;AR$2,Master!$A$2:'Master'!$A$4384&amp;Master!$C$2:'Master'!$C$4384,0))</f>
        <v>98</v>
      </c>
      <c r="AS16" s="21" cm="1">
        <f t="array" aca="1" ref="AS16" ca="1">INDEX(Master!$H$2:'Master'!$H$4384,MATCH($A16&amp;AS$2,Master!$A$2:'Master'!$A$4384&amp;Master!$C$2:'Master'!$C$4384,0))</f>
        <v>99</v>
      </c>
      <c r="AT16" s="21" cm="1">
        <f t="array" aca="1" ref="AT16" ca="1">INDEX(Master!$H$2:'Master'!$H$4384,MATCH($A16&amp;AT$2,Master!$A$2:'Master'!$A$4384&amp;Master!$C$2:'Master'!$C$4384,0))</f>
        <v>99</v>
      </c>
      <c r="AU16" s="21" cm="1">
        <f t="array" aca="1" ref="AU16" ca="1">INDEX(Master!$H$2:'Master'!$H$4384,MATCH($A16&amp;AU$2,Master!$A$2:'Master'!$A$4384&amp;Master!$C$2:'Master'!$C$4384,0))</f>
        <v>99</v>
      </c>
      <c r="AV16" s="21" cm="1">
        <f t="array" aca="1" ref="AV16" ca="1">INDEX(Master!$H$2:'Master'!$H$4384,MATCH($A16&amp;AV$2,Master!$A$2:'Master'!$A$4384&amp;Master!$C$2:'Master'!$C$4384,0))</f>
        <v>97</v>
      </c>
      <c r="AW16" s="21" cm="1">
        <f t="array" aca="1" ref="AW16" ca="1">INDEX(Master!$H$2:'Master'!$H$4384,MATCH($A16&amp;AW$2,Master!$A$2:'Master'!$A$4384&amp;Master!$C$2:'Master'!$C$4384,0))</f>
        <v>99</v>
      </c>
      <c r="AX16" s="21" cm="1">
        <f t="array" aca="1" ref="AX16" ca="1">INDEX(Master!$H$2:'Master'!$H$4384,MATCH($A16&amp;AX$2,Master!$A$2:'Master'!$A$4384&amp;Master!$C$2:'Master'!$C$4384,0))</f>
        <v>99</v>
      </c>
      <c r="AY16" s="21" cm="1">
        <f t="array" aca="1" ref="AY16" ca="1">INDEX(Master!$H$2:'Master'!$H$4384,MATCH($A16&amp;AY$2,Master!$A$2:'Master'!$A$4384&amp;Master!$C$2:'Master'!$C$4384,0))</f>
        <v>99</v>
      </c>
      <c r="AZ16" s="21" cm="1">
        <f t="array" aca="1" ref="AZ16" ca="1">INDEX(Master!$H$2:'Master'!$H$4384,MATCH($A16&amp;AZ$2,Master!$A$2:'Master'!$A$4384&amp;Master!$C$2:'Master'!$C$4384,0))</f>
        <v>98</v>
      </c>
      <c r="BA16" s="21" cm="1">
        <f t="array" aca="1" ref="BA16" ca="1">INDEX(Master!$H$2:'Master'!$H$4384,MATCH($A16&amp;BA$2,Master!$A$2:'Master'!$A$4384&amp;Master!$C$2:'Master'!$C$4384,0))</f>
        <v>99</v>
      </c>
      <c r="BB16" s="21" cm="1">
        <f t="array" aca="1" ref="BB16" ca="1">INDEX(Master!$H$2:'Master'!$H$4384,MATCH($A16&amp;BB$2,Master!$A$2:'Master'!$A$4384&amp;Master!$C$2:'Master'!$C$4384,0))</f>
        <v>99</v>
      </c>
      <c r="BC16" s="21" cm="1">
        <f t="array" aca="1" ref="BC16" ca="1">INDEX(Master!$H$2:'Master'!$H$4384,MATCH($A16&amp;BC$2,Master!$A$2:'Master'!$A$4384&amp;Master!$C$2:'Master'!$C$4384,0))</f>
        <v>99</v>
      </c>
      <c r="BD16" s="21" cm="1">
        <f t="array" aca="1" ref="BD16" ca="1">INDEX(Master!$H$2:'Master'!$H$4384,MATCH($A16&amp;BD$2,Master!$A$2:'Master'!$A$4384&amp;Master!$C$2:'Master'!$C$4384,0))</f>
        <v>99</v>
      </c>
      <c r="BE16" s="21" cm="1">
        <f t="array" aca="1" ref="BE16" ca="1">INDEX(Master!$H$2:'Master'!$H$4384,MATCH($A16&amp;BE$2,Master!$A$2:'Master'!$A$4384&amp;Master!$C$2:'Master'!$C$4384,0))</f>
        <v>99</v>
      </c>
      <c r="BF16" s="21" cm="1">
        <f t="array" aca="1" ref="BF16" ca="1">INDEX(Master!$H$2:'Master'!$H$4384,MATCH($A16&amp;BF$2,Master!$A$2:'Master'!$A$4384&amp;Master!$C$2:'Master'!$C$4384,0))</f>
        <v>99</v>
      </c>
      <c r="BG16" s="21" cm="1">
        <f t="array" aca="1" ref="BG16" ca="1">INDEX(Master!$H$2:'Master'!$H$4384,MATCH($A16&amp;BG$2,Master!$A$2:'Master'!$A$4384&amp;Master!$C$2:'Master'!$C$4384,0))</f>
        <v>97</v>
      </c>
      <c r="BH16" s="21" cm="1">
        <f t="array" aca="1" ref="BH16" ca="1">INDEX(Master!$H$2:'Master'!$H$4384,MATCH($A16&amp;BH$2,Master!$A$2:'Master'!$A$4384&amp;Master!$C$2:'Master'!$C$4384,0))</f>
        <v>99</v>
      </c>
      <c r="BI16" s="21" cm="1">
        <f t="array" aca="1" ref="BI16" ca="1">INDEX(Master!$H$2:'Master'!$H$4384,MATCH($A16&amp;BI$2,Master!$A$2:'Master'!$A$4384&amp;Master!$C$2:'Master'!$C$4384,0))</f>
        <v>98</v>
      </c>
      <c r="BJ16" s="21" cm="1">
        <f t="array" aca="1" ref="BJ16" ca="1">INDEX(Master!$H$2:'Master'!$H$4384,MATCH($A16&amp;BJ$2,Master!$A$2:'Master'!$A$4384&amp;Master!$C$2:'Master'!$C$4384,0))</f>
        <v>99</v>
      </c>
      <c r="BK16" s="21" cm="1">
        <f t="array" aca="1" ref="BK16" ca="1">INDEX(Master!$H$2:'Master'!$H$4384,MATCH($A16&amp;BK$2,Master!$A$2:'Master'!$A$4384&amp;Master!$C$2:'Master'!$C$4384,0))</f>
        <v>98</v>
      </c>
      <c r="BL16" s="21" cm="1">
        <f t="array" aca="1" ref="BL16" ca="1">INDEX(Master!$H$2:'Master'!$H$4384,MATCH($A16&amp;BL$2,Master!$A$2:'Master'!$A$4384&amp;Master!$C$2:'Master'!$C$4384,0))</f>
        <v>98</v>
      </c>
      <c r="BM16" s="21" cm="1">
        <f t="array" aca="1" ref="BM16" ca="1">INDEX(Master!$H$2:'Master'!$H$4384,MATCH($A16&amp;BM$2,Master!$A$2:'Master'!$A$4384&amp;Master!$C$2:'Master'!$C$4384,0))</f>
        <v>98</v>
      </c>
      <c r="BN16" s="21" cm="1">
        <f t="array" aca="1" ref="BN16" ca="1">INDEX(Master!$H$2:'Master'!$H$4384,MATCH($A16&amp;BN$2,Master!$A$2:'Master'!$A$4384&amp;Master!$C$2:'Master'!$C$4384,0))</f>
        <v>99</v>
      </c>
      <c r="BO16" s="21" cm="1">
        <f t="array" aca="1" ref="BO16" ca="1">INDEX(Master!$H$2:'Master'!$H$4384,MATCH($A16&amp;BO$2,Master!$A$2:'Master'!$A$4384&amp;Master!$C$2:'Master'!$C$4384,0))</f>
        <v>99</v>
      </c>
      <c r="BP16" s="21" cm="1">
        <f t="array" aca="1" ref="BP16" ca="1">INDEX(Master!$H$2:'Master'!$H$4384,MATCH($A16&amp;BP$2,Master!$A$2:'Master'!$A$4384&amp;Master!$C$2:'Master'!$C$4384,0))</f>
        <v>99</v>
      </c>
      <c r="BQ16" s="21" cm="1">
        <f t="array" aca="1" ref="BQ16" ca="1">INDEX(Master!$H$2:'Master'!$H$4384,MATCH($A16&amp;BQ$2,Master!$A$2:'Master'!$A$4384&amp;Master!$C$2:'Master'!$C$4384,0))</f>
        <v>98</v>
      </c>
      <c r="BR16" s="21" cm="1">
        <f t="array" aca="1" ref="BR16" ca="1">INDEX(Master!$H$2:'Master'!$H$4384,MATCH($A16&amp;BR$2,Master!$A$2:'Master'!$A$4384&amp;Master!$C$2:'Master'!$C$4384,0))</f>
        <v>99</v>
      </c>
      <c r="BS16" s="21" cm="1">
        <f t="array" aca="1" ref="BS16" ca="1">INDEX(Master!$H$2:'Master'!$H$4384,MATCH($A16&amp;BS$2,Master!$A$2:'Master'!$A$4384&amp;Master!$C$2:'Master'!$C$4384,0))</f>
        <v>99</v>
      </c>
      <c r="BT16" s="21" cm="1">
        <f t="array" aca="1" ref="BT16" ca="1">INDEX(Master!$H$2:'Master'!$H$4384,MATCH($A16&amp;BT$2,Master!$A$2:'Master'!$A$4384&amp;Master!$C$2:'Master'!$C$4384,0))</f>
        <v>99</v>
      </c>
      <c r="BU16" s="21" cm="1">
        <f t="array" aca="1" ref="BU16" ca="1">INDEX(Master!$H$2:'Master'!$H$4384,MATCH($A16&amp;BU$2,Master!$A$2:'Master'!$A$4384&amp;Master!$C$2:'Master'!$C$4384,0))</f>
        <v>99</v>
      </c>
      <c r="BV16" s="21" cm="1">
        <f t="array" aca="1" ref="BV16" ca="1">INDEX(Master!$H$2:'Master'!$H$4384,MATCH($A16&amp;BV$2,Master!$A$2:'Master'!$A$4384&amp;Master!$C$2:'Master'!$C$4384,0))</f>
        <v>97</v>
      </c>
      <c r="BW16" s="21" cm="1">
        <f t="array" aca="1" ref="BW16" ca="1">INDEX(Master!$H$2:'Master'!$H$4384,MATCH($A16&amp;BW$2,Master!$A$2:'Master'!$A$4384&amp;Master!$C$2:'Master'!$C$4384,0))</f>
        <v>99</v>
      </c>
      <c r="BX16" s="21" cm="1">
        <f t="array" aca="1" ref="BX16" ca="1">INDEX(Master!$H$2:'Master'!$H$4384,MATCH($A16&amp;BX$2,Master!$A$2:'Master'!$A$4384&amp;Master!$C$2:'Master'!$C$4384,0))</f>
        <v>97</v>
      </c>
      <c r="BY16" s="21" cm="1">
        <f t="array" aca="1" ref="BY16" ca="1">INDEX(Master!$H$2:'Master'!$H$4384,MATCH($A16&amp;BY$2,Master!$A$2:'Master'!$A$4384&amp;Master!$C$2:'Master'!$C$4384,0))</f>
        <v>99</v>
      </c>
      <c r="BZ16" s="21" cm="1">
        <f t="array" aca="1" ref="BZ16" ca="1">INDEX(Master!$H$2:'Master'!$H$4384,MATCH($A16&amp;BZ$2,Master!$A$2:'Master'!$A$4384&amp;Master!$C$2:'Master'!$C$4384,0))</f>
        <v>98</v>
      </c>
      <c r="CA16" s="21" cm="1">
        <f t="array" aca="1" ref="CA16" ca="1">INDEX(Master!$H$2:'Master'!$H$4384,MATCH($A16&amp;CA$2,Master!$A$2:'Master'!$A$4384&amp;Master!$C$2:'Master'!$C$4384,0))</f>
        <v>99</v>
      </c>
      <c r="CB16" s="21" cm="1">
        <f t="array" aca="1" ref="CB16" ca="1">INDEX(Master!$H$2:'Master'!$H$4384,MATCH($A16&amp;CB$2,Master!$A$2:'Master'!$A$4384&amp;Master!$C$2:'Master'!$C$4384,0))</f>
        <v>98</v>
      </c>
      <c r="CC16" s="21" cm="1">
        <f t="array" aca="1" ref="CC16" ca="1">INDEX(Master!$H$2:'Master'!$H$4384,MATCH($A16&amp;CC$2,Master!$A$2:'Master'!$A$4384&amp;Master!$C$2:'Master'!$C$4384,0))</f>
        <v>98</v>
      </c>
      <c r="CD16" s="21" cm="1">
        <f t="array" aca="1" ref="CD16" ca="1">INDEX(Master!$H$2:'Master'!$H$4384,MATCH($A16&amp;CD$2,Master!$A$2:'Master'!$A$4384&amp;Master!$C$2:'Master'!$C$4384,0))</f>
        <v>98</v>
      </c>
      <c r="CE16" s="21" cm="1">
        <f t="array" aca="1" ref="CE16" ca="1">INDEX(Master!$H$2:'Master'!$H$4384,MATCH($A16&amp;CE$2,Master!$A$2:'Master'!$A$4384&amp;Master!$C$2:'Master'!$C$4384,0))</f>
        <v>98</v>
      </c>
      <c r="CF16" s="21" cm="1">
        <f t="array" aca="1" ref="CF16" ca="1">INDEX(Master!$H$2:'Master'!$H$4384,MATCH($A16&amp;CF$2,Master!$A$2:'Master'!$A$4384&amp;Master!$C$2:'Master'!$C$4384,0))</f>
        <v>98</v>
      </c>
      <c r="CG16" s="21" cm="1">
        <f t="array" aca="1" ref="CG16" ca="1">INDEX(Master!$H$2:'Master'!$H$4384,MATCH($A16&amp;CG$2,Master!$A$2:'Master'!$A$4384&amp;Master!$C$2:'Master'!$C$4384,0))</f>
        <v>98</v>
      </c>
      <c r="CH16" s="21" cm="1">
        <f t="array" aca="1" ref="CH16" ca="1">INDEX(Master!$H$2:'Master'!$H$4384,MATCH($A16&amp;CH$2,Master!$A$2:'Master'!$A$4384&amp;Master!$C$2:'Master'!$C$4384,0))</f>
        <v>98</v>
      </c>
      <c r="CI16" s="21" cm="1">
        <f t="array" aca="1" ref="CI16" ca="1">INDEX(Master!$H$2:'Master'!$H$4384,MATCH($A16&amp;CI$2,Master!$A$2:'Master'!$A$4384&amp;Master!$C$2:'Master'!$C$4384,0))</f>
        <v>98</v>
      </c>
      <c r="CJ16" s="21" cm="1">
        <f t="array" aca="1" ref="CJ16" ca="1">INDEX(Master!$H$2:'Master'!$H$4384,MATCH($A16&amp;CJ$2,Master!$A$2:'Master'!$A$4384&amp;Master!$C$2:'Master'!$C$4384,0))</f>
        <v>99</v>
      </c>
      <c r="CK16" s="21" cm="1">
        <f t="array" aca="1" ref="CK16" ca="1">INDEX(Master!$H$2:'Master'!$H$4384,MATCH($A16&amp;CK$2,Master!$A$2:'Master'!$A$4384&amp;Master!$C$2:'Master'!$C$4384,0))</f>
        <v>99</v>
      </c>
      <c r="CL16" s="21" cm="1">
        <f t="array" aca="1" ref="CL16" ca="1">INDEX(Master!$H$2:'Master'!$H$4384,MATCH($A16&amp;CL$2,Master!$A$2:'Master'!$A$4384&amp;Master!$C$2:'Master'!$C$4384,0))</f>
        <v>99</v>
      </c>
      <c r="CM16" s="21" cm="1">
        <f t="array" aca="1" ref="CM16" ca="1">INDEX(Master!$H$2:'Master'!$H$4384,MATCH($A16&amp;CM$2,Master!$A$2:'Master'!$A$4384&amp;Master!$C$2:'Master'!$C$4384,0))</f>
        <v>99</v>
      </c>
      <c r="CN16" s="21" cm="1">
        <f t="array" aca="1" ref="CN16" ca="1">INDEX(Master!$H$2:'Master'!$H$4384,MATCH($A16&amp;CN$2,Master!$A$2:'Master'!$A$4384&amp;Master!$C$2:'Master'!$C$4384,0))</f>
        <v>97</v>
      </c>
      <c r="CO16" s="21" cm="1">
        <f t="array" aca="1" ref="CO16" ca="1">INDEX(Master!$H$2:'Master'!$H$4384,MATCH($A16&amp;CO$2,Master!$A$2:'Master'!$A$4384&amp;Master!$C$2:'Master'!$C$4384,0))</f>
        <v>97</v>
      </c>
      <c r="CP16" s="21" cm="1">
        <f t="array" aca="1" ref="CP16" ca="1">INDEX(Master!$H$2:'Master'!$H$4384,MATCH($A16&amp;CP$2,Master!$A$2:'Master'!$A$4384&amp;Master!$C$2:'Master'!$C$4384,0))</f>
        <v>97</v>
      </c>
      <c r="CQ16" s="21" cm="1">
        <f t="array" aca="1" ref="CQ16" ca="1">INDEX(Master!$H$2:'Master'!$H$4384,MATCH($A16&amp;CQ$2,Master!$A$2:'Master'!$A$4384&amp;Master!$C$2:'Master'!$C$4384,0))</f>
        <v>99</v>
      </c>
      <c r="CR16" s="21" cm="1">
        <f t="array" aca="1" ref="CR16" ca="1">INDEX(Master!$H$2:'Master'!$H$4384,MATCH($A16&amp;CR$2,Master!$A$2:'Master'!$A$4384&amp;Master!$C$2:'Master'!$C$4384,0))</f>
        <v>99</v>
      </c>
      <c r="CS16" s="21" cm="1">
        <f t="array" aca="1" ref="CS16" ca="1">INDEX(Master!$H$2:'Master'!$H$4384,MATCH($A16&amp;CS$2,Master!$A$2:'Master'!$A$4384&amp;Master!$C$2:'Master'!$C$4384,0))</f>
        <v>98</v>
      </c>
    </row>
    <row r="17" spans="1:97">
      <c r="A17" s="22" t="str">
        <f>VLOOKUP(Staff!$A13,Staff!$A$1:A$73,1,FALSE)</f>
        <v>Jack Frost</v>
      </c>
      <c r="B17" s="21" cm="1">
        <f t="array" aca="1" ref="B17" ca="1">INDEX(Master!$H$2:'Master'!$H$4384,MATCH($A17&amp;B$2,Master!$A$2:'Master'!$A$4384&amp;Master!$C$2:'Master'!$C$4384,0))</f>
        <v>1</v>
      </c>
      <c r="C17" s="21" cm="1">
        <f t="array" aca="1" ref="C17" ca="1">INDEX(Master!$H$2:'Master'!$H$4384,MATCH($A17&amp;C$2,Master!$A$2:'Master'!$A$4384&amp;Master!$C$2:'Master'!$C$4384,0))</f>
        <v>0</v>
      </c>
      <c r="D17" s="21" cm="1">
        <f t="array" aca="1" ref="D17" ca="1">INDEX(Master!$H$2:'Master'!$H$4384,MATCH($A17&amp;D$2,Master!$A$2:'Master'!$A$4384&amp;Master!$C$2:'Master'!$C$4384,0))</f>
        <v>0</v>
      </c>
      <c r="E17" s="21" cm="1">
        <f t="array" aca="1" ref="E17" ca="1">INDEX(Master!$H$2:'Master'!$H$4384,MATCH($A17&amp;E$2,Master!$A$2:'Master'!$A$4384&amp;Master!$C$2:'Master'!$C$4384,0))</f>
        <v>1</v>
      </c>
      <c r="F17" s="21" cm="1">
        <f t="array" aca="1" ref="F17" ca="1">INDEX(Master!$H$2:'Master'!$H$4384,MATCH($A17&amp;F$2,Master!$A$2:'Master'!$A$4384&amp;Master!$C$2:'Master'!$C$4384,0))</f>
        <v>1</v>
      </c>
      <c r="G17" s="21" cm="1">
        <f t="array" aca="1" ref="G17" ca="1">INDEX(Master!$H$2:'Master'!$H$4384,MATCH($A17&amp;G$2,Master!$A$2:'Master'!$A$4384&amp;Master!$C$2:'Master'!$C$4384,0))</f>
        <v>1</v>
      </c>
      <c r="H17" s="21" cm="1">
        <f t="array" aca="1" ref="H17" ca="1">INDEX(Master!$H$2:'Master'!$H$4384,MATCH($A17&amp;H$2,Master!$A$2:'Master'!$A$4384&amp;Master!$C$2:'Master'!$C$4384,0))</f>
        <v>0</v>
      </c>
      <c r="I17" s="21" cm="1">
        <f t="array" aca="1" ref="I17" ca="1">INDEX(Master!$H$2:'Master'!$H$4384,MATCH($A17&amp;I$2,Master!$A$2:'Master'!$A$4384&amp;Master!$C$2:'Master'!$C$4384,0))</f>
        <v>0</v>
      </c>
      <c r="J17" s="21" cm="1">
        <f t="array" aca="1" ref="J17" ca="1">INDEX(Master!$H$2:'Master'!$H$4384,MATCH($A17&amp;J$2,Master!$A$2:'Master'!$A$4384&amp;Master!$C$2:'Master'!$C$4384,0))</f>
        <v>0</v>
      </c>
      <c r="K17" s="21" cm="1">
        <f t="array" aca="1" ref="K17" ca="1">INDEX(Master!$H$2:'Master'!$H$4384,MATCH($A17&amp;K$2,Master!$A$2:'Master'!$A$4384&amp;Master!$C$2:'Master'!$C$4384,0))</f>
        <v>-1</v>
      </c>
      <c r="L17" s="21" cm="1">
        <f t="array" aca="1" ref="L17" ca="1">INDEX(Master!$H$2:'Master'!$H$4384,MATCH($A17&amp;L$2,Master!$A$2:'Master'!$A$4384&amp;Master!$C$2:'Master'!$C$4384,0))</f>
        <v>-2</v>
      </c>
      <c r="M17" s="21" cm="1">
        <f t="array" aca="1" ref="M17" ca="1">INDEX(Master!$H$2:'Master'!$H$4384,MATCH($A17&amp;M$2,Master!$A$2:'Master'!$A$4384&amp;Master!$C$2:'Master'!$C$4384,0))</f>
        <v>-2</v>
      </c>
      <c r="N17" s="21" cm="1">
        <f t="array" aca="1" ref="N17" ca="1">INDEX(Master!$H$2:'Master'!$H$4384,MATCH($A17&amp;N$2,Master!$A$2:'Master'!$A$4384&amp;Master!$C$2:'Master'!$C$4384,0))</f>
        <v>-1</v>
      </c>
      <c r="O17" s="21" cm="1">
        <f t="array" aca="1" ref="O17" ca="1">INDEX(Master!$H$2:'Master'!$H$4384,MATCH($A17&amp;O$2,Master!$A$2:'Master'!$A$4384&amp;Master!$C$2:'Master'!$C$4384,0))</f>
        <v>0</v>
      </c>
      <c r="P17" s="21" cm="1">
        <f t="array" aca="1" ref="P17" ca="1">INDEX(Master!$H$2:'Master'!$H$4384,MATCH($A17&amp;P$2,Master!$A$2:'Master'!$A$4384&amp;Master!$C$2:'Master'!$C$4384,0))</f>
        <v>0</v>
      </c>
      <c r="Q17" s="21" cm="1">
        <f t="array" aca="1" ref="Q17" ca="1">INDEX(Master!$H$2:'Master'!$H$4384,MATCH($A17&amp;Q$2,Master!$A$2:'Master'!$A$4384&amp;Master!$C$2:'Master'!$C$4384,0))</f>
        <v>0</v>
      </c>
      <c r="R17" s="21" cm="1">
        <f t="array" aca="1" ref="R17" ca="1">INDEX(Master!$H$2:'Master'!$H$4384,MATCH($A17&amp;R$2,Master!$A$2:'Master'!$A$4384&amp;Master!$C$2:'Master'!$C$4384,0))</f>
        <v>-1</v>
      </c>
      <c r="S17" s="21" cm="1">
        <f t="array" aca="1" ref="S17" ca="1">INDEX(Master!$H$2:'Master'!$H$4384,MATCH($A17&amp;S$2,Master!$A$2:'Master'!$A$4384&amp;Master!$C$2:'Master'!$C$4384,0))</f>
        <v>-1</v>
      </c>
      <c r="T17" s="21" cm="1">
        <f t="array" aca="1" ref="T17" ca="1">INDEX(Master!$H$2:'Master'!$H$4384,MATCH($A17&amp;T$2,Master!$A$2:'Master'!$A$4384&amp;Master!$C$2:'Master'!$C$4384,0))</f>
        <v>0</v>
      </c>
      <c r="U17" s="21" cm="1">
        <f t="array" aca="1" ref="U17" ca="1">INDEX(Master!$H$2:'Master'!$H$4384,MATCH($A17&amp;U$2,Master!$A$2:'Master'!$A$4384&amp;Master!$C$2:'Master'!$C$4384,0))</f>
        <v>1</v>
      </c>
      <c r="V17" s="21" cm="1">
        <f t="array" aca="1" ref="V17" ca="1">INDEX(Master!$H$2:'Master'!$H$4384,MATCH($A17&amp;V$2,Master!$A$2:'Master'!$A$4384&amp;Master!$C$2:'Master'!$C$4384,0))</f>
        <v>1</v>
      </c>
      <c r="W17" s="21" cm="1">
        <f t="array" aca="1" ref="W17" ca="1">INDEX(Master!$H$2:'Master'!$H$4384,MATCH($A17&amp;W$2,Master!$A$2:'Master'!$A$4384&amp;Master!$C$2:'Master'!$C$4384,0))</f>
        <v>1</v>
      </c>
      <c r="X17" s="21" cm="1">
        <f t="array" aca="1" ref="X17" ca="1">INDEX(Master!$H$2:'Master'!$H$4384,MATCH($A17&amp;X$2,Master!$A$2:'Master'!$A$4384&amp;Master!$C$2:'Master'!$C$4384,0))</f>
        <v>0</v>
      </c>
      <c r="Y17" s="21" cm="1">
        <f t="array" aca="1" ref="Y17" ca="1">INDEX(Master!$H$2:'Master'!$H$4384,MATCH($A17&amp;Y$2,Master!$A$2:'Master'!$A$4384&amp;Master!$C$2:'Master'!$C$4384,0))</f>
        <v>-1</v>
      </c>
      <c r="Z17" s="21" cm="1">
        <f t="array" aca="1" ref="Z17" ca="1">INDEX(Master!$H$2:'Master'!$H$4384,MATCH($A17&amp;Z$2,Master!$A$2:'Master'!$A$4384&amp;Master!$C$2:'Master'!$C$4384,0))</f>
        <v>-1</v>
      </c>
      <c r="AA17" s="21" cm="1">
        <f t="array" aca="1" ref="AA17" ca="1">INDEX(Master!$H$2:'Master'!$H$4384,MATCH($A17&amp;AA$2,Master!$A$2:'Master'!$A$4384&amp;Master!$C$2:'Master'!$C$4384,0))</f>
        <v>-1</v>
      </c>
      <c r="AB17" s="21" cm="1">
        <f t="array" aca="1" ref="AB17" ca="1">INDEX(Master!$H$2:'Master'!$H$4384,MATCH($A17&amp;AB$2,Master!$A$2:'Master'!$A$4384&amp;Master!$C$2:'Master'!$C$4384,0))</f>
        <v>0</v>
      </c>
      <c r="AC17" s="21" cm="1">
        <f t="array" aca="1" ref="AC17" ca="1">INDEX(Master!$H$2:'Master'!$H$4384,MATCH($A17&amp;AC$2,Master!$A$2:'Master'!$A$4384&amp;Master!$C$2:'Master'!$C$4384,0))</f>
        <v>0</v>
      </c>
      <c r="AD17" s="21" cm="1">
        <f t="array" aca="1" ref="AD17" ca="1">INDEX(Master!$H$2:'Master'!$H$4384,MATCH($A17&amp;AD$2,Master!$A$2:'Master'!$A$4384&amp;Master!$C$2:'Master'!$C$4384,0))</f>
        <v>0</v>
      </c>
      <c r="AE17" s="21" cm="1">
        <f t="array" aca="1" ref="AE17" ca="1">INDEX(Master!$H$2:'Master'!$H$4384,MATCH($A17&amp;AE$2,Master!$A$2:'Master'!$A$4384&amp;Master!$C$2:'Master'!$C$4384,0))</f>
        <v>1</v>
      </c>
      <c r="AF17" s="21" cm="1">
        <f t="array" aca="1" ref="AF17" ca="1">INDEX(Master!$H$2:'Master'!$H$4384,MATCH($A17&amp;AF$2,Master!$A$2:'Master'!$A$4384&amp;Master!$C$2:'Master'!$C$4384,0))</f>
        <v>2</v>
      </c>
      <c r="AG17" s="21" cm="1">
        <f t="array" aca="1" ref="AG17" ca="1">INDEX(Master!$H$2:'Master'!$H$4384,MATCH($A17&amp;AG$2,Master!$A$2:'Master'!$A$4384&amp;Master!$C$2:'Master'!$C$4384,0))</f>
        <v>1</v>
      </c>
      <c r="AH17" s="21" cm="1">
        <f t="array" aca="1" ref="AH17" ca="1">INDEX(Master!$H$2:'Master'!$H$4384,MATCH($A17&amp;AH$2,Master!$A$2:'Master'!$A$4384&amp;Master!$C$2:'Master'!$C$4384,0))</f>
        <v>1</v>
      </c>
      <c r="AI17" s="21" cm="1">
        <f t="array" aca="1" ref="AI17" ca="1">INDEX(Master!$H$2:'Master'!$H$4384,MATCH($A17&amp;AI$2,Master!$A$2:'Master'!$A$4384&amp;Master!$C$2:'Master'!$C$4384,0))</f>
        <v>-1</v>
      </c>
      <c r="AJ17" s="21" cm="1">
        <f t="array" aca="1" ref="AJ17" ca="1">INDEX(Master!$H$2:'Master'!$H$4384,MATCH($A17&amp;AJ$2,Master!$A$2:'Master'!$A$4384&amp;Master!$C$2:'Master'!$C$4384,0))</f>
        <v>0</v>
      </c>
      <c r="AK17" s="21" cm="1">
        <f t="array" aca="1" ref="AK17" ca="1">INDEX(Master!$H$2:'Master'!$H$4384,MATCH($A17&amp;AK$2,Master!$A$2:'Master'!$A$4384&amp;Master!$C$2:'Master'!$C$4384,0))</f>
        <v>-2</v>
      </c>
      <c r="AL17" s="21" cm="1">
        <f t="array" aca="1" ref="AL17" ca="1">INDEX(Master!$H$2:'Master'!$H$4384,MATCH($A17&amp;AL$2,Master!$A$2:'Master'!$A$4384&amp;Master!$C$2:'Master'!$C$4384,0))</f>
        <v>1</v>
      </c>
      <c r="AM17" s="21" cm="1">
        <f t="array" aca="1" ref="AM17" ca="1">INDEX(Master!$H$2:'Master'!$H$4384,MATCH($A17&amp;AM$2,Master!$A$2:'Master'!$A$4384&amp;Master!$C$2:'Master'!$C$4384,0))</f>
        <v>2</v>
      </c>
      <c r="AN17" s="21" cm="1">
        <f t="array" aca="1" ref="AN17" ca="1">INDEX(Master!$H$2:'Master'!$H$4384,MATCH($A17&amp;AN$2,Master!$A$2:'Master'!$A$4384&amp;Master!$C$2:'Master'!$C$4384,0))</f>
        <v>1</v>
      </c>
      <c r="AO17" s="21" cm="1">
        <f t="array" aca="1" ref="AO17" ca="1">INDEX(Master!$H$2:'Master'!$H$4384,MATCH($A17&amp;AO$2,Master!$A$2:'Master'!$A$4384&amp;Master!$C$2:'Master'!$C$4384,0))</f>
        <v>1</v>
      </c>
      <c r="AP17" s="21" cm="1">
        <f t="array" aca="1" ref="AP17" ca="1">INDEX(Master!$H$2:'Master'!$H$4384,MATCH($A17&amp;AP$2,Master!$A$2:'Master'!$A$4384&amp;Master!$C$2:'Master'!$C$4384,0))</f>
        <v>1</v>
      </c>
      <c r="AQ17" s="21" cm="1">
        <f t="array" aca="1" ref="AQ17" ca="1">INDEX(Master!$H$2:'Master'!$H$4384,MATCH($A17&amp;AQ$2,Master!$A$2:'Master'!$A$4384&amp;Master!$C$2:'Master'!$C$4384,0))</f>
        <v>-1</v>
      </c>
      <c r="AR17" s="21" cm="1">
        <f t="array" aca="1" ref="AR17" ca="1">INDEX(Master!$H$2:'Master'!$H$4384,MATCH($A17&amp;AR$2,Master!$A$2:'Master'!$A$4384&amp;Master!$C$2:'Master'!$C$4384,0))</f>
        <v>-1</v>
      </c>
      <c r="AS17" s="21" cm="1">
        <f t="array" aca="1" ref="AS17" ca="1">INDEX(Master!$H$2:'Master'!$H$4384,MATCH($A17&amp;AS$2,Master!$A$2:'Master'!$A$4384&amp;Master!$C$2:'Master'!$C$4384,0))</f>
        <v>-2</v>
      </c>
      <c r="AT17" s="21" cm="1">
        <f t="array" aca="1" ref="AT17" ca="1">INDEX(Master!$H$2:'Master'!$H$4384,MATCH($A17&amp;AT$2,Master!$A$2:'Master'!$A$4384&amp;Master!$C$2:'Master'!$C$4384,0))</f>
        <v>-1</v>
      </c>
      <c r="AU17" s="21" cm="1">
        <f t="array" aca="1" ref="AU17" ca="1">INDEX(Master!$H$2:'Master'!$H$4384,MATCH($A17&amp;AU$2,Master!$A$2:'Master'!$A$4384&amp;Master!$C$2:'Master'!$C$4384,0))</f>
        <v>-1</v>
      </c>
      <c r="AV17" s="21" cm="1">
        <f t="array" aca="1" ref="AV17" ca="1">INDEX(Master!$H$2:'Master'!$H$4384,MATCH($A17&amp;AV$2,Master!$A$2:'Master'!$A$4384&amp;Master!$C$2:'Master'!$C$4384,0))</f>
        <v>-1</v>
      </c>
      <c r="AW17" s="21" cm="1">
        <f t="array" aca="1" ref="AW17" ca="1">INDEX(Master!$H$2:'Master'!$H$4384,MATCH($A17&amp;AW$2,Master!$A$2:'Master'!$A$4384&amp;Master!$C$2:'Master'!$C$4384,0))</f>
        <v>2</v>
      </c>
      <c r="AX17" s="21" cm="1">
        <f t="array" aca="1" ref="AX17" ca="1">INDEX(Master!$H$2:'Master'!$H$4384,MATCH($A17&amp;AX$2,Master!$A$2:'Master'!$A$4384&amp;Master!$C$2:'Master'!$C$4384,0))</f>
        <v>3</v>
      </c>
      <c r="AY17" s="21" cm="1">
        <f t="array" aca="1" ref="AY17" ca="1">INDEX(Master!$H$2:'Master'!$H$4384,MATCH($A17&amp;AY$2,Master!$A$2:'Master'!$A$4384&amp;Master!$C$2:'Master'!$C$4384,0))</f>
        <v>1</v>
      </c>
      <c r="AZ17" s="21" cm="1">
        <f t="array" aca="1" ref="AZ17" ca="1">INDEX(Master!$H$2:'Master'!$H$4384,MATCH($A17&amp;AZ$2,Master!$A$2:'Master'!$A$4384&amp;Master!$C$2:'Master'!$C$4384,0))</f>
        <v>-1</v>
      </c>
      <c r="BA17" s="21" cm="1">
        <f t="array" aca="1" ref="BA17" ca="1">INDEX(Master!$H$2:'Master'!$H$4384,MATCH($A17&amp;BA$2,Master!$A$2:'Master'!$A$4384&amp;Master!$C$2:'Master'!$C$4384,0))</f>
        <v>1</v>
      </c>
      <c r="BB17" s="21" cm="1">
        <f t="array" aca="1" ref="BB17" ca="1">INDEX(Master!$H$2:'Master'!$H$4384,MATCH($A17&amp;BB$2,Master!$A$2:'Master'!$A$4384&amp;Master!$C$2:'Master'!$C$4384,0))</f>
        <v>1</v>
      </c>
      <c r="BC17" s="21" cm="1">
        <f t="array" aca="1" ref="BC17" ca="1">INDEX(Master!$H$2:'Master'!$H$4384,MATCH($A17&amp;BC$2,Master!$A$2:'Master'!$A$4384&amp;Master!$C$2:'Master'!$C$4384,0))</f>
        <v>2</v>
      </c>
      <c r="BD17" s="21" cm="1">
        <f t="array" aca="1" ref="BD17" ca="1">INDEX(Master!$H$2:'Master'!$H$4384,MATCH($A17&amp;BD$2,Master!$A$2:'Master'!$A$4384&amp;Master!$C$2:'Master'!$C$4384,0))</f>
        <v>2</v>
      </c>
      <c r="BE17" s="21" cm="1">
        <f t="array" aca="1" ref="BE17" ca="1">INDEX(Master!$H$2:'Master'!$H$4384,MATCH($A17&amp;BE$2,Master!$A$2:'Master'!$A$4384&amp;Master!$C$2:'Master'!$C$4384,0))</f>
        <v>0</v>
      </c>
      <c r="BF17" s="21" cm="1">
        <f t="array" aca="1" ref="BF17" ca="1">INDEX(Master!$H$2:'Master'!$H$4384,MATCH($A17&amp;BF$2,Master!$A$2:'Master'!$A$4384&amp;Master!$C$2:'Master'!$C$4384,0))</f>
        <v>-1</v>
      </c>
      <c r="BG17" s="21" cm="1">
        <f t="array" aca="1" ref="BG17" ca="1">INDEX(Master!$H$2:'Master'!$H$4384,MATCH($A17&amp;BG$2,Master!$A$2:'Master'!$A$4384&amp;Master!$C$2:'Master'!$C$4384,0))</f>
        <v>-2</v>
      </c>
      <c r="BH17" s="21" cm="1">
        <f t="array" aca="1" ref="BH17" ca="1">INDEX(Master!$H$2:'Master'!$H$4384,MATCH($A17&amp;BH$2,Master!$A$2:'Master'!$A$4384&amp;Master!$C$2:'Master'!$C$4384,0))</f>
        <v>0</v>
      </c>
      <c r="BI17" s="21" cm="1">
        <f t="array" aca="1" ref="BI17" ca="1">INDEX(Master!$H$2:'Master'!$H$4384,MATCH($A17&amp;BI$2,Master!$A$2:'Master'!$A$4384&amp;Master!$C$2:'Master'!$C$4384,0))</f>
        <v>0</v>
      </c>
      <c r="BJ17" s="21" cm="1">
        <f t="array" aca="1" ref="BJ17" ca="1">INDEX(Master!$H$2:'Master'!$H$4384,MATCH($A17&amp;BJ$2,Master!$A$2:'Master'!$A$4384&amp;Master!$C$2:'Master'!$C$4384,0))</f>
        <v>-1</v>
      </c>
      <c r="BK17" s="21" cm="1">
        <f t="array" aca="1" ref="BK17" ca="1">INDEX(Master!$H$2:'Master'!$H$4384,MATCH($A17&amp;BK$2,Master!$A$2:'Master'!$A$4384&amp;Master!$C$2:'Master'!$C$4384,0))</f>
        <v>1</v>
      </c>
      <c r="BL17" s="21" cm="1">
        <f t="array" aca="1" ref="BL17" ca="1">INDEX(Master!$H$2:'Master'!$H$4384,MATCH($A17&amp;BL$2,Master!$A$2:'Master'!$A$4384&amp;Master!$C$2:'Master'!$C$4384,0))</f>
        <v>1</v>
      </c>
      <c r="BM17" s="21" cm="1">
        <f t="array" aca="1" ref="BM17" ca="1">INDEX(Master!$H$2:'Master'!$H$4384,MATCH($A17&amp;BM$2,Master!$A$2:'Master'!$A$4384&amp;Master!$C$2:'Master'!$C$4384,0))</f>
        <v>1</v>
      </c>
      <c r="BN17" s="21" cm="1">
        <f t="array" aca="1" ref="BN17" ca="1">INDEX(Master!$H$2:'Master'!$H$4384,MATCH($A17&amp;BN$2,Master!$A$2:'Master'!$A$4384&amp;Master!$C$2:'Master'!$C$4384,0))</f>
        <v>-2</v>
      </c>
      <c r="BO17" s="21" cm="1">
        <f t="array" aca="1" ref="BO17" ca="1">INDEX(Master!$H$2:'Master'!$H$4384,MATCH($A17&amp;BO$2,Master!$A$2:'Master'!$A$4384&amp;Master!$C$2:'Master'!$C$4384,0))</f>
        <v>-2</v>
      </c>
      <c r="BP17" s="21" cm="1">
        <f t="array" aca="1" ref="BP17" ca="1">INDEX(Master!$H$2:'Master'!$H$4384,MATCH($A17&amp;BP$2,Master!$A$2:'Master'!$A$4384&amp;Master!$C$2:'Master'!$C$4384,0))</f>
        <v>-2</v>
      </c>
      <c r="BQ17" s="21" cm="1">
        <f t="array" aca="1" ref="BQ17" ca="1">INDEX(Master!$H$2:'Master'!$H$4384,MATCH($A17&amp;BQ$2,Master!$A$2:'Master'!$A$4384&amp;Master!$C$2:'Master'!$C$4384,0))</f>
        <v>-2</v>
      </c>
      <c r="BR17" s="21" cm="1">
        <f t="array" aca="1" ref="BR17" ca="1">INDEX(Master!$H$2:'Master'!$H$4384,MATCH($A17&amp;BR$2,Master!$A$2:'Master'!$A$4384&amp;Master!$C$2:'Master'!$C$4384,0))</f>
        <v>-2</v>
      </c>
      <c r="BS17" s="21" cm="1">
        <f t="array" aca="1" ref="BS17" ca="1">INDEX(Master!$H$2:'Master'!$H$4384,MATCH($A17&amp;BS$2,Master!$A$2:'Master'!$A$4384&amp;Master!$C$2:'Master'!$C$4384,0))</f>
        <v>-2</v>
      </c>
      <c r="BT17" s="21" cm="1">
        <f t="array" aca="1" ref="BT17" ca="1">INDEX(Master!$H$2:'Master'!$H$4384,MATCH($A17&amp;BT$2,Master!$A$2:'Master'!$A$4384&amp;Master!$C$2:'Master'!$C$4384,0))</f>
        <v>-1</v>
      </c>
      <c r="BU17" s="21" cm="1">
        <f t="array" aca="1" ref="BU17" ca="1">INDEX(Master!$H$2:'Master'!$H$4384,MATCH($A17&amp;BU$2,Master!$A$2:'Master'!$A$4384&amp;Master!$C$2:'Master'!$C$4384,0))</f>
        <v>-2</v>
      </c>
      <c r="BV17" s="21" cm="1">
        <f t="array" aca="1" ref="BV17" ca="1">INDEX(Master!$H$2:'Master'!$H$4384,MATCH($A17&amp;BV$2,Master!$A$2:'Master'!$A$4384&amp;Master!$C$2:'Master'!$C$4384,0))</f>
        <v>0</v>
      </c>
      <c r="BW17" s="21" cm="1">
        <f t="array" aca="1" ref="BW17" ca="1">INDEX(Master!$H$2:'Master'!$H$4384,MATCH($A17&amp;BW$2,Master!$A$2:'Master'!$A$4384&amp;Master!$C$2:'Master'!$C$4384,0))</f>
        <v>-1</v>
      </c>
      <c r="BX17" s="21" cm="1">
        <f t="array" aca="1" ref="BX17" ca="1">INDEX(Master!$H$2:'Master'!$H$4384,MATCH($A17&amp;BX$2,Master!$A$2:'Master'!$A$4384&amp;Master!$C$2:'Master'!$C$4384,0))</f>
        <v>-2</v>
      </c>
      <c r="BY17" s="21" cm="1">
        <f t="array" aca="1" ref="BY17" ca="1">INDEX(Master!$H$2:'Master'!$H$4384,MATCH($A17&amp;BY$2,Master!$A$2:'Master'!$A$4384&amp;Master!$C$2:'Master'!$C$4384,0))</f>
        <v>0</v>
      </c>
      <c r="BZ17" s="21" cm="1">
        <f t="array" aca="1" ref="BZ17" ca="1">INDEX(Master!$H$2:'Master'!$H$4384,MATCH($A17&amp;BZ$2,Master!$A$2:'Master'!$A$4384&amp;Master!$C$2:'Master'!$C$4384,0))</f>
        <v>0</v>
      </c>
      <c r="CA17" s="21" cm="1">
        <f t="array" aca="1" ref="CA17" ca="1">INDEX(Master!$H$2:'Master'!$H$4384,MATCH($A17&amp;CA$2,Master!$A$2:'Master'!$A$4384&amp;Master!$C$2:'Master'!$C$4384,0))</f>
        <v>-1</v>
      </c>
      <c r="CB17" s="21" cm="1">
        <f t="array" aca="1" ref="CB17" ca="1">INDEX(Master!$H$2:'Master'!$H$4384,MATCH($A17&amp;CB$2,Master!$A$2:'Master'!$A$4384&amp;Master!$C$2:'Master'!$C$4384,0))</f>
        <v>1</v>
      </c>
      <c r="CC17" s="21" cm="1">
        <f t="array" aca="1" ref="CC17" ca="1">INDEX(Master!$H$2:'Master'!$H$4384,MATCH($A17&amp;CC$2,Master!$A$2:'Master'!$A$4384&amp;Master!$C$2:'Master'!$C$4384,0))</f>
        <v>1</v>
      </c>
      <c r="CD17" s="21" cm="1">
        <f t="array" aca="1" ref="CD17" ca="1">INDEX(Master!$H$2:'Master'!$H$4384,MATCH($A17&amp;CD$2,Master!$A$2:'Master'!$A$4384&amp;Master!$C$2:'Master'!$C$4384,0))</f>
        <v>1</v>
      </c>
      <c r="CE17" s="21" cm="1">
        <f t="array" aca="1" ref="CE17" ca="1">INDEX(Master!$H$2:'Master'!$H$4384,MATCH($A17&amp;CE$2,Master!$A$2:'Master'!$A$4384&amp;Master!$C$2:'Master'!$C$4384,0))</f>
        <v>1</v>
      </c>
      <c r="CF17" s="21" cm="1">
        <f t="array" aca="1" ref="CF17" ca="1">INDEX(Master!$H$2:'Master'!$H$4384,MATCH($A17&amp;CF$2,Master!$A$2:'Master'!$A$4384&amp;Master!$C$2:'Master'!$C$4384,0))</f>
        <v>-1</v>
      </c>
      <c r="CG17" s="21" cm="1">
        <f t="array" aca="1" ref="CG17" ca="1">INDEX(Master!$H$2:'Master'!$H$4384,MATCH($A17&amp;CG$2,Master!$A$2:'Master'!$A$4384&amp;Master!$C$2:'Master'!$C$4384,0))</f>
        <v>0</v>
      </c>
      <c r="CH17" s="21" cm="1">
        <f t="array" aca="1" ref="CH17" ca="1">INDEX(Master!$H$2:'Master'!$H$4384,MATCH($A17&amp;CH$2,Master!$A$2:'Master'!$A$4384&amp;Master!$C$2:'Master'!$C$4384,0))</f>
        <v>-1</v>
      </c>
      <c r="CI17" s="21" cm="1">
        <f t="array" aca="1" ref="CI17" ca="1">INDEX(Master!$H$2:'Master'!$H$4384,MATCH($A17&amp;CI$2,Master!$A$2:'Master'!$A$4384&amp;Master!$C$2:'Master'!$C$4384,0))</f>
        <v>-1</v>
      </c>
      <c r="CJ17" s="21" cm="1">
        <f t="array" aca="1" ref="CJ17" ca="1">INDEX(Master!$H$2:'Master'!$H$4384,MATCH($A17&amp;CJ$2,Master!$A$2:'Master'!$A$4384&amp;Master!$C$2:'Master'!$C$4384,0))</f>
        <v>-3</v>
      </c>
      <c r="CK17" s="21" cm="1">
        <f t="array" aca="1" ref="CK17" ca="1">INDEX(Master!$H$2:'Master'!$H$4384,MATCH($A17&amp;CK$2,Master!$A$2:'Master'!$A$4384&amp;Master!$C$2:'Master'!$C$4384,0))</f>
        <v>0</v>
      </c>
      <c r="CL17" s="21" cm="1">
        <f t="array" aca="1" ref="CL17" ca="1">INDEX(Master!$H$2:'Master'!$H$4384,MATCH($A17&amp;CL$2,Master!$A$2:'Master'!$A$4384&amp;Master!$C$2:'Master'!$C$4384,0))</f>
        <v>0</v>
      </c>
      <c r="CM17" s="21" cm="1">
        <f t="array" aca="1" ref="CM17" ca="1">INDEX(Master!$H$2:'Master'!$H$4384,MATCH($A17&amp;CM$2,Master!$A$2:'Master'!$A$4384&amp;Master!$C$2:'Master'!$C$4384,0))</f>
        <v>0</v>
      </c>
      <c r="CN17" s="21" cm="1">
        <f t="array" aca="1" ref="CN17" ca="1">INDEX(Master!$H$2:'Master'!$H$4384,MATCH($A17&amp;CN$2,Master!$A$2:'Master'!$A$4384&amp;Master!$C$2:'Master'!$C$4384,0))</f>
        <v>-2</v>
      </c>
      <c r="CO17" s="21" cm="1">
        <f t="array" aca="1" ref="CO17" ca="1">INDEX(Master!$H$2:'Master'!$H$4384,MATCH($A17&amp;CO$2,Master!$A$2:'Master'!$A$4384&amp;Master!$C$2:'Master'!$C$4384,0))</f>
        <v>0</v>
      </c>
      <c r="CP17" s="21" cm="1">
        <f t="array" aca="1" ref="CP17" ca="1">INDEX(Master!$H$2:'Master'!$H$4384,MATCH($A17&amp;CP$2,Master!$A$2:'Master'!$A$4384&amp;Master!$C$2:'Master'!$C$4384,0))</f>
        <v>0</v>
      </c>
      <c r="CQ17" s="21" cm="1">
        <f t="array" aca="1" ref="CQ17" ca="1">INDEX(Master!$H$2:'Master'!$H$4384,MATCH($A17&amp;CQ$2,Master!$A$2:'Master'!$A$4384&amp;Master!$C$2:'Master'!$C$4384,0))</f>
        <v>2</v>
      </c>
      <c r="CR17" s="21" cm="1">
        <f t="array" aca="1" ref="CR17" ca="1">INDEX(Master!$H$2:'Master'!$H$4384,MATCH($A17&amp;CR$2,Master!$A$2:'Master'!$A$4384&amp;Master!$C$2:'Master'!$C$4384,0))</f>
        <v>0</v>
      </c>
      <c r="CS17" s="21" cm="1">
        <f t="array" aca="1" ref="CS17" ca="1">INDEX(Master!$H$2:'Master'!$H$4384,MATCH($A17&amp;CS$2,Master!$A$2:'Master'!$A$4384&amp;Master!$C$2:'Master'!$C$4384,0))</f>
        <v>2</v>
      </c>
    </row>
    <row r="18" spans="1:97">
      <c r="A18" s="22" t="str">
        <f>VLOOKUP(Staff!$A14,Staff!$A$1:A$73,1,FALSE)</f>
        <v>John Watson</v>
      </c>
      <c r="B18" s="21" cm="1">
        <f t="array" aca="1" ref="B18" ca="1">INDEX(Master!$H$2:'Master'!$H$4384,MATCH($A18&amp;B$2,Master!$A$2:'Master'!$A$4384&amp;Master!$C$2:'Master'!$C$4384,0))</f>
        <v>0</v>
      </c>
      <c r="C18" s="21" cm="1">
        <f t="array" aca="1" ref="C18" ca="1">INDEX(Master!$H$2:'Master'!$H$4384,MATCH($A18&amp;C$2,Master!$A$2:'Master'!$A$4384&amp;Master!$C$2:'Master'!$C$4384,0))</f>
        <v>0</v>
      </c>
      <c r="D18" s="21" cm="1">
        <f t="array" aca="1" ref="D18" ca="1">INDEX(Master!$H$2:'Master'!$H$4384,MATCH($A18&amp;D$2,Master!$A$2:'Master'!$A$4384&amp;Master!$C$2:'Master'!$C$4384,0))</f>
        <v>0</v>
      </c>
      <c r="E18" s="21" cm="1">
        <f t="array" aca="1" ref="E18" ca="1">INDEX(Master!$H$2:'Master'!$H$4384,MATCH($A18&amp;E$2,Master!$A$2:'Master'!$A$4384&amp;Master!$C$2:'Master'!$C$4384,0))</f>
        <v>1</v>
      </c>
      <c r="F18" s="21" cm="1">
        <f t="array" aca="1" ref="F18" ca="1">INDEX(Master!$H$2:'Master'!$H$4384,MATCH($A18&amp;F$2,Master!$A$2:'Master'!$A$4384&amp;Master!$C$2:'Master'!$C$4384,0))</f>
        <v>0</v>
      </c>
      <c r="G18" s="21" cm="1">
        <f t="array" aca="1" ref="G18" ca="1">INDEX(Master!$H$2:'Master'!$H$4384,MATCH($A18&amp;G$2,Master!$A$2:'Master'!$A$4384&amp;Master!$C$2:'Master'!$C$4384,0))</f>
        <v>0</v>
      </c>
      <c r="H18" s="21" cm="1">
        <f t="array" aca="1" ref="H18" ca="1">INDEX(Master!$H$2:'Master'!$H$4384,MATCH($A18&amp;H$2,Master!$A$2:'Master'!$A$4384&amp;Master!$C$2:'Master'!$C$4384,0))</f>
        <v>0</v>
      </c>
      <c r="I18" s="21" cm="1">
        <f t="array" aca="1" ref="I18" ca="1">INDEX(Master!$H$2:'Master'!$H$4384,MATCH($A18&amp;I$2,Master!$A$2:'Master'!$A$4384&amp;Master!$C$2:'Master'!$C$4384,0))</f>
        <v>-1</v>
      </c>
      <c r="J18" s="21" cm="1">
        <f t="array" aca="1" ref="J18" ca="1">INDEX(Master!$H$2:'Master'!$H$4384,MATCH($A18&amp;J$2,Master!$A$2:'Master'!$A$4384&amp;Master!$C$2:'Master'!$C$4384,0))</f>
        <v>-1</v>
      </c>
      <c r="K18" s="21" cm="1">
        <f t="array" aca="1" ref="K18" ca="1">INDEX(Master!$H$2:'Master'!$H$4384,MATCH($A18&amp;K$2,Master!$A$2:'Master'!$A$4384&amp;Master!$C$2:'Master'!$C$4384,0))</f>
        <v>2</v>
      </c>
      <c r="L18" s="21" cm="1">
        <f t="array" aca="1" ref="L18" ca="1">INDEX(Master!$H$2:'Master'!$H$4384,MATCH($A18&amp;L$2,Master!$A$2:'Master'!$A$4384&amp;Master!$C$2:'Master'!$C$4384,0))</f>
        <v>3</v>
      </c>
      <c r="M18" s="21" cm="1">
        <f t="array" aca="1" ref="M18" ca="1">INDEX(Master!$H$2:'Master'!$H$4384,MATCH($A18&amp;M$2,Master!$A$2:'Master'!$A$4384&amp;Master!$C$2:'Master'!$C$4384,0))</f>
        <v>1</v>
      </c>
      <c r="N18" s="21" cm="1">
        <f t="array" aca="1" ref="N18" ca="1">INDEX(Master!$H$2:'Master'!$H$4384,MATCH($A18&amp;N$2,Master!$A$2:'Master'!$A$4384&amp;Master!$C$2:'Master'!$C$4384,0))</f>
        <v>1</v>
      </c>
      <c r="O18" s="21" cm="1">
        <f t="array" aca="1" ref="O18" ca="1">INDEX(Master!$H$2:'Master'!$H$4384,MATCH($A18&amp;O$2,Master!$A$2:'Master'!$A$4384&amp;Master!$C$2:'Master'!$C$4384,0))</f>
        <v>1</v>
      </c>
      <c r="P18" s="21" cm="1">
        <f t="array" aca="1" ref="P18" ca="1">INDEX(Master!$H$2:'Master'!$H$4384,MATCH($A18&amp;P$2,Master!$A$2:'Master'!$A$4384&amp;Master!$C$2:'Master'!$C$4384,0))</f>
        <v>0</v>
      </c>
      <c r="Q18" s="21" cm="1">
        <f t="array" aca="1" ref="Q18" ca="1">INDEX(Master!$H$2:'Master'!$H$4384,MATCH($A18&amp;Q$2,Master!$A$2:'Master'!$A$4384&amp;Master!$C$2:'Master'!$C$4384,0))</f>
        <v>1</v>
      </c>
      <c r="R18" s="21" cm="1">
        <f t="array" aca="1" ref="R18" ca="1">INDEX(Master!$H$2:'Master'!$H$4384,MATCH($A18&amp;R$2,Master!$A$2:'Master'!$A$4384&amp;Master!$C$2:'Master'!$C$4384,0))</f>
        <v>3</v>
      </c>
      <c r="S18" s="21" cm="1">
        <f t="array" aca="1" ref="S18" ca="1">INDEX(Master!$H$2:'Master'!$H$4384,MATCH($A18&amp;S$2,Master!$A$2:'Master'!$A$4384&amp;Master!$C$2:'Master'!$C$4384,0))</f>
        <v>1</v>
      </c>
      <c r="T18" s="21" cm="1">
        <f t="array" aca="1" ref="T18" ca="1">INDEX(Master!$H$2:'Master'!$H$4384,MATCH($A18&amp;T$2,Master!$A$2:'Master'!$A$4384&amp;Master!$C$2:'Master'!$C$4384,0))</f>
        <v>-1</v>
      </c>
      <c r="U18" s="21" cm="1">
        <f t="array" aca="1" ref="U18" ca="1">INDEX(Master!$H$2:'Master'!$H$4384,MATCH($A18&amp;U$2,Master!$A$2:'Master'!$A$4384&amp;Master!$C$2:'Master'!$C$4384,0))</f>
        <v>0</v>
      </c>
      <c r="V18" s="21" cm="1">
        <f t="array" aca="1" ref="V18" ca="1">INDEX(Master!$H$2:'Master'!$H$4384,MATCH($A18&amp;V$2,Master!$A$2:'Master'!$A$4384&amp;Master!$C$2:'Master'!$C$4384,0))</f>
        <v>-1</v>
      </c>
      <c r="W18" s="21" cm="1">
        <f t="array" aca="1" ref="W18" ca="1">INDEX(Master!$H$2:'Master'!$H$4384,MATCH($A18&amp;W$2,Master!$A$2:'Master'!$A$4384&amp;Master!$C$2:'Master'!$C$4384,0))</f>
        <v>1</v>
      </c>
      <c r="X18" s="21" cm="1">
        <f t="array" aca="1" ref="X18" ca="1">INDEX(Master!$H$2:'Master'!$H$4384,MATCH($A18&amp;X$2,Master!$A$2:'Master'!$A$4384&amp;Master!$C$2:'Master'!$C$4384,0))</f>
        <v>2</v>
      </c>
      <c r="Y18" s="21" cm="1">
        <f t="array" aca="1" ref="Y18" ca="1">INDEX(Master!$H$2:'Master'!$H$4384,MATCH($A18&amp;Y$2,Master!$A$2:'Master'!$A$4384&amp;Master!$C$2:'Master'!$C$4384,0))</f>
        <v>2</v>
      </c>
      <c r="Z18" s="21" cm="1">
        <f t="array" aca="1" ref="Z18" ca="1">INDEX(Master!$H$2:'Master'!$H$4384,MATCH($A18&amp;Z$2,Master!$A$2:'Master'!$A$4384&amp;Master!$C$2:'Master'!$C$4384,0))</f>
        <v>1</v>
      </c>
      <c r="AA18" s="21" cm="1">
        <f t="array" aca="1" ref="AA18" ca="1">INDEX(Master!$H$2:'Master'!$H$4384,MATCH($A18&amp;AA$2,Master!$A$2:'Master'!$A$4384&amp;Master!$C$2:'Master'!$C$4384,0))</f>
        <v>1</v>
      </c>
      <c r="AB18" s="21" cm="1">
        <f t="array" aca="1" ref="AB18" ca="1">INDEX(Master!$H$2:'Master'!$H$4384,MATCH($A18&amp;AB$2,Master!$A$2:'Master'!$A$4384&amp;Master!$C$2:'Master'!$C$4384,0))</f>
        <v>1</v>
      </c>
      <c r="AC18" s="21" cm="1">
        <f t="array" aca="1" ref="AC18" ca="1">INDEX(Master!$H$2:'Master'!$H$4384,MATCH($A18&amp;AC$2,Master!$A$2:'Master'!$A$4384&amp;Master!$C$2:'Master'!$C$4384,0))</f>
        <v>2</v>
      </c>
      <c r="AD18" s="21" cm="1">
        <f t="array" aca="1" ref="AD18" ca="1">INDEX(Master!$H$2:'Master'!$H$4384,MATCH($A18&amp;AD$2,Master!$A$2:'Master'!$A$4384&amp;Master!$C$2:'Master'!$C$4384,0))</f>
        <v>1</v>
      </c>
      <c r="AE18" s="21" cm="1">
        <f t="array" aca="1" ref="AE18" ca="1">INDEX(Master!$H$2:'Master'!$H$4384,MATCH($A18&amp;AE$2,Master!$A$2:'Master'!$A$4384&amp;Master!$C$2:'Master'!$C$4384,0))</f>
        <v>1</v>
      </c>
      <c r="AF18" s="21" cm="1">
        <f t="array" aca="1" ref="AF18" ca="1">INDEX(Master!$H$2:'Master'!$H$4384,MATCH($A18&amp;AF$2,Master!$A$2:'Master'!$A$4384&amp;Master!$C$2:'Master'!$C$4384,0))</f>
        <v>0</v>
      </c>
      <c r="AG18" s="21" cm="1">
        <f t="array" aca="1" ref="AG18" ca="1">INDEX(Master!$H$2:'Master'!$H$4384,MATCH($A18&amp;AG$2,Master!$A$2:'Master'!$A$4384&amp;Master!$C$2:'Master'!$C$4384,0))</f>
        <v>0</v>
      </c>
      <c r="AH18" s="21" cm="1">
        <f t="array" aca="1" ref="AH18" ca="1">INDEX(Master!$H$2:'Master'!$H$4384,MATCH($A18&amp;AH$2,Master!$A$2:'Master'!$A$4384&amp;Master!$C$2:'Master'!$C$4384,0))</f>
        <v>0</v>
      </c>
      <c r="AI18" s="21" cm="1">
        <f t="array" aca="1" ref="AI18" ca="1">INDEX(Master!$H$2:'Master'!$H$4384,MATCH($A18&amp;AI$2,Master!$A$2:'Master'!$A$4384&amp;Master!$C$2:'Master'!$C$4384,0))</f>
        <v>1</v>
      </c>
      <c r="AJ18" s="21" cm="1">
        <f t="array" aca="1" ref="AJ18" ca="1">INDEX(Master!$H$2:'Master'!$H$4384,MATCH($A18&amp;AJ$2,Master!$A$2:'Master'!$A$4384&amp;Master!$C$2:'Master'!$C$4384,0))</f>
        <v>1</v>
      </c>
      <c r="AK18" s="21" cm="1">
        <f t="array" aca="1" ref="AK18" ca="1">INDEX(Master!$H$2:'Master'!$H$4384,MATCH($A18&amp;AK$2,Master!$A$2:'Master'!$A$4384&amp;Master!$C$2:'Master'!$C$4384,0))</f>
        <v>1</v>
      </c>
      <c r="AL18" s="21" cm="1">
        <f t="array" aca="1" ref="AL18" ca="1">INDEX(Master!$H$2:'Master'!$H$4384,MATCH($A18&amp;AL$2,Master!$A$2:'Master'!$A$4384&amp;Master!$C$2:'Master'!$C$4384,0))</f>
        <v>2</v>
      </c>
      <c r="AM18" s="21" cm="1">
        <f t="array" aca="1" ref="AM18" ca="1">INDEX(Master!$H$2:'Master'!$H$4384,MATCH($A18&amp;AM$2,Master!$A$2:'Master'!$A$4384&amp;Master!$C$2:'Master'!$C$4384,0))</f>
        <v>0</v>
      </c>
      <c r="AN18" s="21" cm="1">
        <f t="array" aca="1" ref="AN18" ca="1">INDEX(Master!$H$2:'Master'!$H$4384,MATCH($A18&amp;AN$2,Master!$A$2:'Master'!$A$4384&amp;Master!$C$2:'Master'!$C$4384,0))</f>
        <v>1</v>
      </c>
      <c r="AO18" s="21" cm="1">
        <f t="array" aca="1" ref="AO18" ca="1">INDEX(Master!$H$2:'Master'!$H$4384,MATCH($A18&amp;AO$2,Master!$A$2:'Master'!$A$4384&amp;Master!$C$2:'Master'!$C$4384,0))</f>
        <v>1</v>
      </c>
      <c r="AP18" s="21" cm="1">
        <f t="array" aca="1" ref="AP18" ca="1">INDEX(Master!$H$2:'Master'!$H$4384,MATCH($A18&amp;AP$2,Master!$A$2:'Master'!$A$4384&amp;Master!$C$2:'Master'!$C$4384,0))</f>
        <v>2</v>
      </c>
      <c r="AQ18" s="21" cm="1">
        <f t="array" aca="1" ref="AQ18" ca="1">INDEX(Master!$H$2:'Master'!$H$4384,MATCH($A18&amp;AQ$2,Master!$A$2:'Master'!$A$4384&amp;Master!$C$2:'Master'!$C$4384,0))</f>
        <v>3</v>
      </c>
      <c r="AR18" s="21" cm="1">
        <f t="array" aca="1" ref="AR18" ca="1">INDEX(Master!$H$2:'Master'!$H$4384,MATCH($A18&amp;AR$2,Master!$A$2:'Master'!$A$4384&amp;Master!$C$2:'Master'!$C$4384,0))</f>
        <v>1</v>
      </c>
      <c r="AS18" s="21" cm="1">
        <f t="array" aca="1" ref="AS18" ca="1">INDEX(Master!$H$2:'Master'!$H$4384,MATCH($A18&amp;AS$2,Master!$A$2:'Master'!$A$4384&amp;Master!$C$2:'Master'!$C$4384,0))</f>
        <v>1</v>
      </c>
      <c r="AT18" s="21" cm="1">
        <f t="array" aca="1" ref="AT18" ca="1">INDEX(Master!$H$2:'Master'!$H$4384,MATCH($A18&amp;AT$2,Master!$A$2:'Master'!$A$4384&amp;Master!$C$2:'Master'!$C$4384,0))</f>
        <v>3</v>
      </c>
      <c r="AU18" s="21" cm="1">
        <f t="array" aca="1" ref="AU18" ca="1">INDEX(Master!$H$2:'Master'!$H$4384,MATCH($A18&amp;AU$2,Master!$A$2:'Master'!$A$4384&amp;Master!$C$2:'Master'!$C$4384,0))</f>
        <v>2</v>
      </c>
      <c r="AV18" s="21" cm="1">
        <f t="array" aca="1" ref="AV18" ca="1">INDEX(Master!$H$2:'Master'!$H$4384,MATCH($A18&amp;AV$2,Master!$A$2:'Master'!$A$4384&amp;Master!$C$2:'Master'!$C$4384,0))</f>
        <v>3</v>
      </c>
      <c r="AW18" s="21" cm="1">
        <f t="array" aca="1" ref="AW18" ca="1">INDEX(Master!$H$2:'Master'!$H$4384,MATCH($A18&amp;AW$2,Master!$A$2:'Master'!$A$4384&amp;Master!$C$2:'Master'!$C$4384,0))</f>
        <v>2</v>
      </c>
      <c r="AX18" s="21" cm="1">
        <f t="array" aca="1" ref="AX18" ca="1">INDEX(Master!$H$2:'Master'!$H$4384,MATCH($A18&amp;AX$2,Master!$A$2:'Master'!$A$4384&amp;Master!$C$2:'Master'!$C$4384,0))</f>
        <v>1</v>
      </c>
      <c r="AY18" s="21" cm="1">
        <f t="array" aca="1" ref="AY18" ca="1">INDEX(Master!$H$2:'Master'!$H$4384,MATCH($A18&amp;AY$2,Master!$A$2:'Master'!$A$4384&amp;Master!$C$2:'Master'!$C$4384,0))</f>
        <v>1</v>
      </c>
      <c r="AZ18" s="21" cm="1">
        <f t="array" aca="1" ref="AZ18" ca="1">INDEX(Master!$H$2:'Master'!$H$4384,MATCH($A18&amp;AZ$2,Master!$A$2:'Master'!$A$4384&amp;Master!$C$2:'Master'!$C$4384,0))</f>
        <v>2</v>
      </c>
      <c r="BA18" s="21" cm="1">
        <f t="array" aca="1" ref="BA18" ca="1">INDEX(Master!$H$2:'Master'!$H$4384,MATCH($A18&amp;BA$2,Master!$A$2:'Master'!$A$4384&amp;Master!$C$2:'Master'!$C$4384,0))</f>
        <v>2</v>
      </c>
      <c r="BB18" s="21" cm="1">
        <f t="array" aca="1" ref="BB18" ca="1">INDEX(Master!$H$2:'Master'!$H$4384,MATCH($A18&amp;BB$2,Master!$A$2:'Master'!$A$4384&amp;Master!$C$2:'Master'!$C$4384,0))</f>
        <v>3</v>
      </c>
      <c r="BC18" s="21" cm="1">
        <f t="array" aca="1" ref="BC18" ca="1">INDEX(Master!$H$2:'Master'!$H$4384,MATCH($A18&amp;BC$2,Master!$A$2:'Master'!$A$4384&amp;Master!$C$2:'Master'!$C$4384,0))</f>
        <v>0</v>
      </c>
      <c r="BD18" s="21" cm="1">
        <f t="array" aca="1" ref="BD18" ca="1">INDEX(Master!$H$2:'Master'!$H$4384,MATCH($A18&amp;BD$2,Master!$A$2:'Master'!$A$4384&amp;Master!$C$2:'Master'!$C$4384,0))</f>
        <v>2</v>
      </c>
      <c r="BE18" s="21" cm="1">
        <f t="array" aca="1" ref="BE18" ca="1">INDEX(Master!$H$2:'Master'!$H$4384,MATCH($A18&amp;BE$2,Master!$A$2:'Master'!$A$4384&amp;Master!$C$2:'Master'!$C$4384,0))</f>
        <v>0</v>
      </c>
      <c r="BF18" s="21" cm="1">
        <f t="array" aca="1" ref="BF18" ca="1">INDEX(Master!$H$2:'Master'!$H$4384,MATCH($A18&amp;BF$2,Master!$A$2:'Master'!$A$4384&amp;Master!$C$2:'Master'!$C$4384,0))</f>
        <v>-1</v>
      </c>
      <c r="BG18" s="21" cm="1">
        <f t="array" aca="1" ref="BG18" ca="1">INDEX(Master!$H$2:'Master'!$H$4384,MATCH($A18&amp;BG$2,Master!$A$2:'Master'!$A$4384&amp;Master!$C$2:'Master'!$C$4384,0))</f>
        <v>-2</v>
      </c>
      <c r="BH18" s="21" cm="1">
        <f t="array" aca="1" ref="BH18" ca="1">INDEX(Master!$H$2:'Master'!$H$4384,MATCH($A18&amp;BH$2,Master!$A$2:'Master'!$A$4384&amp;Master!$C$2:'Master'!$C$4384,0))</f>
        <v>-2</v>
      </c>
      <c r="BI18" s="21" cm="1">
        <f t="array" aca="1" ref="BI18" ca="1">INDEX(Master!$H$2:'Master'!$H$4384,MATCH($A18&amp;BI$2,Master!$A$2:'Master'!$A$4384&amp;Master!$C$2:'Master'!$C$4384,0))</f>
        <v>-2</v>
      </c>
      <c r="BJ18" s="21" cm="1">
        <f t="array" aca="1" ref="BJ18" ca="1">INDEX(Master!$H$2:'Master'!$H$4384,MATCH($A18&amp;BJ$2,Master!$A$2:'Master'!$A$4384&amp;Master!$C$2:'Master'!$C$4384,0))</f>
        <v>1</v>
      </c>
      <c r="BK18" s="21" cm="1">
        <f t="array" aca="1" ref="BK18" ca="1">INDEX(Master!$H$2:'Master'!$H$4384,MATCH($A18&amp;BK$2,Master!$A$2:'Master'!$A$4384&amp;Master!$C$2:'Master'!$C$4384,0))</f>
        <v>-2</v>
      </c>
      <c r="BL18" s="21" cm="1">
        <f t="array" aca="1" ref="BL18" ca="1">INDEX(Master!$H$2:'Master'!$H$4384,MATCH($A18&amp;BL$2,Master!$A$2:'Master'!$A$4384&amp;Master!$C$2:'Master'!$C$4384,0))</f>
        <v>-3</v>
      </c>
      <c r="BM18" s="21" cm="1">
        <f t="array" aca="1" ref="BM18" ca="1">INDEX(Master!$H$2:'Master'!$H$4384,MATCH($A18&amp;BM$2,Master!$A$2:'Master'!$A$4384&amp;Master!$C$2:'Master'!$C$4384,0))</f>
        <v>-1</v>
      </c>
      <c r="BN18" s="21" cm="1">
        <f t="array" aca="1" ref="BN18" ca="1">INDEX(Master!$H$2:'Master'!$H$4384,MATCH($A18&amp;BN$2,Master!$A$2:'Master'!$A$4384&amp;Master!$C$2:'Master'!$C$4384,0))</f>
        <v>-1</v>
      </c>
      <c r="BO18" s="21" cm="1">
        <f t="array" aca="1" ref="BO18" ca="1">INDEX(Master!$H$2:'Master'!$H$4384,MATCH($A18&amp;BO$2,Master!$A$2:'Master'!$A$4384&amp;Master!$C$2:'Master'!$C$4384,0))</f>
        <v>-2</v>
      </c>
      <c r="BP18" s="21" cm="1">
        <f t="array" aca="1" ref="BP18" ca="1">INDEX(Master!$H$2:'Master'!$H$4384,MATCH($A18&amp;BP$2,Master!$A$2:'Master'!$A$4384&amp;Master!$C$2:'Master'!$C$4384,0))</f>
        <v>0</v>
      </c>
      <c r="BQ18" s="21" cm="1">
        <f t="array" aca="1" ref="BQ18" ca="1">INDEX(Master!$H$2:'Master'!$H$4384,MATCH($A18&amp;BQ$2,Master!$A$2:'Master'!$A$4384&amp;Master!$C$2:'Master'!$C$4384,0))</f>
        <v>0</v>
      </c>
      <c r="BR18" s="21" cm="1">
        <f t="array" aca="1" ref="BR18" ca="1">INDEX(Master!$H$2:'Master'!$H$4384,MATCH($A18&amp;BR$2,Master!$A$2:'Master'!$A$4384&amp;Master!$C$2:'Master'!$C$4384,0))</f>
        <v>0</v>
      </c>
      <c r="BS18" s="21" cm="1">
        <f t="array" aca="1" ref="BS18" ca="1">INDEX(Master!$H$2:'Master'!$H$4384,MATCH($A18&amp;BS$2,Master!$A$2:'Master'!$A$4384&amp;Master!$C$2:'Master'!$C$4384,0))</f>
        <v>0</v>
      </c>
      <c r="BT18" s="21" cm="1">
        <f t="array" aca="1" ref="BT18" ca="1">INDEX(Master!$H$2:'Master'!$H$4384,MATCH($A18&amp;BT$2,Master!$A$2:'Master'!$A$4384&amp;Master!$C$2:'Master'!$C$4384,0))</f>
        <v>0</v>
      </c>
      <c r="BU18" s="21" cm="1">
        <f t="array" aca="1" ref="BU18" ca="1">INDEX(Master!$H$2:'Master'!$H$4384,MATCH($A18&amp;BU$2,Master!$A$2:'Master'!$A$4384&amp;Master!$C$2:'Master'!$C$4384,0))</f>
        <v>0</v>
      </c>
      <c r="BV18" s="21" cm="1">
        <f t="array" aca="1" ref="BV18" ca="1">INDEX(Master!$H$2:'Master'!$H$4384,MATCH($A18&amp;BV$2,Master!$A$2:'Master'!$A$4384&amp;Master!$C$2:'Master'!$C$4384,0))</f>
        <v>0</v>
      </c>
      <c r="BW18" s="21" cm="1">
        <f t="array" aca="1" ref="BW18" ca="1">INDEX(Master!$H$2:'Master'!$H$4384,MATCH($A18&amp;BW$2,Master!$A$2:'Master'!$A$4384&amp;Master!$C$2:'Master'!$C$4384,0))</f>
        <v>-1</v>
      </c>
      <c r="BX18" s="21" cm="1">
        <f t="array" aca="1" ref="BX18" ca="1">INDEX(Master!$H$2:'Master'!$H$4384,MATCH($A18&amp;BX$2,Master!$A$2:'Master'!$A$4384&amp;Master!$C$2:'Master'!$C$4384,0))</f>
        <v>-2</v>
      </c>
      <c r="BY18" s="21" cm="1">
        <f t="array" aca="1" ref="BY18" ca="1">INDEX(Master!$H$2:'Master'!$H$4384,MATCH($A18&amp;BY$2,Master!$A$2:'Master'!$A$4384&amp;Master!$C$2:'Master'!$C$4384,0))</f>
        <v>-2</v>
      </c>
      <c r="BZ18" s="21" cm="1">
        <f t="array" aca="1" ref="BZ18" ca="1">INDEX(Master!$H$2:'Master'!$H$4384,MATCH($A18&amp;BZ$2,Master!$A$2:'Master'!$A$4384&amp;Master!$C$2:'Master'!$C$4384,0))</f>
        <v>-2</v>
      </c>
      <c r="CA18" s="21" cm="1">
        <f t="array" aca="1" ref="CA18" ca="1">INDEX(Master!$H$2:'Master'!$H$4384,MATCH($A18&amp;CA$2,Master!$A$2:'Master'!$A$4384&amp;Master!$C$2:'Master'!$C$4384,0))</f>
        <v>1</v>
      </c>
      <c r="CB18" s="21" cm="1">
        <f t="array" aca="1" ref="CB18" ca="1">INDEX(Master!$H$2:'Master'!$H$4384,MATCH($A18&amp;CB$2,Master!$A$2:'Master'!$A$4384&amp;Master!$C$2:'Master'!$C$4384,0))</f>
        <v>-2</v>
      </c>
      <c r="CC18" s="21" cm="1">
        <f t="array" aca="1" ref="CC18" ca="1">INDEX(Master!$H$2:'Master'!$H$4384,MATCH($A18&amp;CC$2,Master!$A$2:'Master'!$A$4384&amp;Master!$C$2:'Master'!$C$4384,0))</f>
        <v>-3</v>
      </c>
      <c r="CD18" s="21" cm="1">
        <f t="array" aca="1" ref="CD18" ca="1">INDEX(Master!$H$2:'Master'!$H$4384,MATCH($A18&amp;CD$2,Master!$A$2:'Master'!$A$4384&amp;Master!$C$2:'Master'!$C$4384,0))</f>
        <v>-1</v>
      </c>
      <c r="CE18" s="21" cm="1">
        <f t="array" aca="1" ref="CE18" ca="1">INDEX(Master!$H$2:'Master'!$H$4384,MATCH($A18&amp;CE$2,Master!$A$2:'Master'!$A$4384&amp;Master!$C$2:'Master'!$C$4384,0))</f>
        <v>1</v>
      </c>
      <c r="CF18" s="21" cm="1">
        <f t="array" aca="1" ref="CF18" ca="1">INDEX(Master!$H$2:'Master'!$H$4384,MATCH($A18&amp;CF$2,Master!$A$2:'Master'!$A$4384&amp;Master!$C$2:'Master'!$C$4384,0))</f>
        <v>1</v>
      </c>
      <c r="CG18" s="21" cm="1">
        <f t="array" aca="1" ref="CG18" ca="1">INDEX(Master!$H$2:'Master'!$H$4384,MATCH($A18&amp;CG$2,Master!$A$2:'Master'!$A$4384&amp;Master!$C$2:'Master'!$C$4384,0))</f>
        <v>-1</v>
      </c>
      <c r="CH18" s="21" cm="1">
        <f t="array" aca="1" ref="CH18" ca="1">INDEX(Master!$H$2:'Master'!$H$4384,MATCH($A18&amp;CH$2,Master!$A$2:'Master'!$A$4384&amp;Master!$C$2:'Master'!$C$4384,0))</f>
        <v>1</v>
      </c>
      <c r="CI18" s="21" cm="1">
        <f t="array" aca="1" ref="CI18" ca="1">INDEX(Master!$H$2:'Master'!$H$4384,MATCH($A18&amp;CI$2,Master!$A$2:'Master'!$A$4384&amp;Master!$C$2:'Master'!$C$4384,0))</f>
        <v>0</v>
      </c>
      <c r="CJ18" s="21" cm="1">
        <f t="array" aca="1" ref="CJ18" ca="1">INDEX(Master!$H$2:'Master'!$H$4384,MATCH($A18&amp;CJ$2,Master!$A$2:'Master'!$A$4384&amp;Master!$C$2:'Master'!$C$4384,0))</f>
        <v>1</v>
      </c>
      <c r="CK18" s="21" cm="1">
        <f t="array" aca="1" ref="CK18" ca="1">INDEX(Master!$H$2:'Master'!$H$4384,MATCH($A18&amp;CK$2,Master!$A$2:'Master'!$A$4384&amp;Master!$C$2:'Master'!$C$4384,0))</f>
        <v>1</v>
      </c>
      <c r="CL18" s="21" cm="1">
        <f t="array" aca="1" ref="CL18" ca="1">INDEX(Master!$H$2:'Master'!$H$4384,MATCH($A18&amp;CL$2,Master!$A$2:'Master'!$A$4384&amp;Master!$C$2:'Master'!$C$4384,0))</f>
        <v>0</v>
      </c>
      <c r="CM18" s="21" cm="1">
        <f t="array" aca="1" ref="CM18" ca="1">INDEX(Master!$H$2:'Master'!$H$4384,MATCH($A18&amp;CM$2,Master!$A$2:'Master'!$A$4384&amp;Master!$C$2:'Master'!$C$4384,0))</f>
        <v>0</v>
      </c>
      <c r="CN18" s="21" cm="1">
        <f t="array" aca="1" ref="CN18" ca="1">INDEX(Master!$H$2:'Master'!$H$4384,MATCH($A18&amp;CN$2,Master!$A$2:'Master'!$A$4384&amp;Master!$C$2:'Master'!$C$4384,0))</f>
        <v>0</v>
      </c>
      <c r="CO18" s="21" cm="1">
        <f t="array" aca="1" ref="CO18" ca="1">INDEX(Master!$H$2:'Master'!$H$4384,MATCH($A18&amp;CO$2,Master!$A$2:'Master'!$A$4384&amp;Master!$C$2:'Master'!$C$4384,0))</f>
        <v>0</v>
      </c>
      <c r="CP18" s="21" cm="1">
        <f t="array" aca="1" ref="CP18" ca="1">INDEX(Master!$H$2:'Master'!$H$4384,MATCH($A18&amp;CP$2,Master!$A$2:'Master'!$A$4384&amp;Master!$C$2:'Master'!$C$4384,0))</f>
        <v>0</v>
      </c>
      <c r="CQ18" s="21" cm="1">
        <f t="array" aca="1" ref="CQ18" ca="1">INDEX(Master!$H$2:'Master'!$H$4384,MATCH($A18&amp;CQ$2,Master!$A$2:'Master'!$A$4384&amp;Master!$C$2:'Master'!$C$4384,0))</f>
        <v>1</v>
      </c>
      <c r="CR18" s="21" cm="1">
        <f t="array" aca="1" ref="CR18" ca="1">INDEX(Master!$H$2:'Master'!$H$4384,MATCH($A18&amp;CR$2,Master!$A$2:'Master'!$A$4384&amp;Master!$C$2:'Master'!$C$4384,0))</f>
        <v>1</v>
      </c>
      <c r="CS18" s="21" cm="1">
        <f t="array" aca="1" ref="CS18" ca="1">INDEX(Master!$H$2:'Master'!$H$4384,MATCH($A18&amp;CS$2,Master!$A$2:'Master'!$A$4384&amp;Master!$C$2:'Master'!$C$4384,0))</f>
        <v>-2</v>
      </c>
    </row>
    <row r="19" spans="1:97">
      <c r="A19" s="22" t="str">
        <f>VLOOKUP(Staff!$A15,Staff!$A$1:A$73,1,FALSE)</f>
        <v>Jim Taggart</v>
      </c>
      <c r="B19" s="21" cm="1">
        <f t="array" aca="1" ref="B19" ca="1">INDEX(Master!$H$2:'Master'!$H$4384,MATCH($A19&amp;B$2,Master!$A$2:'Master'!$A$4384&amp;Master!$C$2:'Master'!$C$4384,0))</f>
        <v>-1</v>
      </c>
      <c r="C19" s="21" cm="1">
        <f t="array" aca="1" ref="C19" ca="1">INDEX(Master!$H$2:'Master'!$H$4384,MATCH($A19&amp;C$2,Master!$A$2:'Master'!$A$4384&amp;Master!$C$2:'Master'!$C$4384,0))</f>
        <v>2</v>
      </c>
      <c r="D19" s="21" cm="1">
        <f t="array" aca="1" ref="D19" ca="1">INDEX(Master!$H$2:'Master'!$H$4384,MATCH($A19&amp;D$2,Master!$A$2:'Master'!$A$4384&amp;Master!$C$2:'Master'!$C$4384,0))</f>
        <v>-1</v>
      </c>
      <c r="E19" s="21" cm="1">
        <f t="array" aca="1" ref="E19" ca="1">INDEX(Master!$H$2:'Master'!$H$4384,MATCH($A19&amp;E$2,Master!$A$2:'Master'!$A$4384&amp;Master!$C$2:'Master'!$C$4384,0))</f>
        <v>0</v>
      </c>
      <c r="F19" s="21" cm="1">
        <f t="array" aca="1" ref="F19" ca="1">INDEX(Master!$H$2:'Master'!$H$4384,MATCH($A19&amp;F$2,Master!$A$2:'Master'!$A$4384&amp;Master!$C$2:'Master'!$C$4384,0))</f>
        <v>0</v>
      </c>
      <c r="G19" s="21" cm="1">
        <f t="array" aca="1" ref="G19" ca="1">INDEX(Master!$H$2:'Master'!$H$4384,MATCH($A19&amp;G$2,Master!$A$2:'Master'!$A$4384&amp;Master!$C$2:'Master'!$C$4384,0))</f>
        <v>-1</v>
      </c>
      <c r="H19" s="21" cm="1">
        <f t="array" aca="1" ref="H19" ca="1">INDEX(Master!$H$2:'Master'!$H$4384,MATCH($A19&amp;H$2,Master!$A$2:'Master'!$A$4384&amp;Master!$C$2:'Master'!$C$4384,0))</f>
        <v>0</v>
      </c>
      <c r="I19" s="21" cm="1">
        <f t="array" aca="1" ref="I19" ca="1">INDEX(Master!$H$2:'Master'!$H$4384,MATCH($A19&amp;I$2,Master!$A$2:'Master'!$A$4384&amp;Master!$C$2:'Master'!$C$4384,0))</f>
        <v>0</v>
      </c>
      <c r="J19" s="21" cm="1">
        <f t="array" aca="1" ref="J19" ca="1">INDEX(Master!$H$2:'Master'!$H$4384,MATCH($A19&amp;J$2,Master!$A$2:'Master'!$A$4384&amp;Master!$C$2:'Master'!$C$4384,0))</f>
        <v>-1</v>
      </c>
      <c r="K19" s="21" cm="1">
        <f t="array" aca="1" ref="K19" ca="1">INDEX(Master!$H$2:'Master'!$H$4384,MATCH($A19&amp;K$2,Master!$A$2:'Master'!$A$4384&amp;Master!$C$2:'Master'!$C$4384,0))</f>
        <v>0</v>
      </c>
      <c r="L19" s="21" cm="1">
        <f t="array" aca="1" ref="L19" ca="1">INDEX(Master!$H$2:'Master'!$H$4384,MATCH($A19&amp;L$2,Master!$A$2:'Master'!$A$4384&amp;Master!$C$2:'Master'!$C$4384,0))</f>
        <v>0</v>
      </c>
      <c r="M19" s="21" cm="1">
        <f t="array" aca="1" ref="M19" ca="1">INDEX(Master!$H$2:'Master'!$H$4384,MATCH($A19&amp;M$2,Master!$A$2:'Master'!$A$4384&amp;Master!$C$2:'Master'!$C$4384,0))</f>
        <v>0</v>
      </c>
      <c r="N19" s="21" cm="1">
        <f t="array" aca="1" ref="N19" ca="1">INDEX(Master!$H$2:'Master'!$H$4384,MATCH($A19&amp;N$2,Master!$A$2:'Master'!$A$4384&amp;Master!$C$2:'Master'!$C$4384,0))</f>
        <v>-1</v>
      </c>
      <c r="O19" s="21" cm="1">
        <f t="array" aca="1" ref="O19" ca="1">INDEX(Master!$H$2:'Master'!$H$4384,MATCH($A19&amp;O$2,Master!$A$2:'Master'!$A$4384&amp;Master!$C$2:'Master'!$C$4384,0))</f>
        <v>-1</v>
      </c>
      <c r="P19" s="21" cm="1">
        <f t="array" aca="1" ref="P19" ca="1">INDEX(Master!$H$2:'Master'!$H$4384,MATCH($A19&amp;P$2,Master!$A$2:'Master'!$A$4384&amp;Master!$C$2:'Master'!$C$4384,0))</f>
        <v>1</v>
      </c>
      <c r="Q19" s="21" cm="1">
        <f t="array" aca="1" ref="Q19" ca="1">INDEX(Master!$H$2:'Master'!$H$4384,MATCH($A19&amp;Q$2,Master!$A$2:'Master'!$A$4384&amp;Master!$C$2:'Master'!$C$4384,0))</f>
        <v>0</v>
      </c>
      <c r="R19" s="21" cm="1">
        <f t="array" aca="1" ref="R19" ca="1">INDEX(Master!$H$2:'Master'!$H$4384,MATCH($A19&amp;R$2,Master!$A$2:'Master'!$A$4384&amp;Master!$C$2:'Master'!$C$4384,0))</f>
        <v>0</v>
      </c>
      <c r="S19" s="21" cm="1">
        <f t="array" aca="1" ref="S19" ca="1">INDEX(Master!$H$2:'Master'!$H$4384,MATCH($A19&amp;S$2,Master!$A$2:'Master'!$A$4384&amp;Master!$C$2:'Master'!$C$4384,0))</f>
        <v>-1</v>
      </c>
      <c r="T19" s="21" cm="1">
        <f t="array" aca="1" ref="T19" ca="1">INDEX(Master!$H$2:'Master'!$H$4384,MATCH($A19&amp;T$2,Master!$A$2:'Master'!$A$4384&amp;Master!$C$2:'Master'!$C$4384,0))</f>
        <v>0</v>
      </c>
      <c r="U19" s="21" cm="1">
        <f t="array" aca="1" ref="U19" ca="1">INDEX(Master!$H$2:'Master'!$H$4384,MATCH($A19&amp;U$2,Master!$A$2:'Master'!$A$4384&amp;Master!$C$2:'Master'!$C$4384,0))</f>
        <v>-1</v>
      </c>
      <c r="V19" s="21" cm="1">
        <f t="array" aca="1" ref="V19" ca="1">INDEX(Master!$H$2:'Master'!$H$4384,MATCH($A19&amp;V$2,Master!$A$2:'Master'!$A$4384&amp;Master!$C$2:'Master'!$C$4384,0))</f>
        <v>-1</v>
      </c>
      <c r="W19" s="21" cm="1">
        <f t="array" aca="1" ref="W19" ca="1">INDEX(Master!$H$2:'Master'!$H$4384,MATCH($A19&amp;W$2,Master!$A$2:'Master'!$A$4384&amp;Master!$C$2:'Master'!$C$4384,0))</f>
        <v>-1</v>
      </c>
      <c r="X19" s="21" cm="1">
        <f t="array" aca="1" ref="X19" ca="1">INDEX(Master!$H$2:'Master'!$H$4384,MATCH($A19&amp;X$2,Master!$A$2:'Master'!$A$4384&amp;Master!$C$2:'Master'!$C$4384,0))</f>
        <v>1</v>
      </c>
      <c r="Y19" s="21" cm="1">
        <f t="array" aca="1" ref="Y19" ca="1">INDEX(Master!$H$2:'Master'!$H$4384,MATCH($A19&amp;Y$2,Master!$A$2:'Master'!$A$4384&amp;Master!$C$2:'Master'!$C$4384,0))</f>
        <v>3</v>
      </c>
      <c r="Z19" s="21" cm="1">
        <f t="array" aca="1" ref="Z19" ca="1">INDEX(Master!$H$2:'Master'!$H$4384,MATCH($A19&amp;Z$2,Master!$A$2:'Master'!$A$4384&amp;Master!$C$2:'Master'!$C$4384,0))</f>
        <v>0</v>
      </c>
      <c r="AA19" s="21" cm="1">
        <f t="array" aca="1" ref="AA19" ca="1">INDEX(Master!$H$2:'Master'!$H$4384,MATCH($A19&amp;AA$2,Master!$A$2:'Master'!$A$4384&amp;Master!$C$2:'Master'!$C$4384,0))</f>
        <v>-3</v>
      </c>
      <c r="AB19" s="21" cm="1">
        <f t="array" aca="1" ref="AB19" ca="1">INDEX(Master!$H$2:'Master'!$H$4384,MATCH($A19&amp;AB$2,Master!$A$2:'Master'!$A$4384&amp;Master!$C$2:'Master'!$C$4384,0))</f>
        <v>-2</v>
      </c>
      <c r="AC19" s="21" cm="1">
        <f t="array" aca="1" ref="AC19" ca="1">INDEX(Master!$H$2:'Master'!$H$4384,MATCH($A19&amp;AC$2,Master!$A$2:'Master'!$A$4384&amp;Master!$C$2:'Master'!$C$4384,0))</f>
        <v>-1</v>
      </c>
      <c r="AD19" s="21" cm="1">
        <f t="array" aca="1" ref="AD19" ca="1">INDEX(Master!$H$2:'Master'!$H$4384,MATCH($A19&amp;AD$2,Master!$A$2:'Master'!$A$4384&amp;Master!$C$2:'Master'!$C$4384,0))</f>
        <v>-1</v>
      </c>
      <c r="AE19" s="21" cm="1">
        <f t="array" aca="1" ref="AE19" ca="1">INDEX(Master!$H$2:'Master'!$H$4384,MATCH($A19&amp;AE$2,Master!$A$2:'Master'!$A$4384&amp;Master!$C$2:'Master'!$C$4384,0))</f>
        <v>1</v>
      </c>
      <c r="AF19" s="21" cm="1">
        <f t="array" aca="1" ref="AF19" ca="1">INDEX(Master!$H$2:'Master'!$H$4384,MATCH($A19&amp;AF$2,Master!$A$2:'Master'!$A$4384&amp;Master!$C$2:'Master'!$C$4384,0))</f>
        <v>0</v>
      </c>
      <c r="AG19" s="21" cm="1">
        <f t="array" aca="1" ref="AG19" ca="1">INDEX(Master!$H$2:'Master'!$H$4384,MATCH($A19&amp;AG$2,Master!$A$2:'Master'!$A$4384&amp;Master!$C$2:'Master'!$C$4384,0))</f>
        <v>1</v>
      </c>
      <c r="AH19" s="21" cm="1">
        <f t="array" aca="1" ref="AH19" ca="1">INDEX(Master!$H$2:'Master'!$H$4384,MATCH($A19&amp;AH$2,Master!$A$2:'Master'!$A$4384&amp;Master!$C$2:'Master'!$C$4384,0))</f>
        <v>1</v>
      </c>
      <c r="AI19" s="21" cm="1">
        <f t="array" aca="1" ref="AI19" ca="1">INDEX(Master!$H$2:'Master'!$H$4384,MATCH($A19&amp;AI$2,Master!$A$2:'Master'!$A$4384&amp;Master!$C$2:'Master'!$C$4384,0))</f>
        <v>1</v>
      </c>
      <c r="AJ19" s="21" cm="1">
        <f t="array" aca="1" ref="AJ19" ca="1">INDEX(Master!$H$2:'Master'!$H$4384,MATCH($A19&amp;AJ$2,Master!$A$2:'Master'!$A$4384&amp;Master!$C$2:'Master'!$C$4384,0))</f>
        <v>3</v>
      </c>
      <c r="AK19" s="21" cm="1">
        <f t="array" aca="1" ref="AK19" ca="1">INDEX(Master!$H$2:'Master'!$H$4384,MATCH($A19&amp;AK$2,Master!$A$2:'Master'!$A$4384&amp;Master!$C$2:'Master'!$C$4384,0))</f>
        <v>1</v>
      </c>
      <c r="AL19" s="21" cm="1">
        <f t="array" aca="1" ref="AL19" ca="1">INDEX(Master!$H$2:'Master'!$H$4384,MATCH($A19&amp;AL$2,Master!$A$2:'Master'!$A$4384&amp;Master!$C$2:'Master'!$C$4384,0))</f>
        <v>2</v>
      </c>
      <c r="AM19" s="21" cm="1">
        <f t="array" aca="1" ref="AM19" ca="1">INDEX(Master!$H$2:'Master'!$H$4384,MATCH($A19&amp;AM$2,Master!$A$2:'Master'!$A$4384&amp;Master!$C$2:'Master'!$C$4384,0))</f>
        <v>2</v>
      </c>
      <c r="AN19" s="21" cm="1">
        <f t="array" aca="1" ref="AN19" ca="1">INDEX(Master!$H$2:'Master'!$H$4384,MATCH($A19&amp;AN$2,Master!$A$2:'Master'!$A$4384&amp;Master!$C$2:'Master'!$C$4384,0))</f>
        <v>1</v>
      </c>
      <c r="AO19" s="21" cm="1">
        <f t="array" aca="1" ref="AO19" ca="1">INDEX(Master!$H$2:'Master'!$H$4384,MATCH($A19&amp;AO$2,Master!$A$2:'Master'!$A$4384&amp;Master!$C$2:'Master'!$C$4384,0))</f>
        <v>0</v>
      </c>
      <c r="AP19" s="21" cm="1">
        <f t="array" aca="1" ref="AP19" ca="1">INDEX(Master!$H$2:'Master'!$H$4384,MATCH($A19&amp;AP$2,Master!$A$2:'Master'!$A$4384&amp;Master!$C$2:'Master'!$C$4384,0))</f>
        <v>0</v>
      </c>
      <c r="AQ19" s="21" cm="1">
        <f t="array" aca="1" ref="AQ19" ca="1">INDEX(Master!$H$2:'Master'!$H$4384,MATCH($A19&amp;AQ$2,Master!$A$2:'Master'!$A$4384&amp;Master!$C$2:'Master'!$C$4384,0))</f>
        <v>0</v>
      </c>
      <c r="AR19" s="21" cm="1">
        <f t="array" aca="1" ref="AR19" ca="1">INDEX(Master!$H$2:'Master'!$H$4384,MATCH($A19&amp;AR$2,Master!$A$2:'Master'!$A$4384&amp;Master!$C$2:'Master'!$C$4384,0))</f>
        <v>-1</v>
      </c>
      <c r="AS19" s="21" cm="1">
        <f t="array" aca="1" ref="AS19" ca="1">INDEX(Master!$H$2:'Master'!$H$4384,MATCH($A19&amp;AS$2,Master!$A$2:'Master'!$A$4384&amp;Master!$C$2:'Master'!$C$4384,0))</f>
        <v>0</v>
      </c>
      <c r="AT19" s="21" cm="1">
        <f t="array" aca="1" ref="AT19" ca="1">INDEX(Master!$H$2:'Master'!$H$4384,MATCH($A19&amp;AT$2,Master!$A$2:'Master'!$A$4384&amp;Master!$C$2:'Master'!$C$4384,0))</f>
        <v>4</v>
      </c>
      <c r="AU19" s="21" cm="1">
        <f t="array" aca="1" ref="AU19" ca="1">INDEX(Master!$H$2:'Master'!$H$4384,MATCH($A19&amp;AU$2,Master!$A$2:'Master'!$A$4384&amp;Master!$C$2:'Master'!$C$4384,0))</f>
        <v>3</v>
      </c>
      <c r="AV19" s="21" cm="1">
        <f t="array" aca="1" ref="AV19" ca="1">INDEX(Master!$H$2:'Master'!$H$4384,MATCH($A19&amp;AV$2,Master!$A$2:'Master'!$A$4384&amp;Master!$C$2:'Master'!$C$4384,0))</f>
        <v>2</v>
      </c>
      <c r="AW19" s="21" cm="1">
        <f t="array" aca="1" ref="AW19" ca="1">INDEX(Master!$H$2:'Master'!$H$4384,MATCH($A19&amp;AW$2,Master!$A$2:'Master'!$A$4384&amp;Master!$C$2:'Master'!$C$4384,0))</f>
        <v>1</v>
      </c>
      <c r="AX19" s="21" cm="1">
        <f t="array" aca="1" ref="AX19" ca="1">INDEX(Master!$H$2:'Master'!$H$4384,MATCH($A19&amp;AX$2,Master!$A$2:'Master'!$A$4384&amp;Master!$C$2:'Master'!$C$4384,0))</f>
        <v>3</v>
      </c>
      <c r="AY19" s="21" cm="1">
        <f t="array" aca="1" ref="AY19" ca="1">INDEX(Master!$H$2:'Master'!$H$4384,MATCH($A19&amp;AY$2,Master!$A$2:'Master'!$A$4384&amp;Master!$C$2:'Master'!$C$4384,0))</f>
        <v>2</v>
      </c>
      <c r="AZ19" s="21" cm="1">
        <f t="array" aca="1" ref="AZ19" ca="1">INDEX(Master!$H$2:'Master'!$H$4384,MATCH($A19&amp;AZ$2,Master!$A$2:'Master'!$A$4384&amp;Master!$C$2:'Master'!$C$4384,0))</f>
        <v>2</v>
      </c>
      <c r="BA19" s="21" cm="1">
        <f t="array" aca="1" ref="BA19" ca="1">INDEX(Master!$H$2:'Master'!$H$4384,MATCH($A19&amp;BA$2,Master!$A$2:'Master'!$A$4384&amp;Master!$C$2:'Master'!$C$4384,0))</f>
        <v>3</v>
      </c>
      <c r="BB19" s="21" cm="1">
        <f t="array" aca="1" ref="BB19" ca="1">INDEX(Master!$H$2:'Master'!$H$4384,MATCH($A19&amp;BB$2,Master!$A$2:'Master'!$A$4384&amp;Master!$C$2:'Master'!$C$4384,0))</f>
        <v>3</v>
      </c>
      <c r="BC19" s="21" cm="1">
        <f t="array" aca="1" ref="BC19" ca="1">INDEX(Master!$H$2:'Master'!$H$4384,MATCH($A19&amp;BC$2,Master!$A$2:'Master'!$A$4384&amp;Master!$C$2:'Master'!$C$4384,0))</f>
        <v>1</v>
      </c>
      <c r="BD19" s="21" cm="1">
        <f t="array" aca="1" ref="BD19" ca="1">INDEX(Master!$H$2:'Master'!$H$4384,MATCH($A19&amp;BD$2,Master!$A$2:'Master'!$A$4384&amp;Master!$C$2:'Master'!$C$4384,0))</f>
        <v>1</v>
      </c>
      <c r="BE19" s="21" cm="1">
        <f t="array" aca="1" ref="BE19" ca="1">INDEX(Master!$H$2:'Master'!$H$4384,MATCH($A19&amp;BE$2,Master!$A$2:'Master'!$A$4384&amp;Master!$C$2:'Master'!$C$4384,0))</f>
        <v>1</v>
      </c>
      <c r="BF19" s="21" cm="1">
        <f t="array" aca="1" ref="BF19" ca="1">INDEX(Master!$H$2:'Master'!$H$4384,MATCH($A19&amp;BF$2,Master!$A$2:'Master'!$A$4384&amp;Master!$C$2:'Master'!$C$4384,0))</f>
        <v>0</v>
      </c>
      <c r="BG19" s="21" cm="1">
        <f t="array" aca="1" ref="BG19" ca="1">INDEX(Master!$H$2:'Master'!$H$4384,MATCH($A19&amp;BG$2,Master!$A$2:'Master'!$A$4384&amp;Master!$C$2:'Master'!$C$4384,0))</f>
        <v>-1</v>
      </c>
      <c r="BH19" s="21" cm="1">
        <f t="array" aca="1" ref="BH19" ca="1">INDEX(Master!$H$2:'Master'!$H$4384,MATCH($A19&amp;BH$2,Master!$A$2:'Master'!$A$4384&amp;Master!$C$2:'Master'!$C$4384,0))</f>
        <v>0</v>
      </c>
      <c r="BI19" s="21" cm="1">
        <f t="array" aca="1" ref="BI19" ca="1">INDEX(Master!$H$2:'Master'!$H$4384,MATCH($A19&amp;BI$2,Master!$A$2:'Master'!$A$4384&amp;Master!$C$2:'Master'!$C$4384,0))</f>
        <v>2</v>
      </c>
      <c r="BJ19" s="21" cm="1">
        <f t="array" aca="1" ref="BJ19" ca="1">INDEX(Master!$H$2:'Master'!$H$4384,MATCH($A19&amp;BJ$2,Master!$A$2:'Master'!$A$4384&amp;Master!$C$2:'Master'!$C$4384,0))</f>
        <v>3</v>
      </c>
      <c r="BK19" s="21" cm="1">
        <f t="array" aca="1" ref="BK19" ca="1">INDEX(Master!$H$2:'Master'!$H$4384,MATCH($A19&amp;BK$2,Master!$A$2:'Master'!$A$4384&amp;Master!$C$2:'Master'!$C$4384,0))</f>
        <v>0</v>
      </c>
      <c r="BL19" s="21" cm="1">
        <f t="array" aca="1" ref="BL19" ca="1">INDEX(Master!$H$2:'Master'!$H$4384,MATCH($A19&amp;BL$2,Master!$A$2:'Master'!$A$4384&amp;Master!$C$2:'Master'!$C$4384,0))</f>
        <v>0</v>
      </c>
      <c r="BM19" s="21" cm="1">
        <f t="array" aca="1" ref="BM19" ca="1">INDEX(Master!$H$2:'Master'!$H$4384,MATCH($A19&amp;BM$2,Master!$A$2:'Master'!$A$4384&amp;Master!$C$2:'Master'!$C$4384,0))</f>
        <v>1</v>
      </c>
      <c r="BN19" s="21" cm="1">
        <f t="array" aca="1" ref="BN19" ca="1">INDEX(Master!$H$2:'Master'!$H$4384,MATCH($A19&amp;BN$2,Master!$A$2:'Master'!$A$4384&amp;Master!$C$2:'Master'!$C$4384,0))</f>
        <v>-1</v>
      </c>
      <c r="BO19" s="21" cm="1">
        <f t="array" aca="1" ref="BO19" ca="1">INDEX(Master!$H$2:'Master'!$H$4384,MATCH($A19&amp;BO$2,Master!$A$2:'Master'!$A$4384&amp;Master!$C$2:'Master'!$C$4384,0))</f>
        <v>0</v>
      </c>
      <c r="BP19" s="21" cm="1">
        <f t="array" aca="1" ref="BP19" ca="1">INDEX(Master!$H$2:'Master'!$H$4384,MATCH($A19&amp;BP$2,Master!$A$2:'Master'!$A$4384&amp;Master!$C$2:'Master'!$C$4384,0))</f>
        <v>-2</v>
      </c>
      <c r="BQ19" s="21" cm="1">
        <f t="array" aca="1" ref="BQ19" ca="1">INDEX(Master!$H$2:'Master'!$H$4384,MATCH($A19&amp;BQ$2,Master!$A$2:'Master'!$A$4384&amp;Master!$C$2:'Master'!$C$4384,0))</f>
        <v>0</v>
      </c>
      <c r="BR19" s="21" cm="1">
        <f t="array" aca="1" ref="BR19" ca="1">INDEX(Master!$H$2:'Master'!$H$4384,MATCH($A19&amp;BR$2,Master!$A$2:'Master'!$A$4384&amp;Master!$C$2:'Master'!$C$4384,0))</f>
        <v>0</v>
      </c>
      <c r="BS19" s="21" cm="1">
        <f t="array" aca="1" ref="BS19" ca="1">INDEX(Master!$H$2:'Master'!$H$4384,MATCH($A19&amp;BS$2,Master!$A$2:'Master'!$A$4384&amp;Master!$C$2:'Master'!$C$4384,0))</f>
        <v>0</v>
      </c>
      <c r="BT19" s="21" cm="1">
        <f t="array" aca="1" ref="BT19" ca="1">INDEX(Master!$H$2:'Master'!$H$4384,MATCH($A19&amp;BT$2,Master!$A$2:'Master'!$A$4384&amp;Master!$C$2:'Master'!$C$4384,0))</f>
        <v>0</v>
      </c>
      <c r="BU19" s="21" cm="1">
        <f t="array" aca="1" ref="BU19" ca="1">INDEX(Master!$H$2:'Master'!$H$4384,MATCH($A19&amp;BU$2,Master!$A$2:'Master'!$A$4384&amp;Master!$C$2:'Master'!$C$4384,0))</f>
        <v>-1</v>
      </c>
      <c r="BV19" s="21" cm="1">
        <f t="array" aca="1" ref="BV19" ca="1">INDEX(Master!$H$2:'Master'!$H$4384,MATCH($A19&amp;BV$2,Master!$A$2:'Master'!$A$4384&amp;Master!$C$2:'Master'!$C$4384,0))</f>
        <v>-1</v>
      </c>
      <c r="BW19" s="21" cm="1">
        <f t="array" aca="1" ref="BW19" ca="1">INDEX(Master!$H$2:'Master'!$H$4384,MATCH($A19&amp;BW$2,Master!$A$2:'Master'!$A$4384&amp;Master!$C$2:'Master'!$C$4384,0))</f>
        <v>0</v>
      </c>
      <c r="BX19" s="21" cm="1">
        <f t="array" aca="1" ref="BX19" ca="1">INDEX(Master!$H$2:'Master'!$H$4384,MATCH($A19&amp;BX$2,Master!$A$2:'Master'!$A$4384&amp;Master!$C$2:'Master'!$C$4384,0))</f>
        <v>-1</v>
      </c>
      <c r="BY19" s="21" cm="1">
        <f t="array" aca="1" ref="BY19" ca="1">INDEX(Master!$H$2:'Master'!$H$4384,MATCH($A19&amp;BY$2,Master!$A$2:'Master'!$A$4384&amp;Master!$C$2:'Master'!$C$4384,0))</f>
        <v>0</v>
      </c>
      <c r="BZ19" s="21" cm="1">
        <f t="array" aca="1" ref="BZ19" ca="1">INDEX(Master!$H$2:'Master'!$H$4384,MATCH($A19&amp;BZ$2,Master!$A$2:'Master'!$A$4384&amp;Master!$C$2:'Master'!$C$4384,0))</f>
        <v>2</v>
      </c>
      <c r="CA19" s="21" cm="1">
        <f t="array" aca="1" ref="CA19" ca="1">INDEX(Master!$H$2:'Master'!$H$4384,MATCH($A19&amp;CA$2,Master!$A$2:'Master'!$A$4384&amp;Master!$C$2:'Master'!$C$4384,0))</f>
        <v>3</v>
      </c>
      <c r="CB19" s="21" cm="1">
        <f t="array" aca="1" ref="CB19" ca="1">INDEX(Master!$H$2:'Master'!$H$4384,MATCH($A19&amp;CB$2,Master!$A$2:'Master'!$A$4384&amp;Master!$C$2:'Master'!$C$4384,0))</f>
        <v>0</v>
      </c>
      <c r="CC19" s="21" cm="1">
        <f t="array" aca="1" ref="CC19" ca="1">INDEX(Master!$H$2:'Master'!$H$4384,MATCH($A19&amp;CC$2,Master!$A$2:'Master'!$A$4384&amp;Master!$C$2:'Master'!$C$4384,0))</f>
        <v>0</v>
      </c>
      <c r="CD19" s="21" cm="1">
        <f t="array" aca="1" ref="CD19" ca="1">INDEX(Master!$H$2:'Master'!$H$4384,MATCH($A19&amp;CD$2,Master!$A$2:'Master'!$A$4384&amp;Master!$C$2:'Master'!$C$4384,0))</f>
        <v>1</v>
      </c>
      <c r="CE19" s="21" cm="1">
        <f t="array" aca="1" ref="CE19" ca="1">INDEX(Master!$H$2:'Master'!$H$4384,MATCH($A19&amp;CE$2,Master!$A$2:'Master'!$A$4384&amp;Master!$C$2:'Master'!$C$4384,0))</f>
        <v>-1</v>
      </c>
      <c r="CF19" s="21" cm="1">
        <f t="array" aca="1" ref="CF19" ca="1">INDEX(Master!$H$2:'Master'!$H$4384,MATCH($A19&amp;CF$2,Master!$A$2:'Master'!$A$4384&amp;Master!$C$2:'Master'!$C$4384,0))</f>
        <v>0</v>
      </c>
      <c r="CG19" s="21" cm="1">
        <f t="array" aca="1" ref="CG19" ca="1">INDEX(Master!$H$2:'Master'!$H$4384,MATCH($A19&amp;CG$2,Master!$A$2:'Master'!$A$4384&amp;Master!$C$2:'Master'!$C$4384,0))</f>
        <v>0</v>
      </c>
      <c r="CH19" s="21" cm="1">
        <f t="array" aca="1" ref="CH19" ca="1">INDEX(Master!$H$2:'Master'!$H$4384,MATCH($A19&amp;CH$2,Master!$A$2:'Master'!$A$4384&amp;Master!$C$2:'Master'!$C$4384,0))</f>
        <v>0</v>
      </c>
      <c r="CI19" s="21" cm="1">
        <f t="array" aca="1" ref="CI19" ca="1">INDEX(Master!$H$2:'Master'!$H$4384,MATCH($A19&amp;CI$2,Master!$A$2:'Master'!$A$4384&amp;Master!$C$2:'Master'!$C$4384,0))</f>
        <v>0</v>
      </c>
      <c r="CJ19" s="21" cm="1">
        <f t="array" aca="1" ref="CJ19" ca="1">INDEX(Master!$H$2:'Master'!$H$4384,MATCH($A19&amp;CJ$2,Master!$A$2:'Master'!$A$4384&amp;Master!$C$2:'Master'!$C$4384,0))</f>
        <v>-1</v>
      </c>
      <c r="CK19" s="21" cm="1">
        <f t="array" aca="1" ref="CK19" ca="1">INDEX(Master!$H$2:'Master'!$H$4384,MATCH($A19&amp;CK$2,Master!$A$2:'Master'!$A$4384&amp;Master!$C$2:'Master'!$C$4384,0))</f>
        <v>-2</v>
      </c>
      <c r="CL19" s="21" cm="1">
        <f t="array" aca="1" ref="CL19" ca="1">INDEX(Master!$H$2:'Master'!$H$4384,MATCH($A19&amp;CL$2,Master!$A$2:'Master'!$A$4384&amp;Master!$C$2:'Master'!$C$4384,0))</f>
        <v>1</v>
      </c>
      <c r="CM19" s="21" cm="1">
        <f t="array" aca="1" ref="CM19" ca="1">INDEX(Master!$H$2:'Master'!$H$4384,MATCH($A19&amp;CM$2,Master!$A$2:'Master'!$A$4384&amp;Master!$C$2:'Master'!$C$4384,0))</f>
        <v>2</v>
      </c>
      <c r="CN19" s="21" cm="1">
        <f t="array" aca="1" ref="CN19" ca="1">INDEX(Master!$H$2:'Master'!$H$4384,MATCH($A19&amp;CN$2,Master!$A$2:'Master'!$A$4384&amp;Master!$C$2:'Master'!$C$4384,0))</f>
        <v>1</v>
      </c>
      <c r="CO19" s="21" cm="1">
        <f t="array" aca="1" ref="CO19" ca="1">INDEX(Master!$H$2:'Master'!$H$4384,MATCH($A19&amp;CO$2,Master!$A$2:'Master'!$A$4384&amp;Master!$C$2:'Master'!$C$4384,0))</f>
        <v>0</v>
      </c>
      <c r="CP19" s="21" cm="1">
        <f t="array" aca="1" ref="CP19" ca="1">INDEX(Master!$H$2:'Master'!$H$4384,MATCH($A19&amp;CP$2,Master!$A$2:'Master'!$A$4384&amp;Master!$C$2:'Master'!$C$4384,0))</f>
        <v>1</v>
      </c>
      <c r="CQ19" s="21" cm="1">
        <f t="array" aca="1" ref="CQ19" ca="1">INDEX(Master!$H$2:'Master'!$H$4384,MATCH($A19&amp;CQ$2,Master!$A$2:'Master'!$A$4384&amp;Master!$C$2:'Master'!$C$4384,0))</f>
        <v>0</v>
      </c>
      <c r="CR19" s="21" cm="1">
        <f t="array" aca="1" ref="CR19" ca="1">INDEX(Master!$H$2:'Master'!$H$4384,MATCH($A19&amp;CR$2,Master!$A$2:'Master'!$A$4384&amp;Master!$C$2:'Master'!$C$4384,0))</f>
        <v>3</v>
      </c>
      <c r="CS19" s="21" cm="1">
        <f t="array" aca="1" ref="CS19" ca="1">INDEX(Master!$H$2:'Master'!$H$4384,MATCH($A19&amp;CS$2,Master!$A$2:'Master'!$A$4384&amp;Master!$C$2:'Master'!$C$4384,0))</f>
        <v>2</v>
      </c>
    </row>
    <row r="20" spans="1:97">
      <c r="A20" s="22" t="str">
        <f>VLOOKUP(Staff!$A16,Staff!$A$1:A$73,1,FALSE)</f>
        <v>Tom Barnaby</v>
      </c>
      <c r="B20" s="21" cm="1">
        <f t="array" aca="1" ref="B20" ca="1">INDEX(Master!$H$2:'Master'!$H$4384,MATCH($A20&amp;B$2,Master!$A$2:'Master'!$A$4384&amp;Master!$C$2:'Master'!$C$4384,0))</f>
        <v>0</v>
      </c>
      <c r="C20" s="21" cm="1">
        <f t="array" aca="1" ref="C20" ca="1">INDEX(Master!$H$2:'Master'!$H$4384,MATCH($A20&amp;C$2,Master!$A$2:'Master'!$A$4384&amp;Master!$C$2:'Master'!$C$4384,0))</f>
        <v>0</v>
      </c>
      <c r="D20" s="21" cm="1">
        <f t="array" aca="1" ref="D20" ca="1">INDEX(Master!$H$2:'Master'!$H$4384,MATCH($A20&amp;D$2,Master!$A$2:'Master'!$A$4384&amp;Master!$C$2:'Master'!$C$4384,0))</f>
        <v>0</v>
      </c>
      <c r="E20" s="21" cm="1">
        <f t="array" aca="1" ref="E20" ca="1">INDEX(Master!$H$2:'Master'!$H$4384,MATCH($A20&amp;E$2,Master!$A$2:'Master'!$A$4384&amp;Master!$C$2:'Master'!$C$4384,0))</f>
        <v>0</v>
      </c>
      <c r="F20" s="21" cm="1">
        <f t="array" aca="1" ref="F20" ca="1">INDEX(Master!$H$2:'Master'!$H$4384,MATCH($A20&amp;F$2,Master!$A$2:'Master'!$A$4384&amp;Master!$C$2:'Master'!$C$4384,0))</f>
        <v>0</v>
      </c>
      <c r="G20" s="21" cm="1">
        <f t="array" aca="1" ref="G20" ca="1">INDEX(Master!$H$2:'Master'!$H$4384,MATCH($A20&amp;G$2,Master!$A$2:'Master'!$A$4384&amp;Master!$C$2:'Master'!$C$4384,0))</f>
        <v>0</v>
      </c>
      <c r="H20" s="21" cm="1">
        <f t="array" aca="1" ref="H20" ca="1">INDEX(Master!$H$2:'Master'!$H$4384,MATCH($A20&amp;H$2,Master!$A$2:'Master'!$A$4384&amp;Master!$C$2:'Master'!$C$4384,0))</f>
        <v>0</v>
      </c>
      <c r="I20" s="21" cm="1">
        <f t="array" aca="1" ref="I20" ca="1">INDEX(Master!$H$2:'Master'!$H$4384,MATCH($A20&amp;I$2,Master!$A$2:'Master'!$A$4384&amp;Master!$C$2:'Master'!$C$4384,0))</f>
        <v>-1</v>
      </c>
      <c r="J20" s="21" cm="1">
        <f t="array" aca="1" ref="J20" ca="1">INDEX(Master!$H$2:'Master'!$H$4384,MATCH($A20&amp;J$2,Master!$A$2:'Master'!$A$4384&amp;Master!$C$2:'Master'!$C$4384,0))</f>
        <v>-1</v>
      </c>
      <c r="K20" s="21" cm="1">
        <f t="array" aca="1" ref="K20" ca="1">INDEX(Master!$H$2:'Master'!$H$4384,MATCH($A20&amp;K$2,Master!$A$2:'Master'!$A$4384&amp;Master!$C$2:'Master'!$C$4384,0))</f>
        <v>0</v>
      </c>
      <c r="L20" s="21" cm="1">
        <f t="array" aca="1" ref="L20" ca="1">INDEX(Master!$H$2:'Master'!$H$4384,MATCH($A20&amp;L$2,Master!$A$2:'Master'!$A$4384&amp;Master!$C$2:'Master'!$C$4384,0))</f>
        <v>0</v>
      </c>
      <c r="M20" s="21" cm="1">
        <f t="array" aca="1" ref="M20" ca="1">INDEX(Master!$H$2:'Master'!$H$4384,MATCH($A20&amp;M$2,Master!$A$2:'Master'!$A$4384&amp;Master!$C$2:'Master'!$C$4384,0))</f>
        <v>0</v>
      </c>
      <c r="N20" s="21" cm="1">
        <f t="array" aca="1" ref="N20" ca="1">INDEX(Master!$H$2:'Master'!$H$4384,MATCH($A20&amp;N$2,Master!$A$2:'Master'!$A$4384&amp;Master!$C$2:'Master'!$C$4384,0))</f>
        <v>-2</v>
      </c>
      <c r="O20" s="21" cm="1">
        <f t="array" aca="1" ref="O20" ca="1">INDEX(Master!$H$2:'Master'!$H$4384,MATCH($A20&amp;O$2,Master!$A$2:'Master'!$A$4384&amp;Master!$C$2:'Master'!$C$4384,0))</f>
        <v>-3</v>
      </c>
      <c r="P20" s="21" cm="1">
        <f t="array" aca="1" ref="P20" ca="1">INDEX(Master!$H$2:'Master'!$H$4384,MATCH($A20&amp;P$2,Master!$A$2:'Master'!$A$4384&amp;Master!$C$2:'Master'!$C$4384,0))</f>
        <v>0</v>
      </c>
      <c r="Q20" s="21" cm="1">
        <f t="array" aca="1" ref="Q20" ca="1">INDEX(Master!$H$2:'Master'!$H$4384,MATCH($A20&amp;Q$2,Master!$A$2:'Master'!$A$4384&amp;Master!$C$2:'Master'!$C$4384,0))</f>
        <v>-1</v>
      </c>
      <c r="R20" s="21" cm="1">
        <f t="array" aca="1" ref="R20" ca="1">INDEX(Master!$H$2:'Master'!$H$4384,MATCH($A20&amp;R$2,Master!$A$2:'Master'!$A$4384&amp;Master!$C$2:'Master'!$C$4384,0))</f>
        <v>0</v>
      </c>
      <c r="S20" s="21" cm="1">
        <f t="array" aca="1" ref="S20" ca="1">INDEX(Master!$H$2:'Master'!$H$4384,MATCH($A20&amp;S$2,Master!$A$2:'Master'!$A$4384&amp;Master!$C$2:'Master'!$C$4384,0))</f>
        <v>-2</v>
      </c>
      <c r="T20" s="21" cm="1">
        <f t="array" aca="1" ref="T20" ca="1">INDEX(Master!$H$2:'Master'!$H$4384,MATCH($A20&amp;T$2,Master!$A$2:'Master'!$A$4384&amp;Master!$C$2:'Master'!$C$4384,0))</f>
        <v>0</v>
      </c>
      <c r="U20" s="21" cm="1">
        <f t="array" aca="1" ref="U20" ca="1">INDEX(Master!$H$2:'Master'!$H$4384,MATCH($A20&amp;U$2,Master!$A$2:'Master'!$A$4384&amp;Master!$C$2:'Master'!$C$4384,0))</f>
        <v>-1</v>
      </c>
      <c r="V20" s="21" cm="1">
        <f t="array" aca="1" ref="V20" ca="1">INDEX(Master!$H$2:'Master'!$H$4384,MATCH($A20&amp;V$2,Master!$A$2:'Master'!$A$4384&amp;Master!$C$2:'Master'!$C$4384,0))</f>
        <v>-2</v>
      </c>
      <c r="W20" s="21" cm="1">
        <f t="array" aca="1" ref="W20" ca="1">INDEX(Master!$H$2:'Master'!$H$4384,MATCH($A20&amp;W$2,Master!$A$2:'Master'!$A$4384&amp;Master!$C$2:'Master'!$C$4384,0))</f>
        <v>-1</v>
      </c>
      <c r="X20" s="21" cm="1">
        <f t="array" aca="1" ref="X20" ca="1">INDEX(Master!$H$2:'Master'!$H$4384,MATCH($A20&amp;X$2,Master!$A$2:'Master'!$A$4384&amp;Master!$C$2:'Master'!$C$4384,0))</f>
        <v>-3</v>
      </c>
      <c r="Y20" s="21" cm="1">
        <f t="array" aca="1" ref="Y20" ca="1">INDEX(Master!$H$2:'Master'!$H$4384,MATCH($A20&amp;Y$2,Master!$A$2:'Master'!$A$4384&amp;Master!$C$2:'Master'!$C$4384,0))</f>
        <v>2</v>
      </c>
      <c r="Z20" s="21" cm="1">
        <f t="array" aca="1" ref="Z20" ca="1">INDEX(Master!$H$2:'Master'!$H$4384,MATCH($A20&amp;Z$2,Master!$A$2:'Master'!$A$4384&amp;Master!$C$2:'Master'!$C$4384,0))</f>
        <v>0</v>
      </c>
      <c r="AA20" s="21" cm="1">
        <f t="array" aca="1" ref="AA20" ca="1">INDEX(Master!$H$2:'Master'!$H$4384,MATCH($A20&amp;AA$2,Master!$A$2:'Master'!$A$4384&amp;Master!$C$2:'Master'!$C$4384,0))</f>
        <v>0</v>
      </c>
      <c r="AB20" s="21" cm="1">
        <f t="array" aca="1" ref="AB20" ca="1">INDEX(Master!$H$2:'Master'!$H$4384,MATCH($A20&amp;AB$2,Master!$A$2:'Master'!$A$4384&amp;Master!$C$2:'Master'!$C$4384,0))</f>
        <v>0</v>
      </c>
      <c r="AC20" s="21" cm="1">
        <f t="array" aca="1" ref="AC20" ca="1">INDEX(Master!$H$2:'Master'!$H$4384,MATCH($A20&amp;AC$2,Master!$A$2:'Master'!$A$4384&amp;Master!$C$2:'Master'!$C$4384,0))</f>
        <v>0</v>
      </c>
      <c r="AD20" s="21" cm="1">
        <f t="array" aca="1" ref="AD20" ca="1">INDEX(Master!$H$2:'Master'!$H$4384,MATCH($A20&amp;AD$2,Master!$A$2:'Master'!$A$4384&amp;Master!$C$2:'Master'!$C$4384,0))</f>
        <v>0</v>
      </c>
      <c r="AE20" s="21" cm="1">
        <f t="array" aca="1" ref="AE20" ca="1">INDEX(Master!$H$2:'Master'!$H$4384,MATCH($A20&amp;AE$2,Master!$A$2:'Master'!$A$4384&amp;Master!$C$2:'Master'!$C$4384,0))</f>
        <v>0</v>
      </c>
      <c r="AF20" s="21" cm="1">
        <f t="array" aca="1" ref="AF20" ca="1">INDEX(Master!$H$2:'Master'!$H$4384,MATCH($A20&amp;AF$2,Master!$A$2:'Master'!$A$4384&amp;Master!$C$2:'Master'!$C$4384,0))</f>
        <v>1</v>
      </c>
      <c r="AG20" s="21" cm="1">
        <f t="array" aca="1" ref="AG20" ca="1">INDEX(Master!$H$2:'Master'!$H$4384,MATCH($A20&amp;AG$2,Master!$A$2:'Master'!$A$4384&amp;Master!$C$2:'Master'!$C$4384,0))</f>
        <v>1</v>
      </c>
      <c r="AH20" s="21" cm="1">
        <f t="array" aca="1" ref="AH20" ca="1">INDEX(Master!$H$2:'Master'!$H$4384,MATCH($A20&amp;AH$2,Master!$A$2:'Master'!$A$4384&amp;Master!$C$2:'Master'!$C$4384,0))</f>
        <v>1</v>
      </c>
      <c r="AI20" s="21" cm="1">
        <f t="array" aca="1" ref="AI20" ca="1">INDEX(Master!$H$2:'Master'!$H$4384,MATCH($A20&amp;AI$2,Master!$A$2:'Master'!$A$4384&amp;Master!$C$2:'Master'!$C$4384,0))</f>
        <v>0</v>
      </c>
      <c r="AJ20" s="21" cm="1">
        <f t="array" aca="1" ref="AJ20" ca="1">INDEX(Master!$H$2:'Master'!$H$4384,MATCH($A20&amp;AJ$2,Master!$A$2:'Master'!$A$4384&amp;Master!$C$2:'Master'!$C$4384,0))</f>
        <v>2</v>
      </c>
      <c r="AK20" s="21" cm="1">
        <f t="array" aca="1" ref="AK20" ca="1">INDEX(Master!$H$2:'Master'!$H$4384,MATCH($A20&amp;AK$2,Master!$A$2:'Master'!$A$4384&amp;Master!$C$2:'Master'!$C$4384,0))</f>
        <v>1</v>
      </c>
      <c r="AL20" s="21" cm="1">
        <f t="array" aca="1" ref="AL20" ca="1">INDEX(Master!$H$2:'Master'!$H$4384,MATCH($A20&amp;AL$2,Master!$A$2:'Master'!$A$4384&amp;Master!$C$2:'Master'!$C$4384,0))</f>
        <v>1</v>
      </c>
      <c r="AM20" s="21" cm="1">
        <f t="array" aca="1" ref="AM20" ca="1">INDEX(Master!$H$2:'Master'!$H$4384,MATCH($A20&amp;AM$2,Master!$A$2:'Master'!$A$4384&amp;Master!$C$2:'Master'!$C$4384,0))</f>
        <v>2</v>
      </c>
      <c r="AN20" s="21" cm="1">
        <f t="array" aca="1" ref="AN20" ca="1">INDEX(Master!$H$2:'Master'!$H$4384,MATCH($A20&amp;AN$2,Master!$A$2:'Master'!$A$4384&amp;Master!$C$2:'Master'!$C$4384,0))</f>
        <v>-2</v>
      </c>
      <c r="AO20" s="21" cm="1">
        <f t="array" aca="1" ref="AO20" ca="1">INDEX(Master!$H$2:'Master'!$H$4384,MATCH($A20&amp;AO$2,Master!$A$2:'Master'!$A$4384&amp;Master!$C$2:'Master'!$C$4384,0))</f>
        <v>-3</v>
      </c>
      <c r="AP20" s="21" cm="1">
        <f t="array" aca="1" ref="AP20" ca="1">INDEX(Master!$H$2:'Master'!$H$4384,MATCH($A20&amp;AP$2,Master!$A$2:'Master'!$A$4384&amp;Master!$C$2:'Master'!$C$4384,0))</f>
        <v>1</v>
      </c>
      <c r="AQ20" s="21" cm="1">
        <f t="array" aca="1" ref="AQ20" ca="1">INDEX(Master!$H$2:'Master'!$H$4384,MATCH($A20&amp;AQ$2,Master!$A$2:'Master'!$A$4384&amp;Master!$C$2:'Master'!$C$4384,0))</f>
        <v>1</v>
      </c>
      <c r="AR20" s="21" cm="1">
        <f t="array" aca="1" ref="AR20" ca="1">INDEX(Master!$H$2:'Master'!$H$4384,MATCH($A20&amp;AR$2,Master!$A$2:'Master'!$A$4384&amp;Master!$C$2:'Master'!$C$4384,0))</f>
        <v>0</v>
      </c>
      <c r="AS20" s="21" cm="1">
        <f t="array" aca="1" ref="AS20" ca="1">INDEX(Master!$H$2:'Master'!$H$4384,MATCH($A20&amp;AS$2,Master!$A$2:'Master'!$A$4384&amp;Master!$C$2:'Master'!$C$4384,0))</f>
        <v>-2</v>
      </c>
      <c r="AT20" s="21" cm="1">
        <f t="array" aca="1" ref="AT20" ca="1">INDEX(Master!$H$2:'Master'!$H$4384,MATCH($A20&amp;AT$2,Master!$A$2:'Master'!$A$4384&amp;Master!$C$2:'Master'!$C$4384,0))</f>
        <v>-2</v>
      </c>
      <c r="AU20" s="21" cm="1">
        <f t="array" aca="1" ref="AU20" ca="1">INDEX(Master!$H$2:'Master'!$H$4384,MATCH($A20&amp;AU$2,Master!$A$2:'Master'!$A$4384&amp;Master!$C$2:'Master'!$C$4384,0))</f>
        <v>-1</v>
      </c>
      <c r="AV20" s="21" cm="1">
        <f t="array" aca="1" ref="AV20" ca="1">INDEX(Master!$H$2:'Master'!$H$4384,MATCH($A20&amp;AV$2,Master!$A$2:'Master'!$A$4384&amp;Master!$C$2:'Master'!$C$4384,0))</f>
        <v>2</v>
      </c>
      <c r="AW20" s="21" cm="1">
        <f t="array" aca="1" ref="AW20" ca="1">INDEX(Master!$H$2:'Master'!$H$4384,MATCH($A20&amp;AW$2,Master!$A$2:'Master'!$A$4384&amp;Master!$C$2:'Master'!$C$4384,0))</f>
        <v>1</v>
      </c>
      <c r="AX20" s="21" cm="1">
        <f t="array" aca="1" ref="AX20" ca="1">INDEX(Master!$H$2:'Master'!$H$4384,MATCH($A20&amp;AX$2,Master!$A$2:'Master'!$A$4384&amp;Master!$C$2:'Master'!$C$4384,0))</f>
        <v>3</v>
      </c>
      <c r="AY20" s="21" cm="1">
        <f t="array" aca="1" ref="AY20" ca="1">INDEX(Master!$H$2:'Master'!$H$4384,MATCH($A20&amp;AY$2,Master!$A$2:'Master'!$A$4384&amp;Master!$C$2:'Master'!$C$4384,0))</f>
        <v>3</v>
      </c>
      <c r="AZ20" s="21" cm="1">
        <f t="array" aca="1" ref="AZ20" ca="1">INDEX(Master!$H$2:'Master'!$H$4384,MATCH($A20&amp;AZ$2,Master!$A$2:'Master'!$A$4384&amp;Master!$C$2:'Master'!$C$4384,0))</f>
        <v>0</v>
      </c>
      <c r="BA20" s="21" cm="1">
        <f t="array" aca="1" ref="BA20" ca="1">INDEX(Master!$H$2:'Master'!$H$4384,MATCH($A20&amp;BA$2,Master!$A$2:'Master'!$A$4384&amp;Master!$C$2:'Master'!$C$4384,0))</f>
        <v>3</v>
      </c>
      <c r="BB20" s="21" cm="1">
        <f t="array" aca="1" ref="BB20" ca="1">INDEX(Master!$H$2:'Master'!$H$4384,MATCH($A20&amp;BB$2,Master!$A$2:'Master'!$A$4384&amp;Master!$C$2:'Master'!$C$4384,0))</f>
        <v>2</v>
      </c>
      <c r="BC20" s="21" cm="1">
        <f t="array" aca="1" ref="BC20" ca="1">INDEX(Master!$H$2:'Master'!$H$4384,MATCH($A20&amp;BC$2,Master!$A$2:'Master'!$A$4384&amp;Master!$C$2:'Master'!$C$4384,0))</f>
        <v>3</v>
      </c>
      <c r="BD20" s="21" cm="1">
        <f t="array" aca="1" ref="BD20" ca="1">INDEX(Master!$H$2:'Master'!$H$4384,MATCH($A20&amp;BD$2,Master!$A$2:'Master'!$A$4384&amp;Master!$C$2:'Master'!$C$4384,0))</f>
        <v>2</v>
      </c>
      <c r="BE20" s="21" cm="1">
        <f t="array" aca="1" ref="BE20" ca="1">INDEX(Master!$H$2:'Master'!$H$4384,MATCH($A20&amp;BE$2,Master!$A$2:'Master'!$A$4384&amp;Master!$C$2:'Master'!$C$4384,0))</f>
        <v>0</v>
      </c>
      <c r="BF20" s="21" cm="1">
        <f t="array" aca="1" ref="BF20" ca="1">INDEX(Master!$H$2:'Master'!$H$4384,MATCH($A20&amp;BF$2,Master!$A$2:'Master'!$A$4384&amp;Master!$C$2:'Master'!$C$4384,0))</f>
        <v>-2</v>
      </c>
      <c r="BG20" s="21" cm="1">
        <f t="array" aca="1" ref="BG20" ca="1">INDEX(Master!$H$2:'Master'!$H$4384,MATCH($A20&amp;BG$2,Master!$A$2:'Master'!$A$4384&amp;Master!$C$2:'Master'!$C$4384,0))</f>
        <v>-3</v>
      </c>
      <c r="BH20" s="21" cm="1">
        <f t="array" aca="1" ref="BH20" ca="1">INDEX(Master!$H$2:'Master'!$H$4384,MATCH($A20&amp;BH$2,Master!$A$2:'Master'!$A$4384&amp;Master!$C$2:'Master'!$C$4384,0))</f>
        <v>-2</v>
      </c>
      <c r="BI20" s="21" cm="1">
        <f t="array" aca="1" ref="BI20" ca="1">INDEX(Master!$H$2:'Master'!$H$4384,MATCH($A20&amp;BI$2,Master!$A$2:'Master'!$A$4384&amp;Master!$C$2:'Master'!$C$4384,0))</f>
        <v>-2</v>
      </c>
      <c r="BJ20" s="21" cm="1">
        <f t="array" aca="1" ref="BJ20" ca="1">INDEX(Master!$H$2:'Master'!$H$4384,MATCH($A20&amp;BJ$2,Master!$A$2:'Master'!$A$4384&amp;Master!$C$2:'Master'!$C$4384,0))</f>
        <v>-2</v>
      </c>
      <c r="BK20" s="21" cm="1">
        <f t="array" aca="1" ref="BK20" ca="1">INDEX(Master!$H$2:'Master'!$H$4384,MATCH($A20&amp;BK$2,Master!$A$2:'Master'!$A$4384&amp;Master!$C$2:'Master'!$C$4384,0))</f>
        <v>0</v>
      </c>
      <c r="BL20" s="21" cm="1">
        <f t="array" aca="1" ref="BL20" ca="1">INDEX(Master!$H$2:'Master'!$H$4384,MATCH($A20&amp;BL$2,Master!$A$2:'Master'!$A$4384&amp;Master!$C$2:'Master'!$C$4384,0))</f>
        <v>-2</v>
      </c>
      <c r="BM20" s="21" cm="1">
        <f t="array" aca="1" ref="BM20" ca="1">INDEX(Master!$H$2:'Master'!$H$4384,MATCH($A20&amp;BM$2,Master!$A$2:'Master'!$A$4384&amp;Master!$C$2:'Master'!$C$4384,0))</f>
        <v>-3</v>
      </c>
      <c r="BN20" s="21" cm="1">
        <f t="array" aca="1" ref="BN20" ca="1">INDEX(Master!$H$2:'Master'!$H$4384,MATCH($A20&amp;BN$2,Master!$A$2:'Master'!$A$4384&amp;Master!$C$2:'Master'!$C$4384,0))</f>
        <v>-3</v>
      </c>
      <c r="BO20" s="21" cm="1">
        <f t="array" aca="1" ref="BO20" ca="1">INDEX(Master!$H$2:'Master'!$H$4384,MATCH($A20&amp;BO$2,Master!$A$2:'Master'!$A$4384&amp;Master!$C$2:'Master'!$C$4384,0))</f>
        <v>1</v>
      </c>
      <c r="BP20" s="21" cm="1">
        <f t="array" aca="1" ref="BP20" ca="1">INDEX(Master!$H$2:'Master'!$H$4384,MATCH($A20&amp;BP$2,Master!$A$2:'Master'!$A$4384&amp;Master!$C$2:'Master'!$C$4384,0))</f>
        <v>-3</v>
      </c>
      <c r="BQ20" s="21" cm="1">
        <f t="array" aca="1" ref="BQ20" ca="1">INDEX(Master!$H$2:'Master'!$H$4384,MATCH($A20&amp;BQ$2,Master!$A$2:'Master'!$A$4384&amp;Master!$C$2:'Master'!$C$4384,0))</f>
        <v>0</v>
      </c>
      <c r="BR20" s="21" cm="1">
        <f t="array" aca="1" ref="BR20" ca="1">INDEX(Master!$H$2:'Master'!$H$4384,MATCH($A20&amp;BR$2,Master!$A$2:'Master'!$A$4384&amp;Master!$C$2:'Master'!$C$4384,0))</f>
        <v>-1</v>
      </c>
      <c r="BS20" s="21" cm="1">
        <f t="array" aca="1" ref="BS20" ca="1">INDEX(Master!$H$2:'Master'!$H$4384,MATCH($A20&amp;BS$2,Master!$A$2:'Master'!$A$4384&amp;Master!$C$2:'Master'!$C$4384,0))</f>
        <v>-1</v>
      </c>
      <c r="BT20" s="21" cm="1">
        <f t="array" aca="1" ref="BT20" ca="1">INDEX(Master!$H$2:'Master'!$H$4384,MATCH($A20&amp;BT$2,Master!$A$2:'Master'!$A$4384&amp;Master!$C$2:'Master'!$C$4384,0))</f>
        <v>-1</v>
      </c>
      <c r="BU20" s="21" cm="1">
        <f t="array" aca="1" ref="BU20" ca="1">INDEX(Master!$H$2:'Master'!$H$4384,MATCH($A20&amp;BU$2,Master!$A$2:'Master'!$A$4384&amp;Master!$C$2:'Master'!$C$4384,0))</f>
        <v>-1</v>
      </c>
      <c r="BV20" s="21" cm="1">
        <f t="array" aca="1" ref="BV20" ca="1">INDEX(Master!$H$2:'Master'!$H$4384,MATCH($A20&amp;BV$2,Master!$A$2:'Master'!$A$4384&amp;Master!$C$2:'Master'!$C$4384,0))</f>
        <v>-1</v>
      </c>
      <c r="BW20" s="21" cm="1">
        <f t="array" aca="1" ref="BW20" ca="1">INDEX(Master!$H$2:'Master'!$H$4384,MATCH($A20&amp;BW$2,Master!$A$2:'Master'!$A$4384&amp;Master!$C$2:'Master'!$C$4384,0))</f>
        <v>-2</v>
      </c>
      <c r="BX20" s="21" cm="1">
        <f t="array" aca="1" ref="BX20" ca="1">INDEX(Master!$H$2:'Master'!$H$4384,MATCH($A20&amp;BX$2,Master!$A$2:'Master'!$A$4384&amp;Master!$C$2:'Master'!$C$4384,0))</f>
        <v>-3</v>
      </c>
      <c r="BY20" s="21" cm="1">
        <f t="array" aca="1" ref="BY20" ca="1">INDEX(Master!$H$2:'Master'!$H$4384,MATCH($A20&amp;BY$2,Master!$A$2:'Master'!$A$4384&amp;Master!$C$2:'Master'!$C$4384,0))</f>
        <v>-2</v>
      </c>
      <c r="BZ20" s="21" cm="1">
        <f t="array" aca="1" ref="BZ20" ca="1">INDEX(Master!$H$2:'Master'!$H$4384,MATCH($A20&amp;BZ$2,Master!$A$2:'Master'!$A$4384&amp;Master!$C$2:'Master'!$C$4384,0))</f>
        <v>-2</v>
      </c>
      <c r="CA20" s="21" cm="1">
        <f t="array" aca="1" ref="CA20" ca="1">INDEX(Master!$H$2:'Master'!$H$4384,MATCH($A20&amp;CA$2,Master!$A$2:'Master'!$A$4384&amp;Master!$C$2:'Master'!$C$4384,0))</f>
        <v>-2</v>
      </c>
      <c r="CB20" s="21" cm="1">
        <f t="array" aca="1" ref="CB20" ca="1">INDEX(Master!$H$2:'Master'!$H$4384,MATCH($A20&amp;CB$2,Master!$A$2:'Master'!$A$4384&amp;Master!$C$2:'Master'!$C$4384,0))</f>
        <v>0</v>
      </c>
      <c r="CC20" s="21" cm="1">
        <f t="array" aca="1" ref="CC20" ca="1">INDEX(Master!$H$2:'Master'!$H$4384,MATCH($A20&amp;CC$2,Master!$A$2:'Master'!$A$4384&amp;Master!$C$2:'Master'!$C$4384,0))</f>
        <v>-2</v>
      </c>
      <c r="CD20" s="21" cm="1">
        <f t="array" aca="1" ref="CD20" ca="1">INDEX(Master!$H$2:'Master'!$H$4384,MATCH($A20&amp;CD$2,Master!$A$2:'Master'!$A$4384&amp;Master!$C$2:'Master'!$C$4384,0))</f>
        <v>-3</v>
      </c>
      <c r="CE20" s="21" cm="1">
        <f t="array" aca="1" ref="CE20" ca="1">INDEX(Master!$H$2:'Master'!$H$4384,MATCH($A20&amp;CE$2,Master!$A$2:'Master'!$A$4384&amp;Master!$C$2:'Master'!$C$4384,0))</f>
        <v>-3</v>
      </c>
      <c r="CF20" s="21" cm="1">
        <f t="array" aca="1" ref="CF20" ca="1">INDEX(Master!$H$2:'Master'!$H$4384,MATCH($A20&amp;CF$2,Master!$A$2:'Master'!$A$4384&amp;Master!$C$2:'Master'!$C$4384,0))</f>
        <v>-3</v>
      </c>
      <c r="CG20" s="21" cm="1">
        <f t="array" aca="1" ref="CG20" ca="1">INDEX(Master!$H$2:'Master'!$H$4384,MATCH($A20&amp;CG$2,Master!$A$2:'Master'!$A$4384&amp;Master!$C$2:'Master'!$C$4384,0))</f>
        <v>-1</v>
      </c>
      <c r="CH20" s="21" cm="1">
        <f t="array" aca="1" ref="CH20" ca="1">INDEX(Master!$H$2:'Master'!$H$4384,MATCH($A20&amp;CH$2,Master!$A$2:'Master'!$A$4384&amp;Master!$C$2:'Master'!$C$4384,0))</f>
        <v>-3</v>
      </c>
      <c r="CI20" s="21" cm="1">
        <f t="array" aca="1" ref="CI20" ca="1">INDEX(Master!$H$2:'Master'!$H$4384,MATCH($A20&amp;CI$2,Master!$A$2:'Master'!$A$4384&amp;Master!$C$2:'Master'!$C$4384,0))</f>
        <v>-1</v>
      </c>
      <c r="CJ20" s="21" cm="1">
        <f t="array" aca="1" ref="CJ20" ca="1">INDEX(Master!$H$2:'Master'!$H$4384,MATCH($A20&amp;CJ$2,Master!$A$2:'Master'!$A$4384&amp;Master!$C$2:'Master'!$C$4384,0))</f>
        <v>-2</v>
      </c>
      <c r="CK20" s="21" cm="1">
        <f t="array" aca="1" ref="CK20" ca="1">INDEX(Master!$H$2:'Master'!$H$4384,MATCH($A20&amp;CK$2,Master!$A$2:'Master'!$A$4384&amp;Master!$C$2:'Master'!$C$4384,0))</f>
        <v>0</v>
      </c>
      <c r="CL20" s="21" cm="1">
        <f t="array" aca="1" ref="CL20" ca="1">INDEX(Master!$H$2:'Master'!$H$4384,MATCH($A20&amp;CL$2,Master!$A$2:'Master'!$A$4384&amp;Master!$C$2:'Master'!$C$4384,0))</f>
        <v>2</v>
      </c>
      <c r="CM20" s="21" cm="1">
        <f t="array" aca="1" ref="CM20" ca="1">INDEX(Master!$H$2:'Master'!$H$4384,MATCH($A20&amp;CM$2,Master!$A$2:'Master'!$A$4384&amp;Master!$C$2:'Master'!$C$4384,0))</f>
        <v>-2</v>
      </c>
      <c r="CN20" s="21" cm="1">
        <f t="array" aca="1" ref="CN20" ca="1">INDEX(Master!$H$2:'Master'!$H$4384,MATCH($A20&amp;CN$2,Master!$A$2:'Master'!$A$4384&amp;Master!$C$2:'Master'!$C$4384,0))</f>
        <v>-2</v>
      </c>
      <c r="CO20" s="21" cm="1">
        <f t="array" aca="1" ref="CO20" ca="1">INDEX(Master!$H$2:'Master'!$H$4384,MATCH($A20&amp;CO$2,Master!$A$2:'Master'!$A$4384&amp;Master!$C$2:'Master'!$C$4384,0))</f>
        <v>-1</v>
      </c>
      <c r="CP20" s="21" cm="1">
        <f t="array" aca="1" ref="CP20" ca="1">INDEX(Master!$H$2:'Master'!$H$4384,MATCH($A20&amp;CP$2,Master!$A$2:'Master'!$A$4384&amp;Master!$C$2:'Master'!$C$4384,0))</f>
        <v>-1</v>
      </c>
      <c r="CQ20" s="21" cm="1">
        <f t="array" aca="1" ref="CQ20" ca="1">INDEX(Master!$H$2:'Master'!$H$4384,MATCH($A20&amp;CQ$2,Master!$A$2:'Master'!$A$4384&amp;Master!$C$2:'Master'!$C$4384,0))</f>
        <v>1</v>
      </c>
      <c r="CR20" s="21" cm="1">
        <f t="array" aca="1" ref="CR20" ca="1">INDEX(Master!$H$2:'Master'!$H$4384,MATCH($A20&amp;CR$2,Master!$A$2:'Master'!$A$4384&amp;Master!$C$2:'Master'!$C$4384,0))</f>
        <v>0</v>
      </c>
      <c r="CS20" s="21" cm="1">
        <f t="array" aca="1" ref="CS20" ca="1">INDEX(Master!$H$2:'Master'!$H$4384,MATCH($A20&amp;CS$2,Master!$A$2:'Master'!$A$4384&amp;Master!$C$2:'Master'!$C$4384,0))</f>
        <v>1</v>
      </c>
    </row>
    <row r="21" spans="1:97">
      <c r="A21" s="22" t="str">
        <f>VLOOKUP(Staff!$A17,Staff!$A$1:A$73,1,FALSE)</f>
        <v>Endeavour Morse</v>
      </c>
      <c r="B21" s="21" cm="1">
        <f t="array" aca="1" ref="B21" ca="1">INDEX(Master!$H$2:'Master'!$H$4384,MATCH($A21&amp;B$2,Master!$A$2:'Master'!$A$4384&amp;Master!$C$2:'Master'!$C$4384,0))</f>
        <v>0</v>
      </c>
      <c r="C21" s="21" cm="1">
        <f t="array" aca="1" ref="C21" ca="1">INDEX(Master!$H$2:'Master'!$H$4384,MATCH($A21&amp;C$2,Master!$A$2:'Master'!$A$4384&amp;Master!$C$2:'Master'!$C$4384,0))</f>
        <v>2</v>
      </c>
      <c r="D21" s="21" cm="1">
        <f t="array" aca="1" ref="D21" ca="1">INDEX(Master!$H$2:'Master'!$H$4384,MATCH($A21&amp;D$2,Master!$A$2:'Master'!$A$4384&amp;Master!$C$2:'Master'!$C$4384,0))</f>
        <v>1</v>
      </c>
      <c r="E21" s="21" cm="1">
        <f t="array" aca="1" ref="E21" ca="1">INDEX(Master!$H$2:'Master'!$H$4384,MATCH($A21&amp;E$2,Master!$A$2:'Master'!$A$4384&amp;Master!$C$2:'Master'!$C$4384,0))</f>
        <v>1</v>
      </c>
      <c r="F21" s="21" cm="1">
        <f t="array" aca="1" ref="F21" ca="1">INDEX(Master!$H$2:'Master'!$H$4384,MATCH($A21&amp;F$2,Master!$A$2:'Master'!$A$4384&amp;Master!$C$2:'Master'!$C$4384,0))</f>
        <v>1</v>
      </c>
      <c r="G21" s="21" cm="1">
        <f t="array" aca="1" ref="G21" ca="1">INDEX(Master!$H$2:'Master'!$H$4384,MATCH($A21&amp;G$2,Master!$A$2:'Master'!$A$4384&amp;Master!$C$2:'Master'!$C$4384,0))</f>
        <v>1</v>
      </c>
      <c r="H21" s="21" cm="1">
        <f t="array" aca="1" ref="H21" ca="1">INDEX(Master!$H$2:'Master'!$H$4384,MATCH($A21&amp;H$2,Master!$A$2:'Master'!$A$4384&amp;Master!$C$2:'Master'!$C$4384,0))</f>
        <v>-2</v>
      </c>
      <c r="I21" s="21" cm="1">
        <f t="array" aca="1" ref="I21" ca="1">INDEX(Master!$H$2:'Master'!$H$4384,MATCH($A21&amp;I$2,Master!$A$2:'Master'!$A$4384&amp;Master!$C$2:'Master'!$C$4384,0))</f>
        <v>1</v>
      </c>
      <c r="J21" s="21" cm="1">
        <f t="array" aca="1" ref="J21" ca="1">INDEX(Master!$H$2:'Master'!$H$4384,MATCH($A21&amp;J$2,Master!$A$2:'Master'!$A$4384&amp;Master!$C$2:'Master'!$C$4384,0))</f>
        <v>0</v>
      </c>
      <c r="K21" s="21" cm="1">
        <f t="array" aca="1" ref="K21" ca="1">INDEX(Master!$H$2:'Master'!$H$4384,MATCH($A21&amp;K$2,Master!$A$2:'Master'!$A$4384&amp;Master!$C$2:'Master'!$C$4384,0))</f>
        <v>1</v>
      </c>
      <c r="L21" s="21" cm="1">
        <f t="array" aca="1" ref="L21" ca="1">INDEX(Master!$H$2:'Master'!$H$4384,MATCH($A21&amp;L$2,Master!$A$2:'Master'!$A$4384&amp;Master!$C$2:'Master'!$C$4384,0))</f>
        <v>-3</v>
      </c>
      <c r="M21" s="21" cm="1">
        <f t="array" aca="1" ref="M21" ca="1">INDEX(Master!$H$2:'Master'!$H$4384,MATCH($A21&amp;M$2,Master!$A$2:'Master'!$A$4384&amp;Master!$C$2:'Master'!$C$4384,0))</f>
        <v>-1</v>
      </c>
      <c r="N21" s="21" cm="1">
        <f t="array" aca="1" ref="N21" ca="1">INDEX(Master!$H$2:'Master'!$H$4384,MATCH($A21&amp;N$2,Master!$A$2:'Master'!$A$4384&amp;Master!$C$2:'Master'!$C$4384,0))</f>
        <v>-1</v>
      </c>
      <c r="O21" s="21" cm="1">
        <f t="array" aca="1" ref="O21" ca="1">INDEX(Master!$H$2:'Master'!$H$4384,MATCH($A21&amp;O$2,Master!$A$2:'Master'!$A$4384&amp;Master!$C$2:'Master'!$C$4384,0))</f>
        <v>-2</v>
      </c>
      <c r="P21" s="21" cm="1">
        <f t="array" aca="1" ref="P21" ca="1">INDEX(Master!$H$2:'Master'!$H$4384,MATCH($A21&amp;P$2,Master!$A$2:'Master'!$A$4384&amp;Master!$C$2:'Master'!$C$4384,0))</f>
        <v>1</v>
      </c>
      <c r="Q21" s="21" cm="1">
        <f t="array" aca="1" ref="Q21" ca="1">INDEX(Master!$H$2:'Master'!$H$4384,MATCH($A21&amp;Q$2,Master!$A$2:'Master'!$A$4384&amp;Master!$C$2:'Master'!$C$4384,0))</f>
        <v>1</v>
      </c>
      <c r="R21" s="21" cm="1">
        <f t="array" aca="1" ref="R21" ca="1">INDEX(Master!$H$2:'Master'!$H$4384,MATCH($A21&amp;R$2,Master!$A$2:'Master'!$A$4384&amp;Master!$C$2:'Master'!$C$4384,0))</f>
        <v>-2</v>
      </c>
      <c r="S21" s="21" cm="1">
        <f t="array" aca="1" ref="S21" ca="1">INDEX(Master!$H$2:'Master'!$H$4384,MATCH($A21&amp;S$2,Master!$A$2:'Master'!$A$4384&amp;Master!$C$2:'Master'!$C$4384,0))</f>
        <v>-1</v>
      </c>
      <c r="T21" s="21" cm="1">
        <f t="array" aca="1" ref="T21" ca="1">INDEX(Master!$H$2:'Master'!$H$4384,MATCH($A21&amp;T$2,Master!$A$2:'Master'!$A$4384&amp;Master!$C$2:'Master'!$C$4384,0))</f>
        <v>-2</v>
      </c>
      <c r="U21" s="21" cm="1">
        <f t="array" aca="1" ref="U21" ca="1">INDEX(Master!$H$2:'Master'!$H$4384,MATCH($A21&amp;U$2,Master!$A$2:'Master'!$A$4384&amp;Master!$C$2:'Master'!$C$4384,0))</f>
        <v>-1</v>
      </c>
      <c r="V21" s="21" cm="1">
        <f t="array" aca="1" ref="V21" ca="1">INDEX(Master!$H$2:'Master'!$H$4384,MATCH($A21&amp;V$2,Master!$A$2:'Master'!$A$4384&amp;Master!$C$2:'Master'!$C$4384,0))</f>
        <v>1</v>
      </c>
      <c r="W21" s="21" cm="1">
        <f t="array" aca="1" ref="W21" ca="1">INDEX(Master!$H$2:'Master'!$H$4384,MATCH($A21&amp;W$2,Master!$A$2:'Master'!$A$4384&amp;Master!$C$2:'Master'!$C$4384,0))</f>
        <v>-1</v>
      </c>
      <c r="X21" s="21" cm="1">
        <f t="array" aca="1" ref="X21" ca="1">INDEX(Master!$H$2:'Master'!$H$4384,MATCH($A21&amp;X$2,Master!$A$2:'Master'!$A$4384&amp;Master!$C$2:'Master'!$C$4384,0))</f>
        <v>-1</v>
      </c>
      <c r="Y21" s="21" cm="1">
        <f t="array" aca="1" ref="Y21" ca="1">INDEX(Master!$H$2:'Master'!$H$4384,MATCH($A21&amp;Y$2,Master!$A$2:'Master'!$A$4384&amp;Master!$C$2:'Master'!$C$4384,0))</f>
        <v>1</v>
      </c>
      <c r="Z21" s="21" cm="1">
        <f t="array" aca="1" ref="Z21" ca="1">INDEX(Master!$H$2:'Master'!$H$4384,MATCH($A21&amp;Z$2,Master!$A$2:'Master'!$A$4384&amp;Master!$C$2:'Master'!$C$4384,0))</f>
        <v>1</v>
      </c>
      <c r="AA21" s="21" cm="1">
        <f t="array" aca="1" ref="AA21" ca="1">INDEX(Master!$H$2:'Master'!$H$4384,MATCH($A21&amp;AA$2,Master!$A$2:'Master'!$A$4384&amp;Master!$C$2:'Master'!$C$4384,0))</f>
        <v>0</v>
      </c>
      <c r="AB21" s="21" cm="1">
        <f t="array" aca="1" ref="AB21" ca="1">INDEX(Master!$H$2:'Master'!$H$4384,MATCH($A21&amp;AB$2,Master!$A$2:'Master'!$A$4384&amp;Master!$C$2:'Master'!$C$4384,0))</f>
        <v>-1</v>
      </c>
      <c r="AC21" s="21" cm="1">
        <f t="array" aca="1" ref="AC21" ca="1">INDEX(Master!$H$2:'Master'!$H$4384,MATCH($A21&amp;AC$2,Master!$A$2:'Master'!$A$4384&amp;Master!$C$2:'Master'!$C$4384,0))</f>
        <v>-1</v>
      </c>
      <c r="AD21" s="21" cm="1">
        <f t="array" aca="1" ref="AD21" ca="1">INDEX(Master!$H$2:'Master'!$H$4384,MATCH($A21&amp;AD$2,Master!$A$2:'Master'!$A$4384&amp;Master!$C$2:'Master'!$C$4384,0))</f>
        <v>0</v>
      </c>
      <c r="AE21" s="21" cm="1">
        <f t="array" aca="1" ref="AE21" ca="1">INDEX(Master!$H$2:'Master'!$H$4384,MATCH($A21&amp;AE$2,Master!$A$2:'Master'!$A$4384&amp;Master!$C$2:'Master'!$C$4384,0))</f>
        <v>1</v>
      </c>
      <c r="AF21" s="21" cm="1">
        <f t="array" aca="1" ref="AF21" ca="1">INDEX(Master!$H$2:'Master'!$H$4384,MATCH($A21&amp;AF$2,Master!$A$2:'Master'!$A$4384&amp;Master!$C$2:'Master'!$C$4384,0))</f>
        <v>0</v>
      </c>
      <c r="AG21" s="21" cm="1">
        <f t="array" aca="1" ref="AG21" ca="1">INDEX(Master!$H$2:'Master'!$H$4384,MATCH($A21&amp;AG$2,Master!$A$2:'Master'!$A$4384&amp;Master!$C$2:'Master'!$C$4384,0))</f>
        <v>0</v>
      </c>
      <c r="AH21" s="21" cm="1">
        <f t="array" aca="1" ref="AH21" ca="1">INDEX(Master!$H$2:'Master'!$H$4384,MATCH($A21&amp;AH$2,Master!$A$2:'Master'!$A$4384&amp;Master!$C$2:'Master'!$C$4384,0))</f>
        <v>2</v>
      </c>
      <c r="AI21" s="21" cm="1">
        <f t="array" aca="1" ref="AI21" ca="1">INDEX(Master!$H$2:'Master'!$H$4384,MATCH($A21&amp;AI$2,Master!$A$2:'Master'!$A$4384&amp;Master!$C$2:'Master'!$C$4384,0))</f>
        <v>2</v>
      </c>
      <c r="AJ21" s="21" cm="1">
        <f t="array" aca="1" ref="AJ21" ca="1">INDEX(Master!$H$2:'Master'!$H$4384,MATCH($A21&amp;AJ$2,Master!$A$2:'Master'!$A$4384&amp;Master!$C$2:'Master'!$C$4384,0))</f>
        <v>2</v>
      </c>
      <c r="AK21" s="21" cm="1">
        <f t="array" aca="1" ref="AK21" ca="1">INDEX(Master!$H$2:'Master'!$H$4384,MATCH($A21&amp;AK$2,Master!$A$2:'Master'!$A$4384&amp;Master!$C$2:'Master'!$C$4384,0))</f>
        <v>0</v>
      </c>
      <c r="AL21" s="21" cm="1">
        <f t="array" aca="1" ref="AL21" ca="1">INDEX(Master!$H$2:'Master'!$H$4384,MATCH($A21&amp;AL$2,Master!$A$2:'Master'!$A$4384&amp;Master!$C$2:'Master'!$C$4384,0))</f>
        <v>-1</v>
      </c>
      <c r="AM21" s="21" cm="1">
        <f t="array" aca="1" ref="AM21" ca="1">INDEX(Master!$H$2:'Master'!$H$4384,MATCH($A21&amp;AM$2,Master!$A$2:'Master'!$A$4384&amp;Master!$C$2:'Master'!$C$4384,0))</f>
        <v>-1</v>
      </c>
      <c r="AN21" s="21" cm="1">
        <f t="array" aca="1" ref="AN21" ca="1">INDEX(Master!$H$2:'Master'!$H$4384,MATCH($A21&amp;AN$2,Master!$A$2:'Master'!$A$4384&amp;Master!$C$2:'Master'!$C$4384,0))</f>
        <v>-2</v>
      </c>
      <c r="AO21" s="21" cm="1">
        <f t="array" aca="1" ref="AO21" ca="1">INDEX(Master!$H$2:'Master'!$H$4384,MATCH($A21&amp;AO$2,Master!$A$2:'Master'!$A$4384&amp;Master!$C$2:'Master'!$C$4384,0))</f>
        <v>-2</v>
      </c>
      <c r="AP21" s="21" cm="1">
        <f t="array" aca="1" ref="AP21" ca="1">INDEX(Master!$H$2:'Master'!$H$4384,MATCH($A21&amp;AP$2,Master!$A$2:'Master'!$A$4384&amp;Master!$C$2:'Master'!$C$4384,0))</f>
        <v>-2</v>
      </c>
      <c r="AQ21" s="21" cm="1">
        <f t="array" aca="1" ref="AQ21" ca="1">INDEX(Master!$H$2:'Master'!$H$4384,MATCH($A21&amp;AQ$2,Master!$A$2:'Master'!$A$4384&amp;Master!$C$2:'Master'!$C$4384,0))</f>
        <v>0</v>
      </c>
      <c r="AR21" s="21" cm="1">
        <f t="array" aca="1" ref="AR21" ca="1">INDEX(Master!$H$2:'Master'!$H$4384,MATCH($A21&amp;AR$2,Master!$A$2:'Master'!$A$4384&amp;Master!$C$2:'Master'!$C$4384,0))</f>
        <v>-1</v>
      </c>
      <c r="AS21" s="21" cm="1">
        <f t="array" aca="1" ref="AS21" ca="1">INDEX(Master!$H$2:'Master'!$H$4384,MATCH($A21&amp;AS$2,Master!$A$2:'Master'!$A$4384&amp;Master!$C$2:'Master'!$C$4384,0))</f>
        <v>-1</v>
      </c>
      <c r="AT21" s="21" cm="1">
        <f t="array" aca="1" ref="AT21" ca="1">INDEX(Master!$H$2:'Master'!$H$4384,MATCH($A21&amp;AT$2,Master!$A$2:'Master'!$A$4384&amp;Master!$C$2:'Master'!$C$4384,0))</f>
        <v>2</v>
      </c>
      <c r="AU21" s="21" cm="1">
        <f t="array" aca="1" ref="AU21" ca="1">INDEX(Master!$H$2:'Master'!$H$4384,MATCH($A21&amp;AU$2,Master!$A$2:'Master'!$A$4384&amp;Master!$C$2:'Master'!$C$4384,0))</f>
        <v>1</v>
      </c>
      <c r="AV21" s="21" cm="1">
        <f t="array" aca="1" ref="AV21" ca="1">INDEX(Master!$H$2:'Master'!$H$4384,MATCH($A21&amp;AV$2,Master!$A$2:'Master'!$A$4384&amp;Master!$C$2:'Master'!$C$4384,0))</f>
        <v>1</v>
      </c>
      <c r="AW21" s="21" cm="1">
        <f t="array" aca="1" ref="AW21" ca="1">INDEX(Master!$H$2:'Master'!$H$4384,MATCH($A21&amp;AW$2,Master!$A$2:'Master'!$A$4384&amp;Master!$C$2:'Master'!$C$4384,0))</f>
        <v>0</v>
      </c>
      <c r="AX21" s="21" cm="1">
        <f t="array" aca="1" ref="AX21" ca="1">INDEX(Master!$H$2:'Master'!$H$4384,MATCH($A21&amp;AX$2,Master!$A$2:'Master'!$A$4384&amp;Master!$C$2:'Master'!$C$4384,0))</f>
        <v>4</v>
      </c>
      <c r="AY21" s="21" cm="1">
        <f t="array" aca="1" ref="AY21" ca="1">INDEX(Master!$H$2:'Master'!$H$4384,MATCH($A21&amp;AY$2,Master!$A$2:'Master'!$A$4384&amp;Master!$C$2:'Master'!$C$4384,0))</f>
        <v>4</v>
      </c>
      <c r="AZ21" s="21" cm="1">
        <f t="array" aca="1" ref="AZ21" ca="1">INDEX(Master!$H$2:'Master'!$H$4384,MATCH($A21&amp;AZ$2,Master!$A$2:'Master'!$A$4384&amp;Master!$C$2:'Master'!$C$4384,0))</f>
        <v>3</v>
      </c>
      <c r="BA21" s="21" cm="1">
        <f t="array" aca="1" ref="BA21" ca="1">INDEX(Master!$H$2:'Master'!$H$4384,MATCH($A21&amp;BA$2,Master!$A$2:'Master'!$A$4384&amp;Master!$C$2:'Master'!$C$4384,0))</f>
        <v>3</v>
      </c>
      <c r="BB21" s="21" cm="1">
        <f t="array" aca="1" ref="BB21" ca="1">INDEX(Master!$H$2:'Master'!$H$4384,MATCH($A21&amp;BB$2,Master!$A$2:'Master'!$A$4384&amp;Master!$C$2:'Master'!$C$4384,0))</f>
        <v>2</v>
      </c>
      <c r="BC21" s="21" cm="1">
        <f t="array" aca="1" ref="BC21" ca="1">INDEX(Master!$H$2:'Master'!$H$4384,MATCH($A21&amp;BC$2,Master!$A$2:'Master'!$A$4384&amp;Master!$C$2:'Master'!$C$4384,0))</f>
        <v>1</v>
      </c>
      <c r="BD21" s="21" cm="1">
        <f t="array" aca="1" ref="BD21" ca="1">INDEX(Master!$H$2:'Master'!$H$4384,MATCH($A21&amp;BD$2,Master!$A$2:'Master'!$A$4384&amp;Master!$C$2:'Master'!$C$4384,0))</f>
        <v>1</v>
      </c>
      <c r="BE21" s="21" cm="1">
        <f t="array" aca="1" ref="BE21" ca="1">INDEX(Master!$H$2:'Master'!$H$4384,MATCH($A21&amp;BE$2,Master!$A$2:'Master'!$A$4384&amp;Master!$C$2:'Master'!$C$4384,0))</f>
        <v>-2</v>
      </c>
      <c r="BF21" s="21" cm="1">
        <f t="array" aca="1" ref="BF21" ca="1">INDEX(Master!$H$2:'Master'!$H$4384,MATCH($A21&amp;BF$2,Master!$A$2:'Master'!$A$4384&amp;Master!$C$2:'Master'!$C$4384,0))</f>
        <v>-2</v>
      </c>
      <c r="BG21" s="21" cm="1">
        <f t="array" aca="1" ref="BG21" ca="1">INDEX(Master!$H$2:'Master'!$H$4384,MATCH($A21&amp;BG$2,Master!$A$2:'Master'!$A$4384&amp;Master!$C$2:'Master'!$C$4384,0))</f>
        <v>2</v>
      </c>
      <c r="BH21" s="21" cm="1">
        <f t="array" aca="1" ref="BH21" ca="1">INDEX(Master!$H$2:'Master'!$H$4384,MATCH($A21&amp;BH$2,Master!$A$2:'Master'!$A$4384&amp;Master!$C$2:'Master'!$C$4384,0))</f>
        <v>-2</v>
      </c>
      <c r="BI21" s="21" cm="1">
        <f t="array" aca="1" ref="BI21" ca="1">INDEX(Master!$H$2:'Master'!$H$4384,MATCH($A21&amp;BI$2,Master!$A$2:'Master'!$A$4384&amp;Master!$C$2:'Master'!$C$4384,0))</f>
        <v>-1</v>
      </c>
      <c r="BJ21" s="21" cm="1">
        <f t="array" aca="1" ref="BJ21" ca="1">INDEX(Master!$H$2:'Master'!$H$4384,MATCH($A21&amp;BJ$2,Master!$A$2:'Master'!$A$4384&amp;Master!$C$2:'Master'!$C$4384,0))</f>
        <v>0</v>
      </c>
      <c r="BK21" s="21" cm="1">
        <f t="array" aca="1" ref="BK21" ca="1">INDEX(Master!$H$2:'Master'!$H$4384,MATCH($A21&amp;BK$2,Master!$A$2:'Master'!$A$4384&amp;Master!$C$2:'Master'!$C$4384,0))</f>
        <v>1</v>
      </c>
      <c r="BL21" s="21" cm="1">
        <f t="array" aca="1" ref="BL21" ca="1">INDEX(Master!$H$2:'Master'!$H$4384,MATCH($A21&amp;BL$2,Master!$A$2:'Master'!$A$4384&amp;Master!$C$2:'Master'!$C$4384,0))</f>
        <v>-2</v>
      </c>
      <c r="BM21" s="21" cm="1">
        <f t="array" aca="1" ref="BM21" ca="1">INDEX(Master!$H$2:'Master'!$H$4384,MATCH($A21&amp;BM$2,Master!$A$2:'Master'!$A$4384&amp;Master!$C$2:'Master'!$C$4384,0))</f>
        <v>0</v>
      </c>
      <c r="BN21" s="21" cm="1">
        <f t="array" aca="1" ref="BN21" ca="1">INDEX(Master!$H$2:'Master'!$H$4384,MATCH($A21&amp;BN$2,Master!$A$2:'Master'!$A$4384&amp;Master!$C$2:'Master'!$C$4384,0))</f>
        <v>-1</v>
      </c>
      <c r="BO21" s="21" cm="1">
        <f t="array" aca="1" ref="BO21" ca="1">INDEX(Master!$H$2:'Master'!$H$4384,MATCH($A21&amp;BO$2,Master!$A$2:'Master'!$A$4384&amp;Master!$C$2:'Master'!$C$4384,0))</f>
        <v>-1</v>
      </c>
      <c r="BP21" s="21" cm="1">
        <f t="array" aca="1" ref="BP21" ca="1">INDEX(Master!$H$2:'Master'!$H$4384,MATCH($A21&amp;BP$2,Master!$A$2:'Master'!$A$4384&amp;Master!$C$2:'Master'!$C$4384,0))</f>
        <v>0</v>
      </c>
      <c r="BQ21" s="21" cm="1">
        <f t="array" aca="1" ref="BQ21" ca="1">INDEX(Master!$H$2:'Master'!$H$4384,MATCH($A21&amp;BQ$2,Master!$A$2:'Master'!$A$4384&amp;Master!$C$2:'Master'!$C$4384,0))</f>
        <v>0</v>
      </c>
      <c r="BR21" s="21" cm="1">
        <f t="array" aca="1" ref="BR21" ca="1">INDEX(Master!$H$2:'Master'!$H$4384,MATCH($A21&amp;BR$2,Master!$A$2:'Master'!$A$4384&amp;Master!$C$2:'Master'!$C$4384,0))</f>
        <v>-3</v>
      </c>
      <c r="BS21" s="21" cm="1">
        <f t="array" aca="1" ref="BS21" ca="1">INDEX(Master!$H$2:'Master'!$H$4384,MATCH($A21&amp;BS$2,Master!$A$2:'Master'!$A$4384&amp;Master!$C$2:'Master'!$C$4384,0))</f>
        <v>-1</v>
      </c>
      <c r="BT21" s="21" cm="1">
        <f t="array" aca="1" ref="BT21" ca="1">INDEX(Master!$H$2:'Master'!$H$4384,MATCH($A21&amp;BT$2,Master!$A$2:'Master'!$A$4384&amp;Master!$C$2:'Master'!$C$4384,0))</f>
        <v>-3</v>
      </c>
      <c r="BU21" s="21" cm="1">
        <f t="array" aca="1" ref="BU21" ca="1">INDEX(Master!$H$2:'Master'!$H$4384,MATCH($A21&amp;BU$2,Master!$A$2:'Master'!$A$4384&amp;Master!$C$2:'Master'!$C$4384,0))</f>
        <v>-3</v>
      </c>
      <c r="BV21" s="21" cm="1">
        <f t="array" aca="1" ref="BV21" ca="1">INDEX(Master!$H$2:'Master'!$H$4384,MATCH($A21&amp;BV$2,Master!$A$2:'Master'!$A$4384&amp;Master!$C$2:'Master'!$C$4384,0))</f>
        <v>-2</v>
      </c>
      <c r="BW21" s="21" cm="1">
        <f t="array" aca="1" ref="BW21" ca="1">INDEX(Master!$H$2:'Master'!$H$4384,MATCH($A21&amp;BW$2,Master!$A$2:'Master'!$A$4384&amp;Master!$C$2:'Master'!$C$4384,0))</f>
        <v>-2</v>
      </c>
      <c r="BX21" s="21" cm="1">
        <f t="array" aca="1" ref="BX21" ca="1">INDEX(Master!$H$2:'Master'!$H$4384,MATCH($A21&amp;BX$2,Master!$A$2:'Master'!$A$4384&amp;Master!$C$2:'Master'!$C$4384,0))</f>
        <v>2</v>
      </c>
      <c r="BY21" s="21" cm="1">
        <f t="array" aca="1" ref="BY21" ca="1">INDEX(Master!$H$2:'Master'!$H$4384,MATCH($A21&amp;BY$2,Master!$A$2:'Master'!$A$4384&amp;Master!$C$2:'Master'!$C$4384,0))</f>
        <v>-2</v>
      </c>
      <c r="BZ21" s="21" cm="1">
        <f t="array" aca="1" ref="BZ21" ca="1">INDEX(Master!$H$2:'Master'!$H$4384,MATCH($A21&amp;BZ$2,Master!$A$2:'Master'!$A$4384&amp;Master!$C$2:'Master'!$C$4384,0))</f>
        <v>-1</v>
      </c>
      <c r="CA21" s="21" cm="1">
        <f t="array" aca="1" ref="CA21" ca="1">INDEX(Master!$H$2:'Master'!$H$4384,MATCH($A21&amp;CA$2,Master!$A$2:'Master'!$A$4384&amp;Master!$C$2:'Master'!$C$4384,0))</f>
        <v>0</v>
      </c>
      <c r="CB21" s="21" cm="1">
        <f t="array" aca="1" ref="CB21" ca="1">INDEX(Master!$H$2:'Master'!$H$4384,MATCH($A21&amp;CB$2,Master!$A$2:'Master'!$A$4384&amp;Master!$C$2:'Master'!$C$4384,0))</f>
        <v>1</v>
      </c>
      <c r="CC21" s="21" cm="1">
        <f t="array" aca="1" ref="CC21" ca="1">INDEX(Master!$H$2:'Master'!$H$4384,MATCH($A21&amp;CC$2,Master!$A$2:'Master'!$A$4384&amp;Master!$C$2:'Master'!$C$4384,0))</f>
        <v>-2</v>
      </c>
      <c r="CD21" s="21" cm="1">
        <f t="array" aca="1" ref="CD21" ca="1">INDEX(Master!$H$2:'Master'!$H$4384,MATCH($A21&amp;CD$2,Master!$A$2:'Master'!$A$4384&amp;Master!$C$2:'Master'!$C$4384,0))</f>
        <v>0</v>
      </c>
      <c r="CE21" s="21" cm="1">
        <f t="array" aca="1" ref="CE21" ca="1">INDEX(Master!$H$2:'Master'!$H$4384,MATCH($A21&amp;CE$2,Master!$A$2:'Master'!$A$4384&amp;Master!$C$2:'Master'!$C$4384,0))</f>
        <v>0</v>
      </c>
      <c r="CF21" s="21" cm="1">
        <f t="array" aca="1" ref="CF21" ca="1">INDEX(Master!$H$2:'Master'!$H$4384,MATCH($A21&amp;CF$2,Master!$A$2:'Master'!$A$4384&amp;Master!$C$2:'Master'!$C$4384,0))</f>
        <v>0</v>
      </c>
      <c r="CG21" s="21" cm="1">
        <f t="array" aca="1" ref="CG21" ca="1">INDEX(Master!$H$2:'Master'!$H$4384,MATCH($A21&amp;CG$2,Master!$A$2:'Master'!$A$4384&amp;Master!$C$2:'Master'!$C$4384,0))</f>
        <v>-1</v>
      </c>
      <c r="CH21" s="21" cm="1">
        <f t="array" aca="1" ref="CH21" ca="1">INDEX(Master!$H$2:'Master'!$H$4384,MATCH($A21&amp;CH$2,Master!$A$2:'Master'!$A$4384&amp;Master!$C$2:'Master'!$C$4384,0))</f>
        <v>-1</v>
      </c>
      <c r="CI21" s="21" cm="1">
        <f t="array" aca="1" ref="CI21" ca="1">INDEX(Master!$H$2:'Master'!$H$4384,MATCH($A21&amp;CI$2,Master!$A$2:'Master'!$A$4384&amp;Master!$C$2:'Master'!$C$4384,0))</f>
        <v>1</v>
      </c>
      <c r="CJ21" s="21" cm="1">
        <f t="array" aca="1" ref="CJ21" ca="1">INDEX(Master!$H$2:'Master'!$H$4384,MATCH($A21&amp;CJ$2,Master!$A$2:'Master'!$A$4384&amp;Master!$C$2:'Master'!$C$4384,0))</f>
        <v>1</v>
      </c>
      <c r="CK21" s="21" cm="1">
        <f t="array" aca="1" ref="CK21" ca="1">INDEX(Master!$H$2:'Master'!$H$4384,MATCH($A21&amp;CK$2,Master!$A$2:'Master'!$A$4384&amp;Master!$C$2:'Master'!$C$4384,0))</f>
        <v>0</v>
      </c>
      <c r="CL21" s="21" cm="1">
        <f t="array" aca="1" ref="CL21" ca="1">INDEX(Master!$H$2:'Master'!$H$4384,MATCH($A21&amp;CL$2,Master!$A$2:'Master'!$A$4384&amp;Master!$C$2:'Master'!$C$4384,0))</f>
        <v>0</v>
      </c>
      <c r="CM21" s="21" cm="1">
        <f t="array" aca="1" ref="CM21" ca="1">INDEX(Master!$H$2:'Master'!$H$4384,MATCH($A21&amp;CM$2,Master!$A$2:'Master'!$A$4384&amp;Master!$C$2:'Master'!$C$4384,0))</f>
        <v>0</v>
      </c>
      <c r="CN21" s="21" cm="1">
        <f t="array" aca="1" ref="CN21" ca="1">INDEX(Master!$H$2:'Master'!$H$4384,MATCH($A21&amp;CN$2,Master!$A$2:'Master'!$A$4384&amp;Master!$C$2:'Master'!$C$4384,0))</f>
        <v>0</v>
      </c>
      <c r="CO21" s="21" cm="1">
        <f t="array" aca="1" ref="CO21" ca="1">INDEX(Master!$H$2:'Master'!$H$4384,MATCH($A21&amp;CO$2,Master!$A$2:'Master'!$A$4384&amp;Master!$C$2:'Master'!$C$4384,0))</f>
        <v>-2</v>
      </c>
      <c r="CP21" s="21" cm="1">
        <f t="array" aca="1" ref="CP21" ca="1">INDEX(Master!$H$2:'Master'!$H$4384,MATCH($A21&amp;CP$2,Master!$A$2:'Master'!$A$4384&amp;Master!$C$2:'Master'!$C$4384,0))</f>
        <v>-2</v>
      </c>
      <c r="CQ21" s="21" cm="1">
        <f t="array" aca="1" ref="CQ21" ca="1">INDEX(Master!$H$2:'Master'!$H$4384,MATCH($A21&amp;CQ$2,Master!$A$2:'Master'!$A$4384&amp;Master!$C$2:'Master'!$C$4384,0))</f>
        <v>0</v>
      </c>
      <c r="CR21" s="21" cm="1">
        <f t="array" aca="1" ref="CR21" ca="1">INDEX(Master!$H$2:'Master'!$H$4384,MATCH($A21&amp;CR$2,Master!$A$2:'Master'!$A$4384&amp;Master!$C$2:'Master'!$C$4384,0))</f>
        <v>0</v>
      </c>
      <c r="CS21" s="21" cm="1">
        <f t="array" aca="1" ref="CS21" ca="1">INDEX(Master!$H$2:'Master'!$H$4384,MATCH($A21&amp;CS$2,Master!$A$2:'Master'!$A$4384&amp;Master!$C$2:'Master'!$C$4384,0))</f>
        <v>0</v>
      </c>
    </row>
    <row r="22" spans="1:97">
      <c r="A22" s="22" t="str">
        <f>VLOOKUP(Staff!$A18,Staff!$A$1:A$73,1,FALSE)</f>
        <v>Catherine Cawood</v>
      </c>
      <c r="B22" s="21" cm="1">
        <f t="array" aca="1" ref="B22" ca="1">INDEX(Master!$H$2:'Master'!$H$4384,MATCH($A22&amp;B$2,Master!$A$2:'Master'!$A$4384&amp;Master!$C$2:'Master'!$C$4384,0))</f>
        <v>0</v>
      </c>
      <c r="C22" s="21" cm="1">
        <f t="array" aca="1" ref="C22" ca="1">INDEX(Master!$H$2:'Master'!$H$4384,MATCH($A22&amp;C$2,Master!$A$2:'Master'!$A$4384&amp;Master!$C$2:'Master'!$C$4384,0))</f>
        <v>1</v>
      </c>
      <c r="D22" s="21" cm="1">
        <f t="array" aca="1" ref="D22" ca="1">INDEX(Master!$H$2:'Master'!$H$4384,MATCH($A22&amp;D$2,Master!$A$2:'Master'!$A$4384&amp;Master!$C$2:'Master'!$C$4384,0))</f>
        <v>2</v>
      </c>
      <c r="E22" s="21" cm="1">
        <f t="array" aca="1" ref="E22" ca="1">INDEX(Master!$H$2:'Master'!$H$4384,MATCH($A22&amp;E$2,Master!$A$2:'Master'!$A$4384&amp;Master!$C$2:'Master'!$C$4384,0))</f>
        <v>0</v>
      </c>
      <c r="F22" s="21" cm="1">
        <f t="array" aca="1" ref="F22" ca="1">INDEX(Master!$H$2:'Master'!$H$4384,MATCH($A22&amp;F$2,Master!$A$2:'Master'!$A$4384&amp;Master!$C$2:'Master'!$C$4384,0))</f>
        <v>1</v>
      </c>
      <c r="G22" s="21" cm="1">
        <f t="array" aca="1" ref="G22" ca="1">INDEX(Master!$H$2:'Master'!$H$4384,MATCH($A22&amp;G$2,Master!$A$2:'Master'!$A$4384&amp;Master!$C$2:'Master'!$C$4384,0))</f>
        <v>0</v>
      </c>
      <c r="H22" s="21" cm="1">
        <f t="array" aca="1" ref="H22" ca="1">INDEX(Master!$H$2:'Master'!$H$4384,MATCH($A22&amp;H$2,Master!$A$2:'Master'!$A$4384&amp;Master!$C$2:'Master'!$C$4384,0))</f>
        <v>1</v>
      </c>
      <c r="I22" s="21" cm="1">
        <f t="array" aca="1" ref="I22" ca="1">INDEX(Master!$H$2:'Master'!$H$4384,MATCH($A22&amp;I$2,Master!$A$2:'Master'!$A$4384&amp;Master!$C$2:'Master'!$C$4384,0))</f>
        <v>1</v>
      </c>
      <c r="J22" s="21" cm="1">
        <f t="array" aca="1" ref="J22" ca="1">INDEX(Master!$H$2:'Master'!$H$4384,MATCH($A22&amp;J$2,Master!$A$2:'Master'!$A$4384&amp;Master!$C$2:'Master'!$C$4384,0))</f>
        <v>0</v>
      </c>
      <c r="K22" s="21" cm="1">
        <f t="array" aca="1" ref="K22" ca="1">INDEX(Master!$H$2:'Master'!$H$4384,MATCH($A22&amp;K$2,Master!$A$2:'Master'!$A$4384&amp;Master!$C$2:'Master'!$C$4384,0))</f>
        <v>-1</v>
      </c>
      <c r="L22" s="21" cm="1">
        <f t="array" aca="1" ref="L22" ca="1">INDEX(Master!$H$2:'Master'!$H$4384,MATCH($A22&amp;L$2,Master!$A$2:'Master'!$A$4384&amp;Master!$C$2:'Master'!$C$4384,0))</f>
        <v>0</v>
      </c>
      <c r="M22" s="21" cm="1">
        <f t="array" aca="1" ref="M22" ca="1">INDEX(Master!$H$2:'Master'!$H$4384,MATCH($A22&amp;M$2,Master!$A$2:'Master'!$A$4384&amp;Master!$C$2:'Master'!$C$4384,0))</f>
        <v>-1</v>
      </c>
      <c r="N22" s="21" cm="1">
        <f t="array" aca="1" ref="N22" ca="1">INDEX(Master!$H$2:'Master'!$H$4384,MATCH($A22&amp;N$2,Master!$A$2:'Master'!$A$4384&amp;Master!$C$2:'Master'!$C$4384,0))</f>
        <v>0</v>
      </c>
      <c r="O22" s="21" cm="1">
        <f t="array" aca="1" ref="O22" ca="1">INDEX(Master!$H$2:'Master'!$H$4384,MATCH($A22&amp;O$2,Master!$A$2:'Master'!$A$4384&amp;Master!$C$2:'Master'!$C$4384,0))</f>
        <v>-1</v>
      </c>
      <c r="P22" s="21" cm="1">
        <f t="array" aca="1" ref="P22" ca="1">INDEX(Master!$H$2:'Master'!$H$4384,MATCH($A22&amp;P$2,Master!$A$2:'Master'!$A$4384&amp;Master!$C$2:'Master'!$C$4384,0))</f>
        <v>0</v>
      </c>
      <c r="Q22" s="21" cm="1">
        <f t="array" aca="1" ref="Q22" ca="1">INDEX(Master!$H$2:'Master'!$H$4384,MATCH($A22&amp;Q$2,Master!$A$2:'Master'!$A$4384&amp;Master!$C$2:'Master'!$C$4384,0))</f>
        <v>0</v>
      </c>
      <c r="R22" s="21" cm="1">
        <f t="array" aca="1" ref="R22" ca="1">INDEX(Master!$H$2:'Master'!$H$4384,MATCH($A22&amp;R$2,Master!$A$2:'Master'!$A$4384&amp;Master!$C$2:'Master'!$C$4384,0))</f>
        <v>-1</v>
      </c>
      <c r="S22" s="21" cm="1">
        <f t="array" aca="1" ref="S22" ca="1">INDEX(Master!$H$2:'Master'!$H$4384,MATCH($A22&amp;S$2,Master!$A$2:'Master'!$A$4384&amp;Master!$C$2:'Master'!$C$4384,0))</f>
        <v>0</v>
      </c>
      <c r="T22" s="21" cm="1">
        <f t="array" aca="1" ref="T22" ca="1">INDEX(Master!$H$2:'Master'!$H$4384,MATCH($A22&amp;T$2,Master!$A$2:'Master'!$A$4384&amp;Master!$C$2:'Master'!$C$4384,0))</f>
        <v>0</v>
      </c>
      <c r="U22" s="21" cm="1">
        <f t="array" aca="1" ref="U22" ca="1">INDEX(Master!$H$2:'Master'!$H$4384,MATCH($A22&amp;U$2,Master!$A$2:'Master'!$A$4384&amp;Master!$C$2:'Master'!$C$4384,0))</f>
        <v>0</v>
      </c>
      <c r="V22" s="21" cm="1">
        <f t="array" aca="1" ref="V22" ca="1">INDEX(Master!$H$2:'Master'!$H$4384,MATCH($A22&amp;V$2,Master!$A$2:'Master'!$A$4384&amp;Master!$C$2:'Master'!$C$4384,0))</f>
        <v>-1</v>
      </c>
      <c r="W22" s="21" cm="1">
        <f t="array" aca="1" ref="W22" ca="1">INDEX(Master!$H$2:'Master'!$H$4384,MATCH($A22&amp;W$2,Master!$A$2:'Master'!$A$4384&amp;Master!$C$2:'Master'!$C$4384,0))</f>
        <v>0</v>
      </c>
      <c r="X22" s="21" cm="1">
        <f t="array" aca="1" ref="X22" ca="1">INDEX(Master!$H$2:'Master'!$H$4384,MATCH($A22&amp;X$2,Master!$A$2:'Master'!$A$4384&amp;Master!$C$2:'Master'!$C$4384,0))</f>
        <v>-2</v>
      </c>
      <c r="Y22" s="21" cm="1">
        <f t="array" aca="1" ref="Y22" ca="1">INDEX(Master!$H$2:'Master'!$H$4384,MATCH($A22&amp;Y$2,Master!$A$2:'Master'!$A$4384&amp;Master!$C$2:'Master'!$C$4384,0))</f>
        <v>0</v>
      </c>
      <c r="Z22" s="21" cm="1">
        <f t="array" aca="1" ref="Z22" ca="1">INDEX(Master!$H$2:'Master'!$H$4384,MATCH($A22&amp;Z$2,Master!$A$2:'Master'!$A$4384&amp;Master!$C$2:'Master'!$C$4384,0))</f>
        <v>0</v>
      </c>
      <c r="AA22" s="21" cm="1">
        <f t="array" aca="1" ref="AA22" ca="1">INDEX(Master!$H$2:'Master'!$H$4384,MATCH($A22&amp;AA$2,Master!$A$2:'Master'!$A$4384&amp;Master!$C$2:'Master'!$C$4384,0))</f>
        <v>0</v>
      </c>
      <c r="AB22" s="21" cm="1">
        <f t="array" aca="1" ref="AB22" ca="1">INDEX(Master!$H$2:'Master'!$H$4384,MATCH($A22&amp;AB$2,Master!$A$2:'Master'!$A$4384&amp;Master!$C$2:'Master'!$C$4384,0))</f>
        <v>0</v>
      </c>
      <c r="AC22" s="21" cm="1">
        <f t="array" aca="1" ref="AC22" ca="1">INDEX(Master!$H$2:'Master'!$H$4384,MATCH($A22&amp;AC$2,Master!$A$2:'Master'!$A$4384&amp;Master!$C$2:'Master'!$C$4384,0))</f>
        <v>0</v>
      </c>
      <c r="AD22" s="21" cm="1">
        <f t="array" aca="1" ref="AD22" ca="1">INDEX(Master!$H$2:'Master'!$H$4384,MATCH($A22&amp;AD$2,Master!$A$2:'Master'!$A$4384&amp;Master!$C$2:'Master'!$C$4384,0))</f>
        <v>0</v>
      </c>
      <c r="AE22" s="21" cm="1">
        <f t="array" aca="1" ref="AE22" ca="1">INDEX(Master!$H$2:'Master'!$H$4384,MATCH($A22&amp;AE$2,Master!$A$2:'Master'!$A$4384&amp;Master!$C$2:'Master'!$C$4384,0))</f>
        <v>1</v>
      </c>
      <c r="AF22" s="21" cm="1">
        <f t="array" aca="1" ref="AF22" ca="1">INDEX(Master!$H$2:'Master'!$H$4384,MATCH($A22&amp;AF$2,Master!$A$2:'Master'!$A$4384&amp;Master!$C$2:'Master'!$C$4384,0))</f>
        <v>1</v>
      </c>
      <c r="AG22" s="21" cm="1">
        <f t="array" aca="1" ref="AG22" ca="1">INDEX(Master!$H$2:'Master'!$H$4384,MATCH($A22&amp;AG$2,Master!$A$2:'Master'!$A$4384&amp;Master!$C$2:'Master'!$C$4384,0))</f>
        <v>0</v>
      </c>
      <c r="AH22" s="21" cm="1">
        <f t="array" aca="1" ref="AH22" ca="1">INDEX(Master!$H$2:'Master'!$H$4384,MATCH($A22&amp;AH$2,Master!$A$2:'Master'!$A$4384&amp;Master!$C$2:'Master'!$C$4384,0))</f>
        <v>2</v>
      </c>
      <c r="AI22" s="21" cm="1">
        <f t="array" aca="1" ref="AI22" ca="1">INDEX(Master!$H$2:'Master'!$H$4384,MATCH($A22&amp;AI$2,Master!$A$2:'Master'!$A$4384&amp;Master!$C$2:'Master'!$C$4384,0))</f>
        <v>1</v>
      </c>
      <c r="AJ22" s="21" cm="1">
        <f t="array" aca="1" ref="AJ22" ca="1">INDEX(Master!$H$2:'Master'!$H$4384,MATCH($A22&amp;AJ$2,Master!$A$2:'Master'!$A$4384&amp;Master!$C$2:'Master'!$C$4384,0))</f>
        <v>2</v>
      </c>
      <c r="AK22" s="21" cm="1">
        <f t="array" aca="1" ref="AK22" ca="1">INDEX(Master!$H$2:'Master'!$H$4384,MATCH($A22&amp;AK$2,Master!$A$2:'Master'!$A$4384&amp;Master!$C$2:'Master'!$C$4384,0))</f>
        <v>2</v>
      </c>
      <c r="AL22" s="21" cm="1">
        <f t="array" aca="1" ref="AL22" ca="1">INDEX(Master!$H$2:'Master'!$H$4384,MATCH($A22&amp;AL$2,Master!$A$2:'Master'!$A$4384&amp;Master!$C$2:'Master'!$C$4384,0))</f>
        <v>1</v>
      </c>
      <c r="AM22" s="21" cm="1">
        <f t="array" aca="1" ref="AM22" ca="1">INDEX(Master!$H$2:'Master'!$H$4384,MATCH($A22&amp;AM$2,Master!$A$2:'Master'!$A$4384&amp;Master!$C$2:'Master'!$C$4384,0))</f>
        <v>1</v>
      </c>
      <c r="AN22" s="21" cm="1">
        <f t="array" aca="1" ref="AN22" ca="1">INDEX(Master!$H$2:'Master'!$H$4384,MATCH($A22&amp;AN$2,Master!$A$2:'Master'!$A$4384&amp;Master!$C$2:'Master'!$C$4384,0))</f>
        <v>0</v>
      </c>
      <c r="AO22" s="21" cm="1">
        <f t="array" aca="1" ref="AO22" ca="1">INDEX(Master!$H$2:'Master'!$H$4384,MATCH($A22&amp;AO$2,Master!$A$2:'Master'!$A$4384&amp;Master!$C$2:'Master'!$C$4384,0))</f>
        <v>0</v>
      </c>
      <c r="AP22" s="21" cm="1">
        <f t="array" aca="1" ref="AP22" ca="1">INDEX(Master!$H$2:'Master'!$H$4384,MATCH($A22&amp;AP$2,Master!$A$2:'Master'!$A$4384&amp;Master!$C$2:'Master'!$C$4384,0))</f>
        <v>0</v>
      </c>
      <c r="AQ22" s="21" cm="1">
        <f t="array" aca="1" ref="AQ22" ca="1">INDEX(Master!$H$2:'Master'!$H$4384,MATCH($A22&amp;AQ$2,Master!$A$2:'Master'!$A$4384&amp;Master!$C$2:'Master'!$C$4384,0))</f>
        <v>0</v>
      </c>
      <c r="AR22" s="21" cm="1">
        <f t="array" aca="1" ref="AR22" ca="1">INDEX(Master!$H$2:'Master'!$H$4384,MATCH($A22&amp;AR$2,Master!$A$2:'Master'!$A$4384&amp;Master!$C$2:'Master'!$C$4384,0))</f>
        <v>1</v>
      </c>
      <c r="AS22" s="21" cm="1">
        <f t="array" aca="1" ref="AS22" ca="1">INDEX(Master!$H$2:'Master'!$H$4384,MATCH($A22&amp;AS$2,Master!$A$2:'Master'!$A$4384&amp;Master!$C$2:'Master'!$C$4384,0))</f>
        <v>0</v>
      </c>
      <c r="AT22" s="21" cm="1">
        <f t="array" aca="1" ref="AT22" ca="1">INDEX(Master!$H$2:'Master'!$H$4384,MATCH($A22&amp;AT$2,Master!$A$2:'Master'!$A$4384&amp;Master!$C$2:'Master'!$C$4384,0))</f>
        <v>1</v>
      </c>
      <c r="AU22" s="21" cm="1">
        <f t="array" aca="1" ref="AU22" ca="1">INDEX(Master!$H$2:'Master'!$H$4384,MATCH($A22&amp;AU$2,Master!$A$2:'Master'!$A$4384&amp;Master!$C$2:'Master'!$C$4384,0))</f>
        <v>0</v>
      </c>
      <c r="AV22" s="21" cm="1">
        <f t="array" aca="1" ref="AV22" ca="1">INDEX(Master!$H$2:'Master'!$H$4384,MATCH($A22&amp;AV$2,Master!$A$2:'Master'!$A$4384&amp;Master!$C$2:'Master'!$C$4384,0))</f>
        <v>1</v>
      </c>
      <c r="AW22" s="21" cm="1">
        <f t="array" aca="1" ref="AW22" ca="1">INDEX(Master!$H$2:'Master'!$H$4384,MATCH($A22&amp;AW$2,Master!$A$2:'Master'!$A$4384&amp;Master!$C$2:'Master'!$C$4384,0))</f>
        <v>0</v>
      </c>
      <c r="AX22" s="21" cm="1">
        <f t="array" aca="1" ref="AX22" ca="1">INDEX(Master!$H$2:'Master'!$H$4384,MATCH($A22&amp;AX$2,Master!$A$2:'Master'!$A$4384&amp;Master!$C$2:'Master'!$C$4384,0))</f>
        <v>0</v>
      </c>
      <c r="AY22" s="21" cm="1">
        <f t="array" aca="1" ref="AY22" ca="1">INDEX(Master!$H$2:'Master'!$H$4384,MATCH($A22&amp;AY$2,Master!$A$2:'Master'!$A$4384&amp;Master!$C$2:'Master'!$C$4384,0))</f>
        <v>1</v>
      </c>
      <c r="AZ22" s="21" cm="1">
        <f t="array" aca="1" ref="AZ22" ca="1">INDEX(Master!$H$2:'Master'!$H$4384,MATCH($A22&amp;AZ$2,Master!$A$2:'Master'!$A$4384&amp;Master!$C$2:'Master'!$C$4384,0))</f>
        <v>0</v>
      </c>
      <c r="BA22" s="21" cm="1">
        <f t="array" aca="1" ref="BA22" ca="1">INDEX(Master!$H$2:'Master'!$H$4384,MATCH($A22&amp;BA$2,Master!$A$2:'Master'!$A$4384&amp;Master!$C$2:'Master'!$C$4384,0))</f>
        <v>0</v>
      </c>
      <c r="BB22" s="21" cm="1">
        <f t="array" aca="1" ref="BB22" ca="1">INDEX(Master!$H$2:'Master'!$H$4384,MATCH($A22&amp;BB$2,Master!$A$2:'Master'!$A$4384&amp;Master!$C$2:'Master'!$C$4384,0))</f>
        <v>1</v>
      </c>
      <c r="BC22" s="21" cm="1">
        <f t="array" aca="1" ref="BC22" ca="1">INDEX(Master!$H$2:'Master'!$H$4384,MATCH($A22&amp;BC$2,Master!$A$2:'Master'!$A$4384&amp;Master!$C$2:'Master'!$C$4384,0))</f>
        <v>0</v>
      </c>
      <c r="BD22" s="21" cm="1">
        <f t="array" aca="1" ref="BD22" ca="1">INDEX(Master!$H$2:'Master'!$H$4384,MATCH($A22&amp;BD$2,Master!$A$2:'Master'!$A$4384&amp;Master!$C$2:'Master'!$C$4384,0))</f>
        <v>2</v>
      </c>
      <c r="BE22" s="21" cm="1">
        <f t="array" aca="1" ref="BE22" ca="1">INDEX(Master!$H$2:'Master'!$H$4384,MATCH($A22&amp;BE$2,Master!$A$2:'Master'!$A$4384&amp;Master!$C$2:'Master'!$C$4384,0))</f>
        <v>0</v>
      </c>
      <c r="BF22" s="21" cm="1">
        <f t="array" aca="1" ref="BF22" ca="1">INDEX(Master!$H$2:'Master'!$H$4384,MATCH($A22&amp;BF$2,Master!$A$2:'Master'!$A$4384&amp;Master!$C$2:'Master'!$C$4384,0))</f>
        <v>1</v>
      </c>
      <c r="BG22" s="21" cm="1">
        <f t="array" aca="1" ref="BG22" ca="1">INDEX(Master!$H$2:'Master'!$H$4384,MATCH($A22&amp;BG$2,Master!$A$2:'Master'!$A$4384&amp;Master!$C$2:'Master'!$C$4384,0))</f>
        <v>0</v>
      </c>
      <c r="BH22" s="21" cm="1">
        <f t="array" aca="1" ref="BH22" ca="1">INDEX(Master!$H$2:'Master'!$H$4384,MATCH($A22&amp;BH$2,Master!$A$2:'Master'!$A$4384&amp;Master!$C$2:'Master'!$C$4384,0))</f>
        <v>0</v>
      </c>
      <c r="BI22" s="21" cm="1">
        <f t="array" aca="1" ref="BI22" ca="1">INDEX(Master!$H$2:'Master'!$H$4384,MATCH($A22&amp;BI$2,Master!$A$2:'Master'!$A$4384&amp;Master!$C$2:'Master'!$C$4384,0))</f>
        <v>0</v>
      </c>
      <c r="BJ22" s="21" cm="1">
        <f t="array" aca="1" ref="BJ22" ca="1">INDEX(Master!$H$2:'Master'!$H$4384,MATCH($A22&amp;BJ$2,Master!$A$2:'Master'!$A$4384&amp;Master!$C$2:'Master'!$C$4384,0))</f>
        <v>0</v>
      </c>
      <c r="BK22" s="21" cm="1">
        <f t="array" aca="1" ref="BK22" ca="1">INDEX(Master!$H$2:'Master'!$H$4384,MATCH($A22&amp;BK$2,Master!$A$2:'Master'!$A$4384&amp;Master!$C$2:'Master'!$C$4384,0))</f>
        <v>1</v>
      </c>
      <c r="BL22" s="21" cm="1">
        <f t="array" aca="1" ref="BL22" ca="1">INDEX(Master!$H$2:'Master'!$H$4384,MATCH($A22&amp;BL$2,Master!$A$2:'Master'!$A$4384&amp;Master!$C$2:'Master'!$C$4384,0))</f>
        <v>1</v>
      </c>
      <c r="BM22" s="21" cm="1">
        <f t="array" aca="1" ref="BM22" ca="1">INDEX(Master!$H$2:'Master'!$H$4384,MATCH($A22&amp;BM$2,Master!$A$2:'Master'!$A$4384&amp;Master!$C$2:'Master'!$C$4384,0))</f>
        <v>0</v>
      </c>
      <c r="BN22" s="21" cm="1">
        <f t="array" aca="1" ref="BN22" ca="1">INDEX(Master!$H$2:'Master'!$H$4384,MATCH($A22&amp;BN$2,Master!$A$2:'Master'!$A$4384&amp;Master!$C$2:'Master'!$C$4384,0))</f>
        <v>1</v>
      </c>
      <c r="BO22" s="21" cm="1">
        <f t="array" aca="1" ref="BO22" ca="1">INDEX(Master!$H$2:'Master'!$H$4384,MATCH($A22&amp;BO$2,Master!$A$2:'Master'!$A$4384&amp;Master!$C$2:'Master'!$C$4384,0))</f>
        <v>-1</v>
      </c>
      <c r="BP22" s="21" cm="1">
        <f t="array" aca="1" ref="BP22" ca="1">INDEX(Master!$H$2:'Master'!$H$4384,MATCH($A22&amp;BP$2,Master!$A$2:'Master'!$A$4384&amp;Master!$C$2:'Master'!$C$4384,0))</f>
        <v>0</v>
      </c>
      <c r="BQ22" s="21" cm="1">
        <f t="array" aca="1" ref="BQ22" ca="1">INDEX(Master!$H$2:'Master'!$H$4384,MATCH($A22&amp;BQ$2,Master!$A$2:'Master'!$A$4384&amp;Master!$C$2:'Master'!$C$4384,0))</f>
        <v>1</v>
      </c>
      <c r="BR22" s="21" cm="1">
        <f t="array" aca="1" ref="BR22" ca="1">INDEX(Master!$H$2:'Master'!$H$4384,MATCH($A22&amp;BR$2,Master!$A$2:'Master'!$A$4384&amp;Master!$C$2:'Master'!$C$4384,0))</f>
        <v>1</v>
      </c>
      <c r="BS22" s="21" cm="1">
        <f t="array" aca="1" ref="BS22" ca="1">INDEX(Master!$H$2:'Master'!$H$4384,MATCH($A22&amp;BS$2,Master!$A$2:'Master'!$A$4384&amp;Master!$C$2:'Master'!$C$4384,0))</f>
        <v>1</v>
      </c>
      <c r="BT22" s="21" cm="1">
        <f t="array" aca="1" ref="BT22" ca="1">INDEX(Master!$H$2:'Master'!$H$4384,MATCH($A22&amp;BT$2,Master!$A$2:'Master'!$A$4384&amp;Master!$C$2:'Master'!$C$4384,0))</f>
        <v>0</v>
      </c>
      <c r="BU22" s="21" cm="1">
        <f t="array" aca="1" ref="BU22" ca="1">INDEX(Master!$H$2:'Master'!$H$4384,MATCH($A22&amp;BU$2,Master!$A$2:'Master'!$A$4384&amp;Master!$C$2:'Master'!$C$4384,0))</f>
        <v>-1</v>
      </c>
      <c r="BV22" s="21" cm="1">
        <f t="array" aca="1" ref="BV22" ca="1">INDEX(Master!$H$2:'Master'!$H$4384,MATCH($A22&amp;BV$2,Master!$A$2:'Master'!$A$4384&amp;Master!$C$2:'Master'!$C$4384,0))</f>
        <v>-1</v>
      </c>
      <c r="BW22" s="21" cm="1">
        <f t="array" aca="1" ref="BW22" ca="1">INDEX(Master!$H$2:'Master'!$H$4384,MATCH($A22&amp;BW$2,Master!$A$2:'Master'!$A$4384&amp;Master!$C$2:'Master'!$C$4384,0))</f>
        <v>1</v>
      </c>
      <c r="BX22" s="21" cm="1">
        <f t="array" aca="1" ref="BX22" ca="1">INDEX(Master!$H$2:'Master'!$H$4384,MATCH($A22&amp;BX$2,Master!$A$2:'Master'!$A$4384&amp;Master!$C$2:'Master'!$C$4384,0))</f>
        <v>0</v>
      </c>
      <c r="BY22" s="21" cm="1">
        <f t="array" aca="1" ref="BY22" ca="1">INDEX(Master!$H$2:'Master'!$H$4384,MATCH($A22&amp;BY$2,Master!$A$2:'Master'!$A$4384&amp;Master!$C$2:'Master'!$C$4384,0))</f>
        <v>0</v>
      </c>
      <c r="BZ22" s="21" cm="1">
        <f t="array" aca="1" ref="BZ22" ca="1">INDEX(Master!$H$2:'Master'!$H$4384,MATCH($A22&amp;BZ$2,Master!$A$2:'Master'!$A$4384&amp;Master!$C$2:'Master'!$C$4384,0))</f>
        <v>0</v>
      </c>
      <c r="CA22" s="21" cm="1">
        <f t="array" aca="1" ref="CA22" ca="1">INDEX(Master!$H$2:'Master'!$H$4384,MATCH($A22&amp;CA$2,Master!$A$2:'Master'!$A$4384&amp;Master!$C$2:'Master'!$C$4384,0))</f>
        <v>0</v>
      </c>
      <c r="CB22" s="21" cm="1">
        <f t="array" aca="1" ref="CB22" ca="1">INDEX(Master!$H$2:'Master'!$H$4384,MATCH($A22&amp;CB$2,Master!$A$2:'Master'!$A$4384&amp;Master!$C$2:'Master'!$C$4384,0))</f>
        <v>1</v>
      </c>
      <c r="CC22" s="21" cm="1">
        <f t="array" aca="1" ref="CC22" ca="1">INDEX(Master!$H$2:'Master'!$H$4384,MATCH($A22&amp;CC$2,Master!$A$2:'Master'!$A$4384&amp;Master!$C$2:'Master'!$C$4384,0))</f>
        <v>1</v>
      </c>
      <c r="CD22" s="21" cm="1">
        <f t="array" aca="1" ref="CD22" ca="1">INDEX(Master!$H$2:'Master'!$H$4384,MATCH($A22&amp;CD$2,Master!$A$2:'Master'!$A$4384&amp;Master!$C$2:'Master'!$C$4384,0))</f>
        <v>0</v>
      </c>
      <c r="CE22" s="21" cm="1">
        <f t="array" aca="1" ref="CE22" ca="1">INDEX(Master!$H$2:'Master'!$H$4384,MATCH($A22&amp;CE$2,Master!$A$2:'Master'!$A$4384&amp;Master!$C$2:'Master'!$C$4384,0))</f>
        <v>1</v>
      </c>
      <c r="CF22" s="21" cm="1">
        <f t="array" aca="1" ref="CF22" ca="1">INDEX(Master!$H$2:'Master'!$H$4384,MATCH($A22&amp;CF$2,Master!$A$2:'Master'!$A$4384&amp;Master!$C$2:'Master'!$C$4384,0))</f>
        <v>0</v>
      </c>
      <c r="CG22" s="21" cm="1">
        <f t="array" aca="1" ref="CG22" ca="1">INDEX(Master!$H$2:'Master'!$H$4384,MATCH($A22&amp;CG$2,Master!$A$2:'Master'!$A$4384&amp;Master!$C$2:'Master'!$C$4384,0))</f>
        <v>1</v>
      </c>
      <c r="CH22" s="21" cm="1">
        <f t="array" aca="1" ref="CH22" ca="1">INDEX(Master!$H$2:'Master'!$H$4384,MATCH($A22&amp;CH$2,Master!$A$2:'Master'!$A$4384&amp;Master!$C$2:'Master'!$C$4384,0))</f>
        <v>2</v>
      </c>
      <c r="CI22" s="21" cm="1">
        <f t="array" aca="1" ref="CI22" ca="1">INDEX(Master!$H$2:'Master'!$H$4384,MATCH($A22&amp;CI$2,Master!$A$2:'Master'!$A$4384&amp;Master!$C$2:'Master'!$C$4384,0))</f>
        <v>1</v>
      </c>
      <c r="CJ22" s="21" cm="1">
        <f t="array" aca="1" ref="CJ22" ca="1">INDEX(Master!$H$2:'Master'!$H$4384,MATCH($A22&amp;CJ$2,Master!$A$2:'Master'!$A$4384&amp;Master!$C$2:'Master'!$C$4384,0))</f>
        <v>1</v>
      </c>
      <c r="CK22" s="21" cm="1">
        <f t="array" aca="1" ref="CK22" ca="1">INDEX(Master!$H$2:'Master'!$H$4384,MATCH($A22&amp;CK$2,Master!$A$2:'Master'!$A$4384&amp;Master!$C$2:'Master'!$C$4384,0))</f>
        <v>0</v>
      </c>
      <c r="CL22" s="21" cm="1">
        <f t="array" aca="1" ref="CL22" ca="1">INDEX(Master!$H$2:'Master'!$H$4384,MATCH($A22&amp;CL$2,Master!$A$2:'Master'!$A$4384&amp;Master!$C$2:'Master'!$C$4384,0))</f>
        <v>-1</v>
      </c>
      <c r="CM22" s="21" cm="1">
        <f t="array" aca="1" ref="CM22" ca="1">INDEX(Master!$H$2:'Master'!$H$4384,MATCH($A22&amp;CM$2,Master!$A$2:'Master'!$A$4384&amp;Master!$C$2:'Master'!$C$4384,0))</f>
        <v>0</v>
      </c>
      <c r="CN22" s="21" cm="1">
        <f t="array" aca="1" ref="CN22" ca="1">INDEX(Master!$H$2:'Master'!$H$4384,MATCH($A22&amp;CN$2,Master!$A$2:'Master'!$A$4384&amp;Master!$C$2:'Master'!$C$4384,0))</f>
        <v>0</v>
      </c>
      <c r="CO22" s="21" cm="1">
        <f t="array" aca="1" ref="CO22" ca="1">INDEX(Master!$H$2:'Master'!$H$4384,MATCH($A22&amp;CO$2,Master!$A$2:'Master'!$A$4384&amp;Master!$C$2:'Master'!$C$4384,0))</f>
        <v>0</v>
      </c>
      <c r="CP22" s="21" cm="1">
        <f t="array" aca="1" ref="CP22" ca="1">INDEX(Master!$H$2:'Master'!$H$4384,MATCH($A22&amp;CP$2,Master!$A$2:'Master'!$A$4384&amp;Master!$C$2:'Master'!$C$4384,0))</f>
        <v>0</v>
      </c>
      <c r="CQ22" s="21" cm="1">
        <f t="array" aca="1" ref="CQ22" ca="1">INDEX(Master!$H$2:'Master'!$H$4384,MATCH($A22&amp;CQ$2,Master!$A$2:'Master'!$A$4384&amp;Master!$C$2:'Master'!$C$4384,0))</f>
        <v>0</v>
      </c>
      <c r="CR22" s="21" cm="1">
        <f t="array" aca="1" ref="CR22" ca="1">INDEX(Master!$H$2:'Master'!$H$4384,MATCH($A22&amp;CR$2,Master!$A$2:'Master'!$A$4384&amp;Master!$C$2:'Master'!$C$4384,0))</f>
        <v>0</v>
      </c>
      <c r="CS22" s="21" cm="1">
        <f t="array" aca="1" ref="CS22" ca="1">INDEX(Master!$H$2:'Master'!$H$4384,MATCH($A22&amp;CS$2,Master!$A$2:'Master'!$A$4384&amp;Master!$C$2:'Master'!$C$4384,0))</f>
        <v>1</v>
      </c>
    </row>
    <row r="23" spans="1:97">
      <c r="A23" s="22" t="str">
        <f>VLOOKUP(Staff!$A19,Staff!$A$1:A$73,1,FALSE)</f>
        <v>Cassie Stuart</v>
      </c>
      <c r="B23" s="21" cm="1">
        <f t="array" aca="1" ref="B23" ca="1">INDEX(Master!$H$2:'Master'!$H$4384,MATCH($A23&amp;B$2,Master!$A$2:'Master'!$A$4384&amp;Master!$C$2:'Master'!$C$4384,0))</f>
        <v>3</v>
      </c>
      <c r="C23" s="21" cm="1">
        <f t="array" aca="1" ref="C23" ca="1">INDEX(Master!$H$2:'Master'!$H$4384,MATCH($A23&amp;C$2,Master!$A$2:'Master'!$A$4384&amp;Master!$C$2:'Master'!$C$4384,0))</f>
        <v>3</v>
      </c>
      <c r="D23" s="21" cm="1">
        <f t="array" aca="1" ref="D23" ca="1">INDEX(Master!$H$2:'Master'!$H$4384,MATCH($A23&amp;D$2,Master!$A$2:'Master'!$A$4384&amp;Master!$C$2:'Master'!$C$4384,0))</f>
        <v>3</v>
      </c>
      <c r="E23" s="21" cm="1">
        <f t="array" aca="1" ref="E23" ca="1">INDEX(Master!$H$2:'Master'!$H$4384,MATCH($A23&amp;E$2,Master!$A$2:'Master'!$A$4384&amp;Master!$C$2:'Master'!$C$4384,0))</f>
        <v>1</v>
      </c>
      <c r="F23" s="21" cm="1">
        <f t="array" aca="1" ref="F23" ca="1">INDEX(Master!$H$2:'Master'!$H$4384,MATCH($A23&amp;F$2,Master!$A$2:'Master'!$A$4384&amp;Master!$C$2:'Master'!$C$4384,0))</f>
        <v>3</v>
      </c>
      <c r="G23" s="21" cm="1">
        <f t="array" aca="1" ref="G23" ca="1">INDEX(Master!$H$2:'Master'!$H$4384,MATCH($A23&amp;G$2,Master!$A$2:'Master'!$A$4384&amp;Master!$C$2:'Master'!$C$4384,0))</f>
        <v>1</v>
      </c>
      <c r="H23" s="21" cm="1">
        <f t="array" aca="1" ref="H23" ca="1">INDEX(Master!$H$2:'Master'!$H$4384,MATCH($A23&amp;H$2,Master!$A$2:'Master'!$A$4384&amp;Master!$C$2:'Master'!$C$4384,0))</f>
        <v>2</v>
      </c>
      <c r="I23" s="21" cm="1">
        <f t="array" aca="1" ref="I23" ca="1">INDEX(Master!$H$2:'Master'!$H$4384,MATCH($A23&amp;I$2,Master!$A$2:'Master'!$A$4384&amp;Master!$C$2:'Master'!$C$4384,0))</f>
        <v>2</v>
      </c>
      <c r="J23" s="21" cm="1">
        <f t="array" aca="1" ref="J23" ca="1">INDEX(Master!$H$2:'Master'!$H$4384,MATCH($A23&amp;J$2,Master!$A$2:'Master'!$A$4384&amp;Master!$C$2:'Master'!$C$4384,0))</f>
        <v>0</v>
      </c>
      <c r="K23" s="21" cm="1">
        <f t="array" aca="1" ref="K23" ca="1">INDEX(Master!$H$2:'Master'!$H$4384,MATCH($A23&amp;K$2,Master!$A$2:'Master'!$A$4384&amp;Master!$C$2:'Master'!$C$4384,0))</f>
        <v>-1</v>
      </c>
      <c r="L23" s="21" cm="1">
        <f t="array" aca="1" ref="L23" ca="1">INDEX(Master!$H$2:'Master'!$H$4384,MATCH($A23&amp;L$2,Master!$A$2:'Master'!$A$4384&amp;Master!$C$2:'Master'!$C$4384,0))</f>
        <v>-2</v>
      </c>
      <c r="M23" s="21" cm="1">
        <f t="array" aca="1" ref="M23" ca="1">INDEX(Master!$H$2:'Master'!$H$4384,MATCH($A23&amp;M$2,Master!$A$2:'Master'!$A$4384&amp;Master!$C$2:'Master'!$C$4384,0))</f>
        <v>-2</v>
      </c>
      <c r="N23" s="21" cm="1">
        <f t="array" aca="1" ref="N23" ca="1">INDEX(Master!$H$2:'Master'!$H$4384,MATCH($A23&amp;N$2,Master!$A$2:'Master'!$A$4384&amp;Master!$C$2:'Master'!$C$4384,0))</f>
        <v>-1</v>
      </c>
      <c r="O23" s="21" cm="1">
        <f t="array" aca="1" ref="O23" ca="1">INDEX(Master!$H$2:'Master'!$H$4384,MATCH($A23&amp;O$2,Master!$A$2:'Master'!$A$4384&amp;Master!$C$2:'Master'!$C$4384,0))</f>
        <v>-1</v>
      </c>
      <c r="P23" s="21" cm="1">
        <f t="array" aca="1" ref="P23" ca="1">INDEX(Master!$H$2:'Master'!$H$4384,MATCH($A23&amp;P$2,Master!$A$2:'Master'!$A$4384&amp;Master!$C$2:'Master'!$C$4384,0))</f>
        <v>1</v>
      </c>
      <c r="Q23" s="21" cm="1">
        <f t="array" aca="1" ref="Q23" ca="1">INDEX(Master!$H$2:'Master'!$H$4384,MATCH($A23&amp;Q$2,Master!$A$2:'Master'!$A$4384&amp;Master!$C$2:'Master'!$C$4384,0))</f>
        <v>0</v>
      </c>
      <c r="R23" s="21" cm="1">
        <f t="array" aca="1" ref="R23" ca="1">INDEX(Master!$H$2:'Master'!$H$4384,MATCH($A23&amp;R$2,Master!$A$2:'Master'!$A$4384&amp;Master!$C$2:'Master'!$C$4384,0))</f>
        <v>1</v>
      </c>
      <c r="S23" s="21" cm="1">
        <f t="array" aca="1" ref="S23" ca="1">INDEX(Master!$H$2:'Master'!$H$4384,MATCH($A23&amp;S$2,Master!$A$2:'Master'!$A$4384&amp;Master!$C$2:'Master'!$C$4384,0))</f>
        <v>0</v>
      </c>
      <c r="T23" s="21" cm="1">
        <f t="array" aca="1" ref="T23" ca="1">INDEX(Master!$H$2:'Master'!$H$4384,MATCH($A23&amp;T$2,Master!$A$2:'Master'!$A$4384&amp;Master!$C$2:'Master'!$C$4384,0))</f>
        <v>2</v>
      </c>
      <c r="U23" s="21" cm="1">
        <f t="array" aca="1" ref="U23" ca="1">INDEX(Master!$H$2:'Master'!$H$4384,MATCH($A23&amp;U$2,Master!$A$2:'Master'!$A$4384&amp;Master!$C$2:'Master'!$C$4384,0))</f>
        <v>1</v>
      </c>
      <c r="V23" s="21" cm="1">
        <f t="array" aca="1" ref="V23" ca="1">INDEX(Master!$H$2:'Master'!$H$4384,MATCH($A23&amp;V$2,Master!$A$2:'Master'!$A$4384&amp;Master!$C$2:'Master'!$C$4384,0))</f>
        <v>0</v>
      </c>
      <c r="W23" s="21" cm="1">
        <f t="array" aca="1" ref="W23" ca="1">INDEX(Master!$H$2:'Master'!$H$4384,MATCH($A23&amp;W$2,Master!$A$2:'Master'!$A$4384&amp;Master!$C$2:'Master'!$C$4384,0))</f>
        <v>2</v>
      </c>
      <c r="X23" s="21" cm="1">
        <f t="array" aca="1" ref="X23" ca="1">INDEX(Master!$H$2:'Master'!$H$4384,MATCH($A23&amp;X$2,Master!$A$2:'Master'!$A$4384&amp;Master!$C$2:'Master'!$C$4384,0))</f>
        <v>1</v>
      </c>
      <c r="Y23" s="21" cm="1">
        <f t="array" aca="1" ref="Y23" ca="1">INDEX(Master!$H$2:'Master'!$H$4384,MATCH($A23&amp;Y$2,Master!$A$2:'Master'!$A$4384&amp;Master!$C$2:'Master'!$C$4384,0))</f>
        <v>1</v>
      </c>
      <c r="Z23" s="21" cm="1">
        <f t="array" aca="1" ref="Z23" ca="1">INDEX(Master!$H$2:'Master'!$H$4384,MATCH($A23&amp;Z$2,Master!$A$2:'Master'!$A$4384&amp;Master!$C$2:'Master'!$C$4384,0))</f>
        <v>-1</v>
      </c>
      <c r="AA23" s="21" cm="1">
        <f t="array" aca="1" ref="AA23" ca="1">INDEX(Master!$H$2:'Master'!$H$4384,MATCH($A23&amp;AA$2,Master!$A$2:'Master'!$A$4384&amp;Master!$C$2:'Master'!$C$4384,0))</f>
        <v>-1</v>
      </c>
      <c r="AB23" s="21" cm="1">
        <f t="array" aca="1" ref="AB23" ca="1">INDEX(Master!$H$2:'Master'!$H$4384,MATCH($A23&amp;AB$2,Master!$A$2:'Master'!$A$4384&amp;Master!$C$2:'Master'!$C$4384,0))</f>
        <v>0</v>
      </c>
      <c r="AC23" s="21" cm="1">
        <f t="array" aca="1" ref="AC23" ca="1">INDEX(Master!$H$2:'Master'!$H$4384,MATCH($A23&amp;AC$2,Master!$A$2:'Master'!$A$4384&amp;Master!$C$2:'Master'!$C$4384,0))</f>
        <v>0</v>
      </c>
      <c r="AD23" s="21" cm="1">
        <f t="array" aca="1" ref="AD23" ca="1">INDEX(Master!$H$2:'Master'!$H$4384,MATCH($A23&amp;AD$2,Master!$A$2:'Master'!$A$4384&amp;Master!$C$2:'Master'!$C$4384,0))</f>
        <v>1</v>
      </c>
      <c r="AE23" s="21" cm="1">
        <f t="array" aca="1" ref="AE23" ca="1">INDEX(Master!$H$2:'Master'!$H$4384,MATCH($A23&amp;AE$2,Master!$A$2:'Master'!$A$4384&amp;Master!$C$2:'Master'!$C$4384,0))</f>
        <v>1</v>
      </c>
      <c r="AF23" s="21" cm="1">
        <f t="array" aca="1" ref="AF23" ca="1">INDEX(Master!$H$2:'Master'!$H$4384,MATCH($A23&amp;AF$2,Master!$A$2:'Master'!$A$4384&amp;Master!$C$2:'Master'!$C$4384,0))</f>
        <v>1</v>
      </c>
      <c r="AG23" s="21" cm="1">
        <f t="array" aca="1" ref="AG23" ca="1">INDEX(Master!$H$2:'Master'!$H$4384,MATCH($A23&amp;AG$2,Master!$A$2:'Master'!$A$4384&amp;Master!$C$2:'Master'!$C$4384,0))</f>
        <v>1</v>
      </c>
      <c r="AH23" s="21" cm="1">
        <f t="array" aca="1" ref="AH23" ca="1">INDEX(Master!$H$2:'Master'!$H$4384,MATCH($A23&amp;AH$2,Master!$A$2:'Master'!$A$4384&amp;Master!$C$2:'Master'!$C$4384,0))</f>
        <v>3</v>
      </c>
      <c r="AI23" s="21" cm="1">
        <f t="array" aca="1" ref="AI23" ca="1">INDEX(Master!$H$2:'Master'!$H$4384,MATCH($A23&amp;AI$2,Master!$A$2:'Master'!$A$4384&amp;Master!$C$2:'Master'!$C$4384,0))</f>
        <v>1</v>
      </c>
      <c r="AJ23" s="21" cm="1">
        <f t="array" aca="1" ref="AJ23" ca="1">INDEX(Master!$H$2:'Master'!$H$4384,MATCH($A23&amp;AJ$2,Master!$A$2:'Master'!$A$4384&amp;Master!$C$2:'Master'!$C$4384,0))</f>
        <v>3</v>
      </c>
      <c r="AK23" s="21" cm="1">
        <f t="array" aca="1" ref="AK23" ca="1">INDEX(Master!$H$2:'Master'!$H$4384,MATCH($A23&amp;AK$2,Master!$A$2:'Master'!$A$4384&amp;Master!$C$2:'Master'!$C$4384,0))</f>
        <v>1</v>
      </c>
      <c r="AL23" s="21" cm="1">
        <f t="array" aca="1" ref="AL23" ca="1">INDEX(Master!$H$2:'Master'!$H$4384,MATCH($A23&amp;AL$2,Master!$A$2:'Master'!$A$4384&amp;Master!$C$2:'Master'!$C$4384,0))</f>
        <v>2</v>
      </c>
      <c r="AM23" s="21" cm="1">
        <f t="array" aca="1" ref="AM23" ca="1">INDEX(Master!$H$2:'Master'!$H$4384,MATCH($A23&amp;AM$2,Master!$A$2:'Master'!$A$4384&amp;Master!$C$2:'Master'!$C$4384,0))</f>
        <v>3</v>
      </c>
      <c r="AN23" s="21" cm="1">
        <f t="array" aca="1" ref="AN23" ca="1">INDEX(Master!$H$2:'Master'!$H$4384,MATCH($A23&amp;AN$2,Master!$A$2:'Master'!$A$4384&amp;Master!$C$2:'Master'!$C$4384,0))</f>
        <v>3</v>
      </c>
      <c r="AO23" s="21" cm="1">
        <f t="array" aca="1" ref="AO23" ca="1">INDEX(Master!$H$2:'Master'!$H$4384,MATCH($A23&amp;AO$2,Master!$A$2:'Master'!$A$4384&amp;Master!$C$2:'Master'!$C$4384,0))</f>
        <v>1</v>
      </c>
      <c r="AP23" s="21" cm="1">
        <f t="array" aca="1" ref="AP23" ca="1">INDEX(Master!$H$2:'Master'!$H$4384,MATCH($A23&amp;AP$2,Master!$A$2:'Master'!$A$4384&amp;Master!$C$2:'Master'!$C$4384,0))</f>
        <v>0</v>
      </c>
      <c r="AQ23" s="21" cm="1">
        <f t="array" aca="1" ref="AQ23" ca="1">INDEX(Master!$H$2:'Master'!$H$4384,MATCH($A23&amp;AQ$2,Master!$A$2:'Master'!$A$4384&amp;Master!$C$2:'Master'!$C$4384,0))</f>
        <v>2</v>
      </c>
      <c r="AR23" s="21" cm="1">
        <f t="array" aca="1" ref="AR23" ca="1">INDEX(Master!$H$2:'Master'!$H$4384,MATCH($A23&amp;AR$2,Master!$A$2:'Master'!$A$4384&amp;Master!$C$2:'Master'!$C$4384,0))</f>
        <v>1</v>
      </c>
      <c r="AS23" s="21" cm="1">
        <f t="array" aca="1" ref="AS23" ca="1">INDEX(Master!$H$2:'Master'!$H$4384,MATCH($A23&amp;AS$2,Master!$A$2:'Master'!$A$4384&amp;Master!$C$2:'Master'!$C$4384,0))</f>
        <v>1</v>
      </c>
      <c r="AT23" s="21" cm="1">
        <f t="array" aca="1" ref="AT23" ca="1">INDEX(Master!$H$2:'Master'!$H$4384,MATCH($A23&amp;AT$2,Master!$A$2:'Master'!$A$4384&amp;Master!$C$2:'Master'!$C$4384,0))</f>
        <v>3</v>
      </c>
      <c r="AU23" s="21" cm="1">
        <f t="array" aca="1" ref="AU23" ca="1">INDEX(Master!$H$2:'Master'!$H$4384,MATCH($A23&amp;AU$2,Master!$A$2:'Master'!$A$4384&amp;Master!$C$2:'Master'!$C$4384,0))</f>
        <v>2</v>
      </c>
      <c r="AV23" s="21" cm="1">
        <f t="array" aca="1" ref="AV23" ca="1">INDEX(Master!$H$2:'Master'!$H$4384,MATCH($A23&amp;AV$2,Master!$A$2:'Master'!$A$4384&amp;Master!$C$2:'Master'!$C$4384,0))</f>
        <v>0</v>
      </c>
      <c r="AW23" s="21" cm="1">
        <f t="array" aca="1" ref="AW23" ca="1">INDEX(Master!$H$2:'Master'!$H$4384,MATCH($A23&amp;AW$2,Master!$A$2:'Master'!$A$4384&amp;Master!$C$2:'Master'!$C$4384,0))</f>
        <v>2</v>
      </c>
      <c r="AX23" s="21" cm="1">
        <f t="array" aca="1" ref="AX23" ca="1">INDEX(Master!$H$2:'Master'!$H$4384,MATCH($A23&amp;AX$2,Master!$A$2:'Master'!$A$4384&amp;Master!$C$2:'Master'!$C$4384,0))</f>
        <v>3</v>
      </c>
      <c r="AY23" s="21" cm="1">
        <f t="array" aca="1" ref="AY23" ca="1">INDEX(Master!$H$2:'Master'!$H$4384,MATCH($A23&amp;AY$2,Master!$A$2:'Master'!$A$4384&amp;Master!$C$2:'Master'!$C$4384,0))</f>
        <v>3</v>
      </c>
      <c r="AZ23" s="21" cm="1">
        <f t="array" aca="1" ref="AZ23" ca="1">INDEX(Master!$H$2:'Master'!$H$4384,MATCH($A23&amp;AZ$2,Master!$A$2:'Master'!$A$4384&amp;Master!$C$2:'Master'!$C$4384,0))</f>
        <v>0</v>
      </c>
      <c r="BA23" s="21" cm="1">
        <f t="array" aca="1" ref="BA23" ca="1">INDEX(Master!$H$2:'Master'!$H$4384,MATCH($A23&amp;BA$2,Master!$A$2:'Master'!$A$4384&amp;Master!$C$2:'Master'!$C$4384,0))</f>
        <v>2</v>
      </c>
      <c r="BB23" s="21" cm="1">
        <f t="array" aca="1" ref="BB23" ca="1">INDEX(Master!$H$2:'Master'!$H$4384,MATCH($A23&amp;BB$2,Master!$A$2:'Master'!$A$4384&amp;Master!$C$2:'Master'!$C$4384,0))</f>
        <v>1</v>
      </c>
      <c r="BC23" s="21" cm="1">
        <f t="array" aca="1" ref="BC23" ca="1">INDEX(Master!$H$2:'Master'!$H$4384,MATCH($A23&amp;BC$2,Master!$A$2:'Master'!$A$4384&amp;Master!$C$2:'Master'!$C$4384,0))</f>
        <v>1</v>
      </c>
      <c r="BD23" s="21" cm="1">
        <f t="array" aca="1" ref="BD23" ca="1">INDEX(Master!$H$2:'Master'!$H$4384,MATCH($A23&amp;BD$2,Master!$A$2:'Master'!$A$4384&amp;Master!$C$2:'Master'!$C$4384,0))</f>
        <v>3</v>
      </c>
      <c r="BE23" s="21" cm="1">
        <f t="array" aca="1" ref="BE23" ca="1">INDEX(Master!$H$2:'Master'!$H$4384,MATCH($A23&amp;BE$2,Master!$A$2:'Master'!$A$4384&amp;Master!$C$2:'Master'!$C$4384,0))</f>
        <v>1</v>
      </c>
      <c r="BF23" s="21" cm="1">
        <f t="array" aca="1" ref="BF23" ca="1">INDEX(Master!$H$2:'Master'!$H$4384,MATCH($A23&amp;BF$2,Master!$A$2:'Master'!$A$4384&amp;Master!$C$2:'Master'!$C$4384,0))</f>
        <v>1</v>
      </c>
      <c r="BG23" s="21" cm="1">
        <f t="array" aca="1" ref="BG23" ca="1">INDEX(Master!$H$2:'Master'!$H$4384,MATCH($A23&amp;BG$2,Master!$A$2:'Master'!$A$4384&amp;Master!$C$2:'Master'!$C$4384,0))</f>
        <v>-2</v>
      </c>
      <c r="BH23" s="21" cm="1">
        <f t="array" aca="1" ref="BH23" ca="1">INDEX(Master!$H$2:'Master'!$H$4384,MATCH($A23&amp;BH$2,Master!$A$2:'Master'!$A$4384&amp;Master!$C$2:'Master'!$C$4384,0))</f>
        <v>1</v>
      </c>
      <c r="BI23" s="21" cm="1">
        <f t="array" aca="1" ref="BI23" ca="1">INDEX(Master!$H$2:'Master'!$H$4384,MATCH($A23&amp;BI$2,Master!$A$2:'Master'!$A$4384&amp;Master!$C$2:'Master'!$C$4384,0))</f>
        <v>0</v>
      </c>
      <c r="BJ23" s="21" cm="1">
        <f t="array" aca="1" ref="BJ23" ca="1">INDEX(Master!$H$2:'Master'!$H$4384,MATCH($A23&amp;BJ$2,Master!$A$2:'Master'!$A$4384&amp;Master!$C$2:'Master'!$C$4384,0))</f>
        <v>1</v>
      </c>
      <c r="BK23" s="21" cm="1">
        <f t="array" aca="1" ref="BK23" ca="1">INDEX(Master!$H$2:'Master'!$H$4384,MATCH($A23&amp;BK$2,Master!$A$2:'Master'!$A$4384&amp;Master!$C$2:'Master'!$C$4384,0))</f>
        <v>0</v>
      </c>
      <c r="BL23" s="21" cm="1">
        <f t="array" aca="1" ref="BL23" ca="1">INDEX(Master!$H$2:'Master'!$H$4384,MATCH($A23&amp;BL$2,Master!$A$2:'Master'!$A$4384&amp;Master!$C$2:'Master'!$C$4384,0))</f>
        <v>0</v>
      </c>
      <c r="BM23" s="21" cm="1">
        <f t="array" aca="1" ref="BM23" ca="1">INDEX(Master!$H$2:'Master'!$H$4384,MATCH($A23&amp;BM$2,Master!$A$2:'Master'!$A$4384&amp;Master!$C$2:'Master'!$C$4384,0))</f>
        <v>0</v>
      </c>
      <c r="BN23" s="21" cm="1">
        <f t="array" aca="1" ref="BN23" ca="1">INDEX(Master!$H$2:'Master'!$H$4384,MATCH($A23&amp;BN$2,Master!$A$2:'Master'!$A$4384&amp;Master!$C$2:'Master'!$C$4384,0))</f>
        <v>1</v>
      </c>
      <c r="BO23" s="21" cm="1">
        <f t="array" aca="1" ref="BO23" ca="1">INDEX(Master!$H$2:'Master'!$H$4384,MATCH($A23&amp;BO$2,Master!$A$2:'Master'!$A$4384&amp;Master!$C$2:'Master'!$C$4384,0))</f>
        <v>1</v>
      </c>
      <c r="BP23" s="21" cm="1">
        <f t="array" aca="1" ref="BP23" ca="1">INDEX(Master!$H$2:'Master'!$H$4384,MATCH($A23&amp;BP$2,Master!$A$2:'Master'!$A$4384&amp;Master!$C$2:'Master'!$C$4384,0))</f>
        <v>0</v>
      </c>
      <c r="BQ23" s="21" cm="1">
        <f t="array" aca="1" ref="BQ23" ca="1">INDEX(Master!$H$2:'Master'!$H$4384,MATCH($A23&amp;BQ$2,Master!$A$2:'Master'!$A$4384&amp;Master!$C$2:'Master'!$C$4384,0))</f>
        <v>-1</v>
      </c>
      <c r="BR23" s="21" cm="1">
        <f t="array" aca="1" ref="BR23" ca="1">INDEX(Master!$H$2:'Master'!$H$4384,MATCH($A23&amp;BR$2,Master!$A$2:'Master'!$A$4384&amp;Master!$C$2:'Master'!$C$4384,0))</f>
        <v>0</v>
      </c>
      <c r="BS23" s="21" cm="1">
        <f t="array" aca="1" ref="BS23" ca="1">INDEX(Master!$H$2:'Master'!$H$4384,MATCH($A23&amp;BS$2,Master!$A$2:'Master'!$A$4384&amp;Master!$C$2:'Master'!$C$4384,0))</f>
        <v>0</v>
      </c>
      <c r="BT23" s="21" cm="1">
        <f t="array" aca="1" ref="BT23" ca="1">INDEX(Master!$H$2:'Master'!$H$4384,MATCH($A23&amp;BT$2,Master!$A$2:'Master'!$A$4384&amp;Master!$C$2:'Master'!$C$4384,0))</f>
        <v>1</v>
      </c>
      <c r="BU23" s="21" cm="1">
        <f t="array" aca="1" ref="BU23" ca="1">INDEX(Master!$H$2:'Master'!$H$4384,MATCH($A23&amp;BU$2,Master!$A$2:'Master'!$A$4384&amp;Master!$C$2:'Master'!$C$4384,0))</f>
        <v>1</v>
      </c>
      <c r="BV23" s="21" cm="1">
        <f t="array" aca="1" ref="BV23" ca="1">INDEX(Master!$H$2:'Master'!$H$4384,MATCH($A23&amp;BV$2,Master!$A$2:'Master'!$A$4384&amp;Master!$C$2:'Master'!$C$4384,0))</f>
        <v>-2</v>
      </c>
      <c r="BW23" s="21" cm="1">
        <f t="array" aca="1" ref="BW23" ca="1">INDEX(Master!$H$2:'Master'!$H$4384,MATCH($A23&amp;BW$2,Master!$A$2:'Master'!$A$4384&amp;Master!$C$2:'Master'!$C$4384,0))</f>
        <v>1</v>
      </c>
      <c r="BX23" s="21" cm="1">
        <f t="array" aca="1" ref="BX23" ca="1">INDEX(Master!$H$2:'Master'!$H$4384,MATCH($A23&amp;BX$2,Master!$A$2:'Master'!$A$4384&amp;Master!$C$2:'Master'!$C$4384,0))</f>
        <v>-2</v>
      </c>
      <c r="BY23" s="21" cm="1">
        <f t="array" aca="1" ref="BY23" ca="1">INDEX(Master!$H$2:'Master'!$H$4384,MATCH($A23&amp;BY$2,Master!$A$2:'Master'!$A$4384&amp;Master!$C$2:'Master'!$C$4384,0))</f>
        <v>1</v>
      </c>
      <c r="BZ23" s="21" cm="1">
        <f t="array" aca="1" ref="BZ23" ca="1">INDEX(Master!$H$2:'Master'!$H$4384,MATCH($A23&amp;BZ$2,Master!$A$2:'Master'!$A$4384&amp;Master!$C$2:'Master'!$C$4384,0))</f>
        <v>0</v>
      </c>
      <c r="CA23" s="21" cm="1">
        <f t="array" aca="1" ref="CA23" ca="1">INDEX(Master!$H$2:'Master'!$H$4384,MATCH($A23&amp;CA$2,Master!$A$2:'Master'!$A$4384&amp;Master!$C$2:'Master'!$C$4384,0))</f>
        <v>1</v>
      </c>
      <c r="CB23" s="21" cm="1">
        <f t="array" aca="1" ref="CB23" ca="1">INDEX(Master!$H$2:'Master'!$H$4384,MATCH($A23&amp;CB$2,Master!$A$2:'Master'!$A$4384&amp;Master!$C$2:'Master'!$C$4384,0))</f>
        <v>0</v>
      </c>
      <c r="CC23" s="21" cm="1">
        <f t="array" aca="1" ref="CC23" ca="1">INDEX(Master!$H$2:'Master'!$H$4384,MATCH($A23&amp;CC$2,Master!$A$2:'Master'!$A$4384&amp;Master!$C$2:'Master'!$C$4384,0))</f>
        <v>0</v>
      </c>
      <c r="CD23" s="21" cm="1">
        <f t="array" aca="1" ref="CD23" ca="1">INDEX(Master!$H$2:'Master'!$H$4384,MATCH($A23&amp;CD$2,Master!$A$2:'Master'!$A$4384&amp;Master!$C$2:'Master'!$C$4384,0))</f>
        <v>0</v>
      </c>
      <c r="CE23" s="21" cm="1">
        <f t="array" aca="1" ref="CE23" ca="1">INDEX(Master!$H$2:'Master'!$H$4384,MATCH($A23&amp;CE$2,Master!$A$2:'Master'!$A$4384&amp;Master!$C$2:'Master'!$C$4384,0))</f>
        <v>0</v>
      </c>
      <c r="CF23" s="21" cm="1">
        <f t="array" aca="1" ref="CF23" ca="1">INDEX(Master!$H$2:'Master'!$H$4384,MATCH($A23&amp;CF$2,Master!$A$2:'Master'!$A$4384&amp;Master!$C$2:'Master'!$C$4384,0))</f>
        <v>0</v>
      </c>
      <c r="CG23" s="21" cm="1">
        <f t="array" aca="1" ref="CG23" ca="1">INDEX(Master!$H$2:'Master'!$H$4384,MATCH($A23&amp;CG$2,Master!$A$2:'Master'!$A$4384&amp;Master!$C$2:'Master'!$C$4384,0))</f>
        <v>0</v>
      </c>
      <c r="CH23" s="21" cm="1">
        <f t="array" aca="1" ref="CH23" ca="1">INDEX(Master!$H$2:'Master'!$H$4384,MATCH($A23&amp;CH$2,Master!$A$2:'Master'!$A$4384&amp;Master!$C$2:'Master'!$C$4384,0))</f>
        <v>0</v>
      </c>
      <c r="CI23" s="21" cm="1">
        <f t="array" aca="1" ref="CI23" ca="1">INDEX(Master!$H$2:'Master'!$H$4384,MATCH($A23&amp;CI$2,Master!$A$2:'Master'!$A$4384&amp;Master!$C$2:'Master'!$C$4384,0))</f>
        <v>0</v>
      </c>
      <c r="CJ23" s="21" cm="1">
        <f t="array" aca="1" ref="CJ23" ca="1">INDEX(Master!$H$2:'Master'!$H$4384,MATCH($A23&amp;CJ$2,Master!$A$2:'Master'!$A$4384&amp;Master!$C$2:'Master'!$C$4384,0))</f>
        <v>1</v>
      </c>
      <c r="CK23" s="21" cm="1">
        <f t="array" aca="1" ref="CK23" ca="1">INDEX(Master!$H$2:'Master'!$H$4384,MATCH($A23&amp;CK$2,Master!$A$2:'Master'!$A$4384&amp;Master!$C$2:'Master'!$C$4384,0))</f>
        <v>1</v>
      </c>
      <c r="CL23" s="21" cm="1">
        <f t="array" aca="1" ref="CL23" ca="1">INDEX(Master!$H$2:'Master'!$H$4384,MATCH($A23&amp;CL$2,Master!$A$2:'Master'!$A$4384&amp;Master!$C$2:'Master'!$C$4384,0))</f>
        <v>1</v>
      </c>
      <c r="CM23" s="21" cm="1">
        <f t="array" aca="1" ref="CM23" ca="1">INDEX(Master!$H$2:'Master'!$H$4384,MATCH($A23&amp;CM$2,Master!$A$2:'Master'!$A$4384&amp;Master!$C$2:'Master'!$C$4384,0))</f>
        <v>1</v>
      </c>
      <c r="CN23" s="21" cm="1">
        <f t="array" aca="1" ref="CN23" ca="1">INDEX(Master!$H$2:'Master'!$H$4384,MATCH($A23&amp;CN$2,Master!$A$2:'Master'!$A$4384&amp;Master!$C$2:'Master'!$C$4384,0))</f>
        <v>-1</v>
      </c>
      <c r="CO23" s="21" cm="1">
        <f t="array" aca="1" ref="CO23" ca="1">INDEX(Master!$H$2:'Master'!$H$4384,MATCH($A23&amp;CO$2,Master!$A$2:'Master'!$A$4384&amp;Master!$C$2:'Master'!$C$4384,0))</f>
        <v>-1</v>
      </c>
      <c r="CP23" s="21" cm="1">
        <f t="array" aca="1" ref="CP23" ca="1">INDEX(Master!$H$2:'Master'!$H$4384,MATCH($A23&amp;CP$2,Master!$A$2:'Master'!$A$4384&amp;Master!$C$2:'Master'!$C$4384,0))</f>
        <v>-1</v>
      </c>
      <c r="CQ23" s="21" cm="1">
        <f t="array" aca="1" ref="CQ23" ca="1">INDEX(Master!$H$2:'Master'!$H$4384,MATCH($A23&amp;CQ$2,Master!$A$2:'Master'!$A$4384&amp;Master!$C$2:'Master'!$C$4384,0))</f>
        <v>2</v>
      </c>
      <c r="CR23" s="21" cm="1">
        <f t="array" aca="1" ref="CR23" ca="1">INDEX(Master!$H$2:'Master'!$H$4384,MATCH($A23&amp;CR$2,Master!$A$2:'Master'!$A$4384&amp;Master!$C$2:'Master'!$C$4384,0))</f>
        <v>2</v>
      </c>
      <c r="CS23" s="21" cm="1">
        <f t="array" aca="1" ref="CS23" ca="1">INDEX(Master!$H$2:'Master'!$H$4384,MATCH($A23&amp;CS$2,Master!$A$2:'Master'!$A$4384&amp;Master!$C$2:'Master'!$C$4384,0))</f>
        <v>0</v>
      </c>
    </row>
    <row r="24" spans="1:97">
      <c r="A24" s="22" t="str">
        <f>VLOOKUP(Staff!$A20,Staff!$A$1:A$73,1,FALSE)</f>
        <v>Jane Marple</v>
      </c>
      <c r="B24" s="21" cm="1">
        <f t="array" aca="1" ref="B24" ca="1">INDEX(Master!$H$2:'Master'!$H$4384,MATCH($A24&amp;B$2,Master!$A$2:'Master'!$A$4384&amp;Master!$C$2:'Master'!$C$4384,0))</f>
        <v>0</v>
      </c>
      <c r="C24" s="21" cm="1">
        <f t="array" aca="1" ref="C24" ca="1">INDEX(Master!$H$2:'Master'!$H$4384,MATCH($A24&amp;C$2,Master!$A$2:'Master'!$A$4384&amp;Master!$C$2:'Master'!$C$4384,0))</f>
        <v>1</v>
      </c>
      <c r="D24" s="21" cm="1">
        <f t="array" aca="1" ref="D24" ca="1">INDEX(Master!$H$2:'Master'!$H$4384,MATCH($A24&amp;D$2,Master!$A$2:'Master'!$A$4384&amp;Master!$C$2:'Master'!$C$4384,0))</f>
        <v>0</v>
      </c>
      <c r="E24" s="21" cm="1">
        <f t="array" aca="1" ref="E24" ca="1">INDEX(Master!$H$2:'Master'!$H$4384,MATCH($A24&amp;E$2,Master!$A$2:'Master'!$A$4384&amp;Master!$C$2:'Master'!$C$4384,0))</f>
        <v>-1</v>
      </c>
      <c r="F24" s="21" cm="1">
        <f t="array" aca="1" ref="F24" ca="1">INDEX(Master!$H$2:'Master'!$H$4384,MATCH($A24&amp;F$2,Master!$A$2:'Master'!$A$4384&amp;Master!$C$2:'Master'!$C$4384,0))</f>
        <v>-1</v>
      </c>
      <c r="G24" s="21" cm="1">
        <f t="array" aca="1" ref="G24" ca="1">INDEX(Master!$H$2:'Master'!$H$4384,MATCH($A24&amp;G$2,Master!$A$2:'Master'!$A$4384&amp;Master!$C$2:'Master'!$C$4384,0))</f>
        <v>1</v>
      </c>
      <c r="H24" s="21" cm="1">
        <f t="array" aca="1" ref="H24" ca="1">INDEX(Master!$H$2:'Master'!$H$4384,MATCH($A24&amp;H$2,Master!$A$2:'Master'!$A$4384&amp;Master!$C$2:'Master'!$C$4384,0))</f>
        <v>-1</v>
      </c>
      <c r="I24" s="21" cm="1">
        <f t="array" aca="1" ref="I24" ca="1">INDEX(Master!$H$2:'Master'!$H$4384,MATCH($A24&amp;I$2,Master!$A$2:'Master'!$A$4384&amp;Master!$C$2:'Master'!$C$4384,0))</f>
        <v>-1</v>
      </c>
      <c r="J24" s="21" cm="1">
        <f t="array" aca="1" ref="J24" ca="1">INDEX(Master!$H$2:'Master'!$H$4384,MATCH($A24&amp;J$2,Master!$A$2:'Master'!$A$4384&amp;Master!$C$2:'Master'!$C$4384,0))</f>
        <v>-1</v>
      </c>
      <c r="K24" s="21" cm="1">
        <f t="array" aca="1" ref="K24" ca="1">INDEX(Master!$H$2:'Master'!$H$4384,MATCH($A24&amp;K$2,Master!$A$2:'Master'!$A$4384&amp;Master!$C$2:'Master'!$C$4384,0))</f>
        <v>0</v>
      </c>
      <c r="L24" s="21" cm="1">
        <f t="array" aca="1" ref="L24" ca="1">INDEX(Master!$H$2:'Master'!$H$4384,MATCH($A24&amp;L$2,Master!$A$2:'Master'!$A$4384&amp;Master!$C$2:'Master'!$C$4384,0))</f>
        <v>2</v>
      </c>
      <c r="M24" s="21" cm="1">
        <f t="array" aca="1" ref="M24" ca="1">INDEX(Master!$H$2:'Master'!$H$4384,MATCH($A24&amp;M$2,Master!$A$2:'Master'!$A$4384&amp;Master!$C$2:'Master'!$C$4384,0))</f>
        <v>2</v>
      </c>
      <c r="N24" s="21" cm="1">
        <f t="array" aca="1" ref="N24" ca="1">INDEX(Master!$H$2:'Master'!$H$4384,MATCH($A24&amp;N$2,Master!$A$2:'Master'!$A$4384&amp;Master!$C$2:'Master'!$C$4384,0))</f>
        <v>0</v>
      </c>
      <c r="O24" s="21" cm="1">
        <f t="array" aca="1" ref="O24" ca="1">INDEX(Master!$H$2:'Master'!$H$4384,MATCH($A24&amp;O$2,Master!$A$2:'Master'!$A$4384&amp;Master!$C$2:'Master'!$C$4384,0))</f>
        <v>1</v>
      </c>
      <c r="P24" s="21" cm="1">
        <f t="array" aca="1" ref="P24" ca="1">INDEX(Master!$H$2:'Master'!$H$4384,MATCH($A24&amp;P$2,Master!$A$2:'Master'!$A$4384&amp;Master!$C$2:'Master'!$C$4384,0))</f>
        <v>-1</v>
      </c>
      <c r="Q24" s="21" cm="1">
        <f t="array" aca="1" ref="Q24" ca="1">INDEX(Master!$H$2:'Master'!$H$4384,MATCH($A24&amp;Q$2,Master!$A$2:'Master'!$A$4384&amp;Master!$C$2:'Master'!$C$4384,0))</f>
        <v>-1</v>
      </c>
      <c r="R24" s="21" cm="1">
        <f t="array" aca="1" ref="R24" ca="1">INDEX(Master!$H$2:'Master'!$H$4384,MATCH($A24&amp;R$2,Master!$A$2:'Master'!$A$4384&amp;Master!$C$2:'Master'!$C$4384,0))</f>
        <v>2</v>
      </c>
      <c r="S24" s="21" cm="1">
        <f t="array" aca="1" ref="S24" ca="1">INDEX(Master!$H$2:'Master'!$H$4384,MATCH($A24&amp;S$2,Master!$A$2:'Master'!$A$4384&amp;Master!$C$2:'Master'!$C$4384,0))</f>
        <v>2</v>
      </c>
      <c r="T24" s="21" cm="1">
        <f t="array" aca="1" ref="T24" ca="1">INDEX(Master!$H$2:'Master'!$H$4384,MATCH($A24&amp;T$2,Master!$A$2:'Master'!$A$4384&amp;Master!$C$2:'Master'!$C$4384,0))</f>
        <v>0</v>
      </c>
      <c r="U24" s="21" cm="1">
        <f t="array" aca="1" ref="U24" ca="1">INDEX(Master!$H$2:'Master'!$H$4384,MATCH($A24&amp;U$2,Master!$A$2:'Master'!$A$4384&amp;Master!$C$2:'Master'!$C$4384,0))</f>
        <v>-1</v>
      </c>
      <c r="V24" s="21" cm="1">
        <f t="array" aca="1" ref="V24" ca="1">INDEX(Master!$H$2:'Master'!$H$4384,MATCH($A24&amp;V$2,Master!$A$2:'Master'!$A$4384&amp;Master!$C$2:'Master'!$C$4384,0))</f>
        <v>0</v>
      </c>
      <c r="W24" s="21" cm="1">
        <f t="array" aca="1" ref="W24" ca="1">INDEX(Master!$H$2:'Master'!$H$4384,MATCH($A24&amp;W$2,Master!$A$2:'Master'!$A$4384&amp;Master!$C$2:'Master'!$C$4384,0))</f>
        <v>2</v>
      </c>
      <c r="X24" s="21" cm="1">
        <f t="array" aca="1" ref="X24" ca="1">INDEX(Master!$H$2:'Master'!$H$4384,MATCH($A24&amp;X$2,Master!$A$2:'Master'!$A$4384&amp;Master!$C$2:'Master'!$C$4384,0))</f>
        <v>1</v>
      </c>
      <c r="Y24" s="21" cm="1">
        <f t="array" aca="1" ref="Y24" ca="1">INDEX(Master!$H$2:'Master'!$H$4384,MATCH($A24&amp;Y$2,Master!$A$2:'Master'!$A$4384&amp;Master!$C$2:'Master'!$C$4384,0))</f>
        <v>1</v>
      </c>
      <c r="Z24" s="21" cm="1">
        <f t="array" aca="1" ref="Z24" ca="1">INDEX(Master!$H$2:'Master'!$H$4384,MATCH($A24&amp;Z$2,Master!$A$2:'Master'!$A$4384&amp;Master!$C$2:'Master'!$C$4384,0))</f>
        <v>0</v>
      </c>
      <c r="AA24" s="21" cm="1">
        <f t="array" aca="1" ref="AA24" ca="1">INDEX(Master!$H$2:'Master'!$H$4384,MATCH($A24&amp;AA$2,Master!$A$2:'Master'!$A$4384&amp;Master!$C$2:'Master'!$C$4384,0))</f>
        <v>0</v>
      </c>
      <c r="AB24" s="21" cm="1">
        <f t="array" aca="1" ref="AB24" ca="1">INDEX(Master!$H$2:'Master'!$H$4384,MATCH($A24&amp;AB$2,Master!$A$2:'Master'!$A$4384&amp;Master!$C$2:'Master'!$C$4384,0))</f>
        <v>0</v>
      </c>
      <c r="AC24" s="21" cm="1">
        <f t="array" aca="1" ref="AC24" ca="1">INDEX(Master!$H$2:'Master'!$H$4384,MATCH($A24&amp;AC$2,Master!$A$2:'Master'!$A$4384&amp;Master!$C$2:'Master'!$C$4384,0))</f>
        <v>1</v>
      </c>
      <c r="AD24" s="21" cm="1">
        <f t="array" aca="1" ref="AD24" ca="1">INDEX(Master!$H$2:'Master'!$H$4384,MATCH($A24&amp;AD$2,Master!$A$2:'Master'!$A$4384&amp;Master!$C$2:'Master'!$C$4384,0))</f>
        <v>1</v>
      </c>
      <c r="AE24" s="21" cm="1">
        <f t="array" aca="1" ref="AE24" ca="1">INDEX(Master!$H$2:'Master'!$H$4384,MATCH($A24&amp;AE$2,Master!$A$2:'Master'!$A$4384&amp;Master!$C$2:'Master'!$C$4384,0))</f>
        <v>1</v>
      </c>
      <c r="AF24" s="21" cm="1">
        <f t="array" aca="1" ref="AF24" ca="1">INDEX(Master!$H$2:'Master'!$H$4384,MATCH($A24&amp;AF$2,Master!$A$2:'Master'!$A$4384&amp;Master!$C$2:'Master'!$C$4384,0))</f>
        <v>-1</v>
      </c>
      <c r="AG24" s="21" cm="1">
        <f t="array" aca="1" ref="AG24" ca="1">INDEX(Master!$H$2:'Master'!$H$4384,MATCH($A24&amp;AG$2,Master!$A$2:'Master'!$A$4384&amp;Master!$C$2:'Master'!$C$4384,0))</f>
        <v>-1</v>
      </c>
      <c r="AH24" s="21" cm="1">
        <f t="array" aca="1" ref="AH24" ca="1">INDEX(Master!$H$2:'Master'!$H$4384,MATCH($A24&amp;AH$2,Master!$A$2:'Master'!$A$4384&amp;Master!$C$2:'Master'!$C$4384,0))</f>
        <v>0</v>
      </c>
      <c r="AI24" s="21" cm="1">
        <f t="array" aca="1" ref="AI24" ca="1">INDEX(Master!$H$2:'Master'!$H$4384,MATCH($A24&amp;AI$2,Master!$A$2:'Master'!$A$4384&amp;Master!$C$2:'Master'!$C$4384,0))</f>
        <v>0</v>
      </c>
      <c r="AJ24" s="21" cm="1">
        <f t="array" aca="1" ref="AJ24" ca="1">INDEX(Master!$H$2:'Master'!$H$4384,MATCH($A24&amp;AJ$2,Master!$A$2:'Master'!$A$4384&amp;Master!$C$2:'Master'!$C$4384,0))</f>
        <v>0</v>
      </c>
      <c r="AK24" s="21" cm="1">
        <f t="array" aca="1" ref="AK24" ca="1">INDEX(Master!$H$2:'Master'!$H$4384,MATCH($A24&amp;AK$2,Master!$A$2:'Master'!$A$4384&amp;Master!$C$2:'Master'!$C$4384,0))</f>
        <v>1</v>
      </c>
      <c r="AL24" s="21" cm="1">
        <f t="array" aca="1" ref="AL24" ca="1">INDEX(Master!$H$2:'Master'!$H$4384,MATCH($A24&amp;AL$2,Master!$A$2:'Master'!$A$4384&amp;Master!$C$2:'Master'!$C$4384,0))</f>
        <v>1</v>
      </c>
      <c r="AM24" s="21" cm="1">
        <f t="array" aca="1" ref="AM24" ca="1">INDEX(Master!$H$2:'Master'!$H$4384,MATCH($A24&amp;AM$2,Master!$A$2:'Master'!$A$4384&amp;Master!$C$2:'Master'!$C$4384,0))</f>
        <v>-1</v>
      </c>
      <c r="AN24" s="21" cm="1">
        <f t="array" aca="1" ref="AN24" ca="1">INDEX(Master!$H$2:'Master'!$H$4384,MATCH($A24&amp;AN$2,Master!$A$2:'Master'!$A$4384&amp;Master!$C$2:'Master'!$C$4384,0))</f>
        <v>2</v>
      </c>
      <c r="AO24" s="21" cm="1">
        <f t="array" aca="1" ref="AO24" ca="1">INDEX(Master!$H$2:'Master'!$H$4384,MATCH($A24&amp;AO$2,Master!$A$2:'Master'!$A$4384&amp;Master!$C$2:'Master'!$C$4384,0))</f>
        <v>1</v>
      </c>
      <c r="AP24" s="21" cm="1">
        <f t="array" aca="1" ref="AP24" ca="1">INDEX(Master!$H$2:'Master'!$H$4384,MATCH($A24&amp;AP$2,Master!$A$2:'Master'!$A$4384&amp;Master!$C$2:'Master'!$C$4384,0))</f>
        <v>1</v>
      </c>
      <c r="AQ24" s="21" cm="1">
        <f t="array" aca="1" ref="AQ24" ca="1">INDEX(Master!$H$2:'Master'!$H$4384,MATCH($A24&amp;AQ$2,Master!$A$2:'Master'!$A$4384&amp;Master!$C$2:'Master'!$C$4384,0))</f>
        <v>1</v>
      </c>
      <c r="AR24" s="21" cm="1">
        <f t="array" aca="1" ref="AR24" ca="1">INDEX(Master!$H$2:'Master'!$H$4384,MATCH($A24&amp;AR$2,Master!$A$2:'Master'!$A$4384&amp;Master!$C$2:'Master'!$C$4384,0))</f>
        <v>1</v>
      </c>
      <c r="AS24" s="21" cm="1">
        <f t="array" aca="1" ref="AS24" ca="1">INDEX(Master!$H$2:'Master'!$H$4384,MATCH($A24&amp;AS$2,Master!$A$2:'Master'!$A$4384&amp;Master!$C$2:'Master'!$C$4384,0))</f>
        <v>1</v>
      </c>
      <c r="AT24" s="21" cm="1">
        <f t="array" aca="1" ref="AT24" ca="1">INDEX(Master!$H$2:'Master'!$H$4384,MATCH($A24&amp;AT$2,Master!$A$2:'Master'!$A$4384&amp;Master!$C$2:'Master'!$C$4384,0))</f>
        <v>4</v>
      </c>
      <c r="AU24" s="21" cm="1">
        <f t="array" aca="1" ref="AU24" ca="1">INDEX(Master!$H$2:'Master'!$H$4384,MATCH($A24&amp;AU$2,Master!$A$2:'Master'!$A$4384&amp;Master!$C$2:'Master'!$C$4384,0))</f>
        <v>2</v>
      </c>
      <c r="AV24" s="21" cm="1">
        <f t="array" aca="1" ref="AV24" ca="1">INDEX(Master!$H$2:'Master'!$H$4384,MATCH($A24&amp;AV$2,Master!$A$2:'Master'!$A$4384&amp;Master!$C$2:'Master'!$C$4384,0))</f>
        <v>1</v>
      </c>
      <c r="AW24" s="21" cm="1">
        <f t="array" aca="1" ref="AW24" ca="1">INDEX(Master!$H$2:'Master'!$H$4384,MATCH($A24&amp;AW$2,Master!$A$2:'Master'!$A$4384&amp;Master!$C$2:'Master'!$C$4384,0))</f>
        <v>1</v>
      </c>
      <c r="AX24" s="21" cm="1">
        <f t="array" aca="1" ref="AX24" ca="1">INDEX(Master!$H$2:'Master'!$H$4384,MATCH($A24&amp;AX$2,Master!$A$2:'Master'!$A$4384&amp;Master!$C$2:'Master'!$C$4384,0))</f>
        <v>2</v>
      </c>
      <c r="AY24" s="21" cm="1">
        <f t="array" aca="1" ref="AY24" ca="1">INDEX(Master!$H$2:'Master'!$H$4384,MATCH($A24&amp;AY$2,Master!$A$2:'Master'!$A$4384&amp;Master!$C$2:'Master'!$C$4384,0))</f>
        <v>1</v>
      </c>
      <c r="AZ24" s="21" cm="1">
        <f t="array" aca="1" ref="AZ24" ca="1">INDEX(Master!$H$2:'Master'!$H$4384,MATCH($A24&amp;AZ$2,Master!$A$2:'Master'!$A$4384&amp;Master!$C$2:'Master'!$C$4384,0))</f>
        <v>2</v>
      </c>
      <c r="BA24" s="21" cm="1">
        <f t="array" aca="1" ref="BA24" ca="1">INDEX(Master!$H$2:'Master'!$H$4384,MATCH($A24&amp;BA$2,Master!$A$2:'Master'!$A$4384&amp;Master!$C$2:'Master'!$C$4384,0))</f>
        <v>4</v>
      </c>
      <c r="BB24" s="21" cm="1">
        <f t="array" aca="1" ref="BB24" ca="1">INDEX(Master!$H$2:'Master'!$H$4384,MATCH($A24&amp;BB$2,Master!$A$2:'Master'!$A$4384&amp;Master!$C$2:'Master'!$C$4384,0))</f>
        <v>1</v>
      </c>
      <c r="BC24" s="21" cm="1">
        <f t="array" aca="1" ref="BC24" ca="1">INDEX(Master!$H$2:'Master'!$H$4384,MATCH($A24&amp;BC$2,Master!$A$2:'Master'!$A$4384&amp;Master!$C$2:'Master'!$C$4384,0))</f>
        <v>-1</v>
      </c>
      <c r="BD24" s="21" cm="1">
        <f t="array" aca="1" ref="BD24" ca="1">INDEX(Master!$H$2:'Master'!$H$4384,MATCH($A24&amp;BD$2,Master!$A$2:'Master'!$A$4384&amp;Master!$C$2:'Master'!$C$4384,0))</f>
        <v>3</v>
      </c>
      <c r="BE24" s="21" cm="1">
        <f t="array" aca="1" ref="BE24" ca="1">INDEX(Master!$H$2:'Master'!$H$4384,MATCH($A24&amp;BE$2,Master!$A$2:'Master'!$A$4384&amp;Master!$C$2:'Master'!$C$4384,0))</f>
        <v>1</v>
      </c>
      <c r="BF24" s="21" cm="1">
        <f t="array" aca="1" ref="BF24" ca="1">INDEX(Master!$H$2:'Master'!$H$4384,MATCH($A24&amp;BF$2,Master!$A$2:'Master'!$A$4384&amp;Master!$C$2:'Master'!$C$4384,0))</f>
        <v>0</v>
      </c>
      <c r="BG24" s="21" cm="1">
        <f t="array" aca="1" ref="BG24" ca="1">INDEX(Master!$H$2:'Master'!$H$4384,MATCH($A24&amp;BG$2,Master!$A$2:'Master'!$A$4384&amp;Master!$C$2:'Master'!$C$4384,0))</f>
        <v>0</v>
      </c>
      <c r="BH24" s="21" cm="1">
        <f t="array" aca="1" ref="BH24" ca="1">INDEX(Master!$H$2:'Master'!$H$4384,MATCH($A24&amp;BH$2,Master!$A$2:'Master'!$A$4384&amp;Master!$C$2:'Master'!$C$4384,0))</f>
        <v>0</v>
      </c>
      <c r="BI24" s="21" cm="1">
        <f t="array" aca="1" ref="BI24" ca="1">INDEX(Master!$H$2:'Master'!$H$4384,MATCH($A24&amp;BI$2,Master!$A$2:'Master'!$A$4384&amp;Master!$C$2:'Master'!$C$4384,0))</f>
        <v>-1</v>
      </c>
      <c r="BJ24" s="21" cm="1">
        <f t="array" aca="1" ref="BJ24" ca="1">INDEX(Master!$H$2:'Master'!$H$4384,MATCH($A24&amp;BJ$2,Master!$A$2:'Master'!$A$4384&amp;Master!$C$2:'Master'!$C$4384,0))</f>
        <v>0</v>
      </c>
      <c r="BK24" s="21" cm="1">
        <f t="array" aca="1" ref="BK24" ca="1">INDEX(Master!$H$2:'Master'!$H$4384,MATCH($A24&amp;BK$2,Master!$A$2:'Master'!$A$4384&amp;Master!$C$2:'Master'!$C$4384,0))</f>
        <v>0</v>
      </c>
      <c r="BL24" s="21" cm="1">
        <f t="array" aca="1" ref="BL24" ca="1">INDEX(Master!$H$2:'Master'!$H$4384,MATCH($A24&amp;BL$2,Master!$A$2:'Master'!$A$4384&amp;Master!$C$2:'Master'!$C$4384,0))</f>
        <v>0</v>
      </c>
      <c r="BM24" s="21" cm="1">
        <f t="array" aca="1" ref="BM24" ca="1">INDEX(Master!$H$2:'Master'!$H$4384,MATCH($A24&amp;BM$2,Master!$A$2:'Master'!$A$4384&amp;Master!$C$2:'Master'!$C$4384,0))</f>
        <v>0</v>
      </c>
      <c r="BN24" s="21" cm="1">
        <f t="array" aca="1" ref="BN24" ca="1">INDEX(Master!$H$2:'Master'!$H$4384,MATCH($A24&amp;BN$2,Master!$A$2:'Master'!$A$4384&amp;Master!$C$2:'Master'!$C$4384,0))</f>
        <v>0</v>
      </c>
      <c r="BO24" s="21" cm="1">
        <f t="array" aca="1" ref="BO24" ca="1">INDEX(Master!$H$2:'Master'!$H$4384,MATCH($A24&amp;BO$2,Master!$A$2:'Master'!$A$4384&amp;Master!$C$2:'Master'!$C$4384,0))</f>
        <v>-1</v>
      </c>
      <c r="BP24" s="21" cm="1">
        <f t="array" aca="1" ref="BP24" ca="1">INDEX(Master!$H$2:'Master'!$H$4384,MATCH($A24&amp;BP$2,Master!$A$2:'Master'!$A$4384&amp;Master!$C$2:'Master'!$C$4384,0))</f>
        <v>0</v>
      </c>
      <c r="BQ24" s="21" cm="1">
        <f t="array" aca="1" ref="BQ24" ca="1">INDEX(Master!$H$2:'Master'!$H$4384,MATCH($A24&amp;BQ$2,Master!$A$2:'Master'!$A$4384&amp;Master!$C$2:'Master'!$C$4384,0))</f>
        <v>1</v>
      </c>
      <c r="BR24" s="21" cm="1">
        <f t="array" aca="1" ref="BR24" ca="1">INDEX(Master!$H$2:'Master'!$H$4384,MATCH($A24&amp;BR$2,Master!$A$2:'Master'!$A$4384&amp;Master!$C$2:'Master'!$C$4384,0))</f>
        <v>1</v>
      </c>
      <c r="BS24" s="21" cm="1">
        <f t="array" aca="1" ref="BS24" ca="1">INDEX(Master!$H$2:'Master'!$H$4384,MATCH($A24&amp;BS$2,Master!$A$2:'Master'!$A$4384&amp;Master!$C$2:'Master'!$C$4384,0))</f>
        <v>1</v>
      </c>
      <c r="BT24" s="21" cm="1">
        <f t="array" aca="1" ref="BT24" ca="1">INDEX(Master!$H$2:'Master'!$H$4384,MATCH($A24&amp;BT$2,Master!$A$2:'Master'!$A$4384&amp;Master!$C$2:'Master'!$C$4384,0))</f>
        <v>0</v>
      </c>
      <c r="BU24" s="21" cm="1">
        <f t="array" aca="1" ref="BU24" ca="1">INDEX(Master!$H$2:'Master'!$H$4384,MATCH($A24&amp;BU$2,Master!$A$2:'Master'!$A$4384&amp;Master!$C$2:'Master'!$C$4384,0))</f>
        <v>1</v>
      </c>
      <c r="BV24" s="21" cm="1">
        <f t="array" aca="1" ref="BV24" ca="1">INDEX(Master!$H$2:'Master'!$H$4384,MATCH($A24&amp;BV$2,Master!$A$2:'Master'!$A$4384&amp;Master!$C$2:'Master'!$C$4384,0))</f>
        <v>1</v>
      </c>
      <c r="BW24" s="21" cm="1">
        <f t="array" aca="1" ref="BW24" ca="1">INDEX(Master!$H$2:'Master'!$H$4384,MATCH($A24&amp;BW$2,Master!$A$2:'Master'!$A$4384&amp;Master!$C$2:'Master'!$C$4384,0))</f>
        <v>0</v>
      </c>
      <c r="BX24" s="21" cm="1">
        <f t="array" aca="1" ref="BX24" ca="1">INDEX(Master!$H$2:'Master'!$H$4384,MATCH($A24&amp;BX$2,Master!$A$2:'Master'!$A$4384&amp;Master!$C$2:'Master'!$C$4384,0))</f>
        <v>0</v>
      </c>
      <c r="BY24" s="21" cm="1">
        <f t="array" aca="1" ref="BY24" ca="1">INDEX(Master!$H$2:'Master'!$H$4384,MATCH($A24&amp;BY$2,Master!$A$2:'Master'!$A$4384&amp;Master!$C$2:'Master'!$C$4384,0))</f>
        <v>0</v>
      </c>
      <c r="BZ24" s="21" cm="1">
        <f t="array" aca="1" ref="BZ24" ca="1">INDEX(Master!$H$2:'Master'!$H$4384,MATCH($A24&amp;BZ$2,Master!$A$2:'Master'!$A$4384&amp;Master!$C$2:'Master'!$C$4384,0))</f>
        <v>-1</v>
      </c>
      <c r="CA24" s="21" cm="1">
        <f t="array" aca="1" ref="CA24" ca="1">INDEX(Master!$H$2:'Master'!$H$4384,MATCH($A24&amp;CA$2,Master!$A$2:'Master'!$A$4384&amp;Master!$C$2:'Master'!$C$4384,0))</f>
        <v>0</v>
      </c>
      <c r="CB24" s="21" cm="1">
        <f t="array" aca="1" ref="CB24" ca="1">INDEX(Master!$H$2:'Master'!$H$4384,MATCH($A24&amp;CB$2,Master!$A$2:'Master'!$A$4384&amp;Master!$C$2:'Master'!$C$4384,0))</f>
        <v>0</v>
      </c>
      <c r="CC24" s="21" cm="1">
        <f t="array" aca="1" ref="CC24" ca="1">INDEX(Master!$H$2:'Master'!$H$4384,MATCH($A24&amp;CC$2,Master!$A$2:'Master'!$A$4384&amp;Master!$C$2:'Master'!$C$4384,0))</f>
        <v>0</v>
      </c>
      <c r="CD24" s="21" cm="1">
        <f t="array" aca="1" ref="CD24" ca="1">INDEX(Master!$H$2:'Master'!$H$4384,MATCH($A24&amp;CD$2,Master!$A$2:'Master'!$A$4384&amp;Master!$C$2:'Master'!$C$4384,0))</f>
        <v>0</v>
      </c>
      <c r="CE24" s="21" cm="1">
        <f t="array" aca="1" ref="CE24" ca="1">INDEX(Master!$H$2:'Master'!$H$4384,MATCH($A24&amp;CE$2,Master!$A$2:'Master'!$A$4384&amp;Master!$C$2:'Master'!$C$4384,0))</f>
        <v>1</v>
      </c>
      <c r="CF24" s="21" cm="1">
        <f t="array" aca="1" ref="CF24" ca="1">INDEX(Master!$H$2:'Master'!$H$4384,MATCH($A24&amp;CF$2,Master!$A$2:'Master'!$A$4384&amp;Master!$C$2:'Master'!$C$4384,0))</f>
        <v>1</v>
      </c>
      <c r="CG24" s="21" cm="1">
        <f t="array" aca="1" ref="CG24" ca="1">INDEX(Master!$H$2:'Master'!$H$4384,MATCH($A24&amp;CG$2,Master!$A$2:'Master'!$A$4384&amp;Master!$C$2:'Master'!$C$4384,0))</f>
        <v>-1</v>
      </c>
      <c r="CH24" s="21" cm="1">
        <f t="array" aca="1" ref="CH24" ca="1">INDEX(Master!$H$2:'Master'!$H$4384,MATCH($A24&amp;CH$2,Master!$A$2:'Master'!$A$4384&amp;Master!$C$2:'Master'!$C$4384,0))</f>
        <v>1</v>
      </c>
      <c r="CI24" s="21" cm="1">
        <f t="array" aca="1" ref="CI24" ca="1">INDEX(Master!$H$2:'Master'!$H$4384,MATCH($A24&amp;CI$2,Master!$A$2:'Master'!$A$4384&amp;Master!$C$2:'Master'!$C$4384,0))</f>
        <v>-1</v>
      </c>
      <c r="CJ24" s="21" cm="1">
        <f t="array" aca="1" ref="CJ24" ca="1">INDEX(Master!$H$2:'Master'!$H$4384,MATCH($A24&amp;CJ$2,Master!$A$2:'Master'!$A$4384&amp;Master!$C$2:'Master'!$C$4384,0))</f>
        <v>1</v>
      </c>
      <c r="CK24" s="21" cm="1">
        <f t="array" aca="1" ref="CK24" ca="1">INDEX(Master!$H$2:'Master'!$H$4384,MATCH($A24&amp;CK$2,Master!$A$2:'Master'!$A$4384&amp;Master!$C$2:'Master'!$C$4384,0))</f>
        <v>0</v>
      </c>
      <c r="CL24" s="21" cm="1">
        <f t="array" aca="1" ref="CL24" ca="1">INDEX(Master!$H$2:'Master'!$H$4384,MATCH($A24&amp;CL$2,Master!$A$2:'Master'!$A$4384&amp;Master!$C$2:'Master'!$C$4384,0))</f>
        <v>0</v>
      </c>
      <c r="CM24" s="21" cm="1">
        <f t="array" aca="1" ref="CM24" ca="1">INDEX(Master!$H$2:'Master'!$H$4384,MATCH($A24&amp;CM$2,Master!$A$2:'Master'!$A$4384&amp;Master!$C$2:'Master'!$C$4384,0))</f>
        <v>1</v>
      </c>
      <c r="CN24" s="21" cm="1">
        <f t="array" aca="1" ref="CN24" ca="1">INDEX(Master!$H$2:'Master'!$H$4384,MATCH($A24&amp;CN$2,Master!$A$2:'Master'!$A$4384&amp;Master!$C$2:'Master'!$C$4384,0))</f>
        <v>0</v>
      </c>
      <c r="CO24" s="21" cm="1">
        <f t="array" aca="1" ref="CO24" ca="1">INDEX(Master!$H$2:'Master'!$H$4384,MATCH($A24&amp;CO$2,Master!$A$2:'Master'!$A$4384&amp;Master!$C$2:'Master'!$C$4384,0))</f>
        <v>0</v>
      </c>
      <c r="CP24" s="21" cm="1">
        <f t="array" aca="1" ref="CP24" ca="1">INDEX(Master!$H$2:'Master'!$H$4384,MATCH($A24&amp;CP$2,Master!$A$2:'Master'!$A$4384&amp;Master!$C$2:'Master'!$C$4384,0))</f>
        <v>1</v>
      </c>
      <c r="CQ24" s="21" cm="1">
        <f t="array" aca="1" ref="CQ24" ca="1">INDEX(Master!$H$2:'Master'!$H$4384,MATCH($A24&amp;CQ$2,Master!$A$2:'Master'!$A$4384&amp;Master!$C$2:'Master'!$C$4384,0))</f>
        <v>2</v>
      </c>
      <c r="CR24" s="21" cm="1">
        <f t="array" aca="1" ref="CR24" ca="1">INDEX(Master!$H$2:'Master'!$H$4384,MATCH($A24&amp;CR$2,Master!$A$2:'Master'!$A$4384&amp;Master!$C$2:'Master'!$C$4384,0))</f>
        <v>1</v>
      </c>
      <c r="CS24" s="21" cm="1">
        <f t="array" aca="1" ref="CS24" ca="1">INDEX(Master!$H$2:'Master'!$H$4384,MATCH($A24&amp;CS$2,Master!$A$2:'Master'!$A$4384&amp;Master!$C$2:'Master'!$C$4384,0))</f>
        <v>0</v>
      </c>
    </row>
    <row r="25" spans="1:97">
      <c r="A25" s="22" t="str">
        <f>VLOOKUP(Staff!$A21,Staff!$A$1:A$73,1,FALSE)</f>
        <v>Vera Stanhope</v>
      </c>
      <c r="B25" s="21" cm="1">
        <f t="array" aca="1" ref="B25" ca="1">INDEX(Master!$H$2:'Master'!$H$4384,MATCH($A25&amp;B$2,Master!$A$2:'Master'!$A$4384&amp;Master!$C$2:'Master'!$C$4384,0))</f>
        <v>99</v>
      </c>
      <c r="C25" s="21" cm="1">
        <f t="array" aca="1" ref="C25" ca="1">INDEX(Master!$H$2:'Master'!$H$4384,MATCH($A25&amp;C$2,Master!$A$2:'Master'!$A$4384&amp;Master!$C$2:'Master'!$C$4384,0))</f>
        <v>99</v>
      </c>
      <c r="D25" s="21" cm="1">
        <f t="array" aca="1" ref="D25" ca="1">INDEX(Master!$H$2:'Master'!$H$4384,MATCH($A25&amp;D$2,Master!$A$2:'Master'!$A$4384&amp;Master!$C$2:'Master'!$C$4384,0))</f>
        <v>99</v>
      </c>
      <c r="E25" s="21" cm="1">
        <f t="array" aca="1" ref="E25" ca="1">INDEX(Master!$H$2:'Master'!$H$4384,MATCH($A25&amp;E$2,Master!$A$2:'Master'!$A$4384&amp;Master!$C$2:'Master'!$C$4384,0))</f>
        <v>97</v>
      </c>
      <c r="F25" s="21" cm="1">
        <f t="array" aca="1" ref="F25" ca="1">INDEX(Master!$H$2:'Master'!$H$4384,MATCH($A25&amp;F$2,Master!$A$2:'Master'!$A$4384&amp;Master!$C$2:'Master'!$C$4384,0))</f>
        <v>99</v>
      </c>
      <c r="G25" s="21" cm="1">
        <f t="array" aca="1" ref="G25" ca="1">INDEX(Master!$H$2:'Master'!$H$4384,MATCH($A25&amp;G$2,Master!$A$2:'Master'!$A$4384&amp;Master!$C$2:'Master'!$C$4384,0))</f>
        <v>97</v>
      </c>
      <c r="H25" s="21" cm="1">
        <f t="array" aca="1" ref="H25" ca="1">INDEX(Master!$H$2:'Master'!$H$4384,MATCH($A25&amp;H$2,Master!$A$2:'Master'!$A$4384&amp;Master!$C$2:'Master'!$C$4384,0))</f>
        <v>99</v>
      </c>
      <c r="I25" s="21" cm="1">
        <f t="array" aca="1" ref="I25" ca="1">INDEX(Master!$H$2:'Master'!$H$4384,MATCH($A25&amp;I$2,Master!$A$2:'Master'!$A$4384&amp;Master!$C$2:'Master'!$C$4384,0))</f>
        <v>99</v>
      </c>
      <c r="J25" s="21" cm="1">
        <f t="array" aca="1" ref="J25" ca="1">INDEX(Master!$H$2:'Master'!$H$4384,MATCH($A25&amp;J$2,Master!$A$2:'Master'!$A$4384&amp;Master!$C$2:'Master'!$C$4384,0))</f>
        <v>96</v>
      </c>
      <c r="K25" s="21" cm="1">
        <f t="array" aca="1" ref="K25" ca="1">INDEX(Master!$H$2:'Master'!$H$4384,MATCH($A25&amp;K$2,Master!$A$2:'Master'!$A$4384&amp;Master!$C$2:'Master'!$C$4384,0))</f>
        <v>97</v>
      </c>
      <c r="L25" s="21" cm="1">
        <f t="array" aca="1" ref="L25" ca="1">INDEX(Master!$H$2:'Master'!$H$4384,MATCH($A25&amp;L$2,Master!$A$2:'Master'!$A$4384&amp;Master!$C$2:'Master'!$C$4384,0))</f>
        <v>97</v>
      </c>
      <c r="M25" s="21" cm="1">
        <f t="array" aca="1" ref="M25" ca="1">INDEX(Master!$H$2:'Master'!$H$4384,MATCH($A25&amp;M$2,Master!$A$2:'Master'!$A$4384&amp;Master!$C$2:'Master'!$C$4384,0))</f>
        <v>96</v>
      </c>
      <c r="N25" s="21" cm="1">
        <f t="array" aca="1" ref="N25" ca="1">INDEX(Master!$H$2:'Master'!$H$4384,MATCH($A25&amp;N$2,Master!$A$2:'Master'!$A$4384&amp;Master!$C$2:'Master'!$C$4384,0))</f>
        <v>97</v>
      </c>
      <c r="O25" s="21" cm="1">
        <f t="array" aca="1" ref="O25" ca="1">INDEX(Master!$H$2:'Master'!$H$4384,MATCH($A25&amp;O$2,Master!$A$2:'Master'!$A$4384&amp;Master!$C$2:'Master'!$C$4384,0))</f>
        <v>97</v>
      </c>
      <c r="P25" s="21" cm="1">
        <f t="array" aca="1" ref="P25" ca="1">INDEX(Master!$H$2:'Master'!$H$4384,MATCH($A25&amp;P$2,Master!$A$2:'Master'!$A$4384&amp;Master!$C$2:'Master'!$C$4384,0))</f>
        <v>97</v>
      </c>
      <c r="Q25" s="21" cm="1">
        <f t="array" aca="1" ref="Q25" ca="1">INDEX(Master!$H$2:'Master'!$H$4384,MATCH($A25&amp;Q$2,Master!$A$2:'Master'!$A$4384&amp;Master!$C$2:'Master'!$C$4384,0))</f>
        <v>98</v>
      </c>
      <c r="R25" s="21" cm="1">
        <f t="array" aca="1" ref="R25" ca="1">INDEX(Master!$H$2:'Master'!$H$4384,MATCH($A25&amp;R$2,Master!$A$2:'Master'!$A$4384&amp;Master!$C$2:'Master'!$C$4384,0))</f>
        <v>99</v>
      </c>
      <c r="S25" s="21" cm="1">
        <f t="array" aca="1" ref="S25" ca="1">INDEX(Master!$H$2:'Master'!$H$4384,MATCH($A25&amp;S$2,Master!$A$2:'Master'!$A$4384&amp;Master!$C$2:'Master'!$C$4384,0))</f>
        <v>99</v>
      </c>
      <c r="T25" s="21" cm="1">
        <f t="array" aca="1" ref="T25" ca="1">INDEX(Master!$H$2:'Master'!$H$4384,MATCH($A25&amp;T$2,Master!$A$2:'Master'!$A$4384&amp;Master!$C$2:'Master'!$C$4384,0))</f>
        <v>98</v>
      </c>
      <c r="U25" s="21" cm="1">
        <f t="array" aca="1" ref="U25" ca="1">INDEX(Master!$H$2:'Master'!$H$4384,MATCH($A25&amp;U$2,Master!$A$2:'Master'!$A$4384&amp;Master!$C$2:'Master'!$C$4384,0))</f>
        <v>99</v>
      </c>
      <c r="V25" s="21" cm="1">
        <f t="array" aca="1" ref="V25" ca="1">INDEX(Master!$H$2:'Master'!$H$4384,MATCH($A25&amp;V$2,Master!$A$2:'Master'!$A$4384&amp;Master!$C$2:'Master'!$C$4384,0))</f>
        <v>97</v>
      </c>
      <c r="W25" s="21" cm="1">
        <f t="array" aca="1" ref="W25" ca="1">INDEX(Master!$H$2:'Master'!$H$4384,MATCH($A25&amp;W$2,Master!$A$2:'Master'!$A$4384&amp;Master!$C$2:'Master'!$C$4384,0))</f>
        <v>98</v>
      </c>
      <c r="X25" s="21" cm="1">
        <f t="array" aca="1" ref="X25" ca="1">INDEX(Master!$H$2:'Master'!$H$4384,MATCH($A25&amp;X$2,Master!$A$2:'Master'!$A$4384&amp;Master!$C$2:'Master'!$C$4384,0))</f>
        <v>99</v>
      </c>
      <c r="Y25" s="21" cm="1">
        <f t="array" aca="1" ref="Y25" ca="1">INDEX(Master!$H$2:'Master'!$H$4384,MATCH($A25&amp;Y$2,Master!$A$2:'Master'!$A$4384&amp;Master!$C$2:'Master'!$C$4384,0))</f>
        <v>99</v>
      </c>
      <c r="Z25" s="21" cm="1">
        <f t="array" aca="1" ref="Z25" ca="1">INDEX(Master!$H$2:'Master'!$H$4384,MATCH($A25&amp;Z$2,Master!$A$2:'Master'!$A$4384&amp;Master!$C$2:'Master'!$C$4384,0))</f>
        <v>97</v>
      </c>
      <c r="AA25" s="21" cm="1">
        <f t="array" aca="1" ref="AA25" ca="1">INDEX(Master!$H$2:'Master'!$H$4384,MATCH($A25&amp;AA$2,Master!$A$2:'Master'!$A$4384&amp;Master!$C$2:'Master'!$C$4384,0))</f>
        <v>97</v>
      </c>
      <c r="AB25" s="21" cm="1">
        <f t="array" aca="1" ref="AB25" ca="1">INDEX(Master!$H$2:'Master'!$H$4384,MATCH($A25&amp;AB$2,Master!$A$2:'Master'!$A$4384&amp;Master!$C$2:'Master'!$C$4384,0))</f>
        <v>98</v>
      </c>
      <c r="AC25" s="21" cm="1">
        <f t="array" aca="1" ref="AC25" ca="1">INDEX(Master!$H$2:'Master'!$H$4384,MATCH($A25&amp;AC$2,Master!$A$2:'Master'!$A$4384&amp;Master!$C$2:'Master'!$C$4384,0))</f>
        <v>97</v>
      </c>
      <c r="AD25" s="21" cm="1">
        <f t="array" aca="1" ref="AD25" ca="1">INDEX(Master!$H$2:'Master'!$H$4384,MATCH($A25&amp;AD$2,Master!$A$2:'Master'!$A$4384&amp;Master!$C$2:'Master'!$C$4384,0))</f>
        <v>98</v>
      </c>
      <c r="AE25" s="21" cm="1">
        <f t="array" aca="1" ref="AE25" ca="1">INDEX(Master!$H$2:'Master'!$H$4384,MATCH($A25&amp;AE$2,Master!$A$2:'Master'!$A$4384&amp;Master!$C$2:'Master'!$C$4384,0))</f>
        <v>99</v>
      </c>
      <c r="AF25" s="21" cm="1">
        <f t="array" aca="1" ref="AF25" ca="1">INDEX(Master!$H$2:'Master'!$H$4384,MATCH($A25&amp;AF$2,Master!$A$2:'Master'!$A$4384&amp;Master!$C$2:'Master'!$C$4384,0))</f>
        <v>99</v>
      </c>
      <c r="AG25" s="21" cm="1">
        <f t="array" aca="1" ref="AG25" ca="1">INDEX(Master!$H$2:'Master'!$H$4384,MATCH($A25&amp;AG$2,Master!$A$2:'Master'!$A$4384&amp;Master!$C$2:'Master'!$C$4384,0))</f>
        <v>99</v>
      </c>
      <c r="AH25" s="21" cm="1">
        <f t="array" aca="1" ref="AH25" ca="1">INDEX(Master!$H$2:'Master'!$H$4384,MATCH($A25&amp;AH$2,Master!$A$2:'Master'!$A$4384&amp;Master!$C$2:'Master'!$C$4384,0))</f>
        <v>99</v>
      </c>
      <c r="AI25" s="21" cm="1">
        <f t="array" aca="1" ref="AI25" ca="1">INDEX(Master!$H$2:'Master'!$H$4384,MATCH($A25&amp;AI$2,Master!$A$2:'Master'!$A$4384&amp;Master!$C$2:'Master'!$C$4384,0))</f>
        <v>99</v>
      </c>
      <c r="AJ25" s="21" cm="1">
        <f t="array" aca="1" ref="AJ25" ca="1">INDEX(Master!$H$2:'Master'!$H$4384,MATCH($A25&amp;AJ$2,Master!$A$2:'Master'!$A$4384&amp;Master!$C$2:'Master'!$C$4384,0))</f>
        <v>99</v>
      </c>
      <c r="AK25" s="21" cm="1">
        <f t="array" aca="1" ref="AK25" ca="1">INDEX(Master!$H$2:'Master'!$H$4384,MATCH($A25&amp;AK$2,Master!$A$2:'Master'!$A$4384&amp;Master!$C$2:'Master'!$C$4384,0))</f>
        <v>99</v>
      </c>
      <c r="AL25" s="21" cm="1">
        <f t="array" aca="1" ref="AL25" ca="1">INDEX(Master!$H$2:'Master'!$H$4384,MATCH($A25&amp;AL$2,Master!$A$2:'Master'!$A$4384&amp;Master!$C$2:'Master'!$C$4384,0))</f>
        <v>99</v>
      </c>
      <c r="AM25" s="21" cm="1">
        <f t="array" aca="1" ref="AM25" ca="1">INDEX(Master!$H$2:'Master'!$H$4384,MATCH($A25&amp;AM$2,Master!$A$2:'Master'!$A$4384&amp;Master!$C$2:'Master'!$C$4384,0))</f>
        <v>99</v>
      </c>
      <c r="AN25" s="21" cm="1">
        <f t="array" aca="1" ref="AN25" ca="1">INDEX(Master!$H$2:'Master'!$H$4384,MATCH($A25&amp;AN$2,Master!$A$2:'Master'!$A$4384&amp;Master!$C$2:'Master'!$C$4384,0))</f>
        <v>99</v>
      </c>
      <c r="AO25" s="21" cm="1">
        <f t="array" aca="1" ref="AO25" ca="1">INDEX(Master!$H$2:'Master'!$H$4384,MATCH($A25&amp;AO$2,Master!$A$2:'Master'!$A$4384&amp;Master!$C$2:'Master'!$C$4384,0))</f>
        <v>98</v>
      </c>
      <c r="AP25" s="21" cm="1">
        <f t="array" aca="1" ref="AP25" ca="1">INDEX(Master!$H$2:'Master'!$H$4384,MATCH($A25&amp;AP$2,Master!$A$2:'Master'!$A$4384&amp;Master!$C$2:'Master'!$C$4384,0))</f>
        <v>97</v>
      </c>
      <c r="AQ25" s="21" cm="1">
        <f t="array" aca="1" ref="AQ25" ca="1">INDEX(Master!$H$2:'Master'!$H$4384,MATCH($A25&amp;AQ$2,Master!$A$2:'Master'!$A$4384&amp;Master!$C$2:'Master'!$C$4384,0))</f>
        <v>98</v>
      </c>
      <c r="AR25" s="21" cm="1">
        <f t="array" aca="1" ref="AR25" ca="1">INDEX(Master!$H$2:'Master'!$H$4384,MATCH($A25&amp;AR$2,Master!$A$2:'Master'!$A$4384&amp;Master!$C$2:'Master'!$C$4384,0))</f>
        <v>98</v>
      </c>
      <c r="AS25" s="21" cm="1">
        <f t="array" aca="1" ref="AS25" ca="1">INDEX(Master!$H$2:'Master'!$H$4384,MATCH($A25&amp;AS$2,Master!$A$2:'Master'!$A$4384&amp;Master!$C$2:'Master'!$C$4384,0))</f>
        <v>99</v>
      </c>
      <c r="AT25" s="21" cm="1">
        <f t="array" aca="1" ref="AT25" ca="1">INDEX(Master!$H$2:'Master'!$H$4384,MATCH($A25&amp;AT$2,Master!$A$2:'Master'!$A$4384&amp;Master!$C$2:'Master'!$C$4384,0))</f>
        <v>99</v>
      </c>
      <c r="AU25" s="21" cm="1">
        <f t="array" aca="1" ref="AU25" ca="1">INDEX(Master!$H$2:'Master'!$H$4384,MATCH($A25&amp;AU$2,Master!$A$2:'Master'!$A$4384&amp;Master!$C$2:'Master'!$C$4384,0))</f>
        <v>99</v>
      </c>
      <c r="AV25" s="21" cm="1">
        <f t="array" aca="1" ref="AV25" ca="1">INDEX(Master!$H$2:'Master'!$H$4384,MATCH($A25&amp;AV$2,Master!$A$2:'Master'!$A$4384&amp;Master!$C$2:'Master'!$C$4384,0))</f>
        <v>97</v>
      </c>
      <c r="AW25" s="21" cm="1">
        <f t="array" aca="1" ref="AW25" ca="1">INDEX(Master!$H$2:'Master'!$H$4384,MATCH($A25&amp;AW$2,Master!$A$2:'Master'!$A$4384&amp;Master!$C$2:'Master'!$C$4384,0))</f>
        <v>99</v>
      </c>
      <c r="AX25" s="21" cm="1">
        <f t="array" aca="1" ref="AX25" ca="1">INDEX(Master!$H$2:'Master'!$H$4384,MATCH($A25&amp;AX$2,Master!$A$2:'Master'!$A$4384&amp;Master!$C$2:'Master'!$C$4384,0))</f>
        <v>99</v>
      </c>
      <c r="AY25" s="21" cm="1">
        <f t="array" aca="1" ref="AY25" ca="1">INDEX(Master!$H$2:'Master'!$H$4384,MATCH($A25&amp;AY$2,Master!$A$2:'Master'!$A$4384&amp;Master!$C$2:'Master'!$C$4384,0))</f>
        <v>99</v>
      </c>
      <c r="AZ25" s="21" cm="1">
        <f t="array" aca="1" ref="AZ25" ca="1">INDEX(Master!$H$2:'Master'!$H$4384,MATCH($A25&amp;AZ$2,Master!$A$2:'Master'!$A$4384&amp;Master!$C$2:'Master'!$C$4384,0))</f>
        <v>98</v>
      </c>
      <c r="BA25" s="21" cm="1">
        <f t="array" aca="1" ref="BA25" ca="1">INDEX(Master!$H$2:'Master'!$H$4384,MATCH($A25&amp;BA$2,Master!$A$2:'Master'!$A$4384&amp;Master!$C$2:'Master'!$C$4384,0))</f>
        <v>99</v>
      </c>
      <c r="BB25" s="21" cm="1">
        <f t="array" aca="1" ref="BB25" ca="1">INDEX(Master!$H$2:'Master'!$H$4384,MATCH($A25&amp;BB$2,Master!$A$2:'Master'!$A$4384&amp;Master!$C$2:'Master'!$C$4384,0))</f>
        <v>99</v>
      </c>
      <c r="BC25" s="21" cm="1">
        <f t="array" aca="1" ref="BC25" ca="1">INDEX(Master!$H$2:'Master'!$H$4384,MATCH($A25&amp;BC$2,Master!$A$2:'Master'!$A$4384&amp;Master!$C$2:'Master'!$C$4384,0))</f>
        <v>99</v>
      </c>
      <c r="BD25" s="21" cm="1">
        <f t="array" aca="1" ref="BD25" ca="1">INDEX(Master!$H$2:'Master'!$H$4384,MATCH($A25&amp;BD$2,Master!$A$2:'Master'!$A$4384&amp;Master!$C$2:'Master'!$C$4384,0))</f>
        <v>99</v>
      </c>
      <c r="BE25" s="21" cm="1">
        <f t="array" aca="1" ref="BE25" ca="1">INDEX(Master!$H$2:'Master'!$H$4384,MATCH($A25&amp;BE$2,Master!$A$2:'Master'!$A$4384&amp;Master!$C$2:'Master'!$C$4384,0))</f>
        <v>99</v>
      </c>
      <c r="BF25" s="21" cm="1">
        <f t="array" aca="1" ref="BF25" ca="1">INDEX(Master!$H$2:'Master'!$H$4384,MATCH($A25&amp;BF$2,Master!$A$2:'Master'!$A$4384&amp;Master!$C$2:'Master'!$C$4384,0))</f>
        <v>99</v>
      </c>
      <c r="BG25" s="21" cm="1">
        <f t="array" aca="1" ref="BG25" ca="1">INDEX(Master!$H$2:'Master'!$H$4384,MATCH($A25&amp;BG$2,Master!$A$2:'Master'!$A$4384&amp;Master!$C$2:'Master'!$C$4384,0))</f>
        <v>97</v>
      </c>
      <c r="BH25" s="21" cm="1">
        <f t="array" aca="1" ref="BH25" ca="1">INDEX(Master!$H$2:'Master'!$H$4384,MATCH($A25&amp;BH$2,Master!$A$2:'Master'!$A$4384&amp;Master!$C$2:'Master'!$C$4384,0))</f>
        <v>99</v>
      </c>
      <c r="BI25" s="21" cm="1">
        <f t="array" aca="1" ref="BI25" ca="1">INDEX(Master!$H$2:'Master'!$H$4384,MATCH($A25&amp;BI$2,Master!$A$2:'Master'!$A$4384&amp;Master!$C$2:'Master'!$C$4384,0))</f>
        <v>98</v>
      </c>
      <c r="BJ25" s="21" cm="1">
        <f t="array" aca="1" ref="BJ25" ca="1">INDEX(Master!$H$2:'Master'!$H$4384,MATCH($A25&amp;BJ$2,Master!$A$2:'Master'!$A$4384&amp;Master!$C$2:'Master'!$C$4384,0))</f>
        <v>99</v>
      </c>
      <c r="BK25" s="21" cm="1">
        <f t="array" aca="1" ref="BK25" ca="1">INDEX(Master!$H$2:'Master'!$H$4384,MATCH($A25&amp;BK$2,Master!$A$2:'Master'!$A$4384&amp;Master!$C$2:'Master'!$C$4384,0))</f>
        <v>98</v>
      </c>
      <c r="BL25" s="21" cm="1">
        <f t="array" aca="1" ref="BL25" ca="1">INDEX(Master!$H$2:'Master'!$H$4384,MATCH($A25&amp;BL$2,Master!$A$2:'Master'!$A$4384&amp;Master!$C$2:'Master'!$C$4384,0))</f>
        <v>98</v>
      </c>
      <c r="BM25" s="21" cm="1">
        <f t="array" aca="1" ref="BM25" ca="1">INDEX(Master!$H$2:'Master'!$H$4384,MATCH($A25&amp;BM$2,Master!$A$2:'Master'!$A$4384&amp;Master!$C$2:'Master'!$C$4384,0))</f>
        <v>98</v>
      </c>
      <c r="BN25" s="21" cm="1">
        <f t="array" aca="1" ref="BN25" ca="1">INDEX(Master!$H$2:'Master'!$H$4384,MATCH($A25&amp;BN$2,Master!$A$2:'Master'!$A$4384&amp;Master!$C$2:'Master'!$C$4384,0))</f>
        <v>99</v>
      </c>
      <c r="BO25" s="21" cm="1">
        <f t="array" aca="1" ref="BO25" ca="1">INDEX(Master!$H$2:'Master'!$H$4384,MATCH($A25&amp;BO$2,Master!$A$2:'Master'!$A$4384&amp;Master!$C$2:'Master'!$C$4384,0))</f>
        <v>99</v>
      </c>
      <c r="BP25" s="21" cm="1">
        <f t="array" aca="1" ref="BP25" ca="1">INDEX(Master!$H$2:'Master'!$H$4384,MATCH($A25&amp;BP$2,Master!$A$2:'Master'!$A$4384&amp;Master!$C$2:'Master'!$C$4384,0))</f>
        <v>99</v>
      </c>
      <c r="BQ25" s="21" cm="1">
        <f t="array" aca="1" ref="BQ25" ca="1">INDEX(Master!$H$2:'Master'!$H$4384,MATCH($A25&amp;BQ$2,Master!$A$2:'Master'!$A$4384&amp;Master!$C$2:'Master'!$C$4384,0))</f>
        <v>98</v>
      </c>
      <c r="BR25" s="21" cm="1">
        <f t="array" aca="1" ref="BR25" ca="1">INDEX(Master!$H$2:'Master'!$H$4384,MATCH($A25&amp;BR$2,Master!$A$2:'Master'!$A$4384&amp;Master!$C$2:'Master'!$C$4384,0))</f>
        <v>99</v>
      </c>
      <c r="BS25" s="21" cm="1">
        <f t="array" aca="1" ref="BS25" ca="1">INDEX(Master!$H$2:'Master'!$H$4384,MATCH($A25&amp;BS$2,Master!$A$2:'Master'!$A$4384&amp;Master!$C$2:'Master'!$C$4384,0))</f>
        <v>99</v>
      </c>
      <c r="BT25" s="21" cm="1">
        <f t="array" aca="1" ref="BT25" ca="1">INDEX(Master!$H$2:'Master'!$H$4384,MATCH($A25&amp;BT$2,Master!$A$2:'Master'!$A$4384&amp;Master!$C$2:'Master'!$C$4384,0))</f>
        <v>99</v>
      </c>
      <c r="BU25" s="21" cm="1">
        <f t="array" aca="1" ref="BU25" ca="1">INDEX(Master!$H$2:'Master'!$H$4384,MATCH($A25&amp;BU$2,Master!$A$2:'Master'!$A$4384&amp;Master!$C$2:'Master'!$C$4384,0))</f>
        <v>99</v>
      </c>
      <c r="BV25" s="21" cm="1">
        <f t="array" aca="1" ref="BV25" ca="1">INDEX(Master!$H$2:'Master'!$H$4384,MATCH($A25&amp;BV$2,Master!$A$2:'Master'!$A$4384&amp;Master!$C$2:'Master'!$C$4384,0))</f>
        <v>97</v>
      </c>
      <c r="BW25" s="21" cm="1">
        <f t="array" aca="1" ref="BW25" ca="1">INDEX(Master!$H$2:'Master'!$H$4384,MATCH($A25&amp;BW$2,Master!$A$2:'Master'!$A$4384&amp;Master!$C$2:'Master'!$C$4384,0))</f>
        <v>99</v>
      </c>
      <c r="BX25" s="21" cm="1">
        <f t="array" aca="1" ref="BX25" ca="1">INDEX(Master!$H$2:'Master'!$H$4384,MATCH($A25&amp;BX$2,Master!$A$2:'Master'!$A$4384&amp;Master!$C$2:'Master'!$C$4384,0))</f>
        <v>97</v>
      </c>
      <c r="BY25" s="21" cm="1">
        <f t="array" aca="1" ref="BY25" ca="1">INDEX(Master!$H$2:'Master'!$H$4384,MATCH($A25&amp;BY$2,Master!$A$2:'Master'!$A$4384&amp;Master!$C$2:'Master'!$C$4384,0))</f>
        <v>99</v>
      </c>
      <c r="BZ25" s="21" cm="1">
        <f t="array" aca="1" ref="BZ25" ca="1">INDEX(Master!$H$2:'Master'!$H$4384,MATCH($A25&amp;BZ$2,Master!$A$2:'Master'!$A$4384&amp;Master!$C$2:'Master'!$C$4384,0))</f>
        <v>98</v>
      </c>
      <c r="CA25" s="21" cm="1">
        <f t="array" aca="1" ref="CA25" ca="1">INDEX(Master!$H$2:'Master'!$H$4384,MATCH($A25&amp;CA$2,Master!$A$2:'Master'!$A$4384&amp;Master!$C$2:'Master'!$C$4384,0))</f>
        <v>99</v>
      </c>
      <c r="CB25" s="21" cm="1">
        <f t="array" aca="1" ref="CB25" ca="1">INDEX(Master!$H$2:'Master'!$H$4384,MATCH($A25&amp;CB$2,Master!$A$2:'Master'!$A$4384&amp;Master!$C$2:'Master'!$C$4384,0))</f>
        <v>98</v>
      </c>
      <c r="CC25" s="21" cm="1">
        <f t="array" aca="1" ref="CC25" ca="1">INDEX(Master!$H$2:'Master'!$H$4384,MATCH($A25&amp;CC$2,Master!$A$2:'Master'!$A$4384&amp;Master!$C$2:'Master'!$C$4384,0))</f>
        <v>98</v>
      </c>
      <c r="CD25" s="21" cm="1">
        <f t="array" aca="1" ref="CD25" ca="1">INDEX(Master!$H$2:'Master'!$H$4384,MATCH($A25&amp;CD$2,Master!$A$2:'Master'!$A$4384&amp;Master!$C$2:'Master'!$C$4384,0))</f>
        <v>98</v>
      </c>
      <c r="CE25" s="21" cm="1">
        <f t="array" aca="1" ref="CE25" ca="1">INDEX(Master!$H$2:'Master'!$H$4384,MATCH($A25&amp;CE$2,Master!$A$2:'Master'!$A$4384&amp;Master!$C$2:'Master'!$C$4384,0))</f>
        <v>98</v>
      </c>
      <c r="CF25" s="21" cm="1">
        <f t="array" aca="1" ref="CF25" ca="1">INDEX(Master!$H$2:'Master'!$H$4384,MATCH($A25&amp;CF$2,Master!$A$2:'Master'!$A$4384&amp;Master!$C$2:'Master'!$C$4384,0))</f>
        <v>98</v>
      </c>
      <c r="CG25" s="21" cm="1">
        <f t="array" aca="1" ref="CG25" ca="1">INDEX(Master!$H$2:'Master'!$H$4384,MATCH($A25&amp;CG$2,Master!$A$2:'Master'!$A$4384&amp;Master!$C$2:'Master'!$C$4384,0))</f>
        <v>98</v>
      </c>
      <c r="CH25" s="21" cm="1">
        <f t="array" aca="1" ref="CH25" ca="1">INDEX(Master!$H$2:'Master'!$H$4384,MATCH($A25&amp;CH$2,Master!$A$2:'Master'!$A$4384&amp;Master!$C$2:'Master'!$C$4384,0))</f>
        <v>98</v>
      </c>
      <c r="CI25" s="21" cm="1">
        <f t="array" aca="1" ref="CI25" ca="1">INDEX(Master!$H$2:'Master'!$H$4384,MATCH($A25&amp;CI$2,Master!$A$2:'Master'!$A$4384&amp;Master!$C$2:'Master'!$C$4384,0))</f>
        <v>98</v>
      </c>
      <c r="CJ25" s="21" cm="1">
        <f t="array" aca="1" ref="CJ25" ca="1">INDEX(Master!$H$2:'Master'!$H$4384,MATCH($A25&amp;CJ$2,Master!$A$2:'Master'!$A$4384&amp;Master!$C$2:'Master'!$C$4384,0))</f>
        <v>99</v>
      </c>
      <c r="CK25" s="21" cm="1">
        <f t="array" aca="1" ref="CK25" ca="1">INDEX(Master!$H$2:'Master'!$H$4384,MATCH($A25&amp;CK$2,Master!$A$2:'Master'!$A$4384&amp;Master!$C$2:'Master'!$C$4384,0))</f>
        <v>99</v>
      </c>
      <c r="CL25" s="21" cm="1">
        <f t="array" aca="1" ref="CL25" ca="1">INDEX(Master!$H$2:'Master'!$H$4384,MATCH($A25&amp;CL$2,Master!$A$2:'Master'!$A$4384&amp;Master!$C$2:'Master'!$C$4384,0))</f>
        <v>99</v>
      </c>
      <c r="CM25" s="21" cm="1">
        <f t="array" aca="1" ref="CM25" ca="1">INDEX(Master!$H$2:'Master'!$H$4384,MATCH($A25&amp;CM$2,Master!$A$2:'Master'!$A$4384&amp;Master!$C$2:'Master'!$C$4384,0))</f>
        <v>99</v>
      </c>
      <c r="CN25" s="21" cm="1">
        <f t="array" aca="1" ref="CN25" ca="1">INDEX(Master!$H$2:'Master'!$H$4384,MATCH($A25&amp;CN$2,Master!$A$2:'Master'!$A$4384&amp;Master!$C$2:'Master'!$C$4384,0))</f>
        <v>97</v>
      </c>
      <c r="CO25" s="21" cm="1">
        <f t="array" aca="1" ref="CO25" ca="1">INDEX(Master!$H$2:'Master'!$H$4384,MATCH($A25&amp;CO$2,Master!$A$2:'Master'!$A$4384&amp;Master!$C$2:'Master'!$C$4384,0))</f>
        <v>97</v>
      </c>
      <c r="CP25" s="21" cm="1">
        <f t="array" aca="1" ref="CP25" ca="1">INDEX(Master!$H$2:'Master'!$H$4384,MATCH($A25&amp;CP$2,Master!$A$2:'Master'!$A$4384&amp;Master!$C$2:'Master'!$C$4384,0))</f>
        <v>97</v>
      </c>
      <c r="CQ25" s="21" cm="1">
        <f t="array" aca="1" ref="CQ25" ca="1">INDEX(Master!$H$2:'Master'!$H$4384,MATCH($A25&amp;CQ$2,Master!$A$2:'Master'!$A$4384&amp;Master!$C$2:'Master'!$C$4384,0))</f>
        <v>99</v>
      </c>
      <c r="CR25" s="21" cm="1">
        <f t="array" aca="1" ref="CR25" ca="1">INDEX(Master!$H$2:'Master'!$H$4384,MATCH($A25&amp;CR$2,Master!$A$2:'Master'!$A$4384&amp;Master!$C$2:'Master'!$C$4384,0))</f>
        <v>99</v>
      </c>
      <c r="CS25" s="21" cm="1">
        <f t="array" aca="1" ref="CS25" ca="1">INDEX(Master!$H$2:'Master'!$H$4384,MATCH($A25&amp;CS$2,Master!$A$2:'Master'!$A$4384&amp;Master!$C$2:'Master'!$C$4384,0))</f>
        <v>98</v>
      </c>
    </row>
    <row r="26" spans="1:97">
      <c r="A26" s="22" t="str">
        <f>VLOOKUP(Staff!$A22,Staff!$A$1:A$73,1,FALSE)</f>
        <v>Frank Hathaway</v>
      </c>
      <c r="B26" s="21" cm="1">
        <f t="array" aca="1" ref="B26" ca="1">INDEX(Master!$H$2:'Master'!$H$4384,MATCH($A26&amp;B$2,Master!$A$2:'Master'!$A$4384&amp;Master!$C$2:'Master'!$C$4384,0))</f>
        <v>-3</v>
      </c>
      <c r="C26" s="21" cm="1">
        <f t="array" aca="1" ref="C26" ca="1">INDEX(Master!$H$2:'Master'!$H$4384,MATCH($A26&amp;C$2,Master!$A$2:'Master'!$A$4384&amp;Master!$C$2:'Master'!$C$4384,0))</f>
        <v>0</v>
      </c>
      <c r="D26" s="21" cm="1">
        <f t="array" aca="1" ref="D26" ca="1">INDEX(Master!$H$2:'Master'!$H$4384,MATCH($A26&amp;D$2,Master!$A$2:'Master'!$A$4384&amp;Master!$C$2:'Master'!$C$4384,0))</f>
        <v>-2</v>
      </c>
      <c r="E26" s="21" cm="1">
        <f t="array" aca="1" ref="E26" ca="1">INDEX(Master!$H$2:'Master'!$H$4384,MATCH($A26&amp;E$2,Master!$A$2:'Master'!$A$4384&amp;Master!$C$2:'Master'!$C$4384,0))</f>
        <v>-1</v>
      </c>
      <c r="F26" s="21" cm="1">
        <f t="array" aca="1" ref="F26" ca="1">INDEX(Master!$H$2:'Master'!$H$4384,MATCH($A26&amp;F$2,Master!$A$2:'Master'!$A$4384&amp;Master!$C$2:'Master'!$C$4384,0))</f>
        <v>-1</v>
      </c>
      <c r="G26" s="21" cm="1">
        <f t="array" aca="1" ref="G26" ca="1">INDEX(Master!$H$2:'Master'!$H$4384,MATCH($A26&amp;G$2,Master!$A$2:'Master'!$A$4384&amp;Master!$C$2:'Master'!$C$4384,0))</f>
        <v>-1</v>
      </c>
      <c r="H26" s="21" cm="1">
        <f t="array" aca="1" ref="H26" ca="1">INDEX(Master!$H$2:'Master'!$H$4384,MATCH($A26&amp;H$2,Master!$A$2:'Master'!$A$4384&amp;Master!$C$2:'Master'!$C$4384,0))</f>
        <v>-1</v>
      </c>
      <c r="I26" s="21" cm="1">
        <f t="array" aca="1" ref="I26" ca="1">INDEX(Master!$H$2:'Master'!$H$4384,MATCH($A26&amp;I$2,Master!$A$2:'Master'!$A$4384&amp;Master!$C$2:'Master'!$C$4384,0))</f>
        <v>0</v>
      </c>
      <c r="J26" s="21" cm="1">
        <f t="array" aca="1" ref="J26" ca="1">INDEX(Master!$H$2:'Master'!$H$4384,MATCH($A26&amp;J$2,Master!$A$2:'Master'!$A$4384&amp;Master!$C$2:'Master'!$C$4384,0))</f>
        <v>-2</v>
      </c>
      <c r="K26" s="21" cm="1">
        <f t="array" aca="1" ref="K26" ca="1">INDEX(Master!$H$2:'Master'!$H$4384,MATCH($A26&amp;K$2,Master!$A$2:'Master'!$A$4384&amp;Master!$C$2:'Master'!$C$4384,0))</f>
        <v>-3</v>
      </c>
      <c r="L26" s="21" cm="1">
        <f t="array" aca="1" ref="L26" ca="1">INDEX(Master!$H$2:'Master'!$H$4384,MATCH($A26&amp;L$2,Master!$A$2:'Master'!$A$4384&amp;Master!$C$2:'Master'!$C$4384,0))</f>
        <v>-2</v>
      </c>
      <c r="M26" s="21" cm="1">
        <f t="array" aca="1" ref="M26" ca="1">INDEX(Master!$H$2:'Master'!$H$4384,MATCH($A26&amp;M$2,Master!$A$2:'Master'!$A$4384&amp;Master!$C$2:'Master'!$C$4384,0))</f>
        <v>0</v>
      </c>
      <c r="N26" s="21" cm="1">
        <f t="array" aca="1" ref="N26" ca="1">INDEX(Master!$H$2:'Master'!$H$4384,MATCH($A26&amp;N$2,Master!$A$2:'Master'!$A$4384&amp;Master!$C$2:'Master'!$C$4384,0))</f>
        <v>-2</v>
      </c>
      <c r="O26" s="21" cm="1">
        <f t="array" aca="1" ref="O26" ca="1">INDEX(Master!$H$2:'Master'!$H$4384,MATCH($A26&amp;O$2,Master!$A$2:'Master'!$A$4384&amp;Master!$C$2:'Master'!$C$4384,0))</f>
        <v>-1</v>
      </c>
      <c r="P26" s="21" cm="1">
        <f t="array" aca="1" ref="P26" ca="1">INDEX(Master!$H$2:'Master'!$H$4384,MATCH($A26&amp;P$2,Master!$A$2:'Master'!$A$4384&amp;Master!$C$2:'Master'!$C$4384,0))</f>
        <v>-1</v>
      </c>
      <c r="Q26" s="21" cm="1">
        <f t="array" aca="1" ref="Q26" ca="1">INDEX(Master!$H$2:'Master'!$H$4384,MATCH($A26&amp;Q$2,Master!$A$2:'Master'!$A$4384&amp;Master!$C$2:'Master'!$C$4384,0))</f>
        <v>0</v>
      </c>
      <c r="R26" s="21" cm="1">
        <f t="array" aca="1" ref="R26" ca="1">INDEX(Master!$H$2:'Master'!$H$4384,MATCH($A26&amp;R$2,Master!$A$2:'Master'!$A$4384&amp;Master!$C$2:'Master'!$C$4384,0))</f>
        <v>0</v>
      </c>
      <c r="S26" s="21" cm="1">
        <f t="array" aca="1" ref="S26" ca="1">INDEX(Master!$H$2:'Master'!$H$4384,MATCH($A26&amp;S$2,Master!$A$2:'Master'!$A$4384&amp;Master!$C$2:'Master'!$C$4384,0))</f>
        <v>-1</v>
      </c>
      <c r="T26" s="21" cm="1">
        <f t="array" aca="1" ref="T26" ca="1">INDEX(Master!$H$2:'Master'!$H$4384,MATCH($A26&amp;T$2,Master!$A$2:'Master'!$A$4384&amp;Master!$C$2:'Master'!$C$4384,0))</f>
        <v>-2</v>
      </c>
      <c r="U26" s="21" cm="1">
        <f t="array" aca="1" ref="U26" ca="1">INDEX(Master!$H$2:'Master'!$H$4384,MATCH($A26&amp;U$2,Master!$A$2:'Master'!$A$4384&amp;Master!$C$2:'Master'!$C$4384,0))</f>
        <v>0</v>
      </c>
      <c r="V26" s="21" cm="1">
        <f t="array" aca="1" ref="V26" ca="1">INDEX(Master!$H$2:'Master'!$H$4384,MATCH($A26&amp;V$2,Master!$A$2:'Master'!$A$4384&amp;Master!$C$2:'Master'!$C$4384,0))</f>
        <v>-2</v>
      </c>
      <c r="W26" s="21" cm="1">
        <f t="array" aca="1" ref="W26" ca="1">INDEX(Master!$H$2:'Master'!$H$4384,MATCH($A26&amp;W$2,Master!$A$2:'Master'!$A$4384&amp;Master!$C$2:'Master'!$C$4384,0))</f>
        <v>0</v>
      </c>
      <c r="X26" s="21" cm="1">
        <f t="array" aca="1" ref="X26" ca="1">INDEX(Master!$H$2:'Master'!$H$4384,MATCH($A26&amp;X$2,Master!$A$2:'Master'!$A$4384&amp;Master!$C$2:'Master'!$C$4384,0))</f>
        <v>-1</v>
      </c>
      <c r="Y26" s="21" cm="1">
        <f t="array" aca="1" ref="Y26" ca="1">INDEX(Master!$H$2:'Master'!$H$4384,MATCH($A26&amp;Y$2,Master!$A$2:'Master'!$A$4384&amp;Master!$C$2:'Master'!$C$4384,0))</f>
        <v>-1</v>
      </c>
      <c r="Z26" s="21" cm="1">
        <f t="array" aca="1" ref="Z26" ca="1">INDEX(Master!$H$2:'Master'!$H$4384,MATCH($A26&amp;Z$2,Master!$A$2:'Master'!$A$4384&amp;Master!$C$2:'Master'!$C$4384,0))</f>
        <v>0</v>
      </c>
      <c r="AA26" s="21" cm="1">
        <f t="array" aca="1" ref="AA26" ca="1">INDEX(Master!$H$2:'Master'!$H$4384,MATCH($A26&amp;AA$2,Master!$A$2:'Master'!$A$4384&amp;Master!$C$2:'Master'!$C$4384,0))</f>
        <v>-1</v>
      </c>
      <c r="AB26" s="21" cm="1">
        <f t="array" aca="1" ref="AB26" ca="1">INDEX(Master!$H$2:'Master'!$H$4384,MATCH($A26&amp;AB$2,Master!$A$2:'Master'!$A$4384&amp;Master!$C$2:'Master'!$C$4384,0))</f>
        <v>2</v>
      </c>
      <c r="AC26" s="21" cm="1">
        <f t="array" aca="1" ref="AC26" ca="1">INDEX(Master!$H$2:'Master'!$H$4384,MATCH($A26&amp;AC$2,Master!$A$2:'Master'!$A$4384&amp;Master!$C$2:'Master'!$C$4384,0))</f>
        <v>1</v>
      </c>
      <c r="AD26" s="21" cm="1">
        <f t="array" aca="1" ref="AD26" ca="1">INDEX(Master!$H$2:'Master'!$H$4384,MATCH($A26&amp;AD$2,Master!$A$2:'Master'!$A$4384&amp;Master!$C$2:'Master'!$C$4384,0))</f>
        <v>3</v>
      </c>
      <c r="AE26" s="21" cm="1">
        <f t="array" aca="1" ref="AE26" ca="1">INDEX(Master!$H$2:'Master'!$H$4384,MATCH($A26&amp;AE$2,Master!$A$2:'Master'!$A$4384&amp;Master!$C$2:'Master'!$C$4384,0))</f>
        <v>1</v>
      </c>
      <c r="AF26" s="21" cm="1">
        <f t="array" aca="1" ref="AF26" ca="1">INDEX(Master!$H$2:'Master'!$H$4384,MATCH($A26&amp;AF$2,Master!$A$2:'Master'!$A$4384&amp;Master!$C$2:'Master'!$C$4384,0))</f>
        <v>1</v>
      </c>
      <c r="AG26" s="21" cm="1">
        <f t="array" aca="1" ref="AG26" ca="1">INDEX(Master!$H$2:'Master'!$H$4384,MATCH($A26&amp;AG$2,Master!$A$2:'Master'!$A$4384&amp;Master!$C$2:'Master'!$C$4384,0))</f>
        <v>0</v>
      </c>
      <c r="AH26" s="21" cm="1">
        <f t="array" aca="1" ref="AH26" ca="1">INDEX(Master!$H$2:'Master'!$H$4384,MATCH($A26&amp;AH$2,Master!$A$2:'Master'!$A$4384&amp;Master!$C$2:'Master'!$C$4384,0))</f>
        <v>3</v>
      </c>
      <c r="AI26" s="21" cm="1">
        <f t="array" aca="1" ref="AI26" ca="1">INDEX(Master!$H$2:'Master'!$H$4384,MATCH($A26&amp;AI$2,Master!$A$2:'Master'!$A$4384&amp;Master!$C$2:'Master'!$C$4384,0))</f>
        <v>3</v>
      </c>
      <c r="AJ26" s="21" cm="1">
        <f t="array" aca="1" ref="AJ26" ca="1">INDEX(Master!$H$2:'Master'!$H$4384,MATCH($A26&amp;AJ$2,Master!$A$2:'Master'!$A$4384&amp;Master!$C$2:'Master'!$C$4384,0))</f>
        <v>3</v>
      </c>
      <c r="AK26" s="21" cm="1">
        <f t="array" aca="1" ref="AK26" ca="1">INDEX(Master!$H$2:'Master'!$H$4384,MATCH($A26&amp;AK$2,Master!$A$2:'Master'!$A$4384&amp;Master!$C$2:'Master'!$C$4384,0))</f>
        <v>1</v>
      </c>
      <c r="AL26" s="21" cm="1">
        <f t="array" aca="1" ref="AL26" ca="1">INDEX(Master!$H$2:'Master'!$H$4384,MATCH($A26&amp;AL$2,Master!$A$2:'Master'!$A$4384&amp;Master!$C$2:'Master'!$C$4384,0))</f>
        <v>2</v>
      </c>
      <c r="AM26" s="21" cm="1">
        <f t="array" aca="1" ref="AM26" ca="1">INDEX(Master!$H$2:'Master'!$H$4384,MATCH($A26&amp;AM$2,Master!$A$2:'Master'!$A$4384&amp;Master!$C$2:'Master'!$C$4384,0))</f>
        <v>0</v>
      </c>
      <c r="AN26" s="21" cm="1">
        <f t="array" aca="1" ref="AN26" ca="1">INDEX(Master!$H$2:'Master'!$H$4384,MATCH($A26&amp;AN$2,Master!$A$2:'Master'!$A$4384&amp;Master!$C$2:'Master'!$C$4384,0))</f>
        <v>1</v>
      </c>
      <c r="AO26" s="21" cm="1">
        <f t="array" aca="1" ref="AO26" ca="1">INDEX(Master!$H$2:'Master'!$H$4384,MATCH($A26&amp;AO$2,Master!$A$2:'Master'!$A$4384&amp;Master!$C$2:'Master'!$C$4384,0))</f>
        <v>-1</v>
      </c>
      <c r="AP26" s="21" cm="1">
        <f t="array" aca="1" ref="AP26" ca="1">INDEX(Master!$H$2:'Master'!$H$4384,MATCH($A26&amp;AP$2,Master!$A$2:'Master'!$A$4384&amp;Master!$C$2:'Master'!$C$4384,0))</f>
        <v>2</v>
      </c>
      <c r="AQ26" s="21" cm="1">
        <f t="array" aca="1" ref="AQ26" ca="1">INDEX(Master!$H$2:'Master'!$H$4384,MATCH($A26&amp;AQ$2,Master!$A$2:'Master'!$A$4384&amp;Master!$C$2:'Master'!$C$4384,0))</f>
        <v>2</v>
      </c>
      <c r="AR26" s="21" cm="1">
        <f t="array" aca="1" ref="AR26" ca="1">INDEX(Master!$H$2:'Master'!$H$4384,MATCH($A26&amp;AR$2,Master!$A$2:'Master'!$A$4384&amp;Master!$C$2:'Master'!$C$4384,0))</f>
        <v>3</v>
      </c>
      <c r="AS26" s="21" cm="1">
        <f t="array" aca="1" ref="AS26" ca="1">INDEX(Master!$H$2:'Master'!$H$4384,MATCH($A26&amp;AS$2,Master!$A$2:'Master'!$A$4384&amp;Master!$C$2:'Master'!$C$4384,0))</f>
        <v>3</v>
      </c>
      <c r="AT26" s="21" cm="1">
        <f t="array" aca="1" ref="AT26" ca="1">INDEX(Master!$H$2:'Master'!$H$4384,MATCH($A26&amp;AT$2,Master!$A$2:'Master'!$A$4384&amp;Master!$C$2:'Master'!$C$4384,0))</f>
        <v>3</v>
      </c>
      <c r="AU26" s="21" cm="1">
        <f t="array" aca="1" ref="AU26" ca="1">INDEX(Master!$H$2:'Master'!$H$4384,MATCH($A26&amp;AU$2,Master!$A$2:'Master'!$A$4384&amp;Master!$C$2:'Master'!$C$4384,0))</f>
        <v>2</v>
      </c>
      <c r="AV26" s="21" cm="1">
        <f t="array" aca="1" ref="AV26" ca="1">INDEX(Master!$H$2:'Master'!$H$4384,MATCH($A26&amp;AV$2,Master!$A$2:'Master'!$A$4384&amp;Master!$C$2:'Master'!$C$4384,0))</f>
        <v>3</v>
      </c>
      <c r="AW26" s="21" cm="1">
        <f t="array" aca="1" ref="AW26" ca="1">INDEX(Master!$H$2:'Master'!$H$4384,MATCH($A26&amp;AW$2,Master!$A$2:'Master'!$A$4384&amp;Master!$C$2:'Master'!$C$4384,0))</f>
        <v>2</v>
      </c>
      <c r="AX26" s="21" cm="1">
        <f t="array" aca="1" ref="AX26" ca="1">INDEX(Master!$H$2:'Master'!$H$4384,MATCH($A26&amp;AX$2,Master!$A$2:'Master'!$A$4384&amp;Master!$C$2:'Master'!$C$4384,0))</f>
        <v>2</v>
      </c>
      <c r="AY26" s="21" cm="1">
        <f t="array" aca="1" ref="AY26" ca="1">INDEX(Master!$H$2:'Master'!$H$4384,MATCH($A26&amp;AY$2,Master!$A$2:'Master'!$A$4384&amp;Master!$C$2:'Master'!$C$4384,0))</f>
        <v>3</v>
      </c>
      <c r="AZ26" s="21" cm="1">
        <f t="array" aca="1" ref="AZ26" ca="1">INDEX(Master!$H$2:'Master'!$H$4384,MATCH($A26&amp;AZ$2,Master!$A$2:'Master'!$A$4384&amp;Master!$C$2:'Master'!$C$4384,0))</f>
        <v>3</v>
      </c>
      <c r="BA26" s="21" cm="1">
        <f t="array" aca="1" ref="BA26" ca="1">INDEX(Master!$H$2:'Master'!$H$4384,MATCH($A26&amp;BA$2,Master!$A$2:'Master'!$A$4384&amp;Master!$C$2:'Master'!$C$4384,0))</f>
        <v>3</v>
      </c>
      <c r="BB26" s="21" cm="1">
        <f t="array" aca="1" ref="BB26" ca="1">INDEX(Master!$H$2:'Master'!$H$4384,MATCH($A26&amp;BB$2,Master!$A$2:'Master'!$A$4384&amp;Master!$C$2:'Master'!$C$4384,0))</f>
        <v>2</v>
      </c>
      <c r="BC26" s="21" cm="1">
        <f t="array" aca="1" ref="BC26" ca="1">INDEX(Master!$H$2:'Master'!$H$4384,MATCH($A26&amp;BC$2,Master!$A$2:'Master'!$A$4384&amp;Master!$C$2:'Master'!$C$4384,0))</f>
        <v>1</v>
      </c>
      <c r="BD26" s="21" cm="1">
        <f t="array" aca="1" ref="BD26" ca="1">INDEX(Master!$H$2:'Master'!$H$4384,MATCH($A26&amp;BD$2,Master!$A$2:'Master'!$A$4384&amp;Master!$C$2:'Master'!$C$4384,0))</f>
        <v>1</v>
      </c>
      <c r="BE26" s="21" cm="1">
        <f t="array" aca="1" ref="BE26" ca="1">INDEX(Master!$H$2:'Master'!$H$4384,MATCH($A26&amp;BE$2,Master!$A$2:'Master'!$A$4384&amp;Master!$C$2:'Master'!$C$4384,0))</f>
        <v>1</v>
      </c>
      <c r="BF26" s="21" cm="1">
        <f t="array" aca="1" ref="BF26" ca="1">INDEX(Master!$H$2:'Master'!$H$4384,MATCH($A26&amp;BF$2,Master!$A$2:'Master'!$A$4384&amp;Master!$C$2:'Master'!$C$4384,0))</f>
        <v>0</v>
      </c>
      <c r="BG26" s="21" cm="1">
        <f t="array" aca="1" ref="BG26" ca="1">INDEX(Master!$H$2:'Master'!$H$4384,MATCH($A26&amp;BG$2,Master!$A$2:'Master'!$A$4384&amp;Master!$C$2:'Master'!$C$4384,0))</f>
        <v>-3</v>
      </c>
      <c r="BH26" s="21" cm="1">
        <f t="array" aca="1" ref="BH26" ca="1">INDEX(Master!$H$2:'Master'!$H$4384,MATCH($A26&amp;BH$2,Master!$A$2:'Master'!$A$4384&amp;Master!$C$2:'Master'!$C$4384,0))</f>
        <v>-2</v>
      </c>
      <c r="BI26" s="21" cm="1">
        <f t="array" aca="1" ref="BI26" ca="1">INDEX(Master!$H$2:'Master'!$H$4384,MATCH($A26&amp;BI$2,Master!$A$2:'Master'!$A$4384&amp;Master!$C$2:'Master'!$C$4384,0))</f>
        <v>-2</v>
      </c>
      <c r="BJ26" s="21" cm="1">
        <f t="array" aca="1" ref="BJ26" ca="1">INDEX(Master!$H$2:'Master'!$H$4384,MATCH($A26&amp;BJ$2,Master!$A$2:'Master'!$A$4384&amp;Master!$C$2:'Master'!$C$4384,0))</f>
        <v>-2</v>
      </c>
      <c r="BK26" s="21" cm="1">
        <f t="array" aca="1" ref="BK26" ca="1">INDEX(Master!$H$2:'Master'!$H$4384,MATCH($A26&amp;BK$2,Master!$A$2:'Master'!$A$4384&amp;Master!$C$2:'Master'!$C$4384,0))</f>
        <v>0</v>
      </c>
      <c r="BL26" s="21" cm="1">
        <f t="array" aca="1" ref="BL26" ca="1">INDEX(Master!$H$2:'Master'!$H$4384,MATCH($A26&amp;BL$2,Master!$A$2:'Master'!$A$4384&amp;Master!$C$2:'Master'!$C$4384,0))</f>
        <v>0</v>
      </c>
      <c r="BM26" s="21" cm="1">
        <f t="array" aca="1" ref="BM26" ca="1">INDEX(Master!$H$2:'Master'!$H$4384,MATCH($A26&amp;BM$2,Master!$A$2:'Master'!$A$4384&amp;Master!$C$2:'Master'!$C$4384,0))</f>
        <v>-2</v>
      </c>
      <c r="BN26" s="21" cm="1">
        <f t="array" aca="1" ref="BN26" ca="1">INDEX(Master!$H$2:'Master'!$H$4384,MATCH($A26&amp;BN$2,Master!$A$2:'Master'!$A$4384&amp;Master!$C$2:'Master'!$C$4384,0))</f>
        <v>-2</v>
      </c>
      <c r="BO26" s="21" cm="1">
        <f t="array" aca="1" ref="BO26" ca="1">INDEX(Master!$H$2:'Master'!$H$4384,MATCH($A26&amp;BO$2,Master!$A$2:'Master'!$A$4384&amp;Master!$C$2:'Master'!$C$4384,0))</f>
        <v>-3</v>
      </c>
      <c r="BP26" s="21" cm="1">
        <f t="array" aca="1" ref="BP26" ca="1">INDEX(Master!$H$2:'Master'!$H$4384,MATCH($A26&amp;BP$2,Master!$A$2:'Master'!$A$4384&amp;Master!$C$2:'Master'!$C$4384,0))</f>
        <v>-2</v>
      </c>
      <c r="BQ26" s="21" cm="1">
        <f t="array" aca="1" ref="BQ26" ca="1">INDEX(Master!$H$2:'Master'!$H$4384,MATCH($A26&amp;BQ$2,Master!$A$2:'Master'!$A$4384&amp;Master!$C$2:'Master'!$C$4384,0))</f>
        <v>-3</v>
      </c>
      <c r="BR26" s="21" cm="1">
        <f t="array" aca="1" ref="BR26" ca="1">INDEX(Master!$H$2:'Master'!$H$4384,MATCH($A26&amp;BR$2,Master!$A$2:'Master'!$A$4384&amp;Master!$C$2:'Master'!$C$4384,0))</f>
        <v>-3</v>
      </c>
      <c r="BS26" s="21" cm="1">
        <f t="array" aca="1" ref="BS26" ca="1">INDEX(Master!$H$2:'Master'!$H$4384,MATCH($A26&amp;BS$2,Master!$A$2:'Master'!$A$4384&amp;Master!$C$2:'Master'!$C$4384,0))</f>
        <v>-2</v>
      </c>
      <c r="BT26" s="21" cm="1">
        <f t="array" aca="1" ref="BT26" ca="1">INDEX(Master!$H$2:'Master'!$H$4384,MATCH($A26&amp;BT$2,Master!$A$2:'Master'!$A$4384&amp;Master!$C$2:'Master'!$C$4384,0))</f>
        <v>-1</v>
      </c>
      <c r="BU26" s="21" cm="1">
        <f t="array" aca="1" ref="BU26" ca="1">INDEX(Master!$H$2:'Master'!$H$4384,MATCH($A26&amp;BU$2,Master!$A$2:'Master'!$A$4384&amp;Master!$C$2:'Master'!$C$4384,0))</f>
        <v>-1</v>
      </c>
      <c r="BV26" s="21" cm="1">
        <f t="array" aca="1" ref="BV26" ca="1">INDEX(Master!$H$2:'Master'!$H$4384,MATCH($A26&amp;BV$2,Master!$A$2:'Master'!$A$4384&amp;Master!$C$2:'Master'!$C$4384,0))</f>
        <v>0</v>
      </c>
      <c r="BW26" s="21" cm="1">
        <f t="array" aca="1" ref="BW26" ca="1">INDEX(Master!$H$2:'Master'!$H$4384,MATCH($A26&amp;BW$2,Master!$A$2:'Master'!$A$4384&amp;Master!$C$2:'Master'!$C$4384,0))</f>
        <v>0</v>
      </c>
      <c r="BX26" s="21" cm="1">
        <f t="array" aca="1" ref="BX26" ca="1">INDEX(Master!$H$2:'Master'!$H$4384,MATCH($A26&amp;BX$2,Master!$A$2:'Master'!$A$4384&amp;Master!$C$2:'Master'!$C$4384,0))</f>
        <v>-3</v>
      </c>
      <c r="BY26" s="21" cm="1">
        <f t="array" aca="1" ref="BY26" ca="1">INDEX(Master!$H$2:'Master'!$H$4384,MATCH($A26&amp;BY$2,Master!$A$2:'Master'!$A$4384&amp;Master!$C$2:'Master'!$C$4384,0))</f>
        <v>-2</v>
      </c>
      <c r="BZ26" s="21" cm="1">
        <f t="array" aca="1" ref="BZ26" ca="1">INDEX(Master!$H$2:'Master'!$H$4384,MATCH($A26&amp;BZ$2,Master!$A$2:'Master'!$A$4384&amp;Master!$C$2:'Master'!$C$4384,0))</f>
        <v>-2</v>
      </c>
      <c r="CA26" s="21" cm="1">
        <f t="array" aca="1" ref="CA26" ca="1">INDEX(Master!$H$2:'Master'!$H$4384,MATCH($A26&amp;CA$2,Master!$A$2:'Master'!$A$4384&amp;Master!$C$2:'Master'!$C$4384,0))</f>
        <v>-2</v>
      </c>
      <c r="CB26" s="21" cm="1">
        <f t="array" aca="1" ref="CB26" ca="1">INDEX(Master!$H$2:'Master'!$H$4384,MATCH($A26&amp;CB$2,Master!$A$2:'Master'!$A$4384&amp;Master!$C$2:'Master'!$C$4384,0))</f>
        <v>0</v>
      </c>
      <c r="CC26" s="21" cm="1">
        <f t="array" aca="1" ref="CC26" ca="1">INDEX(Master!$H$2:'Master'!$H$4384,MATCH($A26&amp;CC$2,Master!$A$2:'Master'!$A$4384&amp;Master!$C$2:'Master'!$C$4384,0))</f>
        <v>0</v>
      </c>
      <c r="CD26" s="21" cm="1">
        <f t="array" aca="1" ref="CD26" ca="1">INDEX(Master!$H$2:'Master'!$H$4384,MATCH($A26&amp;CD$2,Master!$A$2:'Master'!$A$4384&amp;Master!$C$2:'Master'!$C$4384,0))</f>
        <v>-2</v>
      </c>
      <c r="CE26" s="21" cm="1">
        <f t="array" aca="1" ref="CE26" ca="1">INDEX(Master!$H$2:'Master'!$H$4384,MATCH($A26&amp;CE$2,Master!$A$2:'Master'!$A$4384&amp;Master!$C$2:'Master'!$C$4384,0))</f>
        <v>-1</v>
      </c>
      <c r="CF26" s="21" cm="1">
        <f t="array" aca="1" ref="CF26" ca="1">INDEX(Master!$H$2:'Master'!$H$4384,MATCH($A26&amp;CF$2,Master!$A$2:'Master'!$A$4384&amp;Master!$C$2:'Master'!$C$4384,0))</f>
        <v>-1</v>
      </c>
      <c r="CG26" s="21" cm="1">
        <f t="array" aca="1" ref="CG26" ca="1">INDEX(Master!$H$2:'Master'!$H$4384,MATCH($A26&amp;CG$2,Master!$A$2:'Master'!$A$4384&amp;Master!$C$2:'Master'!$C$4384,0))</f>
        <v>0</v>
      </c>
      <c r="CH26" s="21" cm="1">
        <f t="array" aca="1" ref="CH26" ca="1">INDEX(Master!$H$2:'Master'!$H$4384,MATCH($A26&amp;CH$2,Master!$A$2:'Master'!$A$4384&amp;Master!$C$2:'Master'!$C$4384,0))</f>
        <v>-2</v>
      </c>
      <c r="CI26" s="21" cm="1">
        <f t="array" aca="1" ref="CI26" ca="1">INDEX(Master!$H$2:'Master'!$H$4384,MATCH($A26&amp;CI$2,Master!$A$2:'Master'!$A$4384&amp;Master!$C$2:'Master'!$C$4384,0))</f>
        <v>-2</v>
      </c>
      <c r="CJ26" s="21" cm="1">
        <f t="array" aca="1" ref="CJ26" ca="1">INDEX(Master!$H$2:'Master'!$H$4384,MATCH($A26&amp;CJ$2,Master!$A$2:'Master'!$A$4384&amp;Master!$C$2:'Master'!$C$4384,0))</f>
        <v>-3</v>
      </c>
      <c r="CK26" s="21" cm="1">
        <f t="array" aca="1" ref="CK26" ca="1">INDEX(Master!$H$2:'Master'!$H$4384,MATCH($A26&amp;CK$2,Master!$A$2:'Master'!$A$4384&amp;Master!$C$2:'Master'!$C$4384,0))</f>
        <v>2</v>
      </c>
      <c r="CL26" s="21" cm="1">
        <f t="array" aca="1" ref="CL26" ca="1">INDEX(Master!$H$2:'Master'!$H$4384,MATCH($A26&amp;CL$2,Master!$A$2:'Master'!$A$4384&amp;Master!$C$2:'Master'!$C$4384,0))</f>
        <v>3</v>
      </c>
      <c r="CM26" s="21" cm="1">
        <f t="array" aca="1" ref="CM26" ca="1">INDEX(Master!$H$2:'Master'!$H$4384,MATCH($A26&amp;CM$2,Master!$A$2:'Master'!$A$4384&amp;Master!$C$2:'Master'!$C$4384,0))</f>
        <v>3</v>
      </c>
      <c r="CN26" s="21" cm="1">
        <f t="array" aca="1" ref="CN26" ca="1">INDEX(Master!$H$2:'Master'!$H$4384,MATCH($A26&amp;CN$2,Master!$A$2:'Master'!$A$4384&amp;Master!$C$2:'Master'!$C$4384,0))</f>
        <v>2</v>
      </c>
      <c r="CO26" s="21" cm="1">
        <f t="array" aca="1" ref="CO26" ca="1">INDEX(Master!$H$2:'Master'!$H$4384,MATCH($A26&amp;CO$2,Master!$A$2:'Master'!$A$4384&amp;Master!$C$2:'Master'!$C$4384,0))</f>
        <v>3</v>
      </c>
      <c r="CP26" s="21" cm="1">
        <f t="array" aca="1" ref="CP26" ca="1">INDEX(Master!$H$2:'Master'!$H$4384,MATCH($A26&amp;CP$2,Master!$A$2:'Master'!$A$4384&amp;Master!$C$2:'Master'!$C$4384,0))</f>
        <v>2</v>
      </c>
      <c r="CQ26" s="21" cm="1">
        <f t="array" aca="1" ref="CQ26" ca="1">INDEX(Master!$H$2:'Master'!$H$4384,MATCH($A26&amp;CQ$2,Master!$A$2:'Master'!$A$4384&amp;Master!$C$2:'Master'!$C$4384,0))</f>
        <v>2</v>
      </c>
      <c r="CR26" s="21" cm="1">
        <f t="array" aca="1" ref="CR26" ca="1">INDEX(Master!$H$2:'Master'!$H$4384,MATCH($A26&amp;CR$2,Master!$A$2:'Master'!$A$4384&amp;Master!$C$2:'Master'!$C$4384,0))</f>
        <v>2</v>
      </c>
      <c r="CS26" s="21" cm="1">
        <f t="array" aca="1" ref="CS26" ca="1">INDEX(Master!$H$2:'Master'!$H$4384,MATCH($A26&amp;CS$2,Master!$A$2:'Master'!$A$4384&amp;Master!$C$2:'Master'!$C$4384,0))</f>
        <v>3</v>
      </c>
    </row>
    <row r="27" spans="1:97">
      <c r="A27" s="22" t="str">
        <f>VLOOKUP(Staff!$A23,Staff!$A$1:A$73,1,FALSE)</f>
        <v>Alec Hardy</v>
      </c>
      <c r="B27" s="21" cm="1">
        <f t="array" aca="1" ref="B27" ca="1">INDEX(Master!$H$2:'Master'!$H$4384,MATCH($A27&amp;B$2,Master!$A$2:'Master'!$A$4384&amp;Master!$C$2:'Master'!$C$4384,0))</f>
        <v>-3</v>
      </c>
      <c r="C27" s="21" cm="1">
        <f t="array" aca="1" ref="C27" ca="1">INDEX(Master!$H$2:'Master'!$H$4384,MATCH($A27&amp;C$2,Master!$A$2:'Master'!$A$4384&amp;Master!$C$2:'Master'!$C$4384,0))</f>
        <v>-2</v>
      </c>
      <c r="D27" s="21" cm="1">
        <f t="array" aca="1" ref="D27" ca="1">INDEX(Master!$H$2:'Master'!$H$4384,MATCH($A27&amp;D$2,Master!$A$2:'Master'!$A$4384&amp;Master!$C$2:'Master'!$C$4384,0))</f>
        <v>-3</v>
      </c>
      <c r="E27" s="21" cm="1">
        <f t="array" aca="1" ref="E27" ca="1">INDEX(Master!$H$2:'Master'!$H$4384,MATCH($A27&amp;E$2,Master!$A$2:'Master'!$A$4384&amp;Master!$C$2:'Master'!$C$4384,0))</f>
        <v>1</v>
      </c>
      <c r="F27" s="21" cm="1">
        <f t="array" aca="1" ref="F27" ca="1">INDEX(Master!$H$2:'Master'!$H$4384,MATCH($A27&amp;F$2,Master!$A$2:'Master'!$A$4384&amp;Master!$C$2:'Master'!$C$4384,0))</f>
        <v>0</v>
      </c>
      <c r="G27" s="21" cm="1">
        <f t="array" aca="1" ref="G27" ca="1">INDEX(Master!$H$2:'Master'!$H$4384,MATCH($A27&amp;G$2,Master!$A$2:'Master'!$A$4384&amp;Master!$C$2:'Master'!$C$4384,0))</f>
        <v>-1</v>
      </c>
      <c r="H27" s="21" cm="1">
        <f t="array" aca="1" ref="H27" ca="1">INDEX(Master!$H$2:'Master'!$H$4384,MATCH($A27&amp;H$2,Master!$A$2:'Master'!$A$4384&amp;Master!$C$2:'Master'!$C$4384,0))</f>
        <v>-1</v>
      </c>
      <c r="I27" s="21" cm="1">
        <f t="array" aca="1" ref="I27" ca="1">INDEX(Master!$H$2:'Master'!$H$4384,MATCH($A27&amp;I$2,Master!$A$2:'Master'!$A$4384&amp;Master!$C$2:'Master'!$C$4384,0))</f>
        <v>-1</v>
      </c>
      <c r="J27" s="21" cm="1">
        <f t="array" aca="1" ref="J27" ca="1">INDEX(Master!$H$2:'Master'!$H$4384,MATCH($A27&amp;J$2,Master!$A$2:'Master'!$A$4384&amp;Master!$C$2:'Master'!$C$4384,0))</f>
        <v>-2</v>
      </c>
      <c r="K27" s="21" cm="1">
        <f t="array" aca="1" ref="K27" ca="1">INDEX(Master!$H$2:'Master'!$H$4384,MATCH($A27&amp;K$2,Master!$A$2:'Master'!$A$4384&amp;Master!$C$2:'Master'!$C$4384,0))</f>
        <v>-1</v>
      </c>
      <c r="L27" s="21" cm="1">
        <f t="array" aca="1" ref="L27" ca="1">INDEX(Master!$H$2:'Master'!$H$4384,MATCH($A27&amp;L$2,Master!$A$2:'Master'!$A$4384&amp;Master!$C$2:'Master'!$C$4384,0))</f>
        <v>-2</v>
      </c>
      <c r="M27" s="21" cm="1">
        <f t="array" aca="1" ref="M27" ca="1">INDEX(Master!$H$2:'Master'!$H$4384,MATCH($A27&amp;M$2,Master!$A$2:'Master'!$A$4384&amp;Master!$C$2:'Master'!$C$4384,0))</f>
        <v>0</v>
      </c>
      <c r="N27" s="21" cm="1">
        <f t="array" aca="1" ref="N27" ca="1">INDEX(Master!$H$2:'Master'!$H$4384,MATCH($A27&amp;N$2,Master!$A$2:'Master'!$A$4384&amp;Master!$C$2:'Master'!$C$4384,0))</f>
        <v>-2</v>
      </c>
      <c r="O27" s="21" cm="1">
        <f t="array" aca="1" ref="O27" ca="1">INDEX(Master!$H$2:'Master'!$H$4384,MATCH($A27&amp;O$2,Master!$A$2:'Master'!$A$4384&amp;Master!$C$2:'Master'!$C$4384,0))</f>
        <v>0</v>
      </c>
      <c r="P27" s="21" cm="1">
        <f t="array" aca="1" ref="P27" ca="1">INDEX(Master!$H$2:'Master'!$H$4384,MATCH($A27&amp;P$2,Master!$A$2:'Master'!$A$4384&amp;Master!$C$2:'Master'!$C$4384,0))</f>
        <v>-1</v>
      </c>
      <c r="Q27" s="21" cm="1">
        <f t="array" aca="1" ref="Q27" ca="1">INDEX(Master!$H$2:'Master'!$H$4384,MATCH($A27&amp;Q$2,Master!$A$2:'Master'!$A$4384&amp;Master!$C$2:'Master'!$C$4384,0))</f>
        <v>1</v>
      </c>
      <c r="R27" s="21" cm="1">
        <f t="array" aca="1" ref="R27" ca="1">INDEX(Master!$H$2:'Master'!$H$4384,MATCH($A27&amp;R$2,Master!$A$2:'Master'!$A$4384&amp;Master!$C$2:'Master'!$C$4384,0))</f>
        <v>1</v>
      </c>
      <c r="S27" s="21" cm="1">
        <f t="array" aca="1" ref="S27" ca="1">INDEX(Master!$H$2:'Master'!$H$4384,MATCH($A27&amp;S$2,Master!$A$2:'Master'!$A$4384&amp;Master!$C$2:'Master'!$C$4384,0))</f>
        <v>-1</v>
      </c>
      <c r="T27" s="21" cm="1">
        <f t="array" aca="1" ref="T27" ca="1">INDEX(Master!$H$2:'Master'!$H$4384,MATCH($A27&amp;T$2,Master!$A$2:'Master'!$A$4384&amp;Master!$C$2:'Master'!$C$4384,0))</f>
        <v>-3</v>
      </c>
      <c r="U27" s="21" cm="1">
        <f t="array" aca="1" ref="U27" ca="1">INDEX(Master!$H$2:'Master'!$H$4384,MATCH($A27&amp;U$2,Master!$A$2:'Master'!$A$4384&amp;Master!$C$2:'Master'!$C$4384,0))</f>
        <v>-1</v>
      </c>
      <c r="V27" s="21" cm="1">
        <f t="array" aca="1" ref="V27" ca="1">INDEX(Master!$H$2:'Master'!$H$4384,MATCH($A27&amp;V$2,Master!$A$2:'Master'!$A$4384&amp;Master!$C$2:'Master'!$C$4384,0))</f>
        <v>3</v>
      </c>
      <c r="W27" s="21" cm="1">
        <f t="array" aca="1" ref="W27" ca="1">INDEX(Master!$H$2:'Master'!$H$4384,MATCH($A27&amp;W$2,Master!$A$2:'Master'!$A$4384&amp;Master!$C$2:'Master'!$C$4384,0))</f>
        <v>1</v>
      </c>
      <c r="X27" s="21" cm="1">
        <f t="array" aca="1" ref="X27" ca="1">INDEX(Master!$H$2:'Master'!$H$4384,MATCH($A27&amp;X$2,Master!$A$2:'Master'!$A$4384&amp;Master!$C$2:'Master'!$C$4384,0))</f>
        <v>-2</v>
      </c>
      <c r="Y27" s="21" cm="1">
        <f t="array" aca="1" ref="Y27" ca="1">INDEX(Master!$H$2:'Master'!$H$4384,MATCH($A27&amp;Y$2,Master!$A$2:'Master'!$A$4384&amp;Master!$C$2:'Master'!$C$4384,0))</f>
        <v>1</v>
      </c>
      <c r="Z27" s="21" cm="1">
        <f t="array" aca="1" ref="Z27" ca="1">INDEX(Master!$H$2:'Master'!$H$4384,MATCH($A27&amp;Z$2,Master!$A$2:'Master'!$A$4384&amp;Master!$C$2:'Master'!$C$4384,0))</f>
        <v>3</v>
      </c>
      <c r="AA27" s="21" cm="1">
        <f t="array" aca="1" ref="AA27" ca="1">INDEX(Master!$H$2:'Master'!$H$4384,MATCH($A27&amp;AA$2,Master!$A$2:'Master'!$A$4384&amp;Master!$C$2:'Master'!$C$4384,0))</f>
        <v>2</v>
      </c>
      <c r="AB27" s="21" cm="1">
        <f t="array" aca="1" ref="AB27" ca="1">INDEX(Master!$H$2:'Master'!$H$4384,MATCH($A27&amp;AB$2,Master!$A$2:'Master'!$A$4384&amp;Master!$C$2:'Master'!$C$4384,0))</f>
        <v>2</v>
      </c>
      <c r="AC27" s="21" cm="1">
        <f t="array" aca="1" ref="AC27" ca="1">INDEX(Master!$H$2:'Master'!$H$4384,MATCH($A27&amp;AC$2,Master!$A$2:'Master'!$A$4384&amp;Master!$C$2:'Master'!$C$4384,0))</f>
        <v>2</v>
      </c>
      <c r="AD27" s="21" cm="1">
        <f t="array" aca="1" ref="AD27" ca="1">INDEX(Master!$H$2:'Master'!$H$4384,MATCH($A27&amp;AD$2,Master!$A$2:'Master'!$A$4384&amp;Master!$C$2:'Master'!$C$4384,0))</f>
        <v>2</v>
      </c>
      <c r="AE27" s="21" cm="1">
        <f t="array" aca="1" ref="AE27" ca="1">INDEX(Master!$H$2:'Master'!$H$4384,MATCH($A27&amp;AE$2,Master!$A$2:'Master'!$A$4384&amp;Master!$C$2:'Master'!$C$4384,0))</f>
        <v>0</v>
      </c>
      <c r="AF27" s="21" cm="1">
        <f t="array" aca="1" ref="AF27" ca="1">INDEX(Master!$H$2:'Master'!$H$4384,MATCH($A27&amp;AF$2,Master!$A$2:'Master'!$A$4384&amp;Master!$C$2:'Master'!$C$4384,0))</f>
        <v>1</v>
      </c>
      <c r="AG27" s="21" cm="1">
        <f t="array" aca="1" ref="AG27" ca="1">INDEX(Master!$H$2:'Master'!$H$4384,MATCH($A27&amp;AG$2,Master!$A$2:'Master'!$A$4384&amp;Master!$C$2:'Master'!$C$4384,0))</f>
        <v>0</v>
      </c>
      <c r="AH27" s="21" cm="1">
        <f t="array" aca="1" ref="AH27" ca="1">INDEX(Master!$H$2:'Master'!$H$4384,MATCH($A27&amp;AH$2,Master!$A$2:'Master'!$A$4384&amp;Master!$C$2:'Master'!$C$4384,0))</f>
        <v>2</v>
      </c>
      <c r="AI27" s="21" cm="1">
        <f t="array" aca="1" ref="AI27" ca="1">INDEX(Master!$H$2:'Master'!$H$4384,MATCH($A27&amp;AI$2,Master!$A$2:'Master'!$A$4384&amp;Master!$C$2:'Master'!$C$4384,0))</f>
        <v>2</v>
      </c>
      <c r="AJ27" s="21" cm="1">
        <f t="array" aca="1" ref="AJ27" ca="1">INDEX(Master!$H$2:'Master'!$H$4384,MATCH($A27&amp;AJ$2,Master!$A$2:'Master'!$A$4384&amp;Master!$C$2:'Master'!$C$4384,0))</f>
        <v>1</v>
      </c>
      <c r="AK27" s="21" cm="1">
        <f t="array" aca="1" ref="AK27" ca="1">INDEX(Master!$H$2:'Master'!$H$4384,MATCH($A27&amp;AK$2,Master!$A$2:'Master'!$A$4384&amp;Master!$C$2:'Master'!$C$4384,0))</f>
        <v>0</v>
      </c>
      <c r="AL27" s="21" cm="1">
        <f t="array" aca="1" ref="AL27" ca="1">INDEX(Master!$H$2:'Master'!$H$4384,MATCH($A27&amp;AL$2,Master!$A$2:'Master'!$A$4384&amp;Master!$C$2:'Master'!$C$4384,0))</f>
        <v>0</v>
      </c>
      <c r="AM27" s="21" cm="1">
        <f t="array" aca="1" ref="AM27" ca="1">INDEX(Master!$H$2:'Master'!$H$4384,MATCH($A27&amp;AM$2,Master!$A$2:'Master'!$A$4384&amp;Master!$C$2:'Master'!$C$4384,0))</f>
        <v>0</v>
      </c>
      <c r="AN27" s="21" cm="1">
        <f t="array" aca="1" ref="AN27" ca="1">INDEX(Master!$H$2:'Master'!$H$4384,MATCH($A27&amp;AN$2,Master!$A$2:'Master'!$A$4384&amp;Master!$C$2:'Master'!$C$4384,0))</f>
        <v>3</v>
      </c>
      <c r="AO27" s="21" cm="1">
        <f t="array" aca="1" ref="AO27" ca="1">INDEX(Master!$H$2:'Master'!$H$4384,MATCH($A27&amp;AO$2,Master!$A$2:'Master'!$A$4384&amp;Master!$C$2:'Master'!$C$4384,0))</f>
        <v>-2</v>
      </c>
      <c r="AP27" s="21" cm="1">
        <f t="array" aca="1" ref="AP27" ca="1">INDEX(Master!$H$2:'Master'!$H$4384,MATCH($A27&amp;AP$2,Master!$A$2:'Master'!$A$4384&amp;Master!$C$2:'Master'!$C$4384,0))</f>
        <v>3</v>
      </c>
      <c r="AQ27" s="21" cm="1">
        <f t="array" aca="1" ref="AQ27" ca="1">INDEX(Master!$H$2:'Master'!$H$4384,MATCH($A27&amp;AQ$2,Master!$A$2:'Master'!$A$4384&amp;Master!$C$2:'Master'!$C$4384,0))</f>
        <v>1</v>
      </c>
      <c r="AR27" s="21" cm="1">
        <f t="array" aca="1" ref="AR27" ca="1">INDEX(Master!$H$2:'Master'!$H$4384,MATCH($A27&amp;AR$2,Master!$A$2:'Master'!$A$4384&amp;Master!$C$2:'Master'!$C$4384,0))</f>
        <v>3</v>
      </c>
      <c r="AS27" s="21" cm="1">
        <f t="array" aca="1" ref="AS27" ca="1">INDEX(Master!$H$2:'Master'!$H$4384,MATCH($A27&amp;AS$2,Master!$A$2:'Master'!$A$4384&amp;Master!$C$2:'Master'!$C$4384,0))</f>
        <v>3</v>
      </c>
      <c r="AT27" s="21" cm="1">
        <f t="array" aca="1" ref="AT27" ca="1">INDEX(Master!$H$2:'Master'!$H$4384,MATCH($A27&amp;AT$2,Master!$A$2:'Master'!$A$4384&amp;Master!$C$2:'Master'!$C$4384,0))</f>
        <v>-1</v>
      </c>
      <c r="AU27" s="21" cm="1">
        <f t="array" aca="1" ref="AU27" ca="1">INDEX(Master!$H$2:'Master'!$H$4384,MATCH($A27&amp;AU$2,Master!$A$2:'Master'!$A$4384&amp;Master!$C$2:'Master'!$C$4384,0))</f>
        <v>3</v>
      </c>
      <c r="AV27" s="21" cm="1">
        <f t="array" aca="1" ref="AV27" ca="1">INDEX(Master!$H$2:'Master'!$H$4384,MATCH($A27&amp;AV$2,Master!$A$2:'Master'!$A$4384&amp;Master!$C$2:'Master'!$C$4384,0))</f>
        <v>2</v>
      </c>
      <c r="AW27" s="21" cm="1">
        <f t="array" aca="1" ref="AW27" ca="1">INDEX(Master!$H$2:'Master'!$H$4384,MATCH($A27&amp;AW$2,Master!$A$2:'Master'!$A$4384&amp;Master!$C$2:'Master'!$C$4384,0))</f>
        <v>0</v>
      </c>
      <c r="AX27" s="21" cm="1">
        <f t="array" aca="1" ref="AX27" ca="1">INDEX(Master!$H$2:'Master'!$H$4384,MATCH($A27&amp;AX$2,Master!$A$2:'Master'!$A$4384&amp;Master!$C$2:'Master'!$C$4384,0))</f>
        <v>-1</v>
      </c>
      <c r="AY27" s="21" cm="1">
        <f t="array" aca="1" ref="AY27" ca="1">INDEX(Master!$H$2:'Master'!$H$4384,MATCH($A27&amp;AY$2,Master!$A$2:'Master'!$A$4384&amp;Master!$C$2:'Master'!$C$4384,0))</f>
        <v>3</v>
      </c>
      <c r="AZ27" s="21" cm="1">
        <f t="array" aca="1" ref="AZ27" ca="1">INDEX(Master!$H$2:'Master'!$H$4384,MATCH($A27&amp;AZ$2,Master!$A$2:'Master'!$A$4384&amp;Master!$C$2:'Master'!$C$4384,0))</f>
        <v>1</v>
      </c>
      <c r="BA27" s="21" cm="1">
        <f t="array" aca="1" ref="BA27" ca="1">INDEX(Master!$H$2:'Master'!$H$4384,MATCH($A27&amp;BA$2,Master!$A$2:'Master'!$A$4384&amp;Master!$C$2:'Master'!$C$4384,0))</f>
        <v>0</v>
      </c>
      <c r="BB27" s="21" cm="1">
        <f t="array" aca="1" ref="BB27" ca="1">INDEX(Master!$H$2:'Master'!$H$4384,MATCH($A27&amp;BB$2,Master!$A$2:'Master'!$A$4384&amp;Master!$C$2:'Master'!$C$4384,0))</f>
        <v>1</v>
      </c>
      <c r="BC27" s="21" cm="1">
        <f t="array" aca="1" ref="BC27" ca="1">INDEX(Master!$H$2:'Master'!$H$4384,MATCH($A27&amp;BC$2,Master!$A$2:'Master'!$A$4384&amp;Master!$C$2:'Master'!$C$4384,0))</f>
        <v>2</v>
      </c>
      <c r="BD27" s="21" cm="1">
        <f t="array" aca="1" ref="BD27" ca="1">INDEX(Master!$H$2:'Master'!$H$4384,MATCH($A27&amp;BD$2,Master!$A$2:'Master'!$A$4384&amp;Master!$C$2:'Master'!$C$4384,0))</f>
        <v>-1</v>
      </c>
      <c r="BE27" s="21" cm="1">
        <f t="array" aca="1" ref="BE27" ca="1">INDEX(Master!$H$2:'Master'!$H$4384,MATCH($A27&amp;BE$2,Master!$A$2:'Master'!$A$4384&amp;Master!$C$2:'Master'!$C$4384,0))</f>
        <v>0</v>
      </c>
      <c r="BF27" s="21" cm="1">
        <f t="array" aca="1" ref="BF27" ca="1">INDEX(Master!$H$2:'Master'!$H$4384,MATCH($A27&amp;BF$2,Master!$A$2:'Master'!$A$4384&amp;Master!$C$2:'Master'!$C$4384,0))</f>
        <v>0</v>
      </c>
      <c r="BG27" s="21" cm="1">
        <f t="array" aca="1" ref="BG27" ca="1">INDEX(Master!$H$2:'Master'!$H$4384,MATCH($A27&amp;BG$2,Master!$A$2:'Master'!$A$4384&amp;Master!$C$2:'Master'!$C$4384,0))</f>
        <v>0</v>
      </c>
      <c r="BH27" s="21" cm="1">
        <f t="array" aca="1" ref="BH27" ca="1">INDEX(Master!$H$2:'Master'!$H$4384,MATCH($A27&amp;BH$2,Master!$A$2:'Master'!$A$4384&amp;Master!$C$2:'Master'!$C$4384,0))</f>
        <v>1</v>
      </c>
      <c r="BI27" s="21" cm="1">
        <f t="array" aca="1" ref="BI27" ca="1">INDEX(Master!$H$2:'Master'!$H$4384,MATCH($A27&amp;BI$2,Master!$A$2:'Master'!$A$4384&amp;Master!$C$2:'Master'!$C$4384,0))</f>
        <v>0</v>
      </c>
      <c r="BJ27" s="21" cm="1">
        <f t="array" aca="1" ref="BJ27" ca="1">INDEX(Master!$H$2:'Master'!$H$4384,MATCH($A27&amp;BJ$2,Master!$A$2:'Master'!$A$4384&amp;Master!$C$2:'Master'!$C$4384,0))</f>
        <v>2</v>
      </c>
      <c r="BK27" s="21" cm="1">
        <f t="array" aca="1" ref="BK27" ca="1">INDEX(Master!$H$2:'Master'!$H$4384,MATCH($A27&amp;BK$2,Master!$A$2:'Master'!$A$4384&amp;Master!$C$2:'Master'!$C$4384,0))</f>
        <v>0</v>
      </c>
      <c r="BL27" s="21" cm="1">
        <f t="array" aca="1" ref="BL27" ca="1">INDEX(Master!$H$2:'Master'!$H$4384,MATCH($A27&amp;BL$2,Master!$A$2:'Master'!$A$4384&amp;Master!$C$2:'Master'!$C$4384,0))</f>
        <v>0</v>
      </c>
      <c r="BM27" s="21" cm="1">
        <f t="array" aca="1" ref="BM27" ca="1">INDEX(Master!$H$2:'Master'!$H$4384,MATCH($A27&amp;BM$2,Master!$A$2:'Master'!$A$4384&amp;Master!$C$2:'Master'!$C$4384,0))</f>
        <v>0</v>
      </c>
      <c r="BN27" s="21" cm="1">
        <f t="array" aca="1" ref="BN27" ca="1">INDEX(Master!$H$2:'Master'!$H$4384,MATCH($A27&amp;BN$2,Master!$A$2:'Master'!$A$4384&amp;Master!$C$2:'Master'!$C$4384,0))</f>
        <v>-2</v>
      </c>
      <c r="BO27" s="21" cm="1">
        <f t="array" aca="1" ref="BO27" ca="1">INDEX(Master!$H$2:'Master'!$H$4384,MATCH($A27&amp;BO$2,Master!$A$2:'Master'!$A$4384&amp;Master!$C$2:'Master'!$C$4384,0))</f>
        <v>-2</v>
      </c>
      <c r="BP27" s="21" cm="1">
        <f t="array" aca="1" ref="BP27" ca="1">INDEX(Master!$H$2:'Master'!$H$4384,MATCH($A27&amp;BP$2,Master!$A$2:'Master'!$A$4384&amp;Master!$C$2:'Master'!$C$4384,0))</f>
        <v>-2</v>
      </c>
      <c r="BQ27" s="21" cm="1">
        <f t="array" aca="1" ref="BQ27" ca="1">INDEX(Master!$H$2:'Master'!$H$4384,MATCH($A27&amp;BQ$2,Master!$A$2:'Master'!$A$4384&amp;Master!$C$2:'Master'!$C$4384,0))</f>
        <v>0</v>
      </c>
      <c r="BR27" s="21" cm="1">
        <f t="array" aca="1" ref="BR27" ca="1">INDEX(Master!$H$2:'Master'!$H$4384,MATCH($A27&amp;BR$2,Master!$A$2:'Master'!$A$4384&amp;Master!$C$2:'Master'!$C$4384,0))</f>
        <v>-2</v>
      </c>
      <c r="BS27" s="21" cm="1">
        <f t="array" aca="1" ref="BS27" ca="1">INDEX(Master!$H$2:'Master'!$H$4384,MATCH($A27&amp;BS$2,Master!$A$2:'Master'!$A$4384&amp;Master!$C$2:'Master'!$C$4384,0))</f>
        <v>-2</v>
      </c>
      <c r="BT27" s="21" cm="1">
        <f t="array" aca="1" ref="BT27" ca="1">INDEX(Master!$H$2:'Master'!$H$4384,MATCH($A27&amp;BT$2,Master!$A$2:'Master'!$A$4384&amp;Master!$C$2:'Master'!$C$4384,0))</f>
        <v>0</v>
      </c>
      <c r="BU27" s="21" cm="1">
        <f t="array" aca="1" ref="BU27" ca="1">INDEX(Master!$H$2:'Master'!$H$4384,MATCH($A27&amp;BU$2,Master!$A$2:'Master'!$A$4384&amp;Master!$C$2:'Master'!$C$4384,0))</f>
        <v>-3</v>
      </c>
      <c r="BV27" s="21" cm="1">
        <f t="array" aca="1" ref="BV27" ca="1">INDEX(Master!$H$2:'Master'!$H$4384,MATCH($A27&amp;BV$2,Master!$A$2:'Master'!$A$4384&amp;Master!$C$2:'Master'!$C$4384,0))</f>
        <v>-1</v>
      </c>
      <c r="BW27" s="21" cm="1">
        <f t="array" aca="1" ref="BW27" ca="1">INDEX(Master!$H$2:'Master'!$H$4384,MATCH($A27&amp;BW$2,Master!$A$2:'Master'!$A$4384&amp;Master!$C$2:'Master'!$C$4384,0))</f>
        <v>0</v>
      </c>
      <c r="BX27" s="21" cm="1">
        <f t="array" aca="1" ref="BX27" ca="1">INDEX(Master!$H$2:'Master'!$H$4384,MATCH($A27&amp;BX$2,Master!$A$2:'Master'!$A$4384&amp;Master!$C$2:'Master'!$C$4384,0))</f>
        <v>0</v>
      </c>
      <c r="BY27" s="21" cm="1">
        <f t="array" aca="1" ref="BY27" ca="1">INDEX(Master!$H$2:'Master'!$H$4384,MATCH($A27&amp;BY$2,Master!$A$2:'Master'!$A$4384&amp;Master!$C$2:'Master'!$C$4384,0))</f>
        <v>1</v>
      </c>
      <c r="BZ27" s="21" cm="1">
        <f t="array" aca="1" ref="BZ27" ca="1">INDEX(Master!$H$2:'Master'!$H$4384,MATCH($A27&amp;BZ$2,Master!$A$2:'Master'!$A$4384&amp;Master!$C$2:'Master'!$C$4384,0))</f>
        <v>0</v>
      </c>
      <c r="CA27" s="21" cm="1">
        <f t="array" aca="1" ref="CA27" ca="1">INDEX(Master!$H$2:'Master'!$H$4384,MATCH($A27&amp;CA$2,Master!$A$2:'Master'!$A$4384&amp;Master!$C$2:'Master'!$C$4384,0))</f>
        <v>2</v>
      </c>
      <c r="CB27" s="21" cm="1">
        <f t="array" aca="1" ref="CB27" ca="1">INDEX(Master!$H$2:'Master'!$H$4384,MATCH($A27&amp;CB$2,Master!$A$2:'Master'!$A$4384&amp;Master!$C$2:'Master'!$C$4384,0))</f>
        <v>0</v>
      </c>
      <c r="CC27" s="21" cm="1">
        <f t="array" aca="1" ref="CC27" ca="1">INDEX(Master!$H$2:'Master'!$H$4384,MATCH($A27&amp;CC$2,Master!$A$2:'Master'!$A$4384&amp;Master!$C$2:'Master'!$C$4384,0))</f>
        <v>0</v>
      </c>
      <c r="CD27" s="21" cm="1">
        <f t="array" aca="1" ref="CD27" ca="1">INDEX(Master!$H$2:'Master'!$H$4384,MATCH($A27&amp;CD$2,Master!$A$2:'Master'!$A$4384&amp;Master!$C$2:'Master'!$C$4384,0))</f>
        <v>0</v>
      </c>
      <c r="CE27" s="21" cm="1">
        <f t="array" aca="1" ref="CE27" ca="1">INDEX(Master!$H$2:'Master'!$H$4384,MATCH($A27&amp;CE$2,Master!$A$2:'Master'!$A$4384&amp;Master!$C$2:'Master'!$C$4384,0))</f>
        <v>-3</v>
      </c>
      <c r="CF27" s="21" cm="1">
        <f t="array" aca="1" ref="CF27" ca="1">INDEX(Master!$H$2:'Master'!$H$4384,MATCH($A27&amp;CF$2,Master!$A$2:'Master'!$A$4384&amp;Master!$C$2:'Master'!$C$4384,0))</f>
        <v>-2</v>
      </c>
      <c r="CG27" s="21" cm="1">
        <f t="array" aca="1" ref="CG27" ca="1">INDEX(Master!$H$2:'Master'!$H$4384,MATCH($A27&amp;CG$2,Master!$A$2:'Master'!$A$4384&amp;Master!$C$2:'Master'!$C$4384,0))</f>
        <v>-1</v>
      </c>
      <c r="CH27" s="21" cm="1">
        <f t="array" aca="1" ref="CH27" ca="1">INDEX(Master!$H$2:'Master'!$H$4384,MATCH($A27&amp;CH$2,Master!$A$2:'Master'!$A$4384&amp;Master!$C$2:'Master'!$C$4384,0))</f>
        <v>-1</v>
      </c>
      <c r="CI27" s="21" cm="1">
        <f t="array" aca="1" ref="CI27" ca="1">INDEX(Master!$H$2:'Master'!$H$4384,MATCH($A27&amp;CI$2,Master!$A$2:'Master'!$A$4384&amp;Master!$C$2:'Master'!$C$4384,0))</f>
        <v>-2</v>
      </c>
      <c r="CJ27" s="21" cm="1">
        <f t="array" aca="1" ref="CJ27" ca="1">INDEX(Master!$H$2:'Master'!$H$4384,MATCH($A27&amp;CJ$2,Master!$A$2:'Master'!$A$4384&amp;Master!$C$2:'Master'!$C$4384,0))</f>
        <v>-1</v>
      </c>
      <c r="CK27" s="21" cm="1">
        <f t="array" aca="1" ref="CK27" ca="1">INDEX(Master!$H$2:'Master'!$H$4384,MATCH($A27&amp;CK$2,Master!$A$2:'Master'!$A$4384&amp;Master!$C$2:'Master'!$C$4384,0))</f>
        <v>0</v>
      </c>
      <c r="CL27" s="21" cm="1">
        <f t="array" aca="1" ref="CL27" ca="1">INDEX(Master!$H$2:'Master'!$H$4384,MATCH($A27&amp;CL$2,Master!$A$2:'Master'!$A$4384&amp;Master!$C$2:'Master'!$C$4384,0))</f>
        <v>0</v>
      </c>
      <c r="CM27" s="21" cm="1">
        <f t="array" aca="1" ref="CM27" ca="1">INDEX(Master!$H$2:'Master'!$H$4384,MATCH($A27&amp;CM$2,Master!$A$2:'Master'!$A$4384&amp;Master!$C$2:'Master'!$C$4384,0))</f>
        <v>0</v>
      </c>
      <c r="CN27" s="21" cm="1">
        <f t="array" aca="1" ref="CN27" ca="1">INDEX(Master!$H$2:'Master'!$H$4384,MATCH($A27&amp;CN$2,Master!$A$2:'Master'!$A$4384&amp;Master!$C$2:'Master'!$C$4384,0))</f>
        <v>0</v>
      </c>
      <c r="CO27" s="21" cm="1">
        <f t="array" aca="1" ref="CO27" ca="1">INDEX(Master!$H$2:'Master'!$H$4384,MATCH($A27&amp;CO$2,Master!$A$2:'Master'!$A$4384&amp;Master!$C$2:'Master'!$C$4384,0))</f>
        <v>0</v>
      </c>
      <c r="CP27" s="21" cm="1">
        <f t="array" aca="1" ref="CP27" ca="1">INDEX(Master!$H$2:'Master'!$H$4384,MATCH($A27&amp;CP$2,Master!$A$2:'Master'!$A$4384&amp;Master!$C$2:'Master'!$C$4384,0))</f>
        <v>0</v>
      </c>
      <c r="CQ27" s="21" cm="1">
        <f t="array" aca="1" ref="CQ27" ca="1">INDEX(Master!$H$2:'Master'!$H$4384,MATCH($A27&amp;CQ$2,Master!$A$2:'Master'!$A$4384&amp;Master!$C$2:'Master'!$C$4384,0))</f>
        <v>0</v>
      </c>
      <c r="CR27" s="21" cm="1">
        <f t="array" aca="1" ref="CR27" ca="1">INDEX(Master!$H$2:'Master'!$H$4384,MATCH($A27&amp;CR$2,Master!$A$2:'Master'!$A$4384&amp;Master!$C$2:'Master'!$C$4384,0))</f>
        <v>2</v>
      </c>
      <c r="CS27" s="21" cm="1">
        <f t="array" aca="1" ref="CS27" ca="1">INDEX(Master!$H$2:'Master'!$H$4384,MATCH($A27&amp;CS$2,Master!$A$2:'Master'!$A$4384&amp;Master!$C$2:'Master'!$C$4384,0))</f>
        <v>2</v>
      </c>
    </row>
    <row r="28" spans="1:97">
      <c r="A28" s="22" t="str">
        <f>VLOOKUP(Staff!$A24,Staff!$A$1:A$73,1,FALSE)</f>
        <v>James Hathaway</v>
      </c>
      <c r="B28" s="21" cm="1">
        <f t="array" aca="1" ref="B28" ca="1">INDEX(Master!$H$2:'Master'!$H$4384,MATCH($A28&amp;B$2,Master!$A$2:'Master'!$A$4384&amp;Master!$C$2:'Master'!$C$4384,0))</f>
        <v>-1</v>
      </c>
      <c r="C28" s="21" cm="1">
        <f t="array" aca="1" ref="C28" ca="1">INDEX(Master!$H$2:'Master'!$H$4384,MATCH($A28&amp;C$2,Master!$A$2:'Master'!$A$4384&amp;Master!$C$2:'Master'!$C$4384,0))</f>
        <v>-1</v>
      </c>
      <c r="D28" s="21" cm="1">
        <f t="array" aca="1" ref="D28" ca="1">INDEX(Master!$H$2:'Master'!$H$4384,MATCH($A28&amp;D$2,Master!$A$2:'Master'!$A$4384&amp;Master!$C$2:'Master'!$C$4384,0))</f>
        <v>-1</v>
      </c>
      <c r="E28" s="21" cm="1">
        <f t="array" aca="1" ref="E28" ca="1">INDEX(Master!$H$2:'Master'!$H$4384,MATCH($A28&amp;E$2,Master!$A$2:'Master'!$A$4384&amp;Master!$C$2:'Master'!$C$4384,0))</f>
        <v>-1</v>
      </c>
      <c r="F28" s="21" cm="1">
        <f t="array" aca="1" ref="F28" ca="1">INDEX(Master!$H$2:'Master'!$H$4384,MATCH($A28&amp;F$2,Master!$A$2:'Master'!$A$4384&amp;Master!$C$2:'Master'!$C$4384,0))</f>
        <v>0</v>
      </c>
      <c r="G28" s="21" cm="1">
        <f t="array" aca="1" ref="G28" ca="1">INDEX(Master!$H$2:'Master'!$H$4384,MATCH($A28&amp;G$2,Master!$A$2:'Master'!$A$4384&amp;Master!$C$2:'Master'!$C$4384,0))</f>
        <v>-1</v>
      </c>
      <c r="H28" s="21" cm="1">
        <f t="array" aca="1" ref="H28" ca="1">INDEX(Master!$H$2:'Master'!$H$4384,MATCH($A28&amp;H$2,Master!$A$2:'Master'!$A$4384&amp;Master!$C$2:'Master'!$C$4384,0))</f>
        <v>-1</v>
      </c>
      <c r="I28" s="21" cm="1">
        <f t="array" aca="1" ref="I28" ca="1">INDEX(Master!$H$2:'Master'!$H$4384,MATCH($A28&amp;I$2,Master!$A$2:'Master'!$A$4384&amp;Master!$C$2:'Master'!$C$4384,0))</f>
        <v>-1</v>
      </c>
      <c r="J28" s="21" cm="1">
        <f t="array" aca="1" ref="J28" ca="1">INDEX(Master!$H$2:'Master'!$H$4384,MATCH($A28&amp;J$2,Master!$A$2:'Master'!$A$4384&amp;Master!$C$2:'Master'!$C$4384,0))</f>
        <v>-2</v>
      </c>
      <c r="K28" s="21" cm="1">
        <f t="array" aca="1" ref="K28" ca="1">INDEX(Master!$H$2:'Master'!$H$4384,MATCH($A28&amp;K$2,Master!$A$2:'Master'!$A$4384&amp;Master!$C$2:'Master'!$C$4384,0))</f>
        <v>-1</v>
      </c>
      <c r="L28" s="21" cm="1">
        <f t="array" aca="1" ref="L28" ca="1">INDEX(Master!$H$2:'Master'!$H$4384,MATCH($A28&amp;L$2,Master!$A$2:'Master'!$A$4384&amp;Master!$C$2:'Master'!$C$4384,0))</f>
        <v>0</v>
      </c>
      <c r="M28" s="21" cm="1">
        <f t="array" aca="1" ref="M28" ca="1">INDEX(Master!$H$2:'Master'!$H$4384,MATCH($A28&amp;M$2,Master!$A$2:'Master'!$A$4384&amp;Master!$C$2:'Master'!$C$4384,0))</f>
        <v>0</v>
      </c>
      <c r="N28" s="21" cm="1">
        <f t="array" aca="1" ref="N28" ca="1">INDEX(Master!$H$2:'Master'!$H$4384,MATCH($A28&amp;N$2,Master!$A$2:'Master'!$A$4384&amp;Master!$C$2:'Master'!$C$4384,0))</f>
        <v>-2</v>
      </c>
      <c r="O28" s="21" cm="1">
        <f t="array" aca="1" ref="O28" ca="1">INDEX(Master!$H$2:'Master'!$H$4384,MATCH($A28&amp;O$2,Master!$A$2:'Master'!$A$4384&amp;Master!$C$2:'Master'!$C$4384,0))</f>
        <v>-2</v>
      </c>
      <c r="P28" s="21" cm="1">
        <f t="array" aca="1" ref="P28" ca="1">INDEX(Master!$H$2:'Master'!$H$4384,MATCH($A28&amp;P$2,Master!$A$2:'Master'!$A$4384&amp;Master!$C$2:'Master'!$C$4384,0))</f>
        <v>-1</v>
      </c>
      <c r="Q28" s="21" cm="1">
        <f t="array" aca="1" ref="Q28" ca="1">INDEX(Master!$H$2:'Master'!$H$4384,MATCH($A28&amp;Q$2,Master!$A$2:'Master'!$A$4384&amp;Master!$C$2:'Master'!$C$4384,0))</f>
        <v>-1</v>
      </c>
      <c r="R28" s="21" cm="1">
        <f t="array" aca="1" ref="R28" ca="1">INDEX(Master!$H$2:'Master'!$H$4384,MATCH($A28&amp;R$2,Master!$A$2:'Master'!$A$4384&amp;Master!$C$2:'Master'!$C$4384,0))</f>
        <v>0</v>
      </c>
      <c r="S28" s="21" cm="1">
        <f t="array" aca="1" ref="S28" ca="1">INDEX(Master!$H$2:'Master'!$H$4384,MATCH($A28&amp;S$2,Master!$A$2:'Master'!$A$4384&amp;Master!$C$2:'Master'!$C$4384,0))</f>
        <v>0</v>
      </c>
      <c r="T28" s="21" cm="1">
        <f t="array" aca="1" ref="T28" ca="1">INDEX(Master!$H$2:'Master'!$H$4384,MATCH($A28&amp;T$2,Master!$A$2:'Master'!$A$4384&amp;Master!$C$2:'Master'!$C$4384,0))</f>
        <v>0</v>
      </c>
      <c r="U28" s="21" cm="1">
        <f t="array" aca="1" ref="U28" ca="1">INDEX(Master!$H$2:'Master'!$H$4384,MATCH($A28&amp;U$2,Master!$A$2:'Master'!$A$4384&amp;Master!$C$2:'Master'!$C$4384,0))</f>
        <v>-1</v>
      </c>
      <c r="V28" s="21" cm="1">
        <f t="array" aca="1" ref="V28" ca="1">INDEX(Master!$H$2:'Master'!$H$4384,MATCH($A28&amp;V$2,Master!$A$2:'Master'!$A$4384&amp;Master!$C$2:'Master'!$C$4384,0))</f>
        <v>1</v>
      </c>
      <c r="W28" s="21" cm="1">
        <f t="array" aca="1" ref="W28" ca="1">INDEX(Master!$H$2:'Master'!$H$4384,MATCH($A28&amp;W$2,Master!$A$2:'Master'!$A$4384&amp;Master!$C$2:'Master'!$C$4384,0))</f>
        <v>1</v>
      </c>
      <c r="X28" s="21" cm="1">
        <f t="array" aca="1" ref="X28" ca="1">INDEX(Master!$H$2:'Master'!$H$4384,MATCH($A28&amp;X$2,Master!$A$2:'Master'!$A$4384&amp;Master!$C$2:'Master'!$C$4384,0))</f>
        <v>3</v>
      </c>
      <c r="Y28" s="21" cm="1">
        <f t="array" aca="1" ref="Y28" ca="1">INDEX(Master!$H$2:'Master'!$H$4384,MATCH($A28&amp;Y$2,Master!$A$2:'Master'!$A$4384&amp;Master!$C$2:'Master'!$C$4384,0))</f>
        <v>3</v>
      </c>
      <c r="Z28" s="21" cm="1">
        <f t="array" aca="1" ref="Z28" ca="1">INDEX(Master!$H$2:'Master'!$H$4384,MATCH($A28&amp;Z$2,Master!$A$2:'Master'!$A$4384&amp;Master!$C$2:'Master'!$C$4384,0))</f>
        <v>3</v>
      </c>
      <c r="AA28" s="21" cm="1">
        <f t="array" aca="1" ref="AA28" ca="1">INDEX(Master!$H$2:'Master'!$H$4384,MATCH($A28&amp;AA$2,Master!$A$2:'Master'!$A$4384&amp;Master!$C$2:'Master'!$C$4384,0))</f>
        <v>2</v>
      </c>
      <c r="AB28" s="21" cm="1">
        <f t="array" aca="1" ref="AB28" ca="1">INDEX(Master!$H$2:'Master'!$H$4384,MATCH($A28&amp;AB$2,Master!$A$2:'Master'!$A$4384&amp;Master!$C$2:'Master'!$C$4384,0))</f>
        <v>3</v>
      </c>
      <c r="AC28" s="21" cm="1">
        <f t="array" aca="1" ref="AC28" ca="1">INDEX(Master!$H$2:'Master'!$H$4384,MATCH($A28&amp;AC$2,Master!$A$2:'Master'!$A$4384&amp;Master!$C$2:'Master'!$C$4384,0))</f>
        <v>3</v>
      </c>
      <c r="AD28" s="21" cm="1">
        <f t="array" aca="1" ref="AD28" ca="1">INDEX(Master!$H$2:'Master'!$H$4384,MATCH($A28&amp;AD$2,Master!$A$2:'Master'!$A$4384&amp;Master!$C$2:'Master'!$C$4384,0))</f>
        <v>3</v>
      </c>
      <c r="AE28" s="21" cm="1">
        <f t="array" aca="1" ref="AE28" ca="1">INDEX(Master!$H$2:'Master'!$H$4384,MATCH($A28&amp;AE$2,Master!$A$2:'Master'!$A$4384&amp;Master!$C$2:'Master'!$C$4384,0))</f>
        <v>1</v>
      </c>
      <c r="AF28" s="21" cm="1">
        <f t="array" aca="1" ref="AF28" ca="1">INDEX(Master!$H$2:'Master'!$H$4384,MATCH($A28&amp;AF$2,Master!$A$2:'Master'!$A$4384&amp;Master!$C$2:'Master'!$C$4384,0))</f>
        <v>1</v>
      </c>
      <c r="AG28" s="21" cm="1">
        <f t="array" aca="1" ref="AG28" ca="1">INDEX(Master!$H$2:'Master'!$H$4384,MATCH($A28&amp;AG$2,Master!$A$2:'Master'!$A$4384&amp;Master!$C$2:'Master'!$C$4384,0))</f>
        <v>0</v>
      </c>
      <c r="AH28" s="21" cm="1">
        <f t="array" aca="1" ref="AH28" ca="1">INDEX(Master!$H$2:'Master'!$H$4384,MATCH($A28&amp;AH$2,Master!$A$2:'Master'!$A$4384&amp;Master!$C$2:'Master'!$C$4384,0))</f>
        <v>2</v>
      </c>
      <c r="AI28" s="21" cm="1">
        <f t="array" aca="1" ref="AI28" ca="1">INDEX(Master!$H$2:'Master'!$H$4384,MATCH($A28&amp;AI$2,Master!$A$2:'Master'!$A$4384&amp;Master!$C$2:'Master'!$C$4384,0))</f>
        <v>2</v>
      </c>
      <c r="AJ28" s="21" cm="1">
        <f t="array" aca="1" ref="AJ28" ca="1">INDEX(Master!$H$2:'Master'!$H$4384,MATCH($A28&amp;AJ$2,Master!$A$2:'Master'!$A$4384&amp;Master!$C$2:'Master'!$C$4384,0))</f>
        <v>2</v>
      </c>
      <c r="AK28" s="21" cm="1">
        <f t="array" aca="1" ref="AK28" ca="1">INDEX(Master!$H$2:'Master'!$H$4384,MATCH($A28&amp;AK$2,Master!$A$2:'Master'!$A$4384&amp;Master!$C$2:'Master'!$C$4384,0))</f>
        <v>-2</v>
      </c>
      <c r="AL28" s="21" cm="1">
        <f t="array" aca="1" ref="AL28" ca="1">INDEX(Master!$H$2:'Master'!$H$4384,MATCH($A28&amp;AL$2,Master!$A$2:'Master'!$A$4384&amp;Master!$C$2:'Master'!$C$4384,0))</f>
        <v>-2</v>
      </c>
      <c r="AM28" s="21" cm="1">
        <f t="array" aca="1" ref="AM28" ca="1">INDEX(Master!$H$2:'Master'!$H$4384,MATCH($A28&amp;AM$2,Master!$A$2:'Master'!$A$4384&amp;Master!$C$2:'Master'!$C$4384,0))</f>
        <v>0</v>
      </c>
      <c r="AN28" s="21" cm="1">
        <f t="array" aca="1" ref="AN28" ca="1">INDEX(Master!$H$2:'Master'!$H$4384,MATCH($A28&amp;AN$2,Master!$A$2:'Master'!$A$4384&amp;Master!$C$2:'Master'!$C$4384,0))</f>
        <v>3</v>
      </c>
      <c r="AO28" s="21" cm="1">
        <f t="array" aca="1" ref="AO28" ca="1">INDEX(Master!$H$2:'Master'!$H$4384,MATCH($A28&amp;AO$2,Master!$A$2:'Master'!$A$4384&amp;Master!$C$2:'Master'!$C$4384,0))</f>
        <v>0</v>
      </c>
      <c r="AP28" s="21" cm="1">
        <f t="array" aca="1" ref="AP28" ca="1">INDEX(Master!$H$2:'Master'!$H$4384,MATCH($A28&amp;AP$2,Master!$A$2:'Master'!$A$4384&amp;Master!$C$2:'Master'!$C$4384,0))</f>
        <v>3</v>
      </c>
      <c r="AQ28" s="21" cm="1">
        <f t="array" aca="1" ref="AQ28" ca="1">INDEX(Master!$H$2:'Master'!$H$4384,MATCH($A28&amp;AQ$2,Master!$A$2:'Master'!$A$4384&amp;Master!$C$2:'Master'!$C$4384,0))</f>
        <v>0</v>
      </c>
      <c r="AR28" s="21" cm="1">
        <f t="array" aca="1" ref="AR28" ca="1">INDEX(Master!$H$2:'Master'!$H$4384,MATCH($A28&amp;AR$2,Master!$A$2:'Master'!$A$4384&amp;Master!$C$2:'Master'!$C$4384,0))</f>
        <v>3</v>
      </c>
      <c r="AS28" s="21" cm="1">
        <f t="array" aca="1" ref="AS28" ca="1">INDEX(Master!$H$2:'Master'!$H$4384,MATCH($A28&amp;AS$2,Master!$A$2:'Master'!$A$4384&amp;Master!$C$2:'Master'!$C$4384,0))</f>
        <v>1</v>
      </c>
      <c r="AT28" s="21" cm="1">
        <f t="array" aca="1" ref="AT28" ca="1">INDEX(Master!$H$2:'Master'!$H$4384,MATCH($A28&amp;AT$2,Master!$A$2:'Master'!$A$4384&amp;Master!$C$2:'Master'!$C$4384,0))</f>
        <v>1</v>
      </c>
      <c r="AU28" s="21" cm="1">
        <f t="array" aca="1" ref="AU28" ca="1">INDEX(Master!$H$2:'Master'!$H$4384,MATCH($A28&amp;AU$2,Master!$A$2:'Master'!$A$4384&amp;Master!$C$2:'Master'!$C$4384,0))</f>
        <v>2</v>
      </c>
      <c r="AV28" s="21" cm="1">
        <f t="array" aca="1" ref="AV28" ca="1">INDEX(Master!$H$2:'Master'!$H$4384,MATCH($A28&amp;AV$2,Master!$A$2:'Master'!$A$4384&amp;Master!$C$2:'Master'!$C$4384,0))</f>
        <v>0</v>
      </c>
      <c r="AW28" s="21" cm="1">
        <f t="array" aca="1" ref="AW28" ca="1">INDEX(Master!$H$2:'Master'!$H$4384,MATCH($A28&amp;AW$2,Master!$A$2:'Master'!$A$4384&amp;Master!$C$2:'Master'!$C$4384,0))</f>
        <v>0</v>
      </c>
      <c r="AX28" s="21" cm="1">
        <f t="array" aca="1" ref="AX28" ca="1">INDEX(Master!$H$2:'Master'!$H$4384,MATCH($A28&amp;AX$2,Master!$A$2:'Master'!$A$4384&amp;Master!$C$2:'Master'!$C$4384,0))</f>
        <v>1</v>
      </c>
      <c r="AY28" s="21" cm="1">
        <f t="array" aca="1" ref="AY28" ca="1">INDEX(Master!$H$2:'Master'!$H$4384,MATCH($A28&amp;AY$2,Master!$A$2:'Master'!$A$4384&amp;Master!$C$2:'Master'!$C$4384,0))</f>
        <v>3</v>
      </c>
      <c r="AZ28" s="21" cm="1">
        <f t="array" aca="1" ref="AZ28" ca="1">INDEX(Master!$H$2:'Master'!$H$4384,MATCH($A28&amp;AZ$2,Master!$A$2:'Master'!$A$4384&amp;Master!$C$2:'Master'!$C$4384,0))</f>
        <v>2</v>
      </c>
      <c r="BA28" s="21" cm="1">
        <f t="array" aca="1" ref="BA28" ca="1">INDEX(Master!$H$2:'Master'!$H$4384,MATCH($A28&amp;BA$2,Master!$A$2:'Master'!$A$4384&amp;Master!$C$2:'Master'!$C$4384,0))</f>
        <v>2</v>
      </c>
      <c r="BB28" s="21" cm="1">
        <f t="array" aca="1" ref="BB28" ca="1">INDEX(Master!$H$2:'Master'!$H$4384,MATCH($A28&amp;BB$2,Master!$A$2:'Master'!$A$4384&amp;Master!$C$2:'Master'!$C$4384,0))</f>
        <v>3</v>
      </c>
      <c r="BC28" s="21" cm="1">
        <f t="array" aca="1" ref="BC28" ca="1">INDEX(Master!$H$2:'Master'!$H$4384,MATCH($A28&amp;BC$2,Master!$A$2:'Master'!$A$4384&amp;Master!$C$2:'Master'!$C$4384,0))</f>
        <v>-1</v>
      </c>
      <c r="BD28" s="21" cm="1">
        <f t="array" aca="1" ref="BD28" ca="1">INDEX(Master!$H$2:'Master'!$H$4384,MATCH($A28&amp;BD$2,Master!$A$2:'Master'!$A$4384&amp;Master!$C$2:'Master'!$C$4384,0))</f>
        <v>2</v>
      </c>
      <c r="BE28" s="21" cm="1">
        <f t="array" aca="1" ref="BE28" ca="1">INDEX(Master!$H$2:'Master'!$H$4384,MATCH($A28&amp;BE$2,Master!$A$2:'Master'!$A$4384&amp;Master!$C$2:'Master'!$C$4384,0))</f>
        <v>1</v>
      </c>
      <c r="BF28" s="21" cm="1">
        <f t="array" aca="1" ref="BF28" ca="1">INDEX(Master!$H$2:'Master'!$H$4384,MATCH($A28&amp;BF$2,Master!$A$2:'Master'!$A$4384&amp;Master!$C$2:'Master'!$C$4384,0))</f>
        <v>-2</v>
      </c>
      <c r="BG28" s="21" cm="1">
        <f t="array" aca="1" ref="BG28" ca="1">INDEX(Master!$H$2:'Master'!$H$4384,MATCH($A28&amp;BG$2,Master!$A$2:'Master'!$A$4384&amp;Master!$C$2:'Master'!$C$4384,0))</f>
        <v>-2</v>
      </c>
      <c r="BH28" s="21" cm="1">
        <f t="array" aca="1" ref="BH28" ca="1">INDEX(Master!$H$2:'Master'!$H$4384,MATCH($A28&amp;BH$2,Master!$A$2:'Master'!$A$4384&amp;Master!$C$2:'Master'!$C$4384,0))</f>
        <v>-2</v>
      </c>
      <c r="BI28" s="21" cm="1">
        <f t="array" aca="1" ref="BI28" ca="1">INDEX(Master!$H$2:'Master'!$H$4384,MATCH($A28&amp;BI$2,Master!$A$2:'Master'!$A$4384&amp;Master!$C$2:'Master'!$C$4384,0))</f>
        <v>0</v>
      </c>
      <c r="BJ28" s="21" cm="1">
        <f t="array" aca="1" ref="BJ28" ca="1">INDEX(Master!$H$2:'Master'!$H$4384,MATCH($A28&amp;BJ$2,Master!$A$2:'Master'!$A$4384&amp;Master!$C$2:'Master'!$C$4384,0))</f>
        <v>1</v>
      </c>
      <c r="BK28" s="21" cm="1">
        <f t="array" aca="1" ref="BK28" ca="1">INDEX(Master!$H$2:'Master'!$H$4384,MATCH($A28&amp;BK$2,Master!$A$2:'Master'!$A$4384&amp;Master!$C$2:'Master'!$C$4384,0))</f>
        <v>1</v>
      </c>
      <c r="BL28" s="21" cm="1">
        <f t="array" aca="1" ref="BL28" ca="1">INDEX(Master!$H$2:'Master'!$H$4384,MATCH($A28&amp;BL$2,Master!$A$2:'Master'!$A$4384&amp;Master!$C$2:'Master'!$C$4384,0))</f>
        <v>1</v>
      </c>
      <c r="BM28" s="21" cm="1">
        <f t="array" aca="1" ref="BM28" ca="1">INDEX(Master!$H$2:'Master'!$H$4384,MATCH($A28&amp;BM$2,Master!$A$2:'Master'!$A$4384&amp;Master!$C$2:'Master'!$C$4384,0))</f>
        <v>0</v>
      </c>
      <c r="BN28" s="21" cm="1">
        <f t="array" aca="1" ref="BN28" ca="1">INDEX(Master!$H$2:'Master'!$H$4384,MATCH($A28&amp;BN$2,Master!$A$2:'Master'!$A$4384&amp;Master!$C$2:'Master'!$C$4384,0))</f>
        <v>-1</v>
      </c>
      <c r="BO28" s="21" cm="1">
        <f t="array" aca="1" ref="BO28" ca="1">INDEX(Master!$H$2:'Master'!$H$4384,MATCH($A28&amp;BO$2,Master!$A$2:'Master'!$A$4384&amp;Master!$C$2:'Master'!$C$4384,0))</f>
        <v>-1</v>
      </c>
      <c r="BP28" s="21" cm="1">
        <f t="array" aca="1" ref="BP28" ca="1">INDEX(Master!$H$2:'Master'!$H$4384,MATCH($A28&amp;BP$2,Master!$A$2:'Master'!$A$4384&amp;Master!$C$2:'Master'!$C$4384,0))</f>
        <v>-1</v>
      </c>
      <c r="BQ28" s="21" cm="1">
        <f t="array" aca="1" ref="BQ28" ca="1">INDEX(Master!$H$2:'Master'!$H$4384,MATCH($A28&amp;BQ$2,Master!$A$2:'Master'!$A$4384&amp;Master!$C$2:'Master'!$C$4384,0))</f>
        <v>0</v>
      </c>
      <c r="BR28" s="21" cm="1">
        <f t="array" aca="1" ref="BR28" ca="1">INDEX(Master!$H$2:'Master'!$H$4384,MATCH($A28&amp;BR$2,Master!$A$2:'Master'!$A$4384&amp;Master!$C$2:'Master'!$C$4384,0))</f>
        <v>-1</v>
      </c>
      <c r="BS28" s="21" cm="1">
        <f t="array" aca="1" ref="BS28" ca="1">INDEX(Master!$H$2:'Master'!$H$4384,MATCH($A28&amp;BS$2,Master!$A$2:'Master'!$A$4384&amp;Master!$C$2:'Master'!$C$4384,0))</f>
        <v>0</v>
      </c>
      <c r="BT28" s="21" cm="1">
        <f t="array" aca="1" ref="BT28" ca="1">INDEX(Master!$H$2:'Master'!$H$4384,MATCH($A28&amp;BT$2,Master!$A$2:'Master'!$A$4384&amp;Master!$C$2:'Master'!$C$4384,0))</f>
        <v>1</v>
      </c>
      <c r="BU28" s="21" cm="1">
        <f t="array" aca="1" ref="BU28" ca="1">INDEX(Master!$H$2:'Master'!$H$4384,MATCH($A28&amp;BU$2,Master!$A$2:'Master'!$A$4384&amp;Master!$C$2:'Master'!$C$4384,0))</f>
        <v>1</v>
      </c>
      <c r="BV28" s="21" cm="1">
        <f t="array" aca="1" ref="BV28" ca="1">INDEX(Master!$H$2:'Master'!$H$4384,MATCH($A28&amp;BV$2,Master!$A$2:'Master'!$A$4384&amp;Master!$C$2:'Master'!$C$4384,0))</f>
        <v>0</v>
      </c>
      <c r="BW28" s="21" cm="1">
        <f t="array" aca="1" ref="BW28" ca="1">INDEX(Master!$H$2:'Master'!$H$4384,MATCH($A28&amp;BW$2,Master!$A$2:'Master'!$A$4384&amp;Master!$C$2:'Master'!$C$4384,0))</f>
        <v>-2</v>
      </c>
      <c r="BX28" s="21" cm="1">
        <f t="array" aca="1" ref="BX28" ca="1">INDEX(Master!$H$2:'Master'!$H$4384,MATCH($A28&amp;BX$2,Master!$A$2:'Master'!$A$4384&amp;Master!$C$2:'Master'!$C$4384,0))</f>
        <v>-2</v>
      </c>
      <c r="BY28" s="21" cm="1">
        <f t="array" aca="1" ref="BY28" ca="1">INDEX(Master!$H$2:'Master'!$H$4384,MATCH($A28&amp;BY$2,Master!$A$2:'Master'!$A$4384&amp;Master!$C$2:'Master'!$C$4384,0))</f>
        <v>-2</v>
      </c>
      <c r="BZ28" s="21" cm="1">
        <f t="array" aca="1" ref="BZ28" ca="1">INDEX(Master!$H$2:'Master'!$H$4384,MATCH($A28&amp;BZ$2,Master!$A$2:'Master'!$A$4384&amp;Master!$C$2:'Master'!$C$4384,0))</f>
        <v>0</v>
      </c>
      <c r="CA28" s="21" cm="1">
        <f t="array" aca="1" ref="CA28" ca="1">INDEX(Master!$H$2:'Master'!$H$4384,MATCH($A28&amp;CA$2,Master!$A$2:'Master'!$A$4384&amp;Master!$C$2:'Master'!$C$4384,0))</f>
        <v>1</v>
      </c>
      <c r="CB28" s="21" cm="1">
        <f t="array" aca="1" ref="CB28" ca="1">INDEX(Master!$H$2:'Master'!$H$4384,MATCH($A28&amp;CB$2,Master!$A$2:'Master'!$A$4384&amp;Master!$C$2:'Master'!$C$4384,0))</f>
        <v>1</v>
      </c>
      <c r="CC28" s="21" cm="1">
        <f t="array" aca="1" ref="CC28" ca="1">INDEX(Master!$H$2:'Master'!$H$4384,MATCH($A28&amp;CC$2,Master!$A$2:'Master'!$A$4384&amp;Master!$C$2:'Master'!$C$4384,0))</f>
        <v>1</v>
      </c>
      <c r="CD28" s="21" cm="1">
        <f t="array" aca="1" ref="CD28" ca="1">INDEX(Master!$H$2:'Master'!$H$4384,MATCH($A28&amp;CD$2,Master!$A$2:'Master'!$A$4384&amp;Master!$C$2:'Master'!$C$4384,0))</f>
        <v>0</v>
      </c>
      <c r="CE28" s="21" cm="1">
        <f t="array" aca="1" ref="CE28" ca="1">INDEX(Master!$H$2:'Master'!$H$4384,MATCH($A28&amp;CE$2,Master!$A$2:'Master'!$A$4384&amp;Master!$C$2:'Master'!$C$4384,0))</f>
        <v>-2</v>
      </c>
      <c r="CF28" s="21" cm="1">
        <f t="array" aca="1" ref="CF28" ca="1">INDEX(Master!$H$2:'Master'!$H$4384,MATCH($A28&amp;CF$2,Master!$A$2:'Master'!$A$4384&amp;Master!$C$2:'Master'!$C$4384,0))</f>
        <v>0</v>
      </c>
      <c r="CG28" s="21" cm="1">
        <f t="array" aca="1" ref="CG28" ca="1">INDEX(Master!$H$2:'Master'!$H$4384,MATCH($A28&amp;CG$2,Master!$A$2:'Master'!$A$4384&amp;Master!$C$2:'Master'!$C$4384,0))</f>
        <v>1</v>
      </c>
      <c r="CH28" s="21" cm="1">
        <f t="array" aca="1" ref="CH28" ca="1">INDEX(Master!$H$2:'Master'!$H$4384,MATCH($A28&amp;CH$2,Master!$A$2:'Master'!$A$4384&amp;Master!$C$2:'Master'!$C$4384,0))</f>
        <v>-2</v>
      </c>
      <c r="CI28" s="21" cm="1">
        <f t="array" aca="1" ref="CI28" ca="1">INDEX(Master!$H$2:'Master'!$H$4384,MATCH($A28&amp;CI$2,Master!$A$2:'Master'!$A$4384&amp;Master!$C$2:'Master'!$C$4384,0))</f>
        <v>-1</v>
      </c>
      <c r="CJ28" s="21" cm="1">
        <f t="array" aca="1" ref="CJ28" ca="1">INDEX(Master!$H$2:'Master'!$H$4384,MATCH($A28&amp;CJ$2,Master!$A$2:'Master'!$A$4384&amp;Master!$C$2:'Master'!$C$4384,0))</f>
        <v>-1</v>
      </c>
      <c r="CK28" s="21" cm="1">
        <f t="array" aca="1" ref="CK28" ca="1">INDEX(Master!$H$2:'Master'!$H$4384,MATCH($A28&amp;CK$2,Master!$A$2:'Master'!$A$4384&amp;Master!$C$2:'Master'!$C$4384,0))</f>
        <v>0</v>
      </c>
      <c r="CL28" s="21" cm="1">
        <f t="array" aca="1" ref="CL28" ca="1">INDEX(Master!$H$2:'Master'!$H$4384,MATCH($A28&amp;CL$2,Master!$A$2:'Master'!$A$4384&amp;Master!$C$2:'Master'!$C$4384,0))</f>
        <v>2</v>
      </c>
      <c r="CM28" s="21" cm="1">
        <f t="array" aca="1" ref="CM28" ca="1">INDEX(Master!$H$2:'Master'!$H$4384,MATCH($A28&amp;CM$2,Master!$A$2:'Master'!$A$4384&amp;Master!$C$2:'Master'!$C$4384,0))</f>
        <v>2</v>
      </c>
      <c r="CN28" s="21" cm="1">
        <f t="array" aca="1" ref="CN28" ca="1">INDEX(Master!$H$2:'Master'!$H$4384,MATCH($A28&amp;CN$2,Master!$A$2:'Master'!$A$4384&amp;Master!$C$2:'Master'!$C$4384,0))</f>
        <v>1</v>
      </c>
      <c r="CO28" s="21" cm="1">
        <f t="array" aca="1" ref="CO28" ca="1">INDEX(Master!$H$2:'Master'!$H$4384,MATCH($A28&amp;CO$2,Master!$A$2:'Master'!$A$4384&amp;Master!$C$2:'Master'!$C$4384,0))</f>
        <v>0</v>
      </c>
      <c r="CP28" s="21" cm="1">
        <f t="array" aca="1" ref="CP28" ca="1">INDEX(Master!$H$2:'Master'!$H$4384,MATCH($A28&amp;CP$2,Master!$A$2:'Master'!$A$4384&amp;Master!$C$2:'Master'!$C$4384,0))</f>
        <v>1</v>
      </c>
      <c r="CQ28" s="21" cm="1">
        <f t="array" aca="1" ref="CQ28" ca="1">INDEX(Master!$H$2:'Master'!$H$4384,MATCH($A28&amp;CQ$2,Master!$A$2:'Master'!$A$4384&amp;Master!$C$2:'Master'!$C$4384,0))</f>
        <v>0</v>
      </c>
      <c r="CR28" s="21" cm="1">
        <f t="array" aca="1" ref="CR28" ca="1">INDEX(Master!$H$2:'Master'!$H$4384,MATCH($A28&amp;CR$2,Master!$A$2:'Master'!$A$4384&amp;Master!$C$2:'Master'!$C$4384,0))</f>
        <v>1</v>
      </c>
      <c r="CS28" s="21" cm="1">
        <f t="array" aca="1" ref="CS28" ca="1">INDEX(Master!$H$2:'Master'!$H$4384,MATCH($A28&amp;CS$2,Master!$A$2:'Master'!$A$4384&amp;Master!$C$2:'Master'!$C$4384,0))</f>
        <v>2</v>
      </c>
    </row>
    <row r="29" spans="1:97">
      <c r="A29" s="22" t="str">
        <f>VLOOKUP(Staff!$A25,Staff!$A$1:A$73,1,FALSE)</f>
        <v>John Luther</v>
      </c>
      <c r="B29" s="21" cm="1">
        <f t="array" aca="1" ref="B29" ca="1">INDEX(Master!$H$2:'Master'!$H$4384,MATCH($A29&amp;B$2,Master!$A$2:'Master'!$A$4384&amp;Master!$C$2:'Master'!$C$4384,0))</f>
        <v>99</v>
      </c>
      <c r="C29" s="21" cm="1">
        <f t="array" aca="1" ref="C29" ca="1">INDEX(Master!$H$2:'Master'!$H$4384,MATCH($A29&amp;C$2,Master!$A$2:'Master'!$A$4384&amp;Master!$C$2:'Master'!$C$4384,0))</f>
        <v>99</v>
      </c>
      <c r="D29" s="21" cm="1">
        <f t="array" aca="1" ref="D29" ca="1">INDEX(Master!$H$2:'Master'!$H$4384,MATCH($A29&amp;D$2,Master!$A$2:'Master'!$A$4384&amp;Master!$C$2:'Master'!$C$4384,0))</f>
        <v>99</v>
      </c>
      <c r="E29" s="21" cm="1">
        <f t="array" aca="1" ref="E29" ca="1">INDEX(Master!$H$2:'Master'!$H$4384,MATCH($A29&amp;E$2,Master!$A$2:'Master'!$A$4384&amp;Master!$C$2:'Master'!$C$4384,0))</f>
        <v>97</v>
      </c>
      <c r="F29" s="21" cm="1">
        <f t="array" aca="1" ref="F29" ca="1">INDEX(Master!$H$2:'Master'!$H$4384,MATCH($A29&amp;F$2,Master!$A$2:'Master'!$A$4384&amp;Master!$C$2:'Master'!$C$4384,0))</f>
        <v>99</v>
      </c>
      <c r="G29" s="21" cm="1">
        <f t="array" aca="1" ref="G29" ca="1">INDEX(Master!$H$2:'Master'!$H$4384,MATCH($A29&amp;G$2,Master!$A$2:'Master'!$A$4384&amp;Master!$C$2:'Master'!$C$4384,0))</f>
        <v>97</v>
      </c>
      <c r="H29" s="21" cm="1">
        <f t="array" aca="1" ref="H29" ca="1">INDEX(Master!$H$2:'Master'!$H$4384,MATCH($A29&amp;H$2,Master!$A$2:'Master'!$A$4384&amp;Master!$C$2:'Master'!$C$4384,0))</f>
        <v>99</v>
      </c>
      <c r="I29" s="21" cm="1">
        <f t="array" aca="1" ref="I29" ca="1">INDEX(Master!$H$2:'Master'!$H$4384,MATCH($A29&amp;I$2,Master!$A$2:'Master'!$A$4384&amp;Master!$C$2:'Master'!$C$4384,0))</f>
        <v>99</v>
      </c>
      <c r="J29" s="21" cm="1">
        <f t="array" aca="1" ref="J29" ca="1">INDEX(Master!$H$2:'Master'!$H$4384,MATCH($A29&amp;J$2,Master!$A$2:'Master'!$A$4384&amp;Master!$C$2:'Master'!$C$4384,0))</f>
        <v>96</v>
      </c>
      <c r="K29" s="21" cm="1">
        <f t="array" aca="1" ref="K29" ca="1">INDEX(Master!$H$2:'Master'!$H$4384,MATCH($A29&amp;K$2,Master!$A$2:'Master'!$A$4384&amp;Master!$C$2:'Master'!$C$4384,0))</f>
        <v>97</v>
      </c>
      <c r="L29" s="21" cm="1">
        <f t="array" aca="1" ref="L29" ca="1">INDEX(Master!$H$2:'Master'!$H$4384,MATCH($A29&amp;L$2,Master!$A$2:'Master'!$A$4384&amp;Master!$C$2:'Master'!$C$4384,0))</f>
        <v>97</v>
      </c>
      <c r="M29" s="21" cm="1">
        <f t="array" aca="1" ref="M29" ca="1">INDEX(Master!$H$2:'Master'!$H$4384,MATCH($A29&amp;M$2,Master!$A$2:'Master'!$A$4384&amp;Master!$C$2:'Master'!$C$4384,0))</f>
        <v>96</v>
      </c>
      <c r="N29" s="21" cm="1">
        <f t="array" aca="1" ref="N29" ca="1">INDEX(Master!$H$2:'Master'!$H$4384,MATCH($A29&amp;N$2,Master!$A$2:'Master'!$A$4384&amp;Master!$C$2:'Master'!$C$4384,0))</f>
        <v>97</v>
      </c>
      <c r="O29" s="21" cm="1">
        <f t="array" aca="1" ref="O29" ca="1">INDEX(Master!$H$2:'Master'!$H$4384,MATCH($A29&amp;O$2,Master!$A$2:'Master'!$A$4384&amp;Master!$C$2:'Master'!$C$4384,0))</f>
        <v>97</v>
      </c>
      <c r="P29" s="21" cm="1">
        <f t="array" aca="1" ref="P29" ca="1">INDEX(Master!$H$2:'Master'!$H$4384,MATCH($A29&amp;P$2,Master!$A$2:'Master'!$A$4384&amp;Master!$C$2:'Master'!$C$4384,0))</f>
        <v>97</v>
      </c>
      <c r="Q29" s="21" cm="1">
        <f t="array" aca="1" ref="Q29" ca="1">INDEX(Master!$H$2:'Master'!$H$4384,MATCH($A29&amp;Q$2,Master!$A$2:'Master'!$A$4384&amp;Master!$C$2:'Master'!$C$4384,0))</f>
        <v>98</v>
      </c>
      <c r="R29" s="21" cm="1">
        <f t="array" aca="1" ref="R29" ca="1">INDEX(Master!$H$2:'Master'!$H$4384,MATCH($A29&amp;R$2,Master!$A$2:'Master'!$A$4384&amp;Master!$C$2:'Master'!$C$4384,0))</f>
        <v>99</v>
      </c>
      <c r="S29" s="21" cm="1">
        <f t="array" aca="1" ref="S29" ca="1">INDEX(Master!$H$2:'Master'!$H$4384,MATCH($A29&amp;S$2,Master!$A$2:'Master'!$A$4384&amp;Master!$C$2:'Master'!$C$4384,0))</f>
        <v>99</v>
      </c>
      <c r="T29" s="21" cm="1">
        <f t="array" aca="1" ref="T29" ca="1">INDEX(Master!$H$2:'Master'!$H$4384,MATCH($A29&amp;T$2,Master!$A$2:'Master'!$A$4384&amp;Master!$C$2:'Master'!$C$4384,0))</f>
        <v>98</v>
      </c>
      <c r="U29" s="21" cm="1">
        <f t="array" aca="1" ref="U29" ca="1">INDEX(Master!$H$2:'Master'!$H$4384,MATCH($A29&amp;U$2,Master!$A$2:'Master'!$A$4384&amp;Master!$C$2:'Master'!$C$4384,0))</f>
        <v>99</v>
      </c>
      <c r="V29" s="21" cm="1">
        <f t="array" aca="1" ref="V29" ca="1">INDEX(Master!$H$2:'Master'!$H$4384,MATCH($A29&amp;V$2,Master!$A$2:'Master'!$A$4384&amp;Master!$C$2:'Master'!$C$4384,0))</f>
        <v>97</v>
      </c>
      <c r="W29" s="21" cm="1">
        <f t="array" aca="1" ref="W29" ca="1">INDEX(Master!$H$2:'Master'!$H$4384,MATCH($A29&amp;W$2,Master!$A$2:'Master'!$A$4384&amp;Master!$C$2:'Master'!$C$4384,0))</f>
        <v>98</v>
      </c>
      <c r="X29" s="21" cm="1">
        <f t="array" aca="1" ref="X29" ca="1">INDEX(Master!$H$2:'Master'!$H$4384,MATCH($A29&amp;X$2,Master!$A$2:'Master'!$A$4384&amp;Master!$C$2:'Master'!$C$4384,0))</f>
        <v>99</v>
      </c>
      <c r="Y29" s="21" cm="1">
        <f t="array" aca="1" ref="Y29" ca="1">INDEX(Master!$H$2:'Master'!$H$4384,MATCH($A29&amp;Y$2,Master!$A$2:'Master'!$A$4384&amp;Master!$C$2:'Master'!$C$4384,0))</f>
        <v>99</v>
      </c>
      <c r="Z29" s="21" cm="1">
        <f t="array" aca="1" ref="Z29" ca="1">INDEX(Master!$H$2:'Master'!$H$4384,MATCH($A29&amp;Z$2,Master!$A$2:'Master'!$A$4384&amp;Master!$C$2:'Master'!$C$4384,0))</f>
        <v>97</v>
      </c>
      <c r="AA29" s="21" cm="1">
        <f t="array" aca="1" ref="AA29" ca="1">INDEX(Master!$H$2:'Master'!$H$4384,MATCH($A29&amp;AA$2,Master!$A$2:'Master'!$A$4384&amp;Master!$C$2:'Master'!$C$4384,0))</f>
        <v>97</v>
      </c>
      <c r="AB29" s="21" cm="1">
        <f t="array" aca="1" ref="AB29" ca="1">INDEX(Master!$H$2:'Master'!$H$4384,MATCH($A29&amp;AB$2,Master!$A$2:'Master'!$A$4384&amp;Master!$C$2:'Master'!$C$4384,0))</f>
        <v>98</v>
      </c>
      <c r="AC29" s="21" cm="1">
        <f t="array" aca="1" ref="AC29" ca="1">INDEX(Master!$H$2:'Master'!$H$4384,MATCH($A29&amp;AC$2,Master!$A$2:'Master'!$A$4384&amp;Master!$C$2:'Master'!$C$4384,0))</f>
        <v>97</v>
      </c>
      <c r="AD29" s="21" cm="1">
        <f t="array" aca="1" ref="AD29" ca="1">INDEX(Master!$H$2:'Master'!$H$4384,MATCH($A29&amp;AD$2,Master!$A$2:'Master'!$A$4384&amp;Master!$C$2:'Master'!$C$4384,0))</f>
        <v>98</v>
      </c>
      <c r="AE29" s="21" cm="1">
        <f t="array" aca="1" ref="AE29" ca="1">INDEX(Master!$H$2:'Master'!$H$4384,MATCH($A29&amp;AE$2,Master!$A$2:'Master'!$A$4384&amp;Master!$C$2:'Master'!$C$4384,0))</f>
        <v>99</v>
      </c>
      <c r="AF29" s="21" cm="1">
        <f t="array" aca="1" ref="AF29" ca="1">INDEX(Master!$H$2:'Master'!$H$4384,MATCH($A29&amp;AF$2,Master!$A$2:'Master'!$A$4384&amp;Master!$C$2:'Master'!$C$4384,0))</f>
        <v>99</v>
      </c>
      <c r="AG29" s="21" cm="1">
        <f t="array" aca="1" ref="AG29" ca="1">INDEX(Master!$H$2:'Master'!$H$4384,MATCH($A29&amp;AG$2,Master!$A$2:'Master'!$A$4384&amp;Master!$C$2:'Master'!$C$4384,0))</f>
        <v>99</v>
      </c>
      <c r="AH29" s="21" cm="1">
        <f t="array" aca="1" ref="AH29" ca="1">INDEX(Master!$H$2:'Master'!$H$4384,MATCH($A29&amp;AH$2,Master!$A$2:'Master'!$A$4384&amp;Master!$C$2:'Master'!$C$4384,0))</f>
        <v>99</v>
      </c>
      <c r="AI29" s="21" cm="1">
        <f t="array" aca="1" ref="AI29" ca="1">INDEX(Master!$H$2:'Master'!$H$4384,MATCH($A29&amp;AI$2,Master!$A$2:'Master'!$A$4384&amp;Master!$C$2:'Master'!$C$4384,0))</f>
        <v>99</v>
      </c>
      <c r="AJ29" s="21" cm="1">
        <f t="array" aca="1" ref="AJ29" ca="1">INDEX(Master!$H$2:'Master'!$H$4384,MATCH($A29&amp;AJ$2,Master!$A$2:'Master'!$A$4384&amp;Master!$C$2:'Master'!$C$4384,0))</f>
        <v>99</v>
      </c>
      <c r="AK29" s="21" cm="1">
        <f t="array" aca="1" ref="AK29" ca="1">INDEX(Master!$H$2:'Master'!$H$4384,MATCH($A29&amp;AK$2,Master!$A$2:'Master'!$A$4384&amp;Master!$C$2:'Master'!$C$4384,0))</f>
        <v>99</v>
      </c>
      <c r="AL29" s="21" cm="1">
        <f t="array" aca="1" ref="AL29" ca="1">INDEX(Master!$H$2:'Master'!$H$4384,MATCH($A29&amp;AL$2,Master!$A$2:'Master'!$A$4384&amp;Master!$C$2:'Master'!$C$4384,0))</f>
        <v>99</v>
      </c>
      <c r="AM29" s="21" cm="1">
        <f t="array" aca="1" ref="AM29" ca="1">INDEX(Master!$H$2:'Master'!$H$4384,MATCH($A29&amp;AM$2,Master!$A$2:'Master'!$A$4384&amp;Master!$C$2:'Master'!$C$4384,0))</f>
        <v>99</v>
      </c>
      <c r="AN29" s="21" cm="1">
        <f t="array" aca="1" ref="AN29" ca="1">INDEX(Master!$H$2:'Master'!$H$4384,MATCH($A29&amp;AN$2,Master!$A$2:'Master'!$A$4384&amp;Master!$C$2:'Master'!$C$4384,0))</f>
        <v>99</v>
      </c>
      <c r="AO29" s="21" cm="1">
        <f t="array" aca="1" ref="AO29" ca="1">INDEX(Master!$H$2:'Master'!$H$4384,MATCH($A29&amp;AO$2,Master!$A$2:'Master'!$A$4384&amp;Master!$C$2:'Master'!$C$4384,0))</f>
        <v>98</v>
      </c>
      <c r="AP29" s="21" cm="1">
        <f t="array" aca="1" ref="AP29" ca="1">INDEX(Master!$H$2:'Master'!$H$4384,MATCH($A29&amp;AP$2,Master!$A$2:'Master'!$A$4384&amp;Master!$C$2:'Master'!$C$4384,0))</f>
        <v>97</v>
      </c>
      <c r="AQ29" s="21" cm="1">
        <f t="array" aca="1" ref="AQ29" ca="1">INDEX(Master!$H$2:'Master'!$H$4384,MATCH($A29&amp;AQ$2,Master!$A$2:'Master'!$A$4384&amp;Master!$C$2:'Master'!$C$4384,0))</f>
        <v>98</v>
      </c>
      <c r="AR29" s="21" cm="1">
        <f t="array" aca="1" ref="AR29" ca="1">INDEX(Master!$H$2:'Master'!$H$4384,MATCH($A29&amp;AR$2,Master!$A$2:'Master'!$A$4384&amp;Master!$C$2:'Master'!$C$4384,0))</f>
        <v>98</v>
      </c>
      <c r="AS29" s="21" cm="1">
        <f t="array" aca="1" ref="AS29" ca="1">INDEX(Master!$H$2:'Master'!$H$4384,MATCH($A29&amp;AS$2,Master!$A$2:'Master'!$A$4384&amp;Master!$C$2:'Master'!$C$4384,0))</f>
        <v>99</v>
      </c>
      <c r="AT29" s="21" cm="1">
        <f t="array" aca="1" ref="AT29" ca="1">INDEX(Master!$H$2:'Master'!$H$4384,MATCH($A29&amp;AT$2,Master!$A$2:'Master'!$A$4384&amp;Master!$C$2:'Master'!$C$4384,0))</f>
        <v>99</v>
      </c>
      <c r="AU29" s="21" cm="1">
        <f t="array" aca="1" ref="AU29" ca="1">INDEX(Master!$H$2:'Master'!$H$4384,MATCH($A29&amp;AU$2,Master!$A$2:'Master'!$A$4384&amp;Master!$C$2:'Master'!$C$4384,0))</f>
        <v>99</v>
      </c>
      <c r="AV29" s="21" cm="1">
        <f t="array" aca="1" ref="AV29" ca="1">INDEX(Master!$H$2:'Master'!$H$4384,MATCH($A29&amp;AV$2,Master!$A$2:'Master'!$A$4384&amp;Master!$C$2:'Master'!$C$4384,0))</f>
        <v>97</v>
      </c>
      <c r="AW29" s="21" cm="1">
        <f t="array" aca="1" ref="AW29" ca="1">INDEX(Master!$H$2:'Master'!$H$4384,MATCH($A29&amp;AW$2,Master!$A$2:'Master'!$A$4384&amp;Master!$C$2:'Master'!$C$4384,0))</f>
        <v>99</v>
      </c>
      <c r="AX29" s="21" cm="1">
        <f t="array" aca="1" ref="AX29" ca="1">INDEX(Master!$H$2:'Master'!$H$4384,MATCH($A29&amp;AX$2,Master!$A$2:'Master'!$A$4384&amp;Master!$C$2:'Master'!$C$4384,0))</f>
        <v>99</v>
      </c>
      <c r="AY29" s="21" cm="1">
        <f t="array" aca="1" ref="AY29" ca="1">INDEX(Master!$H$2:'Master'!$H$4384,MATCH($A29&amp;AY$2,Master!$A$2:'Master'!$A$4384&amp;Master!$C$2:'Master'!$C$4384,0))</f>
        <v>99</v>
      </c>
      <c r="AZ29" s="21" cm="1">
        <f t="array" aca="1" ref="AZ29" ca="1">INDEX(Master!$H$2:'Master'!$H$4384,MATCH($A29&amp;AZ$2,Master!$A$2:'Master'!$A$4384&amp;Master!$C$2:'Master'!$C$4384,0))</f>
        <v>98</v>
      </c>
      <c r="BA29" s="21" cm="1">
        <f t="array" aca="1" ref="BA29" ca="1">INDEX(Master!$H$2:'Master'!$H$4384,MATCH($A29&amp;BA$2,Master!$A$2:'Master'!$A$4384&amp;Master!$C$2:'Master'!$C$4384,0))</f>
        <v>99</v>
      </c>
      <c r="BB29" s="21" cm="1">
        <f t="array" aca="1" ref="BB29" ca="1">INDEX(Master!$H$2:'Master'!$H$4384,MATCH($A29&amp;BB$2,Master!$A$2:'Master'!$A$4384&amp;Master!$C$2:'Master'!$C$4384,0))</f>
        <v>99</v>
      </c>
      <c r="BC29" s="21" cm="1">
        <f t="array" aca="1" ref="BC29" ca="1">INDEX(Master!$H$2:'Master'!$H$4384,MATCH($A29&amp;BC$2,Master!$A$2:'Master'!$A$4384&amp;Master!$C$2:'Master'!$C$4384,0))</f>
        <v>99</v>
      </c>
      <c r="BD29" s="21" cm="1">
        <f t="array" aca="1" ref="BD29" ca="1">INDEX(Master!$H$2:'Master'!$H$4384,MATCH($A29&amp;BD$2,Master!$A$2:'Master'!$A$4384&amp;Master!$C$2:'Master'!$C$4384,0))</f>
        <v>99</v>
      </c>
      <c r="BE29" s="21" cm="1">
        <f t="array" aca="1" ref="BE29" ca="1">INDEX(Master!$H$2:'Master'!$H$4384,MATCH($A29&amp;BE$2,Master!$A$2:'Master'!$A$4384&amp;Master!$C$2:'Master'!$C$4384,0))</f>
        <v>99</v>
      </c>
      <c r="BF29" s="21" cm="1">
        <f t="array" aca="1" ref="BF29" ca="1">INDEX(Master!$H$2:'Master'!$H$4384,MATCH($A29&amp;BF$2,Master!$A$2:'Master'!$A$4384&amp;Master!$C$2:'Master'!$C$4384,0))</f>
        <v>99</v>
      </c>
      <c r="BG29" s="21" cm="1">
        <f t="array" aca="1" ref="BG29" ca="1">INDEX(Master!$H$2:'Master'!$H$4384,MATCH($A29&amp;BG$2,Master!$A$2:'Master'!$A$4384&amp;Master!$C$2:'Master'!$C$4384,0))</f>
        <v>97</v>
      </c>
      <c r="BH29" s="21" cm="1">
        <f t="array" aca="1" ref="BH29" ca="1">INDEX(Master!$H$2:'Master'!$H$4384,MATCH($A29&amp;BH$2,Master!$A$2:'Master'!$A$4384&amp;Master!$C$2:'Master'!$C$4384,0))</f>
        <v>99</v>
      </c>
      <c r="BI29" s="21" cm="1">
        <f t="array" aca="1" ref="BI29" ca="1">INDEX(Master!$H$2:'Master'!$H$4384,MATCH($A29&amp;BI$2,Master!$A$2:'Master'!$A$4384&amp;Master!$C$2:'Master'!$C$4384,0))</f>
        <v>98</v>
      </c>
      <c r="BJ29" s="21" cm="1">
        <f t="array" aca="1" ref="BJ29" ca="1">INDEX(Master!$H$2:'Master'!$H$4384,MATCH($A29&amp;BJ$2,Master!$A$2:'Master'!$A$4384&amp;Master!$C$2:'Master'!$C$4384,0))</f>
        <v>99</v>
      </c>
      <c r="BK29" s="21" cm="1">
        <f t="array" aca="1" ref="BK29" ca="1">INDEX(Master!$H$2:'Master'!$H$4384,MATCH($A29&amp;BK$2,Master!$A$2:'Master'!$A$4384&amp;Master!$C$2:'Master'!$C$4384,0))</f>
        <v>98</v>
      </c>
      <c r="BL29" s="21" cm="1">
        <f t="array" aca="1" ref="BL29" ca="1">INDEX(Master!$H$2:'Master'!$H$4384,MATCH($A29&amp;BL$2,Master!$A$2:'Master'!$A$4384&amp;Master!$C$2:'Master'!$C$4384,0))</f>
        <v>98</v>
      </c>
      <c r="BM29" s="21" cm="1">
        <f t="array" aca="1" ref="BM29" ca="1">INDEX(Master!$H$2:'Master'!$H$4384,MATCH($A29&amp;BM$2,Master!$A$2:'Master'!$A$4384&amp;Master!$C$2:'Master'!$C$4384,0))</f>
        <v>98</v>
      </c>
      <c r="BN29" s="21" cm="1">
        <f t="array" aca="1" ref="BN29" ca="1">INDEX(Master!$H$2:'Master'!$H$4384,MATCH($A29&amp;BN$2,Master!$A$2:'Master'!$A$4384&amp;Master!$C$2:'Master'!$C$4384,0))</f>
        <v>99</v>
      </c>
      <c r="BO29" s="21" cm="1">
        <f t="array" aca="1" ref="BO29" ca="1">INDEX(Master!$H$2:'Master'!$H$4384,MATCH($A29&amp;BO$2,Master!$A$2:'Master'!$A$4384&amp;Master!$C$2:'Master'!$C$4384,0))</f>
        <v>99</v>
      </c>
      <c r="BP29" s="21" cm="1">
        <f t="array" aca="1" ref="BP29" ca="1">INDEX(Master!$H$2:'Master'!$H$4384,MATCH($A29&amp;BP$2,Master!$A$2:'Master'!$A$4384&amp;Master!$C$2:'Master'!$C$4384,0))</f>
        <v>99</v>
      </c>
      <c r="BQ29" s="21" cm="1">
        <f t="array" aca="1" ref="BQ29" ca="1">INDEX(Master!$H$2:'Master'!$H$4384,MATCH($A29&amp;BQ$2,Master!$A$2:'Master'!$A$4384&amp;Master!$C$2:'Master'!$C$4384,0))</f>
        <v>98</v>
      </c>
      <c r="BR29" s="21" cm="1">
        <f t="array" aca="1" ref="BR29" ca="1">INDEX(Master!$H$2:'Master'!$H$4384,MATCH($A29&amp;BR$2,Master!$A$2:'Master'!$A$4384&amp;Master!$C$2:'Master'!$C$4384,0))</f>
        <v>99</v>
      </c>
      <c r="BS29" s="21" cm="1">
        <f t="array" aca="1" ref="BS29" ca="1">INDEX(Master!$H$2:'Master'!$H$4384,MATCH($A29&amp;BS$2,Master!$A$2:'Master'!$A$4384&amp;Master!$C$2:'Master'!$C$4384,0))</f>
        <v>99</v>
      </c>
      <c r="BT29" s="21" cm="1">
        <f t="array" aca="1" ref="BT29" ca="1">INDEX(Master!$H$2:'Master'!$H$4384,MATCH($A29&amp;BT$2,Master!$A$2:'Master'!$A$4384&amp;Master!$C$2:'Master'!$C$4384,0))</f>
        <v>99</v>
      </c>
      <c r="BU29" s="21" cm="1">
        <f t="array" aca="1" ref="BU29" ca="1">INDEX(Master!$H$2:'Master'!$H$4384,MATCH($A29&amp;BU$2,Master!$A$2:'Master'!$A$4384&amp;Master!$C$2:'Master'!$C$4384,0))</f>
        <v>99</v>
      </c>
      <c r="BV29" s="21" cm="1">
        <f t="array" aca="1" ref="BV29" ca="1">INDEX(Master!$H$2:'Master'!$H$4384,MATCH($A29&amp;BV$2,Master!$A$2:'Master'!$A$4384&amp;Master!$C$2:'Master'!$C$4384,0))</f>
        <v>97</v>
      </c>
      <c r="BW29" s="21" cm="1">
        <f t="array" aca="1" ref="BW29" ca="1">INDEX(Master!$H$2:'Master'!$H$4384,MATCH($A29&amp;BW$2,Master!$A$2:'Master'!$A$4384&amp;Master!$C$2:'Master'!$C$4384,0))</f>
        <v>99</v>
      </c>
      <c r="BX29" s="21" cm="1">
        <f t="array" aca="1" ref="BX29" ca="1">INDEX(Master!$H$2:'Master'!$H$4384,MATCH($A29&amp;BX$2,Master!$A$2:'Master'!$A$4384&amp;Master!$C$2:'Master'!$C$4384,0))</f>
        <v>97</v>
      </c>
      <c r="BY29" s="21" cm="1">
        <f t="array" aca="1" ref="BY29" ca="1">INDEX(Master!$H$2:'Master'!$H$4384,MATCH($A29&amp;BY$2,Master!$A$2:'Master'!$A$4384&amp;Master!$C$2:'Master'!$C$4384,0))</f>
        <v>99</v>
      </c>
      <c r="BZ29" s="21" cm="1">
        <f t="array" aca="1" ref="BZ29" ca="1">INDEX(Master!$H$2:'Master'!$H$4384,MATCH($A29&amp;BZ$2,Master!$A$2:'Master'!$A$4384&amp;Master!$C$2:'Master'!$C$4384,0))</f>
        <v>98</v>
      </c>
      <c r="CA29" s="21" cm="1">
        <f t="array" aca="1" ref="CA29" ca="1">INDEX(Master!$H$2:'Master'!$H$4384,MATCH($A29&amp;CA$2,Master!$A$2:'Master'!$A$4384&amp;Master!$C$2:'Master'!$C$4384,0))</f>
        <v>99</v>
      </c>
      <c r="CB29" s="21" cm="1">
        <f t="array" aca="1" ref="CB29" ca="1">INDEX(Master!$H$2:'Master'!$H$4384,MATCH($A29&amp;CB$2,Master!$A$2:'Master'!$A$4384&amp;Master!$C$2:'Master'!$C$4384,0))</f>
        <v>98</v>
      </c>
      <c r="CC29" s="21" cm="1">
        <f t="array" aca="1" ref="CC29" ca="1">INDEX(Master!$H$2:'Master'!$H$4384,MATCH($A29&amp;CC$2,Master!$A$2:'Master'!$A$4384&amp;Master!$C$2:'Master'!$C$4384,0))</f>
        <v>98</v>
      </c>
      <c r="CD29" s="21" cm="1">
        <f t="array" aca="1" ref="CD29" ca="1">INDEX(Master!$H$2:'Master'!$H$4384,MATCH($A29&amp;CD$2,Master!$A$2:'Master'!$A$4384&amp;Master!$C$2:'Master'!$C$4384,0))</f>
        <v>98</v>
      </c>
      <c r="CE29" s="21" cm="1">
        <f t="array" aca="1" ref="CE29" ca="1">INDEX(Master!$H$2:'Master'!$H$4384,MATCH($A29&amp;CE$2,Master!$A$2:'Master'!$A$4384&amp;Master!$C$2:'Master'!$C$4384,0))</f>
        <v>98</v>
      </c>
      <c r="CF29" s="21" cm="1">
        <f t="array" aca="1" ref="CF29" ca="1">INDEX(Master!$H$2:'Master'!$H$4384,MATCH($A29&amp;CF$2,Master!$A$2:'Master'!$A$4384&amp;Master!$C$2:'Master'!$C$4384,0))</f>
        <v>98</v>
      </c>
      <c r="CG29" s="21" cm="1">
        <f t="array" aca="1" ref="CG29" ca="1">INDEX(Master!$H$2:'Master'!$H$4384,MATCH($A29&amp;CG$2,Master!$A$2:'Master'!$A$4384&amp;Master!$C$2:'Master'!$C$4384,0))</f>
        <v>98</v>
      </c>
      <c r="CH29" s="21" cm="1">
        <f t="array" aca="1" ref="CH29" ca="1">INDEX(Master!$H$2:'Master'!$H$4384,MATCH($A29&amp;CH$2,Master!$A$2:'Master'!$A$4384&amp;Master!$C$2:'Master'!$C$4384,0))</f>
        <v>98</v>
      </c>
      <c r="CI29" s="21" cm="1">
        <f t="array" aca="1" ref="CI29" ca="1">INDEX(Master!$H$2:'Master'!$H$4384,MATCH($A29&amp;CI$2,Master!$A$2:'Master'!$A$4384&amp;Master!$C$2:'Master'!$C$4384,0))</f>
        <v>98</v>
      </c>
      <c r="CJ29" s="21" cm="1">
        <f t="array" aca="1" ref="CJ29" ca="1">INDEX(Master!$H$2:'Master'!$H$4384,MATCH($A29&amp;CJ$2,Master!$A$2:'Master'!$A$4384&amp;Master!$C$2:'Master'!$C$4384,0))</f>
        <v>99</v>
      </c>
      <c r="CK29" s="21" cm="1">
        <f t="array" aca="1" ref="CK29" ca="1">INDEX(Master!$H$2:'Master'!$H$4384,MATCH($A29&amp;CK$2,Master!$A$2:'Master'!$A$4384&amp;Master!$C$2:'Master'!$C$4384,0))</f>
        <v>99</v>
      </c>
      <c r="CL29" s="21" cm="1">
        <f t="array" aca="1" ref="CL29" ca="1">INDEX(Master!$H$2:'Master'!$H$4384,MATCH($A29&amp;CL$2,Master!$A$2:'Master'!$A$4384&amp;Master!$C$2:'Master'!$C$4384,0))</f>
        <v>99</v>
      </c>
      <c r="CM29" s="21" cm="1">
        <f t="array" aca="1" ref="CM29" ca="1">INDEX(Master!$H$2:'Master'!$H$4384,MATCH($A29&amp;CM$2,Master!$A$2:'Master'!$A$4384&amp;Master!$C$2:'Master'!$C$4384,0))</f>
        <v>99</v>
      </c>
      <c r="CN29" s="21" cm="1">
        <f t="array" aca="1" ref="CN29" ca="1">INDEX(Master!$H$2:'Master'!$H$4384,MATCH($A29&amp;CN$2,Master!$A$2:'Master'!$A$4384&amp;Master!$C$2:'Master'!$C$4384,0))</f>
        <v>97</v>
      </c>
      <c r="CO29" s="21" cm="1">
        <f t="array" aca="1" ref="CO29" ca="1">INDEX(Master!$H$2:'Master'!$H$4384,MATCH($A29&amp;CO$2,Master!$A$2:'Master'!$A$4384&amp;Master!$C$2:'Master'!$C$4384,0))</f>
        <v>97</v>
      </c>
      <c r="CP29" s="21" cm="1">
        <f t="array" aca="1" ref="CP29" ca="1">INDEX(Master!$H$2:'Master'!$H$4384,MATCH($A29&amp;CP$2,Master!$A$2:'Master'!$A$4384&amp;Master!$C$2:'Master'!$C$4384,0))</f>
        <v>97</v>
      </c>
      <c r="CQ29" s="21" cm="1">
        <f t="array" aca="1" ref="CQ29" ca="1">INDEX(Master!$H$2:'Master'!$H$4384,MATCH($A29&amp;CQ$2,Master!$A$2:'Master'!$A$4384&amp;Master!$C$2:'Master'!$C$4384,0))</f>
        <v>99</v>
      </c>
      <c r="CR29" s="21" cm="1">
        <f t="array" aca="1" ref="CR29" ca="1">INDEX(Master!$H$2:'Master'!$H$4384,MATCH($A29&amp;CR$2,Master!$A$2:'Master'!$A$4384&amp;Master!$C$2:'Master'!$C$4384,0))</f>
        <v>99</v>
      </c>
      <c r="CS29" s="21" cm="1">
        <f t="array" aca="1" ref="CS29" ca="1">INDEX(Master!$H$2:'Master'!$H$4384,MATCH($A29&amp;CS$2,Master!$A$2:'Master'!$A$4384&amp;Master!$C$2:'Master'!$C$4384,0))</f>
        <v>98</v>
      </c>
    </row>
    <row r="30" spans="1:97">
      <c r="A30" s="22" t="str">
        <f>VLOOKUP(Staff!$A26,Staff!$A$1:A$73,1,FALSE)</f>
        <v>John Barnaby</v>
      </c>
      <c r="B30" s="21" cm="1">
        <f t="array" aca="1" ref="B30" ca="1">INDEX(Master!$H$2:'Master'!$H$4384,MATCH($A30&amp;B$2,Master!$A$2:'Master'!$A$4384&amp;Master!$C$2:'Master'!$C$4384,0))</f>
        <v>99</v>
      </c>
      <c r="C30" s="21" cm="1">
        <f t="array" aca="1" ref="C30" ca="1">INDEX(Master!$H$2:'Master'!$H$4384,MATCH($A30&amp;C$2,Master!$A$2:'Master'!$A$4384&amp;Master!$C$2:'Master'!$C$4384,0))</f>
        <v>99</v>
      </c>
      <c r="D30" s="21" cm="1">
        <f t="array" aca="1" ref="D30" ca="1">INDEX(Master!$H$2:'Master'!$H$4384,MATCH($A30&amp;D$2,Master!$A$2:'Master'!$A$4384&amp;Master!$C$2:'Master'!$C$4384,0))</f>
        <v>99</v>
      </c>
      <c r="E30" s="21" cm="1">
        <f t="array" aca="1" ref="E30" ca="1">INDEX(Master!$H$2:'Master'!$H$4384,MATCH($A30&amp;E$2,Master!$A$2:'Master'!$A$4384&amp;Master!$C$2:'Master'!$C$4384,0))</f>
        <v>97</v>
      </c>
      <c r="F30" s="21" cm="1">
        <f t="array" aca="1" ref="F30" ca="1">INDEX(Master!$H$2:'Master'!$H$4384,MATCH($A30&amp;F$2,Master!$A$2:'Master'!$A$4384&amp;Master!$C$2:'Master'!$C$4384,0))</f>
        <v>99</v>
      </c>
      <c r="G30" s="21" cm="1">
        <f t="array" aca="1" ref="G30" ca="1">INDEX(Master!$H$2:'Master'!$H$4384,MATCH($A30&amp;G$2,Master!$A$2:'Master'!$A$4384&amp;Master!$C$2:'Master'!$C$4384,0))</f>
        <v>97</v>
      </c>
      <c r="H30" s="21" cm="1">
        <f t="array" aca="1" ref="H30" ca="1">INDEX(Master!$H$2:'Master'!$H$4384,MATCH($A30&amp;H$2,Master!$A$2:'Master'!$A$4384&amp;Master!$C$2:'Master'!$C$4384,0))</f>
        <v>99</v>
      </c>
      <c r="I30" s="21" cm="1">
        <f t="array" aca="1" ref="I30" ca="1">INDEX(Master!$H$2:'Master'!$H$4384,MATCH($A30&amp;I$2,Master!$A$2:'Master'!$A$4384&amp;Master!$C$2:'Master'!$C$4384,0))</f>
        <v>99</v>
      </c>
      <c r="J30" s="21" cm="1">
        <f t="array" aca="1" ref="J30" ca="1">INDEX(Master!$H$2:'Master'!$H$4384,MATCH($A30&amp;J$2,Master!$A$2:'Master'!$A$4384&amp;Master!$C$2:'Master'!$C$4384,0))</f>
        <v>96</v>
      </c>
      <c r="K30" s="21" cm="1">
        <f t="array" aca="1" ref="K30" ca="1">INDEX(Master!$H$2:'Master'!$H$4384,MATCH($A30&amp;K$2,Master!$A$2:'Master'!$A$4384&amp;Master!$C$2:'Master'!$C$4384,0))</f>
        <v>97</v>
      </c>
      <c r="L30" s="21" cm="1">
        <f t="array" aca="1" ref="L30" ca="1">INDEX(Master!$H$2:'Master'!$H$4384,MATCH($A30&amp;L$2,Master!$A$2:'Master'!$A$4384&amp;Master!$C$2:'Master'!$C$4384,0))</f>
        <v>97</v>
      </c>
      <c r="M30" s="21" cm="1">
        <f t="array" aca="1" ref="M30" ca="1">INDEX(Master!$H$2:'Master'!$H$4384,MATCH($A30&amp;M$2,Master!$A$2:'Master'!$A$4384&amp;Master!$C$2:'Master'!$C$4384,0))</f>
        <v>96</v>
      </c>
      <c r="N30" s="21" cm="1">
        <f t="array" aca="1" ref="N30" ca="1">INDEX(Master!$H$2:'Master'!$H$4384,MATCH($A30&amp;N$2,Master!$A$2:'Master'!$A$4384&amp;Master!$C$2:'Master'!$C$4384,0))</f>
        <v>97</v>
      </c>
      <c r="O30" s="21" cm="1">
        <f t="array" aca="1" ref="O30" ca="1">INDEX(Master!$H$2:'Master'!$H$4384,MATCH($A30&amp;O$2,Master!$A$2:'Master'!$A$4384&amp;Master!$C$2:'Master'!$C$4384,0))</f>
        <v>97</v>
      </c>
      <c r="P30" s="21" cm="1">
        <f t="array" aca="1" ref="P30" ca="1">INDEX(Master!$H$2:'Master'!$H$4384,MATCH($A30&amp;P$2,Master!$A$2:'Master'!$A$4384&amp;Master!$C$2:'Master'!$C$4384,0))</f>
        <v>97</v>
      </c>
      <c r="Q30" s="21" cm="1">
        <f t="array" aca="1" ref="Q30" ca="1">INDEX(Master!$H$2:'Master'!$H$4384,MATCH($A30&amp;Q$2,Master!$A$2:'Master'!$A$4384&amp;Master!$C$2:'Master'!$C$4384,0))</f>
        <v>98</v>
      </c>
      <c r="R30" s="21" cm="1">
        <f t="array" aca="1" ref="R30" ca="1">INDEX(Master!$H$2:'Master'!$H$4384,MATCH($A30&amp;R$2,Master!$A$2:'Master'!$A$4384&amp;Master!$C$2:'Master'!$C$4384,0))</f>
        <v>99</v>
      </c>
      <c r="S30" s="21" cm="1">
        <f t="array" aca="1" ref="S30" ca="1">INDEX(Master!$H$2:'Master'!$H$4384,MATCH($A30&amp;S$2,Master!$A$2:'Master'!$A$4384&amp;Master!$C$2:'Master'!$C$4384,0))</f>
        <v>99</v>
      </c>
      <c r="T30" s="21" cm="1">
        <f t="array" aca="1" ref="T30" ca="1">INDEX(Master!$H$2:'Master'!$H$4384,MATCH($A30&amp;T$2,Master!$A$2:'Master'!$A$4384&amp;Master!$C$2:'Master'!$C$4384,0))</f>
        <v>98</v>
      </c>
      <c r="U30" s="21" cm="1">
        <f t="array" aca="1" ref="U30" ca="1">INDEX(Master!$H$2:'Master'!$H$4384,MATCH($A30&amp;U$2,Master!$A$2:'Master'!$A$4384&amp;Master!$C$2:'Master'!$C$4384,0))</f>
        <v>99</v>
      </c>
      <c r="V30" s="21" cm="1">
        <f t="array" aca="1" ref="V30" ca="1">INDEX(Master!$H$2:'Master'!$H$4384,MATCH($A30&amp;V$2,Master!$A$2:'Master'!$A$4384&amp;Master!$C$2:'Master'!$C$4384,0))</f>
        <v>97</v>
      </c>
      <c r="W30" s="21" cm="1">
        <f t="array" aca="1" ref="W30" ca="1">INDEX(Master!$H$2:'Master'!$H$4384,MATCH($A30&amp;W$2,Master!$A$2:'Master'!$A$4384&amp;Master!$C$2:'Master'!$C$4384,0))</f>
        <v>98</v>
      </c>
      <c r="X30" s="21" cm="1">
        <f t="array" aca="1" ref="X30" ca="1">INDEX(Master!$H$2:'Master'!$H$4384,MATCH($A30&amp;X$2,Master!$A$2:'Master'!$A$4384&amp;Master!$C$2:'Master'!$C$4384,0))</f>
        <v>99</v>
      </c>
      <c r="Y30" s="21" cm="1">
        <f t="array" aca="1" ref="Y30" ca="1">INDEX(Master!$H$2:'Master'!$H$4384,MATCH($A30&amp;Y$2,Master!$A$2:'Master'!$A$4384&amp;Master!$C$2:'Master'!$C$4384,0))</f>
        <v>99</v>
      </c>
      <c r="Z30" s="21" cm="1">
        <f t="array" aca="1" ref="Z30" ca="1">INDEX(Master!$H$2:'Master'!$H$4384,MATCH($A30&amp;Z$2,Master!$A$2:'Master'!$A$4384&amp;Master!$C$2:'Master'!$C$4384,0))</f>
        <v>97</v>
      </c>
      <c r="AA30" s="21" cm="1">
        <f t="array" aca="1" ref="AA30" ca="1">INDEX(Master!$H$2:'Master'!$H$4384,MATCH($A30&amp;AA$2,Master!$A$2:'Master'!$A$4384&amp;Master!$C$2:'Master'!$C$4384,0))</f>
        <v>97</v>
      </c>
      <c r="AB30" s="21" cm="1">
        <f t="array" aca="1" ref="AB30" ca="1">INDEX(Master!$H$2:'Master'!$H$4384,MATCH($A30&amp;AB$2,Master!$A$2:'Master'!$A$4384&amp;Master!$C$2:'Master'!$C$4384,0))</f>
        <v>98</v>
      </c>
      <c r="AC30" s="21" cm="1">
        <f t="array" aca="1" ref="AC30" ca="1">INDEX(Master!$H$2:'Master'!$H$4384,MATCH($A30&amp;AC$2,Master!$A$2:'Master'!$A$4384&amp;Master!$C$2:'Master'!$C$4384,0))</f>
        <v>97</v>
      </c>
      <c r="AD30" s="21" cm="1">
        <f t="array" aca="1" ref="AD30" ca="1">INDEX(Master!$H$2:'Master'!$H$4384,MATCH($A30&amp;AD$2,Master!$A$2:'Master'!$A$4384&amp;Master!$C$2:'Master'!$C$4384,0))</f>
        <v>98</v>
      </c>
      <c r="AE30" s="21" cm="1">
        <f t="array" aca="1" ref="AE30" ca="1">INDEX(Master!$H$2:'Master'!$H$4384,MATCH($A30&amp;AE$2,Master!$A$2:'Master'!$A$4384&amp;Master!$C$2:'Master'!$C$4384,0))</f>
        <v>99</v>
      </c>
      <c r="AF30" s="21" cm="1">
        <f t="array" aca="1" ref="AF30" ca="1">INDEX(Master!$H$2:'Master'!$H$4384,MATCH($A30&amp;AF$2,Master!$A$2:'Master'!$A$4384&amp;Master!$C$2:'Master'!$C$4384,0))</f>
        <v>99</v>
      </c>
      <c r="AG30" s="21" cm="1">
        <f t="array" aca="1" ref="AG30" ca="1">INDEX(Master!$H$2:'Master'!$H$4384,MATCH($A30&amp;AG$2,Master!$A$2:'Master'!$A$4384&amp;Master!$C$2:'Master'!$C$4384,0))</f>
        <v>99</v>
      </c>
      <c r="AH30" s="21" cm="1">
        <f t="array" aca="1" ref="AH30" ca="1">INDEX(Master!$H$2:'Master'!$H$4384,MATCH($A30&amp;AH$2,Master!$A$2:'Master'!$A$4384&amp;Master!$C$2:'Master'!$C$4384,0))</f>
        <v>99</v>
      </c>
      <c r="AI30" s="21" cm="1">
        <f t="array" aca="1" ref="AI30" ca="1">INDEX(Master!$H$2:'Master'!$H$4384,MATCH($A30&amp;AI$2,Master!$A$2:'Master'!$A$4384&amp;Master!$C$2:'Master'!$C$4384,0))</f>
        <v>99</v>
      </c>
      <c r="AJ30" s="21" cm="1">
        <f t="array" aca="1" ref="AJ30" ca="1">INDEX(Master!$H$2:'Master'!$H$4384,MATCH($A30&amp;AJ$2,Master!$A$2:'Master'!$A$4384&amp;Master!$C$2:'Master'!$C$4384,0))</f>
        <v>99</v>
      </c>
      <c r="AK30" s="21" cm="1">
        <f t="array" aca="1" ref="AK30" ca="1">INDEX(Master!$H$2:'Master'!$H$4384,MATCH($A30&amp;AK$2,Master!$A$2:'Master'!$A$4384&amp;Master!$C$2:'Master'!$C$4384,0))</f>
        <v>99</v>
      </c>
      <c r="AL30" s="21" cm="1">
        <f t="array" aca="1" ref="AL30" ca="1">INDEX(Master!$H$2:'Master'!$H$4384,MATCH($A30&amp;AL$2,Master!$A$2:'Master'!$A$4384&amp;Master!$C$2:'Master'!$C$4384,0))</f>
        <v>99</v>
      </c>
      <c r="AM30" s="21" cm="1">
        <f t="array" aca="1" ref="AM30" ca="1">INDEX(Master!$H$2:'Master'!$H$4384,MATCH($A30&amp;AM$2,Master!$A$2:'Master'!$A$4384&amp;Master!$C$2:'Master'!$C$4384,0))</f>
        <v>99</v>
      </c>
      <c r="AN30" s="21" cm="1">
        <f t="array" aca="1" ref="AN30" ca="1">INDEX(Master!$H$2:'Master'!$H$4384,MATCH($A30&amp;AN$2,Master!$A$2:'Master'!$A$4384&amp;Master!$C$2:'Master'!$C$4384,0))</f>
        <v>99</v>
      </c>
      <c r="AO30" s="21" cm="1">
        <f t="array" aca="1" ref="AO30" ca="1">INDEX(Master!$H$2:'Master'!$H$4384,MATCH($A30&amp;AO$2,Master!$A$2:'Master'!$A$4384&amp;Master!$C$2:'Master'!$C$4384,0))</f>
        <v>98</v>
      </c>
      <c r="AP30" s="21" cm="1">
        <f t="array" aca="1" ref="AP30" ca="1">INDEX(Master!$H$2:'Master'!$H$4384,MATCH($A30&amp;AP$2,Master!$A$2:'Master'!$A$4384&amp;Master!$C$2:'Master'!$C$4384,0))</f>
        <v>97</v>
      </c>
      <c r="AQ30" s="21" cm="1">
        <f t="array" aca="1" ref="AQ30" ca="1">INDEX(Master!$H$2:'Master'!$H$4384,MATCH($A30&amp;AQ$2,Master!$A$2:'Master'!$A$4384&amp;Master!$C$2:'Master'!$C$4384,0))</f>
        <v>98</v>
      </c>
      <c r="AR30" s="21" cm="1">
        <f t="array" aca="1" ref="AR30" ca="1">INDEX(Master!$H$2:'Master'!$H$4384,MATCH($A30&amp;AR$2,Master!$A$2:'Master'!$A$4384&amp;Master!$C$2:'Master'!$C$4384,0))</f>
        <v>98</v>
      </c>
      <c r="AS30" s="21" cm="1">
        <f t="array" aca="1" ref="AS30" ca="1">INDEX(Master!$H$2:'Master'!$H$4384,MATCH($A30&amp;AS$2,Master!$A$2:'Master'!$A$4384&amp;Master!$C$2:'Master'!$C$4384,0))</f>
        <v>99</v>
      </c>
      <c r="AT30" s="21" cm="1">
        <f t="array" aca="1" ref="AT30" ca="1">INDEX(Master!$H$2:'Master'!$H$4384,MATCH($A30&amp;AT$2,Master!$A$2:'Master'!$A$4384&amp;Master!$C$2:'Master'!$C$4384,0))</f>
        <v>99</v>
      </c>
      <c r="AU30" s="21" cm="1">
        <f t="array" aca="1" ref="AU30" ca="1">INDEX(Master!$H$2:'Master'!$H$4384,MATCH($A30&amp;AU$2,Master!$A$2:'Master'!$A$4384&amp;Master!$C$2:'Master'!$C$4384,0))</f>
        <v>99</v>
      </c>
      <c r="AV30" s="21" cm="1">
        <f t="array" aca="1" ref="AV30" ca="1">INDEX(Master!$H$2:'Master'!$H$4384,MATCH($A30&amp;AV$2,Master!$A$2:'Master'!$A$4384&amp;Master!$C$2:'Master'!$C$4384,0))</f>
        <v>97</v>
      </c>
      <c r="AW30" s="21" cm="1">
        <f t="array" aca="1" ref="AW30" ca="1">INDEX(Master!$H$2:'Master'!$H$4384,MATCH($A30&amp;AW$2,Master!$A$2:'Master'!$A$4384&amp;Master!$C$2:'Master'!$C$4384,0))</f>
        <v>99</v>
      </c>
      <c r="AX30" s="21" cm="1">
        <f t="array" aca="1" ref="AX30" ca="1">INDEX(Master!$H$2:'Master'!$H$4384,MATCH($A30&amp;AX$2,Master!$A$2:'Master'!$A$4384&amp;Master!$C$2:'Master'!$C$4384,0))</f>
        <v>99</v>
      </c>
      <c r="AY30" s="21" cm="1">
        <f t="array" aca="1" ref="AY30" ca="1">INDEX(Master!$H$2:'Master'!$H$4384,MATCH($A30&amp;AY$2,Master!$A$2:'Master'!$A$4384&amp;Master!$C$2:'Master'!$C$4384,0))</f>
        <v>99</v>
      </c>
      <c r="AZ30" s="21" cm="1">
        <f t="array" aca="1" ref="AZ30" ca="1">INDEX(Master!$H$2:'Master'!$H$4384,MATCH($A30&amp;AZ$2,Master!$A$2:'Master'!$A$4384&amp;Master!$C$2:'Master'!$C$4384,0))</f>
        <v>98</v>
      </c>
      <c r="BA30" s="21" cm="1">
        <f t="array" aca="1" ref="BA30" ca="1">INDEX(Master!$H$2:'Master'!$H$4384,MATCH($A30&amp;BA$2,Master!$A$2:'Master'!$A$4384&amp;Master!$C$2:'Master'!$C$4384,0))</f>
        <v>99</v>
      </c>
      <c r="BB30" s="21" cm="1">
        <f t="array" aca="1" ref="BB30" ca="1">INDEX(Master!$H$2:'Master'!$H$4384,MATCH($A30&amp;BB$2,Master!$A$2:'Master'!$A$4384&amp;Master!$C$2:'Master'!$C$4384,0))</f>
        <v>99</v>
      </c>
      <c r="BC30" s="21" cm="1">
        <f t="array" aca="1" ref="BC30" ca="1">INDEX(Master!$H$2:'Master'!$H$4384,MATCH($A30&amp;BC$2,Master!$A$2:'Master'!$A$4384&amp;Master!$C$2:'Master'!$C$4384,0))</f>
        <v>99</v>
      </c>
      <c r="BD30" s="21" cm="1">
        <f t="array" aca="1" ref="BD30" ca="1">INDEX(Master!$H$2:'Master'!$H$4384,MATCH($A30&amp;BD$2,Master!$A$2:'Master'!$A$4384&amp;Master!$C$2:'Master'!$C$4384,0))</f>
        <v>99</v>
      </c>
      <c r="BE30" s="21" cm="1">
        <f t="array" aca="1" ref="BE30" ca="1">INDEX(Master!$H$2:'Master'!$H$4384,MATCH($A30&amp;BE$2,Master!$A$2:'Master'!$A$4384&amp;Master!$C$2:'Master'!$C$4384,0))</f>
        <v>99</v>
      </c>
      <c r="BF30" s="21" cm="1">
        <f t="array" aca="1" ref="BF30" ca="1">INDEX(Master!$H$2:'Master'!$H$4384,MATCH($A30&amp;BF$2,Master!$A$2:'Master'!$A$4384&amp;Master!$C$2:'Master'!$C$4384,0))</f>
        <v>99</v>
      </c>
      <c r="BG30" s="21" cm="1">
        <f t="array" aca="1" ref="BG30" ca="1">INDEX(Master!$H$2:'Master'!$H$4384,MATCH($A30&amp;BG$2,Master!$A$2:'Master'!$A$4384&amp;Master!$C$2:'Master'!$C$4384,0))</f>
        <v>97</v>
      </c>
      <c r="BH30" s="21" cm="1">
        <f t="array" aca="1" ref="BH30" ca="1">INDEX(Master!$H$2:'Master'!$H$4384,MATCH($A30&amp;BH$2,Master!$A$2:'Master'!$A$4384&amp;Master!$C$2:'Master'!$C$4384,0))</f>
        <v>99</v>
      </c>
      <c r="BI30" s="21" cm="1">
        <f t="array" aca="1" ref="BI30" ca="1">INDEX(Master!$H$2:'Master'!$H$4384,MATCH($A30&amp;BI$2,Master!$A$2:'Master'!$A$4384&amp;Master!$C$2:'Master'!$C$4384,0))</f>
        <v>98</v>
      </c>
      <c r="BJ30" s="21" cm="1">
        <f t="array" aca="1" ref="BJ30" ca="1">INDEX(Master!$H$2:'Master'!$H$4384,MATCH($A30&amp;BJ$2,Master!$A$2:'Master'!$A$4384&amp;Master!$C$2:'Master'!$C$4384,0))</f>
        <v>99</v>
      </c>
      <c r="BK30" s="21" cm="1">
        <f t="array" aca="1" ref="BK30" ca="1">INDEX(Master!$H$2:'Master'!$H$4384,MATCH($A30&amp;BK$2,Master!$A$2:'Master'!$A$4384&amp;Master!$C$2:'Master'!$C$4384,0))</f>
        <v>98</v>
      </c>
      <c r="BL30" s="21" cm="1">
        <f t="array" aca="1" ref="BL30" ca="1">INDEX(Master!$H$2:'Master'!$H$4384,MATCH($A30&amp;BL$2,Master!$A$2:'Master'!$A$4384&amp;Master!$C$2:'Master'!$C$4384,0))</f>
        <v>98</v>
      </c>
      <c r="BM30" s="21" cm="1">
        <f t="array" aca="1" ref="BM30" ca="1">INDEX(Master!$H$2:'Master'!$H$4384,MATCH($A30&amp;BM$2,Master!$A$2:'Master'!$A$4384&amp;Master!$C$2:'Master'!$C$4384,0))</f>
        <v>98</v>
      </c>
      <c r="BN30" s="21" cm="1">
        <f t="array" aca="1" ref="BN30" ca="1">INDEX(Master!$H$2:'Master'!$H$4384,MATCH($A30&amp;BN$2,Master!$A$2:'Master'!$A$4384&amp;Master!$C$2:'Master'!$C$4384,0))</f>
        <v>99</v>
      </c>
      <c r="BO30" s="21" cm="1">
        <f t="array" aca="1" ref="BO30" ca="1">INDEX(Master!$H$2:'Master'!$H$4384,MATCH($A30&amp;BO$2,Master!$A$2:'Master'!$A$4384&amp;Master!$C$2:'Master'!$C$4384,0))</f>
        <v>99</v>
      </c>
      <c r="BP30" s="21" cm="1">
        <f t="array" aca="1" ref="BP30" ca="1">INDEX(Master!$H$2:'Master'!$H$4384,MATCH($A30&amp;BP$2,Master!$A$2:'Master'!$A$4384&amp;Master!$C$2:'Master'!$C$4384,0))</f>
        <v>99</v>
      </c>
      <c r="BQ30" s="21" cm="1">
        <f t="array" aca="1" ref="BQ30" ca="1">INDEX(Master!$H$2:'Master'!$H$4384,MATCH($A30&amp;BQ$2,Master!$A$2:'Master'!$A$4384&amp;Master!$C$2:'Master'!$C$4384,0))</f>
        <v>98</v>
      </c>
      <c r="BR30" s="21" cm="1">
        <f t="array" aca="1" ref="BR30" ca="1">INDEX(Master!$H$2:'Master'!$H$4384,MATCH($A30&amp;BR$2,Master!$A$2:'Master'!$A$4384&amp;Master!$C$2:'Master'!$C$4384,0))</f>
        <v>99</v>
      </c>
      <c r="BS30" s="21" cm="1">
        <f t="array" aca="1" ref="BS30" ca="1">INDEX(Master!$H$2:'Master'!$H$4384,MATCH($A30&amp;BS$2,Master!$A$2:'Master'!$A$4384&amp;Master!$C$2:'Master'!$C$4384,0))</f>
        <v>99</v>
      </c>
      <c r="BT30" s="21" cm="1">
        <f t="array" aca="1" ref="BT30" ca="1">INDEX(Master!$H$2:'Master'!$H$4384,MATCH($A30&amp;BT$2,Master!$A$2:'Master'!$A$4384&amp;Master!$C$2:'Master'!$C$4384,0))</f>
        <v>99</v>
      </c>
      <c r="BU30" s="21" cm="1">
        <f t="array" aca="1" ref="BU30" ca="1">INDEX(Master!$H$2:'Master'!$H$4384,MATCH($A30&amp;BU$2,Master!$A$2:'Master'!$A$4384&amp;Master!$C$2:'Master'!$C$4384,0))</f>
        <v>99</v>
      </c>
      <c r="BV30" s="21" cm="1">
        <f t="array" aca="1" ref="BV30" ca="1">INDEX(Master!$H$2:'Master'!$H$4384,MATCH($A30&amp;BV$2,Master!$A$2:'Master'!$A$4384&amp;Master!$C$2:'Master'!$C$4384,0))</f>
        <v>97</v>
      </c>
      <c r="BW30" s="21" cm="1">
        <f t="array" aca="1" ref="BW30" ca="1">INDEX(Master!$H$2:'Master'!$H$4384,MATCH($A30&amp;BW$2,Master!$A$2:'Master'!$A$4384&amp;Master!$C$2:'Master'!$C$4384,0))</f>
        <v>99</v>
      </c>
      <c r="BX30" s="21" cm="1">
        <f t="array" aca="1" ref="BX30" ca="1">INDEX(Master!$H$2:'Master'!$H$4384,MATCH($A30&amp;BX$2,Master!$A$2:'Master'!$A$4384&amp;Master!$C$2:'Master'!$C$4384,0))</f>
        <v>97</v>
      </c>
      <c r="BY30" s="21" cm="1">
        <f t="array" aca="1" ref="BY30" ca="1">INDEX(Master!$H$2:'Master'!$H$4384,MATCH($A30&amp;BY$2,Master!$A$2:'Master'!$A$4384&amp;Master!$C$2:'Master'!$C$4384,0))</f>
        <v>99</v>
      </c>
      <c r="BZ30" s="21" cm="1">
        <f t="array" aca="1" ref="BZ30" ca="1">INDEX(Master!$H$2:'Master'!$H$4384,MATCH($A30&amp;BZ$2,Master!$A$2:'Master'!$A$4384&amp;Master!$C$2:'Master'!$C$4384,0))</f>
        <v>98</v>
      </c>
      <c r="CA30" s="21" cm="1">
        <f t="array" aca="1" ref="CA30" ca="1">INDEX(Master!$H$2:'Master'!$H$4384,MATCH($A30&amp;CA$2,Master!$A$2:'Master'!$A$4384&amp;Master!$C$2:'Master'!$C$4384,0))</f>
        <v>99</v>
      </c>
      <c r="CB30" s="21" cm="1">
        <f t="array" aca="1" ref="CB30" ca="1">INDEX(Master!$H$2:'Master'!$H$4384,MATCH($A30&amp;CB$2,Master!$A$2:'Master'!$A$4384&amp;Master!$C$2:'Master'!$C$4384,0))</f>
        <v>98</v>
      </c>
      <c r="CC30" s="21" cm="1">
        <f t="array" aca="1" ref="CC30" ca="1">INDEX(Master!$H$2:'Master'!$H$4384,MATCH($A30&amp;CC$2,Master!$A$2:'Master'!$A$4384&amp;Master!$C$2:'Master'!$C$4384,0))</f>
        <v>98</v>
      </c>
      <c r="CD30" s="21" cm="1">
        <f t="array" aca="1" ref="CD30" ca="1">INDEX(Master!$H$2:'Master'!$H$4384,MATCH($A30&amp;CD$2,Master!$A$2:'Master'!$A$4384&amp;Master!$C$2:'Master'!$C$4384,0))</f>
        <v>98</v>
      </c>
      <c r="CE30" s="21" cm="1">
        <f t="array" aca="1" ref="CE30" ca="1">INDEX(Master!$H$2:'Master'!$H$4384,MATCH($A30&amp;CE$2,Master!$A$2:'Master'!$A$4384&amp;Master!$C$2:'Master'!$C$4384,0))</f>
        <v>98</v>
      </c>
      <c r="CF30" s="21" cm="1">
        <f t="array" aca="1" ref="CF30" ca="1">INDEX(Master!$H$2:'Master'!$H$4384,MATCH($A30&amp;CF$2,Master!$A$2:'Master'!$A$4384&amp;Master!$C$2:'Master'!$C$4384,0))</f>
        <v>98</v>
      </c>
      <c r="CG30" s="21" cm="1">
        <f t="array" aca="1" ref="CG30" ca="1">INDEX(Master!$H$2:'Master'!$H$4384,MATCH($A30&amp;CG$2,Master!$A$2:'Master'!$A$4384&amp;Master!$C$2:'Master'!$C$4384,0))</f>
        <v>98</v>
      </c>
      <c r="CH30" s="21" cm="1">
        <f t="array" aca="1" ref="CH30" ca="1">INDEX(Master!$H$2:'Master'!$H$4384,MATCH($A30&amp;CH$2,Master!$A$2:'Master'!$A$4384&amp;Master!$C$2:'Master'!$C$4384,0))</f>
        <v>98</v>
      </c>
      <c r="CI30" s="21" cm="1">
        <f t="array" aca="1" ref="CI30" ca="1">INDEX(Master!$H$2:'Master'!$H$4384,MATCH($A30&amp;CI$2,Master!$A$2:'Master'!$A$4384&amp;Master!$C$2:'Master'!$C$4384,0))</f>
        <v>98</v>
      </c>
      <c r="CJ30" s="21" cm="1">
        <f t="array" aca="1" ref="CJ30" ca="1">INDEX(Master!$H$2:'Master'!$H$4384,MATCH($A30&amp;CJ$2,Master!$A$2:'Master'!$A$4384&amp;Master!$C$2:'Master'!$C$4384,0))</f>
        <v>99</v>
      </c>
      <c r="CK30" s="21" cm="1">
        <f t="array" aca="1" ref="CK30" ca="1">INDEX(Master!$H$2:'Master'!$H$4384,MATCH($A30&amp;CK$2,Master!$A$2:'Master'!$A$4384&amp;Master!$C$2:'Master'!$C$4384,0))</f>
        <v>99</v>
      </c>
      <c r="CL30" s="21" cm="1">
        <f t="array" aca="1" ref="CL30" ca="1">INDEX(Master!$H$2:'Master'!$H$4384,MATCH($A30&amp;CL$2,Master!$A$2:'Master'!$A$4384&amp;Master!$C$2:'Master'!$C$4384,0))</f>
        <v>99</v>
      </c>
      <c r="CM30" s="21" cm="1">
        <f t="array" aca="1" ref="CM30" ca="1">INDEX(Master!$H$2:'Master'!$H$4384,MATCH($A30&amp;CM$2,Master!$A$2:'Master'!$A$4384&amp;Master!$C$2:'Master'!$C$4384,0))</f>
        <v>99</v>
      </c>
      <c r="CN30" s="21" cm="1">
        <f t="array" aca="1" ref="CN30" ca="1">INDEX(Master!$H$2:'Master'!$H$4384,MATCH($A30&amp;CN$2,Master!$A$2:'Master'!$A$4384&amp;Master!$C$2:'Master'!$C$4384,0))</f>
        <v>97</v>
      </c>
      <c r="CO30" s="21" cm="1">
        <f t="array" aca="1" ref="CO30" ca="1">INDEX(Master!$H$2:'Master'!$H$4384,MATCH($A30&amp;CO$2,Master!$A$2:'Master'!$A$4384&amp;Master!$C$2:'Master'!$C$4384,0))</f>
        <v>97</v>
      </c>
      <c r="CP30" s="21" cm="1">
        <f t="array" aca="1" ref="CP30" ca="1">INDEX(Master!$H$2:'Master'!$H$4384,MATCH($A30&amp;CP$2,Master!$A$2:'Master'!$A$4384&amp;Master!$C$2:'Master'!$C$4384,0))</f>
        <v>97</v>
      </c>
      <c r="CQ30" s="21" cm="1">
        <f t="array" aca="1" ref="CQ30" ca="1">INDEX(Master!$H$2:'Master'!$H$4384,MATCH($A30&amp;CQ$2,Master!$A$2:'Master'!$A$4384&amp;Master!$C$2:'Master'!$C$4384,0))</f>
        <v>99</v>
      </c>
      <c r="CR30" s="21" cm="1">
        <f t="array" aca="1" ref="CR30" ca="1">INDEX(Master!$H$2:'Master'!$H$4384,MATCH($A30&amp;CR$2,Master!$A$2:'Master'!$A$4384&amp;Master!$C$2:'Master'!$C$4384,0))</f>
        <v>99</v>
      </c>
      <c r="CS30" s="21" cm="1">
        <f t="array" aca="1" ref="CS30" ca="1">INDEX(Master!$H$2:'Master'!$H$4384,MATCH($A30&amp;CS$2,Master!$A$2:'Master'!$A$4384&amp;Master!$C$2:'Master'!$C$4384,0))</f>
        <v>98</v>
      </c>
    </row>
    <row r="31" spans="1:97">
      <c r="A31" s="22" t="str">
        <f>VLOOKUP(Staff!$A27,Staff!$A$1:A$73,1,FALSE)</f>
        <v>Jack Mooney</v>
      </c>
      <c r="B31" s="21" cm="1">
        <f t="array" aca="1" ref="B31" ca="1">INDEX(Master!$H$2:'Master'!$H$4384,MATCH($A31&amp;B$2,Master!$A$2:'Master'!$A$4384&amp;Master!$C$2:'Master'!$C$4384,0))</f>
        <v>1</v>
      </c>
      <c r="C31" s="21" cm="1">
        <f t="array" aca="1" ref="C31" ca="1">INDEX(Master!$H$2:'Master'!$H$4384,MATCH($A31&amp;C$2,Master!$A$2:'Master'!$A$4384&amp;Master!$C$2:'Master'!$C$4384,0))</f>
        <v>0</v>
      </c>
      <c r="D31" s="21" cm="1">
        <f t="array" aca="1" ref="D31" ca="1">INDEX(Master!$H$2:'Master'!$H$4384,MATCH($A31&amp;D$2,Master!$A$2:'Master'!$A$4384&amp;Master!$C$2:'Master'!$C$4384,0))</f>
        <v>0</v>
      </c>
      <c r="E31" s="21" cm="1">
        <f t="array" aca="1" ref="E31" ca="1">INDEX(Master!$H$2:'Master'!$H$4384,MATCH($A31&amp;E$2,Master!$A$2:'Master'!$A$4384&amp;Master!$C$2:'Master'!$C$4384,0))</f>
        <v>1</v>
      </c>
      <c r="F31" s="21" cm="1">
        <f t="array" aca="1" ref="F31" ca="1">INDEX(Master!$H$2:'Master'!$H$4384,MATCH($A31&amp;F$2,Master!$A$2:'Master'!$A$4384&amp;Master!$C$2:'Master'!$C$4384,0))</f>
        <v>-1</v>
      </c>
      <c r="G31" s="21" cm="1">
        <f t="array" aca="1" ref="G31" ca="1">INDEX(Master!$H$2:'Master'!$H$4384,MATCH($A31&amp;G$2,Master!$A$2:'Master'!$A$4384&amp;Master!$C$2:'Master'!$C$4384,0))</f>
        <v>1</v>
      </c>
      <c r="H31" s="21" cm="1">
        <f t="array" aca="1" ref="H31" ca="1">INDEX(Master!$H$2:'Master'!$H$4384,MATCH($A31&amp;H$2,Master!$A$2:'Master'!$A$4384&amp;Master!$C$2:'Master'!$C$4384,0))</f>
        <v>0</v>
      </c>
      <c r="I31" s="21" cm="1">
        <f t="array" aca="1" ref="I31" ca="1">INDEX(Master!$H$2:'Master'!$H$4384,MATCH($A31&amp;I$2,Master!$A$2:'Master'!$A$4384&amp;Master!$C$2:'Master'!$C$4384,0))</f>
        <v>-1</v>
      </c>
      <c r="J31" s="21" cm="1">
        <f t="array" aca="1" ref="J31" ca="1">INDEX(Master!$H$2:'Master'!$H$4384,MATCH($A31&amp;J$2,Master!$A$2:'Master'!$A$4384&amp;Master!$C$2:'Master'!$C$4384,0))</f>
        <v>0</v>
      </c>
      <c r="K31" s="21" cm="1">
        <f t="array" aca="1" ref="K31" ca="1">INDEX(Master!$H$2:'Master'!$H$4384,MATCH($A31&amp;K$2,Master!$A$2:'Master'!$A$4384&amp;Master!$C$2:'Master'!$C$4384,0))</f>
        <v>-1</v>
      </c>
      <c r="L31" s="21" cm="1">
        <f t="array" aca="1" ref="L31" ca="1">INDEX(Master!$H$2:'Master'!$H$4384,MATCH($A31&amp;L$2,Master!$A$2:'Master'!$A$4384&amp;Master!$C$2:'Master'!$C$4384,0))</f>
        <v>3</v>
      </c>
      <c r="M31" s="21" cm="1">
        <f t="array" aca="1" ref="M31" ca="1">INDEX(Master!$H$2:'Master'!$H$4384,MATCH($A31&amp;M$2,Master!$A$2:'Master'!$A$4384&amp;Master!$C$2:'Master'!$C$4384,0))</f>
        <v>2</v>
      </c>
      <c r="N31" s="21" cm="1">
        <f t="array" aca="1" ref="N31" ca="1">INDEX(Master!$H$2:'Master'!$H$4384,MATCH($A31&amp;N$2,Master!$A$2:'Master'!$A$4384&amp;Master!$C$2:'Master'!$C$4384,0))</f>
        <v>-1</v>
      </c>
      <c r="O31" s="21" cm="1">
        <f t="array" aca="1" ref="O31" ca="1">INDEX(Master!$H$2:'Master'!$H$4384,MATCH($A31&amp;O$2,Master!$A$2:'Master'!$A$4384&amp;Master!$C$2:'Master'!$C$4384,0))</f>
        <v>-1</v>
      </c>
      <c r="P31" s="21" cm="1">
        <f t="array" aca="1" ref="P31" ca="1">INDEX(Master!$H$2:'Master'!$H$4384,MATCH($A31&amp;P$2,Master!$A$2:'Master'!$A$4384&amp;Master!$C$2:'Master'!$C$4384,0))</f>
        <v>0</v>
      </c>
      <c r="Q31" s="21" cm="1">
        <f t="array" aca="1" ref="Q31" ca="1">INDEX(Master!$H$2:'Master'!$H$4384,MATCH($A31&amp;Q$2,Master!$A$2:'Master'!$A$4384&amp;Master!$C$2:'Master'!$C$4384,0))</f>
        <v>0</v>
      </c>
      <c r="R31" s="21" cm="1">
        <f t="array" aca="1" ref="R31" ca="1">INDEX(Master!$H$2:'Master'!$H$4384,MATCH($A31&amp;R$2,Master!$A$2:'Master'!$A$4384&amp;Master!$C$2:'Master'!$C$4384,0))</f>
        <v>-1</v>
      </c>
      <c r="S31" s="21" cm="1">
        <f t="array" aca="1" ref="S31" ca="1">INDEX(Master!$H$2:'Master'!$H$4384,MATCH($A31&amp;S$2,Master!$A$2:'Master'!$A$4384&amp;Master!$C$2:'Master'!$C$4384,0))</f>
        <v>0</v>
      </c>
      <c r="T31" s="21" cm="1">
        <f t="array" aca="1" ref="T31" ca="1">INDEX(Master!$H$2:'Master'!$H$4384,MATCH($A31&amp;T$2,Master!$A$2:'Master'!$A$4384&amp;Master!$C$2:'Master'!$C$4384,0))</f>
        <v>0</v>
      </c>
      <c r="U31" s="21" cm="1">
        <f t="array" aca="1" ref="U31" ca="1">INDEX(Master!$H$2:'Master'!$H$4384,MATCH($A31&amp;U$2,Master!$A$2:'Master'!$A$4384&amp;Master!$C$2:'Master'!$C$4384,0))</f>
        <v>2</v>
      </c>
      <c r="V31" s="21" cm="1">
        <f t="array" aca="1" ref="V31" ca="1">INDEX(Master!$H$2:'Master'!$H$4384,MATCH($A31&amp;V$2,Master!$A$2:'Master'!$A$4384&amp;Master!$C$2:'Master'!$C$4384,0))</f>
        <v>0</v>
      </c>
      <c r="W31" s="21" cm="1">
        <f t="array" aca="1" ref="W31" ca="1">INDEX(Master!$H$2:'Master'!$H$4384,MATCH($A31&amp;W$2,Master!$A$2:'Master'!$A$4384&amp;Master!$C$2:'Master'!$C$4384,0))</f>
        <v>2</v>
      </c>
      <c r="X31" s="21" cm="1">
        <f t="array" aca="1" ref="X31" ca="1">INDEX(Master!$H$2:'Master'!$H$4384,MATCH($A31&amp;X$2,Master!$A$2:'Master'!$A$4384&amp;Master!$C$2:'Master'!$C$4384,0))</f>
        <v>2</v>
      </c>
      <c r="Y31" s="21" cm="1">
        <f t="array" aca="1" ref="Y31" ca="1">INDEX(Master!$H$2:'Master'!$H$4384,MATCH($A31&amp;Y$2,Master!$A$2:'Master'!$A$4384&amp;Master!$C$2:'Master'!$C$4384,0))</f>
        <v>2</v>
      </c>
      <c r="Z31" s="21" cm="1">
        <f t="array" aca="1" ref="Z31" ca="1">INDEX(Master!$H$2:'Master'!$H$4384,MATCH($A31&amp;Z$2,Master!$A$2:'Master'!$A$4384&amp;Master!$C$2:'Master'!$C$4384,0))</f>
        <v>2</v>
      </c>
      <c r="AA31" s="21" cm="1">
        <f t="array" aca="1" ref="AA31" ca="1">INDEX(Master!$H$2:'Master'!$H$4384,MATCH($A31&amp;AA$2,Master!$A$2:'Master'!$A$4384&amp;Master!$C$2:'Master'!$C$4384,0))</f>
        <v>2</v>
      </c>
      <c r="AB31" s="21" cm="1">
        <f t="array" aca="1" ref="AB31" ca="1">INDEX(Master!$H$2:'Master'!$H$4384,MATCH($A31&amp;AB$2,Master!$A$2:'Master'!$A$4384&amp;Master!$C$2:'Master'!$C$4384,0))</f>
        <v>2</v>
      </c>
      <c r="AC31" s="21" cm="1">
        <f t="array" aca="1" ref="AC31" ca="1">INDEX(Master!$H$2:'Master'!$H$4384,MATCH($A31&amp;AC$2,Master!$A$2:'Master'!$A$4384&amp;Master!$C$2:'Master'!$C$4384,0))</f>
        <v>0</v>
      </c>
      <c r="AD31" s="21" cm="1">
        <f t="array" aca="1" ref="AD31" ca="1">INDEX(Master!$H$2:'Master'!$H$4384,MATCH($A31&amp;AD$2,Master!$A$2:'Master'!$A$4384&amp;Master!$C$2:'Master'!$C$4384,0))</f>
        <v>-2</v>
      </c>
      <c r="AE31" s="21" cm="1">
        <f t="array" aca="1" ref="AE31" ca="1">INDEX(Master!$H$2:'Master'!$H$4384,MATCH($A31&amp;AE$2,Master!$A$2:'Master'!$A$4384&amp;Master!$C$2:'Master'!$C$4384,0))</f>
        <v>1</v>
      </c>
      <c r="AF31" s="21" cm="1">
        <f t="array" aca="1" ref="AF31" ca="1">INDEX(Master!$H$2:'Master'!$H$4384,MATCH($A31&amp;AF$2,Master!$A$2:'Master'!$A$4384&amp;Master!$C$2:'Master'!$C$4384,0))</f>
        <v>0</v>
      </c>
      <c r="AG31" s="21" cm="1">
        <f t="array" aca="1" ref="AG31" ca="1">INDEX(Master!$H$2:'Master'!$H$4384,MATCH($A31&amp;AG$2,Master!$A$2:'Master'!$A$4384&amp;Master!$C$2:'Master'!$C$4384,0))</f>
        <v>0</v>
      </c>
      <c r="AH31" s="21" cm="1">
        <f t="array" aca="1" ref="AH31" ca="1">INDEX(Master!$H$2:'Master'!$H$4384,MATCH($A31&amp;AH$2,Master!$A$2:'Master'!$A$4384&amp;Master!$C$2:'Master'!$C$4384,0))</f>
        <v>-1</v>
      </c>
      <c r="AI31" s="21" cm="1">
        <f t="array" aca="1" ref="AI31" ca="1">INDEX(Master!$H$2:'Master'!$H$4384,MATCH($A31&amp;AI$2,Master!$A$2:'Master'!$A$4384&amp;Master!$C$2:'Master'!$C$4384,0))</f>
        <v>0</v>
      </c>
      <c r="AJ31" s="21" cm="1">
        <f t="array" aca="1" ref="AJ31" ca="1">INDEX(Master!$H$2:'Master'!$H$4384,MATCH($A31&amp;AJ$2,Master!$A$2:'Master'!$A$4384&amp;Master!$C$2:'Master'!$C$4384,0))</f>
        <v>1</v>
      </c>
      <c r="AK31" s="21" cm="1">
        <f t="array" aca="1" ref="AK31" ca="1">INDEX(Master!$H$2:'Master'!$H$4384,MATCH($A31&amp;AK$2,Master!$A$2:'Master'!$A$4384&amp;Master!$C$2:'Master'!$C$4384,0))</f>
        <v>-1</v>
      </c>
      <c r="AL31" s="21" cm="1">
        <f t="array" aca="1" ref="AL31" ca="1">INDEX(Master!$H$2:'Master'!$H$4384,MATCH($A31&amp;AL$2,Master!$A$2:'Master'!$A$4384&amp;Master!$C$2:'Master'!$C$4384,0))</f>
        <v>0</v>
      </c>
      <c r="AM31" s="21" cm="1">
        <f t="array" aca="1" ref="AM31" ca="1">INDEX(Master!$H$2:'Master'!$H$4384,MATCH($A31&amp;AM$2,Master!$A$2:'Master'!$A$4384&amp;Master!$C$2:'Master'!$C$4384,0))</f>
        <v>0</v>
      </c>
      <c r="AN31" s="21" cm="1">
        <f t="array" aca="1" ref="AN31" ca="1">INDEX(Master!$H$2:'Master'!$H$4384,MATCH($A31&amp;AN$2,Master!$A$2:'Master'!$A$4384&amp;Master!$C$2:'Master'!$C$4384,0))</f>
        <v>3</v>
      </c>
      <c r="AO31" s="21" cm="1">
        <f t="array" aca="1" ref="AO31" ca="1">INDEX(Master!$H$2:'Master'!$H$4384,MATCH($A31&amp;AO$2,Master!$A$2:'Master'!$A$4384&amp;Master!$C$2:'Master'!$C$4384,0))</f>
        <v>1</v>
      </c>
      <c r="AP31" s="21" cm="1">
        <f t="array" aca="1" ref="AP31" ca="1">INDEX(Master!$H$2:'Master'!$H$4384,MATCH($A31&amp;AP$2,Master!$A$2:'Master'!$A$4384&amp;Master!$C$2:'Master'!$C$4384,0))</f>
        <v>0</v>
      </c>
      <c r="AQ31" s="21" cm="1">
        <f t="array" aca="1" ref="AQ31" ca="1">INDEX(Master!$H$2:'Master'!$H$4384,MATCH($A31&amp;AQ$2,Master!$A$2:'Master'!$A$4384&amp;Master!$C$2:'Master'!$C$4384,0))</f>
        <v>2</v>
      </c>
      <c r="AR31" s="21" cm="1">
        <f t="array" aca="1" ref="AR31" ca="1">INDEX(Master!$H$2:'Master'!$H$4384,MATCH($A31&amp;AR$2,Master!$A$2:'Master'!$A$4384&amp;Master!$C$2:'Master'!$C$4384,0))</f>
        <v>1</v>
      </c>
      <c r="AS31" s="21" cm="1">
        <f t="array" aca="1" ref="AS31" ca="1">INDEX(Master!$H$2:'Master'!$H$4384,MATCH($A31&amp;AS$2,Master!$A$2:'Master'!$A$4384&amp;Master!$C$2:'Master'!$C$4384,0))</f>
        <v>1</v>
      </c>
      <c r="AT31" s="21" cm="1">
        <f t="array" aca="1" ref="AT31" ca="1">INDEX(Master!$H$2:'Master'!$H$4384,MATCH($A31&amp;AT$2,Master!$A$2:'Master'!$A$4384&amp;Master!$C$2:'Master'!$C$4384,0))</f>
        <v>1</v>
      </c>
      <c r="AU31" s="21" cm="1">
        <f t="array" aca="1" ref="AU31" ca="1">INDEX(Master!$H$2:'Master'!$H$4384,MATCH($A31&amp;AU$2,Master!$A$2:'Master'!$A$4384&amp;Master!$C$2:'Master'!$C$4384,0))</f>
        <v>1</v>
      </c>
      <c r="AV31" s="21" cm="1">
        <f t="array" aca="1" ref="AV31" ca="1">INDEX(Master!$H$2:'Master'!$H$4384,MATCH($A31&amp;AV$2,Master!$A$2:'Master'!$A$4384&amp;Master!$C$2:'Master'!$C$4384,0))</f>
        <v>1</v>
      </c>
      <c r="AW31" s="21" cm="1">
        <f t="array" aca="1" ref="AW31" ca="1">INDEX(Master!$H$2:'Master'!$H$4384,MATCH($A31&amp;AW$2,Master!$A$2:'Master'!$A$4384&amp;Master!$C$2:'Master'!$C$4384,0))</f>
        <v>1</v>
      </c>
      <c r="AX31" s="21" cm="1">
        <f t="array" aca="1" ref="AX31" ca="1">INDEX(Master!$H$2:'Master'!$H$4384,MATCH($A31&amp;AX$2,Master!$A$2:'Master'!$A$4384&amp;Master!$C$2:'Master'!$C$4384,0))</f>
        <v>1</v>
      </c>
      <c r="AY31" s="21" cm="1">
        <f t="array" aca="1" ref="AY31" ca="1">INDEX(Master!$H$2:'Master'!$H$4384,MATCH($A31&amp;AY$2,Master!$A$2:'Master'!$A$4384&amp;Master!$C$2:'Master'!$C$4384,0))</f>
        <v>0</v>
      </c>
      <c r="AZ31" s="21" cm="1">
        <f t="array" aca="1" ref="AZ31" ca="1">INDEX(Master!$H$2:'Master'!$H$4384,MATCH($A31&amp;AZ$2,Master!$A$2:'Master'!$A$4384&amp;Master!$C$2:'Master'!$C$4384,0))</f>
        <v>0</v>
      </c>
      <c r="BA31" s="21" cm="1">
        <f t="array" aca="1" ref="BA31" ca="1">INDEX(Master!$H$2:'Master'!$H$4384,MATCH($A31&amp;BA$2,Master!$A$2:'Master'!$A$4384&amp;Master!$C$2:'Master'!$C$4384,0))</f>
        <v>-1</v>
      </c>
      <c r="BB31" s="21" cm="1">
        <f t="array" aca="1" ref="BB31" ca="1">INDEX(Master!$H$2:'Master'!$H$4384,MATCH($A31&amp;BB$2,Master!$A$2:'Master'!$A$4384&amp;Master!$C$2:'Master'!$C$4384,0))</f>
        <v>0</v>
      </c>
      <c r="BC31" s="21" cm="1">
        <f t="array" aca="1" ref="BC31" ca="1">INDEX(Master!$H$2:'Master'!$H$4384,MATCH($A31&amp;BC$2,Master!$A$2:'Master'!$A$4384&amp;Master!$C$2:'Master'!$C$4384,0))</f>
        <v>0</v>
      </c>
      <c r="BD31" s="21" cm="1">
        <f t="array" aca="1" ref="BD31" ca="1">INDEX(Master!$H$2:'Master'!$H$4384,MATCH($A31&amp;BD$2,Master!$A$2:'Master'!$A$4384&amp;Master!$C$2:'Master'!$C$4384,0))</f>
        <v>0</v>
      </c>
      <c r="BE31" s="21" cm="1">
        <f t="array" aca="1" ref="BE31" ca="1">INDEX(Master!$H$2:'Master'!$H$4384,MATCH($A31&amp;BE$2,Master!$A$2:'Master'!$A$4384&amp;Master!$C$2:'Master'!$C$4384,0))</f>
        <v>0</v>
      </c>
      <c r="BF31" s="21" cm="1">
        <f t="array" aca="1" ref="BF31" ca="1">INDEX(Master!$H$2:'Master'!$H$4384,MATCH($A31&amp;BF$2,Master!$A$2:'Master'!$A$4384&amp;Master!$C$2:'Master'!$C$4384,0))</f>
        <v>-2</v>
      </c>
      <c r="BG31" s="21" cm="1">
        <f t="array" aca="1" ref="BG31" ca="1">INDEX(Master!$H$2:'Master'!$H$4384,MATCH($A31&amp;BG$2,Master!$A$2:'Master'!$A$4384&amp;Master!$C$2:'Master'!$C$4384,0))</f>
        <v>0</v>
      </c>
      <c r="BH31" s="21" cm="1">
        <f t="array" aca="1" ref="BH31" ca="1">INDEX(Master!$H$2:'Master'!$H$4384,MATCH($A31&amp;BH$2,Master!$A$2:'Master'!$A$4384&amp;Master!$C$2:'Master'!$C$4384,0))</f>
        <v>1</v>
      </c>
      <c r="BI31" s="21" cm="1">
        <f t="array" aca="1" ref="BI31" ca="1">INDEX(Master!$H$2:'Master'!$H$4384,MATCH($A31&amp;BI$2,Master!$A$2:'Master'!$A$4384&amp;Master!$C$2:'Master'!$C$4384,0))</f>
        <v>-1</v>
      </c>
      <c r="BJ31" s="21" cm="1">
        <f t="array" aca="1" ref="BJ31" ca="1">INDEX(Master!$H$2:'Master'!$H$4384,MATCH($A31&amp;BJ$2,Master!$A$2:'Master'!$A$4384&amp;Master!$C$2:'Master'!$C$4384,0))</f>
        <v>-1</v>
      </c>
      <c r="BK31" s="21" cm="1">
        <f t="array" aca="1" ref="BK31" ca="1">INDEX(Master!$H$2:'Master'!$H$4384,MATCH($A31&amp;BK$2,Master!$A$2:'Master'!$A$4384&amp;Master!$C$2:'Master'!$C$4384,0))</f>
        <v>0</v>
      </c>
      <c r="BL31" s="21" cm="1">
        <f t="array" aca="1" ref="BL31" ca="1">INDEX(Master!$H$2:'Master'!$H$4384,MATCH($A31&amp;BL$2,Master!$A$2:'Master'!$A$4384&amp;Master!$C$2:'Master'!$C$4384,0))</f>
        <v>0</v>
      </c>
      <c r="BM31" s="21" cm="1">
        <f t="array" aca="1" ref="BM31" ca="1">INDEX(Master!$H$2:'Master'!$H$4384,MATCH($A31&amp;BM$2,Master!$A$2:'Master'!$A$4384&amp;Master!$C$2:'Master'!$C$4384,0))</f>
        <v>1</v>
      </c>
      <c r="BN31" s="21" cm="1">
        <f t="array" aca="1" ref="BN31" ca="1">INDEX(Master!$H$2:'Master'!$H$4384,MATCH($A31&amp;BN$2,Master!$A$2:'Master'!$A$4384&amp;Master!$C$2:'Master'!$C$4384,0))</f>
        <v>0</v>
      </c>
      <c r="BO31" s="21" cm="1">
        <f t="array" aca="1" ref="BO31" ca="1">INDEX(Master!$H$2:'Master'!$H$4384,MATCH($A31&amp;BO$2,Master!$A$2:'Master'!$A$4384&amp;Master!$C$2:'Master'!$C$4384,0))</f>
        <v>1</v>
      </c>
      <c r="BP31" s="21" cm="1">
        <f t="array" aca="1" ref="BP31" ca="1">INDEX(Master!$H$2:'Master'!$H$4384,MATCH($A31&amp;BP$2,Master!$A$2:'Master'!$A$4384&amp;Master!$C$2:'Master'!$C$4384,0))</f>
        <v>1</v>
      </c>
      <c r="BQ31" s="21" cm="1">
        <f t="array" aca="1" ref="BQ31" ca="1">INDEX(Master!$H$2:'Master'!$H$4384,MATCH($A31&amp;BQ$2,Master!$A$2:'Master'!$A$4384&amp;Master!$C$2:'Master'!$C$4384,0))</f>
        <v>0</v>
      </c>
      <c r="BR31" s="21" cm="1">
        <f t="array" aca="1" ref="BR31" ca="1">INDEX(Master!$H$2:'Master'!$H$4384,MATCH($A31&amp;BR$2,Master!$A$2:'Master'!$A$4384&amp;Master!$C$2:'Master'!$C$4384,0))</f>
        <v>2</v>
      </c>
      <c r="BS31" s="21" cm="1">
        <f t="array" aca="1" ref="BS31" ca="1">INDEX(Master!$H$2:'Master'!$H$4384,MATCH($A31&amp;BS$2,Master!$A$2:'Master'!$A$4384&amp;Master!$C$2:'Master'!$C$4384,0))</f>
        <v>0</v>
      </c>
      <c r="BT31" s="21" cm="1">
        <f t="array" aca="1" ref="BT31" ca="1">INDEX(Master!$H$2:'Master'!$H$4384,MATCH($A31&amp;BT$2,Master!$A$2:'Master'!$A$4384&amp;Master!$C$2:'Master'!$C$4384,0))</f>
        <v>0</v>
      </c>
      <c r="BU31" s="21" cm="1">
        <f t="array" aca="1" ref="BU31" ca="1">INDEX(Master!$H$2:'Master'!$H$4384,MATCH($A31&amp;BU$2,Master!$A$2:'Master'!$A$4384&amp;Master!$C$2:'Master'!$C$4384,0))</f>
        <v>0</v>
      </c>
      <c r="BV31" s="21" cm="1">
        <f t="array" aca="1" ref="BV31" ca="1">INDEX(Master!$H$2:'Master'!$H$4384,MATCH($A31&amp;BV$2,Master!$A$2:'Master'!$A$4384&amp;Master!$C$2:'Master'!$C$4384,0))</f>
        <v>-1</v>
      </c>
      <c r="BW31" s="21" cm="1">
        <f t="array" aca="1" ref="BW31" ca="1">INDEX(Master!$H$2:'Master'!$H$4384,MATCH($A31&amp;BW$2,Master!$A$2:'Master'!$A$4384&amp;Master!$C$2:'Master'!$C$4384,0))</f>
        <v>-2</v>
      </c>
      <c r="BX31" s="21" cm="1">
        <f t="array" aca="1" ref="BX31" ca="1">INDEX(Master!$H$2:'Master'!$H$4384,MATCH($A31&amp;BX$2,Master!$A$2:'Master'!$A$4384&amp;Master!$C$2:'Master'!$C$4384,0))</f>
        <v>0</v>
      </c>
      <c r="BY31" s="21" cm="1">
        <f t="array" aca="1" ref="BY31" ca="1">INDEX(Master!$H$2:'Master'!$H$4384,MATCH($A31&amp;BY$2,Master!$A$2:'Master'!$A$4384&amp;Master!$C$2:'Master'!$C$4384,0))</f>
        <v>1</v>
      </c>
      <c r="BZ31" s="21" cm="1">
        <f t="array" aca="1" ref="BZ31" ca="1">INDEX(Master!$H$2:'Master'!$H$4384,MATCH($A31&amp;BZ$2,Master!$A$2:'Master'!$A$4384&amp;Master!$C$2:'Master'!$C$4384,0))</f>
        <v>-1</v>
      </c>
      <c r="CA31" s="21" cm="1">
        <f t="array" aca="1" ref="CA31" ca="1">INDEX(Master!$H$2:'Master'!$H$4384,MATCH($A31&amp;CA$2,Master!$A$2:'Master'!$A$4384&amp;Master!$C$2:'Master'!$C$4384,0))</f>
        <v>-1</v>
      </c>
      <c r="CB31" s="21" cm="1">
        <f t="array" aca="1" ref="CB31" ca="1">INDEX(Master!$H$2:'Master'!$H$4384,MATCH($A31&amp;CB$2,Master!$A$2:'Master'!$A$4384&amp;Master!$C$2:'Master'!$C$4384,0))</f>
        <v>0</v>
      </c>
      <c r="CC31" s="21" cm="1">
        <f t="array" aca="1" ref="CC31" ca="1">INDEX(Master!$H$2:'Master'!$H$4384,MATCH($A31&amp;CC$2,Master!$A$2:'Master'!$A$4384&amp;Master!$C$2:'Master'!$C$4384,0))</f>
        <v>0</v>
      </c>
      <c r="CD31" s="21" cm="1">
        <f t="array" aca="1" ref="CD31" ca="1">INDEX(Master!$H$2:'Master'!$H$4384,MATCH($A31&amp;CD$2,Master!$A$2:'Master'!$A$4384&amp;Master!$C$2:'Master'!$C$4384,0))</f>
        <v>1</v>
      </c>
      <c r="CE31" s="21" cm="1">
        <f t="array" aca="1" ref="CE31" ca="1">INDEX(Master!$H$2:'Master'!$H$4384,MATCH($A31&amp;CE$2,Master!$A$2:'Master'!$A$4384&amp;Master!$C$2:'Master'!$C$4384,0))</f>
        <v>-1</v>
      </c>
      <c r="CF31" s="21" cm="1">
        <f t="array" aca="1" ref="CF31" ca="1">INDEX(Master!$H$2:'Master'!$H$4384,MATCH($A31&amp;CF$2,Master!$A$2:'Master'!$A$4384&amp;Master!$C$2:'Master'!$C$4384,0))</f>
        <v>-3</v>
      </c>
      <c r="CG31" s="21" cm="1">
        <f t="array" aca="1" ref="CG31" ca="1">INDEX(Master!$H$2:'Master'!$H$4384,MATCH($A31&amp;CG$2,Master!$A$2:'Master'!$A$4384&amp;Master!$C$2:'Master'!$C$4384,0))</f>
        <v>-1</v>
      </c>
      <c r="CH31" s="21" cm="1">
        <f t="array" aca="1" ref="CH31" ca="1">INDEX(Master!$H$2:'Master'!$H$4384,MATCH($A31&amp;CH$2,Master!$A$2:'Master'!$A$4384&amp;Master!$C$2:'Master'!$C$4384,0))</f>
        <v>-1</v>
      </c>
      <c r="CI31" s="21" cm="1">
        <f t="array" aca="1" ref="CI31" ca="1">INDEX(Master!$H$2:'Master'!$H$4384,MATCH($A31&amp;CI$2,Master!$A$2:'Master'!$A$4384&amp;Master!$C$2:'Master'!$C$4384,0))</f>
        <v>-1</v>
      </c>
      <c r="CJ31" s="21" cm="1">
        <f t="array" aca="1" ref="CJ31" ca="1">INDEX(Master!$H$2:'Master'!$H$4384,MATCH($A31&amp;CJ$2,Master!$A$2:'Master'!$A$4384&amp;Master!$C$2:'Master'!$C$4384,0))</f>
        <v>-3</v>
      </c>
      <c r="CK31" s="21" cm="1">
        <f t="array" aca="1" ref="CK31" ca="1">INDEX(Master!$H$2:'Master'!$H$4384,MATCH($A31&amp;CK$2,Master!$A$2:'Master'!$A$4384&amp;Master!$C$2:'Master'!$C$4384,0))</f>
        <v>0</v>
      </c>
      <c r="CL31" s="21" cm="1">
        <f t="array" aca="1" ref="CL31" ca="1">INDEX(Master!$H$2:'Master'!$H$4384,MATCH($A31&amp;CL$2,Master!$A$2:'Master'!$A$4384&amp;Master!$C$2:'Master'!$C$4384,0))</f>
        <v>3</v>
      </c>
      <c r="CM31" s="21" cm="1">
        <f t="array" aca="1" ref="CM31" ca="1">INDEX(Master!$H$2:'Master'!$H$4384,MATCH($A31&amp;CM$2,Master!$A$2:'Master'!$A$4384&amp;Master!$C$2:'Master'!$C$4384,0))</f>
        <v>1</v>
      </c>
      <c r="CN31" s="21" cm="1">
        <f t="array" aca="1" ref="CN31" ca="1">INDEX(Master!$H$2:'Master'!$H$4384,MATCH($A31&amp;CN$2,Master!$A$2:'Master'!$A$4384&amp;Master!$C$2:'Master'!$C$4384,0))</f>
        <v>0</v>
      </c>
      <c r="CO31" s="21" cm="1">
        <f t="array" aca="1" ref="CO31" ca="1">INDEX(Master!$H$2:'Master'!$H$4384,MATCH($A31&amp;CO$2,Master!$A$2:'Master'!$A$4384&amp;Master!$C$2:'Master'!$C$4384,0))</f>
        <v>2</v>
      </c>
      <c r="CP31" s="21" cm="1">
        <f t="array" aca="1" ref="CP31" ca="1">INDEX(Master!$H$2:'Master'!$H$4384,MATCH($A31&amp;CP$2,Master!$A$2:'Master'!$A$4384&amp;Master!$C$2:'Master'!$C$4384,0))</f>
        <v>2</v>
      </c>
      <c r="CQ31" s="21" cm="1">
        <f t="array" aca="1" ref="CQ31" ca="1">INDEX(Master!$H$2:'Master'!$H$4384,MATCH($A31&amp;CQ$2,Master!$A$2:'Master'!$A$4384&amp;Master!$C$2:'Master'!$C$4384,0))</f>
        <v>2</v>
      </c>
      <c r="CR31" s="21" cm="1">
        <f t="array" aca="1" ref="CR31" ca="1">INDEX(Master!$H$2:'Master'!$H$4384,MATCH($A31&amp;CR$2,Master!$A$2:'Master'!$A$4384&amp;Master!$C$2:'Master'!$C$4384,0))</f>
        <v>0</v>
      </c>
      <c r="CS31" s="21" cm="1">
        <f t="array" aca="1" ref="CS31" ca="1">INDEX(Master!$H$2:'Master'!$H$4384,MATCH($A31&amp;CS$2,Master!$A$2:'Master'!$A$4384&amp;Master!$C$2:'Master'!$C$4384,0))</f>
        <v>0</v>
      </c>
    </row>
    <row r="32" spans="1:97">
      <c r="A32" s="22" t="str">
        <f>VLOOKUP(Staff!$A28,Staff!$A$1:A$73,1,FALSE)</f>
        <v>Sunny Khan</v>
      </c>
      <c r="B32" s="21" cm="1">
        <f t="array" aca="1" ref="B32" ca="1">INDEX(Master!$H$2:'Master'!$H$4384,MATCH($A32&amp;B$2,Master!$A$2:'Master'!$A$4384&amp;Master!$C$2:'Master'!$C$4384,0))</f>
        <v>-2</v>
      </c>
      <c r="C32" s="21" cm="1">
        <f t="array" aca="1" ref="C32" ca="1">INDEX(Master!$H$2:'Master'!$H$4384,MATCH($A32&amp;C$2,Master!$A$2:'Master'!$A$4384&amp;Master!$C$2:'Master'!$C$4384,0))</f>
        <v>-1</v>
      </c>
      <c r="D32" s="21" cm="1">
        <f t="array" aca="1" ref="D32" ca="1">INDEX(Master!$H$2:'Master'!$H$4384,MATCH($A32&amp;D$2,Master!$A$2:'Master'!$A$4384&amp;Master!$C$2:'Master'!$C$4384,0))</f>
        <v>0</v>
      </c>
      <c r="E32" s="21" cm="1">
        <f t="array" aca="1" ref="E32" ca="1">INDEX(Master!$H$2:'Master'!$H$4384,MATCH($A32&amp;E$2,Master!$A$2:'Master'!$A$4384&amp;Master!$C$2:'Master'!$C$4384,0))</f>
        <v>-2</v>
      </c>
      <c r="F32" s="21" cm="1">
        <f t="array" aca="1" ref="F32" ca="1">INDEX(Master!$H$2:'Master'!$H$4384,MATCH($A32&amp;F$2,Master!$A$2:'Master'!$A$4384&amp;Master!$C$2:'Master'!$C$4384,0))</f>
        <v>0</v>
      </c>
      <c r="G32" s="21" cm="1">
        <f t="array" aca="1" ref="G32" ca="1">INDEX(Master!$H$2:'Master'!$H$4384,MATCH($A32&amp;G$2,Master!$A$2:'Master'!$A$4384&amp;Master!$C$2:'Master'!$C$4384,0))</f>
        <v>-1</v>
      </c>
      <c r="H32" s="21" cm="1">
        <f t="array" aca="1" ref="H32" ca="1">INDEX(Master!$H$2:'Master'!$H$4384,MATCH($A32&amp;H$2,Master!$A$2:'Master'!$A$4384&amp;Master!$C$2:'Master'!$C$4384,0))</f>
        <v>-2</v>
      </c>
      <c r="I32" s="21" cm="1">
        <f t="array" aca="1" ref="I32" ca="1">INDEX(Master!$H$2:'Master'!$H$4384,MATCH($A32&amp;I$2,Master!$A$2:'Master'!$A$4384&amp;Master!$C$2:'Master'!$C$4384,0))</f>
        <v>0</v>
      </c>
      <c r="J32" s="21" cm="1">
        <f t="array" aca="1" ref="J32" ca="1">INDEX(Master!$H$2:'Master'!$H$4384,MATCH($A32&amp;J$2,Master!$A$2:'Master'!$A$4384&amp;Master!$C$2:'Master'!$C$4384,0))</f>
        <v>-2</v>
      </c>
      <c r="K32" s="21" cm="1">
        <f t="array" aca="1" ref="K32" ca="1">INDEX(Master!$H$2:'Master'!$H$4384,MATCH($A32&amp;K$2,Master!$A$2:'Master'!$A$4384&amp;Master!$C$2:'Master'!$C$4384,0))</f>
        <v>-2</v>
      </c>
      <c r="L32" s="21" cm="1">
        <f t="array" aca="1" ref="L32" ca="1">INDEX(Master!$H$2:'Master'!$H$4384,MATCH($A32&amp;L$2,Master!$A$2:'Master'!$A$4384&amp;Master!$C$2:'Master'!$C$4384,0))</f>
        <v>-2</v>
      </c>
      <c r="M32" s="21" cm="1">
        <f t="array" aca="1" ref="M32" ca="1">INDEX(Master!$H$2:'Master'!$H$4384,MATCH($A32&amp;M$2,Master!$A$2:'Master'!$A$4384&amp;Master!$C$2:'Master'!$C$4384,0))</f>
        <v>-2</v>
      </c>
      <c r="N32" s="21" cm="1">
        <f t="array" aca="1" ref="N32" ca="1">INDEX(Master!$H$2:'Master'!$H$4384,MATCH($A32&amp;N$2,Master!$A$2:'Master'!$A$4384&amp;Master!$C$2:'Master'!$C$4384,0))</f>
        <v>-2</v>
      </c>
      <c r="O32" s="21" cm="1">
        <f t="array" aca="1" ref="O32" ca="1">INDEX(Master!$H$2:'Master'!$H$4384,MATCH($A32&amp;O$2,Master!$A$2:'Master'!$A$4384&amp;Master!$C$2:'Master'!$C$4384,0))</f>
        <v>-2</v>
      </c>
      <c r="P32" s="21" cm="1">
        <f t="array" aca="1" ref="P32" ca="1">INDEX(Master!$H$2:'Master'!$H$4384,MATCH($A32&amp;P$2,Master!$A$2:'Master'!$A$4384&amp;Master!$C$2:'Master'!$C$4384,0))</f>
        <v>-1</v>
      </c>
      <c r="Q32" s="21" cm="1">
        <f t="array" aca="1" ref="Q32" ca="1">INDEX(Master!$H$2:'Master'!$H$4384,MATCH($A32&amp;Q$2,Master!$A$2:'Master'!$A$4384&amp;Master!$C$2:'Master'!$C$4384,0))</f>
        <v>-1</v>
      </c>
      <c r="R32" s="21" cm="1">
        <f t="array" aca="1" ref="R32" ca="1">INDEX(Master!$H$2:'Master'!$H$4384,MATCH($A32&amp;R$2,Master!$A$2:'Master'!$A$4384&amp;Master!$C$2:'Master'!$C$4384,0))</f>
        <v>-2</v>
      </c>
      <c r="S32" s="21" cm="1">
        <f t="array" aca="1" ref="S32" ca="1">INDEX(Master!$H$2:'Master'!$H$4384,MATCH($A32&amp;S$2,Master!$A$2:'Master'!$A$4384&amp;Master!$C$2:'Master'!$C$4384,0))</f>
        <v>-2</v>
      </c>
      <c r="T32" s="21" cm="1">
        <f t="array" aca="1" ref="T32" ca="1">INDEX(Master!$H$2:'Master'!$H$4384,MATCH($A32&amp;T$2,Master!$A$2:'Master'!$A$4384&amp;Master!$C$2:'Master'!$C$4384,0))</f>
        <v>-2</v>
      </c>
      <c r="U32" s="21" cm="1">
        <f t="array" aca="1" ref="U32" ca="1">INDEX(Master!$H$2:'Master'!$H$4384,MATCH($A32&amp;U$2,Master!$A$2:'Master'!$A$4384&amp;Master!$C$2:'Master'!$C$4384,0))</f>
        <v>-1</v>
      </c>
      <c r="V32" s="21" cm="1">
        <f t="array" aca="1" ref="V32" ca="1">INDEX(Master!$H$2:'Master'!$H$4384,MATCH($A32&amp;V$2,Master!$A$2:'Master'!$A$4384&amp;Master!$C$2:'Master'!$C$4384,0))</f>
        <v>0</v>
      </c>
      <c r="W32" s="21" cm="1">
        <f t="array" aca="1" ref="W32" ca="1">INDEX(Master!$H$2:'Master'!$H$4384,MATCH($A32&amp;W$2,Master!$A$2:'Master'!$A$4384&amp;Master!$C$2:'Master'!$C$4384,0))</f>
        <v>2</v>
      </c>
      <c r="X32" s="21" cm="1">
        <f t="array" aca="1" ref="X32" ca="1">INDEX(Master!$H$2:'Master'!$H$4384,MATCH($A32&amp;X$2,Master!$A$2:'Master'!$A$4384&amp;Master!$C$2:'Master'!$C$4384,0))</f>
        <v>2</v>
      </c>
      <c r="Y32" s="21" cm="1">
        <f t="array" aca="1" ref="Y32" ca="1">INDEX(Master!$H$2:'Master'!$H$4384,MATCH($A32&amp;Y$2,Master!$A$2:'Master'!$A$4384&amp;Master!$C$2:'Master'!$C$4384,0))</f>
        <v>1</v>
      </c>
      <c r="Z32" s="21" cm="1">
        <f t="array" aca="1" ref="Z32" ca="1">INDEX(Master!$H$2:'Master'!$H$4384,MATCH($A32&amp;Z$2,Master!$A$2:'Master'!$A$4384&amp;Master!$C$2:'Master'!$C$4384,0))</f>
        <v>1</v>
      </c>
      <c r="AA32" s="21" cm="1">
        <f t="array" aca="1" ref="AA32" ca="1">INDEX(Master!$H$2:'Master'!$H$4384,MATCH($A32&amp;AA$2,Master!$A$2:'Master'!$A$4384&amp;Master!$C$2:'Master'!$C$4384,0))</f>
        <v>-1</v>
      </c>
      <c r="AB32" s="21" cm="1">
        <f t="array" aca="1" ref="AB32" ca="1">INDEX(Master!$H$2:'Master'!$H$4384,MATCH($A32&amp;AB$2,Master!$A$2:'Master'!$A$4384&amp;Master!$C$2:'Master'!$C$4384,0))</f>
        <v>1</v>
      </c>
      <c r="AC32" s="21" cm="1">
        <f t="array" aca="1" ref="AC32" ca="1">INDEX(Master!$H$2:'Master'!$H$4384,MATCH($A32&amp;AC$2,Master!$A$2:'Master'!$A$4384&amp;Master!$C$2:'Master'!$C$4384,0))</f>
        <v>3</v>
      </c>
      <c r="AD32" s="21" cm="1">
        <f t="array" aca="1" ref="AD32" ca="1">INDEX(Master!$H$2:'Master'!$H$4384,MATCH($A32&amp;AD$2,Master!$A$2:'Master'!$A$4384&amp;Master!$C$2:'Master'!$C$4384,0))</f>
        <v>2</v>
      </c>
      <c r="AE32" s="21" cm="1">
        <f t="array" aca="1" ref="AE32" ca="1">INDEX(Master!$H$2:'Master'!$H$4384,MATCH($A32&amp;AE$2,Master!$A$2:'Master'!$A$4384&amp;Master!$C$2:'Master'!$C$4384,0))</f>
        <v>0</v>
      </c>
      <c r="AF32" s="21" cm="1">
        <f t="array" aca="1" ref="AF32" ca="1">INDEX(Master!$H$2:'Master'!$H$4384,MATCH($A32&amp;AF$2,Master!$A$2:'Master'!$A$4384&amp;Master!$C$2:'Master'!$C$4384,0))</f>
        <v>1</v>
      </c>
      <c r="AG32" s="21" cm="1">
        <f t="array" aca="1" ref="AG32" ca="1">INDEX(Master!$H$2:'Master'!$H$4384,MATCH($A32&amp;AG$2,Master!$A$2:'Master'!$A$4384&amp;Master!$C$2:'Master'!$C$4384,0))</f>
        <v>-1</v>
      </c>
      <c r="AH32" s="21" cm="1">
        <f t="array" aca="1" ref="AH32" ca="1">INDEX(Master!$H$2:'Master'!$H$4384,MATCH($A32&amp;AH$2,Master!$A$2:'Master'!$A$4384&amp;Master!$C$2:'Master'!$C$4384,0))</f>
        <v>1</v>
      </c>
      <c r="AI32" s="21" cm="1">
        <f t="array" aca="1" ref="AI32" ca="1">INDEX(Master!$H$2:'Master'!$H$4384,MATCH($A32&amp;AI$2,Master!$A$2:'Master'!$A$4384&amp;Master!$C$2:'Master'!$C$4384,0))</f>
        <v>1</v>
      </c>
      <c r="AJ32" s="21" cm="1">
        <f t="array" aca="1" ref="AJ32" ca="1">INDEX(Master!$H$2:'Master'!$H$4384,MATCH($A32&amp;AJ$2,Master!$A$2:'Master'!$A$4384&amp;Master!$C$2:'Master'!$C$4384,0))</f>
        <v>1</v>
      </c>
      <c r="AK32" s="21" cm="1">
        <f t="array" aca="1" ref="AK32" ca="1">INDEX(Master!$H$2:'Master'!$H$4384,MATCH($A32&amp;AK$2,Master!$A$2:'Master'!$A$4384&amp;Master!$C$2:'Master'!$C$4384,0))</f>
        <v>2</v>
      </c>
      <c r="AL32" s="21" cm="1">
        <f t="array" aca="1" ref="AL32" ca="1">INDEX(Master!$H$2:'Master'!$H$4384,MATCH($A32&amp;AL$2,Master!$A$2:'Master'!$A$4384&amp;Master!$C$2:'Master'!$C$4384,0))</f>
        <v>0</v>
      </c>
      <c r="AM32" s="21" cm="1">
        <f t="array" aca="1" ref="AM32" ca="1">INDEX(Master!$H$2:'Master'!$H$4384,MATCH($A32&amp;AM$2,Master!$A$2:'Master'!$A$4384&amp;Master!$C$2:'Master'!$C$4384,0))</f>
        <v>2</v>
      </c>
      <c r="AN32" s="21" cm="1">
        <f t="array" aca="1" ref="AN32" ca="1">INDEX(Master!$H$2:'Master'!$H$4384,MATCH($A32&amp;AN$2,Master!$A$2:'Master'!$A$4384&amp;Master!$C$2:'Master'!$C$4384,0))</f>
        <v>2</v>
      </c>
      <c r="AO32" s="21" cm="1">
        <f t="array" aca="1" ref="AO32" ca="1">INDEX(Master!$H$2:'Master'!$H$4384,MATCH($A32&amp;AO$2,Master!$A$2:'Master'!$A$4384&amp;Master!$C$2:'Master'!$C$4384,0))</f>
        <v>0</v>
      </c>
      <c r="AP32" s="21" cm="1">
        <f t="array" aca="1" ref="AP32" ca="1">INDEX(Master!$H$2:'Master'!$H$4384,MATCH($A32&amp;AP$2,Master!$A$2:'Master'!$A$4384&amp;Master!$C$2:'Master'!$C$4384,0))</f>
        <v>0</v>
      </c>
      <c r="AQ32" s="21" cm="1">
        <f t="array" aca="1" ref="AQ32" ca="1">INDEX(Master!$H$2:'Master'!$H$4384,MATCH($A32&amp;AQ$2,Master!$A$2:'Master'!$A$4384&amp;Master!$C$2:'Master'!$C$4384,0))</f>
        <v>2</v>
      </c>
      <c r="AR32" s="21" cm="1">
        <f t="array" aca="1" ref="AR32" ca="1">INDEX(Master!$H$2:'Master'!$H$4384,MATCH($A32&amp;AR$2,Master!$A$2:'Master'!$A$4384&amp;Master!$C$2:'Master'!$C$4384,0))</f>
        <v>1</v>
      </c>
      <c r="AS32" s="21" cm="1">
        <f t="array" aca="1" ref="AS32" ca="1">INDEX(Master!$H$2:'Master'!$H$4384,MATCH($A32&amp;AS$2,Master!$A$2:'Master'!$A$4384&amp;Master!$C$2:'Master'!$C$4384,0))</f>
        <v>0</v>
      </c>
      <c r="AT32" s="21" cm="1">
        <f t="array" aca="1" ref="AT32" ca="1">INDEX(Master!$H$2:'Master'!$H$4384,MATCH($A32&amp;AT$2,Master!$A$2:'Master'!$A$4384&amp;Master!$C$2:'Master'!$C$4384,0))</f>
        <v>2</v>
      </c>
      <c r="AU32" s="21" cm="1">
        <f t="array" aca="1" ref="AU32" ca="1">INDEX(Master!$H$2:'Master'!$H$4384,MATCH($A32&amp;AU$2,Master!$A$2:'Master'!$A$4384&amp;Master!$C$2:'Master'!$C$4384,0))</f>
        <v>0</v>
      </c>
      <c r="AV32" s="21" cm="1">
        <f t="array" aca="1" ref="AV32" ca="1">INDEX(Master!$H$2:'Master'!$H$4384,MATCH($A32&amp;AV$2,Master!$A$2:'Master'!$A$4384&amp;Master!$C$2:'Master'!$C$4384,0))</f>
        <v>1</v>
      </c>
      <c r="AW32" s="21" cm="1">
        <f t="array" aca="1" ref="AW32" ca="1">INDEX(Master!$H$2:'Master'!$H$4384,MATCH($A32&amp;AW$2,Master!$A$2:'Master'!$A$4384&amp;Master!$C$2:'Master'!$C$4384,0))</f>
        <v>0</v>
      </c>
      <c r="AX32" s="21" cm="1">
        <f t="array" aca="1" ref="AX32" ca="1">INDEX(Master!$H$2:'Master'!$H$4384,MATCH($A32&amp;AX$2,Master!$A$2:'Master'!$A$4384&amp;Master!$C$2:'Master'!$C$4384,0))</f>
        <v>2</v>
      </c>
      <c r="AY32" s="21" cm="1">
        <f t="array" aca="1" ref="AY32" ca="1">INDEX(Master!$H$2:'Master'!$H$4384,MATCH($A32&amp;AY$2,Master!$A$2:'Master'!$A$4384&amp;Master!$C$2:'Master'!$C$4384,0))</f>
        <v>1</v>
      </c>
      <c r="AZ32" s="21" cm="1">
        <f t="array" aca="1" ref="AZ32" ca="1">INDEX(Master!$H$2:'Master'!$H$4384,MATCH($A32&amp;AZ$2,Master!$A$2:'Master'!$A$4384&amp;Master!$C$2:'Master'!$C$4384,0))</f>
        <v>-1</v>
      </c>
      <c r="BA32" s="21" cm="1">
        <f t="array" aca="1" ref="BA32" ca="1">INDEX(Master!$H$2:'Master'!$H$4384,MATCH($A32&amp;BA$2,Master!$A$2:'Master'!$A$4384&amp;Master!$C$2:'Master'!$C$4384,0))</f>
        <v>3</v>
      </c>
      <c r="BB32" s="21" cm="1">
        <f t="array" aca="1" ref="BB32" ca="1">INDEX(Master!$H$2:'Master'!$H$4384,MATCH($A32&amp;BB$2,Master!$A$2:'Master'!$A$4384&amp;Master!$C$2:'Master'!$C$4384,0))</f>
        <v>0</v>
      </c>
      <c r="BC32" s="21" cm="1">
        <f t="array" aca="1" ref="BC32" ca="1">INDEX(Master!$H$2:'Master'!$H$4384,MATCH($A32&amp;BC$2,Master!$A$2:'Master'!$A$4384&amp;Master!$C$2:'Master'!$C$4384,0))</f>
        <v>0</v>
      </c>
      <c r="BD32" s="21" cm="1">
        <f t="array" aca="1" ref="BD32" ca="1">INDEX(Master!$H$2:'Master'!$H$4384,MATCH($A32&amp;BD$2,Master!$A$2:'Master'!$A$4384&amp;Master!$C$2:'Master'!$C$4384,0))</f>
        <v>2</v>
      </c>
      <c r="BE32" s="21" cm="1">
        <f t="array" aca="1" ref="BE32" ca="1">INDEX(Master!$H$2:'Master'!$H$4384,MATCH($A32&amp;BE$2,Master!$A$2:'Master'!$A$4384&amp;Master!$C$2:'Master'!$C$4384,0))</f>
        <v>1</v>
      </c>
      <c r="BF32" s="21" cm="1">
        <f t="array" aca="1" ref="BF32" ca="1">INDEX(Master!$H$2:'Master'!$H$4384,MATCH($A32&amp;BF$2,Master!$A$2:'Master'!$A$4384&amp;Master!$C$2:'Master'!$C$4384,0))</f>
        <v>-1</v>
      </c>
      <c r="BG32" s="21" cm="1">
        <f t="array" aca="1" ref="BG32" ca="1">INDEX(Master!$H$2:'Master'!$H$4384,MATCH($A32&amp;BG$2,Master!$A$2:'Master'!$A$4384&amp;Master!$C$2:'Master'!$C$4384,0))</f>
        <v>1</v>
      </c>
      <c r="BH32" s="21" cm="1">
        <f t="array" aca="1" ref="BH32" ca="1">INDEX(Master!$H$2:'Master'!$H$4384,MATCH($A32&amp;BH$2,Master!$A$2:'Master'!$A$4384&amp;Master!$C$2:'Master'!$C$4384,0))</f>
        <v>0</v>
      </c>
      <c r="BI32" s="21" cm="1">
        <f t="array" aca="1" ref="BI32" ca="1">INDEX(Master!$H$2:'Master'!$H$4384,MATCH($A32&amp;BI$2,Master!$A$2:'Master'!$A$4384&amp;Master!$C$2:'Master'!$C$4384,0))</f>
        <v>0</v>
      </c>
      <c r="BJ32" s="21" cm="1">
        <f t="array" aca="1" ref="BJ32" ca="1">INDEX(Master!$H$2:'Master'!$H$4384,MATCH($A32&amp;BJ$2,Master!$A$2:'Master'!$A$4384&amp;Master!$C$2:'Master'!$C$4384,0))</f>
        <v>0</v>
      </c>
      <c r="BK32" s="21" cm="1">
        <f t="array" aca="1" ref="BK32" ca="1">INDEX(Master!$H$2:'Master'!$H$4384,MATCH($A32&amp;BK$2,Master!$A$2:'Master'!$A$4384&amp;Master!$C$2:'Master'!$C$4384,0))</f>
        <v>0</v>
      </c>
      <c r="BL32" s="21" cm="1">
        <f t="array" aca="1" ref="BL32" ca="1">INDEX(Master!$H$2:'Master'!$H$4384,MATCH($A32&amp;BL$2,Master!$A$2:'Master'!$A$4384&amp;Master!$C$2:'Master'!$C$4384,0))</f>
        <v>1</v>
      </c>
      <c r="BM32" s="21" cm="1">
        <f t="array" aca="1" ref="BM32" ca="1">INDEX(Master!$H$2:'Master'!$H$4384,MATCH($A32&amp;BM$2,Master!$A$2:'Master'!$A$4384&amp;Master!$C$2:'Master'!$C$4384,0))</f>
        <v>1</v>
      </c>
      <c r="BN32" s="21" cm="1">
        <f t="array" aca="1" ref="BN32" ca="1">INDEX(Master!$H$2:'Master'!$H$4384,MATCH($A32&amp;BN$2,Master!$A$2:'Master'!$A$4384&amp;Master!$C$2:'Master'!$C$4384,0))</f>
        <v>-1</v>
      </c>
      <c r="BO32" s="21" cm="1">
        <f t="array" aca="1" ref="BO32" ca="1">INDEX(Master!$H$2:'Master'!$H$4384,MATCH($A32&amp;BO$2,Master!$A$2:'Master'!$A$4384&amp;Master!$C$2:'Master'!$C$4384,0))</f>
        <v>-1</v>
      </c>
      <c r="BP32" s="21" cm="1">
        <f t="array" aca="1" ref="BP32" ca="1">INDEX(Master!$H$2:'Master'!$H$4384,MATCH($A32&amp;BP$2,Master!$A$2:'Master'!$A$4384&amp;Master!$C$2:'Master'!$C$4384,0))</f>
        <v>-1</v>
      </c>
      <c r="BQ32" s="21" cm="1">
        <f t="array" aca="1" ref="BQ32" ca="1">INDEX(Master!$H$2:'Master'!$H$4384,MATCH($A32&amp;BQ$2,Master!$A$2:'Master'!$A$4384&amp;Master!$C$2:'Master'!$C$4384,0))</f>
        <v>-1</v>
      </c>
      <c r="BR32" s="21" cm="1">
        <f t="array" aca="1" ref="BR32" ca="1">INDEX(Master!$H$2:'Master'!$H$4384,MATCH($A32&amp;BR$2,Master!$A$2:'Master'!$A$4384&amp;Master!$C$2:'Master'!$C$4384,0))</f>
        <v>-1</v>
      </c>
      <c r="BS32" s="21" cm="1">
        <f t="array" aca="1" ref="BS32" ca="1">INDEX(Master!$H$2:'Master'!$H$4384,MATCH($A32&amp;BS$2,Master!$A$2:'Master'!$A$4384&amp;Master!$C$2:'Master'!$C$4384,0))</f>
        <v>0</v>
      </c>
      <c r="BT32" s="21" cm="1">
        <f t="array" aca="1" ref="BT32" ca="1">INDEX(Master!$H$2:'Master'!$H$4384,MATCH($A32&amp;BT$2,Master!$A$2:'Master'!$A$4384&amp;Master!$C$2:'Master'!$C$4384,0))</f>
        <v>1</v>
      </c>
      <c r="BU32" s="21" cm="1">
        <f t="array" aca="1" ref="BU32" ca="1">INDEX(Master!$H$2:'Master'!$H$4384,MATCH($A32&amp;BU$2,Master!$A$2:'Master'!$A$4384&amp;Master!$C$2:'Master'!$C$4384,0))</f>
        <v>0</v>
      </c>
      <c r="BV32" s="21" cm="1">
        <f t="array" aca="1" ref="BV32" ca="1">INDEX(Master!$H$2:'Master'!$H$4384,MATCH($A32&amp;BV$2,Master!$A$2:'Master'!$A$4384&amp;Master!$C$2:'Master'!$C$4384,0))</f>
        <v>0</v>
      </c>
      <c r="BW32" s="21" cm="1">
        <f t="array" aca="1" ref="BW32" ca="1">INDEX(Master!$H$2:'Master'!$H$4384,MATCH($A32&amp;BW$2,Master!$A$2:'Master'!$A$4384&amp;Master!$C$2:'Master'!$C$4384,0))</f>
        <v>-1</v>
      </c>
      <c r="BX32" s="21" cm="1">
        <f t="array" aca="1" ref="BX32" ca="1">INDEX(Master!$H$2:'Master'!$H$4384,MATCH($A32&amp;BX$2,Master!$A$2:'Master'!$A$4384&amp;Master!$C$2:'Master'!$C$4384,0))</f>
        <v>1</v>
      </c>
      <c r="BY32" s="21" cm="1">
        <f t="array" aca="1" ref="BY32" ca="1">INDEX(Master!$H$2:'Master'!$H$4384,MATCH($A32&amp;BY$2,Master!$A$2:'Master'!$A$4384&amp;Master!$C$2:'Master'!$C$4384,0))</f>
        <v>0</v>
      </c>
      <c r="BZ32" s="21" cm="1">
        <f t="array" aca="1" ref="BZ32" ca="1">INDEX(Master!$H$2:'Master'!$H$4384,MATCH($A32&amp;BZ$2,Master!$A$2:'Master'!$A$4384&amp;Master!$C$2:'Master'!$C$4384,0))</f>
        <v>0</v>
      </c>
      <c r="CA32" s="21" cm="1">
        <f t="array" aca="1" ref="CA32" ca="1">INDEX(Master!$H$2:'Master'!$H$4384,MATCH($A32&amp;CA$2,Master!$A$2:'Master'!$A$4384&amp;Master!$C$2:'Master'!$C$4384,0))</f>
        <v>0</v>
      </c>
      <c r="CB32" s="21" cm="1">
        <f t="array" aca="1" ref="CB32" ca="1">INDEX(Master!$H$2:'Master'!$H$4384,MATCH($A32&amp;CB$2,Master!$A$2:'Master'!$A$4384&amp;Master!$C$2:'Master'!$C$4384,0))</f>
        <v>0</v>
      </c>
      <c r="CC32" s="21" cm="1">
        <f t="array" aca="1" ref="CC32" ca="1">INDEX(Master!$H$2:'Master'!$H$4384,MATCH($A32&amp;CC$2,Master!$A$2:'Master'!$A$4384&amp;Master!$C$2:'Master'!$C$4384,0))</f>
        <v>1</v>
      </c>
      <c r="CD32" s="21" cm="1">
        <f t="array" aca="1" ref="CD32" ca="1">INDEX(Master!$H$2:'Master'!$H$4384,MATCH($A32&amp;CD$2,Master!$A$2:'Master'!$A$4384&amp;Master!$C$2:'Master'!$C$4384,0))</f>
        <v>1</v>
      </c>
      <c r="CE32" s="21" cm="1">
        <f t="array" aca="1" ref="CE32" ca="1">INDEX(Master!$H$2:'Master'!$H$4384,MATCH($A32&amp;CE$2,Master!$A$2:'Master'!$A$4384&amp;Master!$C$2:'Master'!$C$4384,0))</f>
        <v>-1</v>
      </c>
      <c r="CF32" s="21" cm="1">
        <f t="array" aca="1" ref="CF32" ca="1">INDEX(Master!$H$2:'Master'!$H$4384,MATCH($A32&amp;CF$2,Master!$A$2:'Master'!$A$4384&amp;Master!$C$2:'Master'!$C$4384,0))</f>
        <v>-2</v>
      </c>
      <c r="CG32" s="21" cm="1">
        <f t="array" aca="1" ref="CG32" ca="1">INDEX(Master!$H$2:'Master'!$H$4384,MATCH($A32&amp;CG$2,Master!$A$2:'Master'!$A$4384&amp;Master!$C$2:'Master'!$C$4384,0))</f>
        <v>-1</v>
      </c>
      <c r="CH32" s="21" cm="1">
        <f t="array" aca="1" ref="CH32" ca="1">INDEX(Master!$H$2:'Master'!$H$4384,MATCH($A32&amp;CH$2,Master!$A$2:'Master'!$A$4384&amp;Master!$C$2:'Master'!$C$4384,0))</f>
        <v>-2</v>
      </c>
      <c r="CI32" s="21" cm="1">
        <f t="array" aca="1" ref="CI32" ca="1">INDEX(Master!$H$2:'Master'!$H$4384,MATCH($A32&amp;CI$2,Master!$A$2:'Master'!$A$4384&amp;Master!$C$2:'Master'!$C$4384,0))</f>
        <v>0</v>
      </c>
      <c r="CJ32" s="21" cm="1">
        <f t="array" aca="1" ref="CJ32" ca="1">INDEX(Master!$H$2:'Master'!$H$4384,MATCH($A32&amp;CJ$2,Master!$A$2:'Master'!$A$4384&amp;Master!$C$2:'Master'!$C$4384,0))</f>
        <v>-1</v>
      </c>
      <c r="CK32" s="21" cm="1">
        <f t="array" aca="1" ref="CK32" ca="1">INDEX(Master!$H$2:'Master'!$H$4384,MATCH($A32&amp;CK$2,Master!$A$2:'Master'!$A$4384&amp;Master!$C$2:'Master'!$C$4384,0))</f>
        <v>0</v>
      </c>
      <c r="CL32" s="21" cm="1">
        <f t="array" aca="1" ref="CL32" ca="1">INDEX(Master!$H$2:'Master'!$H$4384,MATCH($A32&amp;CL$2,Master!$A$2:'Master'!$A$4384&amp;Master!$C$2:'Master'!$C$4384,0))</f>
        <v>0</v>
      </c>
      <c r="CM32" s="21" cm="1">
        <f t="array" aca="1" ref="CM32" ca="1">INDEX(Master!$H$2:'Master'!$H$4384,MATCH($A32&amp;CM$2,Master!$A$2:'Master'!$A$4384&amp;Master!$C$2:'Master'!$C$4384,0))</f>
        <v>0</v>
      </c>
      <c r="CN32" s="21" cm="1">
        <f t="array" aca="1" ref="CN32" ca="1">INDEX(Master!$H$2:'Master'!$H$4384,MATCH($A32&amp;CN$2,Master!$A$2:'Master'!$A$4384&amp;Master!$C$2:'Master'!$C$4384,0))</f>
        <v>0</v>
      </c>
      <c r="CO32" s="21" cm="1">
        <f t="array" aca="1" ref="CO32" ca="1">INDEX(Master!$H$2:'Master'!$H$4384,MATCH($A32&amp;CO$2,Master!$A$2:'Master'!$A$4384&amp;Master!$C$2:'Master'!$C$4384,0))</f>
        <v>0</v>
      </c>
      <c r="CP32" s="21" cm="1">
        <f t="array" aca="1" ref="CP32" ca="1">INDEX(Master!$H$2:'Master'!$H$4384,MATCH($A32&amp;CP$2,Master!$A$2:'Master'!$A$4384&amp;Master!$C$2:'Master'!$C$4384,0))</f>
        <v>0</v>
      </c>
      <c r="CQ32" s="21" cm="1">
        <f t="array" aca="1" ref="CQ32" ca="1">INDEX(Master!$H$2:'Master'!$H$4384,MATCH($A32&amp;CQ$2,Master!$A$2:'Master'!$A$4384&amp;Master!$C$2:'Master'!$C$4384,0))</f>
        <v>1</v>
      </c>
      <c r="CR32" s="21" cm="1">
        <f t="array" aca="1" ref="CR32" ca="1">INDEX(Master!$H$2:'Master'!$H$4384,MATCH($A32&amp;CR$2,Master!$A$2:'Master'!$A$4384&amp;Master!$C$2:'Master'!$C$4384,0))</f>
        <v>1</v>
      </c>
      <c r="CS32" s="21" cm="1">
        <f t="array" aca="1" ref="CS32" ca="1">INDEX(Master!$H$2:'Master'!$H$4384,MATCH($A32&amp;CS$2,Master!$A$2:'Master'!$A$4384&amp;Master!$C$2:'Master'!$C$4384,0))</f>
        <v>1</v>
      </c>
    </row>
    <row r="33" spans="1:97">
      <c r="A33" s="22" t="str">
        <f>VLOOKUP(Staff!$A29,Staff!$A$1:A$73,1,FALSE)</f>
        <v>Sherlock Holmes</v>
      </c>
      <c r="B33" s="21" cm="1">
        <f t="array" aca="1" ref="B33" ca="1">INDEX(Master!$H$2:'Master'!$H$4384,MATCH($A33&amp;B$2,Master!$A$2:'Master'!$A$4384&amp;Master!$C$2:'Master'!$C$4384,0))</f>
        <v>97</v>
      </c>
      <c r="C33" s="21" cm="1">
        <f t="array" aca="1" ref="C33" ca="1">INDEX(Master!$H$2:'Master'!$H$4384,MATCH($A33&amp;C$2,Master!$A$2:'Master'!$A$4384&amp;Master!$C$2:'Master'!$C$4384,0))</f>
        <v>97</v>
      </c>
      <c r="D33" s="21" cm="1">
        <f t="array" aca="1" ref="D33" ca="1">INDEX(Master!$H$2:'Master'!$H$4384,MATCH($A33&amp;D$2,Master!$A$2:'Master'!$A$4384&amp;Master!$C$2:'Master'!$C$4384,0))</f>
        <v>96</v>
      </c>
      <c r="E33" s="21" cm="1">
        <f t="array" aca="1" ref="E33" ca="1">INDEX(Master!$H$2:'Master'!$H$4384,MATCH($A33&amp;E$2,Master!$A$2:'Master'!$A$4384&amp;Master!$C$2:'Master'!$C$4384,0))</f>
        <v>97</v>
      </c>
      <c r="F33" s="21" cm="1">
        <f t="array" aca="1" ref="F33" ca="1">INDEX(Master!$H$2:'Master'!$H$4384,MATCH($A33&amp;F$2,Master!$A$2:'Master'!$A$4384&amp;Master!$C$2:'Master'!$C$4384,0))</f>
        <v>96</v>
      </c>
      <c r="G33" s="21" cm="1">
        <f t="array" aca="1" ref="G33" ca="1">INDEX(Master!$H$2:'Master'!$H$4384,MATCH($A33&amp;G$2,Master!$A$2:'Master'!$A$4384&amp;Master!$C$2:'Master'!$C$4384,0))</f>
        <v>97</v>
      </c>
      <c r="H33" s="21" cm="1">
        <f t="array" aca="1" ref="H33" ca="1">INDEX(Master!$H$2:'Master'!$H$4384,MATCH($A33&amp;H$2,Master!$A$2:'Master'!$A$4384&amp;Master!$C$2:'Master'!$C$4384,0))</f>
        <v>97</v>
      </c>
      <c r="I33" s="21" cm="1">
        <f t="array" aca="1" ref="I33" ca="1">INDEX(Master!$H$2:'Master'!$H$4384,MATCH($A33&amp;I$2,Master!$A$2:'Master'!$A$4384&amp;Master!$C$2:'Master'!$C$4384,0))</f>
        <v>97</v>
      </c>
      <c r="J33" s="21" cm="1">
        <f t="array" aca="1" ref="J33" ca="1">INDEX(Master!$H$2:'Master'!$H$4384,MATCH($A33&amp;J$2,Master!$A$2:'Master'!$A$4384&amp;Master!$C$2:'Master'!$C$4384,0))</f>
        <v>97</v>
      </c>
      <c r="K33" s="21" cm="1">
        <f t="array" aca="1" ref="K33" ca="1">INDEX(Master!$H$2:'Master'!$H$4384,MATCH($A33&amp;K$2,Master!$A$2:'Master'!$A$4384&amp;Master!$C$2:'Master'!$C$4384,0))</f>
        <v>98</v>
      </c>
      <c r="L33" s="21" cm="1">
        <f t="array" aca="1" ref="L33" ca="1">INDEX(Master!$H$2:'Master'!$H$4384,MATCH($A33&amp;L$2,Master!$A$2:'Master'!$A$4384&amp;Master!$C$2:'Master'!$C$4384,0))</f>
        <v>99</v>
      </c>
      <c r="M33" s="21" cm="1">
        <f t="array" aca="1" ref="M33" ca="1">INDEX(Master!$H$2:'Master'!$H$4384,MATCH($A33&amp;M$2,Master!$A$2:'Master'!$A$4384&amp;Master!$C$2:'Master'!$C$4384,0))</f>
        <v>98</v>
      </c>
      <c r="N33" s="21" cm="1">
        <f t="array" aca="1" ref="N33" ca="1">INDEX(Master!$H$2:'Master'!$H$4384,MATCH($A33&amp;N$2,Master!$A$2:'Master'!$A$4384&amp;Master!$C$2:'Master'!$C$4384,0))</f>
        <v>98</v>
      </c>
      <c r="O33" s="21" cm="1">
        <f t="array" aca="1" ref="O33" ca="1">INDEX(Master!$H$2:'Master'!$H$4384,MATCH($A33&amp;O$2,Master!$A$2:'Master'!$A$4384&amp;Master!$C$2:'Master'!$C$4384,0))</f>
        <v>98</v>
      </c>
      <c r="P33" s="21" cm="1">
        <f t="array" aca="1" ref="P33" ca="1">INDEX(Master!$H$2:'Master'!$H$4384,MATCH($A33&amp;P$2,Master!$A$2:'Master'!$A$4384&amp;Master!$C$2:'Master'!$C$4384,0))</f>
        <v>97</v>
      </c>
      <c r="Q33" s="21" cm="1">
        <f t="array" aca="1" ref="Q33" ca="1">INDEX(Master!$H$2:'Master'!$H$4384,MATCH($A33&amp;Q$2,Master!$A$2:'Master'!$A$4384&amp;Master!$C$2:'Master'!$C$4384,0))</f>
        <v>98</v>
      </c>
      <c r="R33" s="21" cm="1">
        <f t="array" aca="1" ref="R33" ca="1">INDEX(Master!$H$2:'Master'!$H$4384,MATCH($A33&amp;R$2,Master!$A$2:'Master'!$A$4384&amp;Master!$C$2:'Master'!$C$4384,0))</f>
        <v>99</v>
      </c>
      <c r="S33" s="21" cm="1">
        <f t="array" aca="1" ref="S33" ca="1">INDEX(Master!$H$2:'Master'!$H$4384,MATCH($A33&amp;S$2,Master!$A$2:'Master'!$A$4384&amp;Master!$C$2:'Master'!$C$4384,0))</f>
        <v>99</v>
      </c>
      <c r="T33" s="21" cm="1">
        <f t="array" aca="1" ref="T33" ca="1">INDEX(Master!$H$2:'Master'!$H$4384,MATCH($A33&amp;T$2,Master!$A$2:'Master'!$A$4384&amp;Master!$C$2:'Master'!$C$4384,0))</f>
        <v>97</v>
      </c>
      <c r="U33" s="21" cm="1">
        <f t="array" aca="1" ref="U33" ca="1">INDEX(Master!$H$2:'Master'!$H$4384,MATCH($A33&amp;U$2,Master!$A$2:'Master'!$A$4384&amp;Master!$C$2:'Master'!$C$4384,0))</f>
        <v>97</v>
      </c>
      <c r="V33" s="21" cm="1">
        <f t="array" aca="1" ref="V33" ca="1">INDEX(Master!$H$2:'Master'!$H$4384,MATCH($A33&amp;V$2,Master!$A$2:'Master'!$A$4384&amp;Master!$C$2:'Master'!$C$4384,0))</f>
        <v>98</v>
      </c>
      <c r="W33" s="21" cm="1">
        <f t="array" aca="1" ref="W33" ca="1">INDEX(Master!$H$2:'Master'!$H$4384,MATCH($A33&amp;W$2,Master!$A$2:'Master'!$A$4384&amp;Master!$C$2:'Master'!$C$4384,0))</f>
        <v>97</v>
      </c>
      <c r="X33" s="21" cm="1">
        <f t="array" aca="1" ref="X33" ca="1">INDEX(Master!$H$2:'Master'!$H$4384,MATCH($A33&amp;X$2,Master!$A$2:'Master'!$A$4384&amp;Master!$C$2:'Master'!$C$4384,0))</f>
        <v>99</v>
      </c>
      <c r="Y33" s="21" cm="1">
        <f t="array" aca="1" ref="Y33" ca="1">INDEX(Master!$H$2:'Master'!$H$4384,MATCH($A33&amp;Y$2,Master!$A$2:'Master'!$A$4384&amp;Master!$C$2:'Master'!$C$4384,0))</f>
        <v>99</v>
      </c>
      <c r="Z33" s="21" cm="1">
        <f t="array" aca="1" ref="Z33" ca="1">INDEX(Master!$H$2:'Master'!$H$4384,MATCH($A33&amp;Z$2,Master!$A$2:'Master'!$A$4384&amp;Master!$C$2:'Master'!$C$4384,0))</f>
        <v>99</v>
      </c>
      <c r="AA33" s="21" cm="1">
        <f t="array" aca="1" ref="AA33" ca="1">INDEX(Master!$H$2:'Master'!$H$4384,MATCH($A33&amp;AA$2,Master!$A$2:'Master'!$A$4384&amp;Master!$C$2:'Master'!$C$4384,0))</f>
        <v>99</v>
      </c>
      <c r="AB33" s="21" cm="1">
        <f t="array" aca="1" ref="AB33" ca="1">INDEX(Master!$H$2:'Master'!$H$4384,MATCH($A33&amp;AB$2,Master!$A$2:'Master'!$A$4384&amp;Master!$C$2:'Master'!$C$4384,0))</f>
        <v>99</v>
      </c>
      <c r="AC33" s="21" cm="1">
        <f t="array" aca="1" ref="AC33" ca="1">INDEX(Master!$H$2:'Master'!$H$4384,MATCH($A33&amp;AC$2,Master!$A$2:'Master'!$A$4384&amp;Master!$C$2:'Master'!$C$4384,0))</f>
        <v>99</v>
      </c>
      <c r="AD33" s="21" cm="1">
        <f t="array" aca="1" ref="AD33" ca="1">INDEX(Master!$H$2:'Master'!$H$4384,MATCH($A33&amp;AD$2,Master!$A$2:'Master'!$A$4384&amp;Master!$C$2:'Master'!$C$4384,0))</f>
        <v>99</v>
      </c>
      <c r="AE33" s="21" cm="1">
        <f t="array" aca="1" ref="AE33" ca="1">INDEX(Master!$H$2:'Master'!$H$4384,MATCH($A33&amp;AE$2,Master!$A$2:'Master'!$A$4384&amp;Master!$C$2:'Master'!$C$4384,0))</f>
        <v>99</v>
      </c>
      <c r="AF33" s="21" cm="1">
        <f t="array" aca="1" ref="AF33" ca="1">INDEX(Master!$H$2:'Master'!$H$4384,MATCH($A33&amp;AF$2,Master!$A$2:'Master'!$A$4384&amp;Master!$C$2:'Master'!$C$4384,0))</f>
        <v>98</v>
      </c>
      <c r="AG33" s="21" cm="1">
        <f t="array" aca="1" ref="AG33" ca="1">INDEX(Master!$H$2:'Master'!$H$4384,MATCH($A33&amp;AG$2,Master!$A$2:'Master'!$A$4384&amp;Master!$C$2:'Master'!$C$4384,0))</f>
        <v>98</v>
      </c>
      <c r="AH33" s="21" cm="1">
        <f t="array" aca="1" ref="AH33" ca="1">INDEX(Master!$H$2:'Master'!$H$4384,MATCH($A33&amp;AH$2,Master!$A$2:'Master'!$A$4384&amp;Master!$C$2:'Master'!$C$4384,0))</f>
        <v>97</v>
      </c>
      <c r="AI33" s="21" cm="1">
        <f t="array" aca="1" ref="AI33" ca="1">INDEX(Master!$H$2:'Master'!$H$4384,MATCH($A33&amp;AI$2,Master!$A$2:'Master'!$A$4384&amp;Master!$C$2:'Master'!$C$4384,0))</f>
        <v>98</v>
      </c>
      <c r="AJ33" s="21" cm="1">
        <f t="array" aca="1" ref="AJ33" ca="1">INDEX(Master!$H$2:'Master'!$H$4384,MATCH($A33&amp;AJ$2,Master!$A$2:'Master'!$A$4384&amp;Master!$C$2:'Master'!$C$4384,0))</f>
        <v>98</v>
      </c>
      <c r="AK33" s="21" cm="1">
        <f t="array" aca="1" ref="AK33" ca="1">INDEX(Master!$H$2:'Master'!$H$4384,MATCH($A33&amp;AK$2,Master!$A$2:'Master'!$A$4384&amp;Master!$C$2:'Master'!$C$4384,0))</f>
        <v>99</v>
      </c>
      <c r="AL33" s="21" cm="1">
        <f t="array" aca="1" ref="AL33" ca="1">INDEX(Master!$H$2:'Master'!$H$4384,MATCH($A33&amp;AL$2,Master!$A$2:'Master'!$A$4384&amp;Master!$C$2:'Master'!$C$4384,0))</f>
        <v>99</v>
      </c>
      <c r="AM33" s="21" cm="1">
        <f t="array" aca="1" ref="AM33" ca="1">INDEX(Master!$H$2:'Master'!$H$4384,MATCH($A33&amp;AM$2,Master!$A$2:'Master'!$A$4384&amp;Master!$C$2:'Master'!$C$4384,0))</f>
        <v>97</v>
      </c>
      <c r="AN33" s="21" cm="1">
        <f t="array" aca="1" ref="AN33" ca="1">INDEX(Master!$H$2:'Master'!$H$4384,MATCH($A33&amp;AN$2,Master!$A$2:'Master'!$A$4384&amp;Master!$C$2:'Master'!$C$4384,0))</f>
        <v>99</v>
      </c>
      <c r="AO33" s="21" cm="1">
        <f t="array" aca="1" ref="AO33" ca="1">INDEX(Master!$H$2:'Master'!$H$4384,MATCH($A33&amp;AO$2,Master!$A$2:'Master'!$A$4384&amp;Master!$C$2:'Master'!$C$4384,0))</f>
        <v>99</v>
      </c>
      <c r="AP33" s="21" cm="1">
        <f t="array" aca="1" ref="AP33" ca="1">INDEX(Master!$H$2:'Master'!$H$4384,MATCH($A33&amp;AP$2,Master!$A$2:'Master'!$A$4384&amp;Master!$C$2:'Master'!$C$4384,0))</f>
        <v>99</v>
      </c>
      <c r="AQ33" s="21" cm="1">
        <f t="array" aca="1" ref="AQ33" ca="1">INDEX(Master!$H$2:'Master'!$H$4384,MATCH($A33&amp;AQ$2,Master!$A$2:'Master'!$A$4384&amp;Master!$C$2:'Master'!$C$4384,0))</f>
        <v>99</v>
      </c>
      <c r="AR33" s="21" cm="1">
        <f t="array" aca="1" ref="AR33" ca="1">INDEX(Master!$H$2:'Master'!$H$4384,MATCH($A33&amp;AR$2,Master!$A$2:'Master'!$A$4384&amp;Master!$C$2:'Master'!$C$4384,0))</f>
        <v>99</v>
      </c>
      <c r="AS33" s="21" cm="1">
        <f t="array" aca="1" ref="AS33" ca="1">INDEX(Master!$H$2:'Master'!$H$4384,MATCH($A33&amp;AS$2,Master!$A$2:'Master'!$A$4384&amp;Master!$C$2:'Master'!$C$4384,0))</f>
        <v>99</v>
      </c>
      <c r="AT33" s="21" cm="1">
        <f t="array" aca="1" ref="AT33" ca="1">INDEX(Master!$H$2:'Master'!$H$4384,MATCH($A33&amp;AT$2,Master!$A$2:'Master'!$A$4384&amp;Master!$C$2:'Master'!$C$4384,0))</f>
        <v>99</v>
      </c>
      <c r="AU33" s="21" cm="1">
        <f t="array" aca="1" ref="AU33" ca="1">INDEX(Master!$H$2:'Master'!$H$4384,MATCH($A33&amp;AU$2,Master!$A$2:'Master'!$A$4384&amp;Master!$C$2:'Master'!$C$4384,0))</f>
        <v>99</v>
      </c>
      <c r="AV33" s="21" cm="1">
        <f t="array" aca="1" ref="AV33" ca="1">INDEX(Master!$H$2:'Master'!$H$4384,MATCH($A33&amp;AV$2,Master!$A$2:'Master'!$A$4384&amp;Master!$C$2:'Master'!$C$4384,0))</f>
        <v>99</v>
      </c>
      <c r="AW33" s="21" cm="1">
        <f t="array" aca="1" ref="AW33" ca="1">INDEX(Master!$H$2:'Master'!$H$4384,MATCH($A33&amp;AW$2,Master!$A$2:'Master'!$A$4384&amp;Master!$C$2:'Master'!$C$4384,0))</f>
        <v>99</v>
      </c>
      <c r="AX33" s="21" cm="1">
        <f t="array" aca="1" ref="AX33" ca="1">INDEX(Master!$H$2:'Master'!$H$4384,MATCH($A33&amp;AX$2,Master!$A$2:'Master'!$A$4384&amp;Master!$C$2:'Master'!$C$4384,0))</f>
        <v>97</v>
      </c>
      <c r="AY33" s="21" cm="1">
        <f t="array" aca="1" ref="AY33" ca="1">INDEX(Master!$H$2:'Master'!$H$4384,MATCH($A33&amp;AY$2,Master!$A$2:'Master'!$A$4384&amp;Master!$C$2:'Master'!$C$4384,0))</f>
        <v>97</v>
      </c>
      <c r="AZ33" s="21" cm="1">
        <f t="array" aca="1" ref="AZ33" ca="1">INDEX(Master!$H$2:'Master'!$H$4384,MATCH($A33&amp;AZ$2,Master!$A$2:'Master'!$A$4384&amp;Master!$C$2:'Master'!$C$4384,0))</f>
        <v>99</v>
      </c>
      <c r="BA33" s="21" cm="1">
        <f t="array" aca="1" ref="BA33" ca="1">INDEX(Master!$H$2:'Master'!$H$4384,MATCH($A33&amp;BA$2,Master!$A$2:'Master'!$A$4384&amp;Master!$C$2:'Master'!$C$4384,0))</f>
        <v>99</v>
      </c>
      <c r="BB33" s="21" cm="1">
        <f t="array" aca="1" ref="BB33" ca="1">INDEX(Master!$H$2:'Master'!$H$4384,MATCH($A33&amp;BB$2,Master!$A$2:'Master'!$A$4384&amp;Master!$C$2:'Master'!$C$4384,0))</f>
        <v>99</v>
      </c>
      <c r="BC33" s="21" cm="1">
        <f t="array" aca="1" ref="BC33" ca="1">INDEX(Master!$H$2:'Master'!$H$4384,MATCH($A33&amp;BC$2,Master!$A$2:'Master'!$A$4384&amp;Master!$C$2:'Master'!$C$4384,0))</f>
        <v>97</v>
      </c>
      <c r="BD33" s="21" cm="1">
        <f t="array" aca="1" ref="BD33" ca="1">INDEX(Master!$H$2:'Master'!$H$4384,MATCH($A33&amp;BD$2,Master!$A$2:'Master'!$A$4384&amp;Master!$C$2:'Master'!$C$4384,0))</f>
        <v>98</v>
      </c>
      <c r="BE33" s="21" cm="1">
        <f t="array" aca="1" ref="BE33" ca="1">INDEX(Master!$H$2:'Master'!$H$4384,MATCH($A33&amp;BE$2,Master!$A$2:'Master'!$A$4384&amp;Master!$C$2:'Master'!$C$4384,0))</f>
        <v>99</v>
      </c>
      <c r="BF33" s="21" cm="1">
        <f t="array" aca="1" ref="BF33" ca="1">INDEX(Master!$H$2:'Master'!$H$4384,MATCH($A33&amp;BF$2,Master!$A$2:'Master'!$A$4384&amp;Master!$C$2:'Master'!$C$4384,0))</f>
        <v>98</v>
      </c>
      <c r="BG33" s="21" cm="1">
        <f t="array" aca="1" ref="BG33" ca="1">INDEX(Master!$H$2:'Master'!$H$4384,MATCH($A33&amp;BG$2,Master!$A$2:'Master'!$A$4384&amp;Master!$C$2:'Master'!$C$4384,0))</f>
        <v>99</v>
      </c>
      <c r="BH33" s="21" cm="1">
        <f t="array" aca="1" ref="BH33" ca="1">INDEX(Master!$H$2:'Master'!$H$4384,MATCH($A33&amp;BH$2,Master!$A$2:'Master'!$A$4384&amp;Master!$C$2:'Master'!$C$4384,0))</f>
        <v>99</v>
      </c>
      <c r="BI33" s="21" cm="1">
        <f t="array" aca="1" ref="BI33" ca="1">INDEX(Master!$H$2:'Master'!$H$4384,MATCH($A33&amp;BI$2,Master!$A$2:'Master'!$A$4384&amp;Master!$C$2:'Master'!$C$4384,0))</f>
        <v>98</v>
      </c>
      <c r="BJ33" s="21" cm="1">
        <f t="array" aca="1" ref="BJ33" ca="1">INDEX(Master!$H$2:'Master'!$H$4384,MATCH($A33&amp;BJ$2,Master!$A$2:'Master'!$A$4384&amp;Master!$C$2:'Master'!$C$4384,0))</f>
        <v>99</v>
      </c>
      <c r="BK33" s="21" cm="1">
        <f t="array" aca="1" ref="BK33" ca="1">INDEX(Master!$H$2:'Master'!$H$4384,MATCH($A33&amp;BK$2,Master!$A$2:'Master'!$A$4384&amp;Master!$C$2:'Master'!$C$4384,0))</f>
        <v>98</v>
      </c>
      <c r="BL33" s="21" cm="1">
        <f t="array" aca="1" ref="BL33" ca="1">INDEX(Master!$H$2:'Master'!$H$4384,MATCH($A33&amp;BL$2,Master!$A$2:'Master'!$A$4384&amp;Master!$C$2:'Master'!$C$4384,0))</f>
        <v>98</v>
      </c>
      <c r="BM33" s="21" cm="1">
        <f t="array" aca="1" ref="BM33" ca="1">INDEX(Master!$H$2:'Master'!$H$4384,MATCH($A33&amp;BM$2,Master!$A$2:'Master'!$A$4384&amp;Master!$C$2:'Master'!$C$4384,0))</f>
        <v>98</v>
      </c>
      <c r="BN33" s="21" cm="1">
        <f t="array" aca="1" ref="BN33" ca="1">INDEX(Master!$H$2:'Master'!$H$4384,MATCH($A33&amp;BN$2,Master!$A$2:'Master'!$A$4384&amp;Master!$C$2:'Master'!$C$4384,0))</f>
        <v>98</v>
      </c>
      <c r="BO33" s="21" cm="1">
        <f t="array" aca="1" ref="BO33" ca="1">INDEX(Master!$H$2:'Master'!$H$4384,MATCH($A33&amp;BO$2,Master!$A$2:'Master'!$A$4384&amp;Master!$C$2:'Master'!$C$4384,0))</f>
        <v>98</v>
      </c>
      <c r="BP33" s="21" cm="1">
        <f t="array" aca="1" ref="BP33" ca="1">INDEX(Master!$H$2:'Master'!$H$4384,MATCH($A33&amp;BP$2,Master!$A$2:'Master'!$A$4384&amp;Master!$C$2:'Master'!$C$4384,0))</f>
        <v>99</v>
      </c>
      <c r="BQ33" s="21" cm="1">
        <f t="array" aca="1" ref="BQ33" ca="1">INDEX(Master!$H$2:'Master'!$H$4384,MATCH($A33&amp;BQ$2,Master!$A$2:'Master'!$A$4384&amp;Master!$C$2:'Master'!$C$4384,0))</f>
        <v>99</v>
      </c>
      <c r="BR33" s="21" cm="1">
        <f t="array" aca="1" ref="BR33" ca="1">INDEX(Master!$H$2:'Master'!$H$4384,MATCH($A33&amp;BR$2,Master!$A$2:'Master'!$A$4384&amp;Master!$C$2:'Master'!$C$4384,0))</f>
        <v>99</v>
      </c>
      <c r="BS33" s="21" cm="1">
        <f t="array" aca="1" ref="BS33" ca="1">INDEX(Master!$H$2:'Master'!$H$4384,MATCH($A33&amp;BS$2,Master!$A$2:'Master'!$A$4384&amp;Master!$C$2:'Master'!$C$4384,0))</f>
        <v>99</v>
      </c>
      <c r="BT33" s="21" cm="1">
        <f t="array" aca="1" ref="BT33" ca="1">INDEX(Master!$H$2:'Master'!$H$4384,MATCH($A33&amp;BT$2,Master!$A$2:'Master'!$A$4384&amp;Master!$C$2:'Master'!$C$4384,0))</f>
        <v>98</v>
      </c>
      <c r="BU33" s="21" cm="1">
        <f t="array" aca="1" ref="BU33" ca="1">INDEX(Master!$H$2:'Master'!$H$4384,MATCH($A33&amp;BU$2,Master!$A$2:'Master'!$A$4384&amp;Master!$C$2:'Master'!$C$4384,0))</f>
        <v>99</v>
      </c>
      <c r="BV33" s="21" cm="1">
        <f t="array" aca="1" ref="BV33" ca="1">INDEX(Master!$H$2:'Master'!$H$4384,MATCH($A33&amp;BV$2,Master!$A$2:'Master'!$A$4384&amp;Master!$C$2:'Master'!$C$4384,0))</f>
        <v>99</v>
      </c>
      <c r="BW33" s="21" cm="1">
        <f t="array" aca="1" ref="BW33" ca="1">INDEX(Master!$H$2:'Master'!$H$4384,MATCH($A33&amp;BW$2,Master!$A$2:'Master'!$A$4384&amp;Master!$C$2:'Master'!$C$4384,0))</f>
        <v>98</v>
      </c>
      <c r="BX33" s="21" cm="1">
        <f t="array" aca="1" ref="BX33" ca="1">INDEX(Master!$H$2:'Master'!$H$4384,MATCH($A33&amp;BX$2,Master!$A$2:'Master'!$A$4384&amp;Master!$C$2:'Master'!$C$4384,0))</f>
        <v>99</v>
      </c>
      <c r="BY33" s="21" cm="1">
        <f t="array" aca="1" ref="BY33" ca="1">INDEX(Master!$H$2:'Master'!$H$4384,MATCH($A33&amp;BY$2,Master!$A$2:'Master'!$A$4384&amp;Master!$C$2:'Master'!$C$4384,0))</f>
        <v>99</v>
      </c>
      <c r="BZ33" s="21" cm="1">
        <f t="array" aca="1" ref="BZ33" ca="1">INDEX(Master!$H$2:'Master'!$H$4384,MATCH($A33&amp;BZ$2,Master!$A$2:'Master'!$A$4384&amp;Master!$C$2:'Master'!$C$4384,0))</f>
        <v>98</v>
      </c>
      <c r="CA33" s="21" cm="1">
        <f t="array" aca="1" ref="CA33" ca="1">INDEX(Master!$H$2:'Master'!$H$4384,MATCH($A33&amp;CA$2,Master!$A$2:'Master'!$A$4384&amp;Master!$C$2:'Master'!$C$4384,0))</f>
        <v>99</v>
      </c>
      <c r="CB33" s="21" cm="1">
        <f t="array" aca="1" ref="CB33" ca="1">INDEX(Master!$H$2:'Master'!$H$4384,MATCH($A33&amp;CB$2,Master!$A$2:'Master'!$A$4384&amp;Master!$C$2:'Master'!$C$4384,0))</f>
        <v>98</v>
      </c>
      <c r="CC33" s="21" cm="1">
        <f t="array" aca="1" ref="CC33" ca="1">INDEX(Master!$H$2:'Master'!$H$4384,MATCH($A33&amp;CC$2,Master!$A$2:'Master'!$A$4384&amp;Master!$C$2:'Master'!$C$4384,0))</f>
        <v>98</v>
      </c>
      <c r="CD33" s="21" cm="1">
        <f t="array" aca="1" ref="CD33" ca="1">INDEX(Master!$H$2:'Master'!$H$4384,MATCH($A33&amp;CD$2,Master!$A$2:'Master'!$A$4384&amp;Master!$C$2:'Master'!$C$4384,0))</f>
        <v>98</v>
      </c>
      <c r="CE33" s="21" cm="1">
        <f t="array" aca="1" ref="CE33" ca="1">INDEX(Master!$H$2:'Master'!$H$4384,MATCH($A33&amp;CE$2,Master!$A$2:'Master'!$A$4384&amp;Master!$C$2:'Master'!$C$4384,0))</f>
        <v>99</v>
      </c>
      <c r="CF33" s="21" cm="1">
        <f t="array" aca="1" ref="CF33" ca="1">INDEX(Master!$H$2:'Master'!$H$4384,MATCH($A33&amp;CF$2,Master!$A$2:'Master'!$A$4384&amp;Master!$C$2:'Master'!$C$4384,0))</f>
        <v>99</v>
      </c>
      <c r="CG33" s="21" cm="1">
        <f t="array" aca="1" ref="CG33" ca="1">INDEX(Master!$H$2:'Master'!$H$4384,MATCH($A33&amp;CG$2,Master!$A$2:'Master'!$A$4384&amp;Master!$C$2:'Master'!$C$4384,0))</f>
        <v>97</v>
      </c>
      <c r="CH33" s="21" cm="1">
        <f t="array" aca="1" ref="CH33" ca="1">INDEX(Master!$H$2:'Master'!$H$4384,MATCH($A33&amp;CH$2,Master!$A$2:'Master'!$A$4384&amp;Master!$C$2:'Master'!$C$4384,0))</f>
        <v>99</v>
      </c>
      <c r="CI33" s="21" cm="1">
        <f t="array" aca="1" ref="CI33" ca="1">INDEX(Master!$H$2:'Master'!$H$4384,MATCH($A33&amp;CI$2,Master!$A$2:'Master'!$A$4384&amp;Master!$C$2:'Master'!$C$4384,0))</f>
        <v>97</v>
      </c>
      <c r="CJ33" s="21" cm="1">
        <f t="array" aca="1" ref="CJ33" ca="1">INDEX(Master!$H$2:'Master'!$H$4384,MATCH($A33&amp;CJ$2,Master!$A$2:'Master'!$A$4384&amp;Master!$C$2:'Master'!$C$4384,0))</f>
        <v>99</v>
      </c>
      <c r="CK33" s="21" cm="1">
        <f t="array" aca="1" ref="CK33" ca="1">INDEX(Master!$H$2:'Master'!$H$4384,MATCH($A33&amp;CK$2,Master!$A$2:'Master'!$A$4384&amp;Master!$C$2:'Master'!$C$4384,0))</f>
        <v>99</v>
      </c>
      <c r="CL33" s="21" cm="1">
        <f t="array" aca="1" ref="CL33" ca="1">INDEX(Master!$H$2:'Master'!$H$4384,MATCH($A33&amp;CL$2,Master!$A$2:'Master'!$A$4384&amp;Master!$C$2:'Master'!$C$4384,0))</f>
        <v>99</v>
      </c>
      <c r="CM33" s="21" cm="1">
        <f t="array" aca="1" ref="CM33" ca="1">INDEX(Master!$H$2:'Master'!$H$4384,MATCH($A33&amp;CM$2,Master!$A$2:'Master'!$A$4384&amp;Master!$C$2:'Master'!$C$4384,0))</f>
        <v>99</v>
      </c>
      <c r="CN33" s="21" cm="1">
        <f t="array" aca="1" ref="CN33" ca="1">INDEX(Master!$H$2:'Master'!$H$4384,MATCH($A33&amp;CN$2,Master!$A$2:'Master'!$A$4384&amp;Master!$C$2:'Master'!$C$4384,0))</f>
        <v>99</v>
      </c>
      <c r="CO33" s="21" cm="1">
        <f t="array" aca="1" ref="CO33" ca="1">INDEX(Master!$H$2:'Master'!$H$4384,MATCH($A33&amp;CO$2,Master!$A$2:'Master'!$A$4384&amp;Master!$C$2:'Master'!$C$4384,0))</f>
        <v>99</v>
      </c>
      <c r="CP33" s="21" cm="1">
        <f t="array" aca="1" ref="CP33" ca="1">INDEX(Master!$H$2:'Master'!$H$4384,MATCH($A33&amp;CP$2,Master!$A$2:'Master'!$A$4384&amp;Master!$C$2:'Master'!$C$4384,0))</f>
        <v>99</v>
      </c>
      <c r="CQ33" s="21" cm="1">
        <f t="array" aca="1" ref="CQ33" ca="1">INDEX(Master!$H$2:'Master'!$H$4384,MATCH($A33&amp;CQ$2,Master!$A$2:'Master'!$A$4384&amp;Master!$C$2:'Master'!$C$4384,0))</f>
        <v>99</v>
      </c>
      <c r="CR33" s="21" cm="1">
        <f t="array" aca="1" ref="CR33" ca="1">INDEX(Master!$H$2:'Master'!$H$4384,MATCH($A33&amp;CR$2,Master!$A$2:'Master'!$A$4384&amp;Master!$C$2:'Master'!$C$4384,0))</f>
        <v>99</v>
      </c>
      <c r="CS33" s="21" cm="1">
        <f t="array" aca="1" ref="CS33" ca="1">INDEX(Master!$H$2:'Master'!$H$4384,MATCH($A33&amp;CS$2,Master!$A$2:'Master'!$A$4384&amp;Master!$C$2:'Master'!$C$4384,0))</f>
        <v>98</v>
      </c>
    </row>
    <row r="34" spans="1:97">
      <c r="A34" s="22" t="str">
        <f>VLOOKUP(Staff!$A30,Staff!$A$1:A$73,1,FALSE)</f>
        <v>Jonathan Creek</v>
      </c>
      <c r="B34" s="21" cm="1">
        <f t="array" aca="1" ref="B34" ca="1">INDEX(Master!$H$2:'Master'!$H$4384,MATCH($A34&amp;B$2,Master!$A$2:'Master'!$A$4384&amp;Master!$C$2:'Master'!$C$4384,0))</f>
        <v>99</v>
      </c>
      <c r="C34" s="21" cm="1">
        <f t="array" aca="1" ref="C34" ca="1">INDEX(Master!$H$2:'Master'!$H$4384,MATCH($A34&amp;C$2,Master!$A$2:'Master'!$A$4384&amp;Master!$C$2:'Master'!$C$4384,0))</f>
        <v>99</v>
      </c>
      <c r="D34" s="21" cm="1">
        <f t="array" aca="1" ref="D34" ca="1">INDEX(Master!$H$2:'Master'!$H$4384,MATCH($A34&amp;D$2,Master!$A$2:'Master'!$A$4384&amp;Master!$C$2:'Master'!$C$4384,0))</f>
        <v>99</v>
      </c>
      <c r="E34" s="21" cm="1">
        <f t="array" aca="1" ref="E34" ca="1">INDEX(Master!$H$2:'Master'!$H$4384,MATCH($A34&amp;E$2,Master!$A$2:'Master'!$A$4384&amp;Master!$C$2:'Master'!$C$4384,0))</f>
        <v>97</v>
      </c>
      <c r="F34" s="21" cm="1">
        <f t="array" aca="1" ref="F34" ca="1">INDEX(Master!$H$2:'Master'!$H$4384,MATCH($A34&amp;F$2,Master!$A$2:'Master'!$A$4384&amp;Master!$C$2:'Master'!$C$4384,0))</f>
        <v>99</v>
      </c>
      <c r="G34" s="21" cm="1">
        <f t="array" aca="1" ref="G34" ca="1">INDEX(Master!$H$2:'Master'!$H$4384,MATCH($A34&amp;G$2,Master!$A$2:'Master'!$A$4384&amp;Master!$C$2:'Master'!$C$4384,0))</f>
        <v>97</v>
      </c>
      <c r="H34" s="21" cm="1">
        <f t="array" aca="1" ref="H34" ca="1">INDEX(Master!$H$2:'Master'!$H$4384,MATCH($A34&amp;H$2,Master!$A$2:'Master'!$A$4384&amp;Master!$C$2:'Master'!$C$4384,0))</f>
        <v>99</v>
      </c>
      <c r="I34" s="21" cm="1">
        <f t="array" aca="1" ref="I34" ca="1">INDEX(Master!$H$2:'Master'!$H$4384,MATCH($A34&amp;I$2,Master!$A$2:'Master'!$A$4384&amp;Master!$C$2:'Master'!$C$4384,0))</f>
        <v>99</v>
      </c>
      <c r="J34" s="21" cm="1">
        <f t="array" aca="1" ref="J34" ca="1">INDEX(Master!$H$2:'Master'!$H$4384,MATCH($A34&amp;J$2,Master!$A$2:'Master'!$A$4384&amp;Master!$C$2:'Master'!$C$4384,0))</f>
        <v>96</v>
      </c>
      <c r="K34" s="21" cm="1">
        <f t="array" aca="1" ref="K34" ca="1">INDEX(Master!$H$2:'Master'!$H$4384,MATCH($A34&amp;K$2,Master!$A$2:'Master'!$A$4384&amp;Master!$C$2:'Master'!$C$4384,0))</f>
        <v>97</v>
      </c>
      <c r="L34" s="21" cm="1">
        <f t="array" aca="1" ref="L34" ca="1">INDEX(Master!$H$2:'Master'!$H$4384,MATCH($A34&amp;L$2,Master!$A$2:'Master'!$A$4384&amp;Master!$C$2:'Master'!$C$4384,0))</f>
        <v>97</v>
      </c>
      <c r="M34" s="21" cm="1">
        <f t="array" aca="1" ref="M34" ca="1">INDEX(Master!$H$2:'Master'!$H$4384,MATCH($A34&amp;M$2,Master!$A$2:'Master'!$A$4384&amp;Master!$C$2:'Master'!$C$4384,0))</f>
        <v>96</v>
      </c>
      <c r="N34" s="21" cm="1">
        <f t="array" aca="1" ref="N34" ca="1">INDEX(Master!$H$2:'Master'!$H$4384,MATCH($A34&amp;N$2,Master!$A$2:'Master'!$A$4384&amp;Master!$C$2:'Master'!$C$4384,0))</f>
        <v>97</v>
      </c>
      <c r="O34" s="21" cm="1">
        <f t="array" aca="1" ref="O34" ca="1">INDEX(Master!$H$2:'Master'!$H$4384,MATCH($A34&amp;O$2,Master!$A$2:'Master'!$A$4384&amp;Master!$C$2:'Master'!$C$4384,0))</f>
        <v>97</v>
      </c>
      <c r="P34" s="21" cm="1">
        <f t="array" aca="1" ref="P34" ca="1">INDEX(Master!$H$2:'Master'!$H$4384,MATCH($A34&amp;P$2,Master!$A$2:'Master'!$A$4384&amp;Master!$C$2:'Master'!$C$4384,0))</f>
        <v>97</v>
      </c>
      <c r="Q34" s="21" cm="1">
        <f t="array" aca="1" ref="Q34" ca="1">INDEX(Master!$H$2:'Master'!$H$4384,MATCH($A34&amp;Q$2,Master!$A$2:'Master'!$A$4384&amp;Master!$C$2:'Master'!$C$4384,0))</f>
        <v>98</v>
      </c>
      <c r="R34" s="21" cm="1">
        <f t="array" aca="1" ref="R34" ca="1">INDEX(Master!$H$2:'Master'!$H$4384,MATCH($A34&amp;R$2,Master!$A$2:'Master'!$A$4384&amp;Master!$C$2:'Master'!$C$4384,0))</f>
        <v>99</v>
      </c>
      <c r="S34" s="21" cm="1">
        <f t="array" aca="1" ref="S34" ca="1">INDEX(Master!$H$2:'Master'!$H$4384,MATCH($A34&amp;S$2,Master!$A$2:'Master'!$A$4384&amp;Master!$C$2:'Master'!$C$4384,0))</f>
        <v>99</v>
      </c>
      <c r="T34" s="21" cm="1">
        <f t="array" aca="1" ref="T34" ca="1">INDEX(Master!$H$2:'Master'!$H$4384,MATCH($A34&amp;T$2,Master!$A$2:'Master'!$A$4384&amp;Master!$C$2:'Master'!$C$4384,0))</f>
        <v>98</v>
      </c>
      <c r="U34" s="21" cm="1">
        <f t="array" aca="1" ref="U34" ca="1">INDEX(Master!$H$2:'Master'!$H$4384,MATCH($A34&amp;U$2,Master!$A$2:'Master'!$A$4384&amp;Master!$C$2:'Master'!$C$4384,0))</f>
        <v>99</v>
      </c>
      <c r="V34" s="21" cm="1">
        <f t="array" aca="1" ref="V34" ca="1">INDEX(Master!$H$2:'Master'!$H$4384,MATCH($A34&amp;V$2,Master!$A$2:'Master'!$A$4384&amp;Master!$C$2:'Master'!$C$4384,0))</f>
        <v>97</v>
      </c>
      <c r="W34" s="21" cm="1">
        <f t="array" aca="1" ref="W34" ca="1">INDEX(Master!$H$2:'Master'!$H$4384,MATCH($A34&amp;W$2,Master!$A$2:'Master'!$A$4384&amp;Master!$C$2:'Master'!$C$4384,0))</f>
        <v>98</v>
      </c>
      <c r="X34" s="21" cm="1">
        <f t="array" aca="1" ref="X34" ca="1">INDEX(Master!$H$2:'Master'!$H$4384,MATCH($A34&amp;X$2,Master!$A$2:'Master'!$A$4384&amp;Master!$C$2:'Master'!$C$4384,0))</f>
        <v>99</v>
      </c>
      <c r="Y34" s="21" cm="1">
        <f t="array" aca="1" ref="Y34" ca="1">INDEX(Master!$H$2:'Master'!$H$4384,MATCH($A34&amp;Y$2,Master!$A$2:'Master'!$A$4384&amp;Master!$C$2:'Master'!$C$4384,0))</f>
        <v>99</v>
      </c>
      <c r="Z34" s="21" cm="1">
        <f t="array" aca="1" ref="Z34" ca="1">INDEX(Master!$H$2:'Master'!$H$4384,MATCH($A34&amp;Z$2,Master!$A$2:'Master'!$A$4384&amp;Master!$C$2:'Master'!$C$4384,0))</f>
        <v>97</v>
      </c>
      <c r="AA34" s="21" cm="1">
        <f t="array" aca="1" ref="AA34" ca="1">INDEX(Master!$H$2:'Master'!$H$4384,MATCH($A34&amp;AA$2,Master!$A$2:'Master'!$A$4384&amp;Master!$C$2:'Master'!$C$4384,0))</f>
        <v>97</v>
      </c>
      <c r="AB34" s="21" cm="1">
        <f t="array" aca="1" ref="AB34" ca="1">INDEX(Master!$H$2:'Master'!$H$4384,MATCH($A34&amp;AB$2,Master!$A$2:'Master'!$A$4384&amp;Master!$C$2:'Master'!$C$4384,0))</f>
        <v>98</v>
      </c>
      <c r="AC34" s="21" cm="1">
        <f t="array" aca="1" ref="AC34" ca="1">INDEX(Master!$H$2:'Master'!$H$4384,MATCH($A34&amp;AC$2,Master!$A$2:'Master'!$A$4384&amp;Master!$C$2:'Master'!$C$4384,0))</f>
        <v>97</v>
      </c>
      <c r="AD34" s="21" cm="1">
        <f t="array" aca="1" ref="AD34" ca="1">INDEX(Master!$H$2:'Master'!$H$4384,MATCH($A34&amp;AD$2,Master!$A$2:'Master'!$A$4384&amp;Master!$C$2:'Master'!$C$4384,0))</f>
        <v>98</v>
      </c>
      <c r="AE34" s="21" cm="1">
        <f t="array" aca="1" ref="AE34" ca="1">INDEX(Master!$H$2:'Master'!$H$4384,MATCH($A34&amp;AE$2,Master!$A$2:'Master'!$A$4384&amp;Master!$C$2:'Master'!$C$4384,0))</f>
        <v>99</v>
      </c>
      <c r="AF34" s="21" cm="1">
        <f t="array" aca="1" ref="AF34" ca="1">INDEX(Master!$H$2:'Master'!$H$4384,MATCH($A34&amp;AF$2,Master!$A$2:'Master'!$A$4384&amp;Master!$C$2:'Master'!$C$4384,0))</f>
        <v>99</v>
      </c>
      <c r="AG34" s="21" cm="1">
        <f t="array" aca="1" ref="AG34" ca="1">INDEX(Master!$H$2:'Master'!$H$4384,MATCH($A34&amp;AG$2,Master!$A$2:'Master'!$A$4384&amp;Master!$C$2:'Master'!$C$4384,0))</f>
        <v>99</v>
      </c>
      <c r="AH34" s="21" cm="1">
        <f t="array" aca="1" ref="AH34" ca="1">INDEX(Master!$H$2:'Master'!$H$4384,MATCH($A34&amp;AH$2,Master!$A$2:'Master'!$A$4384&amp;Master!$C$2:'Master'!$C$4384,0))</f>
        <v>99</v>
      </c>
      <c r="AI34" s="21" cm="1">
        <f t="array" aca="1" ref="AI34" ca="1">INDEX(Master!$H$2:'Master'!$H$4384,MATCH($A34&amp;AI$2,Master!$A$2:'Master'!$A$4384&amp;Master!$C$2:'Master'!$C$4384,0))</f>
        <v>99</v>
      </c>
      <c r="AJ34" s="21" cm="1">
        <f t="array" aca="1" ref="AJ34" ca="1">INDEX(Master!$H$2:'Master'!$H$4384,MATCH($A34&amp;AJ$2,Master!$A$2:'Master'!$A$4384&amp;Master!$C$2:'Master'!$C$4384,0))</f>
        <v>99</v>
      </c>
      <c r="AK34" s="21" cm="1">
        <f t="array" aca="1" ref="AK34" ca="1">INDEX(Master!$H$2:'Master'!$H$4384,MATCH($A34&amp;AK$2,Master!$A$2:'Master'!$A$4384&amp;Master!$C$2:'Master'!$C$4384,0))</f>
        <v>99</v>
      </c>
      <c r="AL34" s="21" cm="1">
        <f t="array" aca="1" ref="AL34" ca="1">INDEX(Master!$H$2:'Master'!$H$4384,MATCH($A34&amp;AL$2,Master!$A$2:'Master'!$A$4384&amp;Master!$C$2:'Master'!$C$4384,0))</f>
        <v>99</v>
      </c>
      <c r="AM34" s="21" cm="1">
        <f t="array" aca="1" ref="AM34" ca="1">INDEX(Master!$H$2:'Master'!$H$4384,MATCH($A34&amp;AM$2,Master!$A$2:'Master'!$A$4384&amp;Master!$C$2:'Master'!$C$4384,0))</f>
        <v>99</v>
      </c>
      <c r="AN34" s="21" cm="1">
        <f t="array" aca="1" ref="AN34" ca="1">INDEX(Master!$H$2:'Master'!$H$4384,MATCH($A34&amp;AN$2,Master!$A$2:'Master'!$A$4384&amp;Master!$C$2:'Master'!$C$4384,0))</f>
        <v>99</v>
      </c>
      <c r="AO34" s="21" cm="1">
        <f t="array" aca="1" ref="AO34" ca="1">INDEX(Master!$H$2:'Master'!$H$4384,MATCH($A34&amp;AO$2,Master!$A$2:'Master'!$A$4384&amp;Master!$C$2:'Master'!$C$4384,0))</f>
        <v>98</v>
      </c>
      <c r="AP34" s="21" cm="1">
        <f t="array" aca="1" ref="AP34" ca="1">INDEX(Master!$H$2:'Master'!$H$4384,MATCH($A34&amp;AP$2,Master!$A$2:'Master'!$A$4384&amp;Master!$C$2:'Master'!$C$4384,0))</f>
        <v>97</v>
      </c>
      <c r="AQ34" s="21" cm="1">
        <f t="array" aca="1" ref="AQ34" ca="1">INDEX(Master!$H$2:'Master'!$H$4384,MATCH($A34&amp;AQ$2,Master!$A$2:'Master'!$A$4384&amp;Master!$C$2:'Master'!$C$4384,0))</f>
        <v>98</v>
      </c>
      <c r="AR34" s="21" cm="1">
        <f t="array" aca="1" ref="AR34" ca="1">INDEX(Master!$H$2:'Master'!$H$4384,MATCH($A34&amp;AR$2,Master!$A$2:'Master'!$A$4384&amp;Master!$C$2:'Master'!$C$4384,0))</f>
        <v>98</v>
      </c>
      <c r="AS34" s="21" cm="1">
        <f t="array" aca="1" ref="AS34" ca="1">INDEX(Master!$H$2:'Master'!$H$4384,MATCH($A34&amp;AS$2,Master!$A$2:'Master'!$A$4384&amp;Master!$C$2:'Master'!$C$4384,0))</f>
        <v>99</v>
      </c>
      <c r="AT34" s="21" cm="1">
        <f t="array" aca="1" ref="AT34" ca="1">INDEX(Master!$H$2:'Master'!$H$4384,MATCH($A34&amp;AT$2,Master!$A$2:'Master'!$A$4384&amp;Master!$C$2:'Master'!$C$4384,0))</f>
        <v>99</v>
      </c>
      <c r="AU34" s="21" cm="1">
        <f t="array" aca="1" ref="AU34" ca="1">INDEX(Master!$H$2:'Master'!$H$4384,MATCH($A34&amp;AU$2,Master!$A$2:'Master'!$A$4384&amp;Master!$C$2:'Master'!$C$4384,0))</f>
        <v>99</v>
      </c>
      <c r="AV34" s="21" cm="1">
        <f t="array" aca="1" ref="AV34" ca="1">INDEX(Master!$H$2:'Master'!$H$4384,MATCH($A34&amp;AV$2,Master!$A$2:'Master'!$A$4384&amp;Master!$C$2:'Master'!$C$4384,0))</f>
        <v>97</v>
      </c>
      <c r="AW34" s="21" cm="1">
        <f t="array" aca="1" ref="AW34" ca="1">INDEX(Master!$H$2:'Master'!$H$4384,MATCH($A34&amp;AW$2,Master!$A$2:'Master'!$A$4384&amp;Master!$C$2:'Master'!$C$4384,0))</f>
        <v>99</v>
      </c>
      <c r="AX34" s="21" cm="1">
        <f t="array" aca="1" ref="AX34" ca="1">INDEX(Master!$H$2:'Master'!$H$4384,MATCH($A34&amp;AX$2,Master!$A$2:'Master'!$A$4384&amp;Master!$C$2:'Master'!$C$4384,0))</f>
        <v>99</v>
      </c>
      <c r="AY34" s="21" cm="1">
        <f t="array" aca="1" ref="AY34" ca="1">INDEX(Master!$H$2:'Master'!$H$4384,MATCH($A34&amp;AY$2,Master!$A$2:'Master'!$A$4384&amp;Master!$C$2:'Master'!$C$4384,0))</f>
        <v>99</v>
      </c>
      <c r="AZ34" s="21" cm="1">
        <f t="array" aca="1" ref="AZ34" ca="1">INDEX(Master!$H$2:'Master'!$H$4384,MATCH($A34&amp;AZ$2,Master!$A$2:'Master'!$A$4384&amp;Master!$C$2:'Master'!$C$4384,0))</f>
        <v>98</v>
      </c>
      <c r="BA34" s="21" cm="1">
        <f t="array" aca="1" ref="BA34" ca="1">INDEX(Master!$H$2:'Master'!$H$4384,MATCH($A34&amp;BA$2,Master!$A$2:'Master'!$A$4384&amp;Master!$C$2:'Master'!$C$4384,0))</f>
        <v>99</v>
      </c>
      <c r="BB34" s="21" cm="1">
        <f t="array" aca="1" ref="BB34" ca="1">INDEX(Master!$H$2:'Master'!$H$4384,MATCH($A34&amp;BB$2,Master!$A$2:'Master'!$A$4384&amp;Master!$C$2:'Master'!$C$4384,0))</f>
        <v>99</v>
      </c>
      <c r="BC34" s="21" cm="1">
        <f t="array" aca="1" ref="BC34" ca="1">INDEX(Master!$H$2:'Master'!$H$4384,MATCH($A34&amp;BC$2,Master!$A$2:'Master'!$A$4384&amp;Master!$C$2:'Master'!$C$4384,0))</f>
        <v>99</v>
      </c>
      <c r="BD34" s="21" cm="1">
        <f t="array" aca="1" ref="BD34" ca="1">INDEX(Master!$H$2:'Master'!$H$4384,MATCH($A34&amp;BD$2,Master!$A$2:'Master'!$A$4384&amp;Master!$C$2:'Master'!$C$4384,0))</f>
        <v>99</v>
      </c>
      <c r="BE34" s="21" cm="1">
        <f t="array" aca="1" ref="BE34" ca="1">INDEX(Master!$H$2:'Master'!$H$4384,MATCH($A34&amp;BE$2,Master!$A$2:'Master'!$A$4384&amp;Master!$C$2:'Master'!$C$4384,0))</f>
        <v>99</v>
      </c>
      <c r="BF34" s="21" cm="1">
        <f t="array" aca="1" ref="BF34" ca="1">INDEX(Master!$H$2:'Master'!$H$4384,MATCH($A34&amp;BF$2,Master!$A$2:'Master'!$A$4384&amp;Master!$C$2:'Master'!$C$4384,0))</f>
        <v>99</v>
      </c>
      <c r="BG34" s="21" cm="1">
        <f t="array" aca="1" ref="BG34" ca="1">INDEX(Master!$H$2:'Master'!$H$4384,MATCH($A34&amp;BG$2,Master!$A$2:'Master'!$A$4384&amp;Master!$C$2:'Master'!$C$4384,0))</f>
        <v>97</v>
      </c>
      <c r="BH34" s="21" cm="1">
        <f t="array" aca="1" ref="BH34" ca="1">INDEX(Master!$H$2:'Master'!$H$4384,MATCH($A34&amp;BH$2,Master!$A$2:'Master'!$A$4384&amp;Master!$C$2:'Master'!$C$4384,0))</f>
        <v>99</v>
      </c>
      <c r="BI34" s="21" cm="1">
        <f t="array" aca="1" ref="BI34" ca="1">INDEX(Master!$H$2:'Master'!$H$4384,MATCH($A34&amp;BI$2,Master!$A$2:'Master'!$A$4384&amp;Master!$C$2:'Master'!$C$4384,0))</f>
        <v>98</v>
      </c>
      <c r="BJ34" s="21" cm="1">
        <f t="array" aca="1" ref="BJ34" ca="1">INDEX(Master!$H$2:'Master'!$H$4384,MATCH($A34&amp;BJ$2,Master!$A$2:'Master'!$A$4384&amp;Master!$C$2:'Master'!$C$4384,0))</f>
        <v>99</v>
      </c>
      <c r="BK34" s="21" cm="1">
        <f t="array" aca="1" ref="BK34" ca="1">INDEX(Master!$H$2:'Master'!$H$4384,MATCH($A34&amp;BK$2,Master!$A$2:'Master'!$A$4384&amp;Master!$C$2:'Master'!$C$4384,0))</f>
        <v>98</v>
      </c>
      <c r="BL34" s="21" cm="1">
        <f t="array" aca="1" ref="BL34" ca="1">INDEX(Master!$H$2:'Master'!$H$4384,MATCH($A34&amp;BL$2,Master!$A$2:'Master'!$A$4384&amp;Master!$C$2:'Master'!$C$4384,0))</f>
        <v>98</v>
      </c>
      <c r="BM34" s="21" cm="1">
        <f t="array" aca="1" ref="BM34" ca="1">INDEX(Master!$H$2:'Master'!$H$4384,MATCH($A34&amp;BM$2,Master!$A$2:'Master'!$A$4384&amp;Master!$C$2:'Master'!$C$4384,0))</f>
        <v>98</v>
      </c>
      <c r="BN34" s="21" cm="1">
        <f t="array" aca="1" ref="BN34" ca="1">INDEX(Master!$H$2:'Master'!$H$4384,MATCH($A34&amp;BN$2,Master!$A$2:'Master'!$A$4384&amp;Master!$C$2:'Master'!$C$4384,0))</f>
        <v>99</v>
      </c>
      <c r="BO34" s="21" cm="1">
        <f t="array" aca="1" ref="BO34" ca="1">INDEX(Master!$H$2:'Master'!$H$4384,MATCH($A34&amp;BO$2,Master!$A$2:'Master'!$A$4384&amp;Master!$C$2:'Master'!$C$4384,0))</f>
        <v>99</v>
      </c>
      <c r="BP34" s="21" cm="1">
        <f t="array" aca="1" ref="BP34" ca="1">INDEX(Master!$H$2:'Master'!$H$4384,MATCH($A34&amp;BP$2,Master!$A$2:'Master'!$A$4384&amp;Master!$C$2:'Master'!$C$4384,0))</f>
        <v>99</v>
      </c>
      <c r="BQ34" s="21" cm="1">
        <f t="array" aca="1" ref="BQ34" ca="1">INDEX(Master!$H$2:'Master'!$H$4384,MATCH($A34&amp;BQ$2,Master!$A$2:'Master'!$A$4384&amp;Master!$C$2:'Master'!$C$4384,0))</f>
        <v>98</v>
      </c>
      <c r="BR34" s="21" cm="1">
        <f t="array" aca="1" ref="BR34" ca="1">INDEX(Master!$H$2:'Master'!$H$4384,MATCH($A34&amp;BR$2,Master!$A$2:'Master'!$A$4384&amp;Master!$C$2:'Master'!$C$4384,0))</f>
        <v>99</v>
      </c>
      <c r="BS34" s="21" cm="1">
        <f t="array" aca="1" ref="BS34" ca="1">INDEX(Master!$H$2:'Master'!$H$4384,MATCH($A34&amp;BS$2,Master!$A$2:'Master'!$A$4384&amp;Master!$C$2:'Master'!$C$4384,0))</f>
        <v>99</v>
      </c>
      <c r="BT34" s="21" cm="1">
        <f t="array" aca="1" ref="BT34" ca="1">INDEX(Master!$H$2:'Master'!$H$4384,MATCH($A34&amp;BT$2,Master!$A$2:'Master'!$A$4384&amp;Master!$C$2:'Master'!$C$4384,0))</f>
        <v>99</v>
      </c>
      <c r="BU34" s="21" cm="1">
        <f t="array" aca="1" ref="BU34" ca="1">INDEX(Master!$H$2:'Master'!$H$4384,MATCH($A34&amp;BU$2,Master!$A$2:'Master'!$A$4384&amp;Master!$C$2:'Master'!$C$4384,0))</f>
        <v>99</v>
      </c>
      <c r="BV34" s="21" cm="1">
        <f t="array" aca="1" ref="BV34" ca="1">INDEX(Master!$H$2:'Master'!$H$4384,MATCH($A34&amp;BV$2,Master!$A$2:'Master'!$A$4384&amp;Master!$C$2:'Master'!$C$4384,0))</f>
        <v>97</v>
      </c>
      <c r="BW34" s="21" cm="1">
        <f t="array" aca="1" ref="BW34" ca="1">INDEX(Master!$H$2:'Master'!$H$4384,MATCH($A34&amp;BW$2,Master!$A$2:'Master'!$A$4384&amp;Master!$C$2:'Master'!$C$4384,0))</f>
        <v>99</v>
      </c>
      <c r="BX34" s="21" cm="1">
        <f t="array" aca="1" ref="BX34" ca="1">INDEX(Master!$H$2:'Master'!$H$4384,MATCH($A34&amp;BX$2,Master!$A$2:'Master'!$A$4384&amp;Master!$C$2:'Master'!$C$4384,0))</f>
        <v>97</v>
      </c>
      <c r="BY34" s="21" cm="1">
        <f t="array" aca="1" ref="BY34" ca="1">INDEX(Master!$H$2:'Master'!$H$4384,MATCH($A34&amp;BY$2,Master!$A$2:'Master'!$A$4384&amp;Master!$C$2:'Master'!$C$4384,0))</f>
        <v>99</v>
      </c>
      <c r="BZ34" s="21" cm="1">
        <f t="array" aca="1" ref="BZ34" ca="1">INDEX(Master!$H$2:'Master'!$H$4384,MATCH($A34&amp;BZ$2,Master!$A$2:'Master'!$A$4384&amp;Master!$C$2:'Master'!$C$4384,0))</f>
        <v>98</v>
      </c>
      <c r="CA34" s="21" cm="1">
        <f t="array" aca="1" ref="CA34" ca="1">INDEX(Master!$H$2:'Master'!$H$4384,MATCH($A34&amp;CA$2,Master!$A$2:'Master'!$A$4384&amp;Master!$C$2:'Master'!$C$4384,0))</f>
        <v>99</v>
      </c>
      <c r="CB34" s="21" cm="1">
        <f t="array" aca="1" ref="CB34" ca="1">INDEX(Master!$H$2:'Master'!$H$4384,MATCH($A34&amp;CB$2,Master!$A$2:'Master'!$A$4384&amp;Master!$C$2:'Master'!$C$4384,0))</f>
        <v>98</v>
      </c>
      <c r="CC34" s="21" cm="1">
        <f t="array" aca="1" ref="CC34" ca="1">INDEX(Master!$H$2:'Master'!$H$4384,MATCH($A34&amp;CC$2,Master!$A$2:'Master'!$A$4384&amp;Master!$C$2:'Master'!$C$4384,0))</f>
        <v>98</v>
      </c>
      <c r="CD34" s="21" cm="1">
        <f t="array" aca="1" ref="CD34" ca="1">INDEX(Master!$H$2:'Master'!$H$4384,MATCH($A34&amp;CD$2,Master!$A$2:'Master'!$A$4384&amp;Master!$C$2:'Master'!$C$4384,0))</f>
        <v>98</v>
      </c>
      <c r="CE34" s="21" cm="1">
        <f t="array" aca="1" ref="CE34" ca="1">INDEX(Master!$H$2:'Master'!$H$4384,MATCH($A34&amp;CE$2,Master!$A$2:'Master'!$A$4384&amp;Master!$C$2:'Master'!$C$4384,0))</f>
        <v>98</v>
      </c>
      <c r="CF34" s="21" cm="1">
        <f t="array" aca="1" ref="CF34" ca="1">INDEX(Master!$H$2:'Master'!$H$4384,MATCH($A34&amp;CF$2,Master!$A$2:'Master'!$A$4384&amp;Master!$C$2:'Master'!$C$4384,0))</f>
        <v>98</v>
      </c>
      <c r="CG34" s="21" cm="1">
        <f t="array" aca="1" ref="CG34" ca="1">INDEX(Master!$H$2:'Master'!$H$4384,MATCH($A34&amp;CG$2,Master!$A$2:'Master'!$A$4384&amp;Master!$C$2:'Master'!$C$4384,0))</f>
        <v>98</v>
      </c>
      <c r="CH34" s="21" cm="1">
        <f t="array" aca="1" ref="CH34" ca="1">INDEX(Master!$H$2:'Master'!$H$4384,MATCH($A34&amp;CH$2,Master!$A$2:'Master'!$A$4384&amp;Master!$C$2:'Master'!$C$4384,0))</f>
        <v>98</v>
      </c>
      <c r="CI34" s="21" cm="1">
        <f t="array" aca="1" ref="CI34" ca="1">INDEX(Master!$H$2:'Master'!$H$4384,MATCH($A34&amp;CI$2,Master!$A$2:'Master'!$A$4384&amp;Master!$C$2:'Master'!$C$4384,0))</f>
        <v>98</v>
      </c>
      <c r="CJ34" s="21" cm="1">
        <f t="array" aca="1" ref="CJ34" ca="1">INDEX(Master!$H$2:'Master'!$H$4384,MATCH($A34&amp;CJ$2,Master!$A$2:'Master'!$A$4384&amp;Master!$C$2:'Master'!$C$4384,0))</f>
        <v>99</v>
      </c>
      <c r="CK34" s="21" cm="1">
        <f t="array" aca="1" ref="CK34" ca="1">INDEX(Master!$H$2:'Master'!$H$4384,MATCH($A34&amp;CK$2,Master!$A$2:'Master'!$A$4384&amp;Master!$C$2:'Master'!$C$4384,0))</f>
        <v>99</v>
      </c>
      <c r="CL34" s="21" cm="1">
        <f t="array" aca="1" ref="CL34" ca="1">INDEX(Master!$H$2:'Master'!$H$4384,MATCH($A34&amp;CL$2,Master!$A$2:'Master'!$A$4384&amp;Master!$C$2:'Master'!$C$4384,0))</f>
        <v>99</v>
      </c>
      <c r="CM34" s="21" cm="1">
        <f t="array" aca="1" ref="CM34" ca="1">INDEX(Master!$H$2:'Master'!$H$4384,MATCH($A34&amp;CM$2,Master!$A$2:'Master'!$A$4384&amp;Master!$C$2:'Master'!$C$4384,0))</f>
        <v>99</v>
      </c>
      <c r="CN34" s="21" cm="1">
        <f t="array" aca="1" ref="CN34" ca="1">INDEX(Master!$H$2:'Master'!$H$4384,MATCH($A34&amp;CN$2,Master!$A$2:'Master'!$A$4384&amp;Master!$C$2:'Master'!$C$4384,0))</f>
        <v>97</v>
      </c>
      <c r="CO34" s="21" cm="1">
        <f t="array" aca="1" ref="CO34" ca="1">INDEX(Master!$H$2:'Master'!$H$4384,MATCH($A34&amp;CO$2,Master!$A$2:'Master'!$A$4384&amp;Master!$C$2:'Master'!$C$4384,0))</f>
        <v>97</v>
      </c>
      <c r="CP34" s="21" cm="1">
        <f t="array" aca="1" ref="CP34" ca="1">INDEX(Master!$H$2:'Master'!$H$4384,MATCH($A34&amp;CP$2,Master!$A$2:'Master'!$A$4384&amp;Master!$C$2:'Master'!$C$4384,0))</f>
        <v>97</v>
      </c>
      <c r="CQ34" s="21" cm="1">
        <f t="array" aca="1" ref="CQ34" ca="1">INDEX(Master!$H$2:'Master'!$H$4384,MATCH($A34&amp;CQ$2,Master!$A$2:'Master'!$A$4384&amp;Master!$C$2:'Master'!$C$4384,0))</f>
        <v>99</v>
      </c>
      <c r="CR34" s="21" cm="1">
        <f t="array" aca="1" ref="CR34" ca="1">INDEX(Master!$H$2:'Master'!$H$4384,MATCH($A34&amp;CR$2,Master!$A$2:'Master'!$A$4384&amp;Master!$C$2:'Master'!$C$4384,0))</f>
        <v>99</v>
      </c>
      <c r="CS34" s="21" cm="1">
        <f t="array" aca="1" ref="CS34" ca="1">INDEX(Master!$H$2:'Master'!$H$4384,MATCH($A34&amp;CS$2,Master!$A$2:'Master'!$A$4384&amp;Master!$C$2:'Master'!$C$4384,0))</f>
        <v>98</v>
      </c>
    </row>
    <row r="35" spans="1:97">
      <c r="A35" s="22" t="str">
        <f>VLOOKUP(Staff!$A31,Staff!$A$1:A$73,1,FALSE)</f>
        <v>Hercule Poirot</v>
      </c>
      <c r="B35" s="21" cm="1">
        <f t="array" aca="1" ref="B35" ca="1">INDEX(Master!$H$2:'Master'!$H$4384,MATCH($A35&amp;B$2,Master!$A$2:'Master'!$A$4384&amp;Master!$C$2:'Master'!$C$4384,0))</f>
        <v>97</v>
      </c>
      <c r="C35" s="21" cm="1">
        <f t="array" aca="1" ref="C35" ca="1">INDEX(Master!$H$2:'Master'!$H$4384,MATCH($A35&amp;C$2,Master!$A$2:'Master'!$A$4384&amp;Master!$C$2:'Master'!$C$4384,0))</f>
        <v>97</v>
      </c>
      <c r="D35" s="21" cm="1">
        <f t="array" aca="1" ref="D35" ca="1">INDEX(Master!$H$2:'Master'!$H$4384,MATCH($A35&amp;D$2,Master!$A$2:'Master'!$A$4384&amp;Master!$C$2:'Master'!$C$4384,0))</f>
        <v>96</v>
      </c>
      <c r="E35" s="21" cm="1">
        <f t="array" aca="1" ref="E35" ca="1">INDEX(Master!$H$2:'Master'!$H$4384,MATCH($A35&amp;E$2,Master!$A$2:'Master'!$A$4384&amp;Master!$C$2:'Master'!$C$4384,0))</f>
        <v>97</v>
      </c>
      <c r="F35" s="21" cm="1">
        <f t="array" aca="1" ref="F35" ca="1">INDEX(Master!$H$2:'Master'!$H$4384,MATCH($A35&amp;F$2,Master!$A$2:'Master'!$A$4384&amp;Master!$C$2:'Master'!$C$4384,0))</f>
        <v>96</v>
      </c>
      <c r="G35" s="21" cm="1">
        <f t="array" aca="1" ref="G35" ca="1">INDEX(Master!$H$2:'Master'!$H$4384,MATCH($A35&amp;G$2,Master!$A$2:'Master'!$A$4384&amp;Master!$C$2:'Master'!$C$4384,0))</f>
        <v>97</v>
      </c>
      <c r="H35" s="21" cm="1">
        <f t="array" aca="1" ref="H35" ca="1">INDEX(Master!$H$2:'Master'!$H$4384,MATCH($A35&amp;H$2,Master!$A$2:'Master'!$A$4384&amp;Master!$C$2:'Master'!$C$4384,0))</f>
        <v>97</v>
      </c>
      <c r="I35" s="21" cm="1">
        <f t="array" aca="1" ref="I35" ca="1">INDEX(Master!$H$2:'Master'!$H$4384,MATCH($A35&amp;I$2,Master!$A$2:'Master'!$A$4384&amp;Master!$C$2:'Master'!$C$4384,0))</f>
        <v>97</v>
      </c>
      <c r="J35" s="21" cm="1">
        <f t="array" aca="1" ref="J35" ca="1">INDEX(Master!$H$2:'Master'!$H$4384,MATCH($A35&amp;J$2,Master!$A$2:'Master'!$A$4384&amp;Master!$C$2:'Master'!$C$4384,0))</f>
        <v>97</v>
      </c>
      <c r="K35" s="21" cm="1">
        <f t="array" aca="1" ref="K35" ca="1">INDEX(Master!$H$2:'Master'!$H$4384,MATCH($A35&amp;K$2,Master!$A$2:'Master'!$A$4384&amp;Master!$C$2:'Master'!$C$4384,0))</f>
        <v>98</v>
      </c>
      <c r="L35" s="21" cm="1">
        <f t="array" aca="1" ref="L35" ca="1">INDEX(Master!$H$2:'Master'!$H$4384,MATCH($A35&amp;L$2,Master!$A$2:'Master'!$A$4384&amp;Master!$C$2:'Master'!$C$4384,0))</f>
        <v>99</v>
      </c>
      <c r="M35" s="21" cm="1">
        <f t="array" aca="1" ref="M35" ca="1">INDEX(Master!$H$2:'Master'!$H$4384,MATCH($A35&amp;M$2,Master!$A$2:'Master'!$A$4384&amp;Master!$C$2:'Master'!$C$4384,0))</f>
        <v>98</v>
      </c>
      <c r="N35" s="21" cm="1">
        <f t="array" aca="1" ref="N35" ca="1">INDEX(Master!$H$2:'Master'!$H$4384,MATCH($A35&amp;N$2,Master!$A$2:'Master'!$A$4384&amp;Master!$C$2:'Master'!$C$4384,0))</f>
        <v>98</v>
      </c>
      <c r="O35" s="21" cm="1">
        <f t="array" aca="1" ref="O35" ca="1">INDEX(Master!$H$2:'Master'!$H$4384,MATCH($A35&amp;O$2,Master!$A$2:'Master'!$A$4384&amp;Master!$C$2:'Master'!$C$4384,0))</f>
        <v>98</v>
      </c>
      <c r="P35" s="21" cm="1">
        <f t="array" aca="1" ref="P35" ca="1">INDEX(Master!$H$2:'Master'!$H$4384,MATCH($A35&amp;P$2,Master!$A$2:'Master'!$A$4384&amp;Master!$C$2:'Master'!$C$4384,0))</f>
        <v>97</v>
      </c>
      <c r="Q35" s="21" cm="1">
        <f t="array" aca="1" ref="Q35" ca="1">INDEX(Master!$H$2:'Master'!$H$4384,MATCH($A35&amp;Q$2,Master!$A$2:'Master'!$A$4384&amp;Master!$C$2:'Master'!$C$4384,0))</f>
        <v>98</v>
      </c>
      <c r="R35" s="21" cm="1">
        <f t="array" aca="1" ref="R35" ca="1">INDEX(Master!$H$2:'Master'!$H$4384,MATCH($A35&amp;R$2,Master!$A$2:'Master'!$A$4384&amp;Master!$C$2:'Master'!$C$4384,0))</f>
        <v>99</v>
      </c>
      <c r="S35" s="21" cm="1">
        <f t="array" aca="1" ref="S35" ca="1">INDEX(Master!$H$2:'Master'!$H$4384,MATCH($A35&amp;S$2,Master!$A$2:'Master'!$A$4384&amp;Master!$C$2:'Master'!$C$4384,0))</f>
        <v>99</v>
      </c>
      <c r="T35" s="21" cm="1">
        <f t="array" aca="1" ref="T35" ca="1">INDEX(Master!$H$2:'Master'!$H$4384,MATCH($A35&amp;T$2,Master!$A$2:'Master'!$A$4384&amp;Master!$C$2:'Master'!$C$4384,0))</f>
        <v>97</v>
      </c>
      <c r="U35" s="21" cm="1">
        <f t="array" aca="1" ref="U35" ca="1">INDEX(Master!$H$2:'Master'!$H$4384,MATCH($A35&amp;U$2,Master!$A$2:'Master'!$A$4384&amp;Master!$C$2:'Master'!$C$4384,0))</f>
        <v>97</v>
      </c>
      <c r="V35" s="21" cm="1">
        <f t="array" aca="1" ref="V35" ca="1">INDEX(Master!$H$2:'Master'!$H$4384,MATCH($A35&amp;V$2,Master!$A$2:'Master'!$A$4384&amp;Master!$C$2:'Master'!$C$4384,0))</f>
        <v>98</v>
      </c>
      <c r="W35" s="21" cm="1">
        <f t="array" aca="1" ref="W35" ca="1">INDEX(Master!$H$2:'Master'!$H$4384,MATCH($A35&amp;W$2,Master!$A$2:'Master'!$A$4384&amp;Master!$C$2:'Master'!$C$4384,0))</f>
        <v>97</v>
      </c>
      <c r="X35" s="21" cm="1">
        <f t="array" aca="1" ref="X35" ca="1">INDEX(Master!$H$2:'Master'!$H$4384,MATCH($A35&amp;X$2,Master!$A$2:'Master'!$A$4384&amp;Master!$C$2:'Master'!$C$4384,0))</f>
        <v>99</v>
      </c>
      <c r="Y35" s="21" cm="1">
        <f t="array" aca="1" ref="Y35" ca="1">INDEX(Master!$H$2:'Master'!$H$4384,MATCH($A35&amp;Y$2,Master!$A$2:'Master'!$A$4384&amp;Master!$C$2:'Master'!$C$4384,0))</f>
        <v>99</v>
      </c>
      <c r="Z35" s="21" cm="1">
        <f t="array" aca="1" ref="Z35" ca="1">INDEX(Master!$H$2:'Master'!$H$4384,MATCH($A35&amp;Z$2,Master!$A$2:'Master'!$A$4384&amp;Master!$C$2:'Master'!$C$4384,0))</f>
        <v>99</v>
      </c>
      <c r="AA35" s="21" cm="1">
        <f t="array" aca="1" ref="AA35" ca="1">INDEX(Master!$H$2:'Master'!$H$4384,MATCH($A35&amp;AA$2,Master!$A$2:'Master'!$A$4384&amp;Master!$C$2:'Master'!$C$4384,0))</f>
        <v>99</v>
      </c>
      <c r="AB35" s="21" cm="1">
        <f t="array" aca="1" ref="AB35" ca="1">INDEX(Master!$H$2:'Master'!$H$4384,MATCH($A35&amp;AB$2,Master!$A$2:'Master'!$A$4384&amp;Master!$C$2:'Master'!$C$4384,0))</f>
        <v>99</v>
      </c>
      <c r="AC35" s="21" cm="1">
        <f t="array" aca="1" ref="AC35" ca="1">INDEX(Master!$H$2:'Master'!$H$4384,MATCH($A35&amp;AC$2,Master!$A$2:'Master'!$A$4384&amp;Master!$C$2:'Master'!$C$4384,0))</f>
        <v>99</v>
      </c>
      <c r="AD35" s="21" cm="1">
        <f t="array" aca="1" ref="AD35" ca="1">INDEX(Master!$H$2:'Master'!$H$4384,MATCH($A35&amp;AD$2,Master!$A$2:'Master'!$A$4384&amp;Master!$C$2:'Master'!$C$4384,0))</f>
        <v>99</v>
      </c>
      <c r="AE35" s="21" cm="1">
        <f t="array" aca="1" ref="AE35" ca="1">INDEX(Master!$H$2:'Master'!$H$4384,MATCH($A35&amp;AE$2,Master!$A$2:'Master'!$A$4384&amp;Master!$C$2:'Master'!$C$4384,0))</f>
        <v>99</v>
      </c>
      <c r="AF35" s="21" cm="1">
        <f t="array" aca="1" ref="AF35" ca="1">INDEX(Master!$H$2:'Master'!$H$4384,MATCH($A35&amp;AF$2,Master!$A$2:'Master'!$A$4384&amp;Master!$C$2:'Master'!$C$4384,0))</f>
        <v>98</v>
      </c>
      <c r="AG35" s="21" cm="1">
        <f t="array" aca="1" ref="AG35" ca="1">INDEX(Master!$H$2:'Master'!$H$4384,MATCH($A35&amp;AG$2,Master!$A$2:'Master'!$A$4384&amp;Master!$C$2:'Master'!$C$4384,0))</f>
        <v>98</v>
      </c>
      <c r="AH35" s="21" cm="1">
        <f t="array" aca="1" ref="AH35" ca="1">INDEX(Master!$H$2:'Master'!$H$4384,MATCH($A35&amp;AH$2,Master!$A$2:'Master'!$A$4384&amp;Master!$C$2:'Master'!$C$4384,0))</f>
        <v>97</v>
      </c>
      <c r="AI35" s="21" cm="1">
        <f t="array" aca="1" ref="AI35" ca="1">INDEX(Master!$H$2:'Master'!$H$4384,MATCH($A35&amp;AI$2,Master!$A$2:'Master'!$A$4384&amp;Master!$C$2:'Master'!$C$4384,0))</f>
        <v>98</v>
      </c>
      <c r="AJ35" s="21" cm="1">
        <f t="array" aca="1" ref="AJ35" ca="1">INDEX(Master!$H$2:'Master'!$H$4384,MATCH($A35&amp;AJ$2,Master!$A$2:'Master'!$A$4384&amp;Master!$C$2:'Master'!$C$4384,0))</f>
        <v>98</v>
      </c>
      <c r="AK35" s="21" cm="1">
        <f t="array" aca="1" ref="AK35" ca="1">INDEX(Master!$H$2:'Master'!$H$4384,MATCH($A35&amp;AK$2,Master!$A$2:'Master'!$A$4384&amp;Master!$C$2:'Master'!$C$4384,0))</f>
        <v>99</v>
      </c>
      <c r="AL35" s="21" cm="1">
        <f t="array" aca="1" ref="AL35" ca="1">INDEX(Master!$H$2:'Master'!$H$4384,MATCH($A35&amp;AL$2,Master!$A$2:'Master'!$A$4384&amp;Master!$C$2:'Master'!$C$4384,0))</f>
        <v>99</v>
      </c>
      <c r="AM35" s="21" cm="1">
        <f t="array" aca="1" ref="AM35" ca="1">INDEX(Master!$H$2:'Master'!$H$4384,MATCH($A35&amp;AM$2,Master!$A$2:'Master'!$A$4384&amp;Master!$C$2:'Master'!$C$4384,0))</f>
        <v>97</v>
      </c>
      <c r="AN35" s="21" cm="1">
        <f t="array" aca="1" ref="AN35" ca="1">INDEX(Master!$H$2:'Master'!$H$4384,MATCH($A35&amp;AN$2,Master!$A$2:'Master'!$A$4384&amp;Master!$C$2:'Master'!$C$4384,0))</f>
        <v>99</v>
      </c>
      <c r="AO35" s="21" cm="1">
        <f t="array" aca="1" ref="AO35" ca="1">INDEX(Master!$H$2:'Master'!$H$4384,MATCH($A35&amp;AO$2,Master!$A$2:'Master'!$A$4384&amp;Master!$C$2:'Master'!$C$4384,0))</f>
        <v>99</v>
      </c>
      <c r="AP35" s="21" cm="1">
        <f t="array" aca="1" ref="AP35" ca="1">INDEX(Master!$H$2:'Master'!$H$4384,MATCH($A35&amp;AP$2,Master!$A$2:'Master'!$A$4384&amp;Master!$C$2:'Master'!$C$4384,0))</f>
        <v>99</v>
      </c>
      <c r="AQ35" s="21" cm="1">
        <f t="array" aca="1" ref="AQ35" ca="1">INDEX(Master!$H$2:'Master'!$H$4384,MATCH($A35&amp;AQ$2,Master!$A$2:'Master'!$A$4384&amp;Master!$C$2:'Master'!$C$4384,0))</f>
        <v>99</v>
      </c>
      <c r="AR35" s="21" cm="1">
        <f t="array" aca="1" ref="AR35" ca="1">INDEX(Master!$H$2:'Master'!$H$4384,MATCH($A35&amp;AR$2,Master!$A$2:'Master'!$A$4384&amp;Master!$C$2:'Master'!$C$4384,0))</f>
        <v>99</v>
      </c>
      <c r="AS35" s="21" cm="1">
        <f t="array" aca="1" ref="AS35" ca="1">INDEX(Master!$H$2:'Master'!$H$4384,MATCH($A35&amp;AS$2,Master!$A$2:'Master'!$A$4384&amp;Master!$C$2:'Master'!$C$4384,0))</f>
        <v>99</v>
      </c>
      <c r="AT35" s="21" cm="1">
        <f t="array" aca="1" ref="AT35" ca="1">INDEX(Master!$H$2:'Master'!$H$4384,MATCH($A35&amp;AT$2,Master!$A$2:'Master'!$A$4384&amp;Master!$C$2:'Master'!$C$4384,0))</f>
        <v>99</v>
      </c>
      <c r="AU35" s="21" cm="1">
        <f t="array" aca="1" ref="AU35" ca="1">INDEX(Master!$H$2:'Master'!$H$4384,MATCH($A35&amp;AU$2,Master!$A$2:'Master'!$A$4384&amp;Master!$C$2:'Master'!$C$4384,0))</f>
        <v>99</v>
      </c>
      <c r="AV35" s="21" cm="1">
        <f t="array" aca="1" ref="AV35" ca="1">INDEX(Master!$H$2:'Master'!$H$4384,MATCH($A35&amp;AV$2,Master!$A$2:'Master'!$A$4384&amp;Master!$C$2:'Master'!$C$4384,0))</f>
        <v>99</v>
      </c>
      <c r="AW35" s="21" cm="1">
        <f t="array" aca="1" ref="AW35" ca="1">INDEX(Master!$H$2:'Master'!$H$4384,MATCH($A35&amp;AW$2,Master!$A$2:'Master'!$A$4384&amp;Master!$C$2:'Master'!$C$4384,0))</f>
        <v>99</v>
      </c>
      <c r="AX35" s="21" cm="1">
        <f t="array" aca="1" ref="AX35" ca="1">INDEX(Master!$H$2:'Master'!$H$4384,MATCH($A35&amp;AX$2,Master!$A$2:'Master'!$A$4384&amp;Master!$C$2:'Master'!$C$4384,0))</f>
        <v>97</v>
      </c>
      <c r="AY35" s="21" cm="1">
        <f t="array" aca="1" ref="AY35" ca="1">INDEX(Master!$H$2:'Master'!$H$4384,MATCH($A35&amp;AY$2,Master!$A$2:'Master'!$A$4384&amp;Master!$C$2:'Master'!$C$4384,0))</f>
        <v>97</v>
      </c>
      <c r="AZ35" s="21" cm="1">
        <f t="array" aca="1" ref="AZ35" ca="1">INDEX(Master!$H$2:'Master'!$H$4384,MATCH($A35&amp;AZ$2,Master!$A$2:'Master'!$A$4384&amp;Master!$C$2:'Master'!$C$4384,0))</f>
        <v>99</v>
      </c>
      <c r="BA35" s="21" cm="1">
        <f t="array" aca="1" ref="BA35" ca="1">INDEX(Master!$H$2:'Master'!$H$4384,MATCH($A35&amp;BA$2,Master!$A$2:'Master'!$A$4384&amp;Master!$C$2:'Master'!$C$4384,0))</f>
        <v>99</v>
      </c>
      <c r="BB35" s="21" cm="1">
        <f t="array" aca="1" ref="BB35" ca="1">INDEX(Master!$H$2:'Master'!$H$4384,MATCH($A35&amp;BB$2,Master!$A$2:'Master'!$A$4384&amp;Master!$C$2:'Master'!$C$4384,0))</f>
        <v>99</v>
      </c>
      <c r="BC35" s="21" cm="1">
        <f t="array" aca="1" ref="BC35" ca="1">INDEX(Master!$H$2:'Master'!$H$4384,MATCH($A35&amp;BC$2,Master!$A$2:'Master'!$A$4384&amp;Master!$C$2:'Master'!$C$4384,0))</f>
        <v>97</v>
      </c>
      <c r="BD35" s="21" cm="1">
        <f t="array" aca="1" ref="BD35" ca="1">INDEX(Master!$H$2:'Master'!$H$4384,MATCH($A35&amp;BD$2,Master!$A$2:'Master'!$A$4384&amp;Master!$C$2:'Master'!$C$4384,0))</f>
        <v>98</v>
      </c>
      <c r="BE35" s="21" cm="1">
        <f t="array" aca="1" ref="BE35" ca="1">INDEX(Master!$H$2:'Master'!$H$4384,MATCH($A35&amp;BE$2,Master!$A$2:'Master'!$A$4384&amp;Master!$C$2:'Master'!$C$4384,0))</f>
        <v>99</v>
      </c>
      <c r="BF35" s="21" cm="1">
        <f t="array" aca="1" ref="BF35" ca="1">INDEX(Master!$H$2:'Master'!$H$4384,MATCH($A35&amp;BF$2,Master!$A$2:'Master'!$A$4384&amp;Master!$C$2:'Master'!$C$4384,0))</f>
        <v>98</v>
      </c>
      <c r="BG35" s="21" cm="1">
        <f t="array" aca="1" ref="BG35" ca="1">INDEX(Master!$H$2:'Master'!$H$4384,MATCH($A35&amp;BG$2,Master!$A$2:'Master'!$A$4384&amp;Master!$C$2:'Master'!$C$4384,0))</f>
        <v>99</v>
      </c>
      <c r="BH35" s="21" cm="1">
        <f t="array" aca="1" ref="BH35" ca="1">INDEX(Master!$H$2:'Master'!$H$4384,MATCH($A35&amp;BH$2,Master!$A$2:'Master'!$A$4384&amp;Master!$C$2:'Master'!$C$4384,0))</f>
        <v>99</v>
      </c>
      <c r="BI35" s="21" cm="1">
        <f t="array" aca="1" ref="BI35" ca="1">INDEX(Master!$H$2:'Master'!$H$4384,MATCH($A35&amp;BI$2,Master!$A$2:'Master'!$A$4384&amp;Master!$C$2:'Master'!$C$4384,0))</f>
        <v>98</v>
      </c>
      <c r="BJ35" s="21" cm="1">
        <f t="array" aca="1" ref="BJ35" ca="1">INDEX(Master!$H$2:'Master'!$H$4384,MATCH($A35&amp;BJ$2,Master!$A$2:'Master'!$A$4384&amp;Master!$C$2:'Master'!$C$4384,0))</f>
        <v>99</v>
      </c>
      <c r="BK35" s="21" cm="1">
        <f t="array" aca="1" ref="BK35" ca="1">INDEX(Master!$H$2:'Master'!$H$4384,MATCH($A35&amp;BK$2,Master!$A$2:'Master'!$A$4384&amp;Master!$C$2:'Master'!$C$4384,0))</f>
        <v>98</v>
      </c>
      <c r="BL35" s="21" cm="1">
        <f t="array" aca="1" ref="BL35" ca="1">INDEX(Master!$H$2:'Master'!$H$4384,MATCH($A35&amp;BL$2,Master!$A$2:'Master'!$A$4384&amp;Master!$C$2:'Master'!$C$4384,0))</f>
        <v>98</v>
      </c>
      <c r="BM35" s="21" cm="1">
        <f t="array" aca="1" ref="BM35" ca="1">INDEX(Master!$H$2:'Master'!$H$4384,MATCH($A35&amp;BM$2,Master!$A$2:'Master'!$A$4384&amp;Master!$C$2:'Master'!$C$4384,0))</f>
        <v>98</v>
      </c>
      <c r="BN35" s="21" cm="1">
        <f t="array" aca="1" ref="BN35" ca="1">INDEX(Master!$H$2:'Master'!$H$4384,MATCH($A35&amp;BN$2,Master!$A$2:'Master'!$A$4384&amp;Master!$C$2:'Master'!$C$4384,0))</f>
        <v>98</v>
      </c>
      <c r="BO35" s="21" cm="1">
        <f t="array" aca="1" ref="BO35" ca="1">INDEX(Master!$H$2:'Master'!$H$4384,MATCH($A35&amp;BO$2,Master!$A$2:'Master'!$A$4384&amp;Master!$C$2:'Master'!$C$4384,0))</f>
        <v>98</v>
      </c>
      <c r="BP35" s="21" cm="1">
        <f t="array" aca="1" ref="BP35" ca="1">INDEX(Master!$H$2:'Master'!$H$4384,MATCH($A35&amp;BP$2,Master!$A$2:'Master'!$A$4384&amp;Master!$C$2:'Master'!$C$4384,0))</f>
        <v>99</v>
      </c>
      <c r="BQ35" s="21" cm="1">
        <f t="array" aca="1" ref="BQ35" ca="1">INDEX(Master!$H$2:'Master'!$H$4384,MATCH($A35&amp;BQ$2,Master!$A$2:'Master'!$A$4384&amp;Master!$C$2:'Master'!$C$4384,0))</f>
        <v>99</v>
      </c>
      <c r="BR35" s="21" cm="1">
        <f t="array" aca="1" ref="BR35" ca="1">INDEX(Master!$H$2:'Master'!$H$4384,MATCH($A35&amp;BR$2,Master!$A$2:'Master'!$A$4384&amp;Master!$C$2:'Master'!$C$4384,0))</f>
        <v>99</v>
      </c>
      <c r="BS35" s="21" cm="1">
        <f t="array" aca="1" ref="BS35" ca="1">INDEX(Master!$H$2:'Master'!$H$4384,MATCH($A35&amp;BS$2,Master!$A$2:'Master'!$A$4384&amp;Master!$C$2:'Master'!$C$4384,0))</f>
        <v>99</v>
      </c>
      <c r="BT35" s="21" cm="1">
        <f t="array" aca="1" ref="BT35" ca="1">INDEX(Master!$H$2:'Master'!$H$4384,MATCH($A35&amp;BT$2,Master!$A$2:'Master'!$A$4384&amp;Master!$C$2:'Master'!$C$4384,0))</f>
        <v>98</v>
      </c>
      <c r="BU35" s="21" cm="1">
        <f t="array" aca="1" ref="BU35" ca="1">INDEX(Master!$H$2:'Master'!$H$4384,MATCH($A35&amp;BU$2,Master!$A$2:'Master'!$A$4384&amp;Master!$C$2:'Master'!$C$4384,0))</f>
        <v>99</v>
      </c>
      <c r="BV35" s="21" cm="1">
        <f t="array" aca="1" ref="BV35" ca="1">INDEX(Master!$H$2:'Master'!$H$4384,MATCH($A35&amp;BV$2,Master!$A$2:'Master'!$A$4384&amp;Master!$C$2:'Master'!$C$4384,0))</f>
        <v>99</v>
      </c>
      <c r="BW35" s="21" cm="1">
        <f t="array" aca="1" ref="BW35" ca="1">INDEX(Master!$H$2:'Master'!$H$4384,MATCH($A35&amp;BW$2,Master!$A$2:'Master'!$A$4384&amp;Master!$C$2:'Master'!$C$4384,0))</f>
        <v>98</v>
      </c>
      <c r="BX35" s="21" cm="1">
        <f t="array" aca="1" ref="BX35" ca="1">INDEX(Master!$H$2:'Master'!$H$4384,MATCH($A35&amp;BX$2,Master!$A$2:'Master'!$A$4384&amp;Master!$C$2:'Master'!$C$4384,0))</f>
        <v>99</v>
      </c>
      <c r="BY35" s="21" cm="1">
        <f t="array" aca="1" ref="BY35" ca="1">INDEX(Master!$H$2:'Master'!$H$4384,MATCH($A35&amp;BY$2,Master!$A$2:'Master'!$A$4384&amp;Master!$C$2:'Master'!$C$4384,0))</f>
        <v>99</v>
      </c>
      <c r="BZ35" s="21" cm="1">
        <f t="array" aca="1" ref="BZ35" ca="1">INDEX(Master!$H$2:'Master'!$H$4384,MATCH($A35&amp;BZ$2,Master!$A$2:'Master'!$A$4384&amp;Master!$C$2:'Master'!$C$4384,0))</f>
        <v>98</v>
      </c>
      <c r="CA35" s="21" cm="1">
        <f t="array" aca="1" ref="CA35" ca="1">INDEX(Master!$H$2:'Master'!$H$4384,MATCH($A35&amp;CA$2,Master!$A$2:'Master'!$A$4384&amp;Master!$C$2:'Master'!$C$4384,0))</f>
        <v>99</v>
      </c>
      <c r="CB35" s="21" cm="1">
        <f t="array" aca="1" ref="CB35" ca="1">INDEX(Master!$H$2:'Master'!$H$4384,MATCH($A35&amp;CB$2,Master!$A$2:'Master'!$A$4384&amp;Master!$C$2:'Master'!$C$4384,0))</f>
        <v>98</v>
      </c>
      <c r="CC35" s="21" cm="1">
        <f t="array" aca="1" ref="CC35" ca="1">INDEX(Master!$H$2:'Master'!$H$4384,MATCH($A35&amp;CC$2,Master!$A$2:'Master'!$A$4384&amp;Master!$C$2:'Master'!$C$4384,0))</f>
        <v>98</v>
      </c>
      <c r="CD35" s="21" cm="1">
        <f t="array" aca="1" ref="CD35" ca="1">INDEX(Master!$H$2:'Master'!$H$4384,MATCH($A35&amp;CD$2,Master!$A$2:'Master'!$A$4384&amp;Master!$C$2:'Master'!$C$4384,0))</f>
        <v>98</v>
      </c>
      <c r="CE35" s="21" cm="1">
        <f t="array" aca="1" ref="CE35" ca="1">INDEX(Master!$H$2:'Master'!$H$4384,MATCH($A35&amp;CE$2,Master!$A$2:'Master'!$A$4384&amp;Master!$C$2:'Master'!$C$4384,0))</f>
        <v>99</v>
      </c>
      <c r="CF35" s="21" cm="1">
        <f t="array" aca="1" ref="CF35" ca="1">INDEX(Master!$H$2:'Master'!$H$4384,MATCH($A35&amp;CF$2,Master!$A$2:'Master'!$A$4384&amp;Master!$C$2:'Master'!$C$4384,0))</f>
        <v>99</v>
      </c>
      <c r="CG35" s="21" cm="1">
        <f t="array" aca="1" ref="CG35" ca="1">INDEX(Master!$H$2:'Master'!$H$4384,MATCH($A35&amp;CG$2,Master!$A$2:'Master'!$A$4384&amp;Master!$C$2:'Master'!$C$4384,0))</f>
        <v>97</v>
      </c>
      <c r="CH35" s="21" cm="1">
        <f t="array" aca="1" ref="CH35" ca="1">INDEX(Master!$H$2:'Master'!$H$4384,MATCH($A35&amp;CH$2,Master!$A$2:'Master'!$A$4384&amp;Master!$C$2:'Master'!$C$4384,0))</f>
        <v>99</v>
      </c>
      <c r="CI35" s="21" cm="1">
        <f t="array" aca="1" ref="CI35" ca="1">INDEX(Master!$H$2:'Master'!$H$4384,MATCH($A35&amp;CI$2,Master!$A$2:'Master'!$A$4384&amp;Master!$C$2:'Master'!$C$4384,0))</f>
        <v>97</v>
      </c>
      <c r="CJ35" s="21" cm="1">
        <f t="array" aca="1" ref="CJ35" ca="1">INDEX(Master!$H$2:'Master'!$H$4384,MATCH($A35&amp;CJ$2,Master!$A$2:'Master'!$A$4384&amp;Master!$C$2:'Master'!$C$4384,0))</f>
        <v>99</v>
      </c>
      <c r="CK35" s="21" cm="1">
        <f t="array" aca="1" ref="CK35" ca="1">INDEX(Master!$H$2:'Master'!$H$4384,MATCH($A35&amp;CK$2,Master!$A$2:'Master'!$A$4384&amp;Master!$C$2:'Master'!$C$4384,0))</f>
        <v>99</v>
      </c>
      <c r="CL35" s="21" cm="1">
        <f t="array" aca="1" ref="CL35" ca="1">INDEX(Master!$H$2:'Master'!$H$4384,MATCH($A35&amp;CL$2,Master!$A$2:'Master'!$A$4384&amp;Master!$C$2:'Master'!$C$4384,0))</f>
        <v>99</v>
      </c>
      <c r="CM35" s="21" cm="1">
        <f t="array" aca="1" ref="CM35" ca="1">INDEX(Master!$H$2:'Master'!$H$4384,MATCH($A35&amp;CM$2,Master!$A$2:'Master'!$A$4384&amp;Master!$C$2:'Master'!$C$4384,0))</f>
        <v>99</v>
      </c>
      <c r="CN35" s="21" cm="1">
        <f t="array" aca="1" ref="CN35" ca="1">INDEX(Master!$H$2:'Master'!$H$4384,MATCH($A35&amp;CN$2,Master!$A$2:'Master'!$A$4384&amp;Master!$C$2:'Master'!$C$4384,0))</f>
        <v>99</v>
      </c>
      <c r="CO35" s="21" cm="1">
        <f t="array" aca="1" ref="CO35" ca="1">INDEX(Master!$H$2:'Master'!$H$4384,MATCH($A35&amp;CO$2,Master!$A$2:'Master'!$A$4384&amp;Master!$C$2:'Master'!$C$4384,0))</f>
        <v>99</v>
      </c>
      <c r="CP35" s="21" cm="1">
        <f t="array" aca="1" ref="CP35" ca="1">INDEX(Master!$H$2:'Master'!$H$4384,MATCH($A35&amp;CP$2,Master!$A$2:'Master'!$A$4384&amp;Master!$C$2:'Master'!$C$4384,0))</f>
        <v>99</v>
      </c>
      <c r="CQ35" s="21" cm="1">
        <f t="array" aca="1" ref="CQ35" ca="1">INDEX(Master!$H$2:'Master'!$H$4384,MATCH($A35&amp;CQ$2,Master!$A$2:'Master'!$A$4384&amp;Master!$C$2:'Master'!$C$4384,0))</f>
        <v>99</v>
      </c>
      <c r="CR35" s="21" cm="1">
        <f t="array" aca="1" ref="CR35" ca="1">INDEX(Master!$H$2:'Master'!$H$4384,MATCH($A35&amp;CR$2,Master!$A$2:'Master'!$A$4384&amp;Master!$C$2:'Master'!$C$4384,0))</f>
        <v>99</v>
      </c>
      <c r="CS35" s="21" cm="1">
        <f t="array" aca="1" ref="CS35" ca="1">INDEX(Master!$H$2:'Master'!$H$4384,MATCH($A35&amp;CS$2,Master!$A$2:'Master'!$A$4384&amp;Master!$C$2:'Master'!$C$4384,0))</f>
        <v>98</v>
      </c>
    </row>
    <row r="36" spans="1:97">
      <c r="A36" s="22" t="str">
        <f>VLOOKUP(Staff!$A32,Staff!$A$1:A$73,1,FALSE)</f>
        <v>Stella Gibson</v>
      </c>
      <c r="B36" s="21" cm="1">
        <f t="array" aca="1" ref="B36" ca="1">INDEX(Master!$H$2:'Master'!$H$4384,MATCH($A36&amp;B$2,Master!$A$2:'Master'!$A$4384&amp;Master!$C$2:'Master'!$C$4384,0))</f>
        <v>99</v>
      </c>
      <c r="C36" s="21" cm="1">
        <f t="array" aca="1" ref="C36" ca="1">INDEX(Master!$H$2:'Master'!$H$4384,MATCH($A36&amp;C$2,Master!$A$2:'Master'!$A$4384&amp;Master!$C$2:'Master'!$C$4384,0))</f>
        <v>99</v>
      </c>
      <c r="D36" s="21" cm="1">
        <f t="array" aca="1" ref="D36" ca="1">INDEX(Master!$H$2:'Master'!$H$4384,MATCH($A36&amp;D$2,Master!$A$2:'Master'!$A$4384&amp;Master!$C$2:'Master'!$C$4384,0))</f>
        <v>99</v>
      </c>
      <c r="E36" s="21" cm="1">
        <f t="array" aca="1" ref="E36" ca="1">INDEX(Master!$H$2:'Master'!$H$4384,MATCH($A36&amp;E$2,Master!$A$2:'Master'!$A$4384&amp;Master!$C$2:'Master'!$C$4384,0))</f>
        <v>97</v>
      </c>
      <c r="F36" s="21" cm="1">
        <f t="array" aca="1" ref="F36" ca="1">INDEX(Master!$H$2:'Master'!$H$4384,MATCH($A36&amp;F$2,Master!$A$2:'Master'!$A$4384&amp;Master!$C$2:'Master'!$C$4384,0))</f>
        <v>99</v>
      </c>
      <c r="G36" s="21" cm="1">
        <f t="array" aca="1" ref="G36" ca="1">INDEX(Master!$H$2:'Master'!$H$4384,MATCH($A36&amp;G$2,Master!$A$2:'Master'!$A$4384&amp;Master!$C$2:'Master'!$C$4384,0))</f>
        <v>97</v>
      </c>
      <c r="H36" s="21" cm="1">
        <f t="array" aca="1" ref="H36" ca="1">INDEX(Master!$H$2:'Master'!$H$4384,MATCH($A36&amp;H$2,Master!$A$2:'Master'!$A$4384&amp;Master!$C$2:'Master'!$C$4384,0))</f>
        <v>99</v>
      </c>
      <c r="I36" s="21" cm="1">
        <f t="array" aca="1" ref="I36" ca="1">INDEX(Master!$H$2:'Master'!$H$4384,MATCH($A36&amp;I$2,Master!$A$2:'Master'!$A$4384&amp;Master!$C$2:'Master'!$C$4384,0))</f>
        <v>99</v>
      </c>
      <c r="J36" s="21" cm="1">
        <f t="array" aca="1" ref="J36" ca="1">INDEX(Master!$H$2:'Master'!$H$4384,MATCH($A36&amp;J$2,Master!$A$2:'Master'!$A$4384&amp;Master!$C$2:'Master'!$C$4384,0))</f>
        <v>96</v>
      </c>
      <c r="K36" s="21" cm="1">
        <f t="array" aca="1" ref="K36" ca="1">INDEX(Master!$H$2:'Master'!$H$4384,MATCH($A36&amp;K$2,Master!$A$2:'Master'!$A$4384&amp;Master!$C$2:'Master'!$C$4384,0))</f>
        <v>97</v>
      </c>
      <c r="L36" s="21" cm="1">
        <f t="array" aca="1" ref="L36" ca="1">INDEX(Master!$H$2:'Master'!$H$4384,MATCH($A36&amp;L$2,Master!$A$2:'Master'!$A$4384&amp;Master!$C$2:'Master'!$C$4384,0))</f>
        <v>97</v>
      </c>
      <c r="M36" s="21" cm="1">
        <f t="array" aca="1" ref="M36" ca="1">INDEX(Master!$H$2:'Master'!$H$4384,MATCH($A36&amp;M$2,Master!$A$2:'Master'!$A$4384&amp;Master!$C$2:'Master'!$C$4384,0))</f>
        <v>96</v>
      </c>
      <c r="N36" s="21" cm="1">
        <f t="array" aca="1" ref="N36" ca="1">INDEX(Master!$H$2:'Master'!$H$4384,MATCH($A36&amp;N$2,Master!$A$2:'Master'!$A$4384&amp;Master!$C$2:'Master'!$C$4384,0))</f>
        <v>97</v>
      </c>
      <c r="O36" s="21" cm="1">
        <f t="array" aca="1" ref="O36" ca="1">INDEX(Master!$H$2:'Master'!$H$4384,MATCH($A36&amp;O$2,Master!$A$2:'Master'!$A$4384&amp;Master!$C$2:'Master'!$C$4384,0))</f>
        <v>97</v>
      </c>
      <c r="P36" s="21" cm="1">
        <f t="array" aca="1" ref="P36" ca="1">INDEX(Master!$H$2:'Master'!$H$4384,MATCH($A36&amp;P$2,Master!$A$2:'Master'!$A$4384&amp;Master!$C$2:'Master'!$C$4384,0))</f>
        <v>97</v>
      </c>
      <c r="Q36" s="21" cm="1">
        <f t="array" aca="1" ref="Q36" ca="1">INDEX(Master!$H$2:'Master'!$H$4384,MATCH($A36&amp;Q$2,Master!$A$2:'Master'!$A$4384&amp;Master!$C$2:'Master'!$C$4384,0))</f>
        <v>98</v>
      </c>
      <c r="R36" s="21" cm="1">
        <f t="array" aca="1" ref="R36" ca="1">INDEX(Master!$H$2:'Master'!$H$4384,MATCH($A36&amp;R$2,Master!$A$2:'Master'!$A$4384&amp;Master!$C$2:'Master'!$C$4384,0))</f>
        <v>99</v>
      </c>
      <c r="S36" s="21" cm="1">
        <f t="array" aca="1" ref="S36" ca="1">INDEX(Master!$H$2:'Master'!$H$4384,MATCH($A36&amp;S$2,Master!$A$2:'Master'!$A$4384&amp;Master!$C$2:'Master'!$C$4384,0))</f>
        <v>99</v>
      </c>
      <c r="T36" s="21" cm="1">
        <f t="array" aca="1" ref="T36" ca="1">INDEX(Master!$H$2:'Master'!$H$4384,MATCH($A36&amp;T$2,Master!$A$2:'Master'!$A$4384&amp;Master!$C$2:'Master'!$C$4384,0))</f>
        <v>98</v>
      </c>
      <c r="U36" s="21" cm="1">
        <f t="array" aca="1" ref="U36" ca="1">INDEX(Master!$H$2:'Master'!$H$4384,MATCH($A36&amp;U$2,Master!$A$2:'Master'!$A$4384&amp;Master!$C$2:'Master'!$C$4384,0))</f>
        <v>99</v>
      </c>
      <c r="V36" s="21" cm="1">
        <f t="array" aca="1" ref="V36" ca="1">INDEX(Master!$H$2:'Master'!$H$4384,MATCH($A36&amp;V$2,Master!$A$2:'Master'!$A$4384&amp;Master!$C$2:'Master'!$C$4384,0))</f>
        <v>97</v>
      </c>
      <c r="W36" s="21" cm="1">
        <f t="array" aca="1" ref="W36" ca="1">INDEX(Master!$H$2:'Master'!$H$4384,MATCH($A36&amp;W$2,Master!$A$2:'Master'!$A$4384&amp;Master!$C$2:'Master'!$C$4384,0))</f>
        <v>98</v>
      </c>
      <c r="X36" s="21" cm="1">
        <f t="array" aca="1" ref="X36" ca="1">INDEX(Master!$H$2:'Master'!$H$4384,MATCH($A36&amp;X$2,Master!$A$2:'Master'!$A$4384&amp;Master!$C$2:'Master'!$C$4384,0))</f>
        <v>99</v>
      </c>
      <c r="Y36" s="21" cm="1">
        <f t="array" aca="1" ref="Y36" ca="1">INDEX(Master!$H$2:'Master'!$H$4384,MATCH($A36&amp;Y$2,Master!$A$2:'Master'!$A$4384&amp;Master!$C$2:'Master'!$C$4384,0))</f>
        <v>99</v>
      </c>
      <c r="Z36" s="21" cm="1">
        <f t="array" aca="1" ref="Z36" ca="1">INDEX(Master!$H$2:'Master'!$H$4384,MATCH($A36&amp;Z$2,Master!$A$2:'Master'!$A$4384&amp;Master!$C$2:'Master'!$C$4384,0))</f>
        <v>97</v>
      </c>
      <c r="AA36" s="21" cm="1">
        <f t="array" aca="1" ref="AA36" ca="1">INDEX(Master!$H$2:'Master'!$H$4384,MATCH($A36&amp;AA$2,Master!$A$2:'Master'!$A$4384&amp;Master!$C$2:'Master'!$C$4384,0))</f>
        <v>97</v>
      </c>
      <c r="AB36" s="21" cm="1">
        <f t="array" aca="1" ref="AB36" ca="1">INDEX(Master!$H$2:'Master'!$H$4384,MATCH($A36&amp;AB$2,Master!$A$2:'Master'!$A$4384&amp;Master!$C$2:'Master'!$C$4384,0))</f>
        <v>98</v>
      </c>
      <c r="AC36" s="21" cm="1">
        <f t="array" aca="1" ref="AC36" ca="1">INDEX(Master!$H$2:'Master'!$H$4384,MATCH($A36&amp;AC$2,Master!$A$2:'Master'!$A$4384&amp;Master!$C$2:'Master'!$C$4384,0))</f>
        <v>97</v>
      </c>
      <c r="AD36" s="21" cm="1">
        <f t="array" aca="1" ref="AD36" ca="1">INDEX(Master!$H$2:'Master'!$H$4384,MATCH($A36&amp;AD$2,Master!$A$2:'Master'!$A$4384&amp;Master!$C$2:'Master'!$C$4384,0))</f>
        <v>98</v>
      </c>
      <c r="AE36" s="21" cm="1">
        <f t="array" aca="1" ref="AE36" ca="1">INDEX(Master!$H$2:'Master'!$H$4384,MATCH($A36&amp;AE$2,Master!$A$2:'Master'!$A$4384&amp;Master!$C$2:'Master'!$C$4384,0))</f>
        <v>99</v>
      </c>
      <c r="AF36" s="21" cm="1">
        <f t="array" aca="1" ref="AF36" ca="1">INDEX(Master!$H$2:'Master'!$H$4384,MATCH($A36&amp;AF$2,Master!$A$2:'Master'!$A$4384&amp;Master!$C$2:'Master'!$C$4384,0))</f>
        <v>99</v>
      </c>
      <c r="AG36" s="21" cm="1">
        <f t="array" aca="1" ref="AG36" ca="1">INDEX(Master!$H$2:'Master'!$H$4384,MATCH($A36&amp;AG$2,Master!$A$2:'Master'!$A$4384&amp;Master!$C$2:'Master'!$C$4384,0))</f>
        <v>99</v>
      </c>
      <c r="AH36" s="21" cm="1">
        <f t="array" aca="1" ref="AH36" ca="1">INDEX(Master!$H$2:'Master'!$H$4384,MATCH($A36&amp;AH$2,Master!$A$2:'Master'!$A$4384&amp;Master!$C$2:'Master'!$C$4384,0))</f>
        <v>99</v>
      </c>
      <c r="AI36" s="21" cm="1">
        <f t="array" aca="1" ref="AI36" ca="1">INDEX(Master!$H$2:'Master'!$H$4384,MATCH($A36&amp;AI$2,Master!$A$2:'Master'!$A$4384&amp;Master!$C$2:'Master'!$C$4384,0))</f>
        <v>99</v>
      </c>
      <c r="AJ36" s="21" cm="1">
        <f t="array" aca="1" ref="AJ36" ca="1">INDEX(Master!$H$2:'Master'!$H$4384,MATCH($A36&amp;AJ$2,Master!$A$2:'Master'!$A$4384&amp;Master!$C$2:'Master'!$C$4384,0))</f>
        <v>99</v>
      </c>
      <c r="AK36" s="21" cm="1">
        <f t="array" aca="1" ref="AK36" ca="1">INDEX(Master!$H$2:'Master'!$H$4384,MATCH($A36&amp;AK$2,Master!$A$2:'Master'!$A$4384&amp;Master!$C$2:'Master'!$C$4384,0))</f>
        <v>99</v>
      </c>
      <c r="AL36" s="21" cm="1">
        <f t="array" aca="1" ref="AL36" ca="1">INDEX(Master!$H$2:'Master'!$H$4384,MATCH($A36&amp;AL$2,Master!$A$2:'Master'!$A$4384&amp;Master!$C$2:'Master'!$C$4384,0))</f>
        <v>99</v>
      </c>
      <c r="AM36" s="21" cm="1">
        <f t="array" aca="1" ref="AM36" ca="1">INDEX(Master!$H$2:'Master'!$H$4384,MATCH($A36&amp;AM$2,Master!$A$2:'Master'!$A$4384&amp;Master!$C$2:'Master'!$C$4384,0))</f>
        <v>99</v>
      </c>
      <c r="AN36" s="21" cm="1">
        <f t="array" aca="1" ref="AN36" ca="1">INDEX(Master!$H$2:'Master'!$H$4384,MATCH($A36&amp;AN$2,Master!$A$2:'Master'!$A$4384&amp;Master!$C$2:'Master'!$C$4384,0))</f>
        <v>99</v>
      </c>
      <c r="AO36" s="21" cm="1">
        <f t="array" aca="1" ref="AO36" ca="1">INDEX(Master!$H$2:'Master'!$H$4384,MATCH($A36&amp;AO$2,Master!$A$2:'Master'!$A$4384&amp;Master!$C$2:'Master'!$C$4384,0))</f>
        <v>98</v>
      </c>
      <c r="AP36" s="21" cm="1">
        <f t="array" aca="1" ref="AP36" ca="1">INDEX(Master!$H$2:'Master'!$H$4384,MATCH($A36&amp;AP$2,Master!$A$2:'Master'!$A$4384&amp;Master!$C$2:'Master'!$C$4384,0))</f>
        <v>97</v>
      </c>
      <c r="AQ36" s="21" cm="1">
        <f t="array" aca="1" ref="AQ36" ca="1">INDEX(Master!$H$2:'Master'!$H$4384,MATCH($A36&amp;AQ$2,Master!$A$2:'Master'!$A$4384&amp;Master!$C$2:'Master'!$C$4384,0))</f>
        <v>98</v>
      </c>
      <c r="AR36" s="21" cm="1">
        <f t="array" aca="1" ref="AR36" ca="1">INDEX(Master!$H$2:'Master'!$H$4384,MATCH($A36&amp;AR$2,Master!$A$2:'Master'!$A$4384&amp;Master!$C$2:'Master'!$C$4384,0))</f>
        <v>98</v>
      </c>
      <c r="AS36" s="21" cm="1">
        <f t="array" aca="1" ref="AS36" ca="1">INDEX(Master!$H$2:'Master'!$H$4384,MATCH($A36&amp;AS$2,Master!$A$2:'Master'!$A$4384&amp;Master!$C$2:'Master'!$C$4384,0))</f>
        <v>99</v>
      </c>
      <c r="AT36" s="21" cm="1">
        <f t="array" aca="1" ref="AT36" ca="1">INDEX(Master!$H$2:'Master'!$H$4384,MATCH($A36&amp;AT$2,Master!$A$2:'Master'!$A$4384&amp;Master!$C$2:'Master'!$C$4384,0))</f>
        <v>99</v>
      </c>
      <c r="AU36" s="21" cm="1">
        <f t="array" aca="1" ref="AU36" ca="1">INDEX(Master!$H$2:'Master'!$H$4384,MATCH($A36&amp;AU$2,Master!$A$2:'Master'!$A$4384&amp;Master!$C$2:'Master'!$C$4384,0))</f>
        <v>99</v>
      </c>
      <c r="AV36" s="21" cm="1">
        <f t="array" aca="1" ref="AV36" ca="1">INDEX(Master!$H$2:'Master'!$H$4384,MATCH($A36&amp;AV$2,Master!$A$2:'Master'!$A$4384&amp;Master!$C$2:'Master'!$C$4384,0))</f>
        <v>97</v>
      </c>
      <c r="AW36" s="21" cm="1">
        <f t="array" aca="1" ref="AW36" ca="1">INDEX(Master!$H$2:'Master'!$H$4384,MATCH($A36&amp;AW$2,Master!$A$2:'Master'!$A$4384&amp;Master!$C$2:'Master'!$C$4384,0))</f>
        <v>99</v>
      </c>
      <c r="AX36" s="21" cm="1">
        <f t="array" aca="1" ref="AX36" ca="1">INDEX(Master!$H$2:'Master'!$H$4384,MATCH($A36&amp;AX$2,Master!$A$2:'Master'!$A$4384&amp;Master!$C$2:'Master'!$C$4384,0))</f>
        <v>99</v>
      </c>
      <c r="AY36" s="21" cm="1">
        <f t="array" aca="1" ref="AY36" ca="1">INDEX(Master!$H$2:'Master'!$H$4384,MATCH($A36&amp;AY$2,Master!$A$2:'Master'!$A$4384&amp;Master!$C$2:'Master'!$C$4384,0))</f>
        <v>99</v>
      </c>
      <c r="AZ36" s="21" cm="1">
        <f t="array" aca="1" ref="AZ36" ca="1">INDEX(Master!$H$2:'Master'!$H$4384,MATCH($A36&amp;AZ$2,Master!$A$2:'Master'!$A$4384&amp;Master!$C$2:'Master'!$C$4384,0))</f>
        <v>98</v>
      </c>
      <c r="BA36" s="21" cm="1">
        <f t="array" aca="1" ref="BA36" ca="1">INDEX(Master!$H$2:'Master'!$H$4384,MATCH($A36&amp;BA$2,Master!$A$2:'Master'!$A$4384&amp;Master!$C$2:'Master'!$C$4384,0))</f>
        <v>99</v>
      </c>
      <c r="BB36" s="21" cm="1">
        <f t="array" aca="1" ref="BB36" ca="1">INDEX(Master!$H$2:'Master'!$H$4384,MATCH($A36&amp;BB$2,Master!$A$2:'Master'!$A$4384&amp;Master!$C$2:'Master'!$C$4384,0))</f>
        <v>99</v>
      </c>
      <c r="BC36" s="21" cm="1">
        <f t="array" aca="1" ref="BC36" ca="1">INDEX(Master!$H$2:'Master'!$H$4384,MATCH($A36&amp;BC$2,Master!$A$2:'Master'!$A$4384&amp;Master!$C$2:'Master'!$C$4384,0))</f>
        <v>99</v>
      </c>
      <c r="BD36" s="21" cm="1">
        <f t="array" aca="1" ref="BD36" ca="1">INDEX(Master!$H$2:'Master'!$H$4384,MATCH($A36&amp;BD$2,Master!$A$2:'Master'!$A$4384&amp;Master!$C$2:'Master'!$C$4384,0))</f>
        <v>99</v>
      </c>
      <c r="BE36" s="21" cm="1">
        <f t="array" aca="1" ref="BE36" ca="1">INDEX(Master!$H$2:'Master'!$H$4384,MATCH($A36&amp;BE$2,Master!$A$2:'Master'!$A$4384&amp;Master!$C$2:'Master'!$C$4384,0))</f>
        <v>99</v>
      </c>
      <c r="BF36" s="21" cm="1">
        <f t="array" aca="1" ref="BF36" ca="1">INDEX(Master!$H$2:'Master'!$H$4384,MATCH($A36&amp;BF$2,Master!$A$2:'Master'!$A$4384&amp;Master!$C$2:'Master'!$C$4384,0))</f>
        <v>99</v>
      </c>
      <c r="BG36" s="21" cm="1">
        <f t="array" aca="1" ref="BG36" ca="1">INDEX(Master!$H$2:'Master'!$H$4384,MATCH($A36&amp;BG$2,Master!$A$2:'Master'!$A$4384&amp;Master!$C$2:'Master'!$C$4384,0))</f>
        <v>97</v>
      </c>
      <c r="BH36" s="21" cm="1">
        <f t="array" aca="1" ref="BH36" ca="1">INDEX(Master!$H$2:'Master'!$H$4384,MATCH($A36&amp;BH$2,Master!$A$2:'Master'!$A$4384&amp;Master!$C$2:'Master'!$C$4384,0))</f>
        <v>99</v>
      </c>
      <c r="BI36" s="21" cm="1">
        <f t="array" aca="1" ref="BI36" ca="1">INDEX(Master!$H$2:'Master'!$H$4384,MATCH($A36&amp;BI$2,Master!$A$2:'Master'!$A$4384&amp;Master!$C$2:'Master'!$C$4384,0))</f>
        <v>98</v>
      </c>
      <c r="BJ36" s="21" cm="1">
        <f t="array" aca="1" ref="BJ36" ca="1">INDEX(Master!$H$2:'Master'!$H$4384,MATCH($A36&amp;BJ$2,Master!$A$2:'Master'!$A$4384&amp;Master!$C$2:'Master'!$C$4384,0))</f>
        <v>99</v>
      </c>
      <c r="BK36" s="21" cm="1">
        <f t="array" aca="1" ref="BK36" ca="1">INDEX(Master!$H$2:'Master'!$H$4384,MATCH($A36&amp;BK$2,Master!$A$2:'Master'!$A$4384&amp;Master!$C$2:'Master'!$C$4384,0))</f>
        <v>98</v>
      </c>
      <c r="BL36" s="21" cm="1">
        <f t="array" aca="1" ref="BL36" ca="1">INDEX(Master!$H$2:'Master'!$H$4384,MATCH($A36&amp;BL$2,Master!$A$2:'Master'!$A$4384&amp;Master!$C$2:'Master'!$C$4384,0))</f>
        <v>98</v>
      </c>
      <c r="BM36" s="21" cm="1">
        <f t="array" aca="1" ref="BM36" ca="1">INDEX(Master!$H$2:'Master'!$H$4384,MATCH($A36&amp;BM$2,Master!$A$2:'Master'!$A$4384&amp;Master!$C$2:'Master'!$C$4384,0))</f>
        <v>98</v>
      </c>
      <c r="BN36" s="21" cm="1">
        <f t="array" aca="1" ref="BN36" ca="1">INDEX(Master!$H$2:'Master'!$H$4384,MATCH($A36&amp;BN$2,Master!$A$2:'Master'!$A$4384&amp;Master!$C$2:'Master'!$C$4384,0))</f>
        <v>99</v>
      </c>
      <c r="BO36" s="21" cm="1">
        <f t="array" aca="1" ref="BO36" ca="1">INDEX(Master!$H$2:'Master'!$H$4384,MATCH($A36&amp;BO$2,Master!$A$2:'Master'!$A$4384&amp;Master!$C$2:'Master'!$C$4384,0))</f>
        <v>99</v>
      </c>
      <c r="BP36" s="21" cm="1">
        <f t="array" aca="1" ref="BP36" ca="1">INDEX(Master!$H$2:'Master'!$H$4384,MATCH($A36&amp;BP$2,Master!$A$2:'Master'!$A$4384&amp;Master!$C$2:'Master'!$C$4384,0))</f>
        <v>99</v>
      </c>
      <c r="BQ36" s="21" cm="1">
        <f t="array" aca="1" ref="BQ36" ca="1">INDEX(Master!$H$2:'Master'!$H$4384,MATCH($A36&amp;BQ$2,Master!$A$2:'Master'!$A$4384&amp;Master!$C$2:'Master'!$C$4384,0))</f>
        <v>98</v>
      </c>
      <c r="BR36" s="21" cm="1">
        <f t="array" aca="1" ref="BR36" ca="1">INDEX(Master!$H$2:'Master'!$H$4384,MATCH($A36&amp;BR$2,Master!$A$2:'Master'!$A$4384&amp;Master!$C$2:'Master'!$C$4384,0))</f>
        <v>99</v>
      </c>
      <c r="BS36" s="21" cm="1">
        <f t="array" aca="1" ref="BS36" ca="1">INDEX(Master!$H$2:'Master'!$H$4384,MATCH($A36&amp;BS$2,Master!$A$2:'Master'!$A$4384&amp;Master!$C$2:'Master'!$C$4384,0))</f>
        <v>99</v>
      </c>
      <c r="BT36" s="21" cm="1">
        <f t="array" aca="1" ref="BT36" ca="1">INDEX(Master!$H$2:'Master'!$H$4384,MATCH($A36&amp;BT$2,Master!$A$2:'Master'!$A$4384&amp;Master!$C$2:'Master'!$C$4384,0))</f>
        <v>99</v>
      </c>
      <c r="BU36" s="21" cm="1">
        <f t="array" aca="1" ref="BU36" ca="1">INDEX(Master!$H$2:'Master'!$H$4384,MATCH($A36&amp;BU$2,Master!$A$2:'Master'!$A$4384&amp;Master!$C$2:'Master'!$C$4384,0))</f>
        <v>99</v>
      </c>
      <c r="BV36" s="21" cm="1">
        <f t="array" aca="1" ref="BV36" ca="1">INDEX(Master!$H$2:'Master'!$H$4384,MATCH($A36&amp;BV$2,Master!$A$2:'Master'!$A$4384&amp;Master!$C$2:'Master'!$C$4384,0))</f>
        <v>97</v>
      </c>
      <c r="BW36" s="21" cm="1">
        <f t="array" aca="1" ref="BW36" ca="1">INDEX(Master!$H$2:'Master'!$H$4384,MATCH($A36&amp;BW$2,Master!$A$2:'Master'!$A$4384&amp;Master!$C$2:'Master'!$C$4384,0))</f>
        <v>99</v>
      </c>
      <c r="BX36" s="21" cm="1">
        <f t="array" aca="1" ref="BX36" ca="1">INDEX(Master!$H$2:'Master'!$H$4384,MATCH($A36&amp;BX$2,Master!$A$2:'Master'!$A$4384&amp;Master!$C$2:'Master'!$C$4384,0))</f>
        <v>97</v>
      </c>
      <c r="BY36" s="21" cm="1">
        <f t="array" aca="1" ref="BY36" ca="1">INDEX(Master!$H$2:'Master'!$H$4384,MATCH($A36&amp;BY$2,Master!$A$2:'Master'!$A$4384&amp;Master!$C$2:'Master'!$C$4384,0))</f>
        <v>99</v>
      </c>
      <c r="BZ36" s="21" cm="1">
        <f t="array" aca="1" ref="BZ36" ca="1">INDEX(Master!$H$2:'Master'!$H$4384,MATCH($A36&amp;BZ$2,Master!$A$2:'Master'!$A$4384&amp;Master!$C$2:'Master'!$C$4384,0))</f>
        <v>98</v>
      </c>
      <c r="CA36" s="21" cm="1">
        <f t="array" aca="1" ref="CA36" ca="1">INDEX(Master!$H$2:'Master'!$H$4384,MATCH($A36&amp;CA$2,Master!$A$2:'Master'!$A$4384&amp;Master!$C$2:'Master'!$C$4384,0))</f>
        <v>99</v>
      </c>
      <c r="CB36" s="21" cm="1">
        <f t="array" aca="1" ref="CB36" ca="1">INDEX(Master!$H$2:'Master'!$H$4384,MATCH($A36&amp;CB$2,Master!$A$2:'Master'!$A$4384&amp;Master!$C$2:'Master'!$C$4384,0))</f>
        <v>98</v>
      </c>
      <c r="CC36" s="21" cm="1">
        <f t="array" aca="1" ref="CC36" ca="1">INDEX(Master!$H$2:'Master'!$H$4384,MATCH($A36&amp;CC$2,Master!$A$2:'Master'!$A$4384&amp;Master!$C$2:'Master'!$C$4384,0))</f>
        <v>98</v>
      </c>
      <c r="CD36" s="21" cm="1">
        <f t="array" aca="1" ref="CD36" ca="1">INDEX(Master!$H$2:'Master'!$H$4384,MATCH($A36&amp;CD$2,Master!$A$2:'Master'!$A$4384&amp;Master!$C$2:'Master'!$C$4384,0))</f>
        <v>98</v>
      </c>
      <c r="CE36" s="21" cm="1">
        <f t="array" aca="1" ref="CE36" ca="1">INDEX(Master!$H$2:'Master'!$H$4384,MATCH($A36&amp;CE$2,Master!$A$2:'Master'!$A$4384&amp;Master!$C$2:'Master'!$C$4384,0))</f>
        <v>98</v>
      </c>
      <c r="CF36" s="21" cm="1">
        <f t="array" aca="1" ref="CF36" ca="1">INDEX(Master!$H$2:'Master'!$H$4384,MATCH($A36&amp;CF$2,Master!$A$2:'Master'!$A$4384&amp;Master!$C$2:'Master'!$C$4384,0))</f>
        <v>98</v>
      </c>
      <c r="CG36" s="21" cm="1">
        <f t="array" aca="1" ref="CG36" ca="1">INDEX(Master!$H$2:'Master'!$H$4384,MATCH($A36&amp;CG$2,Master!$A$2:'Master'!$A$4384&amp;Master!$C$2:'Master'!$C$4384,0))</f>
        <v>98</v>
      </c>
      <c r="CH36" s="21" cm="1">
        <f t="array" aca="1" ref="CH36" ca="1">INDEX(Master!$H$2:'Master'!$H$4384,MATCH($A36&amp;CH$2,Master!$A$2:'Master'!$A$4384&amp;Master!$C$2:'Master'!$C$4384,0))</f>
        <v>98</v>
      </c>
      <c r="CI36" s="21" cm="1">
        <f t="array" aca="1" ref="CI36" ca="1">INDEX(Master!$H$2:'Master'!$H$4384,MATCH($A36&amp;CI$2,Master!$A$2:'Master'!$A$4384&amp;Master!$C$2:'Master'!$C$4384,0))</f>
        <v>98</v>
      </c>
      <c r="CJ36" s="21" cm="1">
        <f t="array" aca="1" ref="CJ36" ca="1">INDEX(Master!$H$2:'Master'!$H$4384,MATCH($A36&amp;CJ$2,Master!$A$2:'Master'!$A$4384&amp;Master!$C$2:'Master'!$C$4384,0))</f>
        <v>99</v>
      </c>
      <c r="CK36" s="21" cm="1">
        <f t="array" aca="1" ref="CK36" ca="1">INDEX(Master!$H$2:'Master'!$H$4384,MATCH($A36&amp;CK$2,Master!$A$2:'Master'!$A$4384&amp;Master!$C$2:'Master'!$C$4384,0))</f>
        <v>99</v>
      </c>
      <c r="CL36" s="21" cm="1">
        <f t="array" aca="1" ref="CL36" ca="1">INDEX(Master!$H$2:'Master'!$H$4384,MATCH($A36&amp;CL$2,Master!$A$2:'Master'!$A$4384&amp;Master!$C$2:'Master'!$C$4384,0))</f>
        <v>99</v>
      </c>
      <c r="CM36" s="21" cm="1">
        <f t="array" aca="1" ref="CM36" ca="1">INDEX(Master!$H$2:'Master'!$H$4384,MATCH($A36&amp;CM$2,Master!$A$2:'Master'!$A$4384&amp;Master!$C$2:'Master'!$C$4384,0))</f>
        <v>99</v>
      </c>
      <c r="CN36" s="21" cm="1">
        <f t="array" aca="1" ref="CN36" ca="1">INDEX(Master!$H$2:'Master'!$H$4384,MATCH($A36&amp;CN$2,Master!$A$2:'Master'!$A$4384&amp;Master!$C$2:'Master'!$C$4384,0))</f>
        <v>97</v>
      </c>
      <c r="CO36" s="21" cm="1">
        <f t="array" aca="1" ref="CO36" ca="1">INDEX(Master!$H$2:'Master'!$H$4384,MATCH($A36&amp;CO$2,Master!$A$2:'Master'!$A$4384&amp;Master!$C$2:'Master'!$C$4384,0))</f>
        <v>97</v>
      </c>
      <c r="CP36" s="21" cm="1">
        <f t="array" aca="1" ref="CP36" ca="1">INDEX(Master!$H$2:'Master'!$H$4384,MATCH($A36&amp;CP$2,Master!$A$2:'Master'!$A$4384&amp;Master!$C$2:'Master'!$C$4384,0))</f>
        <v>97</v>
      </c>
      <c r="CQ36" s="21" cm="1">
        <f t="array" aca="1" ref="CQ36" ca="1">INDEX(Master!$H$2:'Master'!$H$4384,MATCH($A36&amp;CQ$2,Master!$A$2:'Master'!$A$4384&amp;Master!$C$2:'Master'!$C$4384,0))</f>
        <v>99</v>
      </c>
      <c r="CR36" s="21" cm="1">
        <f t="array" aca="1" ref="CR36" ca="1">INDEX(Master!$H$2:'Master'!$H$4384,MATCH($A36&amp;CR$2,Master!$A$2:'Master'!$A$4384&amp;Master!$C$2:'Master'!$C$4384,0))</f>
        <v>99</v>
      </c>
      <c r="CS36" s="21" cm="1">
        <f t="array" aca="1" ref="CS36" ca="1">INDEX(Master!$H$2:'Master'!$H$4384,MATCH($A36&amp;CS$2,Master!$A$2:'Master'!$A$4384&amp;Master!$C$2:'Master'!$C$4384,0))</f>
        <v>98</v>
      </c>
    </row>
    <row r="37" spans="1:97">
      <c r="A37" s="22" t="str">
        <f>VLOOKUP(Staff!$A33,Staff!$A$1:A$73,1,FALSE)</f>
        <v>Robin Ellacott</v>
      </c>
      <c r="B37" s="21" cm="1">
        <f t="array" aca="1" ref="B37" ca="1">INDEX(Master!$H$2:'Master'!$H$4384,MATCH($A37&amp;B$2,Master!$A$2:'Master'!$A$4384&amp;Master!$C$2:'Master'!$C$4384,0))</f>
        <v>-1</v>
      </c>
      <c r="C37" s="21" cm="1">
        <f t="array" aca="1" ref="C37" ca="1">INDEX(Master!$H$2:'Master'!$H$4384,MATCH($A37&amp;C$2,Master!$A$2:'Master'!$A$4384&amp;Master!$C$2:'Master'!$C$4384,0))</f>
        <v>-1</v>
      </c>
      <c r="D37" s="21" cm="1">
        <f t="array" aca="1" ref="D37" ca="1">INDEX(Master!$H$2:'Master'!$H$4384,MATCH($A37&amp;D$2,Master!$A$2:'Master'!$A$4384&amp;Master!$C$2:'Master'!$C$4384,0))</f>
        <v>0</v>
      </c>
      <c r="E37" s="21" cm="1">
        <f t="array" aca="1" ref="E37" ca="1">INDEX(Master!$H$2:'Master'!$H$4384,MATCH($A37&amp;E$2,Master!$A$2:'Master'!$A$4384&amp;Master!$C$2:'Master'!$C$4384,0))</f>
        <v>0</v>
      </c>
      <c r="F37" s="21" cm="1">
        <f t="array" aca="1" ref="F37" ca="1">INDEX(Master!$H$2:'Master'!$H$4384,MATCH($A37&amp;F$2,Master!$A$2:'Master'!$A$4384&amp;Master!$C$2:'Master'!$C$4384,0))</f>
        <v>0</v>
      </c>
      <c r="G37" s="21" cm="1">
        <f t="array" aca="1" ref="G37" ca="1">INDEX(Master!$H$2:'Master'!$H$4384,MATCH($A37&amp;G$2,Master!$A$2:'Master'!$A$4384&amp;Master!$C$2:'Master'!$C$4384,0))</f>
        <v>1</v>
      </c>
      <c r="H37" s="21" cm="1">
        <f t="array" aca="1" ref="H37" ca="1">INDEX(Master!$H$2:'Master'!$H$4384,MATCH($A37&amp;H$2,Master!$A$2:'Master'!$A$4384&amp;Master!$C$2:'Master'!$C$4384,0))</f>
        <v>0</v>
      </c>
      <c r="I37" s="21" cm="1">
        <f t="array" aca="1" ref="I37" ca="1">INDEX(Master!$H$2:'Master'!$H$4384,MATCH($A37&amp;I$2,Master!$A$2:'Master'!$A$4384&amp;Master!$C$2:'Master'!$C$4384,0))</f>
        <v>-1</v>
      </c>
      <c r="J37" s="21" cm="1">
        <f t="array" aca="1" ref="J37" ca="1">INDEX(Master!$H$2:'Master'!$H$4384,MATCH($A37&amp;J$2,Master!$A$2:'Master'!$A$4384&amp;Master!$C$2:'Master'!$C$4384,0))</f>
        <v>1</v>
      </c>
      <c r="K37" s="21" cm="1">
        <f t="array" aca="1" ref="K37" ca="1">INDEX(Master!$H$2:'Master'!$H$4384,MATCH($A37&amp;K$2,Master!$A$2:'Master'!$A$4384&amp;Master!$C$2:'Master'!$C$4384,0))</f>
        <v>-2</v>
      </c>
      <c r="L37" s="21" cm="1">
        <f t="array" aca="1" ref="L37" ca="1">INDEX(Master!$H$2:'Master'!$H$4384,MATCH($A37&amp;L$2,Master!$A$2:'Master'!$A$4384&amp;Master!$C$2:'Master'!$C$4384,0))</f>
        <v>-2</v>
      </c>
      <c r="M37" s="21" cm="1">
        <f t="array" aca="1" ref="M37" ca="1">INDEX(Master!$H$2:'Master'!$H$4384,MATCH($A37&amp;M$2,Master!$A$2:'Master'!$A$4384&amp;Master!$C$2:'Master'!$C$4384,0))</f>
        <v>0</v>
      </c>
      <c r="N37" s="21" cm="1">
        <f t="array" aca="1" ref="N37" ca="1">INDEX(Master!$H$2:'Master'!$H$4384,MATCH($A37&amp;N$2,Master!$A$2:'Master'!$A$4384&amp;Master!$C$2:'Master'!$C$4384,0))</f>
        <v>-1</v>
      </c>
      <c r="O37" s="21" cm="1">
        <f t="array" aca="1" ref="O37" ca="1">INDEX(Master!$H$2:'Master'!$H$4384,MATCH($A37&amp;O$2,Master!$A$2:'Master'!$A$4384&amp;Master!$C$2:'Master'!$C$4384,0))</f>
        <v>-2</v>
      </c>
      <c r="P37" s="21" cm="1">
        <f t="array" aca="1" ref="P37" ca="1">INDEX(Master!$H$2:'Master'!$H$4384,MATCH($A37&amp;P$2,Master!$A$2:'Master'!$A$4384&amp;Master!$C$2:'Master'!$C$4384,0))</f>
        <v>-1</v>
      </c>
      <c r="Q37" s="21" cm="1">
        <f t="array" aca="1" ref="Q37" ca="1">INDEX(Master!$H$2:'Master'!$H$4384,MATCH($A37&amp;Q$2,Master!$A$2:'Master'!$A$4384&amp;Master!$C$2:'Master'!$C$4384,0))</f>
        <v>-2</v>
      </c>
      <c r="R37" s="21" cm="1">
        <f t="array" aca="1" ref="R37" ca="1">INDEX(Master!$H$2:'Master'!$H$4384,MATCH($A37&amp;R$2,Master!$A$2:'Master'!$A$4384&amp;Master!$C$2:'Master'!$C$4384,0))</f>
        <v>0</v>
      </c>
      <c r="S37" s="21" cm="1">
        <f t="array" aca="1" ref="S37" ca="1">INDEX(Master!$H$2:'Master'!$H$4384,MATCH($A37&amp;S$2,Master!$A$2:'Master'!$A$4384&amp;Master!$C$2:'Master'!$C$4384,0))</f>
        <v>0</v>
      </c>
      <c r="T37" s="21" cm="1">
        <f t="array" aca="1" ref="T37" ca="1">INDEX(Master!$H$2:'Master'!$H$4384,MATCH($A37&amp;T$2,Master!$A$2:'Master'!$A$4384&amp;Master!$C$2:'Master'!$C$4384,0))</f>
        <v>0</v>
      </c>
      <c r="U37" s="21" cm="1">
        <f t="array" aca="1" ref="U37" ca="1">INDEX(Master!$H$2:'Master'!$H$4384,MATCH($A37&amp;U$2,Master!$A$2:'Master'!$A$4384&amp;Master!$C$2:'Master'!$C$4384,0))</f>
        <v>-2</v>
      </c>
      <c r="V37" s="21" cm="1">
        <f t="array" aca="1" ref="V37" ca="1">INDEX(Master!$H$2:'Master'!$H$4384,MATCH($A37&amp;V$2,Master!$A$2:'Master'!$A$4384&amp;Master!$C$2:'Master'!$C$4384,0))</f>
        <v>-2</v>
      </c>
      <c r="W37" s="21" cm="1">
        <f t="array" aca="1" ref="W37" ca="1">INDEX(Master!$H$2:'Master'!$H$4384,MATCH($A37&amp;W$2,Master!$A$2:'Master'!$A$4384&amp;Master!$C$2:'Master'!$C$4384,0))</f>
        <v>0</v>
      </c>
      <c r="X37" s="21" cm="1">
        <f t="array" aca="1" ref="X37" ca="1">INDEX(Master!$H$2:'Master'!$H$4384,MATCH($A37&amp;X$2,Master!$A$2:'Master'!$A$4384&amp;Master!$C$2:'Master'!$C$4384,0))</f>
        <v>1</v>
      </c>
      <c r="Y37" s="21" cm="1">
        <f t="array" aca="1" ref="Y37" ca="1">INDEX(Master!$H$2:'Master'!$H$4384,MATCH($A37&amp;Y$2,Master!$A$2:'Master'!$A$4384&amp;Master!$C$2:'Master'!$C$4384,0))</f>
        <v>1</v>
      </c>
      <c r="Z37" s="21" cm="1">
        <f t="array" aca="1" ref="Z37" ca="1">INDEX(Master!$H$2:'Master'!$H$4384,MATCH($A37&amp;Z$2,Master!$A$2:'Master'!$A$4384&amp;Master!$C$2:'Master'!$C$4384,0))</f>
        <v>2</v>
      </c>
      <c r="AA37" s="21" cm="1">
        <f t="array" aca="1" ref="AA37" ca="1">INDEX(Master!$H$2:'Master'!$H$4384,MATCH($A37&amp;AA$2,Master!$A$2:'Master'!$A$4384&amp;Master!$C$2:'Master'!$C$4384,0))</f>
        <v>2</v>
      </c>
      <c r="AB37" s="21" cm="1">
        <f t="array" aca="1" ref="AB37" ca="1">INDEX(Master!$H$2:'Master'!$H$4384,MATCH($A37&amp;AB$2,Master!$A$2:'Master'!$A$4384&amp;Master!$C$2:'Master'!$C$4384,0))</f>
        <v>1</v>
      </c>
      <c r="AC37" s="21" cm="1">
        <f t="array" aca="1" ref="AC37" ca="1">INDEX(Master!$H$2:'Master'!$H$4384,MATCH($A37&amp;AC$2,Master!$A$2:'Master'!$A$4384&amp;Master!$C$2:'Master'!$C$4384,0))</f>
        <v>-1</v>
      </c>
      <c r="AD37" s="21" cm="1">
        <f t="array" aca="1" ref="AD37" ca="1">INDEX(Master!$H$2:'Master'!$H$4384,MATCH($A37&amp;AD$2,Master!$A$2:'Master'!$A$4384&amp;Master!$C$2:'Master'!$C$4384,0))</f>
        <v>3</v>
      </c>
      <c r="AE37" s="21" cm="1">
        <f t="array" aca="1" ref="AE37" ca="1">INDEX(Master!$H$2:'Master'!$H$4384,MATCH($A37&amp;AE$2,Master!$A$2:'Master'!$A$4384&amp;Master!$C$2:'Master'!$C$4384,0))</f>
        <v>0</v>
      </c>
      <c r="AF37" s="21" cm="1">
        <f t="array" aca="1" ref="AF37" ca="1">INDEX(Master!$H$2:'Master'!$H$4384,MATCH($A37&amp;AF$2,Master!$A$2:'Master'!$A$4384&amp;Master!$C$2:'Master'!$C$4384,0))</f>
        <v>-1</v>
      </c>
      <c r="AG37" s="21" cm="1">
        <f t="array" aca="1" ref="AG37" ca="1">INDEX(Master!$H$2:'Master'!$H$4384,MATCH($A37&amp;AG$2,Master!$A$2:'Master'!$A$4384&amp;Master!$C$2:'Master'!$C$4384,0))</f>
        <v>-1</v>
      </c>
      <c r="AH37" s="21" cm="1">
        <f t="array" aca="1" ref="AH37" ca="1">INDEX(Master!$H$2:'Master'!$H$4384,MATCH($A37&amp;AH$2,Master!$A$2:'Master'!$A$4384&amp;Master!$C$2:'Master'!$C$4384,0))</f>
        <v>-1</v>
      </c>
      <c r="AI37" s="21" cm="1">
        <f t="array" aca="1" ref="AI37" ca="1">INDEX(Master!$H$2:'Master'!$H$4384,MATCH($A37&amp;AI$2,Master!$A$2:'Master'!$A$4384&amp;Master!$C$2:'Master'!$C$4384,0))</f>
        <v>-1</v>
      </c>
      <c r="AJ37" s="21" cm="1">
        <f t="array" aca="1" ref="AJ37" ca="1">INDEX(Master!$H$2:'Master'!$H$4384,MATCH($A37&amp;AJ$2,Master!$A$2:'Master'!$A$4384&amp;Master!$C$2:'Master'!$C$4384,0))</f>
        <v>-1</v>
      </c>
      <c r="AK37" s="21" cm="1">
        <f t="array" aca="1" ref="AK37" ca="1">INDEX(Master!$H$2:'Master'!$H$4384,MATCH($A37&amp;AK$2,Master!$A$2:'Master'!$A$4384&amp;Master!$C$2:'Master'!$C$4384,0))</f>
        <v>0</v>
      </c>
      <c r="AL37" s="21" cm="1">
        <f t="array" aca="1" ref="AL37" ca="1">INDEX(Master!$H$2:'Master'!$H$4384,MATCH($A37&amp;AL$2,Master!$A$2:'Master'!$A$4384&amp;Master!$C$2:'Master'!$C$4384,0))</f>
        <v>-1</v>
      </c>
      <c r="AM37" s="21" cm="1">
        <f t="array" aca="1" ref="AM37" ca="1">INDEX(Master!$H$2:'Master'!$H$4384,MATCH($A37&amp;AM$2,Master!$A$2:'Master'!$A$4384&amp;Master!$C$2:'Master'!$C$4384,0))</f>
        <v>-1</v>
      </c>
      <c r="AN37" s="21" cm="1">
        <f t="array" aca="1" ref="AN37" ca="1">INDEX(Master!$H$2:'Master'!$H$4384,MATCH($A37&amp;AN$2,Master!$A$2:'Master'!$A$4384&amp;Master!$C$2:'Master'!$C$4384,0))</f>
        <v>-2</v>
      </c>
      <c r="AO37" s="21" cm="1">
        <f t="array" aca="1" ref="AO37" ca="1">INDEX(Master!$H$2:'Master'!$H$4384,MATCH($A37&amp;AO$2,Master!$A$2:'Master'!$A$4384&amp;Master!$C$2:'Master'!$C$4384,0))</f>
        <v>2</v>
      </c>
      <c r="AP37" s="21" cm="1">
        <f t="array" aca="1" ref="AP37" ca="1">INDEX(Master!$H$2:'Master'!$H$4384,MATCH($A37&amp;AP$2,Master!$A$2:'Master'!$A$4384&amp;Master!$C$2:'Master'!$C$4384,0))</f>
        <v>-1</v>
      </c>
      <c r="AQ37" s="21" cm="1">
        <f t="array" aca="1" ref="AQ37" ca="1">INDEX(Master!$H$2:'Master'!$H$4384,MATCH($A37&amp;AQ$2,Master!$A$2:'Master'!$A$4384&amp;Master!$C$2:'Master'!$C$4384,0))</f>
        <v>-1</v>
      </c>
      <c r="AR37" s="21" cm="1">
        <f t="array" aca="1" ref="AR37" ca="1">INDEX(Master!$H$2:'Master'!$H$4384,MATCH($A37&amp;AR$2,Master!$A$2:'Master'!$A$4384&amp;Master!$C$2:'Master'!$C$4384,0))</f>
        <v>2</v>
      </c>
      <c r="AS37" s="21" cm="1">
        <f t="array" aca="1" ref="AS37" ca="1">INDEX(Master!$H$2:'Master'!$H$4384,MATCH($A37&amp;AS$2,Master!$A$2:'Master'!$A$4384&amp;Master!$C$2:'Master'!$C$4384,0))</f>
        <v>-2</v>
      </c>
      <c r="AT37" s="21" cm="1">
        <f t="array" aca="1" ref="AT37" ca="1">INDEX(Master!$H$2:'Master'!$H$4384,MATCH($A37&amp;AT$2,Master!$A$2:'Master'!$A$4384&amp;Master!$C$2:'Master'!$C$4384,0))</f>
        <v>-2</v>
      </c>
      <c r="AU37" s="21" cm="1">
        <f t="array" aca="1" ref="AU37" ca="1">INDEX(Master!$H$2:'Master'!$H$4384,MATCH($A37&amp;AU$2,Master!$A$2:'Master'!$A$4384&amp;Master!$C$2:'Master'!$C$4384,0))</f>
        <v>-3</v>
      </c>
      <c r="AV37" s="21" cm="1">
        <f t="array" aca="1" ref="AV37" ca="1">INDEX(Master!$H$2:'Master'!$H$4384,MATCH($A37&amp;AV$2,Master!$A$2:'Master'!$A$4384&amp;Master!$C$2:'Master'!$C$4384,0))</f>
        <v>-1</v>
      </c>
      <c r="AW37" s="21" cm="1">
        <f t="array" aca="1" ref="AW37" ca="1">INDEX(Master!$H$2:'Master'!$H$4384,MATCH($A37&amp;AW$2,Master!$A$2:'Master'!$A$4384&amp;Master!$C$2:'Master'!$C$4384,0))</f>
        <v>0</v>
      </c>
      <c r="AX37" s="21" cm="1">
        <f t="array" aca="1" ref="AX37" ca="1">INDEX(Master!$H$2:'Master'!$H$4384,MATCH($A37&amp;AX$2,Master!$A$2:'Master'!$A$4384&amp;Master!$C$2:'Master'!$C$4384,0))</f>
        <v>-2</v>
      </c>
      <c r="AY37" s="21" cm="1">
        <f t="array" aca="1" ref="AY37" ca="1">INDEX(Master!$H$2:'Master'!$H$4384,MATCH($A37&amp;AY$2,Master!$A$2:'Master'!$A$4384&amp;Master!$C$2:'Master'!$C$4384,0))</f>
        <v>1</v>
      </c>
      <c r="AZ37" s="21" cm="1">
        <f t="array" aca="1" ref="AZ37" ca="1">INDEX(Master!$H$2:'Master'!$H$4384,MATCH($A37&amp;AZ$2,Master!$A$2:'Master'!$A$4384&amp;Master!$C$2:'Master'!$C$4384,0))</f>
        <v>-2</v>
      </c>
      <c r="BA37" s="21" cm="1">
        <f t="array" aca="1" ref="BA37" ca="1">INDEX(Master!$H$2:'Master'!$H$4384,MATCH($A37&amp;BA$2,Master!$A$2:'Master'!$A$4384&amp;Master!$C$2:'Master'!$C$4384,0))</f>
        <v>-1</v>
      </c>
      <c r="BB37" s="21" cm="1">
        <f t="array" aca="1" ref="BB37" ca="1">INDEX(Master!$H$2:'Master'!$H$4384,MATCH($A37&amp;BB$2,Master!$A$2:'Master'!$A$4384&amp;Master!$C$2:'Master'!$C$4384,0))</f>
        <v>-1</v>
      </c>
      <c r="BC37" s="21" cm="1">
        <f t="array" aca="1" ref="BC37" ca="1">INDEX(Master!$H$2:'Master'!$H$4384,MATCH($A37&amp;BC$2,Master!$A$2:'Master'!$A$4384&amp;Master!$C$2:'Master'!$C$4384,0))</f>
        <v>-1</v>
      </c>
      <c r="BD37" s="21" cm="1">
        <f t="array" aca="1" ref="BD37" ca="1">INDEX(Master!$H$2:'Master'!$H$4384,MATCH($A37&amp;BD$2,Master!$A$2:'Master'!$A$4384&amp;Master!$C$2:'Master'!$C$4384,0))</f>
        <v>1</v>
      </c>
      <c r="BE37" s="21" cm="1">
        <f t="array" aca="1" ref="BE37" ca="1">INDEX(Master!$H$2:'Master'!$H$4384,MATCH($A37&amp;BE$2,Master!$A$2:'Master'!$A$4384&amp;Master!$C$2:'Master'!$C$4384,0))</f>
        <v>0</v>
      </c>
      <c r="BF37" s="21" cm="1">
        <f t="array" aca="1" ref="BF37" ca="1">INDEX(Master!$H$2:'Master'!$H$4384,MATCH($A37&amp;BF$2,Master!$A$2:'Master'!$A$4384&amp;Master!$C$2:'Master'!$C$4384,0))</f>
        <v>-2</v>
      </c>
      <c r="BG37" s="21" cm="1">
        <f t="array" aca="1" ref="BG37" ca="1">INDEX(Master!$H$2:'Master'!$H$4384,MATCH($A37&amp;BG$2,Master!$A$2:'Master'!$A$4384&amp;Master!$C$2:'Master'!$C$4384,0))</f>
        <v>-2</v>
      </c>
      <c r="BH37" s="21" cm="1">
        <f t="array" aca="1" ref="BH37" ca="1">INDEX(Master!$H$2:'Master'!$H$4384,MATCH($A37&amp;BH$2,Master!$A$2:'Master'!$A$4384&amp;Master!$C$2:'Master'!$C$4384,0))</f>
        <v>-3</v>
      </c>
      <c r="BI37" s="21" cm="1">
        <f t="array" aca="1" ref="BI37" ca="1">INDEX(Master!$H$2:'Master'!$H$4384,MATCH($A37&amp;BI$2,Master!$A$2:'Master'!$A$4384&amp;Master!$C$2:'Master'!$C$4384,0))</f>
        <v>0</v>
      </c>
      <c r="BJ37" s="21" cm="1">
        <f t="array" aca="1" ref="BJ37" ca="1">INDEX(Master!$H$2:'Master'!$H$4384,MATCH($A37&amp;BJ$2,Master!$A$2:'Master'!$A$4384&amp;Master!$C$2:'Master'!$C$4384,0))</f>
        <v>-1</v>
      </c>
      <c r="BK37" s="21" cm="1">
        <f t="array" aca="1" ref="BK37" ca="1">INDEX(Master!$H$2:'Master'!$H$4384,MATCH($A37&amp;BK$2,Master!$A$2:'Master'!$A$4384&amp;Master!$C$2:'Master'!$C$4384,0))</f>
        <v>-3</v>
      </c>
      <c r="BL37" s="21" cm="1">
        <f t="array" aca="1" ref="BL37" ca="1">INDEX(Master!$H$2:'Master'!$H$4384,MATCH($A37&amp;BL$2,Master!$A$2:'Master'!$A$4384&amp;Master!$C$2:'Master'!$C$4384,0))</f>
        <v>-1</v>
      </c>
      <c r="BM37" s="21" cm="1">
        <f t="array" aca="1" ref="BM37" ca="1">INDEX(Master!$H$2:'Master'!$H$4384,MATCH($A37&amp;BM$2,Master!$A$2:'Master'!$A$4384&amp;Master!$C$2:'Master'!$C$4384,0))</f>
        <v>2</v>
      </c>
      <c r="BN37" s="21" cm="1">
        <f t="array" aca="1" ref="BN37" ca="1">INDEX(Master!$H$2:'Master'!$H$4384,MATCH($A37&amp;BN$2,Master!$A$2:'Master'!$A$4384&amp;Master!$C$2:'Master'!$C$4384,0))</f>
        <v>-1</v>
      </c>
      <c r="BO37" s="21" cm="1">
        <f t="array" aca="1" ref="BO37" ca="1">INDEX(Master!$H$2:'Master'!$H$4384,MATCH($A37&amp;BO$2,Master!$A$2:'Master'!$A$4384&amp;Master!$C$2:'Master'!$C$4384,0))</f>
        <v>-1</v>
      </c>
      <c r="BP37" s="21" cm="1">
        <f t="array" aca="1" ref="BP37" ca="1">INDEX(Master!$H$2:'Master'!$H$4384,MATCH($A37&amp;BP$2,Master!$A$2:'Master'!$A$4384&amp;Master!$C$2:'Master'!$C$4384,0))</f>
        <v>1</v>
      </c>
      <c r="BQ37" s="21" cm="1">
        <f t="array" aca="1" ref="BQ37" ca="1">INDEX(Master!$H$2:'Master'!$H$4384,MATCH($A37&amp;BQ$2,Master!$A$2:'Master'!$A$4384&amp;Master!$C$2:'Master'!$C$4384,0))</f>
        <v>1</v>
      </c>
      <c r="BR37" s="21" cm="1">
        <f t="array" aca="1" ref="BR37" ca="1">INDEX(Master!$H$2:'Master'!$H$4384,MATCH($A37&amp;BR$2,Master!$A$2:'Master'!$A$4384&amp;Master!$C$2:'Master'!$C$4384,0))</f>
        <v>1</v>
      </c>
      <c r="BS37" s="21" cm="1">
        <f t="array" aca="1" ref="BS37" ca="1">INDEX(Master!$H$2:'Master'!$H$4384,MATCH($A37&amp;BS$2,Master!$A$2:'Master'!$A$4384&amp;Master!$C$2:'Master'!$C$4384,0))</f>
        <v>1</v>
      </c>
      <c r="BT37" s="21" cm="1">
        <f t="array" aca="1" ref="BT37" ca="1">INDEX(Master!$H$2:'Master'!$H$4384,MATCH($A37&amp;BT$2,Master!$A$2:'Master'!$A$4384&amp;Master!$C$2:'Master'!$C$4384,0))</f>
        <v>-1</v>
      </c>
      <c r="BU37" s="21" cm="1">
        <f t="array" aca="1" ref="BU37" ca="1">INDEX(Master!$H$2:'Master'!$H$4384,MATCH($A37&amp;BU$2,Master!$A$2:'Master'!$A$4384&amp;Master!$C$2:'Master'!$C$4384,0))</f>
        <v>-1</v>
      </c>
      <c r="BV37" s="21" cm="1">
        <f t="array" aca="1" ref="BV37" ca="1">INDEX(Master!$H$2:'Master'!$H$4384,MATCH($A37&amp;BV$2,Master!$A$2:'Master'!$A$4384&amp;Master!$C$2:'Master'!$C$4384,0))</f>
        <v>-1</v>
      </c>
      <c r="BW37" s="21" cm="1">
        <f t="array" aca="1" ref="BW37" ca="1">INDEX(Master!$H$2:'Master'!$H$4384,MATCH($A37&amp;BW$2,Master!$A$2:'Master'!$A$4384&amp;Master!$C$2:'Master'!$C$4384,0))</f>
        <v>-2</v>
      </c>
      <c r="BX37" s="21" cm="1">
        <f t="array" aca="1" ref="BX37" ca="1">INDEX(Master!$H$2:'Master'!$H$4384,MATCH($A37&amp;BX$2,Master!$A$2:'Master'!$A$4384&amp;Master!$C$2:'Master'!$C$4384,0))</f>
        <v>-2</v>
      </c>
      <c r="BY37" s="21" cm="1">
        <f t="array" aca="1" ref="BY37" ca="1">INDEX(Master!$H$2:'Master'!$H$4384,MATCH($A37&amp;BY$2,Master!$A$2:'Master'!$A$4384&amp;Master!$C$2:'Master'!$C$4384,0))</f>
        <v>-3</v>
      </c>
      <c r="BZ37" s="21" cm="1">
        <f t="array" aca="1" ref="BZ37" ca="1">INDEX(Master!$H$2:'Master'!$H$4384,MATCH($A37&amp;BZ$2,Master!$A$2:'Master'!$A$4384&amp;Master!$C$2:'Master'!$C$4384,0))</f>
        <v>0</v>
      </c>
      <c r="CA37" s="21" cm="1">
        <f t="array" aca="1" ref="CA37" ca="1">INDEX(Master!$H$2:'Master'!$H$4384,MATCH($A37&amp;CA$2,Master!$A$2:'Master'!$A$4384&amp;Master!$C$2:'Master'!$C$4384,0))</f>
        <v>-1</v>
      </c>
      <c r="CB37" s="21" cm="1">
        <f t="array" aca="1" ref="CB37" ca="1">INDEX(Master!$H$2:'Master'!$H$4384,MATCH($A37&amp;CB$2,Master!$A$2:'Master'!$A$4384&amp;Master!$C$2:'Master'!$C$4384,0))</f>
        <v>-3</v>
      </c>
      <c r="CC37" s="21" cm="1">
        <f t="array" aca="1" ref="CC37" ca="1">INDEX(Master!$H$2:'Master'!$H$4384,MATCH($A37&amp;CC$2,Master!$A$2:'Master'!$A$4384&amp;Master!$C$2:'Master'!$C$4384,0))</f>
        <v>-1</v>
      </c>
      <c r="CD37" s="21" cm="1">
        <f t="array" aca="1" ref="CD37" ca="1">INDEX(Master!$H$2:'Master'!$H$4384,MATCH($A37&amp;CD$2,Master!$A$2:'Master'!$A$4384&amp;Master!$C$2:'Master'!$C$4384,0))</f>
        <v>2</v>
      </c>
      <c r="CE37" s="21" cm="1">
        <f t="array" aca="1" ref="CE37" ca="1">INDEX(Master!$H$2:'Master'!$H$4384,MATCH($A37&amp;CE$2,Master!$A$2:'Master'!$A$4384&amp;Master!$C$2:'Master'!$C$4384,0))</f>
        <v>0</v>
      </c>
      <c r="CF37" s="21" cm="1">
        <f t="array" aca="1" ref="CF37" ca="1">INDEX(Master!$H$2:'Master'!$H$4384,MATCH($A37&amp;CF$2,Master!$A$2:'Master'!$A$4384&amp;Master!$C$2:'Master'!$C$4384,0))</f>
        <v>-1</v>
      </c>
      <c r="CG37" s="21" cm="1">
        <f t="array" aca="1" ref="CG37" ca="1">INDEX(Master!$H$2:'Master'!$H$4384,MATCH($A37&amp;CG$2,Master!$A$2:'Master'!$A$4384&amp;Master!$C$2:'Master'!$C$4384,0))</f>
        <v>-1</v>
      </c>
      <c r="CH37" s="21" cm="1">
        <f t="array" aca="1" ref="CH37" ca="1">INDEX(Master!$H$2:'Master'!$H$4384,MATCH($A37&amp;CH$2,Master!$A$2:'Master'!$A$4384&amp;Master!$C$2:'Master'!$C$4384,0))</f>
        <v>-3</v>
      </c>
      <c r="CI37" s="21" cm="1">
        <f t="array" aca="1" ref="CI37" ca="1">INDEX(Master!$H$2:'Master'!$H$4384,MATCH($A37&amp;CI$2,Master!$A$2:'Master'!$A$4384&amp;Master!$C$2:'Master'!$C$4384,0))</f>
        <v>-4</v>
      </c>
      <c r="CJ37" s="21" cm="1">
        <f t="array" aca="1" ref="CJ37" ca="1">INDEX(Master!$H$2:'Master'!$H$4384,MATCH($A37&amp;CJ$2,Master!$A$2:'Master'!$A$4384&amp;Master!$C$2:'Master'!$C$4384,0))</f>
        <v>3</v>
      </c>
      <c r="CK37" s="21" cm="1">
        <f t="array" aca="1" ref="CK37" ca="1">INDEX(Master!$H$2:'Master'!$H$4384,MATCH($A37&amp;CK$2,Master!$A$2:'Master'!$A$4384&amp;Master!$C$2:'Master'!$C$4384,0))</f>
        <v>-1</v>
      </c>
      <c r="CL37" s="21" cm="1">
        <f t="array" aca="1" ref="CL37" ca="1">INDEX(Master!$H$2:'Master'!$H$4384,MATCH($A37&amp;CL$2,Master!$A$2:'Master'!$A$4384&amp;Master!$C$2:'Master'!$C$4384,0))</f>
        <v>-2</v>
      </c>
      <c r="CM37" s="21" cm="1">
        <f t="array" aca="1" ref="CM37" ca="1">INDEX(Master!$H$2:'Master'!$H$4384,MATCH($A37&amp;CM$2,Master!$A$2:'Master'!$A$4384&amp;Master!$C$2:'Master'!$C$4384,0))</f>
        <v>0</v>
      </c>
      <c r="CN37" s="21" cm="1">
        <f t="array" aca="1" ref="CN37" ca="1">INDEX(Master!$H$2:'Master'!$H$4384,MATCH($A37&amp;CN$2,Master!$A$2:'Master'!$A$4384&amp;Master!$C$2:'Master'!$C$4384,0))</f>
        <v>1</v>
      </c>
      <c r="CO37" s="21" cm="1">
        <f t="array" aca="1" ref="CO37" ca="1">INDEX(Master!$H$2:'Master'!$H$4384,MATCH($A37&amp;CO$2,Master!$A$2:'Master'!$A$4384&amp;Master!$C$2:'Master'!$C$4384,0))</f>
        <v>0</v>
      </c>
      <c r="CP37" s="21" cm="1">
        <f t="array" aca="1" ref="CP37" ca="1">INDEX(Master!$H$2:'Master'!$H$4384,MATCH($A37&amp;CP$2,Master!$A$2:'Master'!$A$4384&amp;Master!$C$2:'Master'!$C$4384,0))</f>
        <v>-1</v>
      </c>
      <c r="CQ37" s="21" cm="1">
        <f t="array" aca="1" ref="CQ37" ca="1">INDEX(Master!$H$2:'Master'!$H$4384,MATCH($A37&amp;CQ$2,Master!$A$2:'Master'!$A$4384&amp;Master!$C$2:'Master'!$C$4384,0))</f>
        <v>-1</v>
      </c>
      <c r="CR37" s="21" cm="1">
        <f t="array" aca="1" ref="CR37" ca="1">INDEX(Master!$H$2:'Master'!$H$4384,MATCH($A37&amp;CR$2,Master!$A$2:'Master'!$A$4384&amp;Master!$C$2:'Master'!$C$4384,0))</f>
        <v>2</v>
      </c>
      <c r="CS37" s="21" cm="1">
        <f t="array" aca="1" ref="CS37" ca="1">INDEX(Master!$H$2:'Master'!$H$4384,MATCH($A37&amp;CS$2,Master!$A$2:'Master'!$A$4384&amp;Master!$C$2:'Master'!$C$4384,0))</f>
        <v>-2</v>
      </c>
    </row>
    <row r="38" spans="1:97">
      <c r="A38" s="22" t="str">
        <f>VLOOKUP(Staff!$A34,Staff!$A$1:A$73,1,FALSE)</f>
        <v>Adam Dalgliesh</v>
      </c>
      <c r="B38" s="21" cm="1">
        <f t="array" aca="1" ref="B38" ca="1">INDEX(Master!$H$2:'Master'!$H$4384,MATCH($A38&amp;B$2,Master!$A$2:'Master'!$A$4384&amp;Master!$C$2:'Master'!$C$4384,0))</f>
        <v>-2</v>
      </c>
      <c r="C38" s="21" cm="1">
        <f t="array" aca="1" ref="C38" ca="1">INDEX(Master!$H$2:'Master'!$H$4384,MATCH($A38&amp;C$2,Master!$A$2:'Master'!$A$4384&amp;Master!$C$2:'Master'!$C$4384,0))</f>
        <v>-1</v>
      </c>
      <c r="D38" s="21" cm="1">
        <f t="array" aca="1" ref="D38" ca="1">INDEX(Master!$H$2:'Master'!$H$4384,MATCH($A38&amp;D$2,Master!$A$2:'Master'!$A$4384&amp;Master!$C$2:'Master'!$C$4384,0))</f>
        <v>-2</v>
      </c>
      <c r="E38" s="21" cm="1">
        <f t="array" aca="1" ref="E38" ca="1">INDEX(Master!$H$2:'Master'!$H$4384,MATCH($A38&amp;E$2,Master!$A$2:'Master'!$A$4384&amp;Master!$C$2:'Master'!$C$4384,0))</f>
        <v>0</v>
      </c>
      <c r="F38" s="21" cm="1">
        <f t="array" aca="1" ref="F38" ca="1">INDEX(Master!$H$2:'Master'!$H$4384,MATCH($A38&amp;F$2,Master!$A$2:'Master'!$A$4384&amp;Master!$C$2:'Master'!$C$4384,0))</f>
        <v>1</v>
      </c>
      <c r="G38" s="21" cm="1">
        <f t="array" aca="1" ref="G38" ca="1">INDEX(Master!$H$2:'Master'!$H$4384,MATCH($A38&amp;G$2,Master!$A$2:'Master'!$A$4384&amp;Master!$C$2:'Master'!$C$4384,0))</f>
        <v>-1</v>
      </c>
      <c r="H38" s="21" cm="1">
        <f t="array" aca="1" ref="H38" ca="1">INDEX(Master!$H$2:'Master'!$H$4384,MATCH($A38&amp;H$2,Master!$A$2:'Master'!$A$4384&amp;Master!$C$2:'Master'!$C$4384,0))</f>
        <v>1</v>
      </c>
      <c r="I38" s="21" cm="1">
        <f t="array" aca="1" ref="I38" ca="1">INDEX(Master!$H$2:'Master'!$H$4384,MATCH($A38&amp;I$2,Master!$A$2:'Master'!$A$4384&amp;Master!$C$2:'Master'!$C$4384,0))</f>
        <v>0</v>
      </c>
      <c r="J38" s="21" cm="1">
        <f t="array" aca="1" ref="J38" ca="1">INDEX(Master!$H$2:'Master'!$H$4384,MATCH($A38&amp;J$2,Master!$A$2:'Master'!$A$4384&amp;Master!$C$2:'Master'!$C$4384,0))</f>
        <v>0</v>
      </c>
      <c r="K38" s="21" cm="1">
        <f t="array" aca="1" ref="K38" ca="1">INDEX(Master!$H$2:'Master'!$H$4384,MATCH($A38&amp;K$2,Master!$A$2:'Master'!$A$4384&amp;Master!$C$2:'Master'!$C$4384,0))</f>
        <v>0</v>
      </c>
      <c r="L38" s="21" cm="1">
        <f t="array" aca="1" ref="L38" ca="1">INDEX(Master!$H$2:'Master'!$H$4384,MATCH($A38&amp;L$2,Master!$A$2:'Master'!$A$4384&amp;Master!$C$2:'Master'!$C$4384,0))</f>
        <v>0</v>
      </c>
      <c r="M38" s="21" cm="1">
        <f t="array" aca="1" ref="M38" ca="1">INDEX(Master!$H$2:'Master'!$H$4384,MATCH($A38&amp;M$2,Master!$A$2:'Master'!$A$4384&amp;Master!$C$2:'Master'!$C$4384,0))</f>
        <v>1</v>
      </c>
      <c r="N38" s="21" cm="1">
        <f t="array" aca="1" ref="N38" ca="1">INDEX(Master!$H$2:'Master'!$H$4384,MATCH($A38&amp;N$2,Master!$A$2:'Master'!$A$4384&amp;Master!$C$2:'Master'!$C$4384,0))</f>
        <v>0</v>
      </c>
      <c r="O38" s="21" cm="1">
        <f t="array" aca="1" ref="O38" ca="1">INDEX(Master!$H$2:'Master'!$H$4384,MATCH($A38&amp;O$2,Master!$A$2:'Master'!$A$4384&amp;Master!$C$2:'Master'!$C$4384,0))</f>
        <v>-1</v>
      </c>
      <c r="P38" s="21" cm="1">
        <f t="array" aca="1" ref="P38" ca="1">INDEX(Master!$H$2:'Master'!$H$4384,MATCH($A38&amp;P$2,Master!$A$2:'Master'!$A$4384&amp;Master!$C$2:'Master'!$C$4384,0))</f>
        <v>0</v>
      </c>
      <c r="Q38" s="21" cm="1">
        <f t="array" aca="1" ref="Q38" ca="1">INDEX(Master!$H$2:'Master'!$H$4384,MATCH($A38&amp;Q$2,Master!$A$2:'Master'!$A$4384&amp;Master!$C$2:'Master'!$C$4384,0))</f>
        <v>0</v>
      </c>
      <c r="R38" s="21" cm="1">
        <f t="array" aca="1" ref="R38" ca="1">INDEX(Master!$H$2:'Master'!$H$4384,MATCH($A38&amp;R$2,Master!$A$2:'Master'!$A$4384&amp;Master!$C$2:'Master'!$C$4384,0))</f>
        <v>1</v>
      </c>
      <c r="S38" s="21" cm="1">
        <f t="array" aca="1" ref="S38" ca="1">INDEX(Master!$H$2:'Master'!$H$4384,MATCH($A38&amp;S$2,Master!$A$2:'Master'!$A$4384&amp;Master!$C$2:'Master'!$C$4384,0))</f>
        <v>-1</v>
      </c>
      <c r="T38" s="21" cm="1">
        <f t="array" aca="1" ref="T38" ca="1">INDEX(Master!$H$2:'Master'!$H$4384,MATCH($A38&amp;T$2,Master!$A$2:'Master'!$A$4384&amp;Master!$C$2:'Master'!$C$4384,0))</f>
        <v>0</v>
      </c>
      <c r="U38" s="21" cm="1">
        <f t="array" aca="1" ref="U38" ca="1">INDEX(Master!$H$2:'Master'!$H$4384,MATCH($A38&amp;U$2,Master!$A$2:'Master'!$A$4384&amp;Master!$C$2:'Master'!$C$4384,0))</f>
        <v>1</v>
      </c>
      <c r="V38" s="21" cm="1">
        <f t="array" aca="1" ref="V38" ca="1">INDEX(Master!$H$2:'Master'!$H$4384,MATCH($A38&amp;V$2,Master!$A$2:'Master'!$A$4384&amp;Master!$C$2:'Master'!$C$4384,0))</f>
        <v>-1</v>
      </c>
      <c r="W38" s="21" cm="1">
        <f t="array" aca="1" ref="W38" ca="1">INDEX(Master!$H$2:'Master'!$H$4384,MATCH($A38&amp;W$2,Master!$A$2:'Master'!$A$4384&amp;Master!$C$2:'Master'!$C$4384,0))</f>
        <v>2</v>
      </c>
      <c r="X38" s="21" cm="1">
        <f t="array" aca="1" ref="X38" ca="1">INDEX(Master!$H$2:'Master'!$H$4384,MATCH($A38&amp;X$2,Master!$A$2:'Master'!$A$4384&amp;Master!$C$2:'Master'!$C$4384,0))</f>
        <v>4</v>
      </c>
      <c r="Y38" s="21" cm="1">
        <f t="array" aca="1" ref="Y38" ca="1">INDEX(Master!$H$2:'Master'!$H$4384,MATCH($A38&amp;Y$2,Master!$A$2:'Master'!$A$4384&amp;Master!$C$2:'Master'!$C$4384,0))</f>
        <v>4</v>
      </c>
      <c r="Z38" s="21" cm="1">
        <f t="array" aca="1" ref="Z38" ca="1">INDEX(Master!$H$2:'Master'!$H$4384,MATCH($A38&amp;Z$2,Master!$A$2:'Master'!$A$4384&amp;Master!$C$2:'Master'!$C$4384,0))</f>
        <v>4</v>
      </c>
      <c r="AA38" s="21" cm="1">
        <f t="array" aca="1" ref="AA38" ca="1">INDEX(Master!$H$2:'Master'!$H$4384,MATCH($A38&amp;AA$2,Master!$A$2:'Master'!$A$4384&amp;Master!$C$2:'Master'!$C$4384,0))</f>
        <v>4</v>
      </c>
      <c r="AB38" s="21" cm="1">
        <f t="array" aca="1" ref="AB38" ca="1">INDEX(Master!$H$2:'Master'!$H$4384,MATCH($A38&amp;AB$2,Master!$A$2:'Master'!$A$4384&amp;Master!$C$2:'Master'!$C$4384,0))</f>
        <v>4</v>
      </c>
      <c r="AC38" s="21" cm="1">
        <f t="array" aca="1" ref="AC38" ca="1">INDEX(Master!$H$2:'Master'!$H$4384,MATCH($A38&amp;AC$2,Master!$A$2:'Master'!$A$4384&amp;Master!$C$2:'Master'!$C$4384,0))</f>
        <v>-1</v>
      </c>
      <c r="AD38" s="21" cm="1">
        <f t="array" aca="1" ref="AD38" ca="1">INDEX(Master!$H$2:'Master'!$H$4384,MATCH($A38&amp;AD$2,Master!$A$2:'Master'!$A$4384&amp;Master!$C$2:'Master'!$C$4384,0))</f>
        <v>2</v>
      </c>
      <c r="AE38" s="21" cm="1">
        <f t="array" aca="1" ref="AE38" ca="1">INDEX(Master!$H$2:'Master'!$H$4384,MATCH($A38&amp;AE$2,Master!$A$2:'Master'!$A$4384&amp;Master!$C$2:'Master'!$C$4384,0))</f>
        <v>-2</v>
      </c>
      <c r="AF38" s="21" cm="1">
        <f t="array" aca="1" ref="AF38" ca="1">INDEX(Master!$H$2:'Master'!$H$4384,MATCH($A38&amp;AF$2,Master!$A$2:'Master'!$A$4384&amp;Master!$C$2:'Master'!$C$4384,0))</f>
        <v>-1</v>
      </c>
      <c r="AG38" s="21" cm="1">
        <f t="array" aca="1" ref="AG38" ca="1">INDEX(Master!$H$2:'Master'!$H$4384,MATCH($A38&amp;AG$2,Master!$A$2:'Master'!$A$4384&amp;Master!$C$2:'Master'!$C$4384,0))</f>
        <v>1</v>
      </c>
      <c r="AH38" s="21" cm="1">
        <f t="array" aca="1" ref="AH38" ca="1">INDEX(Master!$H$2:'Master'!$H$4384,MATCH($A38&amp;AH$2,Master!$A$2:'Master'!$A$4384&amp;Master!$C$2:'Master'!$C$4384,0))</f>
        <v>-2</v>
      </c>
      <c r="AI38" s="21" cm="1">
        <f t="array" aca="1" ref="AI38" ca="1">INDEX(Master!$H$2:'Master'!$H$4384,MATCH($A38&amp;AI$2,Master!$A$2:'Master'!$A$4384&amp;Master!$C$2:'Master'!$C$4384,0))</f>
        <v>0</v>
      </c>
      <c r="AJ38" s="21" cm="1">
        <f t="array" aca="1" ref="AJ38" ca="1">INDEX(Master!$H$2:'Master'!$H$4384,MATCH($A38&amp;AJ$2,Master!$A$2:'Master'!$A$4384&amp;Master!$C$2:'Master'!$C$4384,0))</f>
        <v>0</v>
      </c>
      <c r="AK38" s="21" cm="1">
        <f t="array" aca="1" ref="AK38" ca="1">INDEX(Master!$H$2:'Master'!$H$4384,MATCH($A38&amp;AK$2,Master!$A$2:'Master'!$A$4384&amp;Master!$C$2:'Master'!$C$4384,0))</f>
        <v>1</v>
      </c>
      <c r="AL38" s="21" cm="1">
        <f t="array" aca="1" ref="AL38" ca="1">INDEX(Master!$H$2:'Master'!$H$4384,MATCH($A38&amp;AL$2,Master!$A$2:'Master'!$A$4384&amp;Master!$C$2:'Master'!$C$4384,0))</f>
        <v>1</v>
      </c>
      <c r="AM38" s="21" cm="1">
        <f t="array" aca="1" ref="AM38" ca="1">INDEX(Master!$H$2:'Master'!$H$4384,MATCH($A38&amp;AM$2,Master!$A$2:'Master'!$A$4384&amp;Master!$C$2:'Master'!$C$4384,0))</f>
        <v>1</v>
      </c>
      <c r="AN38" s="21" cm="1">
        <f t="array" aca="1" ref="AN38" ca="1">INDEX(Master!$H$2:'Master'!$H$4384,MATCH($A38&amp;AN$2,Master!$A$2:'Master'!$A$4384&amp;Master!$C$2:'Master'!$C$4384,0))</f>
        <v>1</v>
      </c>
      <c r="AO38" s="21" cm="1">
        <f t="array" aca="1" ref="AO38" ca="1">INDEX(Master!$H$2:'Master'!$H$4384,MATCH($A38&amp;AO$2,Master!$A$2:'Master'!$A$4384&amp;Master!$C$2:'Master'!$C$4384,0))</f>
        <v>0</v>
      </c>
      <c r="AP38" s="21" cm="1">
        <f t="array" aca="1" ref="AP38" ca="1">INDEX(Master!$H$2:'Master'!$H$4384,MATCH($A38&amp;AP$2,Master!$A$2:'Master'!$A$4384&amp;Master!$C$2:'Master'!$C$4384,0))</f>
        <v>-2</v>
      </c>
      <c r="AQ38" s="21" cm="1">
        <f t="array" aca="1" ref="AQ38" ca="1">INDEX(Master!$H$2:'Master'!$H$4384,MATCH($A38&amp;AQ$2,Master!$A$2:'Master'!$A$4384&amp;Master!$C$2:'Master'!$C$4384,0))</f>
        <v>3</v>
      </c>
      <c r="AR38" s="21" cm="1">
        <f t="array" aca="1" ref="AR38" ca="1">INDEX(Master!$H$2:'Master'!$H$4384,MATCH($A38&amp;AR$2,Master!$A$2:'Master'!$A$4384&amp;Master!$C$2:'Master'!$C$4384,0))</f>
        <v>2</v>
      </c>
      <c r="AS38" s="21" cm="1">
        <f t="array" aca="1" ref="AS38" ca="1">INDEX(Master!$H$2:'Master'!$H$4384,MATCH($A38&amp;AS$2,Master!$A$2:'Master'!$A$4384&amp;Master!$C$2:'Master'!$C$4384,0))</f>
        <v>0</v>
      </c>
      <c r="AT38" s="21" cm="1">
        <f t="array" aca="1" ref="AT38" ca="1">INDEX(Master!$H$2:'Master'!$H$4384,MATCH($A38&amp;AT$2,Master!$A$2:'Master'!$A$4384&amp;Master!$C$2:'Master'!$C$4384,0))</f>
        <v>-1</v>
      </c>
      <c r="AU38" s="21" cm="1">
        <f t="array" aca="1" ref="AU38" ca="1">INDEX(Master!$H$2:'Master'!$H$4384,MATCH($A38&amp;AU$2,Master!$A$2:'Master'!$A$4384&amp;Master!$C$2:'Master'!$C$4384,0))</f>
        <v>-2</v>
      </c>
      <c r="AV38" s="21" cm="1">
        <f t="array" aca="1" ref="AV38" ca="1">INDEX(Master!$H$2:'Master'!$H$4384,MATCH($A38&amp;AV$2,Master!$A$2:'Master'!$A$4384&amp;Master!$C$2:'Master'!$C$4384,0))</f>
        <v>-1</v>
      </c>
      <c r="AW38" s="21" cm="1">
        <f t="array" aca="1" ref="AW38" ca="1">INDEX(Master!$H$2:'Master'!$H$4384,MATCH($A38&amp;AW$2,Master!$A$2:'Master'!$A$4384&amp;Master!$C$2:'Master'!$C$4384,0))</f>
        <v>-1</v>
      </c>
      <c r="AX38" s="21" cm="1">
        <f t="array" aca="1" ref="AX38" ca="1">INDEX(Master!$H$2:'Master'!$H$4384,MATCH($A38&amp;AX$2,Master!$A$2:'Master'!$A$4384&amp;Master!$C$2:'Master'!$C$4384,0))</f>
        <v>-1</v>
      </c>
      <c r="AY38" s="21" cm="1">
        <f t="array" aca="1" ref="AY38" ca="1">INDEX(Master!$H$2:'Master'!$H$4384,MATCH($A38&amp;AY$2,Master!$A$2:'Master'!$A$4384&amp;Master!$C$2:'Master'!$C$4384,0))</f>
        <v>0</v>
      </c>
      <c r="AZ38" s="21" cm="1">
        <f t="array" aca="1" ref="AZ38" ca="1">INDEX(Master!$H$2:'Master'!$H$4384,MATCH($A38&amp;AZ$2,Master!$A$2:'Master'!$A$4384&amp;Master!$C$2:'Master'!$C$4384,0))</f>
        <v>0</v>
      </c>
      <c r="BA38" s="21" cm="1">
        <f t="array" aca="1" ref="BA38" ca="1">INDEX(Master!$H$2:'Master'!$H$4384,MATCH($A38&amp;BA$2,Master!$A$2:'Master'!$A$4384&amp;Master!$C$2:'Master'!$C$4384,0))</f>
        <v>0</v>
      </c>
      <c r="BB38" s="21" cm="1">
        <f t="array" aca="1" ref="BB38" ca="1">INDEX(Master!$H$2:'Master'!$H$4384,MATCH($A38&amp;BB$2,Master!$A$2:'Master'!$A$4384&amp;Master!$C$2:'Master'!$C$4384,0))</f>
        <v>0</v>
      </c>
      <c r="BC38" s="21" cm="1">
        <f t="array" aca="1" ref="BC38" ca="1">INDEX(Master!$H$2:'Master'!$H$4384,MATCH($A38&amp;BC$2,Master!$A$2:'Master'!$A$4384&amp;Master!$C$2:'Master'!$C$4384,0))</f>
        <v>0</v>
      </c>
      <c r="BD38" s="21" cm="1">
        <f t="array" aca="1" ref="BD38" ca="1">INDEX(Master!$H$2:'Master'!$H$4384,MATCH($A38&amp;BD$2,Master!$A$2:'Master'!$A$4384&amp;Master!$C$2:'Master'!$C$4384,0))</f>
        <v>1</v>
      </c>
      <c r="BE38" s="21" cm="1">
        <f t="array" aca="1" ref="BE38" ca="1">INDEX(Master!$H$2:'Master'!$H$4384,MATCH($A38&amp;BE$2,Master!$A$2:'Master'!$A$4384&amp;Master!$C$2:'Master'!$C$4384,0))</f>
        <v>0</v>
      </c>
      <c r="BF38" s="21" cm="1">
        <f t="array" aca="1" ref="BF38" ca="1">INDEX(Master!$H$2:'Master'!$H$4384,MATCH($A38&amp;BF$2,Master!$A$2:'Master'!$A$4384&amp;Master!$C$2:'Master'!$C$4384,0))</f>
        <v>-2</v>
      </c>
      <c r="BG38" s="21" cm="1">
        <f t="array" aca="1" ref="BG38" ca="1">INDEX(Master!$H$2:'Master'!$H$4384,MATCH($A38&amp;BG$2,Master!$A$2:'Master'!$A$4384&amp;Master!$C$2:'Master'!$C$4384,0))</f>
        <v>-2</v>
      </c>
      <c r="BH38" s="21" cm="1">
        <f t="array" aca="1" ref="BH38" ca="1">INDEX(Master!$H$2:'Master'!$H$4384,MATCH($A38&amp;BH$2,Master!$A$2:'Master'!$A$4384&amp;Master!$C$2:'Master'!$C$4384,0))</f>
        <v>-2</v>
      </c>
      <c r="BI38" s="21" cm="1">
        <f t="array" aca="1" ref="BI38" ca="1">INDEX(Master!$H$2:'Master'!$H$4384,MATCH($A38&amp;BI$2,Master!$A$2:'Master'!$A$4384&amp;Master!$C$2:'Master'!$C$4384,0))</f>
        <v>-2</v>
      </c>
      <c r="BJ38" s="21" cm="1">
        <f t="array" aca="1" ref="BJ38" ca="1">INDEX(Master!$H$2:'Master'!$H$4384,MATCH($A38&amp;BJ$2,Master!$A$2:'Master'!$A$4384&amp;Master!$C$2:'Master'!$C$4384,0))</f>
        <v>-2</v>
      </c>
      <c r="BK38" s="21" cm="1">
        <f t="array" aca="1" ref="BK38" ca="1">INDEX(Master!$H$2:'Master'!$H$4384,MATCH($A38&amp;BK$2,Master!$A$2:'Master'!$A$4384&amp;Master!$C$2:'Master'!$C$4384,0))</f>
        <v>-2</v>
      </c>
      <c r="BL38" s="21" cm="1">
        <f t="array" aca="1" ref="BL38" ca="1">INDEX(Master!$H$2:'Master'!$H$4384,MATCH($A38&amp;BL$2,Master!$A$2:'Master'!$A$4384&amp;Master!$C$2:'Master'!$C$4384,0))</f>
        <v>-2</v>
      </c>
      <c r="BM38" s="21" cm="1">
        <f t="array" aca="1" ref="BM38" ca="1">INDEX(Master!$H$2:'Master'!$H$4384,MATCH($A38&amp;BM$2,Master!$A$2:'Master'!$A$4384&amp;Master!$C$2:'Master'!$C$4384,0))</f>
        <v>0</v>
      </c>
      <c r="BN38" s="21" cm="1">
        <f t="array" aca="1" ref="BN38" ca="1">INDEX(Master!$H$2:'Master'!$H$4384,MATCH($A38&amp;BN$2,Master!$A$2:'Master'!$A$4384&amp;Master!$C$2:'Master'!$C$4384,0))</f>
        <v>0</v>
      </c>
      <c r="BO38" s="21" cm="1">
        <f t="array" aca="1" ref="BO38" ca="1">INDEX(Master!$H$2:'Master'!$H$4384,MATCH($A38&amp;BO$2,Master!$A$2:'Master'!$A$4384&amp;Master!$C$2:'Master'!$C$4384,0))</f>
        <v>-1</v>
      </c>
      <c r="BP38" s="21" cm="1">
        <f t="array" aca="1" ref="BP38" ca="1">INDEX(Master!$H$2:'Master'!$H$4384,MATCH($A38&amp;BP$2,Master!$A$2:'Master'!$A$4384&amp;Master!$C$2:'Master'!$C$4384,0))</f>
        <v>0</v>
      </c>
      <c r="BQ38" s="21" cm="1">
        <f t="array" aca="1" ref="BQ38" ca="1">INDEX(Master!$H$2:'Master'!$H$4384,MATCH($A38&amp;BQ$2,Master!$A$2:'Master'!$A$4384&amp;Master!$C$2:'Master'!$C$4384,0))</f>
        <v>0</v>
      </c>
      <c r="BR38" s="21" cm="1">
        <f t="array" aca="1" ref="BR38" ca="1">INDEX(Master!$H$2:'Master'!$H$4384,MATCH($A38&amp;BR$2,Master!$A$2:'Master'!$A$4384&amp;Master!$C$2:'Master'!$C$4384,0))</f>
        <v>0</v>
      </c>
      <c r="BS38" s="21" cm="1">
        <f t="array" aca="1" ref="BS38" ca="1">INDEX(Master!$H$2:'Master'!$H$4384,MATCH($A38&amp;BS$2,Master!$A$2:'Master'!$A$4384&amp;Master!$C$2:'Master'!$C$4384,0))</f>
        <v>2</v>
      </c>
      <c r="BT38" s="21" cm="1">
        <f t="array" aca="1" ref="BT38" ca="1">INDEX(Master!$H$2:'Master'!$H$4384,MATCH($A38&amp;BT$2,Master!$A$2:'Master'!$A$4384&amp;Master!$C$2:'Master'!$C$4384,0))</f>
        <v>0</v>
      </c>
      <c r="BU38" s="21" cm="1">
        <f t="array" aca="1" ref="BU38" ca="1">INDEX(Master!$H$2:'Master'!$H$4384,MATCH($A38&amp;BU$2,Master!$A$2:'Master'!$A$4384&amp;Master!$C$2:'Master'!$C$4384,0))</f>
        <v>1</v>
      </c>
      <c r="BV38" s="21" cm="1">
        <f t="array" aca="1" ref="BV38" ca="1">INDEX(Master!$H$2:'Master'!$H$4384,MATCH($A38&amp;BV$2,Master!$A$2:'Master'!$A$4384&amp;Master!$C$2:'Master'!$C$4384,0))</f>
        <v>-1</v>
      </c>
      <c r="BW38" s="21" cm="1">
        <f t="array" aca="1" ref="BW38" ca="1">INDEX(Master!$H$2:'Master'!$H$4384,MATCH($A38&amp;BW$2,Master!$A$2:'Master'!$A$4384&amp;Master!$C$2:'Master'!$C$4384,0))</f>
        <v>-2</v>
      </c>
      <c r="BX38" s="21" cm="1">
        <f t="array" aca="1" ref="BX38" ca="1">INDEX(Master!$H$2:'Master'!$H$4384,MATCH($A38&amp;BX$2,Master!$A$2:'Master'!$A$4384&amp;Master!$C$2:'Master'!$C$4384,0))</f>
        <v>-2</v>
      </c>
      <c r="BY38" s="21" cm="1">
        <f t="array" aca="1" ref="BY38" ca="1">INDEX(Master!$H$2:'Master'!$H$4384,MATCH($A38&amp;BY$2,Master!$A$2:'Master'!$A$4384&amp;Master!$C$2:'Master'!$C$4384,0))</f>
        <v>-2</v>
      </c>
      <c r="BZ38" s="21" cm="1">
        <f t="array" aca="1" ref="BZ38" ca="1">INDEX(Master!$H$2:'Master'!$H$4384,MATCH($A38&amp;BZ$2,Master!$A$2:'Master'!$A$4384&amp;Master!$C$2:'Master'!$C$4384,0))</f>
        <v>-2</v>
      </c>
      <c r="CA38" s="21" cm="1">
        <f t="array" aca="1" ref="CA38" ca="1">INDEX(Master!$H$2:'Master'!$H$4384,MATCH($A38&amp;CA$2,Master!$A$2:'Master'!$A$4384&amp;Master!$C$2:'Master'!$C$4384,0))</f>
        <v>-2</v>
      </c>
      <c r="CB38" s="21" cm="1">
        <f t="array" aca="1" ref="CB38" ca="1">INDEX(Master!$H$2:'Master'!$H$4384,MATCH($A38&amp;CB$2,Master!$A$2:'Master'!$A$4384&amp;Master!$C$2:'Master'!$C$4384,0))</f>
        <v>-2</v>
      </c>
      <c r="CC38" s="21" cm="1">
        <f t="array" aca="1" ref="CC38" ca="1">INDEX(Master!$H$2:'Master'!$H$4384,MATCH($A38&amp;CC$2,Master!$A$2:'Master'!$A$4384&amp;Master!$C$2:'Master'!$C$4384,0))</f>
        <v>-2</v>
      </c>
      <c r="CD38" s="21" cm="1">
        <f t="array" aca="1" ref="CD38" ca="1">INDEX(Master!$H$2:'Master'!$H$4384,MATCH($A38&amp;CD$2,Master!$A$2:'Master'!$A$4384&amp;Master!$C$2:'Master'!$C$4384,0))</f>
        <v>0</v>
      </c>
      <c r="CE38" s="21" cm="1">
        <f t="array" aca="1" ref="CE38" ca="1">INDEX(Master!$H$2:'Master'!$H$4384,MATCH($A38&amp;CE$2,Master!$A$2:'Master'!$A$4384&amp;Master!$C$2:'Master'!$C$4384,0))</f>
        <v>-2</v>
      </c>
      <c r="CF38" s="21" cm="1">
        <f t="array" aca="1" ref="CF38" ca="1">INDEX(Master!$H$2:'Master'!$H$4384,MATCH($A38&amp;CF$2,Master!$A$2:'Master'!$A$4384&amp;Master!$C$2:'Master'!$C$4384,0))</f>
        <v>-2</v>
      </c>
      <c r="CG38" s="21" cm="1">
        <f t="array" aca="1" ref="CG38" ca="1">INDEX(Master!$H$2:'Master'!$H$4384,MATCH($A38&amp;CG$2,Master!$A$2:'Master'!$A$4384&amp;Master!$C$2:'Master'!$C$4384,0))</f>
        <v>-3</v>
      </c>
      <c r="CH38" s="21" cm="1">
        <f t="array" aca="1" ref="CH38" ca="1">INDEX(Master!$H$2:'Master'!$H$4384,MATCH($A38&amp;CH$2,Master!$A$2:'Master'!$A$4384&amp;Master!$C$2:'Master'!$C$4384,0))</f>
        <v>-3</v>
      </c>
      <c r="CI38" s="21" cm="1">
        <f t="array" aca="1" ref="CI38" ca="1">INDEX(Master!$H$2:'Master'!$H$4384,MATCH($A38&amp;CI$2,Master!$A$2:'Master'!$A$4384&amp;Master!$C$2:'Master'!$C$4384,0))</f>
        <v>-2</v>
      </c>
      <c r="CJ38" s="21" cm="1">
        <f t="array" aca="1" ref="CJ38" ca="1">INDEX(Master!$H$2:'Master'!$H$4384,MATCH($A38&amp;CJ$2,Master!$A$2:'Master'!$A$4384&amp;Master!$C$2:'Master'!$C$4384,0))</f>
        <v>1</v>
      </c>
      <c r="CK38" s="21" cm="1">
        <f t="array" aca="1" ref="CK38" ca="1">INDEX(Master!$H$2:'Master'!$H$4384,MATCH($A38&amp;CK$2,Master!$A$2:'Master'!$A$4384&amp;Master!$C$2:'Master'!$C$4384,0))</f>
        <v>-2</v>
      </c>
      <c r="CL38" s="21" cm="1">
        <f t="array" aca="1" ref="CL38" ca="1">INDEX(Master!$H$2:'Master'!$H$4384,MATCH($A38&amp;CL$2,Master!$A$2:'Master'!$A$4384&amp;Master!$C$2:'Master'!$C$4384,0))</f>
        <v>-2</v>
      </c>
      <c r="CM38" s="21" cm="1">
        <f t="array" aca="1" ref="CM38" ca="1">INDEX(Master!$H$2:'Master'!$H$4384,MATCH($A38&amp;CM$2,Master!$A$2:'Master'!$A$4384&amp;Master!$C$2:'Master'!$C$4384,0))</f>
        <v>-2</v>
      </c>
      <c r="CN38" s="21" cm="1">
        <f t="array" aca="1" ref="CN38" ca="1">INDEX(Master!$H$2:'Master'!$H$4384,MATCH($A38&amp;CN$2,Master!$A$2:'Master'!$A$4384&amp;Master!$C$2:'Master'!$C$4384,0))</f>
        <v>0</v>
      </c>
      <c r="CO38" s="21" cm="1">
        <f t="array" aca="1" ref="CO38" ca="1">INDEX(Master!$H$2:'Master'!$H$4384,MATCH($A38&amp;CO$2,Master!$A$2:'Master'!$A$4384&amp;Master!$C$2:'Master'!$C$4384,0))</f>
        <v>-2</v>
      </c>
      <c r="CP38" s="21" cm="1">
        <f t="array" aca="1" ref="CP38" ca="1">INDEX(Master!$H$2:'Master'!$H$4384,MATCH($A38&amp;CP$2,Master!$A$2:'Master'!$A$4384&amp;Master!$C$2:'Master'!$C$4384,0))</f>
        <v>-2</v>
      </c>
      <c r="CQ38" s="21" cm="1">
        <f t="array" aca="1" ref="CQ38" ca="1">INDEX(Master!$H$2:'Master'!$H$4384,MATCH($A38&amp;CQ$2,Master!$A$2:'Master'!$A$4384&amp;Master!$C$2:'Master'!$C$4384,0))</f>
        <v>-2</v>
      </c>
      <c r="CR38" s="21" cm="1">
        <f t="array" aca="1" ref="CR38" ca="1">INDEX(Master!$H$2:'Master'!$H$4384,MATCH($A38&amp;CR$2,Master!$A$2:'Master'!$A$4384&amp;Master!$C$2:'Master'!$C$4384,0))</f>
        <v>-1</v>
      </c>
      <c r="CS38" s="21" cm="1">
        <f t="array" aca="1" ref="CS38" ca="1">INDEX(Master!$H$2:'Master'!$H$4384,MATCH($A38&amp;CS$2,Master!$A$2:'Master'!$A$4384&amp;Master!$C$2:'Master'!$C$4384,0))</f>
        <v>-3</v>
      </c>
    </row>
    <row r="40" spans="1:97"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</sheetData>
  <mergeCells count="7">
    <mergeCell ref="CK1:CS1"/>
    <mergeCell ref="B1:J1"/>
    <mergeCell ref="K1:O1"/>
    <mergeCell ref="P1:BE1"/>
    <mergeCell ref="BF1:BM1"/>
    <mergeCell ref="BN1:CD1"/>
    <mergeCell ref="CE1:CJ1"/>
  </mergeCells>
  <phoneticPr fontId="3" type="noConversion"/>
  <conditionalFormatting sqref="B5:CS38">
    <cfRule type="cellIs" dxfId="1" priority="4" operator="equal">
      <formula>-2</formula>
    </cfRule>
    <cfRule type="cellIs" dxfId="0" priority="5" operator="lessThanOrEqual">
      <formula>-3</formula>
    </cfRule>
  </conditionalFormatting>
  <hyperlinks>
    <hyperlink ref="B3" r:id="rId1" xr:uid="{DE9DB49B-3AC3-40E2-ABFC-A5AF63F04CE6}"/>
    <hyperlink ref="E3" r:id="rId2" xr:uid="{EB7BFCFF-5F72-495A-BDF7-E43F99DF7DC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50D8-7A60-4D20-8C5A-E17345546E12}">
  <dimension ref="A3:R99"/>
  <sheetViews>
    <sheetView topLeftCell="M1" zoomScale="87" zoomScaleNormal="196" workbookViewId="0">
      <selection activeCell="L3" sqref="L3"/>
    </sheetView>
  </sheetViews>
  <sheetFormatPr defaultRowHeight="15"/>
  <cols>
    <col min="1" max="1" width="12" customWidth="1"/>
    <col min="3" max="8" width="9.140625" style="3"/>
    <col min="9" max="9" width="13.42578125" bestFit="1" customWidth="1"/>
    <col min="10" max="10" width="13.7109375" bestFit="1" customWidth="1"/>
    <col min="11" max="11" width="18.5703125" bestFit="1" customWidth="1"/>
    <col min="12" max="12" width="33.5703125" bestFit="1" customWidth="1"/>
    <col min="13" max="13" width="11" bestFit="1" customWidth="1"/>
    <col min="14" max="14" width="20.85546875" bestFit="1" customWidth="1"/>
    <col min="15" max="15" width="17.7109375" bestFit="1" customWidth="1"/>
    <col min="16" max="16" width="15.28515625" bestFit="1" customWidth="1"/>
    <col min="17" max="17" width="18.5703125" bestFit="1" customWidth="1"/>
    <col min="18" max="18" width="13.7109375" bestFit="1" customWidth="1"/>
  </cols>
  <sheetData>
    <row r="3" spans="1:18">
      <c r="A3" t="s">
        <v>393</v>
      </c>
      <c r="B3" s="23" t="s">
        <v>394</v>
      </c>
      <c r="C3" s="8" t="s">
        <v>40</v>
      </c>
      <c r="D3" s="8" t="s">
        <v>39</v>
      </c>
      <c r="E3" s="8" t="s">
        <v>38</v>
      </c>
      <c r="F3" s="8" t="s">
        <v>37</v>
      </c>
      <c r="G3" s="8" t="s">
        <v>36</v>
      </c>
      <c r="H3" s="8" t="s">
        <v>156</v>
      </c>
      <c r="L3" s="150" t="s">
        <v>408</v>
      </c>
      <c r="M3" t="s">
        <v>409</v>
      </c>
      <c r="N3" t="s">
        <v>410</v>
      </c>
      <c r="O3" t="s">
        <v>411</v>
      </c>
      <c r="P3" t="s">
        <v>412</v>
      </c>
      <c r="Q3" t="s">
        <v>413</v>
      </c>
      <c r="R3" t="s">
        <v>414</v>
      </c>
    </row>
    <row r="4" spans="1:18" ht="96">
      <c r="A4" s="159" t="s">
        <v>376</v>
      </c>
      <c r="B4" s="24" t="s">
        <v>106</v>
      </c>
      <c r="C4" s="3">
        <f ca="1">COUNTIF('Competence Heatmap'!B$4:B$23,4)</f>
        <v>2</v>
      </c>
      <c r="D4" s="3">
        <f ca="1">COUNTIF('Competence Heatmap'!B$4:B$23,3)</f>
        <v>10</v>
      </c>
      <c r="E4" s="3">
        <f ca="1">COUNTIF('Competence Heatmap'!B$4:B$23,2)</f>
        <v>5</v>
      </c>
      <c r="F4" s="3">
        <f ca="1">COUNTIF('Competence Heatmap'!B$4:B$23,1)</f>
        <v>0</v>
      </c>
      <c r="G4" s="3">
        <f ca="1">COUNTIF('Competence Heatmap'!B$4:B$23,0)</f>
        <v>0</v>
      </c>
      <c r="H4" s="3">
        <f ca="1">COUNTIF('Competence Heatmap'!B$4:B$23,#N/A)</f>
        <v>0</v>
      </c>
      <c r="L4" s="151" t="s">
        <v>376</v>
      </c>
      <c r="M4">
        <v>111</v>
      </c>
      <c r="N4">
        <v>3</v>
      </c>
      <c r="O4">
        <v>18</v>
      </c>
      <c r="P4">
        <v>80</v>
      </c>
      <c r="Q4">
        <v>131</v>
      </c>
      <c r="R4">
        <v>35</v>
      </c>
    </row>
    <row r="5" spans="1:18" ht="108.75">
      <c r="A5" s="159" t="s">
        <v>376</v>
      </c>
      <c r="B5" s="24" t="s">
        <v>115</v>
      </c>
      <c r="C5" s="3">
        <f ca="1">COUNTIF('Competence Heatmap'!C$4:C$23,4)</f>
        <v>8</v>
      </c>
      <c r="D5" s="3">
        <f ca="1">COUNTIF('Competence Heatmap'!C$4:C$23,3)</f>
        <v>9</v>
      </c>
      <c r="E5" s="3">
        <f ca="1">COUNTIF('Competence Heatmap'!C$4:C$23,2)</f>
        <v>0</v>
      </c>
      <c r="F5" s="3">
        <f ca="1">COUNTIF('Competence Heatmap'!C$4:C$23,1)</f>
        <v>0</v>
      </c>
      <c r="G5" s="3">
        <f ca="1">COUNTIF('Competence Heatmap'!C$4:C$23,0)</f>
        <v>0</v>
      </c>
      <c r="H5" s="3">
        <f ca="1">COUNTIF('Competence Heatmap'!C$4:C$23,#N/A)</f>
        <v>0</v>
      </c>
      <c r="L5" s="152" t="s">
        <v>106</v>
      </c>
      <c r="M5">
        <v>12</v>
      </c>
      <c r="N5">
        <v>1</v>
      </c>
      <c r="O5">
        <v>2</v>
      </c>
      <c r="P5">
        <v>12</v>
      </c>
      <c r="Q5">
        <v>12</v>
      </c>
      <c r="R5">
        <v>3</v>
      </c>
    </row>
    <row r="6" spans="1:18" ht="127.5">
      <c r="A6" s="159" t="s">
        <v>376</v>
      </c>
      <c r="B6" s="24" t="s">
        <v>112</v>
      </c>
      <c r="C6" s="3">
        <f ca="1">COUNTIF('Competence Heatmap'!D$4:D$23,4)</f>
        <v>7</v>
      </c>
      <c r="D6" s="3">
        <f ca="1">COUNTIF('Competence Heatmap'!D$4:D$23,3)</f>
        <v>9</v>
      </c>
      <c r="E6" s="3">
        <f ca="1">COUNTIF('Competence Heatmap'!D$4:D$23,2)</f>
        <v>1</v>
      </c>
      <c r="F6" s="3">
        <f ca="1">COUNTIF('Competence Heatmap'!D$4:D$23,1)</f>
        <v>0</v>
      </c>
      <c r="G6" s="3">
        <f ca="1">COUNTIF('Competence Heatmap'!D$4:D$23,0)</f>
        <v>0</v>
      </c>
      <c r="H6" s="3">
        <f ca="1">COUNTIF('Competence Heatmap'!D$4:D$23,#N/A)</f>
        <v>0</v>
      </c>
      <c r="L6" s="152" t="s">
        <v>109</v>
      </c>
      <c r="M6">
        <v>12</v>
      </c>
      <c r="N6">
        <v>0</v>
      </c>
      <c r="O6">
        <v>2</v>
      </c>
      <c r="P6">
        <v>11</v>
      </c>
      <c r="Q6">
        <v>15</v>
      </c>
      <c r="R6">
        <v>2</v>
      </c>
    </row>
    <row r="7" spans="1:18" ht="110.25">
      <c r="A7" s="159" t="s">
        <v>376</v>
      </c>
      <c r="B7" s="24" t="s">
        <v>124</v>
      </c>
      <c r="C7" s="3">
        <f ca="1">COUNTIF('Competence Heatmap'!E$4:E$23,4)</f>
        <v>3</v>
      </c>
      <c r="D7" s="3">
        <f ca="1">COUNTIF('Competence Heatmap'!E$4:E$23,3)</f>
        <v>9</v>
      </c>
      <c r="E7" s="3">
        <f ca="1">COUNTIF('Competence Heatmap'!E$4:E$23,2)</f>
        <v>4</v>
      </c>
      <c r="F7" s="3">
        <f ca="1">COUNTIF('Competence Heatmap'!E$4:E$23,1)</f>
        <v>1</v>
      </c>
      <c r="G7" s="3">
        <f ca="1">COUNTIF('Competence Heatmap'!E$4:E$23,0)</f>
        <v>0</v>
      </c>
      <c r="H7" s="3">
        <f ca="1">COUNTIF('Competence Heatmap'!E$4:E$23,#N/A)</f>
        <v>0</v>
      </c>
      <c r="L7" s="152" t="s">
        <v>112</v>
      </c>
      <c r="M7">
        <v>12</v>
      </c>
      <c r="N7">
        <v>1</v>
      </c>
      <c r="O7">
        <v>1</v>
      </c>
      <c r="P7">
        <v>5</v>
      </c>
      <c r="Q7">
        <v>15</v>
      </c>
      <c r="R7">
        <v>8</v>
      </c>
    </row>
    <row r="8" spans="1:18" ht="121.5">
      <c r="A8" s="159" t="s">
        <v>376</v>
      </c>
      <c r="B8" s="24" t="s">
        <v>121</v>
      </c>
      <c r="C8" s="3">
        <f ca="1">COUNTIF('Competence Heatmap'!F$4:F$23,4)</f>
        <v>1</v>
      </c>
      <c r="D8" s="3">
        <f ca="1">COUNTIF('Competence Heatmap'!F$4:F$23,3)</f>
        <v>15</v>
      </c>
      <c r="E8" s="3">
        <f ca="1">COUNTIF('Competence Heatmap'!F$4:F$23,2)</f>
        <v>1</v>
      </c>
      <c r="F8" s="3">
        <f ca="1">COUNTIF('Competence Heatmap'!F$4:F$23,1)</f>
        <v>0</v>
      </c>
      <c r="G8" s="3">
        <f ca="1">COUNTIF('Competence Heatmap'!F$4:F$23,0)</f>
        <v>0</v>
      </c>
      <c r="H8" s="3">
        <f ca="1">COUNTIF('Competence Heatmap'!F$4:F$23,#N/A)</f>
        <v>0</v>
      </c>
      <c r="L8" s="152" t="s">
        <v>115</v>
      </c>
      <c r="M8">
        <v>12</v>
      </c>
      <c r="N8">
        <v>0</v>
      </c>
      <c r="O8">
        <v>1</v>
      </c>
      <c r="P8">
        <v>5</v>
      </c>
      <c r="Q8">
        <v>16</v>
      </c>
      <c r="R8">
        <v>8</v>
      </c>
    </row>
    <row r="9" spans="1:18" ht="153">
      <c r="A9" s="159" t="s">
        <v>376</v>
      </c>
      <c r="B9" s="24" t="s">
        <v>127</v>
      </c>
      <c r="C9" s="3">
        <f ca="1">COUNTIF('Competence Heatmap'!G$4:G$23,4)</f>
        <v>3</v>
      </c>
      <c r="D9" s="3">
        <f ca="1">COUNTIF('Competence Heatmap'!G$4:G$23,3)</f>
        <v>10</v>
      </c>
      <c r="E9" s="3">
        <f ca="1">COUNTIF('Competence Heatmap'!G$4:G$23,2)</f>
        <v>4</v>
      </c>
      <c r="F9" s="3">
        <f ca="1">COUNTIF('Competence Heatmap'!G$4:G$23,1)</f>
        <v>0</v>
      </c>
      <c r="G9" s="3">
        <f ca="1">COUNTIF('Competence Heatmap'!G$4:G$23,0)</f>
        <v>0</v>
      </c>
      <c r="H9" s="3">
        <f ca="1">COUNTIF('Competence Heatmap'!G$4:G$23,#N/A)</f>
        <v>0</v>
      </c>
      <c r="L9" s="152" t="s">
        <v>118</v>
      </c>
      <c r="M9">
        <v>13</v>
      </c>
      <c r="N9">
        <v>0</v>
      </c>
      <c r="O9">
        <v>1</v>
      </c>
      <c r="P9">
        <v>15</v>
      </c>
      <c r="Q9">
        <v>13</v>
      </c>
      <c r="R9">
        <v>0</v>
      </c>
    </row>
    <row r="10" spans="1:18" ht="77.25">
      <c r="A10" s="159" t="s">
        <v>376</v>
      </c>
      <c r="B10" s="24" t="s">
        <v>109</v>
      </c>
      <c r="C10" s="3">
        <f ca="1">COUNTIF('Competence Heatmap'!H$4:H$23,4)</f>
        <v>1</v>
      </c>
      <c r="D10" s="3">
        <f ca="1">COUNTIF('Competence Heatmap'!H$4:H$23,3)</f>
        <v>10</v>
      </c>
      <c r="E10" s="3">
        <f ca="1">COUNTIF('Competence Heatmap'!H$4:H$23,2)</f>
        <v>4</v>
      </c>
      <c r="F10" s="3">
        <f ca="1">COUNTIF('Competence Heatmap'!H$4:H$23,1)</f>
        <v>2</v>
      </c>
      <c r="G10" s="3">
        <f ca="1">COUNTIF('Competence Heatmap'!H$4:H$23,0)</f>
        <v>0</v>
      </c>
      <c r="H10" s="3">
        <f ca="1">COUNTIF('Competence Heatmap'!H$4:H$23,#N/A)</f>
        <v>0</v>
      </c>
      <c r="L10" s="152" t="s">
        <v>121</v>
      </c>
      <c r="M10">
        <v>12</v>
      </c>
      <c r="N10">
        <v>0</v>
      </c>
      <c r="O10">
        <v>0</v>
      </c>
      <c r="P10">
        <v>6</v>
      </c>
      <c r="Q10">
        <v>20</v>
      </c>
      <c r="R10">
        <v>4</v>
      </c>
    </row>
    <row r="11" spans="1:18" ht="101.25">
      <c r="A11" s="159" t="s">
        <v>376</v>
      </c>
      <c r="B11" s="24" t="s">
        <v>118</v>
      </c>
      <c r="C11" s="3">
        <f ca="1">COUNTIF('Competence Heatmap'!I$4:I$23,4)</f>
        <v>0</v>
      </c>
      <c r="D11" s="3">
        <f ca="1">COUNTIF('Competence Heatmap'!I$4:I$23,3)</f>
        <v>8</v>
      </c>
      <c r="E11" s="3">
        <f ca="1">COUNTIF('Competence Heatmap'!I$4:I$23,2)</f>
        <v>8</v>
      </c>
      <c r="F11" s="3">
        <f ca="1">COUNTIF('Competence Heatmap'!I$4:I$23,1)</f>
        <v>1</v>
      </c>
      <c r="G11" s="3">
        <f ca="1">COUNTIF('Competence Heatmap'!I$4:I$23,0)</f>
        <v>0</v>
      </c>
      <c r="H11" s="3">
        <f ca="1">COUNTIF('Competence Heatmap'!I$4:I$23,#N/A)</f>
        <v>0</v>
      </c>
      <c r="L11" s="152" t="s">
        <v>124</v>
      </c>
      <c r="M11">
        <v>12</v>
      </c>
      <c r="N11">
        <v>0</v>
      </c>
      <c r="O11">
        <v>2</v>
      </c>
      <c r="P11">
        <v>9</v>
      </c>
      <c r="Q11">
        <v>15</v>
      </c>
      <c r="R11">
        <v>4</v>
      </c>
    </row>
    <row r="12" spans="1:18" ht="130.5">
      <c r="A12" s="159" t="s">
        <v>376</v>
      </c>
      <c r="B12" s="24" t="s">
        <v>130</v>
      </c>
      <c r="C12" s="3">
        <f ca="1">COUNTIF('Competence Heatmap'!J$4:J$23,4)</f>
        <v>1</v>
      </c>
      <c r="D12" s="3">
        <f ca="1">COUNTIF('Competence Heatmap'!J$4:J$23,3)</f>
        <v>7</v>
      </c>
      <c r="E12" s="3">
        <f ca="1">COUNTIF('Competence Heatmap'!J$4:J$23,2)</f>
        <v>7</v>
      </c>
      <c r="F12" s="3">
        <f ca="1">COUNTIF('Competence Heatmap'!J$4:J$23,1)</f>
        <v>2</v>
      </c>
      <c r="G12" s="3">
        <f ca="1">COUNTIF('Competence Heatmap'!J$4:J$23,0)</f>
        <v>0</v>
      </c>
      <c r="H12" s="3">
        <f ca="1">COUNTIF('Competence Heatmap'!J$4:J$23,#N/A)</f>
        <v>0</v>
      </c>
      <c r="L12" s="152" t="s">
        <v>127</v>
      </c>
      <c r="M12">
        <v>13</v>
      </c>
      <c r="N12">
        <v>0</v>
      </c>
      <c r="O12">
        <v>3</v>
      </c>
      <c r="P12">
        <v>7</v>
      </c>
      <c r="Q12">
        <v>15</v>
      </c>
      <c r="R12">
        <v>4</v>
      </c>
    </row>
    <row r="13" spans="1:18" ht="66.75">
      <c r="A13" s="157" t="s">
        <v>374</v>
      </c>
      <c r="B13" s="18" t="s">
        <v>133</v>
      </c>
      <c r="C13" s="3">
        <f ca="1">COUNTIF('Competence Heatmap'!K$4:K$23,4)</f>
        <v>2</v>
      </c>
      <c r="D13" s="3">
        <f ca="1">COUNTIF('Competence Heatmap'!K$4:K$23,3)</f>
        <v>4</v>
      </c>
      <c r="E13" s="3">
        <f ca="1">COUNTIF('Competence Heatmap'!K$4:K$23,2)</f>
        <v>7</v>
      </c>
      <c r="F13" s="3">
        <f ca="1">COUNTIF('Competence Heatmap'!K$4:K$23,1)</f>
        <v>4</v>
      </c>
      <c r="G13" s="3">
        <f ca="1">COUNTIF('Competence Heatmap'!K$4:K$23,0)</f>
        <v>0</v>
      </c>
      <c r="H13" s="3">
        <f ca="1">COUNTIF('Competence Heatmap'!K$4:K$23,#N/A)</f>
        <v>0</v>
      </c>
      <c r="L13" s="152" t="s">
        <v>130</v>
      </c>
      <c r="M13">
        <v>13</v>
      </c>
      <c r="N13">
        <v>1</v>
      </c>
      <c r="O13">
        <v>6</v>
      </c>
      <c r="P13">
        <v>10</v>
      </c>
      <c r="Q13">
        <v>10</v>
      </c>
      <c r="R13">
        <v>2</v>
      </c>
    </row>
    <row r="14" spans="1:18" ht="66.75">
      <c r="A14" s="157" t="s">
        <v>374</v>
      </c>
      <c r="B14" s="18" t="s">
        <v>136</v>
      </c>
      <c r="C14" s="3">
        <f ca="1">COUNTIF('Competence Heatmap'!L$4:L$23,4)</f>
        <v>3</v>
      </c>
      <c r="D14" s="3">
        <f ca="1">COUNTIF('Competence Heatmap'!L$4:L$23,3)</f>
        <v>2</v>
      </c>
      <c r="E14" s="3">
        <f ca="1">COUNTIF('Competence Heatmap'!L$4:L$23,2)</f>
        <v>6</v>
      </c>
      <c r="F14" s="3">
        <f ca="1">COUNTIF('Competence Heatmap'!L$4:L$23,1)</f>
        <v>3</v>
      </c>
      <c r="G14" s="3">
        <f ca="1">COUNTIF('Competence Heatmap'!L$4:L$23,0)</f>
        <v>3</v>
      </c>
      <c r="H14" s="3">
        <f ca="1">COUNTIF('Competence Heatmap'!L$4:L$23,#N/A)</f>
        <v>0</v>
      </c>
      <c r="L14" s="151" t="s">
        <v>377</v>
      </c>
      <c r="M14">
        <v>75</v>
      </c>
      <c r="N14">
        <v>20</v>
      </c>
      <c r="O14">
        <v>64</v>
      </c>
      <c r="P14">
        <v>62</v>
      </c>
      <c r="Q14">
        <v>27</v>
      </c>
      <c r="R14">
        <v>4</v>
      </c>
    </row>
    <row r="15" spans="1:18" ht="69.75">
      <c r="A15" s="157" t="s">
        <v>374</v>
      </c>
      <c r="B15" s="19" t="s">
        <v>139</v>
      </c>
      <c r="C15" s="3">
        <f ca="1">COUNTIF('Competence Heatmap'!M$4:M$23,4)</f>
        <v>1</v>
      </c>
      <c r="D15" s="3">
        <f ca="1">COUNTIF('Competence Heatmap'!M$4:M$23,3)</f>
        <v>6</v>
      </c>
      <c r="E15" s="3">
        <f ca="1">COUNTIF('Competence Heatmap'!M$4:M$23,2)</f>
        <v>2</v>
      </c>
      <c r="F15" s="3">
        <f ca="1">COUNTIF('Competence Heatmap'!M$4:M$23,1)</f>
        <v>8</v>
      </c>
      <c r="G15" s="3">
        <f ca="1">COUNTIF('Competence Heatmap'!M$4:M$23,0)</f>
        <v>0</v>
      </c>
      <c r="H15" s="3">
        <f ca="1">COUNTIF('Competence Heatmap'!M$4:M$23,#N/A)</f>
        <v>0</v>
      </c>
      <c r="L15" s="152" t="s">
        <v>167</v>
      </c>
      <c r="M15">
        <v>12</v>
      </c>
      <c r="N15">
        <v>3</v>
      </c>
      <c r="O15">
        <v>14</v>
      </c>
      <c r="P15">
        <v>9</v>
      </c>
      <c r="Q15">
        <v>4</v>
      </c>
      <c r="R15">
        <v>0</v>
      </c>
    </row>
    <row r="16" spans="1:18" ht="66.75">
      <c r="A16" s="157" t="s">
        <v>374</v>
      </c>
      <c r="B16" s="18" t="s">
        <v>142</v>
      </c>
      <c r="C16" s="3">
        <f ca="1">COUNTIF('Competence Heatmap'!N$4:N$23,4)</f>
        <v>1</v>
      </c>
      <c r="D16" s="3">
        <f ca="1">COUNTIF('Competence Heatmap'!N$4:N$23,3)</f>
        <v>1</v>
      </c>
      <c r="E16" s="3">
        <f ca="1">COUNTIF('Competence Heatmap'!N$4:N$23,2)</f>
        <v>6</v>
      </c>
      <c r="F16" s="3">
        <f ca="1">COUNTIF('Competence Heatmap'!N$4:N$23,1)</f>
        <v>9</v>
      </c>
      <c r="G16" s="3">
        <f ca="1">COUNTIF('Competence Heatmap'!N$4:N$23,0)</f>
        <v>0</v>
      </c>
      <c r="H16" s="3">
        <f ca="1">COUNTIF('Competence Heatmap'!N$4:N$23,#N/A)</f>
        <v>0</v>
      </c>
      <c r="L16" s="152" t="s">
        <v>170</v>
      </c>
      <c r="M16">
        <v>13</v>
      </c>
      <c r="N16">
        <v>3</v>
      </c>
      <c r="O16">
        <v>14</v>
      </c>
      <c r="P16">
        <v>10</v>
      </c>
      <c r="Q16">
        <v>2</v>
      </c>
      <c r="R16">
        <v>0</v>
      </c>
    </row>
    <row r="17" spans="1:18" ht="66.75">
      <c r="A17" s="157" t="s">
        <v>374</v>
      </c>
      <c r="B17" s="18" t="s">
        <v>145</v>
      </c>
      <c r="C17" s="3">
        <f ca="1">COUNTIF('Competence Heatmap'!O$4:O$23,4)</f>
        <v>2</v>
      </c>
      <c r="D17" s="3">
        <f ca="1">COUNTIF('Competence Heatmap'!O$4:O$23,3)</f>
        <v>2</v>
      </c>
      <c r="E17" s="3">
        <f ca="1">COUNTIF('Competence Heatmap'!O$4:O$23,2)</f>
        <v>5</v>
      </c>
      <c r="F17" s="3">
        <f ca="1">COUNTIF('Competence Heatmap'!O$4:O$23,1)</f>
        <v>7</v>
      </c>
      <c r="G17" s="3">
        <f ca="1">COUNTIF('Competence Heatmap'!O$4:O$23,0)</f>
        <v>1</v>
      </c>
      <c r="H17" s="3">
        <f ca="1">COUNTIF('Competence Heatmap'!O$4:O$23,#N/A)</f>
        <v>0</v>
      </c>
      <c r="L17" s="152" t="s">
        <v>173</v>
      </c>
      <c r="M17">
        <v>13</v>
      </c>
      <c r="N17">
        <v>2</v>
      </c>
      <c r="O17">
        <v>3</v>
      </c>
      <c r="P17">
        <v>13</v>
      </c>
      <c r="Q17">
        <v>10</v>
      </c>
      <c r="R17">
        <v>1</v>
      </c>
    </row>
    <row r="18" spans="1:18" ht="66.75">
      <c r="A18" s="158" t="s">
        <v>384</v>
      </c>
      <c r="B18" s="18" t="s">
        <v>148</v>
      </c>
      <c r="C18" s="3">
        <f ca="1">COUNTIF('Competence Heatmap'!P$4:P$23,4)</f>
        <v>1</v>
      </c>
      <c r="D18" s="3">
        <f ca="1">COUNTIF('Competence Heatmap'!P$4:P$23,3)</f>
        <v>9</v>
      </c>
      <c r="E18" s="3">
        <f ca="1">COUNTIF('Competence Heatmap'!P$4:P$23,2)</f>
        <v>6</v>
      </c>
      <c r="F18" s="3">
        <f ca="1">COUNTIF('Competence Heatmap'!P$4:P$23,1)</f>
        <v>1</v>
      </c>
      <c r="G18" s="3">
        <f ca="1">COUNTIF('Competence Heatmap'!P$4:P$23,0)</f>
        <v>0</v>
      </c>
      <c r="H18" s="3">
        <f ca="1">COUNTIF('Competence Heatmap'!P$4:P$23,#N/A)</f>
        <v>0</v>
      </c>
      <c r="L18" s="152" t="s">
        <v>176</v>
      </c>
      <c r="M18">
        <v>12</v>
      </c>
      <c r="N18">
        <v>5</v>
      </c>
      <c r="O18">
        <v>12</v>
      </c>
      <c r="P18">
        <v>8</v>
      </c>
      <c r="Q18">
        <v>4</v>
      </c>
      <c r="R18">
        <v>1</v>
      </c>
    </row>
    <row r="19" spans="1:18" ht="48.75">
      <c r="A19" s="158" t="s">
        <v>384</v>
      </c>
      <c r="B19" s="18" t="s">
        <v>151</v>
      </c>
      <c r="C19" s="3">
        <f ca="1">COUNTIF('Competence Heatmap'!Q$4:Q$23,4)</f>
        <v>1</v>
      </c>
      <c r="D19" s="3">
        <f ca="1">COUNTIF('Competence Heatmap'!Q$4:Q$23,3)</f>
        <v>6</v>
      </c>
      <c r="E19" s="3">
        <f ca="1">COUNTIF('Competence Heatmap'!Q$4:Q$23,2)</f>
        <v>5</v>
      </c>
      <c r="F19" s="3">
        <f ca="1">COUNTIF('Competence Heatmap'!Q$4:Q$23,1)</f>
        <v>4</v>
      </c>
      <c r="G19" s="3">
        <f ca="1">COUNTIF('Competence Heatmap'!Q$4:Q$23,0)</f>
        <v>1</v>
      </c>
      <c r="H19" s="3">
        <f ca="1">COUNTIF('Competence Heatmap'!Q$4:Q$23,#N/A)</f>
        <v>0</v>
      </c>
      <c r="L19" s="152" t="s">
        <v>179</v>
      </c>
      <c r="M19">
        <v>13</v>
      </c>
      <c r="N19">
        <v>2</v>
      </c>
      <c r="O19">
        <v>5</v>
      </c>
      <c r="P19">
        <v>16</v>
      </c>
      <c r="Q19">
        <v>4</v>
      </c>
      <c r="R19">
        <v>2</v>
      </c>
    </row>
    <row r="20" spans="1:18" ht="63.75">
      <c r="A20" s="158" t="s">
        <v>384</v>
      </c>
      <c r="B20" s="18" t="s">
        <v>154</v>
      </c>
      <c r="C20" s="3">
        <f ca="1">COUNTIF('Competence Heatmap'!R$4:R$23,4)</f>
        <v>1</v>
      </c>
      <c r="D20" s="3">
        <f ca="1">COUNTIF('Competence Heatmap'!R$4:R$23,3)</f>
        <v>2</v>
      </c>
      <c r="E20" s="3">
        <f ca="1">COUNTIF('Competence Heatmap'!R$4:R$23,2)</f>
        <v>7</v>
      </c>
      <c r="F20" s="3">
        <f ca="1">COUNTIF('Competence Heatmap'!R$4:R$23,1)</f>
        <v>5</v>
      </c>
      <c r="G20" s="3">
        <f ca="1">COUNTIF('Competence Heatmap'!R$4:R$23,0)</f>
        <v>2</v>
      </c>
      <c r="H20" s="3">
        <f ca="1">COUNTIF('Competence Heatmap'!R$4:R$23,#N/A)</f>
        <v>0</v>
      </c>
      <c r="L20" s="152" t="s">
        <v>182</v>
      </c>
      <c r="M20">
        <v>12</v>
      </c>
      <c r="N20">
        <v>5</v>
      </c>
      <c r="O20">
        <v>16</v>
      </c>
      <c r="P20">
        <v>6</v>
      </c>
      <c r="Q20">
        <v>3</v>
      </c>
      <c r="R20">
        <v>0</v>
      </c>
    </row>
    <row r="21" spans="1:18" ht="57">
      <c r="A21" s="158" t="s">
        <v>384</v>
      </c>
      <c r="B21" s="18" t="s">
        <v>158</v>
      </c>
      <c r="C21" s="3">
        <f ca="1">COUNTIF('Competence Heatmap'!S$4:S$23,4)</f>
        <v>1</v>
      </c>
      <c r="D21" s="3">
        <f ca="1">COUNTIF('Competence Heatmap'!S$4:S$23,3)</f>
        <v>2</v>
      </c>
      <c r="E21" s="3">
        <f ca="1">COUNTIF('Competence Heatmap'!S$4:S$23,2)</f>
        <v>5</v>
      </c>
      <c r="F21" s="3">
        <f ca="1">COUNTIF('Competence Heatmap'!S$4:S$23,1)</f>
        <v>6</v>
      </c>
      <c r="G21" s="3">
        <f ca="1">COUNTIF('Competence Heatmap'!S$4:S$23,0)</f>
        <v>3</v>
      </c>
      <c r="H21" s="3">
        <f ca="1">COUNTIF('Competence Heatmap'!S$4:S$23,#N/A)</f>
        <v>0</v>
      </c>
      <c r="L21" s="151" t="s">
        <v>415</v>
      </c>
      <c r="M21">
        <v>186</v>
      </c>
      <c r="N21">
        <v>23</v>
      </c>
      <c r="O21">
        <v>82</v>
      </c>
      <c r="P21">
        <v>142</v>
      </c>
      <c r="Q21">
        <v>158</v>
      </c>
      <c r="R21">
        <v>39</v>
      </c>
    </row>
    <row r="22" spans="1:18" ht="124.5">
      <c r="A22" s="158" t="s">
        <v>384</v>
      </c>
      <c r="B22" s="18" t="s">
        <v>161</v>
      </c>
      <c r="C22" s="3">
        <f ca="1">COUNTIF('Competence Heatmap'!T$4:T$23,4)</f>
        <v>2</v>
      </c>
      <c r="D22" s="3">
        <f ca="1">COUNTIF('Competence Heatmap'!T$4:T$23,3)</f>
        <v>7</v>
      </c>
      <c r="E22" s="3">
        <f ca="1">COUNTIF('Competence Heatmap'!T$4:T$23,2)</f>
        <v>5</v>
      </c>
      <c r="F22" s="3">
        <f ca="1">COUNTIF('Competence Heatmap'!T$4:T$23,1)</f>
        <v>1</v>
      </c>
      <c r="G22" s="3">
        <f ca="1">COUNTIF('Competence Heatmap'!T$4:T$23,0)</f>
        <v>2</v>
      </c>
      <c r="H22" s="3">
        <f ca="1">COUNTIF('Competence Heatmap'!T$4:T$23,#N/A)</f>
        <v>0</v>
      </c>
    </row>
    <row r="23" spans="1:18" ht="66.75">
      <c r="A23" s="158" t="s">
        <v>384</v>
      </c>
      <c r="B23" s="18" t="s">
        <v>164</v>
      </c>
      <c r="C23" s="3">
        <f ca="1">COUNTIF('Competence Heatmap'!U$4:U$23,4)</f>
        <v>0</v>
      </c>
      <c r="D23" s="3">
        <f ca="1">COUNTIF('Competence Heatmap'!U$4:U$23,3)</f>
        <v>5</v>
      </c>
      <c r="E23" s="3">
        <f ca="1">COUNTIF('Competence Heatmap'!U$4:U$23,2)</f>
        <v>8</v>
      </c>
      <c r="F23" s="3">
        <f ca="1">COUNTIF('Competence Heatmap'!U$4:U$23,1)</f>
        <v>4</v>
      </c>
      <c r="G23" s="3">
        <f ca="1">COUNTIF('Competence Heatmap'!U$4:U$23,0)</f>
        <v>0</v>
      </c>
      <c r="H23" s="3">
        <f ca="1">COUNTIF('Competence Heatmap'!U$4:U$23,#N/A)</f>
        <v>0</v>
      </c>
    </row>
    <row r="24" spans="1:18" ht="50.25">
      <c r="A24" s="158" t="s">
        <v>384</v>
      </c>
      <c r="B24" s="18" t="s">
        <v>234</v>
      </c>
      <c r="C24" s="3">
        <f ca="1">COUNTIF('Competence Heatmap'!V$4:V$23,4)</f>
        <v>0</v>
      </c>
      <c r="D24" s="3">
        <f ca="1">COUNTIF('Competence Heatmap'!V$4:V$23,3)</f>
        <v>3</v>
      </c>
      <c r="E24" s="3">
        <f ca="1">COUNTIF('Competence Heatmap'!V$4:V$23,2)</f>
        <v>4</v>
      </c>
      <c r="F24" s="3">
        <f ca="1">COUNTIF('Competence Heatmap'!V$4:V$23,1)</f>
        <v>10</v>
      </c>
      <c r="G24" s="3">
        <f ca="1">COUNTIF('Competence Heatmap'!V$4:V$23,0)</f>
        <v>0</v>
      </c>
      <c r="H24" s="3">
        <f ca="1">COUNTIF('Competence Heatmap'!V$4:V$23,#N/A)</f>
        <v>0</v>
      </c>
    </row>
    <row r="25" spans="1:18" ht="52.5">
      <c r="A25" s="158" t="s">
        <v>384</v>
      </c>
      <c r="B25" s="18" t="s">
        <v>237</v>
      </c>
      <c r="C25" s="3">
        <f ca="1">COUNTIF('Competence Heatmap'!W$4:W$23,4)</f>
        <v>3</v>
      </c>
      <c r="D25" s="3">
        <f ca="1">COUNTIF('Competence Heatmap'!W$4:W$23,3)</f>
        <v>5</v>
      </c>
      <c r="E25" s="3">
        <f ca="1">COUNTIF('Competence Heatmap'!W$4:W$23,2)</f>
        <v>7</v>
      </c>
      <c r="F25" s="3">
        <f ca="1">COUNTIF('Competence Heatmap'!W$4:W$23,1)</f>
        <v>2</v>
      </c>
      <c r="G25" s="3">
        <f ca="1">COUNTIF('Competence Heatmap'!W$4:W$23,0)</f>
        <v>0</v>
      </c>
      <c r="H25" s="3">
        <f ca="1">COUNTIF('Competence Heatmap'!W$4:W$23,#N/A)</f>
        <v>0</v>
      </c>
    </row>
    <row r="26" spans="1:18" ht="60.75">
      <c r="A26" s="158" t="s">
        <v>384</v>
      </c>
      <c r="B26" s="18" t="s">
        <v>240</v>
      </c>
      <c r="C26" s="3">
        <f ca="1">COUNTIF('Competence Heatmap'!X$4:X$23,4)</f>
        <v>0</v>
      </c>
      <c r="D26" s="3">
        <f ca="1">COUNTIF('Competence Heatmap'!X$4:X$23,3)</f>
        <v>2</v>
      </c>
      <c r="E26" s="3">
        <f ca="1">COUNTIF('Competence Heatmap'!X$4:X$23,2)</f>
        <v>2</v>
      </c>
      <c r="F26" s="3">
        <f ca="1">COUNTIF('Competence Heatmap'!X$4:X$23,1)</f>
        <v>5</v>
      </c>
      <c r="G26" s="3">
        <f ca="1">COUNTIF('Competence Heatmap'!X$4:X$23,0)</f>
        <v>8</v>
      </c>
      <c r="H26" s="3">
        <f ca="1">COUNTIF('Competence Heatmap'!X$4:X$23,#N/A)</f>
        <v>0</v>
      </c>
    </row>
    <row r="27" spans="1:18" ht="66.75">
      <c r="A27" s="158" t="s">
        <v>384</v>
      </c>
      <c r="B27" s="18" t="s">
        <v>243</v>
      </c>
      <c r="C27" s="3">
        <f ca="1">COUNTIF('Competence Heatmap'!Y$4:Y$23,4)</f>
        <v>0</v>
      </c>
      <c r="D27" s="3">
        <f ca="1">COUNTIF('Competence Heatmap'!Y$4:Y$23,3)</f>
        <v>3</v>
      </c>
      <c r="E27" s="3">
        <f ca="1">COUNTIF('Competence Heatmap'!Y$4:Y$23,2)</f>
        <v>4</v>
      </c>
      <c r="F27" s="3">
        <f ca="1">COUNTIF('Competence Heatmap'!Y$4:Y$23,1)</f>
        <v>4</v>
      </c>
      <c r="G27" s="3">
        <f ca="1">COUNTIF('Competence Heatmap'!Y$4:Y$23,0)</f>
        <v>6</v>
      </c>
      <c r="H27" s="3">
        <f ca="1">COUNTIF('Competence Heatmap'!Y$4:Y$23,#N/A)</f>
        <v>0</v>
      </c>
    </row>
    <row r="28" spans="1:18" ht="78.75">
      <c r="A28" s="158" t="s">
        <v>384</v>
      </c>
      <c r="B28" s="18" t="s">
        <v>246</v>
      </c>
      <c r="C28" s="3">
        <f ca="1">COUNTIF('Competence Heatmap'!Z$4:Z$23,4)</f>
        <v>0</v>
      </c>
      <c r="D28" s="3">
        <f ca="1">COUNTIF('Competence Heatmap'!Z$4:Z$23,3)</f>
        <v>1</v>
      </c>
      <c r="E28" s="3">
        <f ca="1">COUNTIF('Competence Heatmap'!Z$4:Z$23,2)</f>
        <v>1</v>
      </c>
      <c r="F28" s="3">
        <f ca="1">COUNTIF('Competence Heatmap'!Z$4:Z$23,1)</f>
        <v>7</v>
      </c>
      <c r="G28" s="3">
        <f ca="1">COUNTIF('Competence Heatmap'!Z$4:Z$23,0)</f>
        <v>8</v>
      </c>
      <c r="H28" s="3">
        <f ca="1">COUNTIF('Competence Heatmap'!Z$4:Z$23,#N/A)</f>
        <v>0</v>
      </c>
    </row>
    <row r="29" spans="1:18" ht="39.75">
      <c r="A29" s="158" t="s">
        <v>384</v>
      </c>
      <c r="B29" s="18" t="s">
        <v>249</v>
      </c>
      <c r="C29" s="3">
        <f ca="1">COUNTIF('Competence Heatmap'!AA$4:AA$23,4)</f>
        <v>0</v>
      </c>
      <c r="D29" s="3">
        <f ca="1">COUNTIF('Competence Heatmap'!AA$4:AA$23,3)</f>
        <v>0</v>
      </c>
      <c r="E29" s="3">
        <f ca="1">COUNTIF('Competence Heatmap'!AA$4:AA$23,2)</f>
        <v>2</v>
      </c>
      <c r="F29" s="3">
        <f ca="1">COUNTIF('Competence Heatmap'!AA$4:AA$23,1)</f>
        <v>5</v>
      </c>
      <c r="G29" s="3">
        <f ca="1">COUNTIF('Competence Heatmap'!AA$4:AA$23,0)</f>
        <v>10</v>
      </c>
      <c r="H29" s="3">
        <f ca="1">COUNTIF('Competence Heatmap'!AA$4:AA$23,#N/A)</f>
        <v>0</v>
      </c>
    </row>
    <row r="30" spans="1:18" ht="63.75">
      <c r="A30" s="158" t="s">
        <v>384</v>
      </c>
      <c r="B30" s="18" t="s">
        <v>252</v>
      </c>
      <c r="C30" s="3">
        <f ca="1">COUNTIF('Competence Heatmap'!AB$4:AB$23,4)</f>
        <v>0</v>
      </c>
      <c r="D30" s="3">
        <f ca="1">COUNTIF('Competence Heatmap'!AB$4:AB$23,3)</f>
        <v>2</v>
      </c>
      <c r="E30" s="3">
        <f ca="1">COUNTIF('Competence Heatmap'!AB$4:AB$23,2)</f>
        <v>1</v>
      </c>
      <c r="F30" s="3">
        <f ca="1">COUNTIF('Competence Heatmap'!AB$4:AB$23,1)</f>
        <v>9</v>
      </c>
      <c r="G30" s="3">
        <f ca="1">COUNTIF('Competence Heatmap'!AB$4:AB$23,0)</f>
        <v>5</v>
      </c>
      <c r="H30" s="3">
        <f ca="1">COUNTIF('Competence Heatmap'!AB$4:AB$23,#N/A)</f>
        <v>0</v>
      </c>
    </row>
    <row r="31" spans="1:18" ht="75.75">
      <c r="A31" s="158" t="s">
        <v>384</v>
      </c>
      <c r="B31" s="18" t="s">
        <v>255</v>
      </c>
      <c r="C31" s="3">
        <f ca="1">COUNTIF('Competence Heatmap'!AC$4:AC$23,4)</f>
        <v>0</v>
      </c>
      <c r="D31" s="3">
        <f ca="1">COUNTIF('Competence Heatmap'!AC$4:AC$23,3)</f>
        <v>2</v>
      </c>
      <c r="E31" s="3">
        <f ca="1">COUNTIF('Competence Heatmap'!AC$4:AC$23,2)</f>
        <v>5</v>
      </c>
      <c r="F31" s="3">
        <f ca="1">COUNTIF('Competence Heatmap'!AC$4:AC$23,1)</f>
        <v>6</v>
      </c>
      <c r="G31" s="3">
        <f ca="1">COUNTIF('Competence Heatmap'!AC$4:AC$23,0)</f>
        <v>4</v>
      </c>
      <c r="H31" s="3">
        <f ca="1">COUNTIF('Competence Heatmap'!AC$4:AC$23,#N/A)</f>
        <v>0</v>
      </c>
    </row>
    <row r="32" spans="1:18" ht="45">
      <c r="A32" s="158" t="s">
        <v>384</v>
      </c>
      <c r="B32" s="18" t="s">
        <v>258</v>
      </c>
      <c r="C32" s="3">
        <f ca="1">COUNTIF('Competence Heatmap'!AD$4:AD$23,4)</f>
        <v>0</v>
      </c>
      <c r="D32" s="3">
        <f ca="1">COUNTIF('Competence Heatmap'!AD$4:AD$23,3)</f>
        <v>1</v>
      </c>
      <c r="E32" s="3">
        <f ca="1">COUNTIF('Competence Heatmap'!AD$4:AD$23,2)</f>
        <v>2</v>
      </c>
      <c r="F32" s="3">
        <f ca="1">COUNTIF('Competence Heatmap'!AD$4:AD$23,1)</f>
        <v>7</v>
      </c>
      <c r="G32" s="3">
        <f ca="1">COUNTIF('Competence Heatmap'!AD$4:AD$23,0)</f>
        <v>7</v>
      </c>
      <c r="H32" s="3">
        <f ca="1">COUNTIF('Competence Heatmap'!AD$4:AD$23,#N/A)</f>
        <v>0</v>
      </c>
    </row>
    <row r="33" spans="1:8" ht="44.25">
      <c r="A33" s="158" t="s">
        <v>384</v>
      </c>
      <c r="B33" s="18" t="s">
        <v>261</v>
      </c>
      <c r="C33" s="3">
        <f ca="1">COUNTIF('Competence Heatmap'!AE$4:AE$23,4)</f>
        <v>0</v>
      </c>
      <c r="D33" s="3">
        <f ca="1">COUNTIF('Competence Heatmap'!AE$4:AE$23,3)</f>
        <v>3</v>
      </c>
      <c r="E33" s="3">
        <f ca="1">COUNTIF('Competence Heatmap'!AE$4:AE$23,2)</f>
        <v>1</v>
      </c>
      <c r="F33" s="3">
        <f ca="1">COUNTIF('Competence Heatmap'!AE$4:AE$23,1)</f>
        <v>9</v>
      </c>
      <c r="G33" s="3">
        <f ca="1">COUNTIF('Competence Heatmap'!AE$4:AE$23,0)</f>
        <v>4</v>
      </c>
      <c r="H33" s="3">
        <f ca="1">COUNTIF('Competence Heatmap'!AE$4:AE$23,#N/A)</f>
        <v>0</v>
      </c>
    </row>
    <row r="34" spans="1:8" ht="92.25">
      <c r="A34" s="158" t="s">
        <v>384</v>
      </c>
      <c r="B34" s="18" t="s">
        <v>264</v>
      </c>
      <c r="C34" s="3">
        <f ca="1">COUNTIF('Competence Heatmap'!AF$4:AF$23,4)</f>
        <v>0</v>
      </c>
      <c r="D34" s="3">
        <f ca="1">COUNTIF('Competence Heatmap'!AF$4:AF$23,3)</f>
        <v>1</v>
      </c>
      <c r="E34" s="3">
        <f ca="1">COUNTIF('Competence Heatmap'!AF$4:AF$23,2)</f>
        <v>3</v>
      </c>
      <c r="F34" s="3">
        <f ca="1">COUNTIF('Competence Heatmap'!AF$4:AF$23,1)</f>
        <v>11</v>
      </c>
      <c r="G34" s="3">
        <f ca="1">COUNTIF('Competence Heatmap'!AF$4:AF$23,0)</f>
        <v>2</v>
      </c>
      <c r="H34" s="3">
        <f ca="1">COUNTIF('Competence Heatmap'!AF$4:AF$23,#N/A)</f>
        <v>0</v>
      </c>
    </row>
    <row r="35" spans="1:8" ht="56.25">
      <c r="A35" s="158" t="s">
        <v>384</v>
      </c>
      <c r="B35" s="18" t="s">
        <v>51</v>
      </c>
      <c r="C35" s="3">
        <f ca="1">COUNTIF('Competence Heatmap'!AG$4:AG$23,4)</f>
        <v>1</v>
      </c>
      <c r="D35" s="3">
        <f ca="1">COUNTIF('Competence Heatmap'!AG$4:AG$23,3)</f>
        <v>0</v>
      </c>
      <c r="E35" s="3">
        <f ca="1">COUNTIF('Competence Heatmap'!AG$4:AG$23,2)</f>
        <v>2</v>
      </c>
      <c r="F35" s="3">
        <f ca="1">COUNTIF('Competence Heatmap'!AG$4:AG$23,1)</f>
        <v>9</v>
      </c>
      <c r="G35" s="3">
        <f ca="1">COUNTIF('Competence Heatmap'!AG$4:AG$23,0)</f>
        <v>5</v>
      </c>
      <c r="H35" s="3">
        <f ca="1">COUNTIF('Competence Heatmap'!AG$4:AG$23,#N/A)</f>
        <v>0</v>
      </c>
    </row>
    <row r="36" spans="1:8" ht="59.25">
      <c r="A36" s="158" t="s">
        <v>384</v>
      </c>
      <c r="B36" s="18" t="s">
        <v>267</v>
      </c>
      <c r="C36" s="3">
        <f ca="1">COUNTIF('Competence Heatmap'!AH$4:AH$23,4)</f>
        <v>1</v>
      </c>
      <c r="D36" s="3">
        <f ca="1">COUNTIF('Competence Heatmap'!AH$4:AH$23,3)</f>
        <v>4</v>
      </c>
      <c r="E36" s="3">
        <f ca="1">COUNTIF('Competence Heatmap'!AH$4:AH$23,2)</f>
        <v>11</v>
      </c>
      <c r="F36" s="3">
        <f ca="1">COUNTIF('Competence Heatmap'!AH$4:AH$23,1)</f>
        <v>1</v>
      </c>
      <c r="G36" s="3">
        <f ca="1">COUNTIF('Competence Heatmap'!AH$4:AH$23,0)</f>
        <v>0</v>
      </c>
      <c r="H36" s="3">
        <f ca="1">COUNTIF('Competence Heatmap'!AH$4:AH$23,#N/A)</f>
        <v>0</v>
      </c>
    </row>
    <row r="37" spans="1:8" ht="66.75">
      <c r="A37" s="158" t="s">
        <v>384</v>
      </c>
      <c r="B37" s="18" t="s">
        <v>270</v>
      </c>
      <c r="C37" s="3">
        <f ca="1">COUNTIF('Competence Heatmap'!AI$4:AI$23,4)</f>
        <v>1</v>
      </c>
      <c r="D37" s="3">
        <f ca="1">COUNTIF('Competence Heatmap'!AI$4:AI$23,3)</f>
        <v>1</v>
      </c>
      <c r="E37" s="3">
        <f ca="1">COUNTIF('Competence Heatmap'!AI$4:AI$23,2)</f>
        <v>4</v>
      </c>
      <c r="F37" s="3">
        <f ca="1">COUNTIF('Competence Heatmap'!AI$4:AI$23,1)</f>
        <v>11</v>
      </c>
      <c r="G37" s="3">
        <f ca="1">COUNTIF('Competence Heatmap'!AI$4:AI$23,0)</f>
        <v>0</v>
      </c>
      <c r="H37" s="3">
        <f ca="1">COUNTIF('Competence Heatmap'!AI$4:AI$23,#N/A)</f>
        <v>0</v>
      </c>
    </row>
    <row r="38" spans="1:8" ht="39">
      <c r="A38" s="158" t="s">
        <v>384</v>
      </c>
      <c r="B38" s="18" t="s">
        <v>50</v>
      </c>
      <c r="C38" s="3">
        <f ca="1">COUNTIF('Competence Heatmap'!AJ$4:AJ$23,4)</f>
        <v>4</v>
      </c>
      <c r="D38" s="3">
        <f ca="1">COUNTIF('Competence Heatmap'!AJ$4:AJ$23,3)</f>
        <v>3</v>
      </c>
      <c r="E38" s="3">
        <f ca="1">COUNTIF('Competence Heatmap'!AJ$4:AJ$23,2)</f>
        <v>7</v>
      </c>
      <c r="F38" s="3">
        <f ca="1">COUNTIF('Competence Heatmap'!AJ$4:AJ$23,1)</f>
        <v>3</v>
      </c>
      <c r="G38" s="3">
        <f ca="1">COUNTIF('Competence Heatmap'!AJ$4:AJ$23,0)</f>
        <v>0</v>
      </c>
      <c r="H38" s="3">
        <f ca="1">COUNTIF('Competence Heatmap'!AJ$4:AJ$23,#N/A)</f>
        <v>0</v>
      </c>
    </row>
    <row r="39" spans="1:8" ht="43.5">
      <c r="A39" s="158" t="s">
        <v>384</v>
      </c>
      <c r="B39" s="18" t="s">
        <v>275</v>
      </c>
      <c r="C39" s="3">
        <f ca="1">COUNTIF('Competence Heatmap'!AK$4:AK$23,4)</f>
        <v>0</v>
      </c>
      <c r="D39" s="3">
        <f ca="1">COUNTIF('Competence Heatmap'!AK$4:AK$23,3)</f>
        <v>2</v>
      </c>
      <c r="E39" s="3">
        <f ca="1">COUNTIF('Competence Heatmap'!AK$4:AK$23,2)</f>
        <v>3</v>
      </c>
      <c r="F39" s="3">
        <f ca="1">COUNTIF('Competence Heatmap'!AK$4:AK$23,1)</f>
        <v>6</v>
      </c>
      <c r="G39" s="3">
        <f ca="1">COUNTIF('Competence Heatmap'!AK$4:AK$23,0)</f>
        <v>6</v>
      </c>
      <c r="H39" s="3">
        <f ca="1">COUNTIF('Competence Heatmap'!AK$4:AK$23,#N/A)</f>
        <v>0</v>
      </c>
    </row>
    <row r="40" spans="1:8" ht="48">
      <c r="A40" s="158" t="s">
        <v>384</v>
      </c>
      <c r="B40" s="18" t="s">
        <v>278</v>
      </c>
      <c r="C40" s="3">
        <f ca="1">COUNTIF('Competence Heatmap'!AL$4:AL$23,4)</f>
        <v>0</v>
      </c>
      <c r="D40" s="3">
        <f ca="1">COUNTIF('Competence Heatmap'!AL$4:AL$23,3)</f>
        <v>3</v>
      </c>
      <c r="E40" s="3">
        <f ca="1">COUNTIF('Competence Heatmap'!AL$4:AL$23,2)</f>
        <v>5</v>
      </c>
      <c r="F40" s="3">
        <f ca="1">COUNTIF('Competence Heatmap'!AL$4:AL$23,1)</f>
        <v>7</v>
      </c>
      <c r="G40" s="3">
        <f ca="1">COUNTIF('Competence Heatmap'!AL$4:AL$23,0)</f>
        <v>2</v>
      </c>
      <c r="H40" s="3">
        <f ca="1">COUNTIF('Competence Heatmap'!AL$4:AL$23,#N/A)</f>
        <v>0</v>
      </c>
    </row>
    <row r="41" spans="1:8" ht="45.75">
      <c r="A41" s="158" t="s">
        <v>384</v>
      </c>
      <c r="B41" s="18" t="s">
        <v>281</v>
      </c>
      <c r="C41" s="3">
        <f ca="1">COUNTIF('Competence Heatmap'!AM$4:AM$23,4)</f>
        <v>0</v>
      </c>
      <c r="D41" s="3">
        <f ca="1">COUNTIF('Competence Heatmap'!AM$4:AM$23,3)</f>
        <v>5</v>
      </c>
      <c r="E41" s="3">
        <f ca="1">COUNTIF('Competence Heatmap'!AM$4:AM$23,2)</f>
        <v>10</v>
      </c>
      <c r="F41" s="3">
        <f ca="1">COUNTIF('Competence Heatmap'!AM$4:AM$23,1)</f>
        <v>2</v>
      </c>
      <c r="G41" s="3">
        <f ca="1">COUNTIF('Competence Heatmap'!AM$4:AM$23,0)</f>
        <v>0</v>
      </c>
      <c r="H41" s="3">
        <f ca="1">COUNTIF('Competence Heatmap'!AM$4:AM$23,#N/A)</f>
        <v>0</v>
      </c>
    </row>
    <row r="42" spans="1:8" ht="95.25">
      <c r="A42" s="158" t="s">
        <v>384</v>
      </c>
      <c r="B42" s="18" t="s">
        <v>284</v>
      </c>
      <c r="C42" s="3">
        <f ca="1">COUNTIF('Competence Heatmap'!AN$4:AN$23,4)</f>
        <v>0</v>
      </c>
      <c r="D42" s="3">
        <f ca="1">COUNTIF('Competence Heatmap'!AN$4:AN$23,3)</f>
        <v>1</v>
      </c>
      <c r="E42" s="3">
        <f ca="1">COUNTIF('Competence Heatmap'!AN$4:AN$23,2)</f>
        <v>3</v>
      </c>
      <c r="F42" s="3">
        <f ca="1">COUNTIF('Competence Heatmap'!AN$4:AN$23,1)</f>
        <v>7</v>
      </c>
      <c r="G42" s="3">
        <f ca="1">COUNTIF('Competence Heatmap'!AN$4:AN$23,0)</f>
        <v>6</v>
      </c>
      <c r="H42" s="3">
        <f ca="1">COUNTIF('Competence Heatmap'!AN$4:AN$23,#N/A)</f>
        <v>0</v>
      </c>
    </row>
    <row r="43" spans="1:8" ht="110.25">
      <c r="A43" s="158" t="s">
        <v>384</v>
      </c>
      <c r="B43" s="18" t="s">
        <v>287</v>
      </c>
      <c r="C43" s="3">
        <f ca="1">COUNTIF('Competence Heatmap'!AO$4:AO$23,4)</f>
        <v>0</v>
      </c>
      <c r="D43" s="3">
        <f ca="1">COUNTIF('Competence Heatmap'!AO$4:AO$23,3)</f>
        <v>0</v>
      </c>
      <c r="E43" s="3">
        <f ca="1">COUNTIF('Competence Heatmap'!AO$4:AO$23,2)</f>
        <v>3</v>
      </c>
      <c r="F43" s="3">
        <f ca="1">COUNTIF('Competence Heatmap'!AO$4:AO$23,1)</f>
        <v>5</v>
      </c>
      <c r="G43" s="3">
        <f ca="1">COUNTIF('Competence Heatmap'!AO$4:AO$23,0)</f>
        <v>9</v>
      </c>
      <c r="H43" s="3">
        <f ca="1">COUNTIF('Competence Heatmap'!AO$4:AO$23,#N/A)</f>
        <v>0</v>
      </c>
    </row>
    <row r="44" spans="1:8" ht="124.5">
      <c r="A44" s="158" t="s">
        <v>384</v>
      </c>
      <c r="B44" s="18" t="s">
        <v>290</v>
      </c>
      <c r="C44" s="3">
        <f ca="1">COUNTIF('Competence Heatmap'!AP$4:AP$23,4)</f>
        <v>0</v>
      </c>
      <c r="D44" s="3">
        <f ca="1">COUNTIF('Competence Heatmap'!AP$4:AP$23,3)</f>
        <v>1</v>
      </c>
      <c r="E44" s="3">
        <f ca="1">COUNTIF('Competence Heatmap'!AP$4:AP$23,2)</f>
        <v>4</v>
      </c>
      <c r="F44" s="3">
        <f ca="1">COUNTIF('Competence Heatmap'!AP$4:AP$23,1)</f>
        <v>8</v>
      </c>
      <c r="G44" s="3">
        <f ca="1">COUNTIF('Competence Heatmap'!AP$4:AP$23,0)</f>
        <v>4</v>
      </c>
      <c r="H44" s="3">
        <f ca="1">COUNTIF('Competence Heatmap'!AP$4:AP$23,#N/A)</f>
        <v>0</v>
      </c>
    </row>
    <row r="45" spans="1:8" ht="67.5">
      <c r="A45" s="158" t="s">
        <v>384</v>
      </c>
      <c r="B45" s="18" t="s">
        <v>293</v>
      </c>
      <c r="C45" s="3">
        <f ca="1">COUNTIF('Competence Heatmap'!AQ$4:AQ$23,4)</f>
        <v>0</v>
      </c>
      <c r="D45" s="3">
        <f ca="1">COUNTIF('Competence Heatmap'!AQ$4:AQ$23,3)</f>
        <v>3</v>
      </c>
      <c r="E45" s="3">
        <f ca="1">COUNTIF('Competence Heatmap'!AQ$4:AQ$23,2)</f>
        <v>3</v>
      </c>
      <c r="F45" s="3">
        <f ca="1">COUNTIF('Competence Heatmap'!AQ$4:AQ$23,1)</f>
        <v>7</v>
      </c>
      <c r="G45" s="3">
        <f ca="1">COUNTIF('Competence Heatmap'!AQ$4:AQ$23,0)</f>
        <v>4</v>
      </c>
      <c r="H45" s="3">
        <f ca="1">COUNTIF('Competence Heatmap'!AQ$4:AQ$23,#N/A)</f>
        <v>0</v>
      </c>
    </row>
    <row r="46" spans="1:8" ht="44.25">
      <c r="A46" s="158" t="s">
        <v>384</v>
      </c>
      <c r="B46" s="18" t="s">
        <v>296</v>
      </c>
      <c r="C46" s="3">
        <f ca="1">COUNTIF('Competence Heatmap'!AR$4:AR$23,4)</f>
        <v>1</v>
      </c>
      <c r="D46" s="3">
        <f ca="1">COUNTIF('Competence Heatmap'!AR$4:AR$23,3)</f>
        <v>0</v>
      </c>
      <c r="E46" s="3">
        <f ca="1">COUNTIF('Competence Heatmap'!AR$4:AR$23,2)</f>
        <v>2</v>
      </c>
      <c r="F46" s="3">
        <f ca="1">COUNTIF('Competence Heatmap'!AR$4:AR$23,1)</f>
        <v>7</v>
      </c>
      <c r="G46" s="3">
        <f ca="1">COUNTIF('Competence Heatmap'!AR$4:AR$23,0)</f>
        <v>7</v>
      </c>
      <c r="H46" s="3">
        <f ca="1">COUNTIF('Competence Heatmap'!AR$4:AR$23,#N/A)</f>
        <v>0</v>
      </c>
    </row>
    <row r="47" spans="1:8" ht="61.5">
      <c r="A47" s="158" t="s">
        <v>384</v>
      </c>
      <c r="B47" s="18" t="s">
        <v>299</v>
      </c>
      <c r="C47" s="3">
        <f ca="1">COUNTIF('Competence Heatmap'!AS$4:AS$23,4)</f>
        <v>1</v>
      </c>
      <c r="D47" s="3">
        <f ca="1">COUNTIF('Competence Heatmap'!AS$4:AS$23,3)</f>
        <v>1</v>
      </c>
      <c r="E47" s="3">
        <f ca="1">COUNTIF('Competence Heatmap'!AS$4:AS$23,2)</f>
        <v>0</v>
      </c>
      <c r="F47" s="3">
        <f ca="1">COUNTIF('Competence Heatmap'!AS$4:AS$23,1)</f>
        <v>4</v>
      </c>
      <c r="G47" s="3">
        <f ca="1">COUNTIF('Competence Heatmap'!AS$4:AS$23,0)</f>
        <v>11</v>
      </c>
      <c r="H47" s="3">
        <f ca="1">COUNTIF('Competence Heatmap'!AS$4:AS$23,#N/A)</f>
        <v>0</v>
      </c>
    </row>
    <row r="48" spans="1:8" ht="46.5">
      <c r="A48" s="158" t="s">
        <v>384</v>
      </c>
      <c r="B48" s="18" t="s">
        <v>302</v>
      </c>
      <c r="C48" s="3">
        <f ca="1">COUNTIF('Competence Heatmap'!AT$4:AT$23,4)</f>
        <v>3</v>
      </c>
      <c r="D48" s="3">
        <f ca="1">COUNTIF('Competence Heatmap'!AT$4:AT$23,3)</f>
        <v>3</v>
      </c>
      <c r="E48" s="3">
        <f ca="1">COUNTIF('Competence Heatmap'!AT$4:AT$23,2)</f>
        <v>4</v>
      </c>
      <c r="F48" s="3">
        <f ca="1">COUNTIF('Competence Heatmap'!AT$4:AT$23,1)</f>
        <v>4</v>
      </c>
      <c r="G48" s="3">
        <f ca="1">COUNTIF('Competence Heatmap'!AT$4:AT$23,0)</f>
        <v>3</v>
      </c>
      <c r="H48" s="3">
        <f ca="1">COUNTIF('Competence Heatmap'!AT$4:AT$23,#N/A)</f>
        <v>0</v>
      </c>
    </row>
    <row r="49" spans="1:8" ht="110.25">
      <c r="A49" s="158" t="s">
        <v>384</v>
      </c>
      <c r="B49" s="18" t="s">
        <v>305</v>
      </c>
      <c r="C49" s="3">
        <f ca="1">COUNTIF('Competence Heatmap'!AU$4:AU$23,4)</f>
        <v>0</v>
      </c>
      <c r="D49" s="3">
        <f ca="1">COUNTIF('Competence Heatmap'!AU$4:AU$23,3)</f>
        <v>1</v>
      </c>
      <c r="E49" s="3">
        <f ca="1">COUNTIF('Competence Heatmap'!AU$4:AU$23,2)</f>
        <v>5</v>
      </c>
      <c r="F49" s="3">
        <f ca="1">COUNTIF('Competence Heatmap'!AU$4:AU$23,1)</f>
        <v>5</v>
      </c>
      <c r="G49" s="3">
        <f ca="1">COUNTIF('Competence Heatmap'!AU$4:AU$23,0)</f>
        <v>6</v>
      </c>
      <c r="H49" s="3">
        <f ca="1">COUNTIF('Competence Heatmap'!AU$4:AU$23,#N/A)</f>
        <v>0</v>
      </c>
    </row>
    <row r="50" spans="1:8" ht="42.75">
      <c r="A50" s="158" t="s">
        <v>384</v>
      </c>
      <c r="B50" s="18" t="s">
        <v>308</v>
      </c>
      <c r="C50" s="3">
        <f ca="1">COUNTIF('Competence Heatmap'!AV$4:AV$23,4)</f>
        <v>1</v>
      </c>
      <c r="D50" s="3">
        <f ca="1">COUNTIF('Competence Heatmap'!AV$4:AV$23,3)</f>
        <v>4</v>
      </c>
      <c r="E50" s="3">
        <f ca="1">COUNTIF('Competence Heatmap'!AV$4:AV$23,2)</f>
        <v>3</v>
      </c>
      <c r="F50" s="3">
        <f ca="1">COUNTIF('Competence Heatmap'!AV$4:AV$23,1)</f>
        <v>5</v>
      </c>
      <c r="G50" s="3">
        <f ca="1">COUNTIF('Competence Heatmap'!AV$4:AV$23,0)</f>
        <v>4</v>
      </c>
      <c r="H50" s="3">
        <f ca="1">COUNTIF('Competence Heatmap'!AV$4:AV$23,#N/A)</f>
        <v>0</v>
      </c>
    </row>
    <row r="51" spans="1:8" ht="113.25">
      <c r="A51" s="158" t="s">
        <v>384</v>
      </c>
      <c r="B51" s="18" t="s">
        <v>311</v>
      </c>
      <c r="C51" s="3">
        <f ca="1">COUNTIF('Competence Heatmap'!AW$4:AW$23,4)</f>
        <v>0</v>
      </c>
      <c r="D51" s="3">
        <f ca="1">COUNTIF('Competence Heatmap'!AW$4:AW$23,3)</f>
        <v>1</v>
      </c>
      <c r="E51" s="3">
        <f ca="1">COUNTIF('Competence Heatmap'!AW$4:AW$23,2)</f>
        <v>5</v>
      </c>
      <c r="F51" s="3">
        <f ca="1">COUNTIF('Competence Heatmap'!AW$4:AW$23,1)</f>
        <v>4</v>
      </c>
      <c r="G51" s="3">
        <f ca="1">COUNTIF('Competence Heatmap'!AW$4:AW$23,0)</f>
        <v>7</v>
      </c>
      <c r="H51" s="3">
        <f ca="1">COUNTIF('Competence Heatmap'!AW$4:AW$23,#N/A)</f>
        <v>0</v>
      </c>
    </row>
    <row r="52" spans="1:8" ht="102">
      <c r="A52" s="158" t="s">
        <v>384</v>
      </c>
      <c r="B52" s="18" t="s">
        <v>314</v>
      </c>
      <c r="C52" s="3">
        <f ca="1">COUNTIF('Competence Heatmap'!AX$4:AX$23,4)</f>
        <v>7</v>
      </c>
      <c r="D52" s="3">
        <f ca="1">COUNTIF('Competence Heatmap'!AX$4:AX$23,3)</f>
        <v>7</v>
      </c>
      <c r="E52" s="3">
        <f ca="1">COUNTIF('Competence Heatmap'!AX$4:AX$23,2)</f>
        <v>2</v>
      </c>
      <c r="F52" s="3">
        <f ca="1">COUNTIF('Competence Heatmap'!AX$4:AX$23,1)</f>
        <v>1</v>
      </c>
      <c r="G52" s="3">
        <f ca="1">COUNTIF('Competence Heatmap'!AX$4:AX$23,0)</f>
        <v>0</v>
      </c>
      <c r="H52" s="3">
        <f ca="1">COUNTIF('Competence Heatmap'!AX$4:AX$23,#N/A)</f>
        <v>0</v>
      </c>
    </row>
    <row r="53" spans="1:8" ht="23.25">
      <c r="A53" s="158" t="s">
        <v>384</v>
      </c>
      <c r="B53" s="18" t="s">
        <v>317</v>
      </c>
      <c r="C53" s="3">
        <f ca="1">COUNTIF('Competence Heatmap'!AY$4:AY$23,4)</f>
        <v>1</v>
      </c>
      <c r="D53" s="3">
        <f ca="1">COUNTIF('Competence Heatmap'!AY$4:AY$23,3)</f>
        <v>9</v>
      </c>
      <c r="E53" s="3">
        <f ca="1">COUNTIF('Competence Heatmap'!AY$4:AY$23,2)</f>
        <v>6</v>
      </c>
      <c r="F53" s="3">
        <f ca="1">COUNTIF('Competence Heatmap'!AY$4:AY$23,1)</f>
        <v>1</v>
      </c>
      <c r="G53" s="3">
        <f ca="1">COUNTIF('Competence Heatmap'!AY$4:AY$23,0)</f>
        <v>0</v>
      </c>
      <c r="H53" s="3">
        <f ca="1">COUNTIF('Competence Heatmap'!AY$4:AY$23,#N/A)</f>
        <v>0</v>
      </c>
    </row>
    <row r="54" spans="1:8" ht="31.5">
      <c r="A54" s="158" t="s">
        <v>384</v>
      </c>
      <c r="B54" s="18" t="s">
        <v>320</v>
      </c>
      <c r="C54" s="3">
        <f ca="1">COUNTIF('Competence Heatmap'!AZ$4:AZ$23,4)</f>
        <v>0</v>
      </c>
      <c r="D54" s="3">
        <f ca="1">COUNTIF('Competence Heatmap'!AZ$4:AZ$23,3)</f>
        <v>4</v>
      </c>
      <c r="E54" s="3">
        <f ca="1">COUNTIF('Competence Heatmap'!AZ$4:AZ$23,2)</f>
        <v>4</v>
      </c>
      <c r="F54" s="3">
        <f ca="1">COUNTIF('Competence Heatmap'!AZ$4:AZ$23,1)</f>
        <v>4</v>
      </c>
      <c r="G54" s="3">
        <f ca="1">COUNTIF('Competence Heatmap'!AZ$4:AZ$23,0)</f>
        <v>5</v>
      </c>
      <c r="H54" s="3">
        <f ca="1">COUNTIF('Competence Heatmap'!AZ$4:AZ$23,#N/A)</f>
        <v>0</v>
      </c>
    </row>
    <row r="55" spans="1:8" ht="45.75">
      <c r="A55" s="158" t="s">
        <v>384</v>
      </c>
      <c r="B55" s="18" t="s">
        <v>323</v>
      </c>
      <c r="C55" s="3">
        <f ca="1">COUNTIF('Competence Heatmap'!BA$4:BA$23,4)</f>
        <v>3</v>
      </c>
      <c r="D55" s="3">
        <f ca="1">COUNTIF('Competence Heatmap'!BA$4:BA$23,3)</f>
        <v>3</v>
      </c>
      <c r="E55" s="3">
        <f ca="1">COUNTIF('Competence Heatmap'!BA$4:BA$23,2)</f>
        <v>5</v>
      </c>
      <c r="F55" s="3">
        <f ca="1">COUNTIF('Competence Heatmap'!BA$4:BA$23,1)</f>
        <v>4</v>
      </c>
      <c r="G55" s="3">
        <f ca="1">COUNTIF('Competence Heatmap'!BA$4:BA$23,0)</f>
        <v>2</v>
      </c>
      <c r="H55" s="3">
        <f ca="1">COUNTIF('Competence Heatmap'!BA$4:BA$23,#N/A)</f>
        <v>0</v>
      </c>
    </row>
    <row r="56" spans="1:8" ht="106.5">
      <c r="A56" s="158" t="s">
        <v>384</v>
      </c>
      <c r="B56" s="18" t="s">
        <v>326</v>
      </c>
      <c r="C56" s="3">
        <f ca="1">COUNTIF('Competence Heatmap'!BB$4:BB$23,4)</f>
        <v>0</v>
      </c>
      <c r="D56" s="3">
        <f ca="1">COUNTIF('Competence Heatmap'!BB$4:BB$23,3)</f>
        <v>5</v>
      </c>
      <c r="E56" s="3">
        <f ca="1">COUNTIF('Competence Heatmap'!BB$4:BB$23,2)</f>
        <v>4</v>
      </c>
      <c r="F56" s="3">
        <f ca="1">COUNTIF('Competence Heatmap'!BB$4:BB$23,1)</f>
        <v>7</v>
      </c>
      <c r="G56" s="3">
        <f ca="1">COUNTIF('Competence Heatmap'!BB$4:BB$23,0)</f>
        <v>1</v>
      </c>
      <c r="H56" s="3">
        <f ca="1">COUNTIF('Competence Heatmap'!BB$4:BB$23,#N/A)</f>
        <v>0</v>
      </c>
    </row>
    <row r="57" spans="1:8" ht="101.25">
      <c r="A57" s="158" t="s">
        <v>384</v>
      </c>
      <c r="B57" s="18" t="s">
        <v>328</v>
      </c>
      <c r="C57" s="3">
        <f ca="1">COUNTIF('Competence Heatmap'!BC$4:BC$23,4)</f>
        <v>0</v>
      </c>
      <c r="D57" s="3">
        <f ca="1">COUNTIF('Competence Heatmap'!BC$4:BC$23,3)</f>
        <v>5</v>
      </c>
      <c r="E57" s="3">
        <f ca="1">COUNTIF('Competence Heatmap'!BC$4:BC$23,2)</f>
        <v>8</v>
      </c>
      <c r="F57" s="3">
        <f ca="1">COUNTIF('Competence Heatmap'!BC$4:BC$23,1)</f>
        <v>3</v>
      </c>
      <c r="G57" s="3">
        <f ca="1">COUNTIF('Competence Heatmap'!BC$4:BC$23,0)</f>
        <v>1</v>
      </c>
      <c r="H57" s="3">
        <f ca="1">COUNTIF('Competence Heatmap'!BC$4:BC$23,#N/A)</f>
        <v>0</v>
      </c>
    </row>
    <row r="58" spans="1:8" ht="35.25">
      <c r="A58" s="158" t="s">
        <v>384</v>
      </c>
      <c r="B58" s="18" t="s">
        <v>330</v>
      </c>
      <c r="C58" s="3">
        <f ca="1">COUNTIF('Competence Heatmap'!BD$4:BD$23,4)</f>
        <v>2</v>
      </c>
      <c r="D58" s="3">
        <f ca="1">COUNTIF('Competence Heatmap'!BD$4:BD$23,3)</f>
        <v>7</v>
      </c>
      <c r="E58" s="3">
        <f ca="1">COUNTIF('Competence Heatmap'!BD$4:BD$23,2)</f>
        <v>6</v>
      </c>
      <c r="F58" s="3">
        <f ca="1">COUNTIF('Competence Heatmap'!BD$4:BD$23,1)</f>
        <v>2</v>
      </c>
      <c r="G58" s="3">
        <f ca="1">COUNTIF('Competence Heatmap'!BD$4:BD$23,0)</f>
        <v>0</v>
      </c>
      <c r="H58" s="3">
        <f ca="1">COUNTIF('Competence Heatmap'!BD$4:BD$23,#N/A)</f>
        <v>0</v>
      </c>
    </row>
    <row r="59" spans="1:8" ht="51.75">
      <c r="A59" s="158" t="s">
        <v>384</v>
      </c>
      <c r="B59" s="18" t="s">
        <v>332</v>
      </c>
      <c r="C59" s="3">
        <f ca="1">COUNTIF('Competence Heatmap'!BE$4:BE$23,4)</f>
        <v>0</v>
      </c>
      <c r="D59" s="3">
        <f ca="1">COUNTIF('Competence Heatmap'!BE$4:BE$23,3)</f>
        <v>1</v>
      </c>
      <c r="E59" s="3">
        <f ca="1">COUNTIF('Competence Heatmap'!BE$4:BE$23,2)</f>
        <v>1</v>
      </c>
      <c r="F59" s="3">
        <f ca="1">COUNTIF('Competence Heatmap'!BE$4:BE$23,1)</f>
        <v>10</v>
      </c>
      <c r="G59" s="3">
        <f ca="1">COUNTIF('Competence Heatmap'!BE$4:BE$23,0)</f>
        <v>5</v>
      </c>
      <c r="H59" s="3">
        <f ca="1">COUNTIF('Competence Heatmap'!BE$4:BE$23,#N/A)</f>
        <v>0</v>
      </c>
    </row>
    <row r="60" spans="1:8" ht="18">
      <c r="A60" s="156" t="s">
        <v>385</v>
      </c>
      <c r="B60" s="18" t="s">
        <v>211</v>
      </c>
      <c r="C60" s="3">
        <f ca="1">COUNTIF('Competence Heatmap'!BF$4:BF$23,4)</f>
        <v>1</v>
      </c>
      <c r="D60" s="3">
        <f ca="1">COUNTIF('Competence Heatmap'!BF$4:BF$23,3)</f>
        <v>1</v>
      </c>
      <c r="E60" s="3">
        <f ca="1">COUNTIF('Competence Heatmap'!BF$4:BF$23,2)</f>
        <v>1</v>
      </c>
      <c r="F60" s="3">
        <f ca="1">COUNTIF('Competence Heatmap'!BF$4:BF$23,1)</f>
        <v>13</v>
      </c>
      <c r="G60" s="3">
        <f ca="1">COUNTIF('Competence Heatmap'!BF$4:BF$23,0)</f>
        <v>1</v>
      </c>
      <c r="H60" s="3">
        <f ca="1">COUNTIF('Competence Heatmap'!BF$4:BF$23,#N/A)</f>
        <v>0</v>
      </c>
    </row>
    <row r="61" spans="1:8" ht="66.75">
      <c r="A61" s="156" t="s">
        <v>385</v>
      </c>
      <c r="B61" s="18" t="s">
        <v>214</v>
      </c>
      <c r="C61" s="3">
        <f ca="1">COUNTIF('Competence Heatmap'!BG$4:BG$23,4)</f>
        <v>0</v>
      </c>
      <c r="D61" s="3">
        <f ca="1">COUNTIF('Competence Heatmap'!BG$4:BG$23,3)</f>
        <v>2</v>
      </c>
      <c r="E61" s="3">
        <f ca="1">COUNTIF('Competence Heatmap'!BG$4:BG$23,2)</f>
        <v>3</v>
      </c>
      <c r="F61" s="3">
        <f ca="1">COUNTIF('Competence Heatmap'!BG$4:BG$23,1)</f>
        <v>5</v>
      </c>
      <c r="G61" s="3">
        <f ca="1">COUNTIF('Competence Heatmap'!BG$4:BG$23,0)</f>
        <v>7</v>
      </c>
      <c r="H61" s="3">
        <f ca="1">COUNTIF('Competence Heatmap'!BG$4:BG$23,#N/A)</f>
        <v>0</v>
      </c>
    </row>
    <row r="62" spans="1:8" ht="59.25">
      <c r="A62" s="156" t="s">
        <v>385</v>
      </c>
      <c r="B62" s="18" t="s">
        <v>217</v>
      </c>
      <c r="C62" s="3">
        <f ca="1">COUNTIF('Competence Heatmap'!BH$4:BH$23,4)</f>
        <v>2</v>
      </c>
      <c r="D62" s="3">
        <f ca="1">COUNTIF('Competence Heatmap'!BH$4:BH$23,3)</f>
        <v>1</v>
      </c>
      <c r="E62" s="3">
        <f ca="1">COUNTIF('Competence Heatmap'!BH$4:BH$23,2)</f>
        <v>2</v>
      </c>
      <c r="F62" s="3">
        <f ca="1">COUNTIF('Competence Heatmap'!BH$4:BH$23,1)</f>
        <v>5</v>
      </c>
      <c r="G62" s="3">
        <f ca="1">COUNTIF('Competence Heatmap'!BH$4:BH$23,0)</f>
        <v>7</v>
      </c>
      <c r="H62" s="3">
        <f ca="1">COUNTIF('Competence Heatmap'!BH$4:BH$23,#N/A)</f>
        <v>0</v>
      </c>
    </row>
    <row r="63" spans="1:8" ht="33">
      <c r="A63" s="156" t="s">
        <v>385</v>
      </c>
      <c r="B63" s="18" t="s">
        <v>49</v>
      </c>
      <c r="C63" s="3">
        <f ca="1">COUNTIF('Competence Heatmap'!BI$4:BI$23,4)</f>
        <v>0</v>
      </c>
      <c r="D63" s="3">
        <f ca="1">COUNTIF('Competence Heatmap'!BI$4:BI$23,3)</f>
        <v>2</v>
      </c>
      <c r="E63" s="3">
        <f ca="1">COUNTIF('Competence Heatmap'!BI$4:BI$23,2)</f>
        <v>3</v>
      </c>
      <c r="F63" s="3">
        <f ca="1">COUNTIF('Competence Heatmap'!BI$4:BI$23,1)</f>
        <v>8</v>
      </c>
      <c r="G63" s="3">
        <f ca="1">COUNTIF('Competence Heatmap'!BI$4:BI$23,0)</f>
        <v>4</v>
      </c>
      <c r="H63" s="3">
        <f ca="1">COUNTIF('Competence Heatmap'!BI$4:BI$23,#N/A)</f>
        <v>0</v>
      </c>
    </row>
    <row r="64" spans="1:8" ht="66.75">
      <c r="A64" s="156" t="s">
        <v>385</v>
      </c>
      <c r="B64" s="18" t="s">
        <v>222</v>
      </c>
      <c r="C64" s="3">
        <f ca="1">COUNTIF('Competence Heatmap'!BJ$4:BJ$23,4)</f>
        <v>0</v>
      </c>
      <c r="D64" s="3">
        <f ca="1">COUNTIF('Competence Heatmap'!BJ$4:BJ$23,3)</f>
        <v>3</v>
      </c>
      <c r="E64" s="3">
        <f ca="1">COUNTIF('Competence Heatmap'!BJ$4:BJ$23,2)</f>
        <v>2</v>
      </c>
      <c r="F64" s="3">
        <f ca="1">COUNTIF('Competence Heatmap'!BJ$4:BJ$23,1)</f>
        <v>5</v>
      </c>
      <c r="G64" s="3">
        <f ca="1">COUNTIF('Competence Heatmap'!BJ$4:BJ$23,0)</f>
        <v>7</v>
      </c>
      <c r="H64" s="3">
        <f ca="1">COUNTIF('Competence Heatmap'!BJ$4:BJ$23,#N/A)</f>
        <v>0</v>
      </c>
    </row>
    <row r="65" spans="1:8" ht="26.25">
      <c r="A65" s="156" t="s">
        <v>385</v>
      </c>
      <c r="B65" s="18" t="s">
        <v>225</v>
      </c>
      <c r="C65" s="3">
        <f ca="1">COUNTIF('Competence Heatmap'!BK$4:BK$23,4)</f>
        <v>0</v>
      </c>
      <c r="D65" s="3">
        <f ca="1">COUNTIF('Competence Heatmap'!BK$4:BK$23,3)</f>
        <v>4</v>
      </c>
      <c r="E65" s="3">
        <f ca="1">COUNTIF('Competence Heatmap'!BK$4:BK$23,2)</f>
        <v>4</v>
      </c>
      <c r="F65" s="3">
        <f ca="1">COUNTIF('Competence Heatmap'!BK$4:BK$23,1)</f>
        <v>9</v>
      </c>
      <c r="G65" s="3">
        <f ca="1">COUNTIF('Competence Heatmap'!BK$4:BK$23,0)</f>
        <v>0</v>
      </c>
      <c r="H65" s="3">
        <f ca="1">COUNTIF('Competence Heatmap'!BK$4:BK$23,#N/A)</f>
        <v>0</v>
      </c>
    </row>
    <row r="66" spans="1:8" ht="66.75">
      <c r="A66" s="156" t="s">
        <v>385</v>
      </c>
      <c r="B66" s="18" t="s">
        <v>228</v>
      </c>
      <c r="C66" s="3">
        <f ca="1">COUNTIF('Competence Heatmap'!BL$4:BL$23,4)</f>
        <v>0</v>
      </c>
      <c r="D66" s="3">
        <f ca="1">COUNTIF('Competence Heatmap'!BL$4:BL$23,3)</f>
        <v>2</v>
      </c>
      <c r="E66" s="3">
        <f ca="1">COUNTIF('Competence Heatmap'!BL$4:BL$23,2)</f>
        <v>3</v>
      </c>
      <c r="F66" s="3">
        <f ca="1">COUNTIF('Competence Heatmap'!BL$4:BL$23,1)</f>
        <v>9</v>
      </c>
      <c r="G66" s="3">
        <f ca="1">COUNTIF('Competence Heatmap'!BL$4:BL$23,0)</f>
        <v>3</v>
      </c>
      <c r="H66" s="3">
        <f ca="1">COUNTIF('Competence Heatmap'!BL$4:BL$23,#N/A)</f>
        <v>0</v>
      </c>
    </row>
    <row r="67" spans="1:8" ht="39">
      <c r="A67" s="156" t="s">
        <v>385</v>
      </c>
      <c r="B67" s="18" t="s">
        <v>231</v>
      </c>
      <c r="C67" s="3">
        <f ca="1">COUNTIF('Competence Heatmap'!BM$4:BM$23,4)</f>
        <v>1</v>
      </c>
      <c r="D67" s="3">
        <f ca="1">COUNTIF('Competence Heatmap'!BM$4:BM$23,3)</f>
        <v>1</v>
      </c>
      <c r="E67" s="3">
        <f ca="1">COUNTIF('Competence Heatmap'!BM$4:BM$23,2)</f>
        <v>2</v>
      </c>
      <c r="F67" s="3">
        <f ca="1">COUNTIF('Competence Heatmap'!BM$4:BM$23,1)</f>
        <v>11</v>
      </c>
      <c r="G67" s="3">
        <f ca="1">COUNTIF('Competence Heatmap'!BM$4:BM$23,0)</f>
        <v>2</v>
      </c>
      <c r="H67" s="3">
        <f ca="1">COUNTIF('Competence Heatmap'!BM$4:BM$23,#N/A)</f>
        <v>0</v>
      </c>
    </row>
    <row r="68" spans="1:8" ht="63.75">
      <c r="A68" s="156" t="s">
        <v>378</v>
      </c>
      <c r="B68" s="18" t="s">
        <v>185</v>
      </c>
      <c r="C68" s="3">
        <f ca="1">COUNTIF('Competence Heatmap'!BN$4:BN$23,4)</f>
        <v>2</v>
      </c>
      <c r="D68" s="3">
        <f ca="1">COUNTIF('Competence Heatmap'!BN$4:BN$23,3)</f>
        <v>0</v>
      </c>
      <c r="E68" s="3">
        <f ca="1">COUNTIF('Competence Heatmap'!BN$4:BN$23,2)</f>
        <v>3</v>
      </c>
      <c r="F68" s="3">
        <f ca="1">COUNTIF('Competence Heatmap'!BN$4:BN$23,1)</f>
        <v>8</v>
      </c>
      <c r="G68" s="3">
        <f ca="1">COUNTIF('Competence Heatmap'!BN$4:BN$23,0)</f>
        <v>4</v>
      </c>
      <c r="H68" s="3">
        <f ca="1">COUNTIF('Competence Heatmap'!BN$4:BN$23,#N/A)</f>
        <v>0</v>
      </c>
    </row>
    <row r="69" spans="1:8" ht="66.75">
      <c r="A69" s="156" t="s">
        <v>378</v>
      </c>
      <c r="B69" s="18" t="s">
        <v>188</v>
      </c>
      <c r="C69" s="3">
        <f ca="1">COUNTIF('Competence Heatmap'!BO$4:BO$23,4)</f>
        <v>2</v>
      </c>
      <c r="D69" s="3">
        <f ca="1">COUNTIF('Competence Heatmap'!BO$4:BO$23,3)</f>
        <v>3</v>
      </c>
      <c r="E69" s="3">
        <f ca="1">COUNTIF('Competence Heatmap'!BO$4:BO$23,2)</f>
        <v>5</v>
      </c>
      <c r="F69" s="3">
        <f ca="1">COUNTIF('Competence Heatmap'!BO$4:BO$23,1)</f>
        <v>4</v>
      </c>
      <c r="G69" s="3">
        <f ca="1">COUNTIF('Competence Heatmap'!BO$4:BO$23,0)</f>
        <v>3</v>
      </c>
      <c r="H69" s="3">
        <f ca="1">COUNTIF('Competence Heatmap'!BO$4:BO$23,#N/A)</f>
        <v>0</v>
      </c>
    </row>
    <row r="70" spans="1:8" ht="102">
      <c r="A70" s="156" t="s">
        <v>378</v>
      </c>
      <c r="B70" s="18" t="s">
        <v>191</v>
      </c>
      <c r="C70" s="3">
        <f ca="1">COUNTIF('Competence Heatmap'!BP$4:BP$23,4)</f>
        <v>1</v>
      </c>
      <c r="D70" s="3">
        <f ca="1">COUNTIF('Competence Heatmap'!BP$4:BP$23,3)</f>
        <v>2</v>
      </c>
      <c r="E70" s="3">
        <f ca="1">COUNTIF('Competence Heatmap'!BP$4:BP$23,2)</f>
        <v>1</v>
      </c>
      <c r="F70" s="3">
        <f ca="1">COUNTIF('Competence Heatmap'!BP$4:BP$23,1)</f>
        <v>4</v>
      </c>
      <c r="G70" s="3">
        <f ca="1">COUNTIF('Competence Heatmap'!BP$4:BP$23,0)</f>
        <v>9</v>
      </c>
      <c r="H70" s="3">
        <f ca="1">COUNTIF('Competence Heatmap'!BP$4:BP$23,#N/A)</f>
        <v>0</v>
      </c>
    </row>
    <row r="71" spans="1:8" ht="117.75">
      <c r="A71" s="156" t="s">
        <v>378</v>
      </c>
      <c r="B71" s="18" t="s">
        <v>194</v>
      </c>
      <c r="C71" s="3">
        <f ca="1">COUNTIF('Competence Heatmap'!BQ$4:BQ$23,4)</f>
        <v>2</v>
      </c>
      <c r="D71" s="3">
        <f ca="1">COUNTIF('Competence Heatmap'!BQ$4:BQ$23,3)</f>
        <v>1</v>
      </c>
      <c r="E71" s="3">
        <f ca="1">COUNTIF('Competence Heatmap'!BQ$4:BQ$23,2)</f>
        <v>2</v>
      </c>
      <c r="F71" s="3">
        <f ca="1">COUNTIF('Competence Heatmap'!BQ$4:BQ$23,1)</f>
        <v>9</v>
      </c>
      <c r="G71" s="3">
        <f ca="1">COUNTIF('Competence Heatmap'!BQ$4:BQ$23,0)</f>
        <v>3</v>
      </c>
      <c r="H71" s="3">
        <f ca="1">COUNTIF('Competence Heatmap'!BQ$4:BQ$23,#N/A)</f>
        <v>0</v>
      </c>
    </row>
    <row r="72" spans="1:8" ht="103.5">
      <c r="A72" s="156" t="s">
        <v>378</v>
      </c>
      <c r="B72" s="18" t="s">
        <v>197</v>
      </c>
      <c r="C72" s="3">
        <f ca="1">COUNTIF('Competence Heatmap'!BR$4:BR$23,4)</f>
        <v>1</v>
      </c>
      <c r="D72" s="3">
        <f ca="1">COUNTIF('Competence Heatmap'!BR$4:BR$23,3)</f>
        <v>2</v>
      </c>
      <c r="E72" s="3">
        <f ca="1">COUNTIF('Competence Heatmap'!BR$4:BR$23,2)</f>
        <v>2</v>
      </c>
      <c r="F72" s="3">
        <f ca="1">COUNTIF('Competence Heatmap'!BR$4:BR$23,1)</f>
        <v>6</v>
      </c>
      <c r="G72" s="3">
        <f ca="1">COUNTIF('Competence Heatmap'!BR$4:BR$23,0)</f>
        <v>6</v>
      </c>
      <c r="H72" s="3">
        <f ca="1">COUNTIF('Competence Heatmap'!BR$4:BR$23,#N/A)</f>
        <v>0</v>
      </c>
    </row>
    <row r="73" spans="1:8" ht="67.5">
      <c r="A73" s="156" t="s">
        <v>378</v>
      </c>
      <c r="B73" s="18" t="s">
        <v>200</v>
      </c>
      <c r="C73" s="3">
        <f ca="1">COUNTIF('Competence Heatmap'!BS$4:BS$23,4)</f>
        <v>2</v>
      </c>
      <c r="D73" s="3">
        <f ca="1">COUNTIF('Competence Heatmap'!BS$4:BS$23,3)</f>
        <v>3</v>
      </c>
      <c r="E73" s="3">
        <f ca="1">COUNTIF('Competence Heatmap'!BS$4:BS$23,2)</f>
        <v>1</v>
      </c>
      <c r="F73" s="3">
        <f ca="1">COUNTIF('Competence Heatmap'!BS$4:BS$23,1)</f>
        <v>7</v>
      </c>
      <c r="G73" s="3">
        <f ca="1">COUNTIF('Competence Heatmap'!BS$4:BS$23,0)</f>
        <v>4</v>
      </c>
      <c r="H73" s="3">
        <f ca="1">COUNTIF('Competence Heatmap'!BS$4:BS$23,#N/A)</f>
        <v>0</v>
      </c>
    </row>
    <row r="74" spans="1:8" ht="69.75">
      <c r="A74" s="156" t="s">
        <v>378</v>
      </c>
      <c r="B74" s="18" t="s">
        <v>203</v>
      </c>
      <c r="C74" s="3">
        <f ca="1">COUNTIF('Competence Heatmap'!BT$4:BT$23,4)</f>
        <v>1</v>
      </c>
      <c r="D74" s="3">
        <f ca="1">COUNTIF('Competence Heatmap'!BT$4:BT$23,3)</f>
        <v>3</v>
      </c>
      <c r="E74" s="3">
        <f ca="1">COUNTIF('Competence Heatmap'!BT$4:BT$23,2)</f>
        <v>3</v>
      </c>
      <c r="F74" s="3">
        <f ca="1">COUNTIF('Competence Heatmap'!BT$4:BT$23,1)</f>
        <v>8</v>
      </c>
      <c r="G74" s="3">
        <f ca="1">COUNTIF('Competence Heatmap'!BT$4:BT$23,0)</f>
        <v>2</v>
      </c>
      <c r="H74" s="3">
        <f ca="1">COUNTIF('Competence Heatmap'!BT$4:BT$23,#N/A)</f>
        <v>0</v>
      </c>
    </row>
    <row r="75" spans="1:8" ht="48">
      <c r="A75" s="156" t="s">
        <v>378</v>
      </c>
      <c r="B75" s="18" t="s">
        <v>206</v>
      </c>
      <c r="C75" s="3">
        <f ca="1">COUNTIF('Competence Heatmap'!BU$4:BU$23,4)</f>
        <v>1</v>
      </c>
      <c r="D75" s="3">
        <f ca="1">COUNTIF('Competence Heatmap'!BU$4:BU$23,3)</f>
        <v>1</v>
      </c>
      <c r="E75" s="3">
        <f ca="1">COUNTIF('Competence Heatmap'!BU$4:BU$23,2)</f>
        <v>3</v>
      </c>
      <c r="F75" s="3">
        <f ca="1">COUNTIF('Competence Heatmap'!BU$4:BU$23,1)</f>
        <v>4</v>
      </c>
      <c r="G75" s="3">
        <f ca="1">COUNTIF('Competence Heatmap'!BU$4:BU$23,0)</f>
        <v>8</v>
      </c>
      <c r="H75" s="3">
        <f ca="1">COUNTIF('Competence Heatmap'!BU$4:BU$23,#N/A)</f>
        <v>0</v>
      </c>
    </row>
    <row r="76" spans="1:8" ht="54">
      <c r="A76" s="156" t="s">
        <v>378</v>
      </c>
      <c r="B76" s="18" t="s">
        <v>208</v>
      </c>
      <c r="C76" s="3">
        <f ca="1">COUNTIF('Competence Heatmap'!BV$4:BV$23,4)</f>
        <v>1</v>
      </c>
      <c r="D76" s="3">
        <f ca="1">COUNTIF('Competence Heatmap'!BV$4:BV$23,3)</f>
        <v>2</v>
      </c>
      <c r="E76" s="3">
        <f ca="1">COUNTIF('Competence Heatmap'!BV$4:BV$23,2)</f>
        <v>2</v>
      </c>
      <c r="F76" s="3">
        <f ca="1">COUNTIF('Competence Heatmap'!BV$4:BV$23,1)</f>
        <v>9</v>
      </c>
      <c r="G76" s="3">
        <f ca="1">COUNTIF('Competence Heatmap'!BV$4:BV$23,0)</f>
        <v>3</v>
      </c>
      <c r="H76" s="3">
        <f ca="1">COUNTIF('Competence Heatmap'!BV$4:BV$23,#N/A)</f>
        <v>0</v>
      </c>
    </row>
    <row r="77" spans="1:8" ht="18">
      <c r="A77" s="156" t="s">
        <v>378</v>
      </c>
      <c r="B77" s="18" t="s">
        <v>211</v>
      </c>
      <c r="C77" s="3">
        <f ca="1">COUNTIF('Competence Heatmap'!BW$4:BW$23,4)</f>
        <v>1</v>
      </c>
      <c r="D77" s="3">
        <f ca="1">COUNTIF('Competence Heatmap'!BW$4:BW$23,3)</f>
        <v>1</v>
      </c>
      <c r="E77" s="3">
        <f ca="1">COUNTIF('Competence Heatmap'!BW$4:BW$23,2)</f>
        <v>1</v>
      </c>
      <c r="F77" s="3">
        <f ca="1">COUNTIF('Competence Heatmap'!BW$4:BW$23,1)</f>
        <v>13</v>
      </c>
      <c r="G77" s="3">
        <f ca="1">COUNTIF('Competence Heatmap'!BW$4:BW$23,0)</f>
        <v>1</v>
      </c>
      <c r="H77" s="3">
        <f ca="1">COUNTIF('Competence Heatmap'!BW$4:BW$23,#N/A)</f>
        <v>0</v>
      </c>
    </row>
    <row r="78" spans="1:8" ht="66.75">
      <c r="A78" s="156" t="s">
        <v>378</v>
      </c>
      <c r="B78" s="18" t="s">
        <v>214</v>
      </c>
      <c r="C78" s="3">
        <f ca="1">COUNTIF('Competence Heatmap'!BX$4:BX$23,4)</f>
        <v>0</v>
      </c>
      <c r="D78" s="3">
        <f ca="1">COUNTIF('Competence Heatmap'!BX$4:BX$23,3)</f>
        <v>2</v>
      </c>
      <c r="E78" s="3">
        <f ca="1">COUNTIF('Competence Heatmap'!BX$4:BX$23,2)</f>
        <v>3</v>
      </c>
      <c r="F78" s="3">
        <f ca="1">COUNTIF('Competence Heatmap'!BX$4:BX$23,1)</f>
        <v>5</v>
      </c>
      <c r="G78" s="3">
        <f ca="1">COUNTIF('Competence Heatmap'!BX$4:BX$23,0)</f>
        <v>7</v>
      </c>
      <c r="H78" s="3">
        <f ca="1">COUNTIF('Competence Heatmap'!BX$4:BX$23,#N/A)</f>
        <v>0</v>
      </c>
    </row>
    <row r="79" spans="1:8" ht="59.25">
      <c r="A79" s="156" t="s">
        <v>378</v>
      </c>
      <c r="B79" s="18" t="s">
        <v>217</v>
      </c>
      <c r="C79" s="3">
        <f ca="1">COUNTIF('Competence Heatmap'!BY$4:BY$23,4)</f>
        <v>2</v>
      </c>
      <c r="D79" s="3">
        <f ca="1">COUNTIF('Competence Heatmap'!BY$4:BY$23,3)</f>
        <v>1</v>
      </c>
      <c r="E79" s="3">
        <f ca="1">COUNTIF('Competence Heatmap'!BY$4:BY$23,2)</f>
        <v>2</v>
      </c>
      <c r="F79" s="3">
        <f ca="1">COUNTIF('Competence Heatmap'!BY$4:BY$23,1)</f>
        <v>5</v>
      </c>
      <c r="G79" s="3">
        <f ca="1">COUNTIF('Competence Heatmap'!BY$4:BY$23,0)</f>
        <v>7</v>
      </c>
      <c r="H79" s="3">
        <f ca="1">COUNTIF('Competence Heatmap'!BY$4:BY$23,#N/A)</f>
        <v>0</v>
      </c>
    </row>
    <row r="80" spans="1:8" ht="33">
      <c r="A80" s="156" t="s">
        <v>378</v>
      </c>
      <c r="B80" s="18" t="s">
        <v>49</v>
      </c>
      <c r="C80" s="3">
        <f ca="1">COUNTIF('Competence Heatmap'!BZ$4:BZ$23,4)</f>
        <v>0</v>
      </c>
      <c r="D80" s="3">
        <f ca="1">COUNTIF('Competence Heatmap'!BZ$4:BZ$23,3)</f>
        <v>2</v>
      </c>
      <c r="E80" s="3">
        <f ca="1">COUNTIF('Competence Heatmap'!BZ$4:BZ$23,2)</f>
        <v>3</v>
      </c>
      <c r="F80" s="3">
        <f ca="1">COUNTIF('Competence Heatmap'!BZ$4:BZ$23,1)</f>
        <v>8</v>
      </c>
      <c r="G80" s="3">
        <f ca="1">COUNTIF('Competence Heatmap'!BZ$4:BZ$23,0)</f>
        <v>4</v>
      </c>
      <c r="H80" s="3">
        <f ca="1">COUNTIF('Competence Heatmap'!BZ$4:BZ$23,#N/A)</f>
        <v>0</v>
      </c>
    </row>
    <row r="81" spans="1:8" ht="66.75">
      <c r="A81" s="156" t="s">
        <v>378</v>
      </c>
      <c r="B81" s="18" t="s">
        <v>222</v>
      </c>
      <c r="C81" s="3">
        <f ca="1">COUNTIF('Competence Heatmap'!CA$4:CA$23,4)</f>
        <v>0</v>
      </c>
      <c r="D81" s="3">
        <f ca="1">COUNTIF('Competence Heatmap'!CA$4:CA$23,3)</f>
        <v>3</v>
      </c>
      <c r="E81" s="3">
        <f ca="1">COUNTIF('Competence Heatmap'!CA$4:CA$23,2)</f>
        <v>2</v>
      </c>
      <c r="F81" s="3">
        <f ca="1">COUNTIF('Competence Heatmap'!CA$4:CA$23,1)</f>
        <v>5</v>
      </c>
      <c r="G81" s="3">
        <f ca="1">COUNTIF('Competence Heatmap'!CA$4:CA$23,0)</f>
        <v>7</v>
      </c>
      <c r="H81" s="3">
        <f ca="1">COUNTIF('Competence Heatmap'!CA$4:CA$23,#N/A)</f>
        <v>0</v>
      </c>
    </row>
    <row r="82" spans="1:8" ht="26.25">
      <c r="A82" s="156" t="s">
        <v>378</v>
      </c>
      <c r="B82" s="18" t="s">
        <v>225</v>
      </c>
      <c r="C82" s="3">
        <f ca="1">COUNTIF('Competence Heatmap'!CB$4:CB$23,4)</f>
        <v>0</v>
      </c>
      <c r="D82" s="3">
        <f ca="1">COUNTIF('Competence Heatmap'!CB$4:CB$23,3)</f>
        <v>4</v>
      </c>
      <c r="E82" s="3">
        <f ca="1">COUNTIF('Competence Heatmap'!CB$4:CB$23,2)</f>
        <v>4</v>
      </c>
      <c r="F82" s="3">
        <f ca="1">COUNTIF('Competence Heatmap'!CB$4:CB$23,1)</f>
        <v>9</v>
      </c>
      <c r="G82" s="3">
        <f ca="1">COUNTIF('Competence Heatmap'!CB$4:CB$23,0)</f>
        <v>0</v>
      </c>
      <c r="H82" s="3">
        <f ca="1">COUNTIF('Competence Heatmap'!CB$4:CB$23,#N/A)</f>
        <v>0</v>
      </c>
    </row>
    <row r="83" spans="1:8" ht="66.75">
      <c r="A83" s="156" t="s">
        <v>378</v>
      </c>
      <c r="B83" s="18" t="s">
        <v>228</v>
      </c>
      <c r="C83" s="3">
        <f ca="1">COUNTIF('Competence Heatmap'!CC$4:CC$23,4)</f>
        <v>0</v>
      </c>
      <c r="D83" s="3">
        <f ca="1">COUNTIF('Competence Heatmap'!CC$4:CC$23,3)</f>
        <v>2</v>
      </c>
      <c r="E83" s="3">
        <f ca="1">COUNTIF('Competence Heatmap'!CC$4:CC$23,2)</f>
        <v>3</v>
      </c>
      <c r="F83" s="3">
        <f ca="1">COUNTIF('Competence Heatmap'!CC$4:CC$23,1)</f>
        <v>9</v>
      </c>
      <c r="G83" s="3">
        <f ca="1">COUNTIF('Competence Heatmap'!CC$4:CC$23,0)</f>
        <v>3</v>
      </c>
      <c r="H83" s="3">
        <f ca="1">COUNTIF('Competence Heatmap'!CC$4:CC$23,#N/A)</f>
        <v>0</v>
      </c>
    </row>
    <row r="84" spans="1:8" ht="39">
      <c r="A84" s="156" t="s">
        <v>378</v>
      </c>
      <c r="B84" s="18" t="s">
        <v>231</v>
      </c>
      <c r="C84" s="3">
        <f ca="1">COUNTIF('Competence Heatmap'!CD$4:CD$23,4)</f>
        <v>1</v>
      </c>
      <c r="D84" s="3">
        <f ca="1">COUNTIF('Competence Heatmap'!CD$4:CD$23,3)</f>
        <v>1</v>
      </c>
      <c r="E84" s="3">
        <f ca="1">COUNTIF('Competence Heatmap'!CD$4:CD$23,2)</f>
        <v>2</v>
      </c>
      <c r="F84" s="3">
        <f ca="1">COUNTIF('Competence Heatmap'!CD$4:CD$23,1)</f>
        <v>11</v>
      </c>
      <c r="G84" s="3">
        <f ca="1">COUNTIF('Competence Heatmap'!CD$4:CD$23,0)</f>
        <v>2</v>
      </c>
      <c r="H84" s="3">
        <f ca="1">COUNTIF('Competence Heatmap'!CD$4:CD$23,#N/A)</f>
        <v>0</v>
      </c>
    </row>
    <row r="85" spans="1:8" ht="48.75">
      <c r="A85" s="156" t="s">
        <v>377</v>
      </c>
      <c r="B85" s="19" t="s">
        <v>167</v>
      </c>
      <c r="C85" s="3">
        <f ca="1">COUNTIF('Competence Heatmap'!CE$4:CE$23,4)</f>
        <v>0</v>
      </c>
      <c r="D85" s="3">
        <f ca="1">COUNTIF('Competence Heatmap'!CE$4:CE$23,3)</f>
        <v>1</v>
      </c>
      <c r="E85" s="3">
        <f ca="1">COUNTIF('Competence Heatmap'!CE$4:CE$23,2)</f>
        <v>5</v>
      </c>
      <c r="F85" s="3">
        <f ca="1">COUNTIF('Competence Heatmap'!CE$4:CE$23,1)</f>
        <v>10</v>
      </c>
      <c r="G85" s="3">
        <f ca="1">COUNTIF('Competence Heatmap'!CE$4:CE$23,0)</f>
        <v>1</v>
      </c>
      <c r="H85" s="3">
        <f ca="1">COUNTIF('Competence Heatmap'!CE$4:CE$23,#N/A)</f>
        <v>0</v>
      </c>
    </row>
    <row r="86" spans="1:8" ht="51.75">
      <c r="A86" s="156" t="s">
        <v>377</v>
      </c>
      <c r="B86" s="18" t="s">
        <v>170</v>
      </c>
      <c r="C86" s="3">
        <f ca="1">COUNTIF('Competence Heatmap'!CF$4:CF$23,4)</f>
        <v>0</v>
      </c>
      <c r="D86" s="3">
        <f ca="1">COUNTIF('Competence Heatmap'!CF$4:CF$23,3)</f>
        <v>1</v>
      </c>
      <c r="E86" s="3">
        <f ca="1">COUNTIF('Competence Heatmap'!CF$4:CF$23,2)</f>
        <v>6</v>
      </c>
      <c r="F86" s="3">
        <f ca="1">COUNTIF('Competence Heatmap'!CF$4:CF$23,1)</f>
        <v>7</v>
      </c>
      <c r="G86" s="3">
        <f ca="1">COUNTIF('Competence Heatmap'!CF$4:CF$23,0)</f>
        <v>3</v>
      </c>
      <c r="H86" s="3">
        <f ca="1">COUNTIF('Competence Heatmap'!CF$4:CF$23,#N/A)</f>
        <v>0</v>
      </c>
    </row>
    <row r="87" spans="1:8" ht="57">
      <c r="A87" s="156" t="s">
        <v>377</v>
      </c>
      <c r="B87" s="19" t="s">
        <v>173</v>
      </c>
      <c r="C87" s="3">
        <f ca="1">COUNTIF('Competence Heatmap'!CG$4:CG$23,4)</f>
        <v>0</v>
      </c>
      <c r="D87" s="3">
        <f ca="1">COUNTIF('Competence Heatmap'!CG$4:CG$23,3)</f>
        <v>4</v>
      </c>
      <c r="E87" s="3">
        <f ca="1">COUNTIF('Competence Heatmap'!CG$4:CG$23,2)</f>
        <v>9</v>
      </c>
      <c r="F87" s="3">
        <f ca="1">COUNTIF('Competence Heatmap'!CG$4:CG$23,1)</f>
        <v>3</v>
      </c>
      <c r="G87" s="3">
        <f ca="1">COUNTIF('Competence Heatmap'!CG$4:CG$23,0)</f>
        <v>1</v>
      </c>
      <c r="H87" s="3">
        <f ca="1">COUNTIF('Competence Heatmap'!CG$4:CG$23,#N/A)</f>
        <v>0</v>
      </c>
    </row>
    <row r="88" spans="1:8" ht="60.75">
      <c r="A88" s="156" t="s">
        <v>377</v>
      </c>
      <c r="B88" s="19" t="s">
        <v>176</v>
      </c>
      <c r="C88" s="3">
        <f ca="1">COUNTIF('Competence Heatmap'!CH$4:CH$23,4)</f>
        <v>1</v>
      </c>
      <c r="D88" s="3">
        <f ca="1">COUNTIF('Competence Heatmap'!CH$4:CH$23,3)</f>
        <v>1</v>
      </c>
      <c r="E88" s="3">
        <f ca="1">COUNTIF('Competence Heatmap'!CH$4:CH$23,2)</f>
        <v>3</v>
      </c>
      <c r="F88" s="3">
        <f ca="1">COUNTIF('Competence Heatmap'!CH$4:CH$23,1)</f>
        <v>9</v>
      </c>
      <c r="G88" s="3">
        <f ca="1">COUNTIF('Competence Heatmap'!CH$4:CH$23,0)</f>
        <v>3</v>
      </c>
      <c r="H88" s="3">
        <f ca="1">COUNTIF('Competence Heatmap'!CH$4:CH$23,#N/A)</f>
        <v>0</v>
      </c>
    </row>
    <row r="89" spans="1:8" ht="66">
      <c r="A89" s="156" t="s">
        <v>377</v>
      </c>
      <c r="B89" s="18" t="s">
        <v>179</v>
      </c>
      <c r="C89" s="3">
        <f ca="1">COUNTIF('Competence Heatmap'!CI$4:CI$23,4)</f>
        <v>1</v>
      </c>
      <c r="D89" s="3">
        <f ca="1">COUNTIF('Competence Heatmap'!CI$4:CI$23,3)</f>
        <v>0</v>
      </c>
      <c r="E89" s="3">
        <f ca="1">COUNTIF('Competence Heatmap'!CI$4:CI$23,2)</f>
        <v>12</v>
      </c>
      <c r="F89" s="3">
        <f ca="1">COUNTIF('Competence Heatmap'!CI$4:CI$23,1)</f>
        <v>4</v>
      </c>
      <c r="G89" s="3">
        <f ca="1">COUNTIF('Competence Heatmap'!CI$4:CI$23,0)</f>
        <v>0</v>
      </c>
      <c r="H89" s="3">
        <f ca="1">COUNTIF('Competence Heatmap'!CI$4:CI$23,#N/A)</f>
        <v>0</v>
      </c>
    </row>
    <row r="90" spans="1:8" ht="58.5">
      <c r="A90" s="156" t="s">
        <v>377</v>
      </c>
      <c r="B90" s="19" t="s">
        <v>182</v>
      </c>
      <c r="C90" s="3">
        <f ca="1">COUNTIF('Competence Heatmap'!CJ$4:CJ$23,4)</f>
        <v>0</v>
      </c>
      <c r="D90" s="3">
        <f ca="1">COUNTIF('Competence Heatmap'!CJ$4:CJ$23,3)</f>
        <v>0</v>
      </c>
      <c r="E90" s="3">
        <f ca="1">COUNTIF('Competence Heatmap'!CJ$4:CJ$23,2)</f>
        <v>4</v>
      </c>
      <c r="F90" s="3">
        <f ca="1">COUNTIF('Competence Heatmap'!CJ$4:CJ$23,1)</f>
        <v>9</v>
      </c>
      <c r="G90" s="3">
        <f ca="1">COUNTIF('Competence Heatmap'!CJ$4:CJ$23,0)</f>
        <v>4</v>
      </c>
      <c r="H90" s="3">
        <f ca="1">COUNTIF('Competence Heatmap'!CJ$4:CJ$23,#N/A)</f>
        <v>0</v>
      </c>
    </row>
    <row r="91" spans="1:8" ht="66.75">
      <c r="A91" s="156" t="s">
        <v>373</v>
      </c>
      <c r="B91" s="18" t="s">
        <v>334</v>
      </c>
      <c r="C91" s="3">
        <f ca="1">COUNTIF('Competence Heatmap'!CK$4:CK$23,4)</f>
        <v>0</v>
      </c>
      <c r="D91" s="3">
        <f ca="1">COUNTIF('Competence Heatmap'!CK$4:CK$23,3)</f>
        <v>0</v>
      </c>
      <c r="E91" s="3">
        <f ca="1">COUNTIF('Competence Heatmap'!CK$4:CK$23,2)</f>
        <v>3</v>
      </c>
      <c r="F91" s="3">
        <f ca="1">COUNTIF('Competence Heatmap'!CK$4:CK$23,1)</f>
        <v>5</v>
      </c>
      <c r="G91" s="3">
        <f ca="1">COUNTIF('Competence Heatmap'!CK$4:CK$23,0)</f>
        <v>9</v>
      </c>
      <c r="H91" s="3">
        <f ca="1">COUNTIF('Competence Heatmap'!CK$4:CK$23,#N/A)</f>
        <v>0</v>
      </c>
    </row>
    <row r="92" spans="1:8" ht="74.25">
      <c r="A92" s="156" t="s">
        <v>373</v>
      </c>
      <c r="B92" s="18" t="s">
        <v>337</v>
      </c>
      <c r="C92" s="3">
        <f ca="1">COUNTIF('Competence Heatmap'!CL$4:CL$23,4)</f>
        <v>1</v>
      </c>
      <c r="D92" s="3">
        <f ca="1">COUNTIF('Competence Heatmap'!CL$4:CL$23,3)</f>
        <v>1</v>
      </c>
      <c r="E92" s="3">
        <f ca="1">COUNTIF('Competence Heatmap'!CL$4:CL$23,2)</f>
        <v>2</v>
      </c>
      <c r="F92" s="3">
        <f ca="1">COUNTIF('Competence Heatmap'!CL$4:CL$23,1)</f>
        <v>6</v>
      </c>
      <c r="G92" s="3">
        <f ca="1">COUNTIF('Competence Heatmap'!CL$4:CL$23,0)</f>
        <v>7</v>
      </c>
      <c r="H92" s="3">
        <f ca="1">COUNTIF('Competence Heatmap'!CL$4:CL$23,#N/A)</f>
        <v>0</v>
      </c>
    </row>
    <row r="93" spans="1:8" ht="60.75">
      <c r="A93" s="156" t="s">
        <v>373</v>
      </c>
      <c r="B93" s="18" t="s">
        <v>340</v>
      </c>
      <c r="C93" s="3">
        <f ca="1">COUNTIF('Competence Heatmap'!CM$4:CM$23,4)</f>
        <v>1</v>
      </c>
      <c r="D93" s="3">
        <f ca="1">COUNTIF('Competence Heatmap'!CM$4:CM$23,3)</f>
        <v>1</v>
      </c>
      <c r="E93" s="3">
        <f ca="1">COUNTIF('Competence Heatmap'!CM$4:CM$23,2)</f>
        <v>1</v>
      </c>
      <c r="F93" s="3">
        <f ca="1">COUNTIF('Competence Heatmap'!CM$4:CM$23,1)</f>
        <v>6</v>
      </c>
      <c r="G93" s="3">
        <f ca="1">COUNTIF('Competence Heatmap'!CM$4:CM$23,0)</f>
        <v>8</v>
      </c>
      <c r="H93" s="3">
        <f ca="1">COUNTIF('Competence Heatmap'!CM$4:CM$23,#N/A)</f>
        <v>0</v>
      </c>
    </row>
    <row r="94" spans="1:8" ht="52.5">
      <c r="A94" s="156" t="s">
        <v>373</v>
      </c>
      <c r="B94" s="18" t="s">
        <v>343</v>
      </c>
      <c r="C94" s="3">
        <f ca="1">COUNTIF('Competence Heatmap'!CN$4:CN$23,4)</f>
        <v>0</v>
      </c>
      <c r="D94" s="3">
        <f ca="1">COUNTIF('Competence Heatmap'!CN$4:CN$23,3)</f>
        <v>0</v>
      </c>
      <c r="E94" s="3">
        <f ca="1">COUNTIF('Competence Heatmap'!CN$4:CN$23,2)</f>
        <v>1</v>
      </c>
      <c r="F94" s="3">
        <f ca="1">COUNTIF('Competence Heatmap'!CN$4:CN$23,1)</f>
        <v>5</v>
      </c>
      <c r="G94" s="3">
        <f ca="1">COUNTIF('Competence Heatmap'!CN$4:CN$23,0)</f>
        <v>11</v>
      </c>
      <c r="H94" s="3">
        <f ca="1">COUNTIF('Competence Heatmap'!CN$4:CN$23,#N/A)</f>
        <v>0</v>
      </c>
    </row>
    <row r="95" spans="1:8" ht="86.25">
      <c r="A95" s="156" t="s">
        <v>373</v>
      </c>
      <c r="B95" s="18" t="s">
        <v>346</v>
      </c>
      <c r="C95" s="3">
        <f ca="1">COUNTIF('Competence Heatmap'!CO$4:CO$23,4)</f>
        <v>0</v>
      </c>
      <c r="D95" s="3">
        <f ca="1">COUNTIF('Competence Heatmap'!CO$4:CO$23,3)</f>
        <v>1</v>
      </c>
      <c r="E95" s="3">
        <f ca="1">COUNTIF('Competence Heatmap'!CO$4:CO$23,2)</f>
        <v>0</v>
      </c>
      <c r="F95" s="3">
        <f ca="1">COUNTIF('Competence Heatmap'!CO$4:CO$23,1)</f>
        <v>4</v>
      </c>
      <c r="G95" s="3">
        <f ca="1">COUNTIF('Competence Heatmap'!CO$4:CO$23,0)</f>
        <v>12</v>
      </c>
      <c r="H95" s="3">
        <f ca="1">COUNTIF('Competence Heatmap'!CO$4:CO$23,#N/A)</f>
        <v>0</v>
      </c>
    </row>
    <row r="96" spans="1:8" ht="86.25">
      <c r="A96" s="156" t="s">
        <v>373</v>
      </c>
      <c r="B96" s="18" t="s">
        <v>349</v>
      </c>
      <c r="C96" s="3">
        <f ca="1">COUNTIF('Competence Heatmap'!CP$4:CP$23,4)</f>
        <v>0</v>
      </c>
      <c r="D96" s="3">
        <f ca="1">COUNTIF('Competence Heatmap'!CP$4:CP$23,3)</f>
        <v>0</v>
      </c>
      <c r="E96" s="3">
        <f ca="1">COUNTIF('Competence Heatmap'!CP$4:CP$23,2)</f>
        <v>2</v>
      </c>
      <c r="F96" s="3">
        <f ca="1">COUNTIF('Competence Heatmap'!CP$4:CP$23,1)</f>
        <v>6</v>
      </c>
      <c r="G96" s="3">
        <f ca="1">COUNTIF('Competence Heatmap'!CP$4:CP$23,0)</f>
        <v>9</v>
      </c>
      <c r="H96" s="3">
        <f ca="1">COUNTIF('Competence Heatmap'!CP$4:CP$23,#N/A)</f>
        <v>0</v>
      </c>
    </row>
    <row r="97" spans="1:8" ht="66.75">
      <c r="A97" s="156" t="s">
        <v>373</v>
      </c>
      <c r="B97" s="18" t="s">
        <v>352</v>
      </c>
      <c r="C97" s="3">
        <f ca="1">COUNTIF('Competence Heatmap'!CQ$4:CQ$23,4)</f>
        <v>0</v>
      </c>
      <c r="D97" s="3">
        <f ca="1">COUNTIF('Competence Heatmap'!CQ$4:CQ$23,3)</f>
        <v>0</v>
      </c>
      <c r="E97" s="3">
        <f ca="1">COUNTIF('Competence Heatmap'!CQ$4:CQ$23,2)</f>
        <v>6</v>
      </c>
      <c r="F97" s="3">
        <f ca="1">COUNTIF('Competence Heatmap'!CQ$4:CQ$23,1)</f>
        <v>5</v>
      </c>
      <c r="G97" s="3">
        <f ca="1">COUNTIF('Competence Heatmap'!CQ$4:CQ$23,0)</f>
        <v>6</v>
      </c>
      <c r="H97" s="3">
        <f ca="1">COUNTIF('Competence Heatmap'!CQ$4:CQ$23,#N/A)</f>
        <v>0</v>
      </c>
    </row>
    <row r="98" spans="1:8" ht="66.75">
      <c r="A98" s="156" t="s">
        <v>373</v>
      </c>
      <c r="B98" s="18" t="s">
        <v>355</v>
      </c>
      <c r="C98" s="3">
        <f ca="1">COUNTIF('Competence Heatmap'!CR$4:CR$23,4)</f>
        <v>1</v>
      </c>
      <c r="D98" s="3">
        <f ca="1">COUNTIF('Competence Heatmap'!CR$4:CR$23,3)</f>
        <v>2</v>
      </c>
      <c r="E98" s="3">
        <f ca="1">COUNTIF('Competence Heatmap'!CR$4:CR$23,2)</f>
        <v>4</v>
      </c>
      <c r="F98" s="3">
        <f ca="1">COUNTIF('Competence Heatmap'!CR$4:CR$23,1)</f>
        <v>5</v>
      </c>
      <c r="G98" s="3">
        <f ca="1">COUNTIF('Competence Heatmap'!CR$4:CR$23,0)</f>
        <v>5</v>
      </c>
      <c r="H98" s="3">
        <f ca="1">COUNTIF('Competence Heatmap'!CR$4:CR$23,#N/A)</f>
        <v>0</v>
      </c>
    </row>
    <row r="99" spans="1:8" ht="51">
      <c r="A99" s="156" t="s">
        <v>373</v>
      </c>
      <c r="B99" s="18" t="s">
        <v>358</v>
      </c>
      <c r="C99" s="3">
        <f ca="1">COUNTIF('Competence Heatmap'!CS$4:CS$23,4)</f>
        <v>0</v>
      </c>
      <c r="D99" s="3">
        <f ca="1">COUNTIF('Competence Heatmap'!CS$4:CS$23,3)</f>
        <v>2</v>
      </c>
      <c r="E99" s="3">
        <f ca="1">COUNTIF('Competence Heatmap'!CS$4:CS$23,2)</f>
        <v>4</v>
      </c>
      <c r="F99" s="3">
        <f ca="1">COUNTIF('Competence Heatmap'!CS$4:CS$23,1)</f>
        <v>8</v>
      </c>
      <c r="G99" s="3">
        <f ca="1">COUNTIF('Competence Heatmap'!CS$4:CS$23,0)</f>
        <v>3</v>
      </c>
      <c r="H99" s="3">
        <f ca="1">COUNTIF('Competence Heatmap'!CS$4:CS$23,#N/A)</f>
        <v>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C0C2-6763-42B9-B9EA-5878B8B1B4B2}">
  <dimension ref="A3:I107"/>
  <sheetViews>
    <sheetView topLeftCell="I10" zoomScale="86" zoomScaleNormal="86" workbookViewId="0">
      <selection activeCell="K22" sqref="K22"/>
    </sheetView>
  </sheetViews>
  <sheetFormatPr defaultRowHeight="15"/>
  <cols>
    <col min="1" max="1" width="41.42578125" bestFit="1" customWidth="1"/>
    <col min="2" max="5" width="19.5703125" style="2" bestFit="1" customWidth="1"/>
    <col min="6" max="6" width="19.140625" style="2" bestFit="1" customWidth="1"/>
    <col min="7" max="8" width="20.42578125" style="2" bestFit="1" customWidth="1"/>
    <col min="9" max="9" width="20.42578125" bestFit="1" customWidth="1"/>
  </cols>
  <sheetData>
    <row r="3" spans="1:9">
      <c r="A3" s="150" t="s">
        <v>408</v>
      </c>
      <c r="B3" t="s">
        <v>416</v>
      </c>
      <c r="C3" s="2" t="s">
        <v>417</v>
      </c>
      <c r="D3" s="2" t="s">
        <v>418</v>
      </c>
      <c r="E3" s="2" t="s">
        <v>419</v>
      </c>
      <c r="F3" t="s">
        <v>420</v>
      </c>
      <c r="G3" s="2" t="s">
        <v>421</v>
      </c>
      <c r="H3" s="2" t="s">
        <v>422</v>
      </c>
      <c r="I3" s="2" t="s">
        <v>423</v>
      </c>
    </row>
    <row r="4" spans="1:9">
      <c r="A4" s="151" t="s">
        <v>376</v>
      </c>
      <c r="B4" s="2">
        <v>0</v>
      </c>
      <c r="C4" s="2">
        <v>1</v>
      </c>
      <c r="D4" s="2">
        <v>7</v>
      </c>
      <c r="E4" s="2">
        <v>61</v>
      </c>
      <c r="F4" s="2">
        <v>124</v>
      </c>
      <c r="G4" s="2">
        <v>68</v>
      </c>
      <c r="H4" s="2">
        <v>6</v>
      </c>
      <c r="I4" s="2">
        <v>0</v>
      </c>
    </row>
    <row r="5" spans="1:9">
      <c r="A5" s="152" t="s">
        <v>106</v>
      </c>
      <c r="B5" s="2">
        <v>0</v>
      </c>
      <c r="C5" s="2">
        <v>0</v>
      </c>
      <c r="D5" s="2">
        <v>3</v>
      </c>
      <c r="E5" s="2">
        <v>4</v>
      </c>
      <c r="F5" s="2">
        <v>11</v>
      </c>
      <c r="G5" s="2">
        <v>10</v>
      </c>
      <c r="H5" s="2">
        <v>2</v>
      </c>
      <c r="I5" s="2">
        <v>0</v>
      </c>
    </row>
    <row r="6" spans="1:9">
      <c r="A6" s="152" t="s">
        <v>109</v>
      </c>
      <c r="B6" s="2">
        <v>0</v>
      </c>
      <c r="C6" s="2">
        <v>0</v>
      </c>
      <c r="D6" s="2">
        <v>1</v>
      </c>
      <c r="E6" s="2">
        <v>6</v>
      </c>
      <c r="F6" s="2">
        <v>18</v>
      </c>
      <c r="G6" s="2">
        <v>5</v>
      </c>
      <c r="H6" s="2">
        <v>0</v>
      </c>
      <c r="I6" s="2">
        <v>0</v>
      </c>
    </row>
    <row r="7" spans="1:9">
      <c r="A7" s="152" t="s">
        <v>112</v>
      </c>
      <c r="B7" s="2">
        <v>0</v>
      </c>
      <c r="C7" s="2">
        <v>1</v>
      </c>
      <c r="D7" s="2">
        <v>1</v>
      </c>
      <c r="E7" s="2">
        <v>5</v>
      </c>
      <c r="F7" s="2">
        <v>17</v>
      </c>
      <c r="G7" s="2">
        <v>6</v>
      </c>
      <c r="H7" s="2">
        <v>0</v>
      </c>
      <c r="I7" s="2">
        <v>0</v>
      </c>
    </row>
    <row r="8" spans="1:9">
      <c r="A8" s="152" t="s">
        <v>115</v>
      </c>
      <c r="B8" s="2">
        <v>0</v>
      </c>
      <c r="C8" s="2">
        <v>0</v>
      </c>
      <c r="D8" s="2">
        <v>0</v>
      </c>
      <c r="E8" s="2">
        <v>4</v>
      </c>
      <c r="F8" s="2">
        <v>8</v>
      </c>
      <c r="G8" s="2">
        <v>14</v>
      </c>
      <c r="H8" s="2">
        <v>4</v>
      </c>
      <c r="I8" s="2">
        <v>0</v>
      </c>
    </row>
    <row r="9" spans="1:9">
      <c r="A9" s="152" t="s">
        <v>118</v>
      </c>
      <c r="B9" s="2">
        <v>0</v>
      </c>
      <c r="C9" s="2">
        <v>0</v>
      </c>
      <c r="D9" s="2">
        <v>0</v>
      </c>
      <c r="E9" s="2">
        <v>15</v>
      </c>
      <c r="F9" s="2">
        <v>13</v>
      </c>
      <c r="G9" s="2">
        <v>1</v>
      </c>
      <c r="H9" s="2">
        <v>0</v>
      </c>
      <c r="I9" s="2">
        <v>0</v>
      </c>
    </row>
    <row r="10" spans="1:9">
      <c r="A10" s="152" t="s">
        <v>121</v>
      </c>
      <c r="B10" s="2">
        <v>0</v>
      </c>
      <c r="C10" s="2">
        <v>0</v>
      </c>
      <c r="D10" s="2">
        <v>0</v>
      </c>
      <c r="E10" s="2">
        <v>7</v>
      </c>
      <c r="F10" s="2">
        <v>19</v>
      </c>
      <c r="G10" s="2">
        <v>4</v>
      </c>
      <c r="H10" s="2">
        <v>0</v>
      </c>
      <c r="I10" s="2">
        <v>0</v>
      </c>
    </row>
    <row r="11" spans="1:9">
      <c r="A11" s="152" t="s">
        <v>124</v>
      </c>
      <c r="B11" s="2">
        <v>0</v>
      </c>
      <c r="C11" s="2">
        <v>0</v>
      </c>
      <c r="D11" s="2">
        <v>0</v>
      </c>
      <c r="E11" s="2">
        <v>4</v>
      </c>
      <c r="F11" s="2">
        <v>17</v>
      </c>
      <c r="G11" s="2">
        <v>9</v>
      </c>
      <c r="H11" s="2">
        <v>0</v>
      </c>
      <c r="I11" s="2">
        <v>0</v>
      </c>
    </row>
    <row r="12" spans="1:9">
      <c r="A12" s="152" t="s">
        <v>127</v>
      </c>
      <c r="B12" s="2">
        <v>0</v>
      </c>
      <c r="C12" s="2">
        <v>0</v>
      </c>
      <c r="D12" s="2">
        <v>0</v>
      </c>
      <c r="E12" s="2">
        <v>6</v>
      </c>
      <c r="F12" s="2">
        <v>11</v>
      </c>
      <c r="G12" s="2">
        <v>12</v>
      </c>
      <c r="H12" s="2">
        <v>0</v>
      </c>
      <c r="I12" s="2">
        <v>0</v>
      </c>
    </row>
    <row r="13" spans="1:9">
      <c r="A13" s="152" t="s">
        <v>130</v>
      </c>
      <c r="B13" s="2">
        <v>0</v>
      </c>
      <c r="C13" s="2">
        <v>0</v>
      </c>
      <c r="D13" s="2">
        <v>2</v>
      </c>
      <c r="E13" s="2">
        <v>10</v>
      </c>
      <c r="F13" s="2">
        <v>10</v>
      </c>
      <c r="G13" s="2">
        <v>7</v>
      </c>
      <c r="H13" s="2">
        <v>0</v>
      </c>
      <c r="I13" s="2">
        <v>0</v>
      </c>
    </row>
    <row r="14" spans="1:9">
      <c r="A14" s="151" t="s">
        <v>49</v>
      </c>
      <c r="B14" s="2">
        <v>1</v>
      </c>
      <c r="C14" s="2">
        <v>8</v>
      </c>
      <c r="D14" s="2">
        <v>46</v>
      </c>
      <c r="E14" s="2">
        <v>56</v>
      </c>
      <c r="F14" s="2">
        <v>75</v>
      </c>
      <c r="G14" s="2">
        <v>32</v>
      </c>
      <c r="H14" s="2">
        <v>14</v>
      </c>
      <c r="I14" s="2">
        <v>4</v>
      </c>
    </row>
    <row r="15" spans="1:9">
      <c r="A15" s="152" t="s">
        <v>211</v>
      </c>
      <c r="B15" s="2">
        <v>0</v>
      </c>
      <c r="C15" s="2">
        <v>0</v>
      </c>
      <c r="D15" s="2">
        <v>8</v>
      </c>
      <c r="E15" s="2">
        <v>11</v>
      </c>
      <c r="F15" s="2">
        <v>8</v>
      </c>
      <c r="G15" s="2">
        <v>2</v>
      </c>
      <c r="H15" s="2">
        <v>1</v>
      </c>
      <c r="I15" s="2">
        <v>0</v>
      </c>
    </row>
    <row r="16" spans="1:9">
      <c r="A16" s="152" t="s">
        <v>214</v>
      </c>
      <c r="B16" s="2">
        <v>0</v>
      </c>
      <c r="C16" s="2">
        <v>1</v>
      </c>
      <c r="D16" s="2">
        <v>8</v>
      </c>
      <c r="E16" s="2">
        <v>4</v>
      </c>
      <c r="F16" s="2">
        <v>7</v>
      </c>
      <c r="G16" s="2">
        <v>7</v>
      </c>
      <c r="H16" s="2">
        <v>1</v>
      </c>
      <c r="I16" s="2">
        <v>1</v>
      </c>
    </row>
    <row r="17" spans="1:9">
      <c r="A17" s="152" t="s">
        <v>217</v>
      </c>
      <c r="B17" s="2">
        <v>0</v>
      </c>
      <c r="C17" s="2">
        <v>2</v>
      </c>
      <c r="D17" s="2">
        <v>3</v>
      </c>
      <c r="E17" s="2">
        <v>7</v>
      </c>
      <c r="F17" s="2">
        <v>10</v>
      </c>
      <c r="G17" s="2">
        <v>6</v>
      </c>
      <c r="H17" s="2">
        <v>0</v>
      </c>
      <c r="I17" s="2">
        <v>0</v>
      </c>
    </row>
    <row r="18" spans="1:9">
      <c r="A18" s="152" t="s">
        <v>49</v>
      </c>
      <c r="B18" s="2">
        <v>1</v>
      </c>
      <c r="C18" s="2">
        <v>2</v>
      </c>
      <c r="D18" s="2">
        <v>7</v>
      </c>
      <c r="E18" s="2">
        <v>7</v>
      </c>
      <c r="F18" s="2">
        <v>9</v>
      </c>
      <c r="G18" s="2">
        <v>4</v>
      </c>
      <c r="H18" s="2">
        <v>0</v>
      </c>
      <c r="I18" s="2">
        <v>0</v>
      </c>
    </row>
    <row r="19" spans="1:9">
      <c r="A19" s="152" t="s">
        <v>222</v>
      </c>
      <c r="B19" s="2">
        <v>0</v>
      </c>
      <c r="C19" s="2">
        <v>0</v>
      </c>
      <c r="D19" s="2">
        <v>8</v>
      </c>
      <c r="E19" s="2">
        <v>8</v>
      </c>
      <c r="F19" s="2">
        <v>7</v>
      </c>
      <c r="G19" s="2">
        <v>4</v>
      </c>
      <c r="H19" s="2">
        <v>2</v>
      </c>
      <c r="I19" s="2">
        <v>1</v>
      </c>
    </row>
    <row r="20" spans="1:9">
      <c r="A20" s="152" t="s">
        <v>225</v>
      </c>
      <c r="B20" s="2">
        <v>0</v>
      </c>
      <c r="C20" s="2">
        <v>1</v>
      </c>
      <c r="D20" s="2">
        <v>4</v>
      </c>
      <c r="E20" s="2">
        <v>6</v>
      </c>
      <c r="F20" s="2">
        <v>9</v>
      </c>
      <c r="G20" s="2">
        <v>3</v>
      </c>
      <c r="H20" s="2">
        <v>6</v>
      </c>
      <c r="I20" s="2">
        <v>1</v>
      </c>
    </row>
    <row r="21" spans="1:9">
      <c r="A21" s="152" t="s">
        <v>228</v>
      </c>
      <c r="B21" s="2">
        <v>0</v>
      </c>
      <c r="C21" s="2">
        <v>2</v>
      </c>
      <c r="D21" s="2">
        <v>8</v>
      </c>
      <c r="E21" s="2">
        <v>8</v>
      </c>
      <c r="F21" s="2">
        <v>8</v>
      </c>
      <c r="G21" s="2">
        <v>2</v>
      </c>
      <c r="H21" s="2">
        <v>1</v>
      </c>
      <c r="I21" s="2">
        <v>0</v>
      </c>
    </row>
    <row r="22" spans="1:9">
      <c r="A22" s="152" t="s">
        <v>231</v>
      </c>
      <c r="B22" s="2">
        <v>0</v>
      </c>
      <c r="C22" s="2">
        <v>0</v>
      </c>
      <c r="D22" s="2">
        <v>0</v>
      </c>
      <c r="E22" s="2">
        <v>5</v>
      </c>
      <c r="F22" s="2">
        <v>17</v>
      </c>
      <c r="G22" s="2">
        <v>4</v>
      </c>
      <c r="H22" s="2">
        <v>3</v>
      </c>
      <c r="I22" s="2">
        <v>1</v>
      </c>
    </row>
    <row r="23" spans="1:9">
      <c r="A23" s="151" t="s">
        <v>377</v>
      </c>
      <c r="B23" s="2">
        <v>1</v>
      </c>
      <c r="C23" s="2">
        <v>14</v>
      </c>
      <c r="D23" s="2">
        <v>17</v>
      </c>
      <c r="E23" s="2">
        <v>28</v>
      </c>
      <c r="F23" s="2">
        <v>45</v>
      </c>
      <c r="G23" s="2">
        <v>50</v>
      </c>
      <c r="H23" s="2">
        <v>19</v>
      </c>
      <c r="I23" s="2">
        <v>2</v>
      </c>
    </row>
    <row r="24" spans="1:9">
      <c r="A24" s="152" t="s">
        <v>167</v>
      </c>
      <c r="B24" s="2">
        <v>0</v>
      </c>
      <c r="C24" s="2">
        <v>2</v>
      </c>
      <c r="D24" s="2">
        <v>3</v>
      </c>
      <c r="E24" s="2">
        <v>2</v>
      </c>
      <c r="F24" s="2">
        <v>4</v>
      </c>
      <c r="G24" s="2">
        <v>11</v>
      </c>
      <c r="H24" s="2">
        <v>7</v>
      </c>
      <c r="I24" s="2">
        <v>1</v>
      </c>
    </row>
    <row r="25" spans="1:9">
      <c r="A25" s="152" t="s">
        <v>170</v>
      </c>
      <c r="B25" s="2">
        <v>0</v>
      </c>
      <c r="C25" s="2">
        <v>2</v>
      </c>
      <c r="D25" s="2">
        <v>5</v>
      </c>
      <c r="E25" s="2">
        <v>4</v>
      </c>
      <c r="F25" s="2">
        <v>6</v>
      </c>
      <c r="G25" s="2">
        <v>9</v>
      </c>
      <c r="H25" s="2">
        <v>3</v>
      </c>
      <c r="I25" s="2">
        <v>0</v>
      </c>
    </row>
    <row r="26" spans="1:9">
      <c r="A26" s="152" t="s">
        <v>173</v>
      </c>
      <c r="B26" s="2">
        <v>0</v>
      </c>
      <c r="C26" s="2">
        <v>2</v>
      </c>
      <c r="D26" s="2">
        <v>4</v>
      </c>
      <c r="E26" s="2">
        <v>11</v>
      </c>
      <c r="F26" s="2">
        <v>9</v>
      </c>
      <c r="G26" s="2">
        <v>3</v>
      </c>
      <c r="H26" s="2">
        <v>0</v>
      </c>
      <c r="I26" s="2">
        <v>0</v>
      </c>
    </row>
    <row r="27" spans="1:9">
      <c r="A27" s="152" t="s">
        <v>176</v>
      </c>
      <c r="B27" s="2">
        <v>0</v>
      </c>
      <c r="C27" s="2">
        <v>5</v>
      </c>
      <c r="D27" s="2">
        <v>2</v>
      </c>
      <c r="E27" s="2">
        <v>2</v>
      </c>
      <c r="F27" s="2">
        <v>6</v>
      </c>
      <c r="G27" s="2">
        <v>9</v>
      </c>
      <c r="H27" s="2">
        <v>5</v>
      </c>
      <c r="I27" s="2">
        <v>0</v>
      </c>
    </row>
    <row r="28" spans="1:9">
      <c r="A28" s="152" t="s">
        <v>179</v>
      </c>
      <c r="B28" s="2">
        <v>1</v>
      </c>
      <c r="C28" s="2">
        <v>2</v>
      </c>
      <c r="D28" s="2">
        <v>3</v>
      </c>
      <c r="E28" s="2">
        <v>8</v>
      </c>
      <c r="F28" s="2">
        <v>12</v>
      </c>
      <c r="G28" s="2">
        <v>2</v>
      </c>
      <c r="H28" s="2">
        <v>1</v>
      </c>
      <c r="I28" s="2">
        <v>0</v>
      </c>
    </row>
    <row r="29" spans="1:9">
      <c r="A29" s="152" t="s">
        <v>182</v>
      </c>
      <c r="B29" s="2">
        <v>0</v>
      </c>
      <c r="C29" s="2">
        <v>1</v>
      </c>
      <c r="D29" s="2">
        <v>0</v>
      </c>
      <c r="E29" s="2">
        <v>1</v>
      </c>
      <c r="F29" s="2">
        <v>8</v>
      </c>
      <c r="G29" s="2">
        <v>16</v>
      </c>
      <c r="H29" s="2">
        <v>3</v>
      </c>
      <c r="I29" s="2">
        <v>1</v>
      </c>
    </row>
    <row r="30" spans="1:9">
      <c r="A30" s="151" t="s">
        <v>374</v>
      </c>
      <c r="B30" s="2">
        <v>0</v>
      </c>
      <c r="C30" s="2">
        <v>1</v>
      </c>
      <c r="D30" s="2">
        <v>9</v>
      </c>
      <c r="E30" s="2">
        <v>43</v>
      </c>
      <c r="F30" s="2">
        <v>49</v>
      </c>
      <c r="G30" s="2">
        <v>27</v>
      </c>
      <c r="H30" s="2">
        <v>14</v>
      </c>
      <c r="I30" s="2">
        <v>4</v>
      </c>
    </row>
    <row r="31" spans="1:9">
      <c r="A31" s="152" t="s">
        <v>133</v>
      </c>
      <c r="B31" s="2">
        <v>0</v>
      </c>
      <c r="C31" s="2">
        <v>0</v>
      </c>
      <c r="D31" s="2">
        <v>1</v>
      </c>
      <c r="E31" s="2">
        <v>9</v>
      </c>
      <c r="F31" s="2">
        <v>12</v>
      </c>
      <c r="G31" s="2">
        <v>7</v>
      </c>
      <c r="H31" s="2">
        <v>1</v>
      </c>
      <c r="I31" s="2">
        <v>0</v>
      </c>
    </row>
    <row r="32" spans="1:9">
      <c r="A32" s="152" t="s">
        <v>136</v>
      </c>
      <c r="B32" s="2">
        <v>0</v>
      </c>
      <c r="C32" s="2">
        <v>0</v>
      </c>
      <c r="D32" s="2">
        <v>2</v>
      </c>
      <c r="E32" s="2">
        <v>4</v>
      </c>
      <c r="F32" s="2">
        <v>6</v>
      </c>
      <c r="G32" s="2">
        <v>5</v>
      </c>
      <c r="H32" s="2">
        <v>10</v>
      </c>
      <c r="I32" s="2">
        <v>1</v>
      </c>
    </row>
    <row r="33" spans="1:9">
      <c r="A33" s="152" t="s">
        <v>139</v>
      </c>
      <c r="B33" s="2">
        <v>0</v>
      </c>
      <c r="C33" s="2">
        <v>0</v>
      </c>
      <c r="D33" s="2">
        <v>0</v>
      </c>
      <c r="E33" s="2">
        <v>4</v>
      </c>
      <c r="F33" s="2">
        <v>15</v>
      </c>
      <c r="G33" s="2">
        <v>8</v>
      </c>
      <c r="H33" s="2">
        <v>2</v>
      </c>
      <c r="I33" s="2">
        <v>1</v>
      </c>
    </row>
    <row r="34" spans="1:9">
      <c r="A34" s="152" t="s">
        <v>142</v>
      </c>
      <c r="B34" s="2">
        <v>0</v>
      </c>
      <c r="C34" s="2">
        <v>0</v>
      </c>
      <c r="D34" s="2">
        <v>3</v>
      </c>
      <c r="E34" s="2">
        <v>12</v>
      </c>
      <c r="F34" s="2">
        <v>11</v>
      </c>
      <c r="G34" s="2">
        <v>2</v>
      </c>
      <c r="H34" s="2">
        <v>0</v>
      </c>
      <c r="I34" s="2">
        <v>1</v>
      </c>
    </row>
    <row r="35" spans="1:9">
      <c r="A35" s="152" t="s">
        <v>145</v>
      </c>
      <c r="B35" s="2">
        <v>0</v>
      </c>
      <c r="C35" s="2">
        <v>1</v>
      </c>
      <c r="D35" s="2">
        <v>3</v>
      </c>
      <c r="E35" s="2">
        <v>14</v>
      </c>
      <c r="F35" s="2">
        <v>5</v>
      </c>
      <c r="G35" s="2">
        <v>5</v>
      </c>
      <c r="H35" s="2">
        <v>1</v>
      </c>
      <c r="I35" s="2">
        <v>1</v>
      </c>
    </row>
    <row r="36" spans="1:9">
      <c r="A36" s="151" t="s">
        <v>375</v>
      </c>
      <c r="B36" s="2">
        <v>0</v>
      </c>
      <c r="C36" s="2">
        <v>9</v>
      </c>
      <c r="D36" s="2">
        <v>72</v>
      </c>
      <c r="E36" s="2">
        <v>175</v>
      </c>
      <c r="F36" s="2">
        <v>392</v>
      </c>
      <c r="G36" s="2">
        <v>333</v>
      </c>
      <c r="H36" s="2">
        <v>175</v>
      </c>
      <c r="I36" s="2">
        <v>72</v>
      </c>
    </row>
    <row r="37" spans="1:9">
      <c r="A37" s="152" t="s">
        <v>234</v>
      </c>
      <c r="B37" s="2">
        <v>0</v>
      </c>
      <c r="C37" s="2">
        <v>1</v>
      </c>
      <c r="D37" s="2">
        <v>2</v>
      </c>
      <c r="E37" s="2">
        <v>5</v>
      </c>
      <c r="F37" s="2">
        <v>13</v>
      </c>
      <c r="G37" s="2">
        <v>8</v>
      </c>
      <c r="H37" s="2">
        <v>1</v>
      </c>
      <c r="I37" s="2">
        <v>0</v>
      </c>
    </row>
    <row r="38" spans="1:9">
      <c r="A38" s="152" t="s">
        <v>237</v>
      </c>
      <c r="B38" s="2">
        <v>0</v>
      </c>
      <c r="C38" s="2">
        <v>0</v>
      </c>
      <c r="D38" s="2">
        <v>0</v>
      </c>
      <c r="E38" s="2">
        <v>2</v>
      </c>
      <c r="F38" s="2">
        <v>12</v>
      </c>
      <c r="G38" s="2">
        <v>6</v>
      </c>
      <c r="H38" s="2">
        <v>9</v>
      </c>
      <c r="I38" s="2">
        <v>1</v>
      </c>
    </row>
    <row r="39" spans="1:9">
      <c r="A39" s="152" t="s">
        <v>330</v>
      </c>
      <c r="B39" s="2">
        <v>0</v>
      </c>
      <c r="C39" s="2">
        <v>0</v>
      </c>
      <c r="D39" s="2">
        <v>0</v>
      </c>
      <c r="E39" s="2">
        <v>0</v>
      </c>
      <c r="F39" s="2">
        <v>2</v>
      </c>
      <c r="G39" s="2">
        <v>10</v>
      </c>
      <c r="H39" s="2">
        <v>11</v>
      </c>
      <c r="I39" s="2">
        <v>2</v>
      </c>
    </row>
    <row r="40" spans="1:9">
      <c r="A40" s="152" t="s">
        <v>332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15</v>
      </c>
      <c r="H40" s="2">
        <v>2</v>
      </c>
      <c r="I40" s="2">
        <v>1</v>
      </c>
    </row>
    <row r="41" spans="1:9">
      <c r="A41" s="152" t="s">
        <v>240</v>
      </c>
      <c r="B41" s="2">
        <v>0</v>
      </c>
      <c r="C41" s="2">
        <v>0</v>
      </c>
      <c r="D41" s="2">
        <v>2</v>
      </c>
      <c r="E41" s="2">
        <v>1</v>
      </c>
      <c r="F41" s="2">
        <v>9</v>
      </c>
      <c r="G41" s="2">
        <v>10</v>
      </c>
      <c r="H41" s="2">
        <v>4</v>
      </c>
      <c r="I41" s="2">
        <v>3</v>
      </c>
    </row>
    <row r="42" spans="1:9">
      <c r="A42" s="152" t="s">
        <v>243</v>
      </c>
      <c r="B42" s="2">
        <v>0</v>
      </c>
      <c r="C42" s="2">
        <v>0</v>
      </c>
      <c r="D42" s="2">
        <v>1</v>
      </c>
      <c r="E42" s="2">
        <v>0</v>
      </c>
      <c r="F42" s="2">
        <v>5</v>
      </c>
      <c r="G42" s="2">
        <v>11</v>
      </c>
      <c r="H42" s="2">
        <v>6</v>
      </c>
      <c r="I42" s="2">
        <v>6</v>
      </c>
    </row>
    <row r="43" spans="1:9">
      <c r="A43" s="152" t="s">
        <v>246</v>
      </c>
      <c r="B43" s="2">
        <v>0</v>
      </c>
      <c r="C43" s="2">
        <v>0</v>
      </c>
      <c r="D43" s="2">
        <v>0</v>
      </c>
      <c r="E43" s="2">
        <v>1</v>
      </c>
      <c r="F43" s="2">
        <v>8</v>
      </c>
      <c r="G43" s="2">
        <v>11</v>
      </c>
      <c r="H43" s="2">
        <v>6</v>
      </c>
      <c r="I43" s="2">
        <v>3</v>
      </c>
    </row>
    <row r="44" spans="1:9">
      <c r="A44" s="152" t="s">
        <v>249</v>
      </c>
      <c r="B44" s="2">
        <v>0</v>
      </c>
      <c r="C44" s="2">
        <v>0</v>
      </c>
      <c r="D44" s="2">
        <v>0</v>
      </c>
      <c r="E44" s="2">
        <v>1</v>
      </c>
      <c r="F44" s="2">
        <v>13</v>
      </c>
      <c r="G44" s="2">
        <v>9</v>
      </c>
      <c r="H44" s="2">
        <v>6</v>
      </c>
      <c r="I44" s="2">
        <v>0</v>
      </c>
    </row>
    <row r="45" spans="1:9">
      <c r="A45" s="152" t="s">
        <v>252</v>
      </c>
      <c r="B45" s="2">
        <v>0</v>
      </c>
      <c r="C45" s="2">
        <v>0</v>
      </c>
      <c r="D45" s="2">
        <v>0</v>
      </c>
      <c r="E45" s="2">
        <v>1</v>
      </c>
      <c r="F45" s="2">
        <v>5</v>
      </c>
      <c r="G45" s="2">
        <v>14</v>
      </c>
      <c r="H45" s="2">
        <v>6</v>
      </c>
      <c r="I45" s="2">
        <v>3</v>
      </c>
    </row>
    <row r="46" spans="1:9">
      <c r="A46" s="152" t="s">
        <v>255</v>
      </c>
      <c r="B46" s="2">
        <v>0</v>
      </c>
      <c r="C46" s="2">
        <v>0</v>
      </c>
      <c r="D46" s="2">
        <v>2</v>
      </c>
      <c r="E46" s="2">
        <v>3</v>
      </c>
      <c r="F46" s="2">
        <v>10</v>
      </c>
      <c r="G46" s="2">
        <v>10</v>
      </c>
      <c r="H46" s="2">
        <v>3</v>
      </c>
      <c r="I46" s="2">
        <v>2</v>
      </c>
    </row>
    <row r="47" spans="1:9">
      <c r="A47" s="152" t="s">
        <v>258</v>
      </c>
      <c r="B47" s="2">
        <v>0</v>
      </c>
      <c r="C47" s="2">
        <v>0</v>
      </c>
      <c r="D47" s="2">
        <v>1</v>
      </c>
      <c r="E47" s="2">
        <v>1</v>
      </c>
      <c r="F47" s="2">
        <v>6</v>
      </c>
      <c r="G47" s="2">
        <v>11</v>
      </c>
      <c r="H47" s="2">
        <v>5</v>
      </c>
      <c r="I47" s="2">
        <v>6</v>
      </c>
    </row>
    <row r="48" spans="1:9">
      <c r="A48" s="152" t="s">
        <v>326</v>
      </c>
      <c r="B48" s="2">
        <v>0</v>
      </c>
      <c r="C48" s="2">
        <v>0</v>
      </c>
      <c r="D48" s="2">
        <v>0</v>
      </c>
      <c r="E48" s="2">
        <v>3</v>
      </c>
      <c r="F48" s="2">
        <v>6</v>
      </c>
      <c r="G48" s="2">
        <v>11</v>
      </c>
      <c r="H48" s="2">
        <v>6</v>
      </c>
      <c r="I48" s="2">
        <v>4</v>
      </c>
    </row>
    <row r="49" spans="1:9">
      <c r="A49" s="152" t="s">
        <v>261</v>
      </c>
      <c r="B49" s="2">
        <v>0</v>
      </c>
      <c r="C49" s="2">
        <v>0</v>
      </c>
      <c r="D49" s="2">
        <v>5</v>
      </c>
      <c r="E49" s="2">
        <v>2</v>
      </c>
      <c r="F49" s="2">
        <v>9</v>
      </c>
      <c r="G49" s="2">
        <v>8</v>
      </c>
      <c r="H49" s="2">
        <v>2</v>
      </c>
      <c r="I49" s="2">
        <v>3</v>
      </c>
    </row>
    <row r="50" spans="1:9">
      <c r="A50" s="152" t="s">
        <v>264</v>
      </c>
      <c r="B50" s="2">
        <v>0</v>
      </c>
      <c r="C50" s="2">
        <v>1</v>
      </c>
      <c r="D50" s="2">
        <v>0</v>
      </c>
      <c r="E50" s="2">
        <v>6</v>
      </c>
      <c r="F50" s="2">
        <v>14</v>
      </c>
      <c r="G50" s="2">
        <v>5</v>
      </c>
      <c r="H50" s="2">
        <v>4</v>
      </c>
      <c r="I50" s="2">
        <v>0</v>
      </c>
    </row>
    <row r="51" spans="1:9">
      <c r="A51" s="152" t="s">
        <v>267</v>
      </c>
      <c r="B51" s="2">
        <v>0</v>
      </c>
      <c r="C51" s="2">
        <v>0</v>
      </c>
      <c r="D51" s="2">
        <v>5</v>
      </c>
      <c r="E51" s="2">
        <v>12</v>
      </c>
      <c r="F51" s="2">
        <v>8</v>
      </c>
      <c r="G51" s="2">
        <v>3</v>
      </c>
      <c r="H51" s="2">
        <v>2</v>
      </c>
      <c r="I51" s="2">
        <v>0</v>
      </c>
    </row>
    <row r="52" spans="1:9">
      <c r="A52" s="152" t="s">
        <v>270</v>
      </c>
      <c r="B52" s="2">
        <v>0</v>
      </c>
      <c r="C52" s="2">
        <v>0</v>
      </c>
      <c r="D52" s="2">
        <v>5</v>
      </c>
      <c r="E52" s="2">
        <v>6</v>
      </c>
      <c r="F52" s="2">
        <v>15</v>
      </c>
      <c r="G52" s="2">
        <v>1</v>
      </c>
      <c r="H52" s="2">
        <v>2</v>
      </c>
      <c r="I52" s="2">
        <v>1</v>
      </c>
    </row>
    <row r="53" spans="1:9">
      <c r="A53" s="152" t="s">
        <v>50</v>
      </c>
      <c r="B53" s="2">
        <v>0</v>
      </c>
      <c r="C53" s="2">
        <v>0</v>
      </c>
      <c r="D53" s="2">
        <v>2</v>
      </c>
      <c r="E53" s="2">
        <v>5</v>
      </c>
      <c r="F53" s="2">
        <v>14</v>
      </c>
      <c r="G53" s="2">
        <v>6</v>
      </c>
      <c r="H53" s="2">
        <v>3</v>
      </c>
      <c r="I53" s="2">
        <v>0</v>
      </c>
    </row>
    <row r="54" spans="1:9">
      <c r="A54" s="152" t="s">
        <v>320</v>
      </c>
      <c r="B54" s="2">
        <v>0</v>
      </c>
      <c r="C54" s="2">
        <v>0</v>
      </c>
      <c r="D54" s="2">
        <v>4</v>
      </c>
      <c r="E54" s="2">
        <v>3</v>
      </c>
      <c r="F54" s="2">
        <v>13</v>
      </c>
      <c r="G54" s="2">
        <v>3</v>
      </c>
      <c r="H54" s="2">
        <v>4</v>
      </c>
      <c r="I54" s="2">
        <v>3</v>
      </c>
    </row>
    <row r="55" spans="1:9">
      <c r="A55" s="152" t="s">
        <v>148</v>
      </c>
      <c r="B55" s="2">
        <v>0</v>
      </c>
      <c r="C55" s="2">
        <v>0</v>
      </c>
      <c r="D55" s="2">
        <v>0</v>
      </c>
      <c r="E55" s="2">
        <v>5</v>
      </c>
      <c r="F55" s="2">
        <v>18</v>
      </c>
      <c r="G55" s="2">
        <v>5</v>
      </c>
      <c r="H55" s="2">
        <v>1</v>
      </c>
      <c r="I55" s="2">
        <v>0</v>
      </c>
    </row>
    <row r="56" spans="1:9">
      <c r="A56" s="152" t="s">
        <v>151</v>
      </c>
      <c r="B56" s="2">
        <v>0</v>
      </c>
      <c r="C56" s="2">
        <v>0</v>
      </c>
      <c r="D56" s="2">
        <v>1</v>
      </c>
      <c r="E56" s="2">
        <v>11</v>
      </c>
      <c r="F56" s="2">
        <v>10</v>
      </c>
      <c r="G56" s="2">
        <v>5</v>
      </c>
      <c r="H56" s="2">
        <v>2</v>
      </c>
      <c r="I56" s="2">
        <v>1</v>
      </c>
    </row>
    <row r="57" spans="1:9">
      <c r="A57" s="152" t="s">
        <v>278</v>
      </c>
      <c r="B57" s="2">
        <v>0</v>
      </c>
      <c r="C57" s="2">
        <v>0</v>
      </c>
      <c r="D57" s="2">
        <v>1</v>
      </c>
      <c r="E57" s="2">
        <v>6</v>
      </c>
      <c r="F57" s="2">
        <v>9</v>
      </c>
      <c r="G57" s="2">
        <v>6</v>
      </c>
      <c r="H57" s="2">
        <v>6</v>
      </c>
      <c r="I57" s="2">
        <v>2</v>
      </c>
    </row>
    <row r="58" spans="1:9">
      <c r="A58" s="152" t="s">
        <v>275</v>
      </c>
      <c r="B58" s="2">
        <v>0</v>
      </c>
      <c r="C58" s="2">
        <v>0</v>
      </c>
      <c r="D58" s="2">
        <v>4</v>
      </c>
      <c r="E58" s="2">
        <v>7</v>
      </c>
      <c r="F58" s="2">
        <v>8</v>
      </c>
      <c r="G58" s="2">
        <v>3</v>
      </c>
      <c r="H58" s="2">
        <v>5</v>
      </c>
      <c r="I58" s="2">
        <v>2</v>
      </c>
    </row>
    <row r="59" spans="1:9">
      <c r="A59" s="152" t="s">
        <v>281</v>
      </c>
      <c r="B59" s="2">
        <v>0</v>
      </c>
      <c r="C59" s="2">
        <v>0</v>
      </c>
      <c r="D59" s="2">
        <v>1</v>
      </c>
      <c r="E59" s="2">
        <v>7</v>
      </c>
      <c r="F59" s="2">
        <v>13</v>
      </c>
      <c r="G59" s="2">
        <v>7</v>
      </c>
      <c r="H59" s="2">
        <v>2</v>
      </c>
      <c r="I59" s="2">
        <v>0</v>
      </c>
    </row>
    <row r="60" spans="1:9">
      <c r="A60" s="152" t="s">
        <v>284</v>
      </c>
      <c r="B60" s="2">
        <v>0</v>
      </c>
      <c r="C60" s="2">
        <v>0</v>
      </c>
      <c r="D60" s="2">
        <v>1</v>
      </c>
      <c r="E60" s="2">
        <v>4</v>
      </c>
      <c r="F60" s="2">
        <v>6</v>
      </c>
      <c r="G60" s="2">
        <v>12</v>
      </c>
      <c r="H60" s="2">
        <v>4</v>
      </c>
      <c r="I60" s="2">
        <v>3</v>
      </c>
    </row>
    <row r="61" spans="1:9">
      <c r="A61" s="152" t="s">
        <v>287</v>
      </c>
      <c r="B61" s="2">
        <v>0</v>
      </c>
      <c r="C61" s="2">
        <v>1</v>
      </c>
      <c r="D61" s="2">
        <v>0</v>
      </c>
      <c r="E61" s="2">
        <v>1</v>
      </c>
      <c r="F61" s="2">
        <v>15</v>
      </c>
      <c r="G61" s="2">
        <v>10</v>
      </c>
      <c r="H61" s="2">
        <v>3</v>
      </c>
      <c r="I61" s="2">
        <v>0</v>
      </c>
    </row>
    <row r="62" spans="1:9">
      <c r="A62" s="152" t="s">
        <v>154</v>
      </c>
      <c r="B62" s="2">
        <v>0</v>
      </c>
      <c r="C62" s="2">
        <v>1</v>
      </c>
      <c r="D62" s="2">
        <v>1</v>
      </c>
      <c r="E62" s="2">
        <v>8</v>
      </c>
      <c r="F62" s="2">
        <v>9</v>
      </c>
      <c r="G62" s="2">
        <v>6</v>
      </c>
      <c r="H62" s="2">
        <v>4</v>
      </c>
      <c r="I62" s="2">
        <v>1</v>
      </c>
    </row>
    <row r="63" spans="1:9">
      <c r="A63" s="152" t="s">
        <v>290</v>
      </c>
      <c r="B63" s="2">
        <v>0</v>
      </c>
      <c r="C63" s="2">
        <v>0</v>
      </c>
      <c r="D63" s="2">
        <v>2</v>
      </c>
      <c r="E63" s="2">
        <v>4</v>
      </c>
      <c r="F63" s="2">
        <v>6</v>
      </c>
      <c r="G63" s="2">
        <v>10</v>
      </c>
      <c r="H63" s="2">
        <v>4</v>
      </c>
      <c r="I63" s="2">
        <v>4</v>
      </c>
    </row>
    <row r="64" spans="1:9">
      <c r="A64" s="152" t="s">
        <v>51</v>
      </c>
      <c r="B64" s="2">
        <v>0</v>
      </c>
      <c r="C64" s="2">
        <v>0</v>
      </c>
      <c r="D64" s="2">
        <v>0</v>
      </c>
      <c r="E64" s="2">
        <v>8</v>
      </c>
      <c r="F64" s="2">
        <v>11</v>
      </c>
      <c r="G64" s="2">
        <v>7</v>
      </c>
      <c r="H64" s="2">
        <v>3</v>
      </c>
      <c r="I64" s="2">
        <v>1</v>
      </c>
    </row>
    <row r="65" spans="1:9">
      <c r="A65" s="152" t="s">
        <v>158</v>
      </c>
      <c r="B65" s="2">
        <v>0</v>
      </c>
      <c r="C65" s="2">
        <v>2</v>
      </c>
      <c r="D65" s="2">
        <v>3</v>
      </c>
      <c r="E65" s="2">
        <v>9</v>
      </c>
      <c r="F65" s="2">
        <v>7</v>
      </c>
      <c r="G65" s="2">
        <v>4</v>
      </c>
      <c r="H65" s="2">
        <v>4</v>
      </c>
      <c r="I65" s="2">
        <v>0</v>
      </c>
    </row>
    <row r="66" spans="1:9">
      <c r="A66" s="152" t="s">
        <v>293</v>
      </c>
      <c r="B66" s="2">
        <v>0</v>
      </c>
      <c r="C66" s="2">
        <v>0</v>
      </c>
      <c r="D66" s="2">
        <v>0</v>
      </c>
      <c r="E66" s="2">
        <v>4</v>
      </c>
      <c r="F66" s="2">
        <v>4</v>
      </c>
      <c r="G66" s="2">
        <v>7</v>
      </c>
      <c r="H66" s="2">
        <v>10</v>
      </c>
      <c r="I66" s="2">
        <v>5</v>
      </c>
    </row>
    <row r="67" spans="1:9">
      <c r="A67" s="152" t="s">
        <v>296</v>
      </c>
      <c r="B67" s="2">
        <v>0</v>
      </c>
      <c r="C67" s="2">
        <v>0</v>
      </c>
      <c r="D67" s="2">
        <v>0</v>
      </c>
      <c r="E67" s="2">
        <v>3</v>
      </c>
      <c r="F67" s="2">
        <v>7</v>
      </c>
      <c r="G67" s="2">
        <v>15</v>
      </c>
      <c r="H67" s="2">
        <v>2</v>
      </c>
      <c r="I67" s="2">
        <v>2</v>
      </c>
    </row>
    <row r="68" spans="1:9">
      <c r="A68" s="152" t="s">
        <v>299</v>
      </c>
      <c r="B68" s="2">
        <v>0</v>
      </c>
      <c r="C68" s="2">
        <v>0</v>
      </c>
      <c r="D68" s="2">
        <v>5</v>
      </c>
      <c r="E68" s="2">
        <v>5</v>
      </c>
      <c r="F68" s="2">
        <v>12</v>
      </c>
      <c r="G68" s="2">
        <v>7</v>
      </c>
      <c r="H68" s="2">
        <v>0</v>
      </c>
      <c r="I68" s="2">
        <v>0</v>
      </c>
    </row>
    <row r="69" spans="1:9">
      <c r="A69" s="152" t="s">
        <v>323</v>
      </c>
      <c r="B69" s="2">
        <v>0</v>
      </c>
      <c r="C69" s="2">
        <v>1</v>
      </c>
      <c r="D69" s="2">
        <v>2</v>
      </c>
      <c r="E69" s="2">
        <v>4</v>
      </c>
      <c r="F69" s="2">
        <v>7</v>
      </c>
      <c r="G69" s="2">
        <v>8</v>
      </c>
      <c r="H69" s="2">
        <v>3</v>
      </c>
      <c r="I69" s="2">
        <v>3</v>
      </c>
    </row>
    <row r="70" spans="1:9">
      <c r="A70" s="152" t="s">
        <v>161</v>
      </c>
      <c r="B70" s="2">
        <v>0</v>
      </c>
      <c r="C70" s="2">
        <v>1</v>
      </c>
      <c r="D70" s="2">
        <v>6</v>
      </c>
      <c r="E70" s="2">
        <v>3</v>
      </c>
      <c r="F70" s="2">
        <v>17</v>
      </c>
      <c r="G70" s="2">
        <v>2</v>
      </c>
      <c r="H70" s="2">
        <v>0</v>
      </c>
      <c r="I70" s="2">
        <v>0</v>
      </c>
    </row>
    <row r="71" spans="1:9">
      <c r="A71" s="152" t="s">
        <v>164</v>
      </c>
      <c r="B71" s="2">
        <v>0</v>
      </c>
      <c r="C71" s="2">
        <v>0</v>
      </c>
      <c r="D71" s="2">
        <v>2</v>
      </c>
      <c r="E71" s="2">
        <v>6</v>
      </c>
      <c r="F71" s="2">
        <v>10</v>
      </c>
      <c r="G71" s="2">
        <v>7</v>
      </c>
      <c r="H71" s="2">
        <v>4</v>
      </c>
      <c r="I71" s="2">
        <v>0</v>
      </c>
    </row>
    <row r="72" spans="1:9">
      <c r="A72" s="152" t="s">
        <v>302</v>
      </c>
      <c r="B72" s="2">
        <v>0</v>
      </c>
      <c r="C72" s="2">
        <v>0</v>
      </c>
      <c r="D72" s="2">
        <v>3</v>
      </c>
      <c r="E72" s="2">
        <v>3</v>
      </c>
      <c r="F72" s="2">
        <v>3</v>
      </c>
      <c r="G72" s="2">
        <v>6</v>
      </c>
      <c r="H72" s="2">
        <v>7</v>
      </c>
      <c r="I72" s="2">
        <v>4</v>
      </c>
    </row>
    <row r="73" spans="1:9">
      <c r="A73" s="152" t="s">
        <v>305</v>
      </c>
      <c r="B73" s="2">
        <v>0</v>
      </c>
      <c r="C73" s="2">
        <v>1</v>
      </c>
      <c r="D73" s="2">
        <v>3</v>
      </c>
      <c r="E73" s="2">
        <v>1</v>
      </c>
      <c r="F73" s="2">
        <v>6</v>
      </c>
      <c r="G73" s="2">
        <v>11</v>
      </c>
      <c r="H73" s="2">
        <v>6</v>
      </c>
      <c r="I73" s="2">
        <v>2</v>
      </c>
    </row>
    <row r="74" spans="1:9">
      <c r="A74" s="152" t="s">
        <v>308</v>
      </c>
      <c r="B74" s="2">
        <v>0</v>
      </c>
      <c r="C74" s="2">
        <v>0</v>
      </c>
      <c r="D74" s="2">
        <v>1</v>
      </c>
      <c r="E74" s="2">
        <v>4</v>
      </c>
      <c r="F74" s="2">
        <v>4</v>
      </c>
      <c r="G74" s="2">
        <v>10</v>
      </c>
      <c r="H74" s="2">
        <v>5</v>
      </c>
      <c r="I74" s="2">
        <v>4</v>
      </c>
    </row>
    <row r="75" spans="1:9">
      <c r="A75" s="152" t="s">
        <v>311</v>
      </c>
      <c r="B75" s="2">
        <v>0</v>
      </c>
      <c r="C75" s="2">
        <v>0</v>
      </c>
      <c r="D75" s="2">
        <v>1</v>
      </c>
      <c r="E75" s="2">
        <v>2</v>
      </c>
      <c r="F75" s="2">
        <v>11</v>
      </c>
      <c r="G75" s="2">
        <v>9</v>
      </c>
      <c r="H75" s="2">
        <v>6</v>
      </c>
      <c r="I75" s="2">
        <v>0</v>
      </c>
    </row>
    <row r="76" spans="1:9">
      <c r="A76" s="152" t="s">
        <v>314</v>
      </c>
      <c r="B76" s="2">
        <v>0</v>
      </c>
      <c r="C76" s="2">
        <v>0</v>
      </c>
      <c r="D76" s="2">
        <v>1</v>
      </c>
      <c r="E76" s="2">
        <v>4</v>
      </c>
      <c r="F76" s="2">
        <v>7</v>
      </c>
      <c r="G76" s="2">
        <v>11</v>
      </c>
      <c r="H76" s="2">
        <v>7</v>
      </c>
      <c r="I76" s="2">
        <v>0</v>
      </c>
    </row>
    <row r="77" spans="1:9">
      <c r="A77" s="152" t="s">
        <v>328</v>
      </c>
      <c r="B77" s="2">
        <v>0</v>
      </c>
      <c r="C77" s="2">
        <v>0</v>
      </c>
      <c r="D77" s="2">
        <v>3</v>
      </c>
      <c r="E77" s="2">
        <v>9</v>
      </c>
      <c r="F77" s="2">
        <v>13</v>
      </c>
      <c r="G77" s="2">
        <v>2</v>
      </c>
      <c r="H77" s="2">
        <v>3</v>
      </c>
      <c r="I77" s="2">
        <v>0</v>
      </c>
    </row>
    <row r="78" spans="1:9">
      <c r="A78" s="152" t="s">
        <v>317</v>
      </c>
      <c r="B78" s="2">
        <v>0</v>
      </c>
      <c r="C78" s="2">
        <v>0</v>
      </c>
      <c r="D78" s="2">
        <v>2</v>
      </c>
      <c r="E78" s="2">
        <v>5</v>
      </c>
      <c r="F78" s="2">
        <v>10</v>
      </c>
      <c r="G78" s="2">
        <v>11</v>
      </c>
      <c r="H78" s="2">
        <v>2</v>
      </c>
      <c r="I78" s="2">
        <v>0</v>
      </c>
    </row>
    <row r="79" spans="1:9">
      <c r="A79" s="151" t="s">
        <v>415</v>
      </c>
      <c r="B79" s="2">
        <v>2</v>
      </c>
      <c r="C79" s="2">
        <v>33</v>
      </c>
      <c r="D79" s="2">
        <v>151</v>
      </c>
      <c r="E79" s="2">
        <v>363</v>
      </c>
      <c r="F79" s="2">
        <v>685</v>
      </c>
      <c r="G79" s="2">
        <v>510</v>
      </c>
      <c r="H79" s="2">
        <v>228</v>
      </c>
      <c r="I79" s="2">
        <v>82</v>
      </c>
    </row>
    <row r="80" spans="1:9">
      <c r="B80"/>
      <c r="C80"/>
      <c r="D80"/>
      <c r="E80"/>
      <c r="F80"/>
      <c r="G80"/>
      <c r="H8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091E-DD35-460A-9273-7086B5FDD14C}">
  <dimension ref="B2:AG14"/>
  <sheetViews>
    <sheetView topLeftCell="A3" workbookViewId="0">
      <selection activeCell="B2" sqref="B2"/>
    </sheetView>
  </sheetViews>
  <sheetFormatPr defaultRowHeight="15"/>
  <cols>
    <col min="1" max="1" width="4.28515625" customWidth="1"/>
    <col min="2" max="2" width="14.7109375" bestFit="1" customWidth="1"/>
    <col min="3" max="3" width="27.5703125" bestFit="1" customWidth="1"/>
    <col min="4" max="32" width="8.28515625" bestFit="1" customWidth="1"/>
    <col min="33" max="33" width="3.85546875" bestFit="1" customWidth="1"/>
    <col min="34" max="34" width="4.85546875" bestFit="1" customWidth="1"/>
  </cols>
  <sheetData>
    <row r="2" spans="2:33" ht="25.5" customHeight="1">
      <c r="B2" s="173" t="s">
        <v>424</v>
      </c>
      <c r="C2" s="170"/>
      <c r="D2" s="173" t="s">
        <v>364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2:33" ht="97.5" customHeight="1">
      <c r="B3" s="171" t="s">
        <v>368</v>
      </c>
      <c r="C3" s="171" t="s">
        <v>366</v>
      </c>
      <c r="D3" s="172" t="s">
        <v>425</v>
      </c>
      <c r="E3" s="172" t="s">
        <v>426</v>
      </c>
      <c r="F3" s="172" t="s">
        <v>427</v>
      </c>
      <c r="G3" s="172" t="s">
        <v>428</v>
      </c>
      <c r="H3" s="172" t="s">
        <v>429</v>
      </c>
      <c r="I3" s="172" t="s">
        <v>430</v>
      </c>
      <c r="J3" s="172" t="s">
        <v>431</v>
      </c>
      <c r="K3" s="172" t="s">
        <v>432</v>
      </c>
      <c r="L3" s="172" t="s">
        <v>433</v>
      </c>
      <c r="M3" s="172" t="s">
        <v>434</v>
      </c>
      <c r="N3" s="172" t="s">
        <v>435</v>
      </c>
      <c r="O3" s="172" t="s">
        <v>436</v>
      </c>
      <c r="P3" s="172" t="s">
        <v>437</v>
      </c>
      <c r="Q3" s="172" t="s">
        <v>438</v>
      </c>
      <c r="R3" s="172" t="s">
        <v>439</v>
      </c>
      <c r="S3" s="172" t="s">
        <v>440</v>
      </c>
      <c r="T3" s="172" t="s">
        <v>441</v>
      </c>
      <c r="U3" s="172" t="s">
        <v>442</v>
      </c>
      <c r="V3" s="172" t="s">
        <v>443</v>
      </c>
      <c r="W3" s="172" t="s">
        <v>444</v>
      </c>
      <c r="X3" s="172" t="s">
        <v>445</v>
      </c>
      <c r="Y3" s="172" t="s">
        <v>446</v>
      </c>
      <c r="Z3" s="172" t="s">
        <v>447</v>
      </c>
      <c r="AA3" s="172" t="s">
        <v>448</v>
      </c>
      <c r="AB3" s="172" t="s">
        <v>449</v>
      </c>
      <c r="AC3" s="172" t="s">
        <v>450</v>
      </c>
      <c r="AD3" s="172" t="s">
        <v>451</v>
      </c>
      <c r="AE3" s="172" t="s">
        <v>452</v>
      </c>
      <c r="AF3" s="172" t="s">
        <v>453</v>
      </c>
      <c r="AG3" s="172" t="s">
        <v>415</v>
      </c>
    </row>
    <row r="4" spans="2:33">
      <c r="B4" s="161" t="s">
        <v>376</v>
      </c>
      <c r="C4" s="16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2:33">
      <c r="B5" s="161"/>
      <c r="C5" s="161" t="s">
        <v>115</v>
      </c>
      <c r="D5" s="12">
        <v>3</v>
      </c>
      <c r="E5" s="12">
        <v>3</v>
      </c>
      <c r="F5" s="12">
        <v>3</v>
      </c>
      <c r="G5" s="12">
        <v>2</v>
      </c>
      <c r="H5" s="12">
        <v>4</v>
      </c>
      <c r="I5" s="12">
        <v>3</v>
      </c>
      <c r="J5" s="12">
        <v>3</v>
      </c>
      <c r="K5" s="12">
        <v>4</v>
      </c>
      <c r="L5" s="12">
        <v>1</v>
      </c>
      <c r="M5" s="12">
        <v>4</v>
      </c>
      <c r="N5" s="12">
        <v>2</v>
      </c>
      <c r="O5" s="12">
        <v>4</v>
      </c>
      <c r="P5" s="12">
        <v>3</v>
      </c>
      <c r="Q5" s="12">
        <v>4</v>
      </c>
      <c r="R5" s="12">
        <v>4</v>
      </c>
      <c r="S5" s="12">
        <v>2</v>
      </c>
      <c r="T5" s="12">
        <v>3</v>
      </c>
      <c r="U5" s="12">
        <v>3</v>
      </c>
      <c r="V5" s="12">
        <v>3</v>
      </c>
      <c r="W5" s="12">
        <v>3</v>
      </c>
      <c r="X5" s="12">
        <v>3</v>
      </c>
      <c r="Y5" s="12">
        <v>3</v>
      </c>
      <c r="Z5" s="12">
        <v>2</v>
      </c>
      <c r="AA5" s="12">
        <v>3</v>
      </c>
      <c r="AB5" s="12">
        <v>3</v>
      </c>
      <c r="AC5" s="12">
        <v>3</v>
      </c>
      <c r="AD5" s="12">
        <v>3</v>
      </c>
      <c r="AE5" s="12">
        <v>0</v>
      </c>
      <c r="AF5" s="12">
        <v>0</v>
      </c>
      <c r="AG5" s="11">
        <v>81</v>
      </c>
    </row>
    <row r="6" spans="2:33">
      <c r="B6" s="161"/>
      <c r="C6" s="161" t="s">
        <v>112</v>
      </c>
      <c r="D6" s="12">
        <v>3</v>
      </c>
      <c r="E6" s="12">
        <v>3</v>
      </c>
      <c r="F6" s="12">
        <v>3</v>
      </c>
      <c r="G6" s="12">
        <v>2</v>
      </c>
      <c r="H6" s="12">
        <v>4</v>
      </c>
      <c r="I6" s="12">
        <v>3</v>
      </c>
      <c r="J6" s="12">
        <v>3</v>
      </c>
      <c r="K6" s="12">
        <v>2</v>
      </c>
      <c r="L6" s="12">
        <v>0</v>
      </c>
      <c r="M6" s="12">
        <v>4</v>
      </c>
      <c r="N6" s="12">
        <v>2</v>
      </c>
      <c r="O6" s="12">
        <v>4</v>
      </c>
      <c r="P6" s="12">
        <v>3</v>
      </c>
      <c r="Q6" s="12">
        <v>4</v>
      </c>
      <c r="R6" s="12">
        <v>4</v>
      </c>
      <c r="S6" s="12">
        <v>1</v>
      </c>
      <c r="T6" s="12">
        <v>3</v>
      </c>
      <c r="U6" s="12">
        <v>3</v>
      </c>
      <c r="V6" s="12">
        <v>3</v>
      </c>
      <c r="W6" s="12">
        <v>4</v>
      </c>
      <c r="X6" s="12">
        <v>4</v>
      </c>
      <c r="Y6" s="12">
        <v>2</v>
      </c>
      <c r="Z6" s="12">
        <v>2</v>
      </c>
      <c r="AA6" s="12">
        <v>3</v>
      </c>
      <c r="AB6" s="12">
        <v>3</v>
      </c>
      <c r="AC6" s="12">
        <v>4</v>
      </c>
      <c r="AD6" s="12">
        <v>3</v>
      </c>
      <c r="AE6" s="12">
        <v>0</v>
      </c>
      <c r="AF6" s="12">
        <v>0</v>
      </c>
      <c r="AG6" s="11">
        <v>79</v>
      </c>
    </row>
    <row r="7" spans="2:33">
      <c r="B7" s="161"/>
      <c r="C7" s="161" t="s">
        <v>121</v>
      </c>
      <c r="D7" s="12">
        <v>3</v>
      </c>
      <c r="E7" s="12">
        <v>2</v>
      </c>
      <c r="F7" s="12">
        <v>3</v>
      </c>
      <c r="G7" s="12">
        <v>2</v>
      </c>
      <c r="H7" s="12">
        <v>3</v>
      </c>
      <c r="I7" s="12">
        <v>3</v>
      </c>
      <c r="J7" s="12">
        <v>3</v>
      </c>
      <c r="K7" s="12">
        <v>3</v>
      </c>
      <c r="L7" s="12">
        <v>2</v>
      </c>
      <c r="M7" s="12">
        <v>3</v>
      </c>
      <c r="N7" s="12">
        <v>3</v>
      </c>
      <c r="O7" s="12">
        <v>3</v>
      </c>
      <c r="P7" s="12">
        <v>3</v>
      </c>
      <c r="Q7" s="12">
        <v>4</v>
      </c>
      <c r="R7" s="12">
        <v>4</v>
      </c>
      <c r="S7" s="12">
        <v>4</v>
      </c>
      <c r="T7" s="12">
        <v>3</v>
      </c>
      <c r="U7" s="12">
        <v>3</v>
      </c>
      <c r="V7" s="12">
        <v>2</v>
      </c>
      <c r="W7" s="12">
        <v>3</v>
      </c>
      <c r="X7" s="12">
        <v>4</v>
      </c>
      <c r="Y7" s="12">
        <v>2</v>
      </c>
      <c r="Z7" s="12">
        <v>2</v>
      </c>
      <c r="AA7" s="12">
        <v>3</v>
      </c>
      <c r="AB7" s="12">
        <v>3</v>
      </c>
      <c r="AC7" s="12">
        <v>1</v>
      </c>
      <c r="AD7" s="12">
        <v>3</v>
      </c>
      <c r="AE7" s="12">
        <v>0</v>
      </c>
      <c r="AF7" s="12">
        <v>0</v>
      </c>
      <c r="AG7" s="11">
        <v>77</v>
      </c>
    </row>
    <row r="8" spans="2:33">
      <c r="B8" s="161"/>
      <c r="C8" s="161" t="s">
        <v>124</v>
      </c>
      <c r="D8" s="12">
        <v>3</v>
      </c>
      <c r="E8" s="12">
        <v>1</v>
      </c>
      <c r="F8" s="12">
        <v>3</v>
      </c>
      <c r="G8" s="12">
        <v>2</v>
      </c>
      <c r="H8" s="12">
        <v>2</v>
      </c>
      <c r="I8" s="12">
        <v>3</v>
      </c>
      <c r="J8" s="12">
        <v>3</v>
      </c>
      <c r="K8" s="12">
        <v>3</v>
      </c>
      <c r="L8" s="12">
        <v>3</v>
      </c>
      <c r="M8" s="12">
        <v>4</v>
      </c>
      <c r="N8" s="12">
        <v>2</v>
      </c>
      <c r="O8" s="12">
        <v>3</v>
      </c>
      <c r="P8" s="12">
        <v>2</v>
      </c>
      <c r="Q8" s="12">
        <v>4</v>
      </c>
      <c r="R8" s="12">
        <v>4</v>
      </c>
      <c r="S8" s="12">
        <v>2</v>
      </c>
      <c r="T8" s="12">
        <v>3</v>
      </c>
      <c r="U8" s="12">
        <v>3</v>
      </c>
      <c r="V8" s="12">
        <v>2</v>
      </c>
      <c r="W8" s="12">
        <v>3</v>
      </c>
      <c r="X8" s="12">
        <v>3</v>
      </c>
      <c r="Y8" s="12">
        <v>2</v>
      </c>
      <c r="Z8" s="12">
        <v>1</v>
      </c>
      <c r="AA8" s="12">
        <v>3</v>
      </c>
      <c r="AB8" s="12">
        <v>2</v>
      </c>
      <c r="AC8" s="12">
        <v>2</v>
      </c>
      <c r="AD8" s="12">
        <v>3</v>
      </c>
      <c r="AE8" s="12">
        <v>0</v>
      </c>
      <c r="AF8" s="12">
        <v>0</v>
      </c>
      <c r="AG8" s="11">
        <v>71</v>
      </c>
    </row>
    <row r="9" spans="2:33">
      <c r="B9" s="161"/>
      <c r="C9" s="161" t="s">
        <v>127</v>
      </c>
      <c r="D9" s="12">
        <v>2</v>
      </c>
      <c r="E9" s="12">
        <v>3</v>
      </c>
      <c r="F9" s="12">
        <v>3</v>
      </c>
      <c r="G9" s="12">
        <v>2</v>
      </c>
      <c r="H9" s="12">
        <v>3</v>
      </c>
      <c r="I9" s="12">
        <v>3</v>
      </c>
      <c r="J9" s="12">
        <v>4</v>
      </c>
      <c r="K9" s="12">
        <v>2</v>
      </c>
      <c r="L9" s="12">
        <v>1</v>
      </c>
      <c r="M9" s="12">
        <v>4</v>
      </c>
      <c r="N9" s="12">
        <v>2</v>
      </c>
      <c r="O9" s="12">
        <v>3</v>
      </c>
      <c r="P9" s="12">
        <v>2</v>
      </c>
      <c r="Q9" s="12">
        <v>4</v>
      </c>
      <c r="R9" s="12">
        <v>3</v>
      </c>
      <c r="S9" s="12">
        <v>1</v>
      </c>
      <c r="T9" s="12">
        <v>2</v>
      </c>
      <c r="U9" s="12">
        <v>3</v>
      </c>
      <c r="V9" s="12">
        <v>3</v>
      </c>
      <c r="W9" s="12">
        <v>2</v>
      </c>
      <c r="X9" s="12">
        <v>3</v>
      </c>
      <c r="Y9" s="12">
        <v>3</v>
      </c>
      <c r="Z9" s="12">
        <v>1</v>
      </c>
      <c r="AA9" s="12">
        <v>3</v>
      </c>
      <c r="AB9" s="12">
        <v>2</v>
      </c>
      <c r="AC9" s="12">
        <v>2</v>
      </c>
      <c r="AD9" s="12">
        <v>3</v>
      </c>
      <c r="AE9" s="12">
        <v>0</v>
      </c>
      <c r="AF9" s="12">
        <v>0</v>
      </c>
      <c r="AG9" s="11">
        <v>69</v>
      </c>
    </row>
    <row r="10" spans="2:33">
      <c r="B10" s="161"/>
      <c r="C10" s="161" t="s">
        <v>106</v>
      </c>
      <c r="D10" s="12">
        <v>3</v>
      </c>
      <c r="E10" s="12">
        <v>2</v>
      </c>
      <c r="F10" s="12">
        <v>3</v>
      </c>
      <c r="G10" s="12">
        <v>2</v>
      </c>
      <c r="H10" s="12">
        <v>3</v>
      </c>
      <c r="I10" s="12">
        <v>4</v>
      </c>
      <c r="J10" s="12">
        <v>3</v>
      </c>
      <c r="K10" s="12">
        <v>2</v>
      </c>
      <c r="L10" s="12">
        <v>0</v>
      </c>
      <c r="M10" s="12">
        <v>3</v>
      </c>
      <c r="N10" s="12">
        <v>2</v>
      </c>
      <c r="O10" s="12">
        <v>4</v>
      </c>
      <c r="P10" s="12">
        <v>2</v>
      </c>
      <c r="Q10" s="12">
        <v>3</v>
      </c>
      <c r="R10" s="12">
        <v>3</v>
      </c>
      <c r="S10" s="12">
        <v>1</v>
      </c>
      <c r="T10" s="12">
        <v>2</v>
      </c>
      <c r="U10" s="12">
        <v>3</v>
      </c>
      <c r="V10" s="12">
        <v>2</v>
      </c>
      <c r="W10" s="12">
        <v>3</v>
      </c>
      <c r="X10" s="12">
        <v>2</v>
      </c>
      <c r="Y10" s="12">
        <v>3</v>
      </c>
      <c r="Z10" s="12">
        <v>2</v>
      </c>
      <c r="AA10" s="12">
        <v>3</v>
      </c>
      <c r="AB10" s="12">
        <v>2</v>
      </c>
      <c r="AC10" s="12">
        <v>3</v>
      </c>
      <c r="AD10" s="12">
        <v>3</v>
      </c>
      <c r="AE10" s="12">
        <v>0</v>
      </c>
      <c r="AF10" s="12">
        <v>0</v>
      </c>
      <c r="AG10" s="11">
        <v>68</v>
      </c>
    </row>
    <row r="11" spans="2:33">
      <c r="B11" s="161"/>
      <c r="C11" s="161" t="s">
        <v>109</v>
      </c>
      <c r="D11" s="12">
        <v>3</v>
      </c>
      <c r="E11" s="12">
        <v>1</v>
      </c>
      <c r="F11" s="12">
        <v>3</v>
      </c>
      <c r="G11" s="12">
        <v>2</v>
      </c>
      <c r="H11" s="12">
        <v>3</v>
      </c>
      <c r="I11" s="12">
        <v>3</v>
      </c>
      <c r="J11" s="12">
        <v>2</v>
      </c>
      <c r="K11" s="12">
        <v>3</v>
      </c>
      <c r="L11" s="12">
        <v>2</v>
      </c>
      <c r="M11" s="12">
        <v>3</v>
      </c>
      <c r="N11" s="12">
        <v>2</v>
      </c>
      <c r="O11" s="12">
        <v>3</v>
      </c>
      <c r="P11" s="12">
        <v>2</v>
      </c>
      <c r="Q11" s="12">
        <v>3</v>
      </c>
      <c r="R11" s="12">
        <v>3</v>
      </c>
      <c r="S11" s="12">
        <v>4</v>
      </c>
      <c r="T11" s="12">
        <v>3</v>
      </c>
      <c r="U11" s="12">
        <v>2</v>
      </c>
      <c r="V11" s="12">
        <v>2</v>
      </c>
      <c r="W11" s="12">
        <v>2</v>
      </c>
      <c r="X11" s="12">
        <v>2</v>
      </c>
      <c r="Y11" s="12">
        <v>3</v>
      </c>
      <c r="Z11" s="12">
        <v>2</v>
      </c>
      <c r="AA11" s="12">
        <v>3</v>
      </c>
      <c r="AB11" s="12">
        <v>2</v>
      </c>
      <c r="AC11" s="12">
        <v>3</v>
      </c>
      <c r="AD11" s="12">
        <v>2</v>
      </c>
      <c r="AE11" s="12">
        <v>0</v>
      </c>
      <c r="AF11" s="12">
        <v>0</v>
      </c>
      <c r="AG11" s="11">
        <v>68</v>
      </c>
    </row>
    <row r="12" spans="2:33">
      <c r="B12" s="161"/>
      <c r="C12" s="161" t="s">
        <v>118</v>
      </c>
      <c r="D12" s="12">
        <v>2</v>
      </c>
      <c r="E12" s="12">
        <v>1</v>
      </c>
      <c r="F12" s="12">
        <v>2</v>
      </c>
      <c r="G12" s="12">
        <v>2</v>
      </c>
      <c r="H12" s="12">
        <v>3</v>
      </c>
      <c r="I12" s="12">
        <v>3</v>
      </c>
      <c r="J12" s="12">
        <v>2</v>
      </c>
      <c r="K12" s="12">
        <v>3</v>
      </c>
      <c r="L12" s="12">
        <v>2</v>
      </c>
      <c r="M12" s="12">
        <v>2</v>
      </c>
      <c r="N12" s="12">
        <v>2</v>
      </c>
      <c r="O12" s="12">
        <v>3</v>
      </c>
      <c r="P12" s="12">
        <v>2</v>
      </c>
      <c r="Q12" s="12">
        <v>3</v>
      </c>
      <c r="R12" s="12">
        <v>3</v>
      </c>
      <c r="S12" s="12">
        <v>3</v>
      </c>
      <c r="T12" s="12">
        <v>2</v>
      </c>
      <c r="U12" s="12">
        <v>2</v>
      </c>
      <c r="V12" s="12">
        <v>2</v>
      </c>
      <c r="W12" s="12">
        <v>2</v>
      </c>
      <c r="X12" s="12">
        <v>3</v>
      </c>
      <c r="Y12" s="12">
        <v>3</v>
      </c>
      <c r="Z12" s="12">
        <v>2</v>
      </c>
      <c r="AA12" s="12">
        <v>2</v>
      </c>
      <c r="AB12" s="12">
        <v>2</v>
      </c>
      <c r="AC12" s="12">
        <v>1</v>
      </c>
      <c r="AD12" s="12">
        <v>2</v>
      </c>
      <c r="AE12" s="12">
        <v>0</v>
      </c>
      <c r="AF12" s="12">
        <v>0</v>
      </c>
      <c r="AG12" s="11">
        <v>61</v>
      </c>
    </row>
    <row r="13" spans="2:33">
      <c r="B13" s="161"/>
      <c r="C13" s="161" t="s">
        <v>130</v>
      </c>
      <c r="D13" s="12">
        <v>2</v>
      </c>
      <c r="E13" s="12">
        <v>1</v>
      </c>
      <c r="F13" s="12">
        <v>2</v>
      </c>
      <c r="G13" s="12">
        <v>1</v>
      </c>
      <c r="H13" s="12">
        <v>3</v>
      </c>
      <c r="I13" s="12">
        <v>3</v>
      </c>
      <c r="J13" s="12">
        <v>2</v>
      </c>
      <c r="K13" s="12">
        <v>2</v>
      </c>
      <c r="L13" s="12">
        <v>0</v>
      </c>
      <c r="M13" s="12">
        <v>2</v>
      </c>
      <c r="N13" s="12">
        <v>3</v>
      </c>
      <c r="O13" s="12">
        <v>3</v>
      </c>
      <c r="P13" s="12">
        <v>2</v>
      </c>
      <c r="Q13" s="12">
        <v>4</v>
      </c>
      <c r="R13" s="12">
        <v>4</v>
      </c>
      <c r="S13" s="12">
        <v>2</v>
      </c>
      <c r="T13" s="12">
        <v>3</v>
      </c>
      <c r="U13" s="12">
        <v>2</v>
      </c>
      <c r="V13" s="12">
        <v>1</v>
      </c>
      <c r="W13" s="12">
        <v>2</v>
      </c>
      <c r="X13" s="12">
        <v>3</v>
      </c>
      <c r="Y13" s="12">
        <v>2</v>
      </c>
      <c r="Z13" s="12">
        <v>1</v>
      </c>
      <c r="AA13" s="12">
        <v>1</v>
      </c>
      <c r="AB13" s="12">
        <v>2</v>
      </c>
      <c r="AC13" s="12">
        <v>3</v>
      </c>
      <c r="AD13" s="12">
        <v>2</v>
      </c>
      <c r="AE13" s="12">
        <v>0</v>
      </c>
      <c r="AF13" s="12">
        <v>0</v>
      </c>
      <c r="AG13" s="11">
        <v>58</v>
      </c>
    </row>
    <row r="14" spans="2:33">
      <c r="B14" s="161" t="s">
        <v>454</v>
      </c>
      <c r="C14" s="161"/>
      <c r="D14" s="11">
        <v>24</v>
      </c>
      <c r="E14" s="11">
        <v>17</v>
      </c>
      <c r="F14" s="11">
        <v>25</v>
      </c>
      <c r="G14" s="11">
        <v>17</v>
      </c>
      <c r="H14" s="11">
        <v>28</v>
      </c>
      <c r="I14" s="11">
        <v>28</v>
      </c>
      <c r="J14" s="11">
        <v>25</v>
      </c>
      <c r="K14" s="11">
        <v>24</v>
      </c>
      <c r="L14" s="11">
        <v>11</v>
      </c>
      <c r="M14" s="11">
        <v>29</v>
      </c>
      <c r="N14" s="11">
        <v>20</v>
      </c>
      <c r="O14" s="11">
        <v>30</v>
      </c>
      <c r="P14" s="11">
        <v>21</v>
      </c>
      <c r="Q14" s="11">
        <v>33</v>
      </c>
      <c r="R14" s="11">
        <v>32</v>
      </c>
      <c r="S14" s="11">
        <v>20</v>
      </c>
      <c r="T14" s="11">
        <v>24</v>
      </c>
      <c r="U14" s="11">
        <v>24</v>
      </c>
      <c r="V14" s="11">
        <v>20</v>
      </c>
      <c r="W14" s="11">
        <v>24</v>
      </c>
      <c r="X14" s="11">
        <v>27</v>
      </c>
      <c r="Y14" s="11">
        <v>23</v>
      </c>
      <c r="Z14" s="11">
        <v>15</v>
      </c>
      <c r="AA14" s="11">
        <v>24</v>
      </c>
      <c r="AB14" s="11">
        <v>21</v>
      </c>
      <c r="AC14" s="11">
        <v>22</v>
      </c>
      <c r="AD14" s="11">
        <v>24</v>
      </c>
      <c r="AE14" s="11">
        <v>0</v>
      </c>
      <c r="AF14" s="11">
        <v>0</v>
      </c>
      <c r="AG14" s="11">
        <v>632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7" id="{038D5D40-2831-4FFD-8437-EFD63AA62AFE}">
            <x14:iconSet iconSet="5Boxe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5Boxes" iconId="0"/>
              <x14:cfIcon iconSet="3Triangles" iconId="1"/>
              <x14:cfIcon iconSet="3Signs" iconId="1"/>
              <x14:cfIcon iconSet="3Arrows" iconId="2"/>
              <x14:cfIcon iconSet="3TrafficLights1" iconId="2"/>
            </x14:iconSet>
          </x14:cfRule>
        </x14:conditionalFormatting>
        <x14:conditionalFormatting xmlns:xm="http://schemas.microsoft.com/office/excel/2006/main" pivot="1">
          <x14:cfRule type="iconSet" priority="6" id="{179A138B-4BBF-433F-8F3A-77BCD8A02D95}">
            <x14:iconSet iconSet="5Boxe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5Boxes" iconId="0"/>
              <x14:cfIcon iconSet="3Triangles" iconId="1"/>
              <x14:cfIcon iconSet="3Signs" iconId="1"/>
              <x14:cfIcon iconSet="3Arrows" iconId="2"/>
              <x14:cfIcon iconSet="3TrafficLights1" iconId="2"/>
            </x14:iconSet>
          </x14:cfRule>
        </x14:conditionalFormatting>
        <x14:conditionalFormatting xmlns:xm="http://schemas.microsoft.com/office/excel/2006/main" pivot="1">
          <x14:cfRule type="iconSet" priority="5" id="{364870F1-8DB6-4856-B935-4B3F08A4DE75}">
            <x14:iconSet iconSet="5Boxe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5Boxes" iconId="0"/>
              <x14:cfIcon iconSet="3Triangles" iconId="1"/>
              <x14:cfIcon iconSet="3Signs" iconId="1"/>
              <x14:cfIcon iconSet="3Arrows" iconId="2"/>
              <x14:cfIcon iconSet="3TrafficLights1" iconId="2"/>
            </x14:iconSet>
          </x14:cfRule>
        </x14:conditionalFormatting>
        <x14:conditionalFormatting xmlns:xm="http://schemas.microsoft.com/office/excel/2006/main" pivot="1">
          <x14:cfRule type="iconSet" priority="4" id="{69359A51-0529-498B-A91B-50DA05FA6797}">
            <x14:iconSet iconSet="5Boxe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5Boxes" iconId="0"/>
              <x14:cfIcon iconSet="3Triangles" iconId="1"/>
              <x14:cfIcon iconSet="3Signs" iconId="1"/>
              <x14:cfIcon iconSet="3Arrows" iconId="2"/>
              <x14:cfIcon iconSet="3TrafficLights1" iconId="2"/>
            </x14:iconSet>
          </x14:cfRule>
        </x14:conditionalFormatting>
        <x14:conditionalFormatting xmlns:xm="http://schemas.microsoft.com/office/excel/2006/main" pivot="1">
          <x14:cfRule type="iconSet" priority="3" id="{0ED30CD2-F6AA-47B6-9227-8045483EF6AA}">
            <x14:iconSet iconSet="5Boxe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5Boxes" iconId="0"/>
              <x14:cfIcon iconSet="3Triangles" iconId="1"/>
              <x14:cfIcon iconSet="3Signs" iconId="1"/>
              <x14:cfIcon iconSet="3Arrows" iconId="2"/>
              <x14:cfIcon iconSet="3TrafficLights1" iconId="2"/>
            </x14:iconSet>
          </x14:cfRule>
        </x14:conditionalFormatting>
        <x14:conditionalFormatting xmlns:xm="http://schemas.microsoft.com/office/excel/2006/main" pivot="1">
          <x14:cfRule type="iconSet" priority="2" id="{A5639729-62AC-498B-BE01-42C549530F69}">
            <x14:iconSet iconSet="5Boxe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5Boxes" iconId="0"/>
              <x14:cfIcon iconSet="3Triangles" iconId="1"/>
              <x14:cfIcon iconSet="3Signs" iconId="1"/>
              <x14:cfIcon iconSet="3Arrows" iconId="2"/>
              <x14:cfIcon iconSet="3TrafficLights1" iconId="2"/>
            </x14:iconSet>
          </x14:cfRule>
          <xm:sqref>D5:AF13</xm:sqref>
        </x14:conditionalFormatting>
        <x14:conditionalFormatting xmlns:xm="http://schemas.microsoft.com/office/excel/2006/main" pivot="1">
          <x14:cfRule type="iconSet" priority="1" id="{B447F7BE-24CE-4F05-8B52-71B29F09AF28}">
            <x14:iconSet iconSet="5Boxe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5Boxes" iconId="0"/>
              <x14:cfIcon iconSet="3Triangles" iconId="1"/>
              <x14:cfIcon iconSet="3Signs" iconId="1"/>
              <x14:cfIcon iconSet="3Arrows" iconId="2"/>
              <x14:cfIcon iconSet="3TrafficLights1" iconId="2"/>
            </x14:iconSet>
          </x14:cfRule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FC39-E150-42D4-9F01-B572F143BD8D}">
  <dimension ref="A2:I98"/>
  <sheetViews>
    <sheetView topLeftCell="G3" zoomScale="147" zoomScaleNormal="256" workbookViewId="0">
      <selection activeCell="G18" sqref="G18"/>
    </sheetView>
  </sheetViews>
  <sheetFormatPr defaultRowHeight="15"/>
  <cols>
    <col min="1" max="1" width="11.42578125" customWidth="1"/>
    <col min="2" max="2" width="29.140625" bestFit="1" customWidth="1"/>
    <col min="7" max="7" width="43.42578125" bestFit="1" customWidth="1"/>
    <col min="8" max="8" width="13.7109375" style="2" bestFit="1" customWidth="1"/>
    <col min="9" max="9" width="18.85546875" style="2" bestFit="1" customWidth="1"/>
  </cols>
  <sheetData>
    <row r="2" spans="1:9" ht="15.75">
      <c r="A2" s="34" t="s">
        <v>393</v>
      </c>
      <c r="B2" s="23" t="s">
        <v>386</v>
      </c>
      <c r="C2" t="s">
        <v>40</v>
      </c>
      <c r="D2" t="s">
        <v>455</v>
      </c>
      <c r="G2" s="150" t="s">
        <v>408</v>
      </c>
      <c r="H2" s="2" t="s">
        <v>414</v>
      </c>
      <c r="I2" s="2" t="s">
        <v>456</v>
      </c>
    </row>
    <row r="3" spans="1:9" ht="15" customHeight="1">
      <c r="A3" s="156" t="s">
        <v>376</v>
      </c>
      <c r="B3" s="153" t="s">
        <v>106</v>
      </c>
      <c r="C3" s="2">
        <f ca="1">COUNTIF('Competence Heatmap'!B$1:B$23,"4")</f>
        <v>2</v>
      </c>
      <c r="D3" s="2">
        <f ca="1">COUNTIF('Competence Heatmap'!B$1:B$23,"3")</f>
        <v>10</v>
      </c>
      <c r="G3" s="151" t="s">
        <v>376</v>
      </c>
      <c r="H3" s="2">
        <v>35</v>
      </c>
      <c r="I3" s="2">
        <v>131</v>
      </c>
    </row>
    <row r="4" spans="1:9" ht="15" customHeight="1">
      <c r="A4" s="156" t="s">
        <v>376</v>
      </c>
      <c r="B4" s="153" t="s">
        <v>115</v>
      </c>
      <c r="C4" s="2">
        <f ca="1">COUNTIF('Competence Heatmap'!C$1:C$23,"4")</f>
        <v>8</v>
      </c>
      <c r="D4" s="2">
        <f ca="1">COUNTIF('Competence Heatmap'!C$1:C$23,"3")</f>
        <v>9</v>
      </c>
      <c r="G4" s="152" t="s">
        <v>106</v>
      </c>
      <c r="H4" s="2">
        <v>3</v>
      </c>
      <c r="I4" s="2">
        <v>12</v>
      </c>
    </row>
    <row r="5" spans="1:9" ht="15" customHeight="1">
      <c r="A5" s="156" t="s">
        <v>376</v>
      </c>
      <c r="B5" s="153" t="s">
        <v>112</v>
      </c>
      <c r="C5" s="2">
        <f ca="1">COUNTIF('Competence Heatmap'!D$1:D$23,"4")</f>
        <v>7</v>
      </c>
      <c r="D5" s="2">
        <f ca="1">COUNTIF('Competence Heatmap'!D$1:D$23,"3")</f>
        <v>9</v>
      </c>
      <c r="G5" s="152" t="s">
        <v>109</v>
      </c>
      <c r="H5" s="2">
        <v>2</v>
      </c>
      <c r="I5" s="2">
        <v>15</v>
      </c>
    </row>
    <row r="6" spans="1:9" ht="15" customHeight="1">
      <c r="A6" s="156" t="s">
        <v>376</v>
      </c>
      <c r="B6" s="153" t="s">
        <v>124</v>
      </c>
      <c r="C6" s="2">
        <f ca="1">COUNTIF('Competence Heatmap'!E$1:E$23,"4")</f>
        <v>3</v>
      </c>
      <c r="D6" s="2">
        <f ca="1">COUNTIF('Competence Heatmap'!E$1:E$23,"3")</f>
        <v>9</v>
      </c>
      <c r="G6" s="152" t="s">
        <v>112</v>
      </c>
      <c r="H6" s="2">
        <v>8</v>
      </c>
      <c r="I6" s="2">
        <v>15</v>
      </c>
    </row>
    <row r="7" spans="1:9" ht="15" customHeight="1">
      <c r="A7" s="156" t="s">
        <v>376</v>
      </c>
      <c r="B7" s="153" t="s">
        <v>121</v>
      </c>
      <c r="C7" s="2">
        <f ca="1">COUNTIF('Competence Heatmap'!F$1:F$23,"4")</f>
        <v>1</v>
      </c>
      <c r="D7" s="2">
        <f ca="1">COUNTIF('Competence Heatmap'!F$1:F$23,"3")</f>
        <v>15</v>
      </c>
      <c r="G7" s="152" t="s">
        <v>115</v>
      </c>
      <c r="H7" s="2">
        <v>8</v>
      </c>
      <c r="I7" s="2">
        <v>16</v>
      </c>
    </row>
    <row r="8" spans="1:9" ht="15" customHeight="1">
      <c r="A8" s="156" t="s">
        <v>376</v>
      </c>
      <c r="B8" s="153" t="s">
        <v>127</v>
      </c>
      <c r="C8" s="2">
        <f ca="1">COUNTIF('Competence Heatmap'!G$1:G$23,"4")</f>
        <v>3</v>
      </c>
      <c r="D8" s="2">
        <f ca="1">COUNTIF('Competence Heatmap'!G$1:G$23,"3")</f>
        <v>10</v>
      </c>
      <c r="G8" s="152" t="s">
        <v>118</v>
      </c>
      <c r="H8" s="2">
        <v>0</v>
      </c>
      <c r="I8" s="2">
        <v>13</v>
      </c>
    </row>
    <row r="9" spans="1:9" ht="15" customHeight="1">
      <c r="A9" s="156" t="s">
        <v>376</v>
      </c>
      <c r="B9" s="153" t="s">
        <v>109</v>
      </c>
      <c r="C9" s="2">
        <f ca="1">COUNTIF('Competence Heatmap'!H$1:H$23,"4")</f>
        <v>1</v>
      </c>
      <c r="D9" s="2">
        <f ca="1">COUNTIF('Competence Heatmap'!H$1:H$23,"3")</f>
        <v>10</v>
      </c>
      <c r="G9" s="152" t="s">
        <v>121</v>
      </c>
      <c r="H9" s="2">
        <v>4</v>
      </c>
      <c r="I9" s="2">
        <v>20</v>
      </c>
    </row>
    <row r="10" spans="1:9" ht="15" customHeight="1">
      <c r="A10" s="156" t="s">
        <v>376</v>
      </c>
      <c r="B10" s="153" t="s">
        <v>118</v>
      </c>
      <c r="C10" s="2">
        <f ca="1">COUNTIF('Competence Heatmap'!I$1:I$23,"4")</f>
        <v>0</v>
      </c>
      <c r="D10" s="2">
        <f ca="1">COUNTIF('Competence Heatmap'!I$1:I$23,"3")</f>
        <v>8</v>
      </c>
      <c r="G10" s="152" t="s">
        <v>124</v>
      </c>
      <c r="H10" s="2">
        <v>4</v>
      </c>
      <c r="I10" s="2">
        <v>15</v>
      </c>
    </row>
    <row r="11" spans="1:9" ht="15" customHeight="1">
      <c r="A11" s="156" t="s">
        <v>376</v>
      </c>
      <c r="B11" s="153" t="s">
        <v>130</v>
      </c>
      <c r="C11" s="2">
        <f ca="1">COUNTIF('Competence Heatmap'!J$1:J$23,"4")</f>
        <v>1</v>
      </c>
      <c r="D11" s="2">
        <f ca="1">COUNTIF('Competence Heatmap'!J$1:J$23,"3")</f>
        <v>7</v>
      </c>
      <c r="G11" s="152" t="s">
        <v>127</v>
      </c>
      <c r="H11" s="2">
        <v>4</v>
      </c>
      <c r="I11" s="2">
        <v>15</v>
      </c>
    </row>
    <row r="12" spans="1:9" ht="15" customHeight="1">
      <c r="A12" s="157" t="s">
        <v>374</v>
      </c>
      <c r="B12" s="154" t="s">
        <v>133</v>
      </c>
      <c r="C12" s="2">
        <f ca="1">COUNTIF('Competence Heatmap'!K$1:K$23,"4")</f>
        <v>2</v>
      </c>
      <c r="D12" s="2">
        <f ca="1">COUNTIF('Competence Heatmap'!K$1:K$23,"3")</f>
        <v>4</v>
      </c>
      <c r="G12" s="152" t="s">
        <v>130</v>
      </c>
      <c r="H12" s="2">
        <v>2</v>
      </c>
      <c r="I12" s="2">
        <v>10</v>
      </c>
    </row>
    <row r="13" spans="1:9" ht="15" customHeight="1">
      <c r="A13" s="157" t="s">
        <v>374</v>
      </c>
      <c r="B13" s="154" t="s">
        <v>136</v>
      </c>
      <c r="C13" s="2">
        <f ca="1">COUNTIF('Competence Heatmap'!L$1:L$23,"4")</f>
        <v>3</v>
      </c>
      <c r="D13" s="2">
        <f ca="1">COUNTIF('Competence Heatmap'!L$1:L$23,"3")</f>
        <v>2</v>
      </c>
      <c r="G13" s="151" t="s">
        <v>385</v>
      </c>
      <c r="H13" s="2">
        <v>4</v>
      </c>
      <c r="I13" s="2">
        <v>29</v>
      </c>
    </row>
    <row r="14" spans="1:9" ht="15" customHeight="1">
      <c r="A14" s="157" t="s">
        <v>374</v>
      </c>
      <c r="B14" s="155" t="s">
        <v>139</v>
      </c>
      <c r="C14" s="2">
        <f ca="1">COUNTIF('Competence Heatmap'!M$1:M$23,"4")</f>
        <v>1</v>
      </c>
      <c r="D14" s="2">
        <f ca="1">COUNTIF('Competence Heatmap'!M$1:M$23,"3")</f>
        <v>6</v>
      </c>
      <c r="G14" s="152" t="s">
        <v>211</v>
      </c>
      <c r="H14" s="2">
        <v>1</v>
      </c>
      <c r="I14" s="2">
        <v>2</v>
      </c>
    </row>
    <row r="15" spans="1:9" ht="15" customHeight="1">
      <c r="A15" s="157" t="s">
        <v>374</v>
      </c>
      <c r="B15" s="154" t="s">
        <v>142</v>
      </c>
      <c r="C15" s="2">
        <f ca="1">COUNTIF('Competence Heatmap'!N$1:N$23,"4")</f>
        <v>1</v>
      </c>
      <c r="D15" s="2">
        <f ca="1">COUNTIF('Competence Heatmap'!N$1:N$23,"3")</f>
        <v>1</v>
      </c>
      <c r="G15" s="152" t="s">
        <v>214</v>
      </c>
      <c r="H15" s="2">
        <v>0</v>
      </c>
      <c r="I15" s="2">
        <v>4</v>
      </c>
    </row>
    <row r="16" spans="1:9" ht="15" customHeight="1">
      <c r="A16" s="157" t="s">
        <v>374</v>
      </c>
      <c r="B16" s="154" t="s">
        <v>145</v>
      </c>
      <c r="C16" s="2">
        <f ca="1">COUNTIF('Competence Heatmap'!O$1:O$23,"4")</f>
        <v>2</v>
      </c>
      <c r="D16" s="2">
        <f ca="1">COUNTIF('Competence Heatmap'!O$1:O$23,"3")</f>
        <v>2</v>
      </c>
      <c r="G16" s="152" t="s">
        <v>217</v>
      </c>
      <c r="H16" s="2">
        <v>1</v>
      </c>
      <c r="I16" s="2">
        <v>2</v>
      </c>
    </row>
    <row r="17" spans="1:9" ht="15" customHeight="1">
      <c r="A17" s="158" t="s">
        <v>384</v>
      </c>
      <c r="B17" s="154" t="s">
        <v>148</v>
      </c>
      <c r="C17" s="2">
        <f ca="1">COUNTIF('Competence Heatmap'!P$1:P$23,"4")</f>
        <v>1</v>
      </c>
      <c r="D17" s="2">
        <f ca="1">COUNTIF('Competence Heatmap'!P$1:P$23,"3")</f>
        <v>9</v>
      </c>
      <c r="G17" s="152" t="s">
        <v>49</v>
      </c>
      <c r="H17" s="2">
        <v>0</v>
      </c>
      <c r="I17" s="2">
        <v>4</v>
      </c>
    </row>
    <row r="18" spans="1:9" ht="15" customHeight="1">
      <c r="A18" s="158" t="s">
        <v>384</v>
      </c>
      <c r="B18" s="154" t="s">
        <v>151</v>
      </c>
      <c r="C18" s="2">
        <f ca="1">COUNTIF('Competence Heatmap'!Q$1:Q$23,"4")</f>
        <v>1</v>
      </c>
      <c r="D18" s="2">
        <f ca="1">COUNTIF('Competence Heatmap'!Q$1:Q$23,"3")</f>
        <v>6</v>
      </c>
      <c r="G18" s="152" t="s">
        <v>222</v>
      </c>
      <c r="H18" s="2">
        <v>0</v>
      </c>
      <c r="I18" s="2">
        <v>3</v>
      </c>
    </row>
    <row r="19" spans="1:9" ht="15" customHeight="1">
      <c r="A19" s="158" t="s">
        <v>384</v>
      </c>
      <c r="B19" s="154" t="s">
        <v>154</v>
      </c>
      <c r="C19" s="2">
        <f ca="1">COUNTIF('Competence Heatmap'!R$1:R$23,"4")</f>
        <v>1</v>
      </c>
      <c r="D19" s="2">
        <f ca="1">COUNTIF('Competence Heatmap'!R$1:R$23,"3")</f>
        <v>2</v>
      </c>
      <c r="G19" s="152" t="s">
        <v>225</v>
      </c>
      <c r="H19" s="2">
        <v>1</v>
      </c>
      <c r="I19" s="2">
        <v>8</v>
      </c>
    </row>
    <row r="20" spans="1:9" ht="15" customHeight="1">
      <c r="A20" s="158" t="s">
        <v>384</v>
      </c>
      <c r="B20" s="154" t="s">
        <v>158</v>
      </c>
      <c r="C20" s="2">
        <f ca="1">COUNTIF('Competence Heatmap'!S$1:S$23,"4")</f>
        <v>1</v>
      </c>
      <c r="D20" s="2">
        <f ca="1">COUNTIF('Competence Heatmap'!S$1:S$23,"3")</f>
        <v>2</v>
      </c>
      <c r="G20" s="152" t="s">
        <v>228</v>
      </c>
      <c r="H20" s="2">
        <v>0</v>
      </c>
      <c r="I20" s="2">
        <v>3</v>
      </c>
    </row>
    <row r="21" spans="1:9" ht="30">
      <c r="A21" s="158" t="s">
        <v>384</v>
      </c>
      <c r="B21" s="154" t="s">
        <v>161</v>
      </c>
      <c r="C21" s="2">
        <f ca="1">COUNTIF('Competence Heatmap'!T$1:T$23,"4")</f>
        <v>2</v>
      </c>
      <c r="D21" s="2">
        <f ca="1">COUNTIF('Competence Heatmap'!T$1:T$23,"3")</f>
        <v>7</v>
      </c>
      <c r="G21" s="152" t="s">
        <v>231</v>
      </c>
      <c r="H21" s="2">
        <v>1</v>
      </c>
      <c r="I21" s="2">
        <v>3</v>
      </c>
    </row>
    <row r="22" spans="1:9" ht="15" customHeight="1">
      <c r="A22" s="158" t="s">
        <v>384</v>
      </c>
      <c r="B22" s="154" t="s">
        <v>164</v>
      </c>
      <c r="C22" s="2">
        <f ca="1">COUNTIF('Competence Heatmap'!U$1:U$23,"4")</f>
        <v>0</v>
      </c>
      <c r="D22" s="2">
        <f ca="1">COUNTIF('Competence Heatmap'!U$1:U$23,"3")</f>
        <v>5</v>
      </c>
      <c r="G22" s="151" t="s">
        <v>378</v>
      </c>
      <c r="H22" s="2">
        <v>18</v>
      </c>
      <c r="I22" s="2">
        <v>58</v>
      </c>
    </row>
    <row r="23" spans="1:9" ht="15" customHeight="1">
      <c r="A23" s="158" t="s">
        <v>384</v>
      </c>
      <c r="B23" s="154" t="s">
        <v>234</v>
      </c>
      <c r="C23" s="2">
        <f ca="1">COUNTIF('Competence Heatmap'!V$1:V$23,"4")</f>
        <v>0</v>
      </c>
      <c r="D23" s="2">
        <f ca="1">COUNTIF('Competence Heatmap'!V$1:V$23,"3")</f>
        <v>3</v>
      </c>
      <c r="G23" s="152" t="s">
        <v>211</v>
      </c>
      <c r="H23" s="2">
        <v>1</v>
      </c>
      <c r="I23" s="2">
        <v>2</v>
      </c>
    </row>
    <row r="24" spans="1:9" ht="15" customHeight="1">
      <c r="A24" s="158" t="s">
        <v>384</v>
      </c>
      <c r="B24" s="154" t="s">
        <v>237</v>
      </c>
      <c r="C24" s="2">
        <f ca="1">COUNTIF('Competence Heatmap'!W$1:W$23,"4")</f>
        <v>3</v>
      </c>
      <c r="D24" s="2">
        <f ca="1">COUNTIF('Competence Heatmap'!W$1:W$23,"3")</f>
        <v>5</v>
      </c>
      <c r="G24" s="152" t="s">
        <v>185</v>
      </c>
      <c r="H24" s="2">
        <v>2</v>
      </c>
      <c r="I24" s="2">
        <v>3</v>
      </c>
    </row>
    <row r="25" spans="1:9" ht="15" customHeight="1">
      <c r="A25" s="158" t="s">
        <v>384</v>
      </c>
      <c r="B25" s="154" t="s">
        <v>240</v>
      </c>
      <c r="C25" s="2">
        <f ca="1">COUNTIF('Competence Heatmap'!X$1:X$23,"4")</f>
        <v>0</v>
      </c>
      <c r="D25" s="2">
        <f ca="1">COUNTIF('Competence Heatmap'!X$1:X$23,"3")</f>
        <v>2</v>
      </c>
      <c r="G25" s="152" t="s">
        <v>214</v>
      </c>
      <c r="H25" s="2">
        <v>0</v>
      </c>
      <c r="I25" s="2">
        <v>4</v>
      </c>
    </row>
    <row r="26" spans="1:9" ht="15" customHeight="1">
      <c r="A26" s="158" t="s">
        <v>384</v>
      </c>
      <c r="B26" s="154" t="s">
        <v>243</v>
      </c>
      <c r="C26" s="2">
        <f ca="1">COUNTIF('Competence Heatmap'!Y$1:Y$23,"4")</f>
        <v>0</v>
      </c>
      <c r="D26" s="2">
        <f ca="1">COUNTIF('Competence Heatmap'!Y$1:Y$23,"3")</f>
        <v>3</v>
      </c>
      <c r="G26" s="152" t="s">
        <v>217</v>
      </c>
      <c r="H26" s="2">
        <v>1</v>
      </c>
      <c r="I26" s="2">
        <v>2</v>
      </c>
    </row>
    <row r="27" spans="1:9" ht="15" customHeight="1">
      <c r="A27" s="158" t="s">
        <v>384</v>
      </c>
      <c r="B27" s="154" t="s">
        <v>246</v>
      </c>
      <c r="C27" s="2">
        <f ca="1">COUNTIF('Competence Heatmap'!Z$1:Z$23,"4")</f>
        <v>0</v>
      </c>
      <c r="D27" s="2">
        <f ca="1">COUNTIF('Competence Heatmap'!Z$1:Z$23,"3")</f>
        <v>1</v>
      </c>
      <c r="G27" s="152" t="s">
        <v>188</v>
      </c>
      <c r="H27" s="2">
        <v>2</v>
      </c>
      <c r="I27" s="2">
        <v>5</v>
      </c>
    </row>
    <row r="28" spans="1:9" ht="15" customHeight="1">
      <c r="A28" s="158" t="s">
        <v>384</v>
      </c>
      <c r="B28" s="154" t="s">
        <v>249</v>
      </c>
      <c r="C28" s="2">
        <f ca="1">COUNTIF('Competence Heatmap'!AA$1:AA$23,"4")</f>
        <v>0</v>
      </c>
      <c r="D28" s="2">
        <f ca="1">COUNTIF('Competence Heatmap'!AA$1:AA$23,"3")</f>
        <v>0</v>
      </c>
      <c r="G28" s="152" t="s">
        <v>49</v>
      </c>
      <c r="H28" s="2">
        <v>0</v>
      </c>
      <c r="I28" s="2">
        <v>4</v>
      </c>
    </row>
    <row r="29" spans="1:9" ht="15" customHeight="1">
      <c r="A29" s="158" t="s">
        <v>384</v>
      </c>
      <c r="B29" s="154" t="s">
        <v>252</v>
      </c>
      <c r="C29" s="2">
        <f ca="1">COUNTIF('Competence Heatmap'!AB$1:AB$23,"4")</f>
        <v>0</v>
      </c>
      <c r="D29" s="2">
        <f ca="1">COUNTIF('Competence Heatmap'!AB$1:AB$23,"3")</f>
        <v>2</v>
      </c>
      <c r="G29" s="152" t="s">
        <v>191</v>
      </c>
      <c r="H29" s="2">
        <v>1</v>
      </c>
      <c r="I29" s="2">
        <v>2</v>
      </c>
    </row>
    <row r="30" spans="1:9" ht="15" customHeight="1">
      <c r="A30" s="158" t="s">
        <v>384</v>
      </c>
      <c r="B30" s="154" t="s">
        <v>255</v>
      </c>
      <c r="C30" s="2">
        <f ca="1">COUNTIF('Competence Heatmap'!AC$1:AC$23,"4")</f>
        <v>0</v>
      </c>
      <c r="D30" s="2">
        <f ca="1">COUNTIF('Competence Heatmap'!AC$1:AC$23,"3")</f>
        <v>2</v>
      </c>
      <c r="G30" s="152" t="s">
        <v>194</v>
      </c>
      <c r="H30" s="2">
        <v>2</v>
      </c>
      <c r="I30" s="2">
        <v>3</v>
      </c>
    </row>
    <row r="31" spans="1:9" ht="15" customHeight="1">
      <c r="A31" s="158" t="s">
        <v>384</v>
      </c>
      <c r="B31" s="154" t="s">
        <v>258</v>
      </c>
      <c r="C31" s="2">
        <f ca="1">COUNTIF('Competence Heatmap'!AD$1:AD$23,"4")</f>
        <v>0</v>
      </c>
      <c r="D31" s="2">
        <f ca="1">COUNTIF('Competence Heatmap'!AD$1:AD$23,"3")</f>
        <v>1</v>
      </c>
      <c r="G31" s="152" t="s">
        <v>197</v>
      </c>
      <c r="H31" s="2">
        <v>1</v>
      </c>
      <c r="I31" s="2">
        <v>2</v>
      </c>
    </row>
    <row r="32" spans="1:9" ht="15" customHeight="1">
      <c r="A32" s="158" t="s">
        <v>384</v>
      </c>
      <c r="B32" s="154" t="s">
        <v>261</v>
      </c>
      <c r="C32" s="2">
        <f ca="1">COUNTIF('Competence Heatmap'!AE$1:AE$23,"4")</f>
        <v>0</v>
      </c>
      <c r="D32" s="2">
        <f ca="1">COUNTIF('Competence Heatmap'!AE$1:AE$23,"3")</f>
        <v>3</v>
      </c>
      <c r="G32" s="152" t="s">
        <v>200</v>
      </c>
      <c r="H32" s="2">
        <v>2</v>
      </c>
      <c r="I32" s="2">
        <v>4</v>
      </c>
    </row>
    <row r="33" spans="1:9" ht="15" customHeight="1">
      <c r="A33" s="158" t="s">
        <v>384</v>
      </c>
      <c r="B33" s="154" t="s">
        <v>264</v>
      </c>
      <c r="C33" s="2">
        <f ca="1">COUNTIF('Competence Heatmap'!AF$1:AF$23,"4")</f>
        <v>0</v>
      </c>
      <c r="D33" s="2">
        <f ca="1">COUNTIF('Competence Heatmap'!AF$1:AF$23,"3")</f>
        <v>1</v>
      </c>
      <c r="G33" s="152" t="s">
        <v>203</v>
      </c>
      <c r="H33" s="2">
        <v>1</v>
      </c>
      <c r="I33" s="2">
        <v>5</v>
      </c>
    </row>
    <row r="34" spans="1:9" ht="15" customHeight="1">
      <c r="A34" s="158" t="s">
        <v>384</v>
      </c>
      <c r="B34" s="154" t="s">
        <v>51</v>
      </c>
      <c r="C34" s="2">
        <f ca="1">COUNTIF('Competence Heatmap'!AG$1:AG$23,"4")</f>
        <v>1</v>
      </c>
      <c r="D34" s="2">
        <f ca="1">COUNTIF('Competence Heatmap'!AG$1:AG$23,"3")</f>
        <v>0</v>
      </c>
      <c r="G34" s="152" t="s">
        <v>222</v>
      </c>
      <c r="H34" s="2">
        <v>0</v>
      </c>
      <c r="I34" s="2">
        <v>3</v>
      </c>
    </row>
    <row r="35" spans="1:9" ht="15" customHeight="1">
      <c r="A35" s="158" t="s">
        <v>384</v>
      </c>
      <c r="B35" s="154" t="s">
        <v>267</v>
      </c>
      <c r="C35" s="2">
        <f ca="1">COUNTIF('Competence Heatmap'!AH$1:AH$23,"4")</f>
        <v>1</v>
      </c>
      <c r="D35" s="2">
        <f ca="1">COUNTIF('Competence Heatmap'!AH$1:AH$23,"3")</f>
        <v>4</v>
      </c>
      <c r="G35" s="152" t="s">
        <v>225</v>
      </c>
      <c r="H35" s="2">
        <v>1</v>
      </c>
      <c r="I35" s="2">
        <v>8</v>
      </c>
    </row>
    <row r="36" spans="1:9" ht="15" customHeight="1">
      <c r="A36" s="158" t="s">
        <v>384</v>
      </c>
      <c r="B36" s="154" t="s">
        <v>270</v>
      </c>
      <c r="C36" s="2">
        <f ca="1">COUNTIF('Competence Heatmap'!AI$1:AI$23,"4")</f>
        <v>1</v>
      </c>
      <c r="D36" s="2">
        <f ca="1">COUNTIF('Competence Heatmap'!AI$1:AI$23,"3")</f>
        <v>1</v>
      </c>
      <c r="G36" s="152" t="s">
        <v>206</v>
      </c>
      <c r="H36" s="2">
        <v>2</v>
      </c>
      <c r="I36" s="2">
        <v>2</v>
      </c>
    </row>
    <row r="37" spans="1:9" ht="15" customHeight="1">
      <c r="A37" s="158" t="s">
        <v>384</v>
      </c>
      <c r="B37" s="154" t="s">
        <v>50</v>
      </c>
      <c r="C37" s="2">
        <f ca="1">COUNTIF('Competence Heatmap'!AJ$1:AJ$23,"4")</f>
        <v>4</v>
      </c>
      <c r="D37" s="2">
        <f ca="1">COUNTIF('Competence Heatmap'!AJ$1:AJ$23,"3")</f>
        <v>3</v>
      </c>
      <c r="G37" s="152" t="s">
        <v>228</v>
      </c>
      <c r="H37" s="2">
        <v>0</v>
      </c>
      <c r="I37" s="2">
        <v>3</v>
      </c>
    </row>
    <row r="38" spans="1:9" ht="15" customHeight="1">
      <c r="A38" s="158" t="s">
        <v>384</v>
      </c>
      <c r="B38" s="154" t="s">
        <v>275</v>
      </c>
      <c r="C38" s="2">
        <f ca="1">COUNTIF('Competence Heatmap'!AK$1:AK$23,"4")</f>
        <v>0</v>
      </c>
      <c r="D38" s="2">
        <f ca="1">COUNTIF('Competence Heatmap'!AK$1:AK$23,"3")</f>
        <v>2</v>
      </c>
      <c r="G38" s="152" t="s">
        <v>231</v>
      </c>
      <c r="H38" s="2">
        <v>1</v>
      </c>
      <c r="I38" s="2">
        <v>3</v>
      </c>
    </row>
    <row r="39" spans="1:9" ht="15" customHeight="1">
      <c r="A39" s="158" t="s">
        <v>384</v>
      </c>
      <c r="B39" s="154" t="s">
        <v>278</v>
      </c>
      <c r="C39" s="2">
        <f ca="1">COUNTIF('Competence Heatmap'!AL$1:AL$23,"4")</f>
        <v>0</v>
      </c>
      <c r="D39" s="2">
        <f ca="1">COUNTIF('Competence Heatmap'!AL$1:AL$23,"3")</f>
        <v>3</v>
      </c>
      <c r="G39" s="152" t="s">
        <v>208</v>
      </c>
      <c r="H39" s="2">
        <v>1</v>
      </c>
      <c r="I39" s="2">
        <v>3</v>
      </c>
    </row>
    <row r="40" spans="1:9" ht="15" customHeight="1">
      <c r="A40" s="158" t="s">
        <v>384</v>
      </c>
      <c r="B40" s="154" t="s">
        <v>281</v>
      </c>
      <c r="C40" s="2">
        <f ca="1">COUNTIF('Competence Heatmap'!AM$1:AM$23,"4")</f>
        <v>0</v>
      </c>
      <c r="D40" s="2">
        <f ca="1">COUNTIF('Competence Heatmap'!AM$1:AM$23,"3")</f>
        <v>5</v>
      </c>
      <c r="G40" s="151" t="s">
        <v>377</v>
      </c>
      <c r="H40" s="2">
        <v>4</v>
      </c>
      <c r="I40" s="2">
        <v>27</v>
      </c>
    </row>
    <row r="41" spans="1:9" ht="30">
      <c r="A41" s="158" t="s">
        <v>384</v>
      </c>
      <c r="B41" s="154" t="s">
        <v>284</v>
      </c>
      <c r="C41" s="2">
        <f ca="1">COUNTIF('Competence Heatmap'!AN$1:AN$23,"4")</f>
        <v>0</v>
      </c>
      <c r="D41" s="2">
        <f ca="1">COUNTIF('Competence Heatmap'!AN$1:AN$23,"3")</f>
        <v>1</v>
      </c>
      <c r="G41" s="152" t="s">
        <v>167</v>
      </c>
      <c r="H41" s="2">
        <v>0</v>
      </c>
      <c r="I41" s="2">
        <v>4</v>
      </c>
    </row>
    <row r="42" spans="1:9" ht="30">
      <c r="A42" s="158" t="s">
        <v>384</v>
      </c>
      <c r="B42" s="154" t="s">
        <v>287</v>
      </c>
      <c r="C42" s="2">
        <f ca="1">COUNTIF('Competence Heatmap'!AO$1:AO$23,"4")</f>
        <v>0</v>
      </c>
      <c r="D42" s="2">
        <f ca="1">COUNTIF('Competence Heatmap'!AO$1:AO$23,"3")</f>
        <v>0</v>
      </c>
      <c r="G42" s="152" t="s">
        <v>170</v>
      </c>
      <c r="H42" s="2">
        <v>0</v>
      </c>
      <c r="I42" s="2">
        <v>2</v>
      </c>
    </row>
    <row r="43" spans="1:9" ht="30">
      <c r="A43" s="158" t="s">
        <v>384</v>
      </c>
      <c r="B43" s="154" t="s">
        <v>290</v>
      </c>
      <c r="C43" s="2">
        <f ca="1">COUNTIF('Competence Heatmap'!AP$1:AP$23,"4")</f>
        <v>0</v>
      </c>
      <c r="D43" s="2">
        <f ca="1">COUNTIF('Competence Heatmap'!AP$1:AP$23,"3")</f>
        <v>1</v>
      </c>
      <c r="G43" s="152" t="s">
        <v>173</v>
      </c>
      <c r="H43" s="2">
        <v>1</v>
      </c>
      <c r="I43" s="2">
        <v>10</v>
      </c>
    </row>
    <row r="44" spans="1:9" ht="15" customHeight="1">
      <c r="A44" s="158" t="s">
        <v>384</v>
      </c>
      <c r="B44" s="154" t="s">
        <v>293</v>
      </c>
      <c r="C44" s="2">
        <f ca="1">COUNTIF('Competence Heatmap'!AQ$1:AQ$23,"4")</f>
        <v>0</v>
      </c>
      <c r="D44" s="2">
        <f ca="1">COUNTIF('Competence Heatmap'!AQ$1:AQ$23,"3")</f>
        <v>3</v>
      </c>
      <c r="G44" s="152" t="s">
        <v>176</v>
      </c>
      <c r="H44" s="2">
        <v>1</v>
      </c>
      <c r="I44" s="2">
        <v>4</v>
      </c>
    </row>
    <row r="45" spans="1:9" ht="15" customHeight="1">
      <c r="A45" s="158" t="s">
        <v>384</v>
      </c>
      <c r="B45" s="154" t="s">
        <v>296</v>
      </c>
      <c r="C45" s="2">
        <f ca="1">COUNTIF('Competence Heatmap'!AR$1:AR$23,"4")</f>
        <v>1</v>
      </c>
      <c r="D45" s="2">
        <f ca="1">COUNTIF('Competence Heatmap'!AR$1:AR$23,"3")</f>
        <v>0</v>
      </c>
      <c r="G45" s="152" t="s">
        <v>179</v>
      </c>
      <c r="H45" s="2">
        <v>2</v>
      </c>
      <c r="I45" s="2">
        <v>4</v>
      </c>
    </row>
    <row r="46" spans="1:9" ht="15" customHeight="1">
      <c r="A46" s="158" t="s">
        <v>384</v>
      </c>
      <c r="B46" s="154" t="s">
        <v>299</v>
      </c>
      <c r="C46" s="2">
        <f ca="1">COUNTIF('Competence Heatmap'!AS$1:AS$23,"4")</f>
        <v>1</v>
      </c>
      <c r="D46" s="2">
        <f ca="1">COUNTIF('Competence Heatmap'!AS$1:AS$23,"3")</f>
        <v>1</v>
      </c>
      <c r="G46" s="152" t="s">
        <v>182</v>
      </c>
      <c r="H46" s="2">
        <v>0</v>
      </c>
      <c r="I46" s="2">
        <v>3</v>
      </c>
    </row>
    <row r="47" spans="1:9" ht="15" customHeight="1">
      <c r="A47" s="158" t="s">
        <v>384</v>
      </c>
      <c r="B47" s="154" t="s">
        <v>302</v>
      </c>
      <c r="C47" s="2">
        <f ca="1">COUNTIF('Competence Heatmap'!AT$1:AT$23,"4")</f>
        <v>3</v>
      </c>
      <c r="D47" s="2">
        <f ca="1">COUNTIF('Competence Heatmap'!AT$1:AT$23,"3")</f>
        <v>3</v>
      </c>
      <c r="G47" s="151" t="s">
        <v>374</v>
      </c>
      <c r="H47" s="2">
        <v>14</v>
      </c>
      <c r="I47" s="2">
        <v>28</v>
      </c>
    </row>
    <row r="48" spans="1:9" ht="30">
      <c r="A48" s="158" t="s">
        <v>384</v>
      </c>
      <c r="B48" s="154" t="s">
        <v>305</v>
      </c>
      <c r="C48" s="2">
        <f ca="1">COUNTIF('Competence Heatmap'!AU$1:AU$23,"4")</f>
        <v>0</v>
      </c>
      <c r="D48" s="2">
        <f ca="1">COUNTIF('Competence Heatmap'!AU$1:AU$23,"3")</f>
        <v>1</v>
      </c>
      <c r="G48" s="152" t="s">
        <v>133</v>
      </c>
      <c r="H48" s="2">
        <v>3</v>
      </c>
      <c r="I48" s="2">
        <v>8</v>
      </c>
    </row>
    <row r="49" spans="1:9" ht="15" customHeight="1">
      <c r="A49" s="158" t="s">
        <v>384</v>
      </c>
      <c r="B49" s="154" t="s">
        <v>308</v>
      </c>
      <c r="C49" s="2">
        <f ca="1">COUNTIF('Competence Heatmap'!AV$1:AV$23,"4")</f>
        <v>1</v>
      </c>
      <c r="D49" s="2">
        <f ca="1">COUNTIF('Competence Heatmap'!AV$1:AV$23,"3")</f>
        <v>4</v>
      </c>
      <c r="G49" s="152" t="s">
        <v>136</v>
      </c>
      <c r="H49" s="2">
        <v>4</v>
      </c>
      <c r="I49" s="2">
        <v>5</v>
      </c>
    </row>
    <row r="50" spans="1:9" ht="30">
      <c r="A50" s="158" t="s">
        <v>384</v>
      </c>
      <c r="B50" s="154" t="s">
        <v>311</v>
      </c>
      <c r="C50" s="2">
        <f ca="1">COUNTIF('Competence Heatmap'!AW$1:AW$23,"4")</f>
        <v>0</v>
      </c>
      <c r="D50" s="2">
        <f ca="1">COUNTIF('Competence Heatmap'!AW$1:AW$23,"3")</f>
        <v>1</v>
      </c>
      <c r="G50" s="152" t="s">
        <v>139</v>
      </c>
      <c r="H50" s="2">
        <v>3</v>
      </c>
      <c r="I50" s="2">
        <v>10</v>
      </c>
    </row>
    <row r="51" spans="1:9" ht="30">
      <c r="A51" s="158" t="s">
        <v>384</v>
      </c>
      <c r="B51" s="154" t="s">
        <v>314</v>
      </c>
      <c r="C51" s="2">
        <f ca="1">COUNTIF('Competence Heatmap'!AX$1:AX$23,"4")</f>
        <v>7</v>
      </c>
      <c r="D51" s="2">
        <f ca="1">COUNTIF('Competence Heatmap'!AX$1:AX$23,"3")</f>
        <v>7</v>
      </c>
      <c r="G51" s="152" t="s">
        <v>142</v>
      </c>
      <c r="H51" s="2">
        <v>1</v>
      </c>
      <c r="I51" s="2">
        <v>3</v>
      </c>
    </row>
    <row r="52" spans="1:9" ht="15" customHeight="1">
      <c r="A52" s="158" t="s">
        <v>384</v>
      </c>
      <c r="B52" s="154" t="s">
        <v>317</v>
      </c>
      <c r="C52" s="2">
        <f ca="1">COUNTIF('Competence Heatmap'!AY$1:AY$23,"4")</f>
        <v>1</v>
      </c>
      <c r="D52" s="2">
        <f ca="1">COUNTIF('Competence Heatmap'!AY$1:AY$23,"3")</f>
        <v>9</v>
      </c>
      <c r="G52" s="152" t="s">
        <v>145</v>
      </c>
      <c r="H52" s="2">
        <v>3</v>
      </c>
      <c r="I52" s="2">
        <v>2</v>
      </c>
    </row>
    <row r="53" spans="1:9" ht="15" customHeight="1">
      <c r="A53" s="158" t="s">
        <v>384</v>
      </c>
      <c r="B53" s="154" t="s">
        <v>320</v>
      </c>
      <c r="C53" s="2">
        <f ca="1">COUNTIF('Competence Heatmap'!AZ$1:AZ$23,"4")</f>
        <v>0</v>
      </c>
      <c r="D53" s="2">
        <f ca="1">COUNTIF('Competence Heatmap'!AZ$1:AZ$23,"3")</f>
        <v>4</v>
      </c>
      <c r="G53" s="151" t="s">
        <v>384</v>
      </c>
      <c r="H53" s="2">
        <v>72</v>
      </c>
      <c r="I53" s="2">
        <v>273</v>
      </c>
    </row>
    <row r="54" spans="1:9" ht="15" customHeight="1">
      <c r="A54" s="158" t="s">
        <v>384</v>
      </c>
      <c r="B54" s="154" t="s">
        <v>323</v>
      </c>
      <c r="C54" s="2">
        <f ca="1">COUNTIF('Competence Heatmap'!BA$1:BA$23,"4")</f>
        <v>3</v>
      </c>
      <c r="D54" s="2">
        <f ca="1">COUNTIF('Competence Heatmap'!BA$1:BA$23,"3")</f>
        <v>3</v>
      </c>
      <c r="G54" s="152" t="s">
        <v>234</v>
      </c>
      <c r="H54" s="2">
        <v>0</v>
      </c>
      <c r="I54" s="2">
        <v>7</v>
      </c>
    </row>
    <row r="55" spans="1:9" ht="30">
      <c r="A55" s="158" t="s">
        <v>384</v>
      </c>
      <c r="B55" s="154" t="s">
        <v>326</v>
      </c>
      <c r="C55" s="2">
        <f ca="1">COUNTIF('Competence Heatmap'!BB$1:BB$23,"4")</f>
        <v>0</v>
      </c>
      <c r="D55" s="2">
        <f ca="1">COUNTIF('Competence Heatmap'!BB$1:BB$23,"3")</f>
        <v>5</v>
      </c>
      <c r="G55" s="152" t="s">
        <v>237</v>
      </c>
      <c r="H55" s="2">
        <v>5</v>
      </c>
      <c r="I55" s="2">
        <v>9</v>
      </c>
    </row>
    <row r="56" spans="1:9" ht="15" customHeight="1">
      <c r="A56" s="158" t="s">
        <v>384</v>
      </c>
      <c r="B56" s="154" t="s">
        <v>328</v>
      </c>
      <c r="C56" s="2">
        <f ca="1">COUNTIF('Competence Heatmap'!BC$1:BC$23,"4")</f>
        <v>0</v>
      </c>
      <c r="D56" s="2">
        <f ca="1">COUNTIF('Competence Heatmap'!BC$1:BC$23,"3")</f>
        <v>5</v>
      </c>
      <c r="G56" s="152" t="s">
        <v>330</v>
      </c>
      <c r="H56" s="2">
        <v>3</v>
      </c>
      <c r="I56" s="2">
        <v>7</v>
      </c>
    </row>
    <row r="57" spans="1:9" ht="15" customHeight="1">
      <c r="A57" s="158" t="s">
        <v>384</v>
      </c>
      <c r="B57" s="154" t="s">
        <v>330</v>
      </c>
      <c r="C57" s="2">
        <f ca="1">COUNTIF('Competence Heatmap'!BD$1:BD$23,"4")</f>
        <v>2</v>
      </c>
      <c r="D57" s="2">
        <f ca="1">COUNTIF('Competence Heatmap'!BD$1:BD$23,"3")</f>
        <v>7</v>
      </c>
      <c r="G57" s="152" t="s">
        <v>332</v>
      </c>
      <c r="H57" s="2">
        <v>0</v>
      </c>
      <c r="I57" s="2">
        <v>2</v>
      </c>
    </row>
    <row r="58" spans="1:9" ht="15" customHeight="1">
      <c r="A58" s="158" t="s">
        <v>384</v>
      </c>
      <c r="B58" s="154" t="s">
        <v>332</v>
      </c>
      <c r="C58" s="2">
        <f ca="1">COUNTIF('Competence Heatmap'!BE$1:BE$23,"4")</f>
        <v>0</v>
      </c>
      <c r="D58" s="2">
        <f ca="1">COUNTIF('Competence Heatmap'!BE$1:BE$23,"3")</f>
        <v>1</v>
      </c>
      <c r="G58" s="152" t="s">
        <v>240</v>
      </c>
      <c r="H58" s="2">
        <v>1</v>
      </c>
      <c r="I58" s="2">
        <v>4</v>
      </c>
    </row>
    <row r="59" spans="1:9" ht="15" customHeight="1">
      <c r="A59" s="156" t="s">
        <v>385</v>
      </c>
      <c r="B59" s="154" t="s">
        <v>211</v>
      </c>
      <c r="C59" s="2">
        <f ca="1">COUNTIF('Competence Heatmap'!BF$1:BF$23,"4")</f>
        <v>1</v>
      </c>
      <c r="D59" s="2">
        <f ca="1">COUNTIF('Competence Heatmap'!BF$1:BF$23,"3")</f>
        <v>1</v>
      </c>
      <c r="G59" s="152" t="s">
        <v>243</v>
      </c>
      <c r="H59" s="2">
        <v>1</v>
      </c>
      <c r="I59" s="2">
        <v>6</v>
      </c>
    </row>
    <row r="60" spans="1:9" ht="15" customHeight="1">
      <c r="A60" s="156" t="s">
        <v>385</v>
      </c>
      <c r="B60" s="154" t="s">
        <v>214</v>
      </c>
      <c r="C60" s="2">
        <f ca="1">COUNTIF('Competence Heatmap'!BG$1:BG$23,"4")</f>
        <v>0</v>
      </c>
      <c r="D60" s="2">
        <f ca="1">COUNTIF('Competence Heatmap'!BG$1:BG$23,"3")</f>
        <v>2</v>
      </c>
      <c r="G60" s="152" t="s">
        <v>246</v>
      </c>
      <c r="H60" s="2">
        <v>1</v>
      </c>
      <c r="I60" s="2">
        <v>3</v>
      </c>
    </row>
    <row r="61" spans="1:9" ht="15" customHeight="1">
      <c r="A61" s="156" t="s">
        <v>385</v>
      </c>
      <c r="B61" s="154" t="s">
        <v>217</v>
      </c>
      <c r="C61" s="2">
        <f ca="1">COUNTIF('Competence Heatmap'!BH$1:BH$23,"4")</f>
        <v>2</v>
      </c>
      <c r="D61" s="2">
        <f ca="1">COUNTIF('Competence Heatmap'!BH$1:BH$23,"3")</f>
        <v>1</v>
      </c>
      <c r="G61" s="152" t="s">
        <v>249</v>
      </c>
      <c r="H61" s="2">
        <v>1</v>
      </c>
      <c r="I61" s="2">
        <v>0</v>
      </c>
    </row>
    <row r="62" spans="1:9" ht="15" customHeight="1">
      <c r="A62" s="156" t="s">
        <v>385</v>
      </c>
      <c r="B62" s="154" t="s">
        <v>49</v>
      </c>
      <c r="C62" s="2">
        <f ca="1">COUNTIF('Competence Heatmap'!BI$1:BI$23,"4")</f>
        <v>0</v>
      </c>
      <c r="D62" s="2">
        <f ca="1">COUNTIF('Competence Heatmap'!BI$1:BI$23,"3")</f>
        <v>2</v>
      </c>
      <c r="G62" s="152" t="s">
        <v>252</v>
      </c>
      <c r="H62" s="2">
        <v>1</v>
      </c>
      <c r="I62" s="2">
        <v>3</v>
      </c>
    </row>
    <row r="63" spans="1:9" ht="15" customHeight="1">
      <c r="A63" s="156" t="s">
        <v>385</v>
      </c>
      <c r="B63" s="154" t="s">
        <v>222</v>
      </c>
      <c r="C63" s="2">
        <f ca="1">COUNTIF('Competence Heatmap'!BJ$1:BJ$23,"4")</f>
        <v>0</v>
      </c>
      <c r="D63" s="2">
        <f ca="1">COUNTIF('Competence Heatmap'!BJ$1:BJ$23,"3")</f>
        <v>3</v>
      </c>
      <c r="G63" s="152" t="s">
        <v>255</v>
      </c>
      <c r="H63" s="2">
        <v>0</v>
      </c>
      <c r="I63" s="2">
        <v>7</v>
      </c>
    </row>
    <row r="64" spans="1:9" ht="15" customHeight="1">
      <c r="A64" s="156" t="s">
        <v>385</v>
      </c>
      <c r="B64" s="154" t="s">
        <v>225</v>
      </c>
      <c r="C64" s="2">
        <f ca="1">COUNTIF('Competence Heatmap'!BK$1:BK$23,"4")</f>
        <v>0</v>
      </c>
      <c r="D64" s="2">
        <f ca="1">COUNTIF('Competence Heatmap'!BK$1:BK$23,"3")</f>
        <v>4</v>
      </c>
      <c r="G64" s="152" t="s">
        <v>258</v>
      </c>
      <c r="H64" s="2">
        <v>0</v>
      </c>
      <c r="I64" s="2">
        <v>6</v>
      </c>
    </row>
    <row r="65" spans="1:9" ht="15" customHeight="1">
      <c r="A65" s="156" t="s">
        <v>385</v>
      </c>
      <c r="B65" s="154" t="s">
        <v>228</v>
      </c>
      <c r="C65" s="2">
        <f ca="1">COUNTIF('Competence Heatmap'!BL$1:BL$23,"4")</f>
        <v>0</v>
      </c>
      <c r="D65" s="2">
        <f ca="1">COUNTIF('Competence Heatmap'!BL$1:BL$23,"3")</f>
        <v>2</v>
      </c>
      <c r="G65" s="152" t="s">
        <v>326</v>
      </c>
      <c r="H65" s="2">
        <v>0</v>
      </c>
      <c r="I65" s="2">
        <v>12</v>
      </c>
    </row>
    <row r="66" spans="1:9" ht="15" customHeight="1">
      <c r="A66" s="156" t="s">
        <v>385</v>
      </c>
      <c r="B66" s="154" t="s">
        <v>231</v>
      </c>
      <c r="C66" s="2">
        <f ca="1">COUNTIF('Competence Heatmap'!BM$1:BM$23,"4")</f>
        <v>1</v>
      </c>
      <c r="D66" s="2">
        <f ca="1">COUNTIF('Competence Heatmap'!BM$1:BM$23,"3")</f>
        <v>1</v>
      </c>
      <c r="G66" s="152" t="s">
        <v>261</v>
      </c>
      <c r="H66" s="2">
        <v>1</v>
      </c>
      <c r="I66" s="2">
        <v>6</v>
      </c>
    </row>
    <row r="67" spans="1:9" ht="15" customHeight="1">
      <c r="A67" s="156" t="s">
        <v>378</v>
      </c>
      <c r="B67" s="154" t="s">
        <v>185</v>
      </c>
      <c r="C67" s="2">
        <f ca="1">COUNTIF('Competence Heatmap'!BN$1:BN$23,"4")</f>
        <v>2</v>
      </c>
      <c r="D67" s="2">
        <f ca="1">COUNTIF('Competence Heatmap'!BN$1:BN$23,"3")</f>
        <v>0</v>
      </c>
      <c r="G67" s="152" t="s">
        <v>264</v>
      </c>
      <c r="H67" s="2">
        <v>2</v>
      </c>
      <c r="I67" s="2">
        <v>1</v>
      </c>
    </row>
    <row r="68" spans="1:9" ht="15" customHeight="1">
      <c r="A68" s="156" t="s">
        <v>378</v>
      </c>
      <c r="B68" s="154" t="s">
        <v>188</v>
      </c>
      <c r="C68" s="2">
        <f ca="1">COUNTIF('Competence Heatmap'!BO$1:BO$23,"4")</f>
        <v>2</v>
      </c>
      <c r="D68" s="2">
        <f ca="1">COUNTIF('Competence Heatmap'!BO$1:BO$23,"3")</f>
        <v>3</v>
      </c>
      <c r="G68" s="152" t="s">
        <v>267</v>
      </c>
      <c r="H68" s="2">
        <v>2</v>
      </c>
      <c r="I68" s="2">
        <v>6</v>
      </c>
    </row>
    <row r="69" spans="1:9" ht="30">
      <c r="A69" s="156" t="s">
        <v>378</v>
      </c>
      <c r="B69" s="154" t="s">
        <v>191</v>
      </c>
      <c r="C69" s="2">
        <f ca="1">COUNTIF('Competence Heatmap'!BP$1:BP$23,"4")</f>
        <v>1</v>
      </c>
      <c r="D69" s="2">
        <f ca="1">COUNTIF('Competence Heatmap'!BP$1:BP$23,"3")</f>
        <v>2</v>
      </c>
      <c r="G69" s="152" t="s">
        <v>270</v>
      </c>
      <c r="H69" s="2">
        <v>1</v>
      </c>
      <c r="I69" s="2">
        <v>6</v>
      </c>
    </row>
    <row r="70" spans="1:9" ht="30">
      <c r="A70" s="156" t="s">
        <v>378</v>
      </c>
      <c r="B70" s="154" t="s">
        <v>194</v>
      </c>
      <c r="C70" s="2">
        <f ca="1">COUNTIF('Competence Heatmap'!BQ$1:BQ$23,"4")</f>
        <v>2</v>
      </c>
      <c r="D70" s="2">
        <f ca="1">COUNTIF('Competence Heatmap'!BQ$1:BQ$23,"3")</f>
        <v>1</v>
      </c>
      <c r="G70" s="152" t="s">
        <v>50</v>
      </c>
      <c r="H70" s="2">
        <v>5</v>
      </c>
      <c r="I70" s="2">
        <v>9</v>
      </c>
    </row>
    <row r="71" spans="1:9" ht="30">
      <c r="A71" s="156" t="s">
        <v>378</v>
      </c>
      <c r="B71" s="154" t="s">
        <v>197</v>
      </c>
      <c r="C71" s="2">
        <f ca="1">COUNTIF('Competence Heatmap'!BR$1:BR$23,"4")</f>
        <v>1</v>
      </c>
      <c r="D71" s="2">
        <f ca="1">COUNTIF('Competence Heatmap'!BR$1:BR$23,"3")</f>
        <v>2</v>
      </c>
      <c r="G71" s="152" t="s">
        <v>320</v>
      </c>
      <c r="H71" s="2">
        <v>1</v>
      </c>
      <c r="I71" s="2">
        <v>8</v>
      </c>
    </row>
    <row r="72" spans="1:9" ht="15" customHeight="1">
      <c r="A72" s="156" t="s">
        <v>378</v>
      </c>
      <c r="B72" s="154" t="s">
        <v>200</v>
      </c>
      <c r="C72" s="2">
        <f ca="1">COUNTIF('Competence Heatmap'!BS$1:BS$23,"4")</f>
        <v>2</v>
      </c>
      <c r="D72" s="2">
        <f ca="1">COUNTIF('Competence Heatmap'!BS$1:BS$23,"3")</f>
        <v>3</v>
      </c>
      <c r="G72" s="152" t="s">
        <v>148</v>
      </c>
      <c r="H72" s="2">
        <v>2</v>
      </c>
      <c r="I72" s="2">
        <v>12</v>
      </c>
    </row>
    <row r="73" spans="1:9" ht="15" customHeight="1">
      <c r="A73" s="156" t="s">
        <v>378</v>
      </c>
      <c r="B73" s="154" t="s">
        <v>203</v>
      </c>
      <c r="C73" s="2">
        <f ca="1">COUNTIF('Competence Heatmap'!BT$1:BT$23,"4")</f>
        <v>1</v>
      </c>
      <c r="D73" s="2">
        <f ca="1">COUNTIF('Competence Heatmap'!BT$1:BT$23,"3")</f>
        <v>3</v>
      </c>
      <c r="G73" s="152" t="s">
        <v>151</v>
      </c>
      <c r="H73" s="2">
        <v>1</v>
      </c>
      <c r="I73" s="2">
        <v>14</v>
      </c>
    </row>
    <row r="74" spans="1:9" ht="15" customHeight="1">
      <c r="A74" s="156" t="s">
        <v>378</v>
      </c>
      <c r="B74" s="154" t="s">
        <v>206</v>
      </c>
      <c r="C74" s="2">
        <f ca="1">COUNTIF('Competence Heatmap'!BU$1:BU$23,"4")</f>
        <v>1</v>
      </c>
      <c r="D74" s="2">
        <f ca="1">COUNTIF('Competence Heatmap'!BU$1:BU$23,"3")</f>
        <v>1</v>
      </c>
      <c r="G74" s="152" t="s">
        <v>278</v>
      </c>
      <c r="H74" s="2">
        <v>0</v>
      </c>
      <c r="I74" s="2">
        <v>4</v>
      </c>
    </row>
    <row r="75" spans="1:9" ht="15" customHeight="1">
      <c r="A75" s="156" t="s">
        <v>378</v>
      </c>
      <c r="B75" s="154" t="s">
        <v>208</v>
      </c>
      <c r="C75" s="2">
        <f ca="1">COUNTIF('Competence Heatmap'!BV$1:BV$23,"4")</f>
        <v>1</v>
      </c>
      <c r="D75" s="2">
        <f ca="1">COUNTIF('Competence Heatmap'!BV$1:BV$23,"3")</f>
        <v>2</v>
      </c>
      <c r="G75" s="152" t="s">
        <v>275</v>
      </c>
      <c r="H75" s="2">
        <v>0</v>
      </c>
      <c r="I75" s="2">
        <v>3</v>
      </c>
    </row>
    <row r="76" spans="1:9" ht="15" customHeight="1">
      <c r="A76" s="156" t="s">
        <v>378</v>
      </c>
      <c r="B76" s="154" t="s">
        <v>211</v>
      </c>
      <c r="C76" s="2">
        <f ca="1">COUNTIF('Competence Heatmap'!BW$1:BW$23,"4")</f>
        <v>1</v>
      </c>
      <c r="D76" s="2">
        <f ca="1">COUNTIF('Competence Heatmap'!BW$1:BW$23,"3")</f>
        <v>1</v>
      </c>
      <c r="G76" s="152" t="s">
        <v>281</v>
      </c>
      <c r="H76" s="2">
        <v>0</v>
      </c>
      <c r="I76" s="2">
        <v>9</v>
      </c>
    </row>
    <row r="77" spans="1:9" ht="15" customHeight="1">
      <c r="A77" s="156" t="s">
        <v>378</v>
      </c>
      <c r="B77" s="154" t="s">
        <v>214</v>
      </c>
      <c r="C77" s="2">
        <f ca="1">COUNTIF('Competence Heatmap'!BX$1:BX$23,"4")</f>
        <v>0</v>
      </c>
      <c r="D77" s="2">
        <f ca="1">COUNTIF('Competence Heatmap'!BX$1:BX$23,"3")</f>
        <v>2</v>
      </c>
      <c r="G77" s="152" t="s">
        <v>284</v>
      </c>
      <c r="H77" s="2">
        <v>1</v>
      </c>
      <c r="I77" s="2">
        <v>4</v>
      </c>
    </row>
    <row r="78" spans="1:9" ht="15" customHeight="1">
      <c r="A78" s="156" t="s">
        <v>378</v>
      </c>
      <c r="B78" s="154" t="s">
        <v>217</v>
      </c>
      <c r="C78" s="2">
        <f ca="1">COUNTIF('Competence Heatmap'!BY$1:BY$23,"4")</f>
        <v>2</v>
      </c>
      <c r="D78" s="2">
        <f ca="1">COUNTIF('Competence Heatmap'!BY$1:BY$23,"3")</f>
        <v>1</v>
      </c>
      <c r="G78" s="152" t="s">
        <v>287</v>
      </c>
      <c r="H78" s="2">
        <v>0</v>
      </c>
      <c r="I78" s="2">
        <v>1</v>
      </c>
    </row>
    <row r="79" spans="1:9" ht="15" customHeight="1">
      <c r="A79" s="156" t="s">
        <v>378</v>
      </c>
      <c r="B79" s="154" t="s">
        <v>49</v>
      </c>
      <c r="C79" s="2">
        <f ca="1">COUNTIF('Competence Heatmap'!BZ$1:BZ$23,"4")</f>
        <v>0</v>
      </c>
      <c r="D79" s="2">
        <f ca="1">COUNTIF('Competence Heatmap'!BZ$1:BZ$23,"3")</f>
        <v>2</v>
      </c>
      <c r="G79" s="152" t="s">
        <v>154</v>
      </c>
      <c r="H79" s="2">
        <v>3</v>
      </c>
      <c r="I79" s="2">
        <v>7</v>
      </c>
    </row>
    <row r="80" spans="1:9" ht="15" customHeight="1">
      <c r="A80" s="156" t="s">
        <v>378</v>
      </c>
      <c r="B80" s="154" t="s">
        <v>222</v>
      </c>
      <c r="C80" s="2">
        <f ca="1">COUNTIF('Competence Heatmap'!CA$1:CA$23,"4")</f>
        <v>0</v>
      </c>
      <c r="D80" s="2">
        <f ca="1">COUNTIF('Competence Heatmap'!CA$1:CA$23,"3")</f>
        <v>3</v>
      </c>
      <c r="G80" s="152" t="s">
        <v>290</v>
      </c>
      <c r="H80" s="2">
        <v>0</v>
      </c>
      <c r="I80" s="2">
        <v>6</v>
      </c>
    </row>
    <row r="81" spans="1:9" ht="15" customHeight="1">
      <c r="A81" s="156" t="s">
        <v>378</v>
      </c>
      <c r="B81" s="154" t="s">
        <v>225</v>
      </c>
      <c r="C81" s="2">
        <f ca="1">COUNTIF('Competence Heatmap'!CB$1:CB$23,"4")</f>
        <v>0</v>
      </c>
      <c r="D81" s="2">
        <f ca="1">COUNTIF('Competence Heatmap'!CB$1:CB$23,"3")</f>
        <v>4</v>
      </c>
      <c r="G81" s="152" t="s">
        <v>51</v>
      </c>
      <c r="H81" s="2">
        <v>4</v>
      </c>
      <c r="I81" s="2">
        <v>1</v>
      </c>
    </row>
    <row r="82" spans="1:9" ht="15" customHeight="1">
      <c r="A82" s="156" t="s">
        <v>378</v>
      </c>
      <c r="B82" s="154" t="s">
        <v>228</v>
      </c>
      <c r="C82" s="2">
        <f ca="1">COUNTIF('Competence Heatmap'!CC$1:CC$23,"4")</f>
        <v>0</v>
      </c>
      <c r="D82" s="2">
        <f ca="1">COUNTIF('Competence Heatmap'!CC$1:CC$23,"3")</f>
        <v>2</v>
      </c>
      <c r="G82" s="152" t="s">
        <v>158</v>
      </c>
      <c r="H82" s="2">
        <v>2</v>
      </c>
      <c r="I82" s="2">
        <v>4</v>
      </c>
    </row>
    <row r="83" spans="1:9" ht="15" customHeight="1">
      <c r="A83" s="156" t="s">
        <v>378</v>
      </c>
      <c r="B83" s="154" t="s">
        <v>231</v>
      </c>
      <c r="C83" s="2">
        <f ca="1">COUNTIF('Competence Heatmap'!CD$1:CD$23,"4")</f>
        <v>1</v>
      </c>
      <c r="D83" s="2">
        <f ca="1">COUNTIF('Competence Heatmap'!CD$1:CD$23,"3")</f>
        <v>1</v>
      </c>
      <c r="G83" s="152" t="s">
        <v>293</v>
      </c>
      <c r="H83" s="2">
        <v>1</v>
      </c>
      <c r="I83" s="2">
        <v>7</v>
      </c>
    </row>
    <row r="84" spans="1:9" ht="15" customHeight="1">
      <c r="A84" s="156" t="s">
        <v>377</v>
      </c>
      <c r="B84" s="155" t="s">
        <v>167</v>
      </c>
      <c r="C84" s="2">
        <f ca="1">COUNTIF('Competence Heatmap'!CE$1:CE$23,"4")</f>
        <v>0</v>
      </c>
      <c r="D84" s="2">
        <f ca="1">COUNTIF('Competence Heatmap'!CE$1:CE$23,"3")</f>
        <v>1</v>
      </c>
      <c r="G84" s="152" t="s">
        <v>296</v>
      </c>
      <c r="H84" s="2">
        <v>1</v>
      </c>
      <c r="I84" s="2">
        <v>5</v>
      </c>
    </row>
    <row r="85" spans="1:9" ht="15" customHeight="1">
      <c r="A85" s="156" t="s">
        <v>377</v>
      </c>
      <c r="B85" s="154" t="s">
        <v>170</v>
      </c>
      <c r="C85" s="2">
        <f ca="1">COUNTIF('Competence Heatmap'!CF$1:CF$23,"4")</f>
        <v>0</v>
      </c>
      <c r="D85" s="2">
        <f ca="1">COUNTIF('Competence Heatmap'!CF$1:CF$23,"3")</f>
        <v>1</v>
      </c>
      <c r="G85" s="152" t="s">
        <v>299</v>
      </c>
      <c r="H85" s="2">
        <v>1</v>
      </c>
      <c r="I85" s="2">
        <v>5</v>
      </c>
    </row>
    <row r="86" spans="1:9" ht="15" customHeight="1">
      <c r="A86" s="156" t="s">
        <v>377</v>
      </c>
      <c r="B86" s="155" t="s">
        <v>173</v>
      </c>
      <c r="C86" s="2">
        <f ca="1">COUNTIF('Competence Heatmap'!CG$1:CG$23,"4")</f>
        <v>0</v>
      </c>
      <c r="D86" s="2">
        <f ca="1">COUNTIF('Competence Heatmap'!CG$1:CG$23,"3")</f>
        <v>4</v>
      </c>
      <c r="G86" s="152" t="s">
        <v>323</v>
      </c>
      <c r="H86" s="2">
        <v>7</v>
      </c>
      <c r="I86" s="2">
        <v>9</v>
      </c>
    </row>
    <row r="87" spans="1:9" ht="15" customHeight="1">
      <c r="A87" s="156" t="s">
        <v>377</v>
      </c>
      <c r="B87" s="155" t="s">
        <v>176</v>
      </c>
      <c r="C87" s="2">
        <f ca="1">COUNTIF('Competence Heatmap'!CH$1:CH$23,"4")</f>
        <v>1</v>
      </c>
      <c r="D87" s="2">
        <f ca="1">COUNTIF('Competence Heatmap'!CH$1:CH$23,"3")</f>
        <v>1</v>
      </c>
      <c r="G87" s="152" t="s">
        <v>161</v>
      </c>
      <c r="H87" s="2">
        <v>2</v>
      </c>
      <c r="I87" s="2">
        <v>13</v>
      </c>
    </row>
    <row r="88" spans="1:9" ht="15" customHeight="1">
      <c r="A88" s="156" t="s">
        <v>377</v>
      </c>
      <c r="B88" s="154" t="s">
        <v>179</v>
      </c>
      <c r="C88" s="2">
        <f ca="1">COUNTIF('Competence Heatmap'!CI$1:CI$23,"4")</f>
        <v>1</v>
      </c>
      <c r="D88" s="2">
        <f ca="1">COUNTIF('Competence Heatmap'!CI$1:CI$23,"3")</f>
        <v>0</v>
      </c>
      <c r="G88" s="152" t="s">
        <v>164</v>
      </c>
      <c r="H88" s="2">
        <v>2</v>
      </c>
      <c r="I88" s="2">
        <v>10</v>
      </c>
    </row>
    <row r="89" spans="1:9" ht="15" customHeight="1">
      <c r="A89" s="156" t="s">
        <v>377</v>
      </c>
      <c r="B89" s="155" t="s">
        <v>182</v>
      </c>
      <c r="C89" s="2">
        <f ca="1">COUNTIF('Competence Heatmap'!CJ$1:CJ$23,"4")</f>
        <v>0</v>
      </c>
      <c r="D89" s="2">
        <f ca="1">COUNTIF('Competence Heatmap'!CJ$1:CJ$23,"3")</f>
        <v>0</v>
      </c>
      <c r="G89" s="152" t="s">
        <v>302</v>
      </c>
      <c r="H89" s="2">
        <v>5</v>
      </c>
      <c r="I89" s="2">
        <v>6</v>
      </c>
    </row>
    <row r="90" spans="1:9" ht="15" customHeight="1">
      <c r="A90" s="156" t="s">
        <v>373</v>
      </c>
      <c r="B90" s="154" t="s">
        <v>334</v>
      </c>
      <c r="C90" s="2">
        <f ca="1">COUNTIF('Competence Heatmap'!CK$1:CK$23,"4")</f>
        <v>0</v>
      </c>
      <c r="D90" s="2">
        <f ca="1">COUNTIF('Competence Heatmap'!CK$1:CK$23,"3")</f>
        <v>0</v>
      </c>
      <c r="G90" s="152" t="s">
        <v>305</v>
      </c>
      <c r="H90" s="2">
        <v>0</v>
      </c>
      <c r="I90" s="2">
        <v>7</v>
      </c>
    </row>
    <row r="91" spans="1:9" ht="15" customHeight="1">
      <c r="A91" s="156" t="s">
        <v>373</v>
      </c>
      <c r="B91" s="154" t="s">
        <v>337</v>
      </c>
      <c r="C91" s="2">
        <f ca="1">COUNTIF('Competence Heatmap'!CL$1:CL$23,"4")</f>
        <v>1</v>
      </c>
      <c r="D91" s="2">
        <f ca="1">COUNTIF('Competence Heatmap'!CL$1:CL$23,"3")</f>
        <v>1</v>
      </c>
      <c r="G91" s="152" t="s">
        <v>308</v>
      </c>
      <c r="H91" s="2">
        <v>2</v>
      </c>
      <c r="I91" s="2">
        <v>10</v>
      </c>
    </row>
    <row r="92" spans="1:9" ht="15" customHeight="1">
      <c r="A92" s="156" t="s">
        <v>373</v>
      </c>
      <c r="B92" s="154" t="s">
        <v>340</v>
      </c>
      <c r="C92" s="2">
        <f ca="1">COUNTIF('Competence Heatmap'!CM$1:CM$23,"4")</f>
        <v>1</v>
      </c>
      <c r="D92" s="2">
        <f ca="1">COUNTIF('Competence Heatmap'!CM$1:CM$23,"3")</f>
        <v>1</v>
      </c>
      <c r="G92" s="152" t="s">
        <v>311</v>
      </c>
      <c r="H92" s="2">
        <v>1</v>
      </c>
      <c r="I92" s="2">
        <v>3</v>
      </c>
    </row>
    <row r="93" spans="1:9" ht="15" customHeight="1">
      <c r="A93" s="156" t="s">
        <v>373</v>
      </c>
      <c r="B93" s="154" t="s">
        <v>343</v>
      </c>
      <c r="C93" s="2">
        <f ca="1">COUNTIF('Competence Heatmap'!CN$1:CN$23,"4")</f>
        <v>0</v>
      </c>
      <c r="D93" s="2">
        <f ca="1">COUNTIF('Competence Heatmap'!CN$1:CN$23,"3")</f>
        <v>0</v>
      </c>
      <c r="G93" s="152" t="s">
        <v>314</v>
      </c>
      <c r="H93" s="2">
        <v>8</v>
      </c>
      <c r="I93" s="2">
        <v>11</v>
      </c>
    </row>
    <row r="94" spans="1:9" ht="15" customHeight="1">
      <c r="A94" s="156" t="s">
        <v>373</v>
      </c>
      <c r="B94" s="154" t="s">
        <v>346</v>
      </c>
      <c r="C94" s="2">
        <f ca="1">COUNTIF('Competence Heatmap'!CO$1:CO$23,"4")</f>
        <v>0</v>
      </c>
      <c r="D94" s="2">
        <f ca="1">COUNTIF('Competence Heatmap'!CO$1:CO$23,"3")</f>
        <v>1</v>
      </c>
      <c r="G94" s="152" t="s">
        <v>328</v>
      </c>
      <c r="H94" s="2">
        <v>1</v>
      </c>
      <c r="I94" s="2">
        <v>7</v>
      </c>
    </row>
    <row r="95" spans="1:9" ht="15" customHeight="1">
      <c r="A95" s="156" t="s">
        <v>373</v>
      </c>
      <c r="B95" s="154" t="s">
        <v>349</v>
      </c>
      <c r="C95" s="2">
        <f ca="1">COUNTIF('Competence Heatmap'!CP$1:CP$23,"4")</f>
        <v>0</v>
      </c>
      <c r="D95" s="2">
        <f ca="1">COUNTIF('Competence Heatmap'!CP$1:CP$23,"3")</f>
        <v>0</v>
      </c>
      <c r="G95" s="152" t="s">
        <v>317</v>
      </c>
      <c r="H95" s="2">
        <v>3</v>
      </c>
      <c r="I95" s="2">
        <v>13</v>
      </c>
    </row>
    <row r="96" spans="1:9" ht="15" customHeight="1">
      <c r="A96" s="156" t="s">
        <v>373</v>
      </c>
      <c r="B96" s="154" t="s">
        <v>352</v>
      </c>
      <c r="C96" s="2">
        <f ca="1">COUNTIF('Competence Heatmap'!CQ$1:CQ$23,"4")</f>
        <v>0</v>
      </c>
      <c r="D96" s="2">
        <f ca="1">COUNTIF('Competence Heatmap'!CQ$1:CQ$23,"3")</f>
        <v>0</v>
      </c>
      <c r="G96" s="151" t="s">
        <v>415</v>
      </c>
      <c r="H96" s="2">
        <v>147</v>
      </c>
      <c r="I96" s="2">
        <v>546</v>
      </c>
    </row>
    <row r="97" spans="1:4" ht="15" customHeight="1">
      <c r="A97" s="156" t="s">
        <v>373</v>
      </c>
      <c r="B97" s="154" t="s">
        <v>355</v>
      </c>
      <c r="C97" s="2">
        <f ca="1">COUNTIF('Competence Heatmap'!CR$1:CR$23,"4")</f>
        <v>1</v>
      </c>
      <c r="D97" s="2">
        <f ca="1">COUNTIF('Competence Heatmap'!CR$1:CR$23,"3")</f>
        <v>2</v>
      </c>
    </row>
    <row r="98" spans="1:4" ht="15" customHeight="1">
      <c r="A98" s="156" t="s">
        <v>373</v>
      </c>
      <c r="B98" s="154" t="s">
        <v>358</v>
      </c>
      <c r="C98" s="2">
        <f ca="1">COUNTIF('Competence Heatmap'!CS$1:CS$23,"4")</f>
        <v>0</v>
      </c>
      <c r="D98" s="2">
        <f ca="1">COUNTIF('Competence Heatmap'!CS$1:CS$23,"3")</f>
        <v>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9F6D-C2B5-4913-AC56-67BA4082E2FE}">
  <dimension ref="A1:B88"/>
  <sheetViews>
    <sheetView topLeftCell="A8" workbookViewId="0">
      <selection sqref="A1:B40"/>
    </sheetView>
  </sheetViews>
  <sheetFormatPr defaultRowHeight="15"/>
  <cols>
    <col min="1" max="1" width="16.42578125" customWidth="1"/>
    <col min="2" max="2" width="12.28515625" bestFit="1" customWidth="1"/>
  </cols>
  <sheetData>
    <row r="1" spans="1:2">
      <c r="A1" s="182" t="s">
        <v>457</v>
      </c>
      <c r="B1" t="s">
        <v>458</v>
      </c>
    </row>
    <row r="2" spans="1:2">
      <c r="A2" s="181" t="s">
        <v>459</v>
      </c>
      <c r="B2" t="s">
        <v>460</v>
      </c>
    </row>
    <row r="3" spans="1:2">
      <c r="A3" s="182" t="s">
        <v>461</v>
      </c>
      <c r="B3" t="s">
        <v>462</v>
      </c>
    </row>
    <row r="4" spans="1:2">
      <c r="A4" s="181" t="s">
        <v>463</v>
      </c>
      <c r="B4" t="s">
        <v>464</v>
      </c>
    </row>
    <row r="5" spans="1:2">
      <c r="A5" s="182" t="s">
        <v>465</v>
      </c>
      <c r="B5" t="s">
        <v>466</v>
      </c>
    </row>
    <row r="6" spans="1:2">
      <c r="A6" s="181" t="s">
        <v>467</v>
      </c>
      <c r="B6" t="s">
        <v>468</v>
      </c>
    </row>
    <row r="7" spans="1:2">
      <c r="A7" s="182" t="s">
        <v>469</v>
      </c>
      <c r="B7" t="s">
        <v>470</v>
      </c>
    </row>
    <row r="8" spans="1:2">
      <c r="A8" s="181" t="s">
        <v>471</v>
      </c>
      <c r="B8" t="s">
        <v>472</v>
      </c>
    </row>
    <row r="9" spans="1:2">
      <c r="A9" s="182" t="s">
        <v>473</v>
      </c>
      <c r="B9" t="s">
        <v>474</v>
      </c>
    </row>
    <row r="10" spans="1:2">
      <c r="A10" s="181" t="s">
        <v>475</v>
      </c>
      <c r="B10" t="s">
        <v>476</v>
      </c>
    </row>
    <row r="11" spans="1:2">
      <c r="A11" s="182" t="s">
        <v>477</v>
      </c>
      <c r="B11" t="s">
        <v>478</v>
      </c>
    </row>
    <row r="12" spans="1:2">
      <c r="A12" s="181" t="s">
        <v>459</v>
      </c>
      <c r="B12" t="s">
        <v>478</v>
      </c>
    </row>
    <row r="13" spans="1:2">
      <c r="A13" s="182" t="s">
        <v>479</v>
      </c>
      <c r="B13" t="s">
        <v>480</v>
      </c>
    </row>
    <row r="14" spans="1:2">
      <c r="A14" s="181" t="s">
        <v>481</v>
      </c>
      <c r="B14" t="s">
        <v>482</v>
      </c>
    </row>
    <row r="15" spans="1:2">
      <c r="A15" t="s">
        <v>483</v>
      </c>
      <c r="B15" t="s">
        <v>484</v>
      </c>
    </row>
    <row r="16" spans="1:2" ht="18">
      <c r="A16" s="183" t="s">
        <v>485</v>
      </c>
      <c r="B16" t="s">
        <v>486</v>
      </c>
    </row>
    <row r="17" spans="1:2">
      <c r="A17" s="182" t="s">
        <v>487</v>
      </c>
      <c r="B17" t="s">
        <v>488</v>
      </c>
    </row>
    <row r="18" spans="1:2">
      <c r="A18" s="181" t="s">
        <v>489</v>
      </c>
      <c r="B18" t="s">
        <v>490</v>
      </c>
    </row>
    <row r="19" spans="1:2">
      <c r="A19" s="182" t="s">
        <v>491</v>
      </c>
      <c r="B19" t="s">
        <v>492</v>
      </c>
    </row>
    <row r="20" spans="1:2">
      <c r="A20" s="181" t="s">
        <v>459</v>
      </c>
      <c r="B20" t="s">
        <v>493</v>
      </c>
    </row>
    <row r="21" spans="1:2">
      <c r="A21" s="182" t="s">
        <v>494</v>
      </c>
      <c r="B21" t="s">
        <v>495</v>
      </c>
    </row>
    <row r="22" spans="1:2">
      <c r="A22" s="181" t="s">
        <v>496</v>
      </c>
      <c r="B22" t="s">
        <v>497</v>
      </c>
    </row>
    <row r="23" spans="1:2">
      <c r="A23" s="182" t="s">
        <v>498</v>
      </c>
      <c r="B23" t="s">
        <v>499</v>
      </c>
    </row>
    <row r="24" spans="1:2">
      <c r="A24" s="181" t="s">
        <v>473</v>
      </c>
      <c r="B24" t="s">
        <v>500</v>
      </c>
    </row>
    <row r="25" spans="1:2">
      <c r="A25" s="182" t="s">
        <v>501</v>
      </c>
      <c r="B25" t="s">
        <v>502</v>
      </c>
    </row>
    <row r="26" spans="1:2">
      <c r="A26" s="181" t="s">
        <v>503</v>
      </c>
      <c r="B26" t="s">
        <v>504</v>
      </c>
    </row>
    <row r="27" spans="1:2">
      <c r="A27" s="182" t="s">
        <v>505</v>
      </c>
      <c r="B27" t="s">
        <v>506</v>
      </c>
    </row>
    <row r="28" spans="1:2">
      <c r="A28" s="181" t="s">
        <v>507</v>
      </c>
      <c r="B28" t="s">
        <v>508</v>
      </c>
    </row>
    <row r="29" spans="1:2">
      <c r="A29" s="182" t="s">
        <v>509</v>
      </c>
      <c r="B29" t="s">
        <v>510</v>
      </c>
    </row>
    <row r="30" spans="1:2">
      <c r="A30" s="181" t="s">
        <v>511</v>
      </c>
      <c r="B30" t="s">
        <v>512</v>
      </c>
    </row>
    <row r="31" spans="1:2">
      <c r="A31" s="182" t="s">
        <v>513</v>
      </c>
      <c r="B31" t="s">
        <v>514</v>
      </c>
    </row>
    <row r="32" spans="1:2">
      <c r="A32" s="181" t="s">
        <v>515</v>
      </c>
      <c r="B32" t="s">
        <v>516</v>
      </c>
    </row>
    <row r="33" spans="1:2">
      <c r="A33" s="182" t="s">
        <v>517</v>
      </c>
      <c r="B33" t="s">
        <v>518</v>
      </c>
    </row>
    <row r="34" spans="1:2">
      <c r="A34" s="181" t="s">
        <v>519</v>
      </c>
      <c r="B34" t="s">
        <v>520</v>
      </c>
    </row>
    <row r="35" spans="1:2">
      <c r="A35" t="s">
        <v>521</v>
      </c>
      <c r="B35" t="s">
        <v>470</v>
      </c>
    </row>
    <row r="36" spans="1:2" ht="18">
      <c r="A36" s="183" t="s">
        <v>522</v>
      </c>
      <c r="B36" t="s">
        <v>523</v>
      </c>
    </row>
    <row r="37" spans="1:2">
      <c r="A37" s="182" t="s">
        <v>524</v>
      </c>
      <c r="B37" t="s">
        <v>525</v>
      </c>
    </row>
    <row r="38" spans="1:2">
      <c r="A38" s="181" t="s">
        <v>526</v>
      </c>
      <c r="B38" t="s">
        <v>527</v>
      </c>
    </row>
    <row r="39" spans="1:2">
      <c r="A39" s="182" t="s">
        <v>528</v>
      </c>
      <c r="B39" t="s">
        <v>529</v>
      </c>
    </row>
    <row r="40" spans="1:2">
      <c r="A40" s="181" t="s">
        <v>530</v>
      </c>
      <c r="B40" t="s">
        <v>531</v>
      </c>
    </row>
    <row r="41" spans="1:2">
      <c r="A41" s="182"/>
    </row>
    <row r="42" spans="1:2">
      <c r="A42" s="181"/>
    </row>
    <row r="43" spans="1:2">
      <c r="A43" s="182"/>
    </row>
    <row r="44" spans="1:2">
      <c r="A44" s="181"/>
    </row>
    <row r="45" spans="1:2">
      <c r="A45" s="182"/>
    </row>
    <row r="46" spans="1:2">
      <c r="A46" s="181"/>
    </row>
    <row r="47" spans="1:2">
      <c r="A47" s="182"/>
    </row>
    <row r="48" spans="1:2">
      <c r="A48" s="181"/>
    </row>
    <row r="49" spans="1:1">
      <c r="A49" s="182"/>
    </row>
    <row r="50" spans="1:1">
      <c r="A50" s="181"/>
    </row>
    <row r="51" spans="1:1">
      <c r="A51" s="182"/>
    </row>
    <row r="52" spans="1:1">
      <c r="A52" s="181"/>
    </row>
    <row r="54" spans="1:1" ht="18">
      <c r="A54" s="183"/>
    </row>
    <row r="55" spans="1:1">
      <c r="A55" s="182"/>
    </row>
    <row r="56" spans="1:1">
      <c r="A56" s="181"/>
    </row>
    <row r="57" spans="1:1">
      <c r="A57" s="182"/>
    </row>
    <row r="58" spans="1:1">
      <c r="A58" s="181"/>
    </row>
    <row r="59" spans="1:1">
      <c r="A59" s="182"/>
    </row>
    <row r="60" spans="1:1">
      <c r="A60" s="181"/>
    </row>
    <row r="61" spans="1:1">
      <c r="A61" s="182"/>
    </row>
    <row r="62" spans="1:1">
      <c r="A62" s="181"/>
    </row>
    <row r="63" spans="1:1">
      <c r="A63" s="182"/>
    </row>
    <row r="64" spans="1:1">
      <c r="A64" s="181"/>
    </row>
    <row r="66" spans="1:1" ht="18">
      <c r="A66" s="183"/>
    </row>
    <row r="67" spans="1:1">
      <c r="A67" s="182"/>
    </row>
    <row r="68" spans="1:1">
      <c r="A68" s="181"/>
    </row>
    <row r="69" spans="1:1">
      <c r="A69" s="182"/>
    </row>
    <row r="70" spans="1:1">
      <c r="A70" s="181"/>
    </row>
    <row r="71" spans="1:1">
      <c r="A71" s="182"/>
    </row>
    <row r="72" spans="1:1">
      <c r="A72" s="181"/>
    </row>
    <row r="73" spans="1:1">
      <c r="A73" s="182"/>
    </row>
    <row r="74" spans="1:1">
      <c r="A74" s="181"/>
    </row>
    <row r="75" spans="1:1">
      <c r="A75" s="182"/>
    </row>
    <row r="76" spans="1:1">
      <c r="A76" s="181"/>
    </row>
    <row r="77" spans="1:1">
      <c r="A77" s="182"/>
    </row>
    <row r="78" spans="1:1">
      <c r="A78" s="181"/>
    </row>
    <row r="80" spans="1:1" ht="18">
      <c r="A80" s="183"/>
    </row>
    <row r="81" spans="1:1">
      <c r="A81" s="182"/>
    </row>
    <row r="82" spans="1:1">
      <c r="A82" s="181"/>
    </row>
    <row r="83" spans="1:1">
      <c r="A83" s="182"/>
    </row>
    <row r="84" spans="1:1">
      <c r="A84" s="181"/>
    </row>
    <row r="85" spans="1:1">
      <c r="A85" s="182"/>
    </row>
    <row r="86" spans="1:1">
      <c r="A86" s="181"/>
    </row>
    <row r="87" spans="1:1">
      <c r="A87" s="182"/>
    </row>
    <row r="88" spans="1:1">
      <c r="A88" s="18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3864C3935B6A4592486E4A6D35F665" ma:contentTypeVersion="6" ma:contentTypeDescription="Create a new document." ma:contentTypeScope="" ma:versionID="2ad8416703ed91ee87e93410a70efa01">
  <xsd:schema xmlns:xsd="http://www.w3.org/2001/XMLSchema" xmlns:xs="http://www.w3.org/2001/XMLSchema" xmlns:p="http://schemas.microsoft.com/office/2006/metadata/properties" xmlns:ns2="65f42e05-cf3b-4067-b2cc-52c815a1b1d2" xmlns:ns3="8692fcf4-9468-4bcd-8a09-c40372efd215" targetNamespace="http://schemas.microsoft.com/office/2006/metadata/properties" ma:root="true" ma:fieldsID="ec6f085bddfe756c1d211f71ebb75a0d" ns2:_="" ns3:_="">
    <xsd:import namespace="65f42e05-cf3b-4067-b2cc-52c815a1b1d2"/>
    <xsd:import namespace="8692fcf4-9468-4bcd-8a09-c40372efd2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42e05-cf3b-4067-b2cc-52c815a1b1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92fcf4-9468-4bcd-8a09-c40372efd2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F66881-5063-41C2-96B9-A777E7AE6578}"/>
</file>

<file path=customXml/itemProps2.xml><?xml version="1.0" encoding="utf-8"?>
<ds:datastoreItem xmlns:ds="http://schemas.openxmlformats.org/officeDocument/2006/customXml" ds:itemID="{CA140EA1-282D-4489-8736-B29D5D2FE279}"/>
</file>

<file path=customXml/itemProps3.xml><?xml version="1.0" encoding="utf-8"?>
<ds:datastoreItem xmlns:ds="http://schemas.openxmlformats.org/officeDocument/2006/customXml" ds:itemID="{2D9D2EE7-9E3B-4398-943A-1F76757E2B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Morrison</dc:creator>
  <cp:keywords/>
  <dc:description/>
  <cp:lastModifiedBy/>
  <cp:revision/>
  <dcterms:created xsi:type="dcterms:W3CDTF">2024-06-24T09:50:29Z</dcterms:created>
  <dcterms:modified xsi:type="dcterms:W3CDTF">2026-04-15T13:17:59Z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0x010100573864C3935B6A4592486E4A6D35F665</vt:lpwstr>
  </property>
</Properties>
</file>